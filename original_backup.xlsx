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DIV\Desktop\"/>
    </mc:Choice>
  </mc:AlternateContent>
  <xr:revisionPtr revIDLastSave="0" documentId="13_ncr:1_{37263223-D15D-4704-B6FC-545BF178820C}" xr6:coauthVersionLast="47" xr6:coauthVersionMax="47" xr10:uidLastSave="{00000000-0000-0000-0000-000000000000}"/>
  <bookViews>
    <workbookView xWindow="-120" yWindow="-120" windowWidth="20730" windowHeight="11040" tabRatio="500" activeTab="3" xr2:uid="{00000000-000D-0000-FFFF-FFFF00000000}"/>
  </bookViews>
  <sheets>
    <sheet name="Inicio" sheetId="1" r:id="rId1"/>
    <sheet name="Registro" sheetId="2" r:id="rId2"/>
    <sheet name="Consulta" sheetId="3" r:id="rId3"/>
    <sheet name="Resumen" sheetId="4" r:id="rId4"/>
    <sheet name="Cálculo" sheetId="5" state="hidden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" i="3" l="1"/>
  <c r="K1001" i="5"/>
  <c r="L1001" i="5" s="1"/>
  <c r="J1001" i="5"/>
  <c r="I1001" i="5"/>
  <c r="H1001" i="5"/>
  <c r="G1001" i="5"/>
  <c r="F1001" i="5"/>
  <c r="E1001" i="5"/>
  <c r="D1001" i="5"/>
  <c r="B1001" i="5"/>
  <c r="C1001" i="5" s="1"/>
  <c r="A1001" i="5"/>
  <c r="K1000" i="5"/>
  <c r="L1000" i="5" s="1"/>
  <c r="J1000" i="5"/>
  <c r="I1000" i="5"/>
  <c r="H1000" i="5"/>
  <c r="G1000" i="5"/>
  <c r="F1000" i="5"/>
  <c r="E1000" i="5"/>
  <c r="D1000" i="5"/>
  <c r="C1000" i="5"/>
  <c r="B1000" i="5"/>
  <c r="A1000" i="5"/>
  <c r="K999" i="5"/>
  <c r="L999" i="5" s="1"/>
  <c r="J999" i="5"/>
  <c r="I999" i="5"/>
  <c r="H999" i="5"/>
  <c r="G999" i="5"/>
  <c r="F999" i="5"/>
  <c r="E999" i="5"/>
  <c r="D999" i="5"/>
  <c r="B999" i="5"/>
  <c r="C999" i="5" s="1"/>
  <c r="A999" i="5"/>
  <c r="K998" i="5"/>
  <c r="L998" i="5" s="1"/>
  <c r="J998" i="5"/>
  <c r="I998" i="5"/>
  <c r="H998" i="5"/>
  <c r="G998" i="5"/>
  <c r="F998" i="5"/>
  <c r="E998" i="5"/>
  <c r="D998" i="5"/>
  <c r="B998" i="5"/>
  <c r="C998" i="5" s="1"/>
  <c r="A998" i="5"/>
  <c r="K997" i="5"/>
  <c r="L997" i="5" s="1"/>
  <c r="J997" i="5"/>
  <c r="I997" i="5"/>
  <c r="H997" i="5"/>
  <c r="G997" i="5"/>
  <c r="F997" i="5"/>
  <c r="E997" i="5"/>
  <c r="D997" i="5"/>
  <c r="B997" i="5"/>
  <c r="C997" i="5" s="1"/>
  <c r="A997" i="5"/>
  <c r="K996" i="5"/>
  <c r="L996" i="5" s="1"/>
  <c r="J996" i="5"/>
  <c r="I996" i="5"/>
  <c r="H996" i="5"/>
  <c r="G996" i="5"/>
  <c r="F996" i="5"/>
  <c r="E996" i="5"/>
  <c r="D996" i="5"/>
  <c r="B996" i="5"/>
  <c r="C996" i="5" s="1"/>
  <c r="A996" i="5"/>
  <c r="K995" i="5"/>
  <c r="L995" i="5" s="1"/>
  <c r="J995" i="5"/>
  <c r="I995" i="5"/>
  <c r="H995" i="5"/>
  <c r="G995" i="5"/>
  <c r="F995" i="5"/>
  <c r="E995" i="5"/>
  <c r="D995" i="5"/>
  <c r="B995" i="5"/>
  <c r="C995" i="5" s="1"/>
  <c r="A995" i="5"/>
  <c r="K994" i="5"/>
  <c r="L994" i="5" s="1"/>
  <c r="J994" i="5"/>
  <c r="I994" i="5"/>
  <c r="H994" i="5"/>
  <c r="G994" i="5"/>
  <c r="F994" i="5"/>
  <c r="E994" i="5"/>
  <c r="D994" i="5"/>
  <c r="B994" i="5"/>
  <c r="C994" i="5" s="1"/>
  <c r="A994" i="5"/>
  <c r="K993" i="5"/>
  <c r="L993" i="5" s="1"/>
  <c r="J993" i="5"/>
  <c r="I993" i="5"/>
  <c r="H993" i="5"/>
  <c r="G993" i="5"/>
  <c r="F993" i="5"/>
  <c r="E993" i="5"/>
  <c r="D993" i="5"/>
  <c r="B993" i="5"/>
  <c r="C993" i="5" s="1"/>
  <c r="A993" i="5"/>
  <c r="K992" i="5"/>
  <c r="L992" i="5" s="1"/>
  <c r="J992" i="5"/>
  <c r="I992" i="5"/>
  <c r="H992" i="5"/>
  <c r="G992" i="5"/>
  <c r="F992" i="5"/>
  <c r="E992" i="5"/>
  <c r="D992" i="5"/>
  <c r="B992" i="5"/>
  <c r="C992" i="5" s="1"/>
  <c r="A992" i="5"/>
  <c r="K991" i="5"/>
  <c r="L991" i="5" s="1"/>
  <c r="J991" i="5"/>
  <c r="I991" i="5"/>
  <c r="H991" i="5"/>
  <c r="G991" i="5"/>
  <c r="F991" i="5"/>
  <c r="E991" i="5"/>
  <c r="D991" i="5"/>
  <c r="C991" i="5"/>
  <c r="B991" i="5"/>
  <c r="A991" i="5"/>
  <c r="K990" i="5"/>
  <c r="L990" i="5" s="1"/>
  <c r="J990" i="5"/>
  <c r="I990" i="5"/>
  <c r="H990" i="5"/>
  <c r="G990" i="5"/>
  <c r="F990" i="5"/>
  <c r="E990" i="5"/>
  <c r="D990" i="5"/>
  <c r="B990" i="5"/>
  <c r="C990" i="5" s="1"/>
  <c r="A990" i="5"/>
  <c r="K989" i="5"/>
  <c r="L989" i="5" s="1"/>
  <c r="J989" i="5"/>
  <c r="I989" i="5"/>
  <c r="H989" i="5"/>
  <c r="G989" i="5"/>
  <c r="F989" i="5"/>
  <c r="E989" i="5"/>
  <c r="D989" i="5"/>
  <c r="B989" i="5"/>
  <c r="C989" i="5" s="1"/>
  <c r="A989" i="5"/>
  <c r="K988" i="5"/>
  <c r="L988" i="5" s="1"/>
  <c r="J988" i="5"/>
  <c r="I988" i="5"/>
  <c r="H988" i="5"/>
  <c r="G988" i="5"/>
  <c r="F988" i="5"/>
  <c r="E988" i="5"/>
  <c r="D988" i="5"/>
  <c r="B988" i="5"/>
  <c r="C988" i="5" s="1"/>
  <c r="A988" i="5"/>
  <c r="K987" i="5"/>
  <c r="L987" i="5" s="1"/>
  <c r="J987" i="5"/>
  <c r="I987" i="5"/>
  <c r="H987" i="5"/>
  <c r="G987" i="5"/>
  <c r="F987" i="5"/>
  <c r="E987" i="5"/>
  <c r="D987" i="5"/>
  <c r="B987" i="5"/>
  <c r="C987" i="5" s="1"/>
  <c r="A987" i="5"/>
  <c r="K986" i="5"/>
  <c r="L986" i="5" s="1"/>
  <c r="J986" i="5"/>
  <c r="I986" i="5"/>
  <c r="H986" i="5"/>
  <c r="G986" i="5"/>
  <c r="F986" i="5"/>
  <c r="E986" i="5"/>
  <c r="D986" i="5"/>
  <c r="B986" i="5"/>
  <c r="C986" i="5" s="1"/>
  <c r="A986" i="5"/>
  <c r="K985" i="5"/>
  <c r="L985" i="5" s="1"/>
  <c r="J985" i="5"/>
  <c r="I985" i="5"/>
  <c r="H985" i="5"/>
  <c r="G985" i="5"/>
  <c r="F985" i="5"/>
  <c r="E985" i="5"/>
  <c r="D985" i="5"/>
  <c r="B985" i="5"/>
  <c r="C985" i="5" s="1"/>
  <c r="A985" i="5"/>
  <c r="K984" i="5"/>
  <c r="L984" i="5" s="1"/>
  <c r="J984" i="5"/>
  <c r="I984" i="5"/>
  <c r="H984" i="5"/>
  <c r="G984" i="5"/>
  <c r="F984" i="5"/>
  <c r="E984" i="5"/>
  <c r="D984" i="5"/>
  <c r="C984" i="5"/>
  <c r="B984" i="5"/>
  <c r="A984" i="5"/>
  <c r="K983" i="5"/>
  <c r="L983" i="5" s="1"/>
  <c r="J983" i="5"/>
  <c r="I983" i="5"/>
  <c r="H983" i="5"/>
  <c r="G983" i="5"/>
  <c r="F983" i="5"/>
  <c r="E983" i="5"/>
  <c r="D983" i="5"/>
  <c r="B983" i="5"/>
  <c r="C983" i="5" s="1"/>
  <c r="A983" i="5"/>
  <c r="K982" i="5"/>
  <c r="L982" i="5" s="1"/>
  <c r="J982" i="5"/>
  <c r="I982" i="5"/>
  <c r="H982" i="5"/>
  <c r="G982" i="5"/>
  <c r="F982" i="5"/>
  <c r="E982" i="5"/>
  <c r="D982" i="5"/>
  <c r="B982" i="5"/>
  <c r="C982" i="5" s="1"/>
  <c r="A982" i="5"/>
  <c r="K981" i="5"/>
  <c r="L981" i="5" s="1"/>
  <c r="J981" i="5"/>
  <c r="I981" i="5"/>
  <c r="H981" i="5"/>
  <c r="G981" i="5"/>
  <c r="F981" i="5"/>
  <c r="E981" i="5"/>
  <c r="D981" i="5"/>
  <c r="B981" i="5"/>
  <c r="C981" i="5" s="1"/>
  <c r="A981" i="5"/>
  <c r="K980" i="5"/>
  <c r="L980" i="5" s="1"/>
  <c r="J980" i="5"/>
  <c r="I980" i="5"/>
  <c r="H980" i="5"/>
  <c r="G980" i="5"/>
  <c r="F980" i="5"/>
  <c r="E980" i="5"/>
  <c r="D980" i="5"/>
  <c r="B980" i="5"/>
  <c r="C980" i="5" s="1"/>
  <c r="A980" i="5"/>
  <c r="K979" i="5"/>
  <c r="L979" i="5" s="1"/>
  <c r="J979" i="5"/>
  <c r="I979" i="5"/>
  <c r="H979" i="5"/>
  <c r="G979" i="5"/>
  <c r="F979" i="5"/>
  <c r="E979" i="5"/>
  <c r="D979" i="5"/>
  <c r="B979" i="5"/>
  <c r="C979" i="5" s="1"/>
  <c r="A979" i="5"/>
  <c r="K978" i="5"/>
  <c r="L978" i="5" s="1"/>
  <c r="J978" i="5"/>
  <c r="I978" i="5"/>
  <c r="H978" i="5"/>
  <c r="G978" i="5"/>
  <c r="F978" i="5"/>
  <c r="E978" i="5"/>
  <c r="D978" i="5"/>
  <c r="B978" i="5"/>
  <c r="C978" i="5" s="1"/>
  <c r="A978" i="5"/>
  <c r="K977" i="5"/>
  <c r="L977" i="5" s="1"/>
  <c r="J977" i="5"/>
  <c r="I977" i="5"/>
  <c r="H977" i="5"/>
  <c r="G977" i="5"/>
  <c r="F977" i="5"/>
  <c r="E977" i="5"/>
  <c r="D977" i="5"/>
  <c r="B977" i="5"/>
  <c r="C977" i="5" s="1"/>
  <c r="A977" i="5"/>
  <c r="K976" i="5"/>
  <c r="L976" i="5" s="1"/>
  <c r="J976" i="5"/>
  <c r="I976" i="5"/>
  <c r="H976" i="5"/>
  <c r="G976" i="5"/>
  <c r="F976" i="5"/>
  <c r="E976" i="5"/>
  <c r="D976" i="5"/>
  <c r="C976" i="5"/>
  <c r="B976" i="5"/>
  <c r="A976" i="5"/>
  <c r="K975" i="5"/>
  <c r="L975" i="5" s="1"/>
  <c r="J975" i="5"/>
  <c r="I975" i="5"/>
  <c r="H975" i="5"/>
  <c r="G975" i="5"/>
  <c r="F975" i="5"/>
  <c r="E975" i="5"/>
  <c r="D975" i="5"/>
  <c r="B975" i="5"/>
  <c r="C975" i="5" s="1"/>
  <c r="A975" i="5"/>
  <c r="K974" i="5"/>
  <c r="L974" i="5" s="1"/>
  <c r="J974" i="5"/>
  <c r="I974" i="5"/>
  <c r="H974" i="5"/>
  <c r="G974" i="5"/>
  <c r="F974" i="5"/>
  <c r="E974" i="5"/>
  <c r="D974" i="5"/>
  <c r="B974" i="5"/>
  <c r="C974" i="5" s="1"/>
  <c r="A974" i="5"/>
  <c r="K973" i="5"/>
  <c r="L973" i="5" s="1"/>
  <c r="J973" i="5"/>
  <c r="I973" i="5"/>
  <c r="H973" i="5"/>
  <c r="G973" i="5"/>
  <c r="F973" i="5"/>
  <c r="E973" i="5"/>
  <c r="D973" i="5"/>
  <c r="B973" i="5"/>
  <c r="C973" i="5" s="1"/>
  <c r="A973" i="5"/>
  <c r="K972" i="5"/>
  <c r="L972" i="5" s="1"/>
  <c r="J972" i="5"/>
  <c r="I972" i="5"/>
  <c r="H972" i="5"/>
  <c r="G972" i="5"/>
  <c r="F972" i="5"/>
  <c r="E972" i="5"/>
  <c r="D972" i="5"/>
  <c r="B972" i="5"/>
  <c r="C972" i="5" s="1"/>
  <c r="A972" i="5"/>
  <c r="K971" i="5"/>
  <c r="L971" i="5" s="1"/>
  <c r="J971" i="5"/>
  <c r="I971" i="5"/>
  <c r="H971" i="5"/>
  <c r="G971" i="5"/>
  <c r="F971" i="5"/>
  <c r="E971" i="5"/>
  <c r="D971" i="5"/>
  <c r="B971" i="5"/>
  <c r="C971" i="5" s="1"/>
  <c r="A971" i="5"/>
  <c r="K970" i="5"/>
  <c r="L970" i="5" s="1"/>
  <c r="J970" i="5"/>
  <c r="I970" i="5"/>
  <c r="H970" i="5"/>
  <c r="G970" i="5"/>
  <c r="F970" i="5"/>
  <c r="E970" i="5"/>
  <c r="D970" i="5"/>
  <c r="B970" i="5"/>
  <c r="C970" i="5" s="1"/>
  <c r="A970" i="5"/>
  <c r="K969" i="5"/>
  <c r="L969" i="5" s="1"/>
  <c r="J969" i="5"/>
  <c r="I969" i="5"/>
  <c r="H969" i="5"/>
  <c r="G969" i="5"/>
  <c r="F969" i="5"/>
  <c r="E969" i="5"/>
  <c r="D969" i="5"/>
  <c r="B969" i="5"/>
  <c r="C969" i="5" s="1"/>
  <c r="A969" i="5"/>
  <c r="K968" i="5"/>
  <c r="L968" i="5" s="1"/>
  <c r="J968" i="5"/>
  <c r="I968" i="5"/>
  <c r="H968" i="5"/>
  <c r="G968" i="5"/>
  <c r="F968" i="5"/>
  <c r="E968" i="5"/>
  <c r="D968" i="5"/>
  <c r="C968" i="5"/>
  <c r="B968" i="5"/>
  <c r="A968" i="5"/>
  <c r="K967" i="5"/>
  <c r="L967" i="5" s="1"/>
  <c r="J967" i="5"/>
  <c r="I967" i="5"/>
  <c r="H967" i="5"/>
  <c r="G967" i="5"/>
  <c r="F967" i="5"/>
  <c r="E967" i="5"/>
  <c r="D967" i="5"/>
  <c r="B967" i="5"/>
  <c r="C967" i="5" s="1"/>
  <c r="A967" i="5"/>
  <c r="K966" i="5"/>
  <c r="L966" i="5" s="1"/>
  <c r="J966" i="5"/>
  <c r="I966" i="5"/>
  <c r="H966" i="5"/>
  <c r="G966" i="5"/>
  <c r="F966" i="5"/>
  <c r="E966" i="5"/>
  <c r="D966" i="5"/>
  <c r="B966" i="5"/>
  <c r="C966" i="5" s="1"/>
  <c r="A966" i="5"/>
  <c r="K965" i="5"/>
  <c r="L965" i="5" s="1"/>
  <c r="J965" i="5"/>
  <c r="I965" i="5"/>
  <c r="H965" i="5"/>
  <c r="G965" i="5"/>
  <c r="F965" i="5"/>
  <c r="E965" i="5"/>
  <c r="D965" i="5"/>
  <c r="B965" i="5"/>
  <c r="C965" i="5" s="1"/>
  <c r="A965" i="5"/>
  <c r="K964" i="5"/>
  <c r="L964" i="5" s="1"/>
  <c r="J964" i="5"/>
  <c r="I964" i="5"/>
  <c r="H964" i="5"/>
  <c r="G964" i="5"/>
  <c r="F964" i="5"/>
  <c r="E964" i="5"/>
  <c r="D964" i="5"/>
  <c r="B964" i="5"/>
  <c r="C964" i="5" s="1"/>
  <c r="A964" i="5"/>
  <c r="K963" i="5"/>
  <c r="L963" i="5" s="1"/>
  <c r="J963" i="5"/>
  <c r="I963" i="5"/>
  <c r="H963" i="5"/>
  <c r="G963" i="5"/>
  <c r="F963" i="5"/>
  <c r="E963" i="5"/>
  <c r="D963" i="5"/>
  <c r="B963" i="5"/>
  <c r="C963" i="5" s="1"/>
  <c r="A963" i="5"/>
  <c r="K962" i="5"/>
  <c r="L962" i="5" s="1"/>
  <c r="J962" i="5"/>
  <c r="I962" i="5"/>
  <c r="H962" i="5"/>
  <c r="G962" i="5"/>
  <c r="F962" i="5"/>
  <c r="E962" i="5"/>
  <c r="D962" i="5"/>
  <c r="B962" i="5"/>
  <c r="C962" i="5" s="1"/>
  <c r="A962" i="5"/>
  <c r="K961" i="5"/>
  <c r="L961" i="5" s="1"/>
  <c r="J961" i="5"/>
  <c r="I961" i="5"/>
  <c r="H961" i="5"/>
  <c r="G961" i="5"/>
  <c r="F961" i="5"/>
  <c r="E961" i="5"/>
  <c r="D961" i="5"/>
  <c r="B961" i="5"/>
  <c r="C961" i="5" s="1"/>
  <c r="A961" i="5"/>
  <c r="K960" i="5"/>
  <c r="L960" i="5" s="1"/>
  <c r="J960" i="5"/>
  <c r="I960" i="5"/>
  <c r="H960" i="5"/>
  <c r="G960" i="5"/>
  <c r="F960" i="5"/>
  <c r="E960" i="5"/>
  <c r="D960" i="5"/>
  <c r="C960" i="5"/>
  <c r="B960" i="5"/>
  <c r="A960" i="5"/>
  <c r="K959" i="5"/>
  <c r="L959" i="5" s="1"/>
  <c r="J959" i="5"/>
  <c r="I959" i="5"/>
  <c r="H959" i="5"/>
  <c r="G959" i="5"/>
  <c r="F959" i="5"/>
  <c r="E959" i="5"/>
  <c r="D959" i="5"/>
  <c r="B959" i="5"/>
  <c r="C959" i="5" s="1"/>
  <c r="A959" i="5"/>
  <c r="K958" i="5"/>
  <c r="L958" i="5" s="1"/>
  <c r="J958" i="5"/>
  <c r="I958" i="5"/>
  <c r="H958" i="5"/>
  <c r="G958" i="5"/>
  <c r="F958" i="5"/>
  <c r="E958" i="5"/>
  <c r="D958" i="5"/>
  <c r="C958" i="5"/>
  <c r="B958" i="5"/>
  <c r="A958" i="5"/>
  <c r="K957" i="5"/>
  <c r="L957" i="5" s="1"/>
  <c r="J957" i="5"/>
  <c r="I957" i="5"/>
  <c r="H957" i="5"/>
  <c r="G957" i="5"/>
  <c r="F957" i="5"/>
  <c r="E957" i="5"/>
  <c r="D957" i="5"/>
  <c r="B957" i="5"/>
  <c r="C957" i="5" s="1"/>
  <c r="A957" i="5"/>
  <c r="K956" i="5"/>
  <c r="L956" i="5" s="1"/>
  <c r="J956" i="5"/>
  <c r="I956" i="5"/>
  <c r="H956" i="5"/>
  <c r="G956" i="5"/>
  <c r="F956" i="5"/>
  <c r="E956" i="5"/>
  <c r="D956" i="5"/>
  <c r="B956" i="5"/>
  <c r="C956" i="5" s="1"/>
  <c r="A956" i="5"/>
  <c r="K955" i="5"/>
  <c r="L955" i="5" s="1"/>
  <c r="J955" i="5"/>
  <c r="I955" i="5"/>
  <c r="H955" i="5"/>
  <c r="G955" i="5"/>
  <c r="F955" i="5"/>
  <c r="E955" i="5"/>
  <c r="D955" i="5"/>
  <c r="B955" i="5"/>
  <c r="C955" i="5" s="1"/>
  <c r="A955" i="5"/>
  <c r="K954" i="5"/>
  <c r="L954" i="5" s="1"/>
  <c r="J954" i="5"/>
  <c r="I954" i="5"/>
  <c r="H954" i="5"/>
  <c r="G954" i="5"/>
  <c r="F954" i="5"/>
  <c r="E954" i="5"/>
  <c r="D954" i="5"/>
  <c r="B954" i="5"/>
  <c r="C954" i="5" s="1"/>
  <c r="A954" i="5"/>
  <c r="K953" i="5"/>
  <c r="L953" i="5" s="1"/>
  <c r="J953" i="5"/>
  <c r="I953" i="5"/>
  <c r="H953" i="5"/>
  <c r="G953" i="5"/>
  <c r="F953" i="5"/>
  <c r="E953" i="5"/>
  <c r="D953" i="5"/>
  <c r="B953" i="5"/>
  <c r="C953" i="5" s="1"/>
  <c r="A953" i="5"/>
  <c r="K952" i="5"/>
  <c r="L952" i="5" s="1"/>
  <c r="J952" i="5"/>
  <c r="I952" i="5"/>
  <c r="H952" i="5"/>
  <c r="G952" i="5"/>
  <c r="F952" i="5"/>
  <c r="E952" i="5"/>
  <c r="D952" i="5"/>
  <c r="B952" i="5"/>
  <c r="C952" i="5" s="1"/>
  <c r="A952" i="5"/>
  <c r="K951" i="5"/>
  <c r="L951" i="5" s="1"/>
  <c r="J951" i="5"/>
  <c r="I951" i="5"/>
  <c r="H951" i="5"/>
  <c r="G951" i="5"/>
  <c r="F951" i="5"/>
  <c r="E951" i="5"/>
  <c r="D951" i="5"/>
  <c r="C951" i="5"/>
  <c r="B951" i="5"/>
  <c r="A951" i="5"/>
  <c r="K950" i="5"/>
  <c r="L950" i="5" s="1"/>
  <c r="J950" i="5"/>
  <c r="I950" i="5"/>
  <c r="H950" i="5"/>
  <c r="G950" i="5"/>
  <c r="F950" i="5"/>
  <c r="E950" i="5"/>
  <c r="D950" i="5"/>
  <c r="B950" i="5"/>
  <c r="C950" i="5" s="1"/>
  <c r="A950" i="5"/>
  <c r="K949" i="5"/>
  <c r="L949" i="5" s="1"/>
  <c r="J949" i="5"/>
  <c r="I949" i="5"/>
  <c r="H949" i="5"/>
  <c r="G949" i="5"/>
  <c r="F949" i="5"/>
  <c r="E949" i="5"/>
  <c r="D949" i="5"/>
  <c r="B949" i="5"/>
  <c r="C949" i="5" s="1"/>
  <c r="A949" i="5"/>
  <c r="K948" i="5"/>
  <c r="L948" i="5" s="1"/>
  <c r="J948" i="5"/>
  <c r="I948" i="5"/>
  <c r="H948" i="5"/>
  <c r="G948" i="5"/>
  <c r="F948" i="5"/>
  <c r="E948" i="5"/>
  <c r="D948" i="5"/>
  <c r="B948" i="5"/>
  <c r="C948" i="5" s="1"/>
  <c r="A948" i="5"/>
  <c r="K947" i="5"/>
  <c r="L947" i="5" s="1"/>
  <c r="J947" i="5"/>
  <c r="I947" i="5"/>
  <c r="H947" i="5"/>
  <c r="G947" i="5"/>
  <c r="F947" i="5"/>
  <c r="E947" i="5"/>
  <c r="D947" i="5"/>
  <c r="B947" i="5"/>
  <c r="C947" i="5" s="1"/>
  <c r="A947" i="5"/>
  <c r="K946" i="5"/>
  <c r="L946" i="5" s="1"/>
  <c r="J946" i="5"/>
  <c r="I946" i="5"/>
  <c r="H946" i="5"/>
  <c r="G946" i="5"/>
  <c r="F946" i="5"/>
  <c r="E946" i="5"/>
  <c r="D946" i="5"/>
  <c r="B946" i="5"/>
  <c r="C946" i="5" s="1"/>
  <c r="A946" i="5"/>
  <c r="K945" i="5"/>
  <c r="L945" i="5" s="1"/>
  <c r="J945" i="5"/>
  <c r="I945" i="5"/>
  <c r="H945" i="5"/>
  <c r="G945" i="5"/>
  <c r="F945" i="5"/>
  <c r="E945" i="5"/>
  <c r="D945" i="5"/>
  <c r="B945" i="5"/>
  <c r="C945" i="5" s="1"/>
  <c r="A945" i="5"/>
  <c r="K944" i="5"/>
  <c r="L944" i="5" s="1"/>
  <c r="J944" i="5"/>
  <c r="I944" i="5"/>
  <c r="H944" i="5"/>
  <c r="G944" i="5"/>
  <c r="F944" i="5"/>
  <c r="E944" i="5"/>
  <c r="D944" i="5"/>
  <c r="C944" i="5"/>
  <c r="B944" i="5"/>
  <c r="A944" i="5"/>
  <c r="K943" i="5"/>
  <c r="L943" i="5" s="1"/>
  <c r="J943" i="5"/>
  <c r="I943" i="5"/>
  <c r="H943" i="5"/>
  <c r="G943" i="5"/>
  <c r="F943" i="5"/>
  <c r="E943" i="5"/>
  <c r="D943" i="5"/>
  <c r="B943" i="5"/>
  <c r="C943" i="5" s="1"/>
  <c r="A943" i="5"/>
  <c r="K942" i="5"/>
  <c r="L942" i="5" s="1"/>
  <c r="J942" i="5"/>
  <c r="I942" i="5"/>
  <c r="H942" i="5"/>
  <c r="G942" i="5"/>
  <c r="F942" i="5"/>
  <c r="E942" i="5"/>
  <c r="D942" i="5"/>
  <c r="C942" i="5"/>
  <c r="B942" i="5"/>
  <c r="A942" i="5"/>
  <c r="K941" i="5"/>
  <c r="L941" i="5" s="1"/>
  <c r="J941" i="5"/>
  <c r="I941" i="5"/>
  <c r="H941" i="5"/>
  <c r="G941" i="5"/>
  <c r="F941" i="5"/>
  <c r="E941" i="5"/>
  <c r="D941" i="5"/>
  <c r="B941" i="5"/>
  <c r="C941" i="5" s="1"/>
  <c r="A941" i="5"/>
  <c r="K940" i="5"/>
  <c r="L940" i="5" s="1"/>
  <c r="J940" i="5"/>
  <c r="I940" i="5"/>
  <c r="H940" i="5"/>
  <c r="G940" i="5"/>
  <c r="F940" i="5"/>
  <c r="E940" i="5"/>
  <c r="D940" i="5"/>
  <c r="B940" i="5"/>
  <c r="C940" i="5" s="1"/>
  <c r="A940" i="5"/>
  <c r="K939" i="5"/>
  <c r="L939" i="5" s="1"/>
  <c r="J939" i="5"/>
  <c r="I939" i="5"/>
  <c r="H939" i="5"/>
  <c r="G939" i="5"/>
  <c r="F939" i="5"/>
  <c r="E939" i="5"/>
  <c r="D939" i="5"/>
  <c r="B939" i="5"/>
  <c r="C939" i="5" s="1"/>
  <c r="A939" i="5"/>
  <c r="K938" i="5"/>
  <c r="L938" i="5" s="1"/>
  <c r="J938" i="5"/>
  <c r="I938" i="5"/>
  <c r="H938" i="5"/>
  <c r="G938" i="5"/>
  <c r="F938" i="5"/>
  <c r="E938" i="5"/>
  <c r="D938" i="5"/>
  <c r="B938" i="5"/>
  <c r="C938" i="5" s="1"/>
  <c r="A938" i="5"/>
  <c r="K937" i="5"/>
  <c r="L937" i="5" s="1"/>
  <c r="J937" i="5"/>
  <c r="I937" i="5"/>
  <c r="H937" i="5"/>
  <c r="G937" i="5"/>
  <c r="F937" i="5"/>
  <c r="E937" i="5"/>
  <c r="D937" i="5"/>
  <c r="B937" i="5"/>
  <c r="C937" i="5" s="1"/>
  <c r="A937" i="5"/>
  <c r="K936" i="5"/>
  <c r="L936" i="5" s="1"/>
  <c r="J936" i="5"/>
  <c r="I936" i="5"/>
  <c r="H936" i="5"/>
  <c r="G936" i="5"/>
  <c r="F936" i="5"/>
  <c r="E936" i="5"/>
  <c r="D936" i="5"/>
  <c r="B936" i="5"/>
  <c r="C936" i="5" s="1"/>
  <c r="A936" i="5"/>
  <c r="K935" i="5"/>
  <c r="L935" i="5" s="1"/>
  <c r="J935" i="5"/>
  <c r="I935" i="5"/>
  <c r="H935" i="5"/>
  <c r="G935" i="5"/>
  <c r="F935" i="5"/>
  <c r="E935" i="5"/>
  <c r="D935" i="5"/>
  <c r="C935" i="5"/>
  <c r="B935" i="5"/>
  <c r="A935" i="5"/>
  <c r="K934" i="5"/>
  <c r="L934" i="5" s="1"/>
  <c r="J934" i="5"/>
  <c r="I934" i="5"/>
  <c r="H934" i="5"/>
  <c r="G934" i="5"/>
  <c r="F934" i="5"/>
  <c r="E934" i="5"/>
  <c r="D934" i="5"/>
  <c r="B934" i="5"/>
  <c r="C934" i="5" s="1"/>
  <c r="A934" i="5"/>
  <c r="K933" i="5"/>
  <c r="L933" i="5" s="1"/>
  <c r="J933" i="5"/>
  <c r="I933" i="5"/>
  <c r="H933" i="5"/>
  <c r="G933" i="5"/>
  <c r="F933" i="5"/>
  <c r="E933" i="5"/>
  <c r="D933" i="5"/>
  <c r="B933" i="5"/>
  <c r="C933" i="5" s="1"/>
  <c r="A933" i="5"/>
  <c r="K932" i="5"/>
  <c r="L932" i="5" s="1"/>
  <c r="J932" i="5"/>
  <c r="I932" i="5"/>
  <c r="H932" i="5"/>
  <c r="G932" i="5"/>
  <c r="F932" i="5"/>
  <c r="E932" i="5"/>
  <c r="D932" i="5"/>
  <c r="B932" i="5"/>
  <c r="C932" i="5" s="1"/>
  <c r="A932" i="5"/>
  <c r="K931" i="5"/>
  <c r="L931" i="5" s="1"/>
  <c r="J931" i="5"/>
  <c r="I931" i="5"/>
  <c r="H931" i="5"/>
  <c r="G931" i="5"/>
  <c r="F931" i="5"/>
  <c r="E931" i="5"/>
  <c r="D931" i="5"/>
  <c r="B931" i="5"/>
  <c r="C931" i="5" s="1"/>
  <c r="A931" i="5"/>
  <c r="K930" i="5"/>
  <c r="L930" i="5" s="1"/>
  <c r="J930" i="5"/>
  <c r="I930" i="5"/>
  <c r="H930" i="5"/>
  <c r="G930" i="5"/>
  <c r="F930" i="5"/>
  <c r="E930" i="5"/>
  <c r="D930" i="5"/>
  <c r="B930" i="5"/>
  <c r="C930" i="5" s="1"/>
  <c r="A930" i="5"/>
  <c r="K929" i="5"/>
  <c r="L929" i="5" s="1"/>
  <c r="J929" i="5"/>
  <c r="I929" i="5"/>
  <c r="H929" i="5"/>
  <c r="G929" i="5"/>
  <c r="F929" i="5"/>
  <c r="E929" i="5"/>
  <c r="D929" i="5"/>
  <c r="B929" i="5"/>
  <c r="C929" i="5" s="1"/>
  <c r="A929" i="5"/>
  <c r="K928" i="5"/>
  <c r="L928" i="5" s="1"/>
  <c r="J928" i="5"/>
  <c r="I928" i="5"/>
  <c r="H928" i="5"/>
  <c r="G928" i="5"/>
  <c r="F928" i="5"/>
  <c r="E928" i="5"/>
  <c r="D928" i="5"/>
  <c r="C928" i="5"/>
  <c r="B928" i="5"/>
  <c r="A928" i="5"/>
  <c r="K927" i="5"/>
  <c r="L927" i="5" s="1"/>
  <c r="J927" i="5"/>
  <c r="I927" i="5"/>
  <c r="H927" i="5"/>
  <c r="G927" i="5"/>
  <c r="F927" i="5"/>
  <c r="E927" i="5"/>
  <c r="D927" i="5"/>
  <c r="B927" i="5"/>
  <c r="C927" i="5" s="1"/>
  <c r="A927" i="5"/>
  <c r="K926" i="5"/>
  <c r="L926" i="5" s="1"/>
  <c r="J926" i="5"/>
  <c r="I926" i="5"/>
  <c r="H926" i="5"/>
  <c r="G926" i="5"/>
  <c r="F926" i="5"/>
  <c r="E926" i="5"/>
  <c r="D926" i="5"/>
  <c r="B926" i="5"/>
  <c r="C926" i="5" s="1"/>
  <c r="A926" i="5"/>
  <c r="K925" i="5"/>
  <c r="L925" i="5" s="1"/>
  <c r="J925" i="5"/>
  <c r="I925" i="5"/>
  <c r="H925" i="5"/>
  <c r="G925" i="5"/>
  <c r="F925" i="5"/>
  <c r="E925" i="5"/>
  <c r="D925" i="5"/>
  <c r="B925" i="5"/>
  <c r="C925" i="5" s="1"/>
  <c r="A925" i="5"/>
  <c r="K924" i="5"/>
  <c r="L924" i="5" s="1"/>
  <c r="J924" i="5"/>
  <c r="I924" i="5"/>
  <c r="H924" i="5"/>
  <c r="G924" i="5"/>
  <c r="F924" i="5"/>
  <c r="E924" i="5"/>
  <c r="D924" i="5"/>
  <c r="B924" i="5"/>
  <c r="C924" i="5" s="1"/>
  <c r="A924" i="5"/>
  <c r="K923" i="5"/>
  <c r="L923" i="5" s="1"/>
  <c r="J923" i="5"/>
  <c r="I923" i="5"/>
  <c r="H923" i="5"/>
  <c r="G923" i="5"/>
  <c r="F923" i="5"/>
  <c r="E923" i="5"/>
  <c r="D923" i="5"/>
  <c r="B923" i="5"/>
  <c r="C923" i="5" s="1"/>
  <c r="A923" i="5"/>
  <c r="K922" i="5"/>
  <c r="L922" i="5" s="1"/>
  <c r="J922" i="5"/>
  <c r="I922" i="5"/>
  <c r="H922" i="5"/>
  <c r="G922" i="5"/>
  <c r="F922" i="5"/>
  <c r="E922" i="5"/>
  <c r="D922" i="5"/>
  <c r="B922" i="5"/>
  <c r="C922" i="5" s="1"/>
  <c r="A922" i="5"/>
  <c r="L921" i="5"/>
  <c r="K921" i="5"/>
  <c r="J921" i="5"/>
  <c r="I921" i="5"/>
  <c r="H921" i="5"/>
  <c r="G921" i="5"/>
  <c r="F921" i="5"/>
  <c r="E921" i="5"/>
  <c r="D921" i="5"/>
  <c r="B921" i="5"/>
  <c r="C921" i="5" s="1"/>
  <c r="A921" i="5"/>
  <c r="K920" i="5"/>
  <c r="L920" i="5" s="1"/>
  <c r="J920" i="5"/>
  <c r="I920" i="5"/>
  <c r="H920" i="5"/>
  <c r="G920" i="5"/>
  <c r="F920" i="5"/>
  <c r="E920" i="5"/>
  <c r="D920" i="5"/>
  <c r="B920" i="5"/>
  <c r="C920" i="5" s="1"/>
  <c r="A920" i="5"/>
  <c r="K919" i="5"/>
  <c r="L919" i="5" s="1"/>
  <c r="J919" i="5"/>
  <c r="I919" i="5"/>
  <c r="H919" i="5"/>
  <c r="G919" i="5"/>
  <c r="F919" i="5"/>
  <c r="E919" i="5"/>
  <c r="D919" i="5"/>
  <c r="B919" i="5"/>
  <c r="C919" i="5" s="1"/>
  <c r="A919" i="5"/>
  <c r="K918" i="5"/>
  <c r="L918" i="5" s="1"/>
  <c r="J918" i="5"/>
  <c r="I918" i="5"/>
  <c r="H918" i="5"/>
  <c r="G918" i="5"/>
  <c r="F918" i="5"/>
  <c r="E918" i="5"/>
  <c r="D918" i="5"/>
  <c r="B918" i="5"/>
  <c r="C918" i="5" s="1"/>
  <c r="A918" i="5"/>
  <c r="K917" i="5"/>
  <c r="L917" i="5" s="1"/>
  <c r="J917" i="5"/>
  <c r="I917" i="5"/>
  <c r="H917" i="5"/>
  <c r="G917" i="5"/>
  <c r="F917" i="5"/>
  <c r="E917" i="5"/>
  <c r="D917" i="5"/>
  <c r="B917" i="5"/>
  <c r="C917" i="5" s="1"/>
  <c r="A917" i="5"/>
  <c r="K916" i="5"/>
  <c r="L916" i="5" s="1"/>
  <c r="J916" i="5"/>
  <c r="I916" i="5"/>
  <c r="H916" i="5"/>
  <c r="G916" i="5"/>
  <c r="F916" i="5"/>
  <c r="E916" i="5"/>
  <c r="D916" i="5"/>
  <c r="B916" i="5"/>
  <c r="C916" i="5" s="1"/>
  <c r="A916" i="5"/>
  <c r="K915" i="5"/>
  <c r="L915" i="5" s="1"/>
  <c r="J915" i="5"/>
  <c r="I915" i="5"/>
  <c r="H915" i="5"/>
  <c r="G915" i="5"/>
  <c r="F915" i="5"/>
  <c r="E915" i="5"/>
  <c r="D915" i="5"/>
  <c r="B915" i="5"/>
  <c r="C915" i="5" s="1"/>
  <c r="A915" i="5"/>
  <c r="K914" i="5"/>
  <c r="L914" i="5" s="1"/>
  <c r="J914" i="5"/>
  <c r="I914" i="5"/>
  <c r="H914" i="5"/>
  <c r="G914" i="5"/>
  <c r="F914" i="5"/>
  <c r="E914" i="5"/>
  <c r="D914" i="5"/>
  <c r="B914" i="5"/>
  <c r="C914" i="5" s="1"/>
  <c r="A914" i="5"/>
  <c r="K913" i="5"/>
  <c r="L913" i="5" s="1"/>
  <c r="J913" i="5"/>
  <c r="I913" i="5"/>
  <c r="H913" i="5"/>
  <c r="G913" i="5"/>
  <c r="F913" i="5"/>
  <c r="E913" i="5"/>
  <c r="D913" i="5"/>
  <c r="B913" i="5"/>
  <c r="C913" i="5" s="1"/>
  <c r="A913" i="5"/>
  <c r="K912" i="5"/>
  <c r="L912" i="5" s="1"/>
  <c r="J912" i="5"/>
  <c r="I912" i="5"/>
  <c r="H912" i="5"/>
  <c r="G912" i="5"/>
  <c r="F912" i="5"/>
  <c r="E912" i="5"/>
  <c r="D912" i="5"/>
  <c r="B912" i="5"/>
  <c r="C912" i="5" s="1"/>
  <c r="A912" i="5"/>
  <c r="K911" i="5"/>
  <c r="L911" i="5" s="1"/>
  <c r="J911" i="5"/>
  <c r="I911" i="5"/>
  <c r="H911" i="5"/>
  <c r="G911" i="5"/>
  <c r="F911" i="5"/>
  <c r="E911" i="5"/>
  <c r="D911" i="5"/>
  <c r="B911" i="5"/>
  <c r="C911" i="5" s="1"/>
  <c r="A911" i="5"/>
  <c r="K910" i="5"/>
  <c r="L910" i="5" s="1"/>
  <c r="J910" i="5"/>
  <c r="I910" i="5"/>
  <c r="H910" i="5"/>
  <c r="G910" i="5"/>
  <c r="F910" i="5"/>
  <c r="E910" i="5"/>
  <c r="D910" i="5"/>
  <c r="B910" i="5"/>
  <c r="C910" i="5" s="1"/>
  <c r="A910" i="5"/>
  <c r="K909" i="5"/>
  <c r="L909" i="5" s="1"/>
  <c r="J909" i="5"/>
  <c r="I909" i="5"/>
  <c r="H909" i="5"/>
  <c r="G909" i="5"/>
  <c r="F909" i="5"/>
  <c r="E909" i="5"/>
  <c r="D909" i="5"/>
  <c r="B909" i="5"/>
  <c r="C909" i="5" s="1"/>
  <c r="A909" i="5"/>
  <c r="K908" i="5"/>
  <c r="L908" i="5" s="1"/>
  <c r="J908" i="5"/>
  <c r="I908" i="5"/>
  <c r="H908" i="5"/>
  <c r="G908" i="5"/>
  <c r="F908" i="5"/>
  <c r="E908" i="5"/>
  <c r="D908" i="5"/>
  <c r="B908" i="5"/>
  <c r="C908" i="5" s="1"/>
  <c r="A908" i="5"/>
  <c r="K907" i="5"/>
  <c r="L907" i="5" s="1"/>
  <c r="J907" i="5"/>
  <c r="I907" i="5"/>
  <c r="H907" i="5"/>
  <c r="G907" i="5"/>
  <c r="F907" i="5"/>
  <c r="E907" i="5"/>
  <c r="D907" i="5"/>
  <c r="B907" i="5"/>
  <c r="C907" i="5" s="1"/>
  <c r="A907" i="5"/>
  <c r="K906" i="5"/>
  <c r="L906" i="5" s="1"/>
  <c r="J906" i="5"/>
  <c r="I906" i="5"/>
  <c r="H906" i="5"/>
  <c r="G906" i="5"/>
  <c r="F906" i="5"/>
  <c r="E906" i="5"/>
  <c r="D906" i="5"/>
  <c r="B906" i="5"/>
  <c r="C906" i="5" s="1"/>
  <c r="A906" i="5"/>
  <c r="K905" i="5"/>
  <c r="L905" i="5" s="1"/>
  <c r="J905" i="5"/>
  <c r="I905" i="5"/>
  <c r="H905" i="5"/>
  <c r="G905" i="5"/>
  <c r="F905" i="5"/>
  <c r="E905" i="5"/>
  <c r="D905" i="5"/>
  <c r="B905" i="5"/>
  <c r="C905" i="5" s="1"/>
  <c r="A905" i="5"/>
  <c r="K904" i="5"/>
  <c r="L904" i="5" s="1"/>
  <c r="J904" i="5"/>
  <c r="I904" i="5"/>
  <c r="H904" i="5"/>
  <c r="G904" i="5"/>
  <c r="F904" i="5"/>
  <c r="E904" i="5"/>
  <c r="D904" i="5"/>
  <c r="B904" i="5"/>
  <c r="C904" i="5" s="1"/>
  <c r="A904" i="5"/>
  <c r="K903" i="5"/>
  <c r="L903" i="5" s="1"/>
  <c r="J903" i="5"/>
  <c r="I903" i="5"/>
  <c r="H903" i="5"/>
  <c r="G903" i="5"/>
  <c r="F903" i="5"/>
  <c r="E903" i="5"/>
  <c r="D903" i="5"/>
  <c r="B903" i="5"/>
  <c r="C903" i="5" s="1"/>
  <c r="A903" i="5"/>
  <c r="K902" i="5"/>
  <c r="L902" i="5" s="1"/>
  <c r="J902" i="5"/>
  <c r="I902" i="5"/>
  <c r="H902" i="5"/>
  <c r="G902" i="5"/>
  <c r="F902" i="5"/>
  <c r="E902" i="5"/>
  <c r="D902" i="5"/>
  <c r="B902" i="5"/>
  <c r="C902" i="5" s="1"/>
  <c r="A902" i="5"/>
  <c r="K901" i="5"/>
  <c r="L901" i="5" s="1"/>
  <c r="J901" i="5"/>
  <c r="I901" i="5"/>
  <c r="H901" i="5"/>
  <c r="G901" i="5"/>
  <c r="F901" i="5"/>
  <c r="E901" i="5"/>
  <c r="D901" i="5"/>
  <c r="B901" i="5"/>
  <c r="C901" i="5" s="1"/>
  <c r="A901" i="5"/>
  <c r="K900" i="5"/>
  <c r="L900" i="5" s="1"/>
  <c r="J900" i="5"/>
  <c r="I900" i="5"/>
  <c r="H900" i="5"/>
  <c r="G900" i="5"/>
  <c r="F900" i="5"/>
  <c r="E900" i="5"/>
  <c r="D900" i="5"/>
  <c r="B900" i="5"/>
  <c r="C900" i="5" s="1"/>
  <c r="A900" i="5"/>
  <c r="K899" i="5"/>
  <c r="L899" i="5" s="1"/>
  <c r="J899" i="5"/>
  <c r="I899" i="5"/>
  <c r="H899" i="5"/>
  <c r="G899" i="5"/>
  <c r="F899" i="5"/>
  <c r="E899" i="5"/>
  <c r="D899" i="5"/>
  <c r="B899" i="5"/>
  <c r="C899" i="5" s="1"/>
  <c r="A899" i="5"/>
  <c r="K898" i="5"/>
  <c r="L898" i="5" s="1"/>
  <c r="J898" i="5"/>
  <c r="I898" i="5"/>
  <c r="H898" i="5"/>
  <c r="G898" i="5"/>
  <c r="F898" i="5"/>
  <c r="E898" i="5"/>
  <c r="D898" i="5"/>
  <c r="B898" i="5"/>
  <c r="C898" i="5" s="1"/>
  <c r="A898" i="5"/>
  <c r="K897" i="5"/>
  <c r="L897" i="5" s="1"/>
  <c r="J897" i="5"/>
  <c r="I897" i="5"/>
  <c r="H897" i="5"/>
  <c r="G897" i="5"/>
  <c r="F897" i="5"/>
  <c r="E897" i="5"/>
  <c r="D897" i="5"/>
  <c r="B897" i="5"/>
  <c r="C897" i="5" s="1"/>
  <c r="A897" i="5"/>
  <c r="K896" i="5"/>
  <c r="L896" i="5" s="1"/>
  <c r="J896" i="5"/>
  <c r="I896" i="5"/>
  <c r="H896" i="5"/>
  <c r="G896" i="5"/>
  <c r="F896" i="5"/>
  <c r="E896" i="5"/>
  <c r="D896" i="5"/>
  <c r="B896" i="5"/>
  <c r="C896" i="5" s="1"/>
  <c r="A896" i="5"/>
  <c r="K895" i="5"/>
  <c r="L895" i="5" s="1"/>
  <c r="J895" i="5"/>
  <c r="I895" i="5"/>
  <c r="H895" i="5"/>
  <c r="G895" i="5"/>
  <c r="F895" i="5"/>
  <c r="E895" i="5"/>
  <c r="D895" i="5"/>
  <c r="B895" i="5"/>
  <c r="C895" i="5" s="1"/>
  <c r="A895" i="5"/>
  <c r="K894" i="5"/>
  <c r="L894" i="5" s="1"/>
  <c r="J894" i="5"/>
  <c r="I894" i="5"/>
  <c r="H894" i="5"/>
  <c r="G894" i="5"/>
  <c r="F894" i="5"/>
  <c r="E894" i="5"/>
  <c r="D894" i="5"/>
  <c r="B894" i="5"/>
  <c r="C894" i="5" s="1"/>
  <c r="A894" i="5"/>
  <c r="K893" i="5"/>
  <c r="L893" i="5" s="1"/>
  <c r="J893" i="5"/>
  <c r="I893" i="5"/>
  <c r="H893" i="5"/>
  <c r="G893" i="5"/>
  <c r="F893" i="5"/>
  <c r="E893" i="5"/>
  <c r="D893" i="5"/>
  <c r="B893" i="5"/>
  <c r="C893" i="5" s="1"/>
  <c r="A893" i="5"/>
  <c r="K892" i="5"/>
  <c r="L892" i="5" s="1"/>
  <c r="J892" i="5"/>
  <c r="I892" i="5"/>
  <c r="H892" i="5"/>
  <c r="G892" i="5"/>
  <c r="F892" i="5"/>
  <c r="E892" i="5"/>
  <c r="D892" i="5"/>
  <c r="B892" i="5"/>
  <c r="C892" i="5" s="1"/>
  <c r="A892" i="5"/>
  <c r="K891" i="5"/>
  <c r="L891" i="5" s="1"/>
  <c r="J891" i="5"/>
  <c r="I891" i="5"/>
  <c r="H891" i="5"/>
  <c r="G891" i="5"/>
  <c r="F891" i="5"/>
  <c r="E891" i="5"/>
  <c r="D891" i="5"/>
  <c r="B891" i="5"/>
  <c r="C891" i="5" s="1"/>
  <c r="A891" i="5"/>
  <c r="K890" i="5"/>
  <c r="L890" i="5" s="1"/>
  <c r="J890" i="5"/>
  <c r="I890" i="5"/>
  <c r="H890" i="5"/>
  <c r="G890" i="5"/>
  <c r="F890" i="5"/>
  <c r="E890" i="5"/>
  <c r="D890" i="5"/>
  <c r="B890" i="5"/>
  <c r="C890" i="5" s="1"/>
  <c r="A890" i="5"/>
  <c r="K889" i="5"/>
  <c r="L889" i="5" s="1"/>
  <c r="J889" i="5"/>
  <c r="I889" i="5"/>
  <c r="H889" i="5"/>
  <c r="G889" i="5"/>
  <c r="F889" i="5"/>
  <c r="E889" i="5"/>
  <c r="D889" i="5"/>
  <c r="B889" i="5"/>
  <c r="C889" i="5" s="1"/>
  <c r="A889" i="5"/>
  <c r="K888" i="5"/>
  <c r="L888" i="5" s="1"/>
  <c r="J888" i="5"/>
  <c r="I888" i="5"/>
  <c r="H888" i="5"/>
  <c r="G888" i="5"/>
  <c r="F888" i="5"/>
  <c r="E888" i="5"/>
  <c r="D888" i="5"/>
  <c r="B888" i="5"/>
  <c r="C888" i="5" s="1"/>
  <c r="A888" i="5"/>
  <c r="K887" i="5"/>
  <c r="L887" i="5" s="1"/>
  <c r="J887" i="5"/>
  <c r="I887" i="5"/>
  <c r="H887" i="5"/>
  <c r="G887" i="5"/>
  <c r="F887" i="5"/>
  <c r="E887" i="5"/>
  <c r="D887" i="5"/>
  <c r="B887" i="5"/>
  <c r="C887" i="5" s="1"/>
  <c r="A887" i="5"/>
  <c r="K886" i="5"/>
  <c r="L886" i="5" s="1"/>
  <c r="J886" i="5"/>
  <c r="I886" i="5"/>
  <c r="H886" i="5"/>
  <c r="G886" i="5"/>
  <c r="F886" i="5"/>
  <c r="E886" i="5"/>
  <c r="D886" i="5"/>
  <c r="B886" i="5"/>
  <c r="C886" i="5" s="1"/>
  <c r="A886" i="5"/>
  <c r="K885" i="5"/>
  <c r="L885" i="5" s="1"/>
  <c r="J885" i="5"/>
  <c r="I885" i="5"/>
  <c r="H885" i="5"/>
  <c r="G885" i="5"/>
  <c r="F885" i="5"/>
  <c r="E885" i="5"/>
  <c r="D885" i="5"/>
  <c r="B885" i="5"/>
  <c r="C885" i="5" s="1"/>
  <c r="A885" i="5"/>
  <c r="K884" i="5"/>
  <c r="L884" i="5" s="1"/>
  <c r="J884" i="5"/>
  <c r="I884" i="5"/>
  <c r="H884" i="5"/>
  <c r="G884" i="5"/>
  <c r="F884" i="5"/>
  <c r="E884" i="5"/>
  <c r="D884" i="5"/>
  <c r="B884" i="5"/>
  <c r="C884" i="5" s="1"/>
  <c r="A884" i="5"/>
  <c r="K883" i="5"/>
  <c r="L883" i="5" s="1"/>
  <c r="J883" i="5"/>
  <c r="I883" i="5"/>
  <c r="H883" i="5"/>
  <c r="G883" i="5"/>
  <c r="F883" i="5"/>
  <c r="E883" i="5"/>
  <c r="D883" i="5"/>
  <c r="B883" i="5"/>
  <c r="C883" i="5" s="1"/>
  <c r="A883" i="5"/>
  <c r="K882" i="5"/>
  <c r="L882" i="5" s="1"/>
  <c r="J882" i="5"/>
  <c r="I882" i="5"/>
  <c r="H882" i="5"/>
  <c r="G882" i="5"/>
  <c r="F882" i="5"/>
  <c r="E882" i="5"/>
  <c r="D882" i="5"/>
  <c r="B882" i="5"/>
  <c r="C882" i="5" s="1"/>
  <c r="A882" i="5"/>
  <c r="K881" i="5"/>
  <c r="L881" i="5" s="1"/>
  <c r="J881" i="5"/>
  <c r="I881" i="5"/>
  <c r="H881" i="5"/>
  <c r="G881" i="5"/>
  <c r="F881" i="5"/>
  <c r="E881" i="5"/>
  <c r="D881" i="5"/>
  <c r="B881" i="5"/>
  <c r="C881" i="5" s="1"/>
  <c r="A881" i="5"/>
  <c r="K880" i="5"/>
  <c r="L880" i="5" s="1"/>
  <c r="J880" i="5"/>
  <c r="I880" i="5"/>
  <c r="H880" i="5"/>
  <c r="G880" i="5"/>
  <c r="F880" i="5"/>
  <c r="E880" i="5"/>
  <c r="D880" i="5"/>
  <c r="B880" i="5"/>
  <c r="C880" i="5" s="1"/>
  <c r="A880" i="5"/>
  <c r="K879" i="5"/>
  <c r="L879" i="5" s="1"/>
  <c r="J879" i="5"/>
  <c r="I879" i="5"/>
  <c r="H879" i="5"/>
  <c r="G879" i="5"/>
  <c r="F879" i="5"/>
  <c r="E879" i="5"/>
  <c r="D879" i="5"/>
  <c r="B879" i="5"/>
  <c r="C879" i="5" s="1"/>
  <c r="A879" i="5"/>
  <c r="K878" i="5"/>
  <c r="L878" i="5" s="1"/>
  <c r="J878" i="5"/>
  <c r="I878" i="5"/>
  <c r="H878" i="5"/>
  <c r="G878" i="5"/>
  <c r="F878" i="5"/>
  <c r="E878" i="5"/>
  <c r="D878" i="5"/>
  <c r="B878" i="5"/>
  <c r="C878" i="5" s="1"/>
  <c r="A878" i="5"/>
  <c r="K877" i="5"/>
  <c r="L877" i="5" s="1"/>
  <c r="J877" i="5"/>
  <c r="I877" i="5"/>
  <c r="H877" i="5"/>
  <c r="G877" i="5"/>
  <c r="F877" i="5"/>
  <c r="E877" i="5"/>
  <c r="D877" i="5"/>
  <c r="B877" i="5"/>
  <c r="C877" i="5" s="1"/>
  <c r="A877" i="5"/>
  <c r="K876" i="5"/>
  <c r="L876" i="5" s="1"/>
  <c r="J876" i="5"/>
  <c r="I876" i="5"/>
  <c r="H876" i="5"/>
  <c r="G876" i="5"/>
  <c r="F876" i="5"/>
  <c r="E876" i="5"/>
  <c r="D876" i="5"/>
  <c r="B876" i="5"/>
  <c r="C876" i="5" s="1"/>
  <c r="A876" i="5"/>
  <c r="K875" i="5"/>
  <c r="L875" i="5" s="1"/>
  <c r="J875" i="5"/>
  <c r="I875" i="5"/>
  <c r="H875" i="5"/>
  <c r="G875" i="5"/>
  <c r="F875" i="5"/>
  <c r="E875" i="5"/>
  <c r="D875" i="5"/>
  <c r="B875" i="5"/>
  <c r="C875" i="5" s="1"/>
  <c r="A875" i="5"/>
  <c r="K874" i="5"/>
  <c r="L874" i="5" s="1"/>
  <c r="J874" i="5"/>
  <c r="I874" i="5"/>
  <c r="H874" i="5"/>
  <c r="G874" i="5"/>
  <c r="F874" i="5"/>
  <c r="E874" i="5"/>
  <c r="D874" i="5"/>
  <c r="B874" i="5"/>
  <c r="C874" i="5" s="1"/>
  <c r="A874" i="5"/>
  <c r="K873" i="5"/>
  <c r="L873" i="5" s="1"/>
  <c r="J873" i="5"/>
  <c r="I873" i="5"/>
  <c r="H873" i="5"/>
  <c r="G873" i="5"/>
  <c r="F873" i="5"/>
  <c r="E873" i="5"/>
  <c r="D873" i="5"/>
  <c r="C873" i="5"/>
  <c r="B873" i="5"/>
  <c r="A873" i="5"/>
  <c r="K872" i="5"/>
  <c r="L872" i="5" s="1"/>
  <c r="J872" i="5"/>
  <c r="I872" i="5"/>
  <c r="H872" i="5"/>
  <c r="G872" i="5"/>
  <c r="F872" i="5"/>
  <c r="E872" i="5"/>
  <c r="D872" i="5"/>
  <c r="B872" i="5"/>
  <c r="C872" i="5" s="1"/>
  <c r="A872" i="5"/>
  <c r="K871" i="5"/>
  <c r="L871" i="5" s="1"/>
  <c r="J871" i="5"/>
  <c r="I871" i="5"/>
  <c r="H871" i="5"/>
  <c r="G871" i="5"/>
  <c r="F871" i="5"/>
  <c r="E871" i="5"/>
  <c r="D871" i="5"/>
  <c r="C871" i="5"/>
  <c r="B871" i="5"/>
  <c r="A871" i="5"/>
  <c r="K870" i="5"/>
  <c r="L870" i="5" s="1"/>
  <c r="J870" i="5"/>
  <c r="I870" i="5"/>
  <c r="H870" i="5"/>
  <c r="G870" i="5"/>
  <c r="F870" i="5"/>
  <c r="E870" i="5"/>
  <c r="D870" i="5"/>
  <c r="B870" i="5"/>
  <c r="C870" i="5" s="1"/>
  <c r="A870" i="5"/>
  <c r="K869" i="5"/>
  <c r="L869" i="5" s="1"/>
  <c r="J869" i="5"/>
  <c r="I869" i="5"/>
  <c r="H869" i="5"/>
  <c r="G869" i="5"/>
  <c r="F869" i="5"/>
  <c r="E869" i="5"/>
  <c r="D869" i="5"/>
  <c r="B869" i="5"/>
  <c r="C869" i="5" s="1"/>
  <c r="A869" i="5"/>
  <c r="K868" i="5"/>
  <c r="L868" i="5" s="1"/>
  <c r="J868" i="5"/>
  <c r="I868" i="5"/>
  <c r="H868" i="5"/>
  <c r="G868" i="5"/>
  <c r="F868" i="5"/>
  <c r="E868" i="5"/>
  <c r="D868" i="5"/>
  <c r="B868" i="5"/>
  <c r="C868" i="5" s="1"/>
  <c r="A868" i="5"/>
  <c r="K867" i="5"/>
  <c r="L867" i="5" s="1"/>
  <c r="J867" i="5"/>
  <c r="I867" i="5"/>
  <c r="H867" i="5"/>
  <c r="G867" i="5"/>
  <c r="F867" i="5"/>
  <c r="E867" i="5"/>
  <c r="D867" i="5"/>
  <c r="B867" i="5"/>
  <c r="C867" i="5" s="1"/>
  <c r="A867" i="5"/>
  <c r="K866" i="5"/>
  <c r="L866" i="5" s="1"/>
  <c r="J866" i="5"/>
  <c r="I866" i="5"/>
  <c r="H866" i="5"/>
  <c r="G866" i="5"/>
  <c r="F866" i="5"/>
  <c r="E866" i="5"/>
  <c r="D866" i="5"/>
  <c r="B866" i="5"/>
  <c r="C866" i="5" s="1"/>
  <c r="A866" i="5"/>
  <c r="K865" i="5"/>
  <c r="L865" i="5" s="1"/>
  <c r="J865" i="5"/>
  <c r="I865" i="5"/>
  <c r="H865" i="5"/>
  <c r="G865" i="5"/>
  <c r="F865" i="5"/>
  <c r="E865" i="5"/>
  <c r="D865" i="5"/>
  <c r="B865" i="5"/>
  <c r="C865" i="5" s="1"/>
  <c r="A865" i="5"/>
  <c r="K864" i="5"/>
  <c r="L864" i="5" s="1"/>
  <c r="J864" i="5"/>
  <c r="I864" i="5"/>
  <c r="H864" i="5"/>
  <c r="G864" i="5"/>
  <c r="F864" i="5"/>
  <c r="E864" i="5"/>
  <c r="D864" i="5"/>
  <c r="C864" i="5"/>
  <c r="B864" i="5"/>
  <c r="A864" i="5"/>
  <c r="K863" i="5"/>
  <c r="L863" i="5" s="1"/>
  <c r="J863" i="5"/>
  <c r="I863" i="5"/>
  <c r="H863" i="5"/>
  <c r="G863" i="5"/>
  <c r="F863" i="5"/>
  <c r="E863" i="5"/>
  <c r="D863" i="5"/>
  <c r="B863" i="5"/>
  <c r="C863" i="5" s="1"/>
  <c r="A863" i="5"/>
  <c r="K862" i="5"/>
  <c r="L862" i="5" s="1"/>
  <c r="J862" i="5"/>
  <c r="I862" i="5"/>
  <c r="H862" i="5"/>
  <c r="G862" i="5"/>
  <c r="F862" i="5"/>
  <c r="E862" i="5"/>
  <c r="D862" i="5"/>
  <c r="B862" i="5"/>
  <c r="C862" i="5" s="1"/>
  <c r="A862" i="5"/>
  <c r="K861" i="5"/>
  <c r="L861" i="5" s="1"/>
  <c r="J861" i="5"/>
  <c r="I861" i="5"/>
  <c r="H861" i="5"/>
  <c r="G861" i="5"/>
  <c r="F861" i="5"/>
  <c r="E861" i="5"/>
  <c r="D861" i="5"/>
  <c r="B861" i="5"/>
  <c r="C861" i="5" s="1"/>
  <c r="A861" i="5"/>
  <c r="K860" i="5"/>
  <c r="L860" i="5" s="1"/>
  <c r="J860" i="5"/>
  <c r="I860" i="5"/>
  <c r="H860" i="5"/>
  <c r="G860" i="5"/>
  <c r="F860" i="5"/>
  <c r="E860" i="5"/>
  <c r="D860" i="5"/>
  <c r="B860" i="5"/>
  <c r="C860" i="5" s="1"/>
  <c r="A860" i="5"/>
  <c r="K859" i="5"/>
  <c r="L859" i="5" s="1"/>
  <c r="J859" i="5"/>
  <c r="I859" i="5"/>
  <c r="H859" i="5"/>
  <c r="G859" i="5"/>
  <c r="F859" i="5"/>
  <c r="E859" i="5"/>
  <c r="D859" i="5"/>
  <c r="B859" i="5"/>
  <c r="C859" i="5" s="1"/>
  <c r="A859" i="5"/>
  <c r="K858" i="5"/>
  <c r="L858" i="5" s="1"/>
  <c r="J858" i="5"/>
  <c r="I858" i="5"/>
  <c r="H858" i="5"/>
  <c r="G858" i="5"/>
  <c r="F858" i="5"/>
  <c r="E858" i="5"/>
  <c r="D858" i="5"/>
  <c r="B858" i="5"/>
  <c r="C858" i="5" s="1"/>
  <c r="A858" i="5"/>
  <c r="K857" i="5"/>
  <c r="L857" i="5" s="1"/>
  <c r="J857" i="5"/>
  <c r="I857" i="5"/>
  <c r="H857" i="5"/>
  <c r="G857" i="5"/>
  <c r="F857" i="5"/>
  <c r="E857" i="5"/>
  <c r="D857" i="5"/>
  <c r="C857" i="5"/>
  <c r="B857" i="5"/>
  <c r="A857" i="5"/>
  <c r="K856" i="5"/>
  <c r="L856" i="5" s="1"/>
  <c r="J856" i="5"/>
  <c r="I856" i="5"/>
  <c r="H856" i="5"/>
  <c r="G856" i="5"/>
  <c r="F856" i="5"/>
  <c r="E856" i="5"/>
  <c r="D856" i="5"/>
  <c r="C856" i="5"/>
  <c r="B856" i="5"/>
  <c r="A856" i="5"/>
  <c r="K855" i="5"/>
  <c r="L855" i="5" s="1"/>
  <c r="J855" i="5"/>
  <c r="I855" i="5"/>
  <c r="H855" i="5"/>
  <c r="G855" i="5"/>
  <c r="F855" i="5"/>
  <c r="E855" i="5"/>
  <c r="D855" i="5"/>
  <c r="C855" i="5"/>
  <c r="B855" i="5"/>
  <c r="A855" i="5"/>
  <c r="K854" i="5"/>
  <c r="L854" i="5" s="1"/>
  <c r="J854" i="5"/>
  <c r="I854" i="5"/>
  <c r="H854" i="5"/>
  <c r="G854" i="5"/>
  <c r="F854" i="5"/>
  <c r="E854" i="5"/>
  <c r="D854" i="5"/>
  <c r="B854" i="5"/>
  <c r="C854" i="5" s="1"/>
  <c r="A854" i="5"/>
  <c r="K853" i="5"/>
  <c r="L853" i="5" s="1"/>
  <c r="J853" i="5"/>
  <c r="I853" i="5"/>
  <c r="H853" i="5"/>
  <c r="G853" i="5"/>
  <c r="F853" i="5"/>
  <c r="E853" i="5"/>
  <c r="D853" i="5"/>
  <c r="B853" i="5"/>
  <c r="C853" i="5" s="1"/>
  <c r="A853" i="5"/>
  <c r="K852" i="5"/>
  <c r="L852" i="5" s="1"/>
  <c r="J852" i="5"/>
  <c r="I852" i="5"/>
  <c r="H852" i="5"/>
  <c r="G852" i="5"/>
  <c r="F852" i="5"/>
  <c r="E852" i="5"/>
  <c r="D852" i="5"/>
  <c r="B852" i="5"/>
  <c r="C852" i="5" s="1"/>
  <c r="A852" i="5"/>
  <c r="K851" i="5"/>
  <c r="L851" i="5" s="1"/>
  <c r="J851" i="5"/>
  <c r="I851" i="5"/>
  <c r="H851" i="5"/>
  <c r="G851" i="5"/>
  <c r="F851" i="5"/>
  <c r="E851" i="5"/>
  <c r="D851" i="5"/>
  <c r="B851" i="5"/>
  <c r="C851" i="5" s="1"/>
  <c r="A851" i="5"/>
  <c r="K850" i="5"/>
  <c r="L850" i="5" s="1"/>
  <c r="J850" i="5"/>
  <c r="I850" i="5"/>
  <c r="H850" i="5"/>
  <c r="G850" i="5"/>
  <c r="F850" i="5"/>
  <c r="E850" i="5"/>
  <c r="D850" i="5"/>
  <c r="B850" i="5"/>
  <c r="C850" i="5" s="1"/>
  <c r="A850" i="5"/>
  <c r="K849" i="5"/>
  <c r="L849" i="5" s="1"/>
  <c r="J849" i="5"/>
  <c r="I849" i="5"/>
  <c r="H849" i="5"/>
  <c r="G849" i="5"/>
  <c r="F849" i="5"/>
  <c r="E849" i="5"/>
  <c r="D849" i="5"/>
  <c r="C849" i="5"/>
  <c r="B849" i="5"/>
  <c r="A849" i="5"/>
  <c r="K848" i="5"/>
  <c r="L848" i="5" s="1"/>
  <c r="J848" i="5"/>
  <c r="I848" i="5"/>
  <c r="H848" i="5"/>
  <c r="G848" i="5"/>
  <c r="F848" i="5"/>
  <c r="E848" i="5"/>
  <c r="D848" i="5"/>
  <c r="B848" i="5"/>
  <c r="C848" i="5" s="1"/>
  <c r="A848" i="5"/>
  <c r="K847" i="5"/>
  <c r="L847" i="5" s="1"/>
  <c r="J847" i="5"/>
  <c r="I847" i="5"/>
  <c r="H847" i="5"/>
  <c r="G847" i="5"/>
  <c r="F847" i="5"/>
  <c r="E847" i="5"/>
  <c r="D847" i="5"/>
  <c r="C847" i="5"/>
  <c r="B847" i="5"/>
  <c r="A847" i="5"/>
  <c r="K846" i="5"/>
  <c r="L846" i="5" s="1"/>
  <c r="J846" i="5"/>
  <c r="I846" i="5"/>
  <c r="H846" i="5"/>
  <c r="G846" i="5"/>
  <c r="F846" i="5"/>
  <c r="E846" i="5"/>
  <c r="D846" i="5"/>
  <c r="B846" i="5"/>
  <c r="C846" i="5" s="1"/>
  <c r="A846" i="5"/>
  <c r="K845" i="5"/>
  <c r="L845" i="5" s="1"/>
  <c r="J845" i="5"/>
  <c r="I845" i="5"/>
  <c r="H845" i="5"/>
  <c r="G845" i="5"/>
  <c r="F845" i="5"/>
  <c r="E845" i="5"/>
  <c r="D845" i="5"/>
  <c r="B845" i="5"/>
  <c r="C845" i="5" s="1"/>
  <c r="A845" i="5"/>
  <c r="K844" i="5"/>
  <c r="L844" i="5" s="1"/>
  <c r="J844" i="5"/>
  <c r="I844" i="5"/>
  <c r="H844" i="5"/>
  <c r="G844" i="5"/>
  <c r="F844" i="5"/>
  <c r="E844" i="5"/>
  <c r="D844" i="5"/>
  <c r="B844" i="5"/>
  <c r="C844" i="5" s="1"/>
  <c r="A844" i="5"/>
  <c r="K843" i="5"/>
  <c r="L843" i="5" s="1"/>
  <c r="J843" i="5"/>
  <c r="I843" i="5"/>
  <c r="H843" i="5"/>
  <c r="G843" i="5"/>
  <c r="F843" i="5"/>
  <c r="E843" i="5"/>
  <c r="D843" i="5"/>
  <c r="B843" i="5"/>
  <c r="C843" i="5" s="1"/>
  <c r="A843" i="5"/>
  <c r="K842" i="5"/>
  <c r="L842" i="5" s="1"/>
  <c r="J842" i="5"/>
  <c r="I842" i="5"/>
  <c r="H842" i="5"/>
  <c r="G842" i="5"/>
  <c r="F842" i="5"/>
  <c r="E842" i="5"/>
  <c r="D842" i="5"/>
  <c r="B842" i="5"/>
  <c r="C842" i="5" s="1"/>
  <c r="A842" i="5"/>
  <c r="K841" i="5"/>
  <c r="L841" i="5" s="1"/>
  <c r="J841" i="5"/>
  <c r="I841" i="5"/>
  <c r="H841" i="5"/>
  <c r="G841" i="5"/>
  <c r="F841" i="5"/>
  <c r="E841" i="5"/>
  <c r="D841" i="5"/>
  <c r="B841" i="5"/>
  <c r="C841" i="5" s="1"/>
  <c r="A841" i="5"/>
  <c r="K840" i="5"/>
  <c r="L840" i="5" s="1"/>
  <c r="J840" i="5"/>
  <c r="I840" i="5"/>
  <c r="H840" i="5"/>
  <c r="G840" i="5"/>
  <c r="F840" i="5"/>
  <c r="E840" i="5"/>
  <c r="D840" i="5"/>
  <c r="B840" i="5"/>
  <c r="C840" i="5" s="1"/>
  <c r="A840" i="5"/>
  <c r="K839" i="5"/>
  <c r="L839" i="5" s="1"/>
  <c r="J839" i="5"/>
  <c r="I839" i="5"/>
  <c r="H839" i="5"/>
  <c r="G839" i="5"/>
  <c r="F839" i="5"/>
  <c r="E839" i="5"/>
  <c r="D839" i="5"/>
  <c r="B839" i="5"/>
  <c r="C839" i="5" s="1"/>
  <c r="A839" i="5"/>
  <c r="K838" i="5"/>
  <c r="L838" i="5" s="1"/>
  <c r="J838" i="5"/>
  <c r="I838" i="5"/>
  <c r="H838" i="5"/>
  <c r="G838" i="5"/>
  <c r="F838" i="5"/>
  <c r="E838" i="5"/>
  <c r="D838" i="5"/>
  <c r="B838" i="5"/>
  <c r="C838" i="5" s="1"/>
  <c r="A838" i="5"/>
  <c r="K837" i="5"/>
  <c r="L837" i="5" s="1"/>
  <c r="J837" i="5"/>
  <c r="I837" i="5"/>
  <c r="H837" i="5"/>
  <c r="G837" i="5"/>
  <c r="F837" i="5"/>
  <c r="E837" i="5"/>
  <c r="D837" i="5"/>
  <c r="B837" i="5"/>
  <c r="C837" i="5" s="1"/>
  <c r="A837" i="5"/>
  <c r="K836" i="5"/>
  <c r="L836" i="5" s="1"/>
  <c r="J836" i="5"/>
  <c r="I836" i="5"/>
  <c r="H836" i="5"/>
  <c r="G836" i="5"/>
  <c r="F836" i="5"/>
  <c r="E836" i="5"/>
  <c r="D836" i="5"/>
  <c r="B836" i="5"/>
  <c r="C836" i="5" s="1"/>
  <c r="A836" i="5"/>
  <c r="K835" i="5"/>
  <c r="L835" i="5" s="1"/>
  <c r="J835" i="5"/>
  <c r="I835" i="5"/>
  <c r="H835" i="5"/>
  <c r="G835" i="5"/>
  <c r="F835" i="5"/>
  <c r="E835" i="5"/>
  <c r="D835" i="5"/>
  <c r="B835" i="5"/>
  <c r="C835" i="5" s="1"/>
  <c r="A835" i="5"/>
  <c r="K834" i="5"/>
  <c r="L834" i="5" s="1"/>
  <c r="J834" i="5"/>
  <c r="I834" i="5"/>
  <c r="H834" i="5"/>
  <c r="G834" i="5"/>
  <c r="F834" i="5"/>
  <c r="E834" i="5"/>
  <c r="D834" i="5"/>
  <c r="B834" i="5"/>
  <c r="C834" i="5" s="1"/>
  <c r="A834" i="5"/>
  <c r="K833" i="5"/>
  <c r="L833" i="5" s="1"/>
  <c r="J833" i="5"/>
  <c r="I833" i="5"/>
  <c r="H833" i="5"/>
  <c r="G833" i="5"/>
  <c r="F833" i="5"/>
  <c r="E833" i="5"/>
  <c r="D833" i="5"/>
  <c r="B833" i="5"/>
  <c r="C833" i="5" s="1"/>
  <c r="A833" i="5"/>
  <c r="K832" i="5"/>
  <c r="L832" i="5" s="1"/>
  <c r="J832" i="5"/>
  <c r="I832" i="5"/>
  <c r="H832" i="5"/>
  <c r="G832" i="5"/>
  <c r="F832" i="5"/>
  <c r="E832" i="5"/>
  <c r="D832" i="5"/>
  <c r="B832" i="5"/>
  <c r="C832" i="5" s="1"/>
  <c r="A832" i="5"/>
  <c r="K831" i="5"/>
  <c r="L831" i="5" s="1"/>
  <c r="J831" i="5"/>
  <c r="I831" i="5"/>
  <c r="H831" i="5"/>
  <c r="G831" i="5"/>
  <c r="F831" i="5"/>
  <c r="E831" i="5"/>
  <c r="D831" i="5"/>
  <c r="B831" i="5"/>
  <c r="C831" i="5" s="1"/>
  <c r="A831" i="5"/>
  <c r="K830" i="5"/>
  <c r="L830" i="5" s="1"/>
  <c r="J830" i="5"/>
  <c r="I830" i="5"/>
  <c r="H830" i="5"/>
  <c r="G830" i="5"/>
  <c r="F830" i="5"/>
  <c r="E830" i="5"/>
  <c r="D830" i="5"/>
  <c r="B830" i="5"/>
  <c r="C830" i="5" s="1"/>
  <c r="A830" i="5"/>
  <c r="K829" i="5"/>
  <c r="L829" i="5" s="1"/>
  <c r="J829" i="5"/>
  <c r="I829" i="5"/>
  <c r="H829" i="5"/>
  <c r="G829" i="5"/>
  <c r="F829" i="5"/>
  <c r="E829" i="5"/>
  <c r="D829" i="5"/>
  <c r="B829" i="5"/>
  <c r="C829" i="5" s="1"/>
  <c r="A829" i="5"/>
  <c r="K828" i="5"/>
  <c r="L828" i="5" s="1"/>
  <c r="J828" i="5"/>
  <c r="I828" i="5"/>
  <c r="H828" i="5"/>
  <c r="G828" i="5"/>
  <c r="F828" i="5"/>
  <c r="E828" i="5"/>
  <c r="D828" i="5"/>
  <c r="B828" i="5"/>
  <c r="C828" i="5" s="1"/>
  <c r="A828" i="5"/>
  <c r="K827" i="5"/>
  <c r="L827" i="5" s="1"/>
  <c r="J827" i="5"/>
  <c r="I827" i="5"/>
  <c r="H827" i="5"/>
  <c r="G827" i="5"/>
  <c r="F827" i="5"/>
  <c r="E827" i="5"/>
  <c r="D827" i="5"/>
  <c r="B827" i="5"/>
  <c r="C827" i="5" s="1"/>
  <c r="A827" i="5"/>
  <c r="K826" i="5"/>
  <c r="L826" i="5" s="1"/>
  <c r="J826" i="5"/>
  <c r="I826" i="5"/>
  <c r="H826" i="5"/>
  <c r="G826" i="5"/>
  <c r="F826" i="5"/>
  <c r="E826" i="5"/>
  <c r="D826" i="5"/>
  <c r="B826" i="5"/>
  <c r="C826" i="5" s="1"/>
  <c r="A826" i="5"/>
  <c r="K825" i="5"/>
  <c r="L825" i="5" s="1"/>
  <c r="J825" i="5"/>
  <c r="I825" i="5"/>
  <c r="H825" i="5"/>
  <c r="G825" i="5"/>
  <c r="F825" i="5"/>
  <c r="E825" i="5"/>
  <c r="D825" i="5"/>
  <c r="B825" i="5"/>
  <c r="C825" i="5" s="1"/>
  <c r="A825" i="5"/>
  <c r="L824" i="5"/>
  <c r="K824" i="5"/>
  <c r="J824" i="5"/>
  <c r="I824" i="5"/>
  <c r="H824" i="5"/>
  <c r="G824" i="5"/>
  <c r="F824" i="5"/>
  <c r="E824" i="5"/>
  <c r="D824" i="5"/>
  <c r="B824" i="5"/>
  <c r="C824" i="5" s="1"/>
  <c r="A824" i="5"/>
  <c r="L823" i="5"/>
  <c r="K823" i="5"/>
  <c r="J823" i="5"/>
  <c r="I823" i="5"/>
  <c r="H823" i="5"/>
  <c r="G823" i="5"/>
  <c r="F823" i="5"/>
  <c r="E823" i="5"/>
  <c r="D823" i="5"/>
  <c r="B823" i="5"/>
  <c r="C823" i="5" s="1"/>
  <c r="A823" i="5"/>
  <c r="L822" i="5"/>
  <c r="K822" i="5"/>
  <c r="J822" i="5"/>
  <c r="I822" i="5"/>
  <c r="H822" i="5"/>
  <c r="G822" i="5"/>
  <c r="F822" i="5"/>
  <c r="E822" i="5"/>
  <c r="D822" i="5"/>
  <c r="B822" i="5"/>
  <c r="C822" i="5" s="1"/>
  <c r="A822" i="5"/>
  <c r="K821" i="5"/>
  <c r="L821" i="5" s="1"/>
  <c r="J821" i="5"/>
  <c r="I821" i="5"/>
  <c r="H821" i="5"/>
  <c r="G821" i="5"/>
  <c r="F821" i="5"/>
  <c r="E821" i="5"/>
  <c r="D821" i="5"/>
  <c r="B821" i="5"/>
  <c r="C821" i="5" s="1"/>
  <c r="A821" i="5"/>
  <c r="K820" i="5"/>
  <c r="L820" i="5" s="1"/>
  <c r="J820" i="5"/>
  <c r="I820" i="5"/>
  <c r="H820" i="5"/>
  <c r="G820" i="5"/>
  <c r="F820" i="5"/>
  <c r="E820" i="5"/>
  <c r="D820" i="5"/>
  <c r="B820" i="5"/>
  <c r="C820" i="5" s="1"/>
  <c r="A820" i="5"/>
  <c r="L819" i="5"/>
  <c r="K819" i="5"/>
  <c r="J819" i="5"/>
  <c r="I819" i="5"/>
  <c r="H819" i="5"/>
  <c r="G819" i="5"/>
  <c r="F819" i="5"/>
  <c r="E819" i="5"/>
  <c r="D819" i="5"/>
  <c r="B819" i="5"/>
  <c r="C819" i="5" s="1"/>
  <c r="A819" i="5"/>
  <c r="L818" i="5"/>
  <c r="K818" i="5"/>
  <c r="J818" i="5"/>
  <c r="I818" i="5"/>
  <c r="H818" i="5"/>
  <c r="G818" i="5"/>
  <c r="F818" i="5"/>
  <c r="E818" i="5"/>
  <c r="D818" i="5"/>
  <c r="B818" i="5"/>
  <c r="C818" i="5" s="1"/>
  <c r="A818" i="5"/>
  <c r="K817" i="5"/>
  <c r="L817" i="5" s="1"/>
  <c r="J817" i="5"/>
  <c r="I817" i="5"/>
  <c r="H817" i="5"/>
  <c r="G817" i="5"/>
  <c r="F817" i="5"/>
  <c r="E817" i="5"/>
  <c r="D817" i="5"/>
  <c r="B817" i="5"/>
  <c r="C817" i="5" s="1"/>
  <c r="A817" i="5"/>
  <c r="K816" i="5"/>
  <c r="L816" i="5" s="1"/>
  <c r="J816" i="5"/>
  <c r="I816" i="5"/>
  <c r="H816" i="5"/>
  <c r="G816" i="5"/>
  <c r="F816" i="5"/>
  <c r="E816" i="5"/>
  <c r="D816" i="5"/>
  <c r="B816" i="5"/>
  <c r="C816" i="5" s="1"/>
  <c r="A816" i="5"/>
  <c r="L815" i="5"/>
  <c r="K815" i="5"/>
  <c r="J815" i="5"/>
  <c r="I815" i="5"/>
  <c r="H815" i="5"/>
  <c r="G815" i="5"/>
  <c r="F815" i="5"/>
  <c r="E815" i="5"/>
  <c r="D815" i="5"/>
  <c r="B815" i="5"/>
  <c r="C815" i="5" s="1"/>
  <c r="A815" i="5"/>
  <c r="L814" i="5"/>
  <c r="K814" i="5"/>
  <c r="J814" i="5"/>
  <c r="I814" i="5"/>
  <c r="H814" i="5"/>
  <c r="G814" i="5"/>
  <c r="F814" i="5"/>
  <c r="E814" i="5"/>
  <c r="D814" i="5"/>
  <c r="B814" i="5"/>
  <c r="C814" i="5" s="1"/>
  <c r="A814" i="5"/>
  <c r="K813" i="5"/>
  <c r="L813" i="5" s="1"/>
  <c r="J813" i="5"/>
  <c r="I813" i="5"/>
  <c r="H813" i="5"/>
  <c r="G813" i="5"/>
  <c r="F813" i="5"/>
  <c r="E813" i="5"/>
  <c r="D813" i="5"/>
  <c r="B813" i="5"/>
  <c r="C813" i="5" s="1"/>
  <c r="A813" i="5"/>
  <c r="K812" i="5"/>
  <c r="L812" i="5" s="1"/>
  <c r="J812" i="5"/>
  <c r="I812" i="5"/>
  <c r="H812" i="5"/>
  <c r="G812" i="5"/>
  <c r="F812" i="5"/>
  <c r="E812" i="5"/>
  <c r="D812" i="5"/>
  <c r="B812" i="5"/>
  <c r="C812" i="5" s="1"/>
  <c r="A812" i="5"/>
  <c r="L811" i="5"/>
  <c r="K811" i="5"/>
  <c r="J811" i="5"/>
  <c r="I811" i="5"/>
  <c r="H811" i="5"/>
  <c r="G811" i="5"/>
  <c r="F811" i="5"/>
  <c r="E811" i="5"/>
  <c r="D811" i="5"/>
  <c r="B811" i="5"/>
  <c r="C811" i="5" s="1"/>
  <c r="A811" i="5"/>
  <c r="L810" i="5"/>
  <c r="K810" i="5"/>
  <c r="J810" i="5"/>
  <c r="I810" i="5"/>
  <c r="H810" i="5"/>
  <c r="G810" i="5"/>
  <c r="F810" i="5"/>
  <c r="E810" i="5"/>
  <c r="D810" i="5"/>
  <c r="B810" i="5"/>
  <c r="C810" i="5" s="1"/>
  <c r="A810" i="5"/>
  <c r="K809" i="5"/>
  <c r="L809" i="5" s="1"/>
  <c r="J809" i="5"/>
  <c r="I809" i="5"/>
  <c r="H809" i="5"/>
  <c r="G809" i="5"/>
  <c r="F809" i="5"/>
  <c r="E809" i="5"/>
  <c r="D809" i="5"/>
  <c r="B809" i="5"/>
  <c r="C809" i="5" s="1"/>
  <c r="A809" i="5"/>
  <c r="K808" i="5"/>
  <c r="L808" i="5" s="1"/>
  <c r="J808" i="5"/>
  <c r="I808" i="5"/>
  <c r="H808" i="5"/>
  <c r="G808" i="5"/>
  <c r="F808" i="5"/>
  <c r="E808" i="5"/>
  <c r="D808" i="5"/>
  <c r="B808" i="5"/>
  <c r="C808" i="5" s="1"/>
  <c r="A808" i="5"/>
  <c r="L807" i="5"/>
  <c r="K807" i="5"/>
  <c r="J807" i="5"/>
  <c r="I807" i="5"/>
  <c r="H807" i="5"/>
  <c r="G807" i="5"/>
  <c r="F807" i="5"/>
  <c r="E807" i="5"/>
  <c r="D807" i="5"/>
  <c r="B807" i="5"/>
  <c r="C807" i="5" s="1"/>
  <c r="A807" i="5"/>
  <c r="L806" i="5"/>
  <c r="K806" i="5"/>
  <c r="J806" i="5"/>
  <c r="I806" i="5"/>
  <c r="H806" i="5"/>
  <c r="G806" i="5"/>
  <c r="F806" i="5"/>
  <c r="E806" i="5"/>
  <c r="D806" i="5"/>
  <c r="B806" i="5"/>
  <c r="C806" i="5" s="1"/>
  <c r="A806" i="5"/>
  <c r="K805" i="5"/>
  <c r="L805" i="5" s="1"/>
  <c r="J805" i="5"/>
  <c r="I805" i="5"/>
  <c r="H805" i="5"/>
  <c r="G805" i="5"/>
  <c r="F805" i="5"/>
  <c r="E805" i="5"/>
  <c r="D805" i="5"/>
  <c r="B805" i="5"/>
  <c r="C805" i="5" s="1"/>
  <c r="A805" i="5"/>
  <c r="K804" i="5"/>
  <c r="L804" i="5" s="1"/>
  <c r="J804" i="5"/>
  <c r="I804" i="5"/>
  <c r="H804" i="5"/>
  <c r="G804" i="5"/>
  <c r="F804" i="5"/>
  <c r="E804" i="5"/>
  <c r="D804" i="5"/>
  <c r="B804" i="5"/>
  <c r="C804" i="5" s="1"/>
  <c r="A804" i="5"/>
  <c r="L803" i="5"/>
  <c r="K803" i="5"/>
  <c r="J803" i="5"/>
  <c r="I803" i="5"/>
  <c r="H803" i="5"/>
  <c r="G803" i="5"/>
  <c r="F803" i="5"/>
  <c r="E803" i="5"/>
  <c r="D803" i="5"/>
  <c r="B803" i="5"/>
  <c r="C803" i="5" s="1"/>
  <c r="A803" i="5"/>
  <c r="L802" i="5"/>
  <c r="K802" i="5"/>
  <c r="J802" i="5"/>
  <c r="I802" i="5"/>
  <c r="H802" i="5"/>
  <c r="G802" i="5"/>
  <c r="F802" i="5"/>
  <c r="E802" i="5"/>
  <c r="D802" i="5"/>
  <c r="B802" i="5"/>
  <c r="C802" i="5" s="1"/>
  <c r="A802" i="5"/>
  <c r="K801" i="5"/>
  <c r="L801" i="5" s="1"/>
  <c r="J801" i="5"/>
  <c r="I801" i="5"/>
  <c r="H801" i="5"/>
  <c r="G801" i="5"/>
  <c r="F801" i="5"/>
  <c r="E801" i="5"/>
  <c r="D801" i="5"/>
  <c r="B801" i="5"/>
  <c r="C801" i="5" s="1"/>
  <c r="A801" i="5"/>
  <c r="K800" i="5"/>
  <c r="L800" i="5" s="1"/>
  <c r="J800" i="5"/>
  <c r="I800" i="5"/>
  <c r="H800" i="5"/>
  <c r="G800" i="5"/>
  <c r="F800" i="5"/>
  <c r="E800" i="5"/>
  <c r="D800" i="5"/>
  <c r="B800" i="5"/>
  <c r="C800" i="5" s="1"/>
  <c r="A800" i="5"/>
  <c r="L799" i="5"/>
  <c r="K799" i="5"/>
  <c r="J799" i="5"/>
  <c r="I799" i="5"/>
  <c r="H799" i="5"/>
  <c r="G799" i="5"/>
  <c r="F799" i="5"/>
  <c r="E799" i="5"/>
  <c r="D799" i="5"/>
  <c r="B799" i="5"/>
  <c r="C799" i="5" s="1"/>
  <c r="A799" i="5"/>
  <c r="L798" i="5"/>
  <c r="K798" i="5"/>
  <c r="J798" i="5"/>
  <c r="I798" i="5"/>
  <c r="H798" i="5"/>
  <c r="G798" i="5"/>
  <c r="F798" i="5"/>
  <c r="E798" i="5"/>
  <c r="D798" i="5"/>
  <c r="B798" i="5"/>
  <c r="C798" i="5" s="1"/>
  <c r="A798" i="5"/>
  <c r="K797" i="5"/>
  <c r="L797" i="5" s="1"/>
  <c r="J797" i="5"/>
  <c r="I797" i="5"/>
  <c r="H797" i="5"/>
  <c r="G797" i="5"/>
  <c r="F797" i="5"/>
  <c r="E797" i="5"/>
  <c r="D797" i="5"/>
  <c r="B797" i="5"/>
  <c r="C797" i="5" s="1"/>
  <c r="A797" i="5"/>
  <c r="K796" i="5"/>
  <c r="L796" i="5" s="1"/>
  <c r="J796" i="5"/>
  <c r="I796" i="5"/>
  <c r="H796" i="5"/>
  <c r="G796" i="5"/>
  <c r="F796" i="5"/>
  <c r="E796" i="5"/>
  <c r="D796" i="5"/>
  <c r="B796" i="5"/>
  <c r="C796" i="5" s="1"/>
  <c r="A796" i="5"/>
  <c r="L795" i="5"/>
  <c r="K795" i="5"/>
  <c r="J795" i="5"/>
  <c r="I795" i="5"/>
  <c r="H795" i="5"/>
  <c r="G795" i="5"/>
  <c r="F795" i="5"/>
  <c r="E795" i="5"/>
  <c r="D795" i="5"/>
  <c r="B795" i="5"/>
  <c r="C795" i="5" s="1"/>
  <c r="A795" i="5"/>
  <c r="L794" i="5"/>
  <c r="K794" i="5"/>
  <c r="J794" i="5"/>
  <c r="I794" i="5"/>
  <c r="H794" i="5"/>
  <c r="G794" i="5"/>
  <c r="F794" i="5"/>
  <c r="E794" i="5"/>
  <c r="D794" i="5"/>
  <c r="B794" i="5"/>
  <c r="C794" i="5" s="1"/>
  <c r="A794" i="5"/>
  <c r="K793" i="5"/>
  <c r="L793" i="5" s="1"/>
  <c r="J793" i="5"/>
  <c r="I793" i="5"/>
  <c r="H793" i="5"/>
  <c r="G793" i="5"/>
  <c r="F793" i="5"/>
  <c r="E793" i="5"/>
  <c r="D793" i="5"/>
  <c r="B793" i="5"/>
  <c r="C793" i="5" s="1"/>
  <c r="A793" i="5"/>
  <c r="K792" i="5"/>
  <c r="L792" i="5" s="1"/>
  <c r="J792" i="5"/>
  <c r="I792" i="5"/>
  <c r="H792" i="5"/>
  <c r="G792" i="5"/>
  <c r="F792" i="5"/>
  <c r="E792" i="5"/>
  <c r="D792" i="5"/>
  <c r="B792" i="5"/>
  <c r="C792" i="5" s="1"/>
  <c r="A792" i="5"/>
  <c r="L791" i="5"/>
  <c r="K791" i="5"/>
  <c r="J791" i="5"/>
  <c r="I791" i="5"/>
  <c r="H791" i="5"/>
  <c r="G791" i="5"/>
  <c r="F791" i="5"/>
  <c r="E791" i="5"/>
  <c r="D791" i="5"/>
  <c r="B791" i="5"/>
  <c r="C791" i="5" s="1"/>
  <c r="A791" i="5"/>
  <c r="L790" i="5"/>
  <c r="K790" i="5"/>
  <c r="J790" i="5"/>
  <c r="I790" i="5"/>
  <c r="H790" i="5"/>
  <c r="G790" i="5"/>
  <c r="F790" i="5"/>
  <c r="E790" i="5"/>
  <c r="D790" i="5"/>
  <c r="B790" i="5"/>
  <c r="C790" i="5" s="1"/>
  <c r="A790" i="5"/>
  <c r="K789" i="5"/>
  <c r="L789" i="5" s="1"/>
  <c r="J789" i="5"/>
  <c r="I789" i="5"/>
  <c r="H789" i="5"/>
  <c r="G789" i="5"/>
  <c r="F789" i="5"/>
  <c r="E789" i="5"/>
  <c r="D789" i="5"/>
  <c r="B789" i="5"/>
  <c r="C789" i="5" s="1"/>
  <c r="A789" i="5"/>
  <c r="K788" i="5"/>
  <c r="L788" i="5" s="1"/>
  <c r="J788" i="5"/>
  <c r="I788" i="5"/>
  <c r="H788" i="5"/>
  <c r="G788" i="5"/>
  <c r="F788" i="5"/>
  <c r="E788" i="5"/>
  <c r="D788" i="5"/>
  <c r="B788" i="5"/>
  <c r="C788" i="5" s="1"/>
  <c r="A788" i="5"/>
  <c r="L787" i="5"/>
  <c r="K787" i="5"/>
  <c r="J787" i="5"/>
  <c r="I787" i="5"/>
  <c r="H787" i="5"/>
  <c r="G787" i="5"/>
  <c r="F787" i="5"/>
  <c r="E787" i="5"/>
  <c r="D787" i="5"/>
  <c r="B787" i="5"/>
  <c r="C787" i="5" s="1"/>
  <c r="A787" i="5"/>
  <c r="L786" i="5"/>
  <c r="K786" i="5"/>
  <c r="J786" i="5"/>
  <c r="I786" i="5"/>
  <c r="H786" i="5"/>
  <c r="G786" i="5"/>
  <c r="F786" i="5"/>
  <c r="E786" i="5"/>
  <c r="D786" i="5"/>
  <c r="B786" i="5"/>
  <c r="C786" i="5" s="1"/>
  <c r="A786" i="5"/>
  <c r="K785" i="5"/>
  <c r="L785" i="5" s="1"/>
  <c r="J785" i="5"/>
  <c r="I785" i="5"/>
  <c r="H785" i="5"/>
  <c r="G785" i="5"/>
  <c r="F785" i="5"/>
  <c r="E785" i="5"/>
  <c r="D785" i="5"/>
  <c r="B785" i="5"/>
  <c r="C785" i="5" s="1"/>
  <c r="A785" i="5"/>
  <c r="K784" i="5"/>
  <c r="L784" i="5" s="1"/>
  <c r="J784" i="5"/>
  <c r="I784" i="5"/>
  <c r="H784" i="5"/>
  <c r="G784" i="5"/>
  <c r="F784" i="5"/>
  <c r="E784" i="5"/>
  <c r="D784" i="5"/>
  <c r="B784" i="5"/>
  <c r="C784" i="5" s="1"/>
  <c r="A784" i="5"/>
  <c r="L783" i="5"/>
  <c r="K783" i="5"/>
  <c r="J783" i="5"/>
  <c r="I783" i="5"/>
  <c r="H783" i="5"/>
  <c r="G783" i="5"/>
  <c r="F783" i="5"/>
  <c r="E783" i="5"/>
  <c r="D783" i="5"/>
  <c r="B783" i="5"/>
  <c r="C783" i="5" s="1"/>
  <c r="A783" i="5"/>
  <c r="L782" i="5"/>
  <c r="K782" i="5"/>
  <c r="J782" i="5"/>
  <c r="I782" i="5"/>
  <c r="H782" i="5"/>
  <c r="G782" i="5"/>
  <c r="F782" i="5"/>
  <c r="E782" i="5"/>
  <c r="D782" i="5"/>
  <c r="B782" i="5"/>
  <c r="C782" i="5" s="1"/>
  <c r="A782" i="5"/>
  <c r="K781" i="5"/>
  <c r="L781" i="5" s="1"/>
  <c r="J781" i="5"/>
  <c r="I781" i="5"/>
  <c r="H781" i="5"/>
  <c r="G781" i="5"/>
  <c r="F781" i="5"/>
  <c r="E781" i="5"/>
  <c r="D781" i="5"/>
  <c r="B781" i="5"/>
  <c r="C781" i="5" s="1"/>
  <c r="A781" i="5"/>
  <c r="K780" i="5"/>
  <c r="L780" i="5" s="1"/>
  <c r="J780" i="5"/>
  <c r="I780" i="5"/>
  <c r="H780" i="5"/>
  <c r="G780" i="5"/>
  <c r="F780" i="5"/>
  <c r="E780" i="5"/>
  <c r="D780" i="5"/>
  <c r="B780" i="5"/>
  <c r="C780" i="5" s="1"/>
  <c r="A780" i="5"/>
  <c r="L779" i="5"/>
  <c r="K779" i="5"/>
  <c r="J779" i="5"/>
  <c r="I779" i="5"/>
  <c r="H779" i="5"/>
  <c r="G779" i="5"/>
  <c r="F779" i="5"/>
  <c r="E779" i="5"/>
  <c r="D779" i="5"/>
  <c r="B779" i="5"/>
  <c r="C779" i="5" s="1"/>
  <c r="A779" i="5"/>
  <c r="L778" i="5"/>
  <c r="K778" i="5"/>
  <c r="J778" i="5"/>
  <c r="I778" i="5"/>
  <c r="H778" i="5"/>
  <c r="G778" i="5"/>
  <c r="F778" i="5"/>
  <c r="E778" i="5"/>
  <c r="D778" i="5"/>
  <c r="B778" i="5"/>
  <c r="C778" i="5" s="1"/>
  <c r="A778" i="5"/>
  <c r="K777" i="5"/>
  <c r="L777" i="5" s="1"/>
  <c r="J777" i="5"/>
  <c r="I777" i="5"/>
  <c r="H777" i="5"/>
  <c r="G777" i="5"/>
  <c r="F777" i="5"/>
  <c r="E777" i="5"/>
  <c r="D777" i="5"/>
  <c r="B777" i="5"/>
  <c r="C777" i="5" s="1"/>
  <c r="A777" i="5"/>
  <c r="K776" i="5"/>
  <c r="L776" i="5" s="1"/>
  <c r="J776" i="5"/>
  <c r="I776" i="5"/>
  <c r="H776" i="5"/>
  <c r="G776" i="5"/>
  <c r="F776" i="5"/>
  <c r="E776" i="5"/>
  <c r="D776" i="5"/>
  <c r="B776" i="5"/>
  <c r="C776" i="5" s="1"/>
  <c r="A776" i="5"/>
  <c r="L775" i="5"/>
  <c r="K775" i="5"/>
  <c r="J775" i="5"/>
  <c r="I775" i="5"/>
  <c r="H775" i="5"/>
  <c r="G775" i="5"/>
  <c r="F775" i="5"/>
  <c r="E775" i="5"/>
  <c r="D775" i="5"/>
  <c r="B775" i="5"/>
  <c r="C775" i="5" s="1"/>
  <c r="A775" i="5"/>
  <c r="K774" i="5"/>
  <c r="L774" i="5" s="1"/>
  <c r="J774" i="5"/>
  <c r="I774" i="5"/>
  <c r="H774" i="5"/>
  <c r="G774" i="5"/>
  <c r="F774" i="5"/>
  <c r="E774" i="5"/>
  <c r="D774" i="5"/>
  <c r="B774" i="5"/>
  <c r="C774" i="5" s="1"/>
  <c r="A774" i="5"/>
  <c r="K773" i="5"/>
  <c r="L773" i="5" s="1"/>
  <c r="J773" i="5"/>
  <c r="I773" i="5"/>
  <c r="H773" i="5"/>
  <c r="G773" i="5"/>
  <c r="F773" i="5"/>
  <c r="E773" i="5"/>
  <c r="D773" i="5"/>
  <c r="B773" i="5"/>
  <c r="C773" i="5" s="1"/>
  <c r="A773" i="5"/>
  <c r="K772" i="5"/>
  <c r="L772" i="5" s="1"/>
  <c r="J772" i="5"/>
  <c r="I772" i="5"/>
  <c r="H772" i="5"/>
  <c r="G772" i="5"/>
  <c r="F772" i="5"/>
  <c r="E772" i="5"/>
  <c r="D772" i="5"/>
  <c r="B772" i="5"/>
  <c r="C772" i="5" s="1"/>
  <c r="A772" i="5"/>
  <c r="K771" i="5"/>
  <c r="L771" i="5" s="1"/>
  <c r="J771" i="5"/>
  <c r="I771" i="5"/>
  <c r="H771" i="5"/>
  <c r="G771" i="5"/>
  <c r="F771" i="5"/>
  <c r="E771" i="5"/>
  <c r="D771" i="5"/>
  <c r="B771" i="5"/>
  <c r="C771" i="5" s="1"/>
  <c r="A771" i="5"/>
  <c r="K770" i="5"/>
  <c r="L770" i="5" s="1"/>
  <c r="J770" i="5"/>
  <c r="I770" i="5"/>
  <c r="H770" i="5"/>
  <c r="G770" i="5"/>
  <c r="F770" i="5"/>
  <c r="E770" i="5"/>
  <c r="D770" i="5"/>
  <c r="B770" i="5"/>
  <c r="C770" i="5" s="1"/>
  <c r="A770" i="5"/>
  <c r="K769" i="5"/>
  <c r="L769" i="5" s="1"/>
  <c r="J769" i="5"/>
  <c r="I769" i="5"/>
  <c r="H769" i="5"/>
  <c r="G769" i="5"/>
  <c r="F769" i="5"/>
  <c r="E769" i="5"/>
  <c r="D769" i="5"/>
  <c r="C769" i="5"/>
  <c r="B769" i="5"/>
  <c r="A769" i="5"/>
  <c r="K768" i="5"/>
  <c r="L768" i="5" s="1"/>
  <c r="J768" i="5"/>
  <c r="I768" i="5"/>
  <c r="H768" i="5"/>
  <c r="G768" i="5"/>
  <c r="F768" i="5"/>
  <c r="E768" i="5"/>
  <c r="D768" i="5"/>
  <c r="B768" i="5"/>
  <c r="C768" i="5" s="1"/>
  <c r="A768" i="5"/>
  <c r="K767" i="5"/>
  <c r="L767" i="5" s="1"/>
  <c r="J767" i="5"/>
  <c r="I767" i="5"/>
  <c r="H767" i="5"/>
  <c r="G767" i="5"/>
  <c r="F767" i="5"/>
  <c r="E767" i="5"/>
  <c r="D767" i="5"/>
  <c r="B767" i="5"/>
  <c r="C767" i="5" s="1"/>
  <c r="A767" i="5"/>
  <c r="K766" i="5"/>
  <c r="L766" i="5" s="1"/>
  <c r="J766" i="5"/>
  <c r="I766" i="5"/>
  <c r="H766" i="5"/>
  <c r="G766" i="5"/>
  <c r="F766" i="5"/>
  <c r="E766" i="5"/>
  <c r="D766" i="5"/>
  <c r="C766" i="5"/>
  <c r="B766" i="5"/>
  <c r="A766" i="5"/>
  <c r="K765" i="5"/>
  <c r="L765" i="5" s="1"/>
  <c r="J765" i="5"/>
  <c r="I765" i="5"/>
  <c r="H765" i="5"/>
  <c r="G765" i="5"/>
  <c r="F765" i="5"/>
  <c r="E765" i="5"/>
  <c r="D765" i="5"/>
  <c r="B765" i="5"/>
  <c r="C765" i="5" s="1"/>
  <c r="A765" i="5"/>
  <c r="K764" i="5"/>
  <c r="L764" i="5" s="1"/>
  <c r="J764" i="5"/>
  <c r="I764" i="5"/>
  <c r="H764" i="5"/>
  <c r="G764" i="5"/>
  <c r="F764" i="5"/>
  <c r="E764" i="5"/>
  <c r="D764" i="5"/>
  <c r="B764" i="5"/>
  <c r="C764" i="5" s="1"/>
  <c r="A764" i="5"/>
  <c r="L763" i="5"/>
  <c r="K763" i="5"/>
  <c r="J763" i="5"/>
  <c r="I763" i="5"/>
  <c r="H763" i="5"/>
  <c r="G763" i="5"/>
  <c r="F763" i="5"/>
  <c r="E763" i="5"/>
  <c r="D763" i="5"/>
  <c r="B763" i="5"/>
  <c r="C763" i="5" s="1"/>
  <c r="A763" i="5"/>
  <c r="K762" i="5"/>
  <c r="L762" i="5" s="1"/>
  <c r="J762" i="5"/>
  <c r="I762" i="5"/>
  <c r="H762" i="5"/>
  <c r="G762" i="5"/>
  <c r="F762" i="5"/>
  <c r="E762" i="5"/>
  <c r="D762" i="5"/>
  <c r="B762" i="5"/>
  <c r="C762" i="5" s="1"/>
  <c r="A762" i="5"/>
  <c r="K761" i="5"/>
  <c r="L761" i="5" s="1"/>
  <c r="J761" i="5"/>
  <c r="I761" i="5"/>
  <c r="H761" i="5"/>
  <c r="G761" i="5"/>
  <c r="F761" i="5"/>
  <c r="E761" i="5"/>
  <c r="D761" i="5"/>
  <c r="B761" i="5"/>
  <c r="C761" i="5" s="1"/>
  <c r="A761" i="5"/>
  <c r="K760" i="5"/>
  <c r="L760" i="5" s="1"/>
  <c r="J760" i="5"/>
  <c r="I760" i="5"/>
  <c r="H760" i="5"/>
  <c r="G760" i="5"/>
  <c r="F760" i="5"/>
  <c r="E760" i="5"/>
  <c r="D760" i="5"/>
  <c r="B760" i="5"/>
  <c r="C760" i="5" s="1"/>
  <c r="A760" i="5"/>
  <c r="K759" i="5"/>
  <c r="L759" i="5" s="1"/>
  <c r="J759" i="5"/>
  <c r="I759" i="5"/>
  <c r="H759" i="5"/>
  <c r="G759" i="5"/>
  <c r="F759" i="5"/>
  <c r="E759" i="5"/>
  <c r="D759" i="5"/>
  <c r="B759" i="5"/>
  <c r="C759" i="5" s="1"/>
  <c r="A759" i="5"/>
  <c r="K758" i="5"/>
  <c r="L758" i="5" s="1"/>
  <c r="J758" i="5"/>
  <c r="I758" i="5"/>
  <c r="H758" i="5"/>
  <c r="G758" i="5"/>
  <c r="F758" i="5"/>
  <c r="E758" i="5"/>
  <c r="D758" i="5"/>
  <c r="B758" i="5"/>
  <c r="C758" i="5" s="1"/>
  <c r="A758" i="5"/>
  <c r="K757" i="5"/>
  <c r="L757" i="5" s="1"/>
  <c r="J757" i="5"/>
  <c r="I757" i="5"/>
  <c r="H757" i="5"/>
  <c r="G757" i="5"/>
  <c r="F757" i="5"/>
  <c r="E757" i="5"/>
  <c r="D757" i="5"/>
  <c r="B757" i="5"/>
  <c r="C757" i="5" s="1"/>
  <c r="A757" i="5"/>
  <c r="K756" i="5"/>
  <c r="L756" i="5" s="1"/>
  <c r="J756" i="5"/>
  <c r="I756" i="5"/>
  <c r="H756" i="5"/>
  <c r="G756" i="5"/>
  <c r="F756" i="5"/>
  <c r="E756" i="5"/>
  <c r="D756" i="5"/>
  <c r="B756" i="5"/>
  <c r="C756" i="5" s="1"/>
  <c r="A756" i="5"/>
  <c r="L755" i="5"/>
  <c r="K755" i="5"/>
  <c r="J755" i="5"/>
  <c r="I755" i="5"/>
  <c r="H755" i="5"/>
  <c r="G755" i="5"/>
  <c r="F755" i="5"/>
  <c r="E755" i="5"/>
  <c r="D755" i="5"/>
  <c r="B755" i="5"/>
  <c r="C755" i="5" s="1"/>
  <c r="A755" i="5"/>
  <c r="K754" i="5"/>
  <c r="L754" i="5" s="1"/>
  <c r="J754" i="5"/>
  <c r="I754" i="5"/>
  <c r="H754" i="5"/>
  <c r="G754" i="5"/>
  <c r="F754" i="5"/>
  <c r="E754" i="5"/>
  <c r="D754" i="5"/>
  <c r="B754" i="5"/>
  <c r="C754" i="5" s="1"/>
  <c r="A754" i="5"/>
  <c r="K753" i="5"/>
  <c r="L753" i="5" s="1"/>
  <c r="J753" i="5"/>
  <c r="I753" i="5"/>
  <c r="H753" i="5"/>
  <c r="G753" i="5"/>
  <c r="F753" i="5"/>
  <c r="E753" i="5"/>
  <c r="D753" i="5"/>
  <c r="B753" i="5"/>
  <c r="C753" i="5" s="1"/>
  <c r="A753" i="5"/>
  <c r="K752" i="5"/>
  <c r="L752" i="5" s="1"/>
  <c r="J752" i="5"/>
  <c r="I752" i="5"/>
  <c r="H752" i="5"/>
  <c r="G752" i="5"/>
  <c r="F752" i="5"/>
  <c r="E752" i="5"/>
  <c r="D752" i="5"/>
  <c r="B752" i="5"/>
  <c r="C752" i="5" s="1"/>
  <c r="A752" i="5"/>
  <c r="K751" i="5"/>
  <c r="L751" i="5" s="1"/>
  <c r="J751" i="5"/>
  <c r="I751" i="5"/>
  <c r="H751" i="5"/>
  <c r="G751" i="5"/>
  <c r="F751" i="5"/>
  <c r="E751" i="5"/>
  <c r="D751" i="5"/>
  <c r="B751" i="5"/>
  <c r="C751" i="5" s="1"/>
  <c r="A751" i="5"/>
  <c r="K750" i="5"/>
  <c r="L750" i="5" s="1"/>
  <c r="J750" i="5"/>
  <c r="I750" i="5"/>
  <c r="H750" i="5"/>
  <c r="G750" i="5"/>
  <c r="F750" i="5"/>
  <c r="E750" i="5"/>
  <c r="D750" i="5"/>
  <c r="B750" i="5"/>
  <c r="C750" i="5" s="1"/>
  <c r="A750" i="5"/>
  <c r="K749" i="5"/>
  <c r="L749" i="5" s="1"/>
  <c r="J749" i="5"/>
  <c r="I749" i="5"/>
  <c r="H749" i="5"/>
  <c r="G749" i="5"/>
  <c r="F749" i="5"/>
  <c r="E749" i="5"/>
  <c r="D749" i="5"/>
  <c r="B749" i="5"/>
  <c r="C749" i="5" s="1"/>
  <c r="A749" i="5"/>
  <c r="K748" i="5"/>
  <c r="L748" i="5" s="1"/>
  <c r="J748" i="5"/>
  <c r="I748" i="5"/>
  <c r="H748" i="5"/>
  <c r="G748" i="5"/>
  <c r="F748" i="5"/>
  <c r="E748" i="5"/>
  <c r="D748" i="5"/>
  <c r="B748" i="5"/>
  <c r="C748" i="5" s="1"/>
  <c r="A748" i="5"/>
  <c r="K747" i="5"/>
  <c r="L747" i="5" s="1"/>
  <c r="J747" i="5"/>
  <c r="I747" i="5"/>
  <c r="H747" i="5"/>
  <c r="G747" i="5"/>
  <c r="F747" i="5"/>
  <c r="E747" i="5"/>
  <c r="D747" i="5"/>
  <c r="B747" i="5"/>
  <c r="C747" i="5" s="1"/>
  <c r="A747" i="5"/>
  <c r="K746" i="5"/>
  <c r="L746" i="5" s="1"/>
  <c r="J746" i="5"/>
  <c r="I746" i="5"/>
  <c r="H746" i="5"/>
  <c r="G746" i="5"/>
  <c r="F746" i="5"/>
  <c r="E746" i="5"/>
  <c r="D746" i="5"/>
  <c r="B746" i="5"/>
  <c r="C746" i="5" s="1"/>
  <c r="A746" i="5"/>
  <c r="K745" i="5"/>
  <c r="L745" i="5" s="1"/>
  <c r="J745" i="5"/>
  <c r="I745" i="5"/>
  <c r="H745" i="5"/>
  <c r="G745" i="5"/>
  <c r="F745" i="5"/>
  <c r="E745" i="5"/>
  <c r="D745" i="5"/>
  <c r="B745" i="5"/>
  <c r="C745" i="5" s="1"/>
  <c r="A745" i="5"/>
  <c r="K744" i="5"/>
  <c r="L744" i="5" s="1"/>
  <c r="J744" i="5"/>
  <c r="I744" i="5"/>
  <c r="H744" i="5"/>
  <c r="G744" i="5"/>
  <c r="F744" i="5"/>
  <c r="E744" i="5"/>
  <c r="D744" i="5"/>
  <c r="B744" i="5"/>
  <c r="C744" i="5" s="1"/>
  <c r="A744" i="5"/>
  <c r="L743" i="5"/>
  <c r="K743" i="5"/>
  <c r="J743" i="5"/>
  <c r="I743" i="5"/>
  <c r="H743" i="5"/>
  <c r="G743" i="5"/>
  <c r="F743" i="5"/>
  <c r="E743" i="5"/>
  <c r="D743" i="5"/>
  <c r="B743" i="5"/>
  <c r="C743" i="5" s="1"/>
  <c r="A743" i="5"/>
  <c r="K742" i="5"/>
  <c r="L742" i="5" s="1"/>
  <c r="J742" i="5"/>
  <c r="I742" i="5"/>
  <c r="H742" i="5"/>
  <c r="G742" i="5"/>
  <c r="F742" i="5"/>
  <c r="E742" i="5"/>
  <c r="D742" i="5"/>
  <c r="B742" i="5"/>
  <c r="C742" i="5" s="1"/>
  <c r="A742" i="5"/>
  <c r="K741" i="5"/>
  <c r="L741" i="5" s="1"/>
  <c r="J741" i="5"/>
  <c r="I741" i="5"/>
  <c r="H741" i="5"/>
  <c r="G741" i="5"/>
  <c r="F741" i="5"/>
  <c r="E741" i="5"/>
  <c r="D741" i="5"/>
  <c r="B741" i="5"/>
  <c r="C741" i="5" s="1"/>
  <c r="A741" i="5"/>
  <c r="K740" i="5"/>
  <c r="L740" i="5" s="1"/>
  <c r="J740" i="5"/>
  <c r="I740" i="5"/>
  <c r="H740" i="5"/>
  <c r="G740" i="5"/>
  <c r="F740" i="5"/>
  <c r="E740" i="5"/>
  <c r="D740" i="5"/>
  <c r="B740" i="5"/>
  <c r="C740" i="5" s="1"/>
  <c r="A740" i="5"/>
  <c r="K739" i="5"/>
  <c r="L739" i="5" s="1"/>
  <c r="J739" i="5"/>
  <c r="I739" i="5"/>
  <c r="H739" i="5"/>
  <c r="G739" i="5"/>
  <c r="F739" i="5"/>
  <c r="E739" i="5"/>
  <c r="D739" i="5"/>
  <c r="B739" i="5"/>
  <c r="C739" i="5" s="1"/>
  <c r="A739" i="5"/>
  <c r="K738" i="5"/>
  <c r="L738" i="5" s="1"/>
  <c r="J738" i="5"/>
  <c r="I738" i="5"/>
  <c r="H738" i="5"/>
  <c r="G738" i="5"/>
  <c r="F738" i="5"/>
  <c r="E738" i="5"/>
  <c r="D738" i="5"/>
  <c r="B738" i="5"/>
  <c r="C738" i="5" s="1"/>
  <c r="A738" i="5"/>
  <c r="L737" i="5"/>
  <c r="K737" i="5"/>
  <c r="J737" i="5"/>
  <c r="I737" i="5"/>
  <c r="H737" i="5"/>
  <c r="G737" i="5"/>
  <c r="F737" i="5"/>
  <c r="E737" i="5"/>
  <c r="D737" i="5"/>
  <c r="B737" i="5"/>
  <c r="C737" i="5" s="1"/>
  <c r="A737" i="5"/>
  <c r="K736" i="5"/>
  <c r="L736" i="5" s="1"/>
  <c r="J736" i="5"/>
  <c r="I736" i="5"/>
  <c r="H736" i="5"/>
  <c r="G736" i="5"/>
  <c r="F736" i="5"/>
  <c r="E736" i="5"/>
  <c r="D736" i="5"/>
  <c r="B736" i="5"/>
  <c r="C736" i="5" s="1"/>
  <c r="A736" i="5"/>
  <c r="K735" i="5"/>
  <c r="L735" i="5" s="1"/>
  <c r="J735" i="5"/>
  <c r="I735" i="5"/>
  <c r="H735" i="5"/>
  <c r="G735" i="5"/>
  <c r="F735" i="5"/>
  <c r="E735" i="5"/>
  <c r="D735" i="5"/>
  <c r="B735" i="5"/>
  <c r="C735" i="5" s="1"/>
  <c r="A735" i="5"/>
  <c r="K734" i="5"/>
  <c r="L734" i="5" s="1"/>
  <c r="J734" i="5"/>
  <c r="I734" i="5"/>
  <c r="H734" i="5"/>
  <c r="G734" i="5"/>
  <c r="F734" i="5"/>
  <c r="E734" i="5"/>
  <c r="D734" i="5"/>
  <c r="C734" i="5"/>
  <c r="B734" i="5"/>
  <c r="A734" i="5"/>
  <c r="K733" i="5"/>
  <c r="L733" i="5" s="1"/>
  <c r="J733" i="5"/>
  <c r="I733" i="5"/>
  <c r="H733" i="5"/>
  <c r="G733" i="5"/>
  <c r="F733" i="5"/>
  <c r="E733" i="5"/>
  <c r="D733" i="5"/>
  <c r="B733" i="5"/>
  <c r="C733" i="5" s="1"/>
  <c r="A733" i="5"/>
  <c r="K732" i="5"/>
  <c r="L732" i="5" s="1"/>
  <c r="J732" i="5"/>
  <c r="I732" i="5"/>
  <c r="H732" i="5"/>
  <c r="G732" i="5"/>
  <c r="F732" i="5"/>
  <c r="E732" i="5"/>
  <c r="D732" i="5"/>
  <c r="B732" i="5"/>
  <c r="C732" i="5" s="1"/>
  <c r="A732" i="5"/>
  <c r="K731" i="5"/>
  <c r="L731" i="5" s="1"/>
  <c r="J731" i="5"/>
  <c r="I731" i="5"/>
  <c r="H731" i="5"/>
  <c r="G731" i="5"/>
  <c r="F731" i="5"/>
  <c r="E731" i="5"/>
  <c r="D731" i="5"/>
  <c r="C731" i="5"/>
  <c r="B731" i="5"/>
  <c r="A731" i="5"/>
  <c r="K730" i="5"/>
  <c r="L730" i="5" s="1"/>
  <c r="J730" i="5"/>
  <c r="I730" i="5"/>
  <c r="H730" i="5"/>
  <c r="G730" i="5"/>
  <c r="F730" i="5"/>
  <c r="E730" i="5"/>
  <c r="D730" i="5"/>
  <c r="C730" i="5"/>
  <c r="B730" i="5"/>
  <c r="A730" i="5"/>
  <c r="K729" i="5"/>
  <c r="L729" i="5" s="1"/>
  <c r="J729" i="5"/>
  <c r="I729" i="5"/>
  <c r="H729" i="5"/>
  <c r="G729" i="5"/>
  <c r="F729" i="5"/>
  <c r="E729" i="5"/>
  <c r="D729" i="5"/>
  <c r="B729" i="5"/>
  <c r="C729" i="5" s="1"/>
  <c r="A729" i="5"/>
  <c r="K728" i="5"/>
  <c r="L728" i="5" s="1"/>
  <c r="J728" i="5"/>
  <c r="I728" i="5"/>
  <c r="H728" i="5"/>
  <c r="G728" i="5"/>
  <c r="F728" i="5"/>
  <c r="E728" i="5"/>
  <c r="D728" i="5"/>
  <c r="B728" i="5"/>
  <c r="C728" i="5" s="1"/>
  <c r="A728" i="5"/>
  <c r="K727" i="5"/>
  <c r="L727" i="5" s="1"/>
  <c r="J727" i="5"/>
  <c r="I727" i="5"/>
  <c r="H727" i="5"/>
  <c r="G727" i="5"/>
  <c r="F727" i="5"/>
  <c r="E727" i="5"/>
  <c r="D727" i="5"/>
  <c r="C727" i="5"/>
  <c r="B727" i="5"/>
  <c r="A727" i="5"/>
  <c r="K726" i="5"/>
  <c r="L726" i="5" s="1"/>
  <c r="J726" i="5"/>
  <c r="I726" i="5"/>
  <c r="H726" i="5"/>
  <c r="G726" i="5"/>
  <c r="F726" i="5"/>
  <c r="E726" i="5"/>
  <c r="D726" i="5"/>
  <c r="C726" i="5"/>
  <c r="B726" i="5"/>
  <c r="A726" i="5"/>
  <c r="K725" i="5"/>
  <c r="L725" i="5" s="1"/>
  <c r="J725" i="5"/>
  <c r="I725" i="5"/>
  <c r="H725" i="5"/>
  <c r="G725" i="5"/>
  <c r="F725" i="5"/>
  <c r="E725" i="5"/>
  <c r="D725" i="5"/>
  <c r="B725" i="5"/>
  <c r="C725" i="5" s="1"/>
  <c r="A725" i="5"/>
  <c r="K724" i="5"/>
  <c r="L724" i="5" s="1"/>
  <c r="J724" i="5"/>
  <c r="I724" i="5"/>
  <c r="H724" i="5"/>
  <c r="G724" i="5"/>
  <c r="F724" i="5"/>
  <c r="E724" i="5"/>
  <c r="D724" i="5"/>
  <c r="B724" i="5"/>
  <c r="C724" i="5" s="1"/>
  <c r="A724" i="5"/>
  <c r="K723" i="5"/>
  <c r="L723" i="5" s="1"/>
  <c r="J723" i="5"/>
  <c r="I723" i="5"/>
  <c r="H723" i="5"/>
  <c r="G723" i="5"/>
  <c r="F723" i="5"/>
  <c r="E723" i="5"/>
  <c r="D723" i="5"/>
  <c r="C723" i="5"/>
  <c r="B723" i="5"/>
  <c r="A723" i="5"/>
  <c r="K722" i="5"/>
  <c r="L722" i="5" s="1"/>
  <c r="J722" i="5"/>
  <c r="I722" i="5"/>
  <c r="H722" i="5"/>
  <c r="G722" i="5"/>
  <c r="F722" i="5"/>
  <c r="E722" i="5"/>
  <c r="D722" i="5"/>
  <c r="C722" i="5"/>
  <c r="B722" i="5"/>
  <c r="A722" i="5"/>
  <c r="K721" i="5"/>
  <c r="L721" i="5" s="1"/>
  <c r="J721" i="5"/>
  <c r="I721" i="5"/>
  <c r="H721" i="5"/>
  <c r="G721" i="5"/>
  <c r="F721" i="5"/>
  <c r="E721" i="5"/>
  <c r="D721" i="5"/>
  <c r="B721" i="5"/>
  <c r="C721" i="5" s="1"/>
  <c r="A721" i="5"/>
  <c r="K720" i="5"/>
  <c r="L720" i="5" s="1"/>
  <c r="J720" i="5"/>
  <c r="I720" i="5"/>
  <c r="H720" i="5"/>
  <c r="G720" i="5"/>
  <c r="F720" i="5"/>
  <c r="E720" i="5"/>
  <c r="D720" i="5"/>
  <c r="B720" i="5"/>
  <c r="C720" i="5" s="1"/>
  <c r="A720" i="5"/>
  <c r="K719" i="5"/>
  <c r="L719" i="5" s="1"/>
  <c r="J719" i="5"/>
  <c r="I719" i="5"/>
  <c r="H719" i="5"/>
  <c r="G719" i="5"/>
  <c r="F719" i="5"/>
  <c r="E719" i="5"/>
  <c r="D719" i="5"/>
  <c r="C719" i="5"/>
  <c r="B719" i="5"/>
  <c r="A719" i="5"/>
  <c r="K718" i="5"/>
  <c r="L718" i="5" s="1"/>
  <c r="J718" i="5"/>
  <c r="I718" i="5"/>
  <c r="H718" i="5"/>
  <c r="G718" i="5"/>
  <c r="F718" i="5"/>
  <c r="E718" i="5"/>
  <c r="D718" i="5"/>
  <c r="C718" i="5"/>
  <c r="B718" i="5"/>
  <c r="A718" i="5"/>
  <c r="K717" i="5"/>
  <c r="L717" i="5" s="1"/>
  <c r="J717" i="5"/>
  <c r="I717" i="5"/>
  <c r="H717" i="5"/>
  <c r="G717" i="5"/>
  <c r="F717" i="5"/>
  <c r="E717" i="5"/>
  <c r="D717" i="5"/>
  <c r="B717" i="5"/>
  <c r="C717" i="5" s="1"/>
  <c r="A717" i="5"/>
  <c r="K716" i="5"/>
  <c r="L716" i="5" s="1"/>
  <c r="J716" i="5"/>
  <c r="I716" i="5"/>
  <c r="H716" i="5"/>
  <c r="G716" i="5"/>
  <c r="F716" i="5"/>
  <c r="E716" i="5"/>
  <c r="D716" i="5"/>
  <c r="B716" i="5"/>
  <c r="C716" i="5" s="1"/>
  <c r="A716" i="5"/>
  <c r="K715" i="5"/>
  <c r="L715" i="5" s="1"/>
  <c r="J715" i="5"/>
  <c r="I715" i="5"/>
  <c r="H715" i="5"/>
  <c r="G715" i="5"/>
  <c r="F715" i="5"/>
  <c r="E715" i="5"/>
  <c r="D715" i="5"/>
  <c r="C715" i="5"/>
  <c r="B715" i="5"/>
  <c r="A715" i="5"/>
  <c r="K714" i="5"/>
  <c r="L714" i="5" s="1"/>
  <c r="J714" i="5"/>
  <c r="I714" i="5"/>
  <c r="H714" i="5"/>
  <c r="G714" i="5"/>
  <c r="F714" i="5"/>
  <c r="E714" i="5"/>
  <c r="D714" i="5"/>
  <c r="C714" i="5"/>
  <c r="B714" i="5"/>
  <c r="A714" i="5"/>
  <c r="K713" i="5"/>
  <c r="L713" i="5" s="1"/>
  <c r="J713" i="5"/>
  <c r="I713" i="5"/>
  <c r="H713" i="5"/>
  <c r="G713" i="5"/>
  <c r="F713" i="5"/>
  <c r="E713" i="5"/>
  <c r="D713" i="5"/>
  <c r="B713" i="5"/>
  <c r="C713" i="5" s="1"/>
  <c r="A713" i="5"/>
  <c r="K712" i="5"/>
  <c r="L712" i="5" s="1"/>
  <c r="J712" i="5"/>
  <c r="I712" i="5"/>
  <c r="H712" i="5"/>
  <c r="G712" i="5"/>
  <c r="F712" i="5"/>
  <c r="E712" i="5"/>
  <c r="D712" i="5"/>
  <c r="B712" i="5"/>
  <c r="C712" i="5" s="1"/>
  <c r="A712" i="5"/>
  <c r="K711" i="5"/>
  <c r="L711" i="5" s="1"/>
  <c r="J711" i="5"/>
  <c r="I711" i="5"/>
  <c r="H711" i="5"/>
  <c r="G711" i="5"/>
  <c r="F711" i="5"/>
  <c r="E711" i="5"/>
  <c r="D711" i="5"/>
  <c r="C711" i="5"/>
  <c r="B711" i="5"/>
  <c r="A711" i="5"/>
  <c r="K710" i="5"/>
  <c r="L710" i="5" s="1"/>
  <c r="J710" i="5"/>
  <c r="I710" i="5"/>
  <c r="H710" i="5"/>
  <c r="G710" i="5"/>
  <c r="F710" i="5"/>
  <c r="E710" i="5"/>
  <c r="D710" i="5"/>
  <c r="C710" i="5"/>
  <c r="B710" i="5"/>
  <c r="A710" i="5"/>
  <c r="K709" i="5"/>
  <c r="L709" i="5" s="1"/>
  <c r="J709" i="5"/>
  <c r="I709" i="5"/>
  <c r="H709" i="5"/>
  <c r="G709" i="5"/>
  <c r="F709" i="5"/>
  <c r="E709" i="5"/>
  <c r="D709" i="5"/>
  <c r="B709" i="5"/>
  <c r="C709" i="5" s="1"/>
  <c r="A709" i="5"/>
  <c r="K708" i="5"/>
  <c r="L708" i="5" s="1"/>
  <c r="J708" i="5"/>
  <c r="I708" i="5"/>
  <c r="H708" i="5"/>
  <c r="G708" i="5"/>
  <c r="F708" i="5"/>
  <c r="E708" i="5"/>
  <c r="D708" i="5"/>
  <c r="B708" i="5"/>
  <c r="C708" i="5" s="1"/>
  <c r="A708" i="5"/>
  <c r="K707" i="5"/>
  <c r="L707" i="5" s="1"/>
  <c r="J707" i="5"/>
  <c r="I707" i="5"/>
  <c r="H707" i="5"/>
  <c r="G707" i="5"/>
  <c r="F707" i="5"/>
  <c r="E707" i="5"/>
  <c r="D707" i="5"/>
  <c r="C707" i="5"/>
  <c r="B707" i="5"/>
  <c r="A707" i="5"/>
  <c r="K706" i="5"/>
  <c r="L706" i="5" s="1"/>
  <c r="J706" i="5"/>
  <c r="I706" i="5"/>
  <c r="H706" i="5"/>
  <c r="G706" i="5"/>
  <c r="F706" i="5"/>
  <c r="E706" i="5"/>
  <c r="D706" i="5"/>
  <c r="C706" i="5"/>
  <c r="B706" i="5"/>
  <c r="A706" i="5"/>
  <c r="K705" i="5"/>
  <c r="L705" i="5" s="1"/>
  <c r="J705" i="5"/>
  <c r="I705" i="5"/>
  <c r="H705" i="5"/>
  <c r="G705" i="5"/>
  <c r="F705" i="5"/>
  <c r="E705" i="5"/>
  <c r="D705" i="5"/>
  <c r="B705" i="5"/>
  <c r="C705" i="5" s="1"/>
  <c r="A705" i="5"/>
  <c r="K704" i="5"/>
  <c r="L704" i="5" s="1"/>
  <c r="J704" i="5"/>
  <c r="I704" i="5"/>
  <c r="H704" i="5"/>
  <c r="G704" i="5"/>
  <c r="F704" i="5"/>
  <c r="E704" i="5"/>
  <c r="D704" i="5"/>
  <c r="B704" i="5"/>
  <c r="C704" i="5" s="1"/>
  <c r="A704" i="5"/>
  <c r="K703" i="5"/>
  <c r="L703" i="5" s="1"/>
  <c r="J703" i="5"/>
  <c r="I703" i="5"/>
  <c r="H703" i="5"/>
  <c r="G703" i="5"/>
  <c r="F703" i="5"/>
  <c r="E703" i="5"/>
  <c r="D703" i="5"/>
  <c r="C703" i="5"/>
  <c r="B703" i="5"/>
  <c r="A703" i="5"/>
  <c r="K702" i="5"/>
  <c r="L702" i="5" s="1"/>
  <c r="J702" i="5"/>
  <c r="I702" i="5"/>
  <c r="H702" i="5"/>
  <c r="G702" i="5"/>
  <c r="F702" i="5"/>
  <c r="E702" i="5"/>
  <c r="D702" i="5"/>
  <c r="C702" i="5"/>
  <c r="B702" i="5"/>
  <c r="A702" i="5"/>
  <c r="K701" i="5"/>
  <c r="L701" i="5" s="1"/>
  <c r="J701" i="5"/>
  <c r="I701" i="5"/>
  <c r="H701" i="5"/>
  <c r="G701" i="5"/>
  <c r="F701" i="5"/>
  <c r="E701" i="5"/>
  <c r="D701" i="5"/>
  <c r="B701" i="5"/>
  <c r="C701" i="5" s="1"/>
  <c r="A701" i="5"/>
  <c r="K700" i="5"/>
  <c r="L700" i="5" s="1"/>
  <c r="J700" i="5"/>
  <c r="I700" i="5"/>
  <c r="H700" i="5"/>
  <c r="G700" i="5"/>
  <c r="F700" i="5"/>
  <c r="E700" i="5"/>
  <c r="D700" i="5"/>
  <c r="B700" i="5"/>
  <c r="C700" i="5" s="1"/>
  <c r="A700" i="5"/>
  <c r="K699" i="5"/>
  <c r="L699" i="5" s="1"/>
  <c r="J699" i="5"/>
  <c r="I699" i="5"/>
  <c r="H699" i="5"/>
  <c r="G699" i="5"/>
  <c r="F699" i="5"/>
  <c r="E699" i="5"/>
  <c r="D699" i="5"/>
  <c r="C699" i="5"/>
  <c r="B699" i="5"/>
  <c r="A699" i="5"/>
  <c r="K698" i="5"/>
  <c r="L698" i="5" s="1"/>
  <c r="J698" i="5"/>
  <c r="I698" i="5"/>
  <c r="H698" i="5"/>
  <c r="G698" i="5"/>
  <c r="F698" i="5"/>
  <c r="E698" i="5"/>
  <c r="D698" i="5"/>
  <c r="B698" i="5"/>
  <c r="C698" i="5" s="1"/>
  <c r="A698" i="5"/>
  <c r="K697" i="5"/>
  <c r="L697" i="5" s="1"/>
  <c r="J697" i="5"/>
  <c r="I697" i="5"/>
  <c r="H697" i="5"/>
  <c r="G697" i="5"/>
  <c r="F697" i="5"/>
  <c r="E697" i="5"/>
  <c r="D697" i="5"/>
  <c r="B697" i="5"/>
  <c r="C697" i="5" s="1"/>
  <c r="A697" i="5"/>
  <c r="K696" i="5"/>
  <c r="L696" i="5" s="1"/>
  <c r="J696" i="5"/>
  <c r="I696" i="5"/>
  <c r="H696" i="5"/>
  <c r="G696" i="5"/>
  <c r="F696" i="5"/>
  <c r="E696" i="5"/>
  <c r="D696" i="5"/>
  <c r="B696" i="5"/>
  <c r="C696" i="5" s="1"/>
  <c r="A696" i="5"/>
  <c r="K695" i="5"/>
  <c r="L695" i="5" s="1"/>
  <c r="J695" i="5"/>
  <c r="I695" i="5"/>
  <c r="H695" i="5"/>
  <c r="G695" i="5"/>
  <c r="F695" i="5"/>
  <c r="E695" i="5"/>
  <c r="D695" i="5"/>
  <c r="B695" i="5"/>
  <c r="C695" i="5" s="1"/>
  <c r="A695" i="5"/>
  <c r="K694" i="5"/>
  <c r="L694" i="5" s="1"/>
  <c r="J694" i="5"/>
  <c r="I694" i="5"/>
  <c r="H694" i="5"/>
  <c r="G694" i="5"/>
  <c r="F694" i="5"/>
  <c r="E694" i="5"/>
  <c r="D694" i="5"/>
  <c r="B694" i="5"/>
  <c r="C694" i="5" s="1"/>
  <c r="A694" i="5"/>
  <c r="K693" i="5"/>
  <c r="L693" i="5" s="1"/>
  <c r="J693" i="5"/>
  <c r="I693" i="5"/>
  <c r="H693" i="5"/>
  <c r="G693" i="5"/>
  <c r="F693" i="5"/>
  <c r="E693" i="5"/>
  <c r="D693" i="5"/>
  <c r="B693" i="5"/>
  <c r="C693" i="5" s="1"/>
  <c r="A693" i="5"/>
  <c r="K692" i="5"/>
  <c r="L692" i="5" s="1"/>
  <c r="J692" i="5"/>
  <c r="I692" i="5"/>
  <c r="H692" i="5"/>
  <c r="G692" i="5"/>
  <c r="F692" i="5"/>
  <c r="E692" i="5"/>
  <c r="D692" i="5"/>
  <c r="B692" i="5"/>
  <c r="C692" i="5" s="1"/>
  <c r="A692" i="5"/>
  <c r="K691" i="5"/>
  <c r="L691" i="5" s="1"/>
  <c r="J691" i="5"/>
  <c r="I691" i="5"/>
  <c r="H691" i="5"/>
  <c r="G691" i="5"/>
  <c r="F691" i="5"/>
  <c r="E691" i="5"/>
  <c r="D691" i="5"/>
  <c r="C691" i="5"/>
  <c r="B691" i="5"/>
  <c r="A691" i="5"/>
  <c r="K690" i="5"/>
  <c r="L690" i="5" s="1"/>
  <c r="J690" i="5"/>
  <c r="I690" i="5"/>
  <c r="H690" i="5"/>
  <c r="G690" i="5"/>
  <c r="F690" i="5"/>
  <c r="E690" i="5"/>
  <c r="D690" i="5"/>
  <c r="B690" i="5"/>
  <c r="C690" i="5" s="1"/>
  <c r="A690" i="5"/>
  <c r="K689" i="5"/>
  <c r="L689" i="5" s="1"/>
  <c r="J689" i="5"/>
  <c r="I689" i="5"/>
  <c r="H689" i="5"/>
  <c r="G689" i="5"/>
  <c r="F689" i="5"/>
  <c r="E689" i="5"/>
  <c r="D689" i="5"/>
  <c r="B689" i="5"/>
  <c r="C689" i="5" s="1"/>
  <c r="A689" i="5"/>
  <c r="K688" i="5"/>
  <c r="L688" i="5" s="1"/>
  <c r="J688" i="5"/>
  <c r="I688" i="5"/>
  <c r="H688" i="5"/>
  <c r="G688" i="5"/>
  <c r="F688" i="5"/>
  <c r="E688" i="5"/>
  <c r="D688" i="5"/>
  <c r="B688" i="5"/>
  <c r="C688" i="5" s="1"/>
  <c r="A688" i="5"/>
  <c r="K687" i="5"/>
  <c r="L687" i="5" s="1"/>
  <c r="J687" i="5"/>
  <c r="I687" i="5"/>
  <c r="H687" i="5"/>
  <c r="G687" i="5"/>
  <c r="F687" i="5"/>
  <c r="E687" i="5"/>
  <c r="D687" i="5"/>
  <c r="B687" i="5"/>
  <c r="C687" i="5" s="1"/>
  <c r="A687" i="5"/>
  <c r="K686" i="5"/>
  <c r="L686" i="5" s="1"/>
  <c r="J686" i="5"/>
  <c r="I686" i="5"/>
  <c r="H686" i="5"/>
  <c r="G686" i="5"/>
  <c r="F686" i="5"/>
  <c r="E686" i="5"/>
  <c r="D686" i="5"/>
  <c r="B686" i="5"/>
  <c r="C686" i="5" s="1"/>
  <c r="A686" i="5"/>
  <c r="K685" i="5"/>
  <c r="L685" i="5" s="1"/>
  <c r="J685" i="5"/>
  <c r="I685" i="5"/>
  <c r="H685" i="5"/>
  <c r="G685" i="5"/>
  <c r="F685" i="5"/>
  <c r="E685" i="5"/>
  <c r="D685" i="5"/>
  <c r="B685" i="5"/>
  <c r="C685" i="5" s="1"/>
  <c r="A685" i="5"/>
  <c r="K684" i="5"/>
  <c r="L684" i="5" s="1"/>
  <c r="J684" i="5"/>
  <c r="I684" i="5"/>
  <c r="H684" i="5"/>
  <c r="G684" i="5"/>
  <c r="F684" i="5"/>
  <c r="E684" i="5"/>
  <c r="D684" i="5"/>
  <c r="B684" i="5"/>
  <c r="C684" i="5" s="1"/>
  <c r="A684" i="5"/>
  <c r="K683" i="5"/>
  <c r="L683" i="5" s="1"/>
  <c r="J683" i="5"/>
  <c r="I683" i="5"/>
  <c r="H683" i="5"/>
  <c r="G683" i="5"/>
  <c r="F683" i="5"/>
  <c r="E683" i="5"/>
  <c r="D683" i="5"/>
  <c r="C683" i="5"/>
  <c r="B683" i="5"/>
  <c r="A683" i="5"/>
  <c r="K682" i="5"/>
  <c r="L682" i="5" s="1"/>
  <c r="J682" i="5"/>
  <c r="I682" i="5"/>
  <c r="H682" i="5"/>
  <c r="G682" i="5"/>
  <c r="F682" i="5"/>
  <c r="E682" i="5"/>
  <c r="D682" i="5"/>
  <c r="B682" i="5"/>
  <c r="C682" i="5" s="1"/>
  <c r="A682" i="5"/>
  <c r="K681" i="5"/>
  <c r="L681" i="5" s="1"/>
  <c r="J681" i="5"/>
  <c r="I681" i="5"/>
  <c r="H681" i="5"/>
  <c r="G681" i="5"/>
  <c r="F681" i="5"/>
  <c r="E681" i="5"/>
  <c r="D681" i="5"/>
  <c r="B681" i="5"/>
  <c r="C681" i="5" s="1"/>
  <c r="A681" i="5"/>
  <c r="K680" i="5"/>
  <c r="L680" i="5" s="1"/>
  <c r="J680" i="5"/>
  <c r="I680" i="5"/>
  <c r="H680" i="5"/>
  <c r="G680" i="5"/>
  <c r="F680" i="5"/>
  <c r="E680" i="5"/>
  <c r="D680" i="5"/>
  <c r="B680" i="5"/>
  <c r="C680" i="5" s="1"/>
  <c r="A680" i="5"/>
  <c r="K679" i="5"/>
  <c r="L679" i="5" s="1"/>
  <c r="J679" i="5"/>
  <c r="I679" i="5"/>
  <c r="H679" i="5"/>
  <c r="G679" i="5"/>
  <c r="F679" i="5"/>
  <c r="E679" i="5"/>
  <c r="D679" i="5"/>
  <c r="B679" i="5"/>
  <c r="C679" i="5" s="1"/>
  <c r="A679" i="5"/>
  <c r="K678" i="5"/>
  <c r="L678" i="5" s="1"/>
  <c r="J678" i="5"/>
  <c r="I678" i="5"/>
  <c r="H678" i="5"/>
  <c r="G678" i="5"/>
  <c r="F678" i="5"/>
  <c r="E678" i="5"/>
  <c r="D678" i="5"/>
  <c r="B678" i="5"/>
  <c r="C678" i="5" s="1"/>
  <c r="A678" i="5"/>
  <c r="K677" i="5"/>
  <c r="L677" i="5" s="1"/>
  <c r="J677" i="5"/>
  <c r="I677" i="5"/>
  <c r="H677" i="5"/>
  <c r="G677" i="5"/>
  <c r="F677" i="5"/>
  <c r="E677" i="5"/>
  <c r="D677" i="5"/>
  <c r="B677" i="5"/>
  <c r="C677" i="5" s="1"/>
  <c r="A677" i="5"/>
  <c r="K676" i="5"/>
  <c r="L676" i="5" s="1"/>
  <c r="J676" i="5"/>
  <c r="I676" i="5"/>
  <c r="H676" i="5"/>
  <c r="G676" i="5"/>
  <c r="F676" i="5"/>
  <c r="E676" i="5"/>
  <c r="D676" i="5"/>
  <c r="B676" i="5"/>
  <c r="C676" i="5" s="1"/>
  <c r="A676" i="5"/>
  <c r="K675" i="5"/>
  <c r="L675" i="5" s="1"/>
  <c r="J675" i="5"/>
  <c r="I675" i="5"/>
  <c r="H675" i="5"/>
  <c r="G675" i="5"/>
  <c r="F675" i="5"/>
  <c r="E675" i="5"/>
  <c r="D675" i="5"/>
  <c r="C675" i="5"/>
  <c r="B675" i="5"/>
  <c r="A675" i="5"/>
  <c r="K674" i="5"/>
  <c r="L674" i="5" s="1"/>
  <c r="J674" i="5"/>
  <c r="I674" i="5"/>
  <c r="H674" i="5"/>
  <c r="G674" i="5"/>
  <c r="F674" i="5"/>
  <c r="E674" i="5"/>
  <c r="D674" i="5"/>
  <c r="B674" i="5"/>
  <c r="C674" i="5" s="1"/>
  <c r="A674" i="5"/>
  <c r="K673" i="5"/>
  <c r="L673" i="5" s="1"/>
  <c r="J673" i="5"/>
  <c r="I673" i="5"/>
  <c r="H673" i="5"/>
  <c r="G673" i="5"/>
  <c r="F673" i="5"/>
  <c r="E673" i="5"/>
  <c r="D673" i="5"/>
  <c r="B673" i="5"/>
  <c r="C673" i="5" s="1"/>
  <c r="A673" i="5"/>
  <c r="K672" i="5"/>
  <c r="L672" i="5" s="1"/>
  <c r="J672" i="5"/>
  <c r="I672" i="5"/>
  <c r="H672" i="5"/>
  <c r="G672" i="5"/>
  <c r="F672" i="5"/>
  <c r="E672" i="5"/>
  <c r="D672" i="5"/>
  <c r="B672" i="5"/>
  <c r="C672" i="5" s="1"/>
  <c r="A672" i="5"/>
  <c r="K671" i="5"/>
  <c r="L671" i="5" s="1"/>
  <c r="J671" i="5"/>
  <c r="I671" i="5"/>
  <c r="H671" i="5"/>
  <c r="G671" i="5"/>
  <c r="F671" i="5"/>
  <c r="E671" i="5"/>
  <c r="D671" i="5"/>
  <c r="B671" i="5"/>
  <c r="C671" i="5" s="1"/>
  <c r="A671" i="5"/>
  <c r="K670" i="5"/>
  <c r="L670" i="5" s="1"/>
  <c r="J670" i="5"/>
  <c r="I670" i="5"/>
  <c r="H670" i="5"/>
  <c r="G670" i="5"/>
  <c r="F670" i="5"/>
  <c r="E670" i="5"/>
  <c r="D670" i="5"/>
  <c r="B670" i="5"/>
  <c r="C670" i="5" s="1"/>
  <c r="A670" i="5"/>
  <c r="K669" i="5"/>
  <c r="L669" i="5" s="1"/>
  <c r="J669" i="5"/>
  <c r="I669" i="5"/>
  <c r="H669" i="5"/>
  <c r="G669" i="5"/>
  <c r="F669" i="5"/>
  <c r="E669" i="5"/>
  <c r="D669" i="5"/>
  <c r="B669" i="5"/>
  <c r="C669" i="5" s="1"/>
  <c r="A669" i="5"/>
  <c r="K668" i="5"/>
  <c r="L668" i="5" s="1"/>
  <c r="J668" i="5"/>
  <c r="I668" i="5"/>
  <c r="H668" i="5"/>
  <c r="G668" i="5"/>
  <c r="F668" i="5"/>
  <c r="E668" i="5"/>
  <c r="D668" i="5"/>
  <c r="B668" i="5"/>
  <c r="C668" i="5" s="1"/>
  <c r="A668" i="5"/>
  <c r="K667" i="5"/>
  <c r="L667" i="5" s="1"/>
  <c r="J667" i="5"/>
  <c r="I667" i="5"/>
  <c r="H667" i="5"/>
  <c r="G667" i="5"/>
  <c r="F667" i="5"/>
  <c r="E667" i="5"/>
  <c r="D667" i="5"/>
  <c r="C667" i="5"/>
  <c r="B667" i="5"/>
  <c r="A667" i="5"/>
  <c r="K666" i="5"/>
  <c r="L666" i="5" s="1"/>
  <c r="J666" i="5"/>
  <c r="I666" i="5"/>
  <c r="H666" i="5"/>
  <c r="G666" i="5"/>
  <c r="F666" i="5"/>
  <c r="E666" i="5"/>
  <c r="D666" i="5"/>
  <c r="B666" i="5"/>
  <c r="C666" i="5" s="1"/>
  <c r="A666" i="5"/>
  <c r="K665" i="5"/>
  <c r="L665" i="5" s="1"/>
  <c r="J665" i="5"/>
  <c r="I665" i="5"/>
  <c r="H665" i="5"/>
  <c r="G665" i="5"/>
  <c r="F665" i="5"/>
  <c r="E665" i="5"/>
  <c r="D665" i="5"/>
  <c r="B665" i="5"/>
  <c r="C665" i="5" s="1"/>
  <c r="A665" i="5"/>
  <c r="K664" i="5"/>
  <c r="L664" i="5" s="1"/>
  <c r="J664" i="5"/>
  <c r="I664" i="5"/>
  <c r="H664" i="5"/>
  <c r="G664" i="5"/>
  <c r="F664" i="5"/>
  <c r="E664" i="5"/>
  <c r="D664" i="5"/>
  <c r="B664" i="5"/>
  <c r="C664" i="5" s="1"/>
  <c r="A664" i="5"/>
  <c r="K663" i="5"/>
  <c r="L663" i="5" s="1"/>
  <c r="J663" i="5"/>
  <c r="I663" i="5"/>
  <c r="H663" i="5"/>
  <c r="G663" i="5"/>
  <c r="F663" i="5"/>
  <c r="E663" i="5"/>
  <c r="D663" i="5"/>
  <c r="B663" i="5"/>
  <c r="C663" i="5" s="1"/>
  <c r="A663" i="5"/>
  <c r="K662" i="5"/>
  <c r="L662" i="5" s="1"/>
  <c r="J662" i="5"/>
  <c r="I662" i="5"/>
  <c r="H662" i="5"/>
  <c r="G662" i="5"/>
  <c r="F662" i="5"/>
  <c r="E662" i="5"/>
  <c r="D662" i="5"/>
  <c r="B662" i="5"/>
  <c r="C662" i="5" s="1"/>
  <c r="A662" i="5"/>
  <c r="K661" i="5"/>
  <c r="L661" i="5" s="1"/>
  <c r="J661" i="5"/>
  <c r="I661" i="5"/>
  <c r="H661" i="5"/>
  <c r="G661" i="5"/>
  <c r="F661" i="5"/>
  <c r="E661" i="5"/>
  <c r="D661" i="5"/>
  <c r="B661" i="5"/>
  <c r="C661" i="5" s="1"/>
  <c r="A661" i="5"/>
  <c r="K660" i="5"/>
  <c r="L660" i="5" s="1"/>
  <c r="J660" i="5"/>
  <c r="I660" i="5"/>
  <c r="H660" i="5"/>
  <c r="G660" i="5"/>
  <c r="F660" i="5"/>
  <c r="E660" i="5"/>
  <c r="D660" i="5"/>
  <c r="B660" i="5"/>
  <c r="C660" i="5" s="1"/>
  <c r="A660" i="5"/>
  <c r="K659" i="5"/>
  <c r="L659" i="5" s="1"/>
  <c r="J659" i="5"/>
  <c r="I659" i="5"/>
  <c r="H659" i="5"/>
  <c r="G659" i="5"/>
  <c r="F659" i="5"/>
  <c r="E659" i="5"/>
  <c r="D659" i="5"/>
  <c r="C659" i="5"/>
  <c r="B659" i="5"/>
  <c r="A659" i="5"/>
  <c r="K658" i="5"/>
  <c r="L658" i="5" s="1"/>
  <c r="J658" i="5"/>
  <c r="I658" i="5"/>
  <c r="H658" i="5"/>
  <c r="G658" i="5"/>
  <c r="F658" i="5"/>
  <c r="E658" i="5"/>
  <c r="D658" i="5"/>
  <c r="B658" i="5"/>
  <c r="C658" i="5" s="1"/>
  <c r="A658" i="5"/>
  <c r="K657" i="5"/>
  <c r="L657" i="5" s="1"/>
  <c r="J657" i="5"/>
  <c r="I657" i="5"/>
  <c r="H657" i="5"/>
  <c r="G657" i="5"/>
  <c r="F657" i="5"/>
  <c r="E657" i="5"/>
  <c r="D657" i="5"/>
  <c r="B657" i="5"/>
  <c r="C657" i="5" s="1"/>
  <c r="A657" i="5"/>
  <c r="K656" i="5"/>
  <c r="L656" i="5" s="1"/>
  <c r="J656" i="5"/>
  <c r="I656" i="5"/>
  <c r="H656" i="5"/>
  <c r="G656" i="5"/>
  <c r="F656" i="5"/>
  <c r="E656" i="5"/>
  <c r="D656" i="5"/>
  <c r="B656" i="5"/>
  <c r="C656" i="5" s="1"/>
  <c r="A656" i="5"/>
  <c r="K655" i="5"/>
  <c r="L655" i="5" s="1"/>
  <c r="J655" i="5"/>
  <c r="I655" i="5"/>
  <c r="H655" i="5"/>
  <c r="G655" i="5"/>
  <c r="F655" i="5"/>
  <c r="E655" i="5"/>
  <c r="D655" i="5"/>
  <c r="B655" i="5"/>
  <c r="C655" i="5" s="1"/>
  <c r="A655" i="5"/>
  <c r="K654" i="5"/>
  <c r="L654" i="5" s="1"/>
  <c r="J654" i="5"/>
  <c r="I654" i="5"/>
  <c r="H654" i="5"/>
  <c r="G654" i="5"/>
  <c r="F654" i="5"/>
  <c r="E654" i="5"/>
  <c r="D654" i="5"/>
  <c r="B654" i="5"/>
  <c r="C654" i="5" s="1"/>
  <c r="A654" i="5"/>
  <c r="K653" i="5"/>
  <c r="L653" i="5" s="1"/>
  <c r="J653" i="5"/>
  <c r="I653" i="5"/>
  <c r="H653" i="5"/>
  <c r="G653" i="5"/>
  <c r="F653" i="5"/>
  <c r="E653" i="5"/>
  <c r="D653" i="5"/>
  <c r="B653" i="5"/>
  <c r="C653" i="5" s="1"/>
  <c r="A653" i="5"/>
  <c r="K652" i="5"/>
  <c r="L652" i="5" s="1"/>
  <c r="J652" i="5"/>
  <c r="I652" i="5"/>
  <c r="H652" i="5"/>
  <c r="G652" i="5"/>
  <c r="F652" i="5"/>
  <c r="E652" i="5"/>
  <c r="D652" i="5"/>
  <c r="B652" i="5"/>
  <c r="C652" i="5" s="1"/>
  <c r="A652" i="5"/>
  <c r="K651" i="5"/>
  <c r="L651" i="5" s="1"/>
  <c r="J651" i="5"/>
  <c r="I651" i="5"/>
  <c r="H651" i="5"/>
  <c r="G651" i="5"/>
  <c r="F651" i="5"/>
  <c r="E651" i="5"/>
  <c r="D651" i="5"/>
  <c r="C651" i="5"/>
  <c r="B651" i="5"/>
  <c r="A651" i="5"/>
  <c r="K650" i="5"/>
  <c r="L650" i="5" s="1"/>
  <c r="J650" i="5"/>
  <c r="I650" i="5"/>
  <c r="H650" i="5"/>
  <c r="G650" i="5"/>
  <c r="F650" i="5"/>
  <c r="E650" i="5"/>
  <c r="D650" i="5"/>
  <c r="B650" i="5"/>
  <c r="C650" i="5" s="1"/>
  <c r="A650" i="5"/>
  <c r="K649" i="5"/>
  <c r="L649" i="5" s="1"/>
  <c r="J649" i="5"/>
  <c r="I649" i="5"/>
  <c r="H649" i="5"/>
  <c r="G649" i="5"/>
  <c r="F649" i="5"/>
  <c r="E649" i="5"/>
  <c r="D649" i="5"/>
  <c r="B649" i="5"/>
  <c r="C649" i="5" s="1"/>
  <c r="A649" i="5"/>
  <c r="K648" i="5"/>
  <c r="L648" i="5" s="1"/>
  <c r="J648" i="5"/>
  <c r="I648" i="5"/>
  <c r="H648" i="5"/>
  <c r="G648" i="5"/>
  <c r="F648" i="5"/>
  <c r="E648" i="5"/>
  <c r="D648" i="5"/>
  <c r="B648" i="5"/>
  <c r="C648" i="5" s="1"/>
  <c r="A648" i="5"/>
  <c r="K647" i="5"/>
  <c r="L647" i="5" s="1"/>
  <c r="J647" i="5"/>
  <c r="I647" i="5"/>
  <c r="H647" i="5"/>
  <c r="G647" i="5"/>
  <c r="F647" i="5"/>
  <c r="E647" i="5"/>
  <c r="D647" i="5"/>
  <c r="B647" i="5"/>
  <c r="C647" i="5" s="1"/>
  <c r="A647" i="5"/>
  <c r="K646" i="5"/>
  <c r="L646" i="5" s="1"/>
  <c r="J646" i="5"/>
  <c r="I646" i="5"/>
  <c r="H646" i="5"/>
  <c r="G646" i="5"/>
  <c r="F646" i="5"/>
  <c r="E646" i="5"/>
  <c r="D646" i="5"/>
  <c r="B646" i="5"/>
  <c r="C646" i="5" s="1"/>
  <c r="A646" i="5"/>
  <c r="K645" i="5"/>
  <c r="L645" i="5" s="1"/>
  <c r="J645" i="5"/>
  <c r="I645" i="5"/>
  <c r="H645" i="5"/>
  <c r="G645" i="5"/>
  <c r="F645" i="5"/>
  <c r="E645" i="5"/>
  <c r="D645" i="5"/>
  <c r="B645" i="5"/>
  <c r="C645" i="5" s="1"/>
  <c r="A645" i="5"/>
  <c r="K644" i="5"/>
  <c r="L644" i="5" s="1"/>
  <c r="J644" i="5"/>
  <c r="I644" i="5"/>
  <c r="H644" i="5"/>
  <c r="G644" i="5"/>
  <c r="F644" i="5"/>
  <c r="E644" i="5"/>
  <c r="D644" i="5"/>
  <c r="B644" i="5"/>
  <c r="C644" i="5" s="1"/>
  <c r="A644" i="5"/>
  <c r="K643" i="5"/>
  <c r="L643" i="5" s="1"/>
  <c r="J643" i="5"/>
  <c r="I643" i="5"/>
  <c r="H643" i="5"/>
  <c r="G643" i="5"/>
  <c r="F643" i="5"/>
  <c r="E643" i="5"/>
  <c r="D643" i="5"/>
  <c r="C643" i="5"/>
  <c r="B643" i="5"/>
  <c r="A643" i="5"/>
  <c r="K642" i="5"/>
  <c r="L642" i="5" s="1"/>
  <c r="J642" i="5"/>
  <c r="I642" i="5"/>
  <c r="H642" i="5"/>
  <c r="G642" i="5"/>
  <c r="F642" i="5"/>
  <c r="E642" i="5"/>
  <c r="D642" i="5"/>
  <c r="B642" i="5"/>
  <c r="C642" i="5" s="1"/>
  <c r="A642" i="5"/>
  <c r="K641" i="5"/>
  <c r="L641" i="5" s="1"/>
  <c r="J641" i="5"/>
  <c r="I641" i="5"/>
  <c r="H641" i="5"/>
  <c r="G641" i="5"/>
  <c r="F641" i="5"/>
  <c r="E641" i="5"/>
  <c r="D641" i="5"/>
  <c r="B641" i="5"/>
  <c r="C641" i="5" s="1"/>
  <c r="A641" i="5"/>
  <c r="K640" i="5"/>
  <c r="L640" i="5" s="1"/>
  <c r="J640" i="5"/>
  <c r="I640" i="5"/>
  <c r="H640" i="5"/>
  <c r="G640" i="5"/>
  <c r="F640" i="5"/>
  <c r="E640" i="5"/>
  <c r="D640" i="5"/>
  <c r="B640" i="5"/>
  <c r="C640" i="5" s="1"/>
  <c r="A640" i="5"/>
  <c r="K639" i="5"/>
  <c r="L639" i="5" s="1"/>
  <c r="J639" i="5"/>
  <c r="I639" i="5"/>
  <c r="H639" i="5"/>
  <c r="G639" i="5"/>
  <c r="F639" i="5"/>
  <c r="E639" i="5"/>
  <c r="D639" i="5"/>
  <c r="B639" i="5"/>
  <c r="C639" i="5" s="1"/>
  <c r="A639" i="5"/>
  <c r="K638" i="5"/>
  <c r="L638" i="5" s="1"/>
  <c r="J638" i="5"/>
  <c r="I638" i="5"/>
  <c r="H638" i="5"/>
  <c r="G638" i="5"/>
  <c r="F638" i="5"/>
  <c r="E638" i="5"/>
  <c r="D638" i="5"/>
  <c r="B638" i="5"/>
  <c r="C638" i="5" s="1"/>
  <c r="A638" i="5"/>
  <c r="K637" i="5"/>
  <c r="L637" i="5" s="1"/>
  <c r="J637" i="5"/>
  <c r="I637" i="5"/>
  <c r="H637" i="5"/>
  <c r="G637" i="5"/>
  <c r="F637" i="5"/>
  <c r="E637" i="5"/>
  <c r="D637" i="5"/>
  <c r="B637" i="5"/>
  <c r="C637" i="5" s="1"/>
  <c r="A637" i="5"/>
  <c r="K636" i="5"/>
  <c r="L636" i="5" s="1"/>
  <c r="J636" i="5"/>
  <c r="I636" i="5"/>
  <c r="H636" i="5"/>
  <c r="G636" i="5"/>
  <c r="F636" i="5"/>
  <c r="E636" i="5"/>
  <c r="D636" i="5"/>
  <c r="B636" i="5"/>
  <c r="C636" i="5" s="1"/>
  <c r="A636" i="5"/>
  <c r="K635" i="5"/>
  <c r="L635" i="5" s="1"/>
  <c r="J635" i="5"/>
  <c r="I635" i="5"/>
  <c r="H635" i="5"/>
  <c r="G635" i="5"/>
  <c r="F635" i="5"/>
  <c r="E635" i="5"/>
  <c r="D635" i="5"/>
  <c r="C635" i="5"/>
  <c r="B635" i="5"/>
  <c r="A635" i="5"/>
  <c r="K634" i="5"/>
  <c r="L634" i="5" s="1"/>
  <c r="J634" i="5"/>
  <c r="I634" i="5"/>
  <c r="H634" i="5"/>
  <c r="G634" i="5"/>
  <c r="F634" i="5"/>
  <c r="E634" i="5"/>
  <c r="D634" i="5"/>
  <c r="B634" i="5"/>
  <c r="C634" i="5" s="1"/>
  <c r="A634" i="5"/>
  <c r="K633" i="5"/>
  <c r="L633" i="5" s="1"/>
  <c r="J633" i="5"/>
  <c r="I633" i="5"/>
  <c r="H633" i="5"/>
  <c r="G633" i="5"/>
  <c r="F633" i="5"/>
  <c r="E633" i="5"/>
  <c r="D633" i="5"/>
  <c r="B633" i="5"/>
  <c r="C633" i="5" s="1"/>
  <c r="A633" i="5"/>
  <c r="K632" i="5"/>
  <c r="L632" i="5" s="1"/>
  <c r="J632" i="5"/>
  <c r="I632" i="5"/>
  <c r="H632" i="5"/>
  <c r="G632" i="5"/>
  <c r="F632" i="5"/>
  <c r="E632" i="5"/>
  <c r="D632" i="5"/>
  <c r="B632" i="5"/>
  <c r="C632" i="5" s="1"/>
  <c r="A632" i="5"/>
  <c r="K631" i="5"/>
  <c r="L631" i="5" s="1"/>
  <c r="J631" i="5"/>
  <c r="I631" i="5"/>
  <c r="H631" i="5"/>
  <c r="G631" i="5"/>
  <c r="F631" i="5"/>
  <c r="E631" i="5"/>
  <c r="D631" i="5"/>
  <c r="B631" i="5"/>
  <c r="C631" i="5" s="1"/>
  <c r="A631" i="5"/>
  <c r="K630" i="5"/>
  <c r="L630" i="5" s="1"/>
  <c r="J630" i="5"/>
  <c r="I630" i="5"/>
  <c r="H630" i="5"/>
  <c r="G630" i="5"/>
  <c r="F630" i="5"/>
  <c r="E630" i="5"/>
  <c r="D630" i="5"/>
  <c r="B630" i="5"/>
  <c r="C630" i="5" s="1"/>
  <c r="A630" i="5"/>
  <c r="K629" i="5"/>
  <c r="L629" i="5" s="1"/>
  <c r="J629" i="5"/>
  <c r="I629" i="5"/>
  <c r="H629" i="5"/>
  <c r="G629" i="5"/>
  <c r="F629" i="5"/>
  <c r="E629" i="5"/>
  <c r="D629" i="5"/>
  <c r="B629" i="5"/>
  <c r="C629" i="5" s="1"/>
  <c r="A629" i="5"/>
  <c r="K628" i="5"/>
  <c r="L628" i="5" s="1"/>
  <c r="J628" i="5"/>
  <c r="I628" i="5"/>
  <c r="H628" i="5"/>
  <c r="G628" i="5"/>
  <c r="F628" i="5"/>
  <c r="E628" i="5"/>
  <c r="D628" i="5"/>
  <c r="B628" i="5"/>
  <c r="C628" i="5" s="1"/>
  <c r="A628" i="5"/>
  <c r="K627" i="5"/>
  <c r="L627" i="5" s="1"/>
  <c r="J627" i="5"/>
  <c r="I627" i="5"/>
  <c r="H627" i="5"/>
  <c r="G627" i="5"/>
  <c r="F627" i="5"/>
  <c r="E627" i="5"/>
  <c r="D627" i="5"/>
  <c r="C627" i="5"/>
  <c r="B627" i="5"/>
  <c r="A627" i="5"/>
  <c r="K626" i="5"/>
  <c r="L626" i="5" s="1"/>
  <c r="J626" i="5"/>
  <c r="I626" i="5"/>
  <c r="H626" i="5"/>
  <c r="G626" i="5"/>
  <c r="F626" i="5"/>
  <c r="E626" i="5"/>
  <c r="D626" i="5"/>
  <c r="B626" i="5"/>
  <c r="C626" i="5" s="1"/>
  <c r="A626" i="5"/>
  <c r="K625" i="5"/>
  <c r="L625" i="5" s="1"/>
  <c r="J625" i="5"/>
  <c r="I625" i="5"/>
  <c r="H625" i="5"/>
  <c r="G625" i="5"/>
  <c r="F625" i="5"/>
  <c r="E625" i="5"/>
  <c r="D625" i="5"/>
  <c r="B625" i="5"/>
  <c r="C625" i="5" s="1"/>
  <c r="A625" i="5"/>
  <c r="K624" i="5"/>
  <c r="L624" i="5" s="1"/>
  <c r="J624" i="5"/>
  <c r="I624" i="5"/>
  <c r="H624" i="5"/>
  <c r="G624" i="5"/>
  <c r="F624" i="5"/>
  <c r="E624" i="5"/>
  <c r="D624" i="5"/>
  <c r="B624" i="5"/>
  <c r="C624" i="5" s="1"/>
  <c r="A624" i="5"/>
  <c r="K623" i="5"/>
  <c r="L623" i="5" s="1"/>
  <c r="J623" i="5"/>
  <c r="I623" i="5"/>
  <c r="H623" i="5"/>
  <c r="G623" i="5"/>
  <c r="F623" i="5"/>
  <c r="E623" i="5"/>
  <c r="D623" i="5"/>
  <c r="B623" i="5"/>
  <c r="C623" i="5" s="1"/>
  <c r="A623" i="5"/>
  <c r="K622" i="5"/>
  <c r="L622" i="5" s="1"/>
  <c r="J622" i="5"/>
  <c r="I622" i="5"/>
  <c r="H622" i="5"/>
  <c r="G622" i="5"/>
  <c r="F622" i="5"/>
  <c r="E622" i="5"/>
  <c r="D622" i="5"/>
  <c r="B622" i="5"/>
  <c r="C622" i="5" s="1"/>
  <c r="A622" i="5"/>
  <c r="K621" i="5"/>
  <c r="L621" i="5" s="1"/>
  <c r="J621" i="5"/>
  <c r="I621" i="5"/>
  <c r="H621" i="5"/>
  <c r="G621" i="5"/>
  <c r="F621" i="5"/>
  <c r="E621" i="5"/>
  <c r="D621" i="5"/>
  <c r="B621" i="5"/>
  <c r="C621" i="5" s="1"/>
  <c r="A621" i="5"/>
  <c r="K620" i="5"/>
  <c r="L620" i="5" s="1"/>
  <c r="J620" i="5"/>
  <c r="I620" i="5"/>
  <c r="H620" i="5"/>
  <c r="G620" i="5"/>
  <c r="F620" i="5"/>
  <c r="E620" i="5"/>
  <c r="D620" i="5"/>
  <c r="B620" i="5"/>
  <c r="C620" i="5" s="1"/>
  <c r="A620" i="5"/>
  <c r="K619" i="5"/>
  <c r="L619" i="5" s="1"/>
  <c r="J619" i="5"/>
  <c r="I619" i="5"/>
  <c r="H619" i="5"/>
  <c r="G619" i="5"/>
  <c r="F619" i="5"/>
  <c r="E619" i="5"/>
  <c r="D619" i="5"/>
  <c r="B619" i="5"/>
  <c r="C619" i="5" s="1"/>
  <c r="A619" i="5"/>
  <c r="K618" i="5"/>
  <c r="L618" i="5" s="1"/>
  <c r="J618" i="5"/>
  <c r="I618" i="5"/>
  <c r="H618" i="5"/>
  <c r="G618" i="5"/>
  <c r="F618" i="5"/>
  <c r="E618" i="5"/>
  <c r="D618" i="5"/>
  <c r="B618" i="5"/>
  <c r="C618" i="5" s="1"/>
  <c r="A618" i="5"/>
  <c r="L617" i="5"/>
  <c r="K617" i="5"/>
  <c r="J617" i="5"/>
  <c r="I617" i="5"/>
  <c r="H617" i="5"/>
  <c r="G617" i="5"/>
  <c r="F617" i="5"/>
  <c r="E617" i="5"/>
  <c r="D617" i="5"/>
  <c r="B617" i="5"/>
  <c r="C617" i="5" s="1"/>
  <c r="A617" i="5"/>
  <c r="K616" i="5"/>
  <c r="L616" i="5" s="1"/>
  <c r="J616" i="5"/>
  <c r="I616" i="5"/>
  <c r="H616" i="5"/>
  <c r="G616" i="5"/>
  <c r="F616" i="5"/>
  <c r="E616" i="5"/>
  <c r="D616" i="5"/>
  <c r="B616" i="5"/>
  <c r="C616" i="5" s="1"/>
  <c r="A616" i="5"/>
  <c r="K615" i="5"/>
  <c r="L615" i="5" s="1"/>
  <c r="J615" i="5"/>
  <c r="I615" i="5"/>
  <c r="H615" i="5"/>
  <c r="G615" i="5"/>
  <c r="F615" i="5"/>
  <c r="E615" i="5"/>
  <c r="D615" i="5"/>
  <c r="B615" i="5"/>
  <c r="C615" i="5" s="1"/>
  <c r="A615" i="5"/>
  <c r="K614" i="5"/>
  <c r="L614" i="5" s="1"/>
  <c r="J614" i="5"/>
  <c r="I614" i="5"/>
  <c r="H614" i="5"/>
  <c r="G614" i="5"/>
  <c r="F614" i="5"/>
  <c r="E614" i="5"/>
  <c r="D614" i="5"/>
  <c r="B614" i="5"/>
  <c r="C614" i="5" s="1"/>
  <c r="A614" i="5"/>
  <c r="K613" i="5"/>
  <c r="L613" i="5" s="1"/>
  <c r="J613" i="5"/>
  <c r="I613" i="5"/>
  <c r="H613" i="5"/>
  <c r="G613" i="5"/>
  <c r="F613" i="5"/>
  <c r="E613" i="5"/>
  <c r="D613" i="5"/>
  <c r="B613" i="5"/>
  <c r="C613" i="5" s="1"/>
  <c r="A613" i="5"/>
  <c r="K612" i="5"/>
  <c r="L612" i="5" s="1"/>
  <c r="J612" i="5"/>
  <c r="I612" i="5"/>
  <c r="H612" i="5"/>
  <c r="G612" i="5"/>
  <c r="F612" i="5"/>
  <c r="E612" i="5"/>
  <c r="D612" i="5"/>
  <c r="B612" i="5"/>
  <c r="C612" i="5" s="1"/>
  <c r="A612" i="5"/>
  <c r="K611" i="5"/>
  <c r="L611" i="5" s="1"/>
  <c r="J611" i="5"/>
  <c r="I611" i="5"/>
  <c r="H611" i="5"/>
  <c r="G611" i="5"/>
  <c r="F611" i="5"/>
  <c r="E611" i="5"/>
  <c r="D611" i="5"/>
  <c r="B611" i="5"/>
  <c r="C611" i="5" s="1"/>
  <c r="A611" i="5"/>
  <c r="K610" i="5"/>
  <c r="L610" i="5" s="1"/>
  <c r="J610" i="5"/>
  <c r="I610" i="5"/>
  <c r="H610" i="5"/>
  <c r="G610" i="5"/>
  <c r="F610" i="5"/>
  <c r="E610" i="5"/>
  <c r="D610" i="5"/>
  <c r="B610" i="5"/>
  <c r="C610" i="5" s="1"/>
  <c r="A610" i="5"/>
  <c r="K609" i="5"/>
  <c r="L609" i="5" s="1"/>
  <c r="J609" i="5"/>
  <c r="I609" i="5"/>
  <c r="H609" i="5"/>
  <c r="G609" i="5"/>
  <c r="F609" i="5"/>
  <c r="E609" i="5"/>
  <c r="D609" i="5"/>
  <c r="B609" i="5"/>
  <c r="C609" i="5" s="1"/>
  <c r="A609" i="5"/>
  <c r="K608" i="5"/>
  <c r="L608" i="5" s="1"/>
  <c r="J608" i="5"/>
  <c r="I608" i="5"/>
  <c r="H608" i="5"/>
  <c r="G608" i="5"/>
  <c r="F608" i="5"/>
  <c r="E608" i="5"/>
  <c r="D608" i="5"/>
  <c r="B608" i="5"/>
  <c r="C608" i="5" s="1"/>
  <c r="A608" i="5"/>
  <c r="K607" i="5"/>
  <c r="L607" i="5" s="1"/>
  <c r="J607" i="5"/>
  <c r="I607" i="5"/>
  <c r="H607" i="5"/>
  <c r="G607" i="5"/>
  <c r="F607" i="5"/>
  <c r="E607" i="5"/>
  <c r="D607" i="5"/>
  <c r="B607" i="5"/>
  <c r="C607" i="5" s="1"/>
  <c r="A607" i="5"/>
  <c r="K606" i="5"/>
  <c r="L606" i="5" s="1"/>
  <c r="J606" i="5"/>
  <c r="I606" i="5"/>
  <c r="H606" i="5"/>
  <c r="G606" i="5"/>
  <c r="F606" i="5"/>
  <c r="E606" i="5"/>
  <c r="D606" i="5"/>
  <c r="B606" i="5"/>
  <c r="C606" i="5" s="1"/>
  <c r="A606" i="5"/>
  <c r="K605" i="5"/>
  <c r="L605" i="5" s="1"/>
  <c r="J605" i="5"/>
  <c r="I605" i="5"/>
  <c r="H605" i="5"/>
  <c r="G605" i="5"/>
  <c r="F605" i="5"/>
  <c r="E605" i="5"/>
  <c r="D605" i="5"/>
  <c r="C605" i="5"/>
  <c r="B605" i="5"/>
  <c r="A605" i="5"/>
  <c r="K604" i="5"/>
  <c r="L604" i="5" s="1"/>
  <c r="J604" i="5"/>
  <c r="I604" i="5"/>
  <c r="H604" i="5"/>
  <c r="G604" i="5"/>
  <c r="F604" i="5"/>
  <c r="E604" i="5"/>
  <c r="D604" i="5"/>
  <c r="B604" i="5"/>
  <c r="C604" i="5" s="1"/>
  <c r="A604" i="5"/>
  <c r="K603" i="5"/>
  <c r="L603" i="5" s="1"/>
  <c r="J603" i="5"/>
  <c r="I603" i="5"/>
  <c r="H603" i="5"/>
  <c r="G603" i="5"/>
  <c r="F603" i="5"/>
  <c r="E603" i="5"/>
  <c r="D603" i="5"/>
  <c r="B603" i="5"/>
  <c r="C603" i="5" s="1"/>
  <c r="A603" i="5"/>
  <c r="K602" i="5"/>
  <c r="L602" i="5" s="1"/>
  <c r="J602" i="5"/>
  <c r="I602" i="5"/>
  <c r="H602" i="5"/>
  <c r="G602" i="5"/>
  <c r="F602" i="5"/>
  <c r="E602" i="5"/>
  <c r="D602" i="5"/>
  <c r="B602" i="5"/>
  <c r="C602" i="5" s="1"/>
  <c r="A602" i="5"/>
  <c r="K601" i="5"/>
  <c r="L601" i="5" s="1"/>
  <c r="J601" i="5"/>
  <c r="I601" i="5"/>
  <c r="H601" i="5"/>
  <c r="G601" i="5"/>
  <c r="F601" i="5"/>
  <c r="E601" i="5"/>
  <c r="D601" i="5"/>
  <c r="B601" i="5"/>
  <c r="C601" i="5" s="1"/>
  <c r="A601" i="5"/>
  <c r="K600" i="5"/>
  <c r="L600" i="5" s="1"/>
  <c r="J600" i="5"/>
  <c r="I600" i="5"/>
  <c r="H600" i="5"/>
  <c r="G600" i="5"/>
  <c r="F600" i="5"/>
  <c r="E600" i="5"/>
  <c r="D600" i="5"/>
  <c r="B600" i="5"/>
  <c r="C600" i="5" s="1"/>
  <c r="A600" i="5"/>
  <c r="K599" i="5"/>
  <c r="L599" i="5" s="1"/>
  <c r="J599" i="5"/>
  <c r="I599" i="5"/>
  <c r="H599" i="5"/>
  <c r="G599" i="5"/>
  <c r="F599" i="5"/>
  <c r="E599" i="5"/>
  <c r="D599" i="5"/>
  <c r="B599" i="5"/>
  <c r="C599" i="5" s="1"/>
  <c r="A599" i="5"/>
  <c r="K598" i="5"/>
  <c r="L598" i="5" s="1"/>
  <c r="J598" i="5"/>
  <c r="I598" i="5"/>
  <c r="H598" i="5"/>
  <c r="G598" i="5"/>
  <c r="F598" i="5"/>
  <c r="E598" i="5"/>
  <c r="D598" i="5"/>
  <c r="B598" i="5"/>
  <c r="C598" i="5" s="1"/>
  <c r="A598" i="5"/>
  <c r="K597" i="5"/>
  <c r="L597" i="5" s="1"/>
  <c r="J597" i="5"/>
  <c r="I597" i="5"/>
  <c r="H597" i="5"/>
  <c r="G597" i="5"/>
  <c r="F597" i="5"/>
  <c r="E597" i="5"/>
  <c r="D597" i="5"/>
  <c r="C597" i="5"/>
  <c r="B597" i="5"/>
  <c r="A597" i="5"/>
  <c r="K596" i="5"/>
  <c r="L596" i="5" s="1"/>
  <c r="J596" i="5"/>
  <c r="I596" i="5"/>
  <c r="H596" i="5"/>
  <c r="G596" i="5"/>
  <c r="F596" i="5"/>
  <c r="E596" i="5"/>
  <c r="D596" i="5"/>
  <c r="B596" i="5"/>
  <c r="C596" i="5" s="1"/>
  <c r="A596" i="5"/>
  <c r="K595" i="5"/>
  <c r="L595" i="5" s="1"/>
  <c r="J595" i="5"/>
  <c r="I595" i="5"/>
  <c r="H595" i="5"/>
  <c r="G595" i="5"/>
  <c r="F595" i="5"/>
  <c r="E595" i="5"/>
  <c r="D595" i="5"/>
  <c r="B595" i="5"/>
  <c r="C595" i="5" s="1"/>
  <c r="A595" i="5"/>
  <c r="K594" i="5"/>
  <c r="L594" i="5" s="1"/>
  <c r="J594" i="5"/>
  <c r="I594" i="5"/>
  <c r="H594" i="5"/>
  <c r="G594" i="5"/>
  <c r="F594" i="5"/>
  <c r="E594" i="5"/>
  <c r="D594" i="5"/>
  <c r="B594" i="5"/>
  <c r="C594" i="5" s="1"/>
  <c r="A594" i="5"/>
  <c r="K593" i="5"/>
  <c r="L593" i="5" s="1"/>
  <c r="J593" i="5"/>
  <c r="I593" i="5"/>
  <c r="H593" i="5"/>
  <c r="G593" i="5"/>
  <c r="F593" i="5"/>
  <c r="E593" i="5"/>
  <c r="D593" i="5"/>
  <c r="B593" i="5"/>
  <c r="C593" i="5" s="1"/>
  <c r="A593" i="5"/>
  <c r="K592" i="5"/>
  <c r="L592" i="5" s="1"/>
  <c r="J592" i="5"/>
  <c r="I592" i="5"/>
  <c r="H592" i="5"/>
  <c r="G592" i="5"/>
  <c r="F592" i="5"/>
  <c r="E592" i="5"/>
  <c r="D592" i="5"/>
  <c r="B592" i="5"/>
  <c r="C592" i="5" s="1"/>
  <c r="A592" i="5"/>
  <c r="K591" i="5"/>
  <c r="L591" i="5" s="1"/>
  <c r="J591" i="5"/>
  <c r="I591" i="5"/>
  <c r="H591" i="5"/>
  <c r="G591" i="5"/>
  <c r="F591" i="5"/>
  <c r="E591" i="5"/>
  <c r="D591" i="5"/>
  <c r="B591" i="5"/>
  <c r="C591" i="5" s="1"/>
  <c r="A591" i="5"/>
  <c r="K590" i="5"/>
  <c r="L590" i="5" s="1"/>
  <c r="J590" i="5"/>
  <c r="I590" i="5"/>
  <c r="H590" i="5"/>
  <c r="G590" i="5"/>
  <c r="F590" i="5"/>
  <c r="E590" i="5"/>
  <c r="D590" i="5"/>
  <c r="B590" i="5"/>
  <c r="C590" i="5" s="1"/>
  <c r="A590" i="5"/>
  <c r="K589" i="5"/>
  <c r="L589" i="5" s="1"/>
  <c r="J589" i="5"/>
  <c r="I589" i="5"/>
  <c r="H589" i="5"/>
  <c r="G589" i="5"/>
  <c r="F589" i="5"/>
  <c r="E589" i="5"/>
  <c r="D589" i="5"/>
  <c r="C589" i="5"/>
  <c r="B589" i="5"/>
  <c r="A589" i="5"/>
  <c r="K588" i="5"/>
  <c r="L588" i="5" s="1"/>
  <c r="J588" i="5"/>
  <c r="I588" i="5"/>
  <c r="H588" i="5"/>
  <c r="G588" i="5"/>
  <c r="F588" i="5"/>
  <c r="E588" i="5"/>
  <c r="D588" i="5"/>
  <c r="B588" i="5"/>
  <c r="C588" i="5" s="1"/>
  <c r="A588" i="5"/>
  <c r="K587" i="5"/>
  <c r="L587" i="5" s="1"/>
  <c r="J587" i="5"/>
  <c r="I587" i="5"/>
  <c r="H587" i="5"/>
  <c r="G587" i="5"/>
  <c r="F587" i="5"/>
  <c r="E587" i="5"/>
  <c r="D587" i="5"/>
  <c r="B587" i="5"/>
  <c r="C587" i="5" s="1"/>
  <c r="A587" i="5"/>
  <c r="K586" i="5"/>
  <c r="L586" i="5" s="1"/>
  <c r="J586" i="5"/>
  <c r="I586" i="5"/>
  <c r="H586" i="5"/>
  <c r="G586" i="5"/>
  <c r="F586" i="5"/>
  <c r="E586" i="5"/>
  <c r="D586" i="5"/>
  <c r="B586" i="5"/>
  <c r="C586" i="5" s="1"/>
  <c r="A586" i="5"/>
  <c r="K585" i="5"/>
  <c r="L585" i="5" s="1"/>
  <c r="J585" i="5"/>
  <c r="I585" i="5"/>
  <c r="H585" i="5"/>
  <c r="G585" i="5"/>
  <c r="F585" i="5"/>
  <c r="E585" i="5"/>
  <c r="D585" i="5"/>
  <c r="B585" i="5"/>
  <c r="C585" i="5" s="1"/>
  <c r="A585" i="5"/>
  <c r="K584" i="5"/>
  <c r="L584" i="5" s="1"/>
  <c r="J584" i="5"/>
  <c r="I584" i="5"/>
  <c r="H584" i="5"/>
  <c r="G584" i="5"/>
  <c r="F584" i="5"/>
  <c r="E584" i="5"/>
  <c r="D584" i="5"/>
  <c r="B584" i="5"/>
  <c r="C584" i="5" s="1"/>
  <c r="A584" i="5"/>
  <c r="K583" i="5"/>
  <c r="L583" i="5" s="1"/>
  <c r="J583" i="5"/>
  <c r="I583" i="5"/>
  <c r="H583" i="5"/>
  <c r="G583" i="5"/>
  <c r="F583" i="5"/>
  <c r="E583" i="5"/>
  <c r="D583" i="5"/>
  <c r="B583" i="5"/>
  <c r="C583" i="5" s="1"/>
  <c r="A583" i="5"/>
  <c r="K582" i="5"/>
  <c r="L582" i="5" s="1"/>
  <c r="J582" i="5"/>
  <c r="I582" i="5"/>
  <c r="H582" i="5"/>
  <c r="G582" i="5"/>
  <c r="F582" i="5"/>
  <c r="E582" i="5"/>
  <c r="D582" i="5"/>
  <c r="B582" i="5"/>
  <c r="C582" i="5" s="1"/>
  <c r="A582" i="5"/>
  <c r="K581" i="5"/>
  <c r="L581" i="5" s="1"/>
  <c r="J581" i="5"/>
  <c r="I581" i="5"/>
  <c r="H581" i="5"/>
  <c r="G581" i="5"/>
  <c r="F581" i="5"/>
  <c r="E581" i="5"/>
  <c r="D581" i="5"/>
  <c r="C581" i="5"/>
  <c r="B581" i="5"/>
  <c r="A581" i="5"/>
  <c r="K580" i="5"/>
  <c r="L580" i="5" s="1"/>
  <c r="J580" i="5"/>
  <c r="I580" i="5"/>
  <c r="H580" i="5"/>
  <c r="G580" i="5"/>
  <c r="F580" i="5"/>
  <c r="E580" i="5"/>
  <c r="D580" i="5"/>
  <c r="B580" i="5"/>
  <c r="C580" i="5" s="1"/>
  <c r="A580" i="5"/>
  <c r="K579" i="5"/>
  <c r="L579" i="5" s="1"/>
  <c r="J579" i="5"/>
  <c r="I579" i="5"/>
  <c r="H579" i="5"/>
  <c r="G579" i="5"/>
  <c r="F579" i="5"/>
  <c r="E579" i="5"/>
  <c r="D579" i="5"/>
  <c r="B579" i="5"/>
  <c r="C579" i="5" s="1"/>
  <c r="A579" i="5"/>
  <c r="K578" i="5"/>
  <c r="L578" i="5" s="1"/>
  <c r="J578" i="5"/>
  <c r="I578" i="5"/>
  <c r="H578" i="5"/>
  <c r="G578" i="5"/>
  <c r="F578" i="5"/>
  <c r="E578" i="5"/>
  <c r="D578" i="5"/>
  <c r="B578" i="5"/>
  <c r="C578" i="5" s="1"/>
  <c r="A578" i="5"/>
  <c r="K577" i="5"/>
  <c r="L577" i="5" s="1"/>
  <c r="J577" i="5"/>
  <c r="I577" i="5"/>
  <c r="H577" i="5"/>
  <c r="G577" i="5"/>
  <c r="F577" i="5"/>
  <c r="E577" i="5"/>
  <c r="D577" i="5"/>
  <c r="B577" i="5"/>
  <c r="C577" i="5" s="1"/>
  <c r="A577" i="5"/>
  <c r="K576" i="5"/>
  <c r="L576" i="5" s="1"/>
  <c r="J576" i="5"/>
  <c r="I576" i="5"/>
  <c r="H576" i="5"/>
  <c r="G576" i="5"/>
  <c r="F576" i="5"/>
  <c r="E576" i="5"/>
  <c r="D576" i="5"/>
  <c r="B576" i="5"/>
  <c r="C576" i="5" s="1"/>
  <c r="A576" i="5"/>
  <c r="K575" i="5"/>
  <c r="L575" i="5" s="1"/>
  <c r="J575" i="5"/>
  <c r="I575" i="5"/>
  <c r="H575" i="5"/>
  <c r="G575" i="5"/>
  <c r="F575" i="5"/>
  <c r="E575" i="5"/>
  <c r="D575" i="5"/>
  <c r="B575" i="5"/>
  <c r="C575" i="5" s="1"/>
  <c r="A575" i="5"/>
  <c r="K574" i="5"/>
  <c r="L574" i="5" s="1"/>
  <c r="J574" i="5"/>
  <c r="I574" i="5"/>
  <c r="H574" i="5"/>
  <c r="G574" i="5"/>
  <c r="F574" i="5"/>
  <c r="E574" i="5"/>
  <c r="D574" i="5"/>
  <c r="B574" i="5"/>
  <c r="C574" i="5" s="1"/>
  <c r="A574" i="5"/>
  <c r="K573" i="5"/>
  <c r="L573" i="5" s="1"/>
  <c r="J573" i="5"/>
  <c r="I573" i="5"/>
  <c r="H573" i="5"/>
  <c r="G573" i="5"/>
  <c r="F573" i="5"/>
  <c r="E573" i="5"/>
  <c r="D573" i="5"/>
  <c r="C573" i="5"/>
  <c r="B573" i="5"/>
  <c r="A573" i="5"/>
  <c r="K572" i="5"/>
  <c r="L572" i="5" s="1"/>
  <c r="J572" i="5"/>
  <c r="I572" i="5"/>
  <c r="H572" i="5"/>
  <c r="G572" i="5"/>
  <c r="F572" i="5"/>
  <c r="E572" i="5"/>
  <c r="D572" i="5"/>
  <c r="B572" i="5"/>
  <c r="C572" i="5" s="1"/>
  <c r="A572" i="5"/>
  <c r="K571" i="5"/>
  <c r="L571" i="5" s="1"/>
  <c r="J571" i="5"/>
  <c r="I571" i="5"/>
  <c r="H571" i="5"/>
  <c r="G571" i="5"/>
  <c r="F571" i="5"/>
  <c r="E571" i="5"/>
  <c r="D571" i="5"/>
  <c r="B571" i="5"/>
  <c r="C571" i="5" s="1"/>
  <c r="A571" i="5"/>
  <c r="K570" i="5"/>
  <c r="L570" i="5" s="1"/>
  <c r="J570" i="5"/>
  <c r="I570" i="5"/>
  <c r="H570" i="5"/>
  <c r="G570" i="5"/>
  <c r="F570" i="5"/>
  <c r="E570" i="5"/>
  <c r="D570" i="5"/>
  <c r="B570" i="5"/>
  <c r="C570" i="5" s="1"/>
  <c r="A570" i="5"/>
  <c r="K569" i="5"/>
  <c r="L569" i="5" s="1"/>
  <c r="J569" i="5"/>
  <c r="I569" i="5"/>
  <c r="H569" i="5"/>
  <c r="G569" i="5"/>
  <c r="F569" i="5"/>
  <c r="E569" i="5"/>
  <c r="D569" i="5"/>
  <c r="B569" i="5"/>
  <c r="C569" i="5" s="1"/>
  <c r="A569" i="5"/>
  <c r="K568" i="5"/>
  <c r="L568" i="5" s="1"/>
  <c r="J568" i="5"/>
  <c r="I568" i="5"/>
  <c r="H568" i="5"/>
  <c r="G568" i="5"/>
  <c r="F568" i="5"/>
  <c r="E568" i="5"/>
  <c r="D568" i="5"/>
  <c r="B568" i="5"/>
  <c r="C568" i="5" s="1"/>
  <c r="A568" i="5"/>
  <c r="K567" i="5"/>
  <c r="L567" i="5" s="1"/>
  <c r="J567" i="5"/>
  <c r="I567" i="5"/>
  <c r="H567" i="5"/>
  <c r="G567" i="5"/>
  <c r="F567" i="5"/>
  <c r="E567" i="5"/>
  <c r="D567" i="5"/>
  <c r="B567" i="5"/>
  <c r="C567" i="5" s="1"/>
  <c r="A567" i="5"/>
  <c r="K566" i="5"/>
  <c r="L566" i="5" s="1"/>
  <c r="J566" i="5"/>
  <c r="I566" i="5"/>
  <c r="H566" i="5"/>
  <c r="G566" i="5"/>
  <c r="F566" i="5"/>
  <c r="E566" i="5"/>
  <c r="D566" i="5"/>
  <c r="B566" i="5"/>
  <c r="C566" i="5" s="1"/>
  <c r="A566" i="5"/>
  <c r="K565" i="5"/>
  <c r="L565" i="5" s="1"/>
  <c r="J565" i="5"/>
  <c r="I565" i="5"/>
  <c r="H565" i="5"/>
  <c r="G565" i="5"/>
  <c r="F565" i="5"/>
  <c r="E565" i="5"/>
  <c r="D565" i="5"/>
  <c r="C565" i="5"/>
  <c r="B565" i="5"/>
  <c r="A565" i="5"/>
  <c r="K564" i="5"/>
  <c r="L564" i="5" s="1"/>
  <c r="J564" i="5"/>
  <c r="I564" i="5"/>
  <c r="H564" i="5"/>
  <c r="G564" i="5"/>
  <c r="F564" i="5"/>
  <c r="E564" i="5"/>
  <c r="D564" i="5"/>
  <c r="B564" i="5"/>
  <c r="C564" i="5" s="1"/>
  <c r="A564" i="5"/>
  <c r="K563" i="5"/>
  <c r="L563" i="5" s="1"/>
  <c r="J563" i="5"/>
  <c r="I563" i="5"/>
  <c r="H563" i="5"/>
  <c r="G563" i="5"/>
  <c r="F563" i="5"/>
  <c r="E563" i="5"/>
  <c r="D563" i="5"/>
  <c r="B563" i="5"/>
  <c r="C563" i="5" s="1"/>
  <c r="A563" i="5"/>
  <c r="K562" i="5"/>
  <c r="L562" i="5" s="1"/>
  <c r="J562" i="5"/>
  <c r="I562" i="5"/>
  <c r="H562" i="5"/>
  <c r="G562" i="5"/>
  <c r="F562" i="5"/>
  <c r="E562" i="5"/>
  <c r="D562" i="5"/>
  <c r="B562" i="5"/>
  <c r="C562" i="5" s="1"/>
  <c r="A562" i="5"/>
  <c r="K561" i="5"/>
  <c r="L561" i="5" s="1"/>
  <c r="J561" i="5"/>
  <c r="I561" i="5"/>
  <c r="H561" i="5"/>
  <c r="G561" i="5"/>
  <c r="F561" i="5"/>
  <c r="E561" i="5"/>
  <c r="D561" i="5"/>
  <c r="B561" i="5"/>
  <c r="C561" i="5" s="1"/>
  <c r="A561" i="5"/>
  <c r="K560" i="5"/>
  <c r="L560" i="5" s="1"/>
  <c r="J560" i="5"/>
  <c r="I560" i="5"/>
  <c r="H560" i="5"/>
  <c r="G560" i="5"/>
  <c r="F560" i="5"/>
  <c r="E560" i="5"/>
  <c r="D560" i="5"/>
  <c r="B560" i="5"/>
  <c r="C560" i="5" s="1"/>
  <c r="A560" i="5"/>
  <c r="K559" i="5"/>
  <c r="L559" i="5" s="1"/>
  <c r="J559" i="5"/>
  <c r="I559" i="5"/>
  <c r="H559" i="5"/>
  <c r="G559" i="5"/>
  <c r="F559" i="5"/>
  <c r="E559" i="5"/>
  <c r="D559" i="5"/>
  <c r="B559" i="5"/>
  <c r="C559" i="5" s="1"/>
  <c r="A559" i="5"/>
  <c r="K558" i="5"/>
  <c r="L558" i="5" s="1"/>
  <c r="J558" i="5"/>
  <c r="I558" i="5"/>
  <c r="H558" i="5"/>
  <c r="G558" i="5"/>
  <c r="F558" i="5"/>
  <c r="E558" i="5"/>
  <c r="D558" i="5"/>
  <c r="B558" i="5"/>
  <c r="C558" i="5" s="1"/>
  <c r="A558" i="5"/>
  <c r="L557" i="5"/>
  <c r="K557" i="5"/>
  <c r="J557" i="5"/>
  <c r="I557" i="5"/>
  <c r="H557" i="5"/>
  <c r="G557" i="5"/>
  <c r="F557" i="5"/>
  <c r="E557" i="5"/>
  <c r="D557" i="5"/>
  <c r="B557" i="5"/>
  <c r="C557" i="5" s="1"/>
  <c r="A557" i="5"/>
  <c r="K556" i="5"/>
  <c r="L556" i="5" s="1"/>
  <c r="J556" i="5"/>
  <c r="I556" i="5"/>
  <c r="H556" i="5"/>
  <c r="G556" i="5"/>
  <c r="F556" i="5"/>
  <c r="E556" i="5"/>
  <c r="D556" i="5"/>
  <c r="B556" i="5"/>
  <c r="C556" i="5" s="1"/>
  <c r="A556" i="5"/>
  <c r="K555" i="5"/>
  <c r="L555" i="5" s="1"/>
  <c r="J555" i="5"/>
  <c r="I555" i="5"/>
  <c r="H555" i="5"/>
  <c r="G555" i="5"/>
  <c r="F555" i="5"/>
  <c r="E555" i="5"/>
  <c r="D555" i="5"/>
  <c r="B555" i="5"/>
  <c r="C555" i="5" s="1"/>
  <c r="A555" i="5"/>
  <c r="K554" i="5"/>
  <c r="L554" i="5" s="1"/>
  <c r="J554" i="5"/>
  <c r="I554" i="5"/>
  <c r="H554" i="5"/>
  <c r="G554" i="5"/>
  <c r="F554" i="5"/>
  <c r="E554" i="5"/>
  <c r="D554" i="5"/>
  <c r="B554" i="5"/>
  <c r="C554" i="5" s="1"/>
  <c r="A554" i="5"/>
  <c r="L553" i="5"/>
  <c r="K553" i="5"/>
  <c r="J553" i="5"/>
  <c r="I553" i="5"/>
  <c r="H553" i="5"/>
  <c r="G553" i="5"/>
  <c r="F553" i="5"/>
  <c r="E553" i="5"/>
  <c r="D553" i="5"/>
  <c r="B553" i="5"/>
  <c r="C553" i="5" s="1"/>
  <c r="A553" i="5"/>
  <c r="L552" i="5"/>
  <c r="K552" i="5"/>
  <c r="J552" i="5"/>
  <c r="I552" i="5"/>
  <c r="H552" i="5"/>
  <c r="G552" i="5"/>
  <c r="F552" i="5"/>
  <c r="E552" i="5"/>
  <c r="D552" i="5"/>
  <c r="B552" i="5"/>
  <c r="C552" i="5" s="1"/>
  <c r="A552" i="5"/>
  <c r="L551" i="5"/>
  <c r="K551" i="5"/>
  <c r="J551" i="5"/>
  <c r="I551" i="5"/>
  <c r="H551" i="5"/>
  <c r="G551" i="5"/>
  <c r="F551" i="5"/>
  <c r="E551" i="5"/>
  <c r="D551" i="5"/>
  <c r="B551" i="5"/>
  <c r="C551" i="5" s="1"/>
  <c r="A551" i="5"/>
  <c r="K550" i="5"/>
  <c r="L550" i="5" s="1"/>
  <c r="J550" i="5"/>
  <c r="I550" i="5"/>
  <c r="H550" i="5"/>
  <c r="G550" i="5"/>
  <c r="F550" i="5"/>
  <c r="E550" i="5"/>
  <c r="D550" i="5"/>
  <c r="B550" i="5"/>
  <c r="C550" i="5" s="1"/>
  <c r="A550" i="5"/>
  <c r="K549" i="5"/>
  <c r="L549" i="5" s="1"/>
  <c r="J549" i="5"/>
  <c r="I549" i="5"/>
  <c r="H549" i="5"/>
  <c r="G549" i="5"/>
  <c r="F549" i="5"/>
  <c r="E549" i="5"/>
  <c r="D549" i="5"/>
  <c r="B549" i="5"/>
  <c r="C549" i="5" s="1"/>
  <c r="A549" i="5"/>
  <c r="L548" i="5"/>
  <c r="K548" i="5"/>
  <c r="J548" i="5"/>
  <c r="I548" i="5"/>
  <c r="H548" i="5"/>
  <c r="G548" i="5"/>
  <c r="F548" i="5"/>
  <c r="E548" i="5"/>
  <c r="D548" i="5"/>
  <c r="B548" i="5"/>
  <c r="C548" i="5" s="1"/>
  <c r="A548" i="5"/>
  <c r="K547" i="5"/>
  <c r="L547" i="5" s="1"/>
  <c r="J547" i="5"/>
  <c r="I547" i="5"/>
  <c r="H547" i="5"/>
  <c r="G547" i="5"/>
  <c r="F547" i="5"/>
  <c r="E547" i="5"/>
  <c r="D547" i="5"/>
  <c r="B547" i="5"/>
  <c r="C547" i="5" s="1"/>
  <c r="A547" i="5"/>
  <c r="K546" i="5"/>
  <c r="L546" i="5" s="1"/>
  <c r="J546" i="5"/>
  <c r="I546" i="5"/>
  <c r="H546" i="5"/>
  <c r="G546" i="5"/>
  <c r="F546" i="5"/>
  <c r="E546" i="5"/>
  <c r="D546" i="5"/>
  <c r="B546" i="5"/>
  <c r="C546" i="5" s="1"/>
  <c r="A546" i="5"/>
  <c r="K545" i="5"/>
  <c r="L545" i="5" s="1"/>
  <c r="J545" i="5"/>
  <c r="I545" i="5"/>
  <c r="H545" i="5"/>
  <c r="G545" i="5"/>
  <c r="F545" i="5"/>
  <c r="E545" i="5"/>
  <c r="D545" i="5"/>
  <c r="B545" i="5"/>
  <c r="C545" i="5" s="1"/>
  <c r="A545" i="5"/>
  <c r="K544" i="5"/>
  <c r="L544" i="5" s="1"/>
  <c r="J544" i="5"/>
  <c r="I544" i="5"/>
  <c r="H544" i="5"/>
  <c r="G544" i="5"/>
  <c r="F544" i="5"/>
  <c r="E544" i="5"/>
  <c r="D544" i="5"/>
  <c r="C544" i="5"/>
  <c r="B544" i="5"/>
  <c r="A544" i="5"/>
  <c r="K543" i="5"/>
  <c r="L543" i="5" s="1"/>
  <c r="J543" i="5"/>
  <c r="I543" i="5"/>
  <c r="H543" i="5"/>
  <c r="G543" i="5"/>
  <c r="F543" i="5"/>
  <c r="E543" i="5"/>
  <c r="D543" i="5"/>
  <c r="B543" i="5"/>
  <c r="C543" i="5" s="1"/>
  <c r="A543" i="5"/>
  <c r="K542" i="5"/>
  <c r="L542" i="5" s="1"/>
  <c r="J542" i="5"/>
  <c r="I542" i="5"/>
  <c r="H542" i="5"/>
  <c r="G542" i="5"/>
  <c r="F542" i="5"/>
  <c r="E542" i="5"/>
  <c r="D542" i="5"/>
  <c r="B542" i="5"/>
  <c r="C542" i="5" s="1"/>
  <c r="A542" i="5"/>
  <c r="K541" i="5"/>
  <c r="L541" i="5" s="1"/>
  <c r="J541" i="5"/>
  <c r="I541" i="5"/>
  <c r="H541" i="5"/>
  <c r="G541" i="5"/>
  <c r="F541" i="5"/>
  <c r="E541" i="5"/>
  <c r="D541" i="5"/>
  <c r="B541" i="5"/>
  <c r="C541" i="5" s="1"/>
  <c r="A541" i="5"/>
  <c r="K540" i="5"/>
  <c r="L540" i="5" s="1"/>
  <c r="J540" i="5"/>
  <c r="I540" i="5"/>
  <c r="H540" i="5"/>
  <c r="G540" i="5"/>
  <c r="F540" i="5"/>
  <c r="E540" i="5"/>
  <c r="D540" i="5"/>
  <c r="B540" i="5"/>
  <c r="C540" i="5" s="1"/>
  <c r="A540" i="5"/>
  <c r="K539" i="5"/>
  <c r="L539" i="5" s="1"/>
  <c r="J539" i="5"/>
  <c r="I539" i="5"/>
  <c r="H539" i="5"/>
  <c r="G539" i="5"/>
  <c r="F539" i="5"/>
  <c r="E539" i="5"/>
  <c r="D539" i="5"/>
  <c r="B539" i="5"/>
  <c r="C539" i="5" s="1"/>
  <c r="A539" i="5"/>
  <c r="K538" i="5"/>
  <c r="L538" i="5" s="1"/>
  <c r="J538" i="5"/>
  <c r="I538" i="5"/>
  <c r="H538" i="5"/>
  <c r="G538" i="5"/>
  <c r="F538" i="5"/>
  <c r="E538" i="5"/>
  <c r="D538" i="5"/>
  <c r="C538" i="5"/>
  <c r="B538" i="5"/>
  <c r="A538" i="5"/>
  <c r="K537" i="5"/>
  <c r="L537" i="5" s="1"/>
  <c r="J537" i="5"/>
  <c r="I537" i="5"/>
  <c r="H537" i="5"/>
  <c r="G537" i="5"/>
  <c r="F537" i="5"/>
  <c r="E537" i="5"/>
  <c r="D537" i="5"/>
  <c r="C537" i="5"/>
  <c r="B537" i="5"/>
  <c r="A537" i="5"/>
  <c r="K536" i="5"/>
  <c r="L536" i="5" s="1"/>
  <c r="J536" i="5"/>
  <c r="I536" i="5"/>
  <c r="H536" i="5"/>
  <c r="G536" i="5"/>
  <c r="F536" i="5"/>
  <c r="E536" i="5"/>
  <c r="D536" i="5"/>
  <c r="B536" i="5"/>
  <c r="C536" i="5" s="1"/>
  <c r="A536" i="5"/>
  <c r="K535" i="5"/>
  <c r="L535" i="5" s="1"/>
  <c r="J535" i="5"/>
  <c r="I535" i="5"/>
  <c r="H535" i="5"/>
  <c r="G535" i="5"/>
  <c r="F535" i="5"/>
  <c r="E535" i="5"/>
  <c r="D535" i="5"/>
  <c r="B535" i="5"/>
  <c r="C535" i="5" s="1"/>
  <c r="A535" i="5"/>
  <c r="K534" i="5"/>
  <c r="L534" i="5" s="1"/>
  <c r="J534" i="5"/>
  <c r="I534" i="5"/>
  <c r="H534" i="5"/>
  <c r="G534" i="5"/>
  <c r="F534" i="5"/>
  <c r="E534" i="5"/>
  <c r="D534" i="5"/>
  <c r="B534" i="5"/>
  <c r="C534" i="5" s="1"/>
  <c r="A534" i="5"/>
  <c r="K533" i="5"/>
  <c r="L533" i="5" s="1"/>
  <c r="J533" i="5"/>
  <c r="I533" i="5"/>
  <c r="H533" i="5"/>
  <c r="G533" i="5"/>
  <c r="F533" i="5"/>
  <c r="E533" i="5"/>
  <c r="D533" i="5"/>
  <c r="B533" i="5"/>
  <c r="C533" i="5" s="1"/>
  <c r="A533" i="5"/>
  <c r="L532" i="5"/>
  <c r="K532" i="5"/>
  <c r="J532" i="5"/>
  <c r="I532" i="5"/>
  <c r="H532" i="5"/>
  <c r="G532" i="5"/>
  <c r="F532" i="5"/>
  <c r="E532" i="5"/>
  <c r="D532" i="5"/>
  <c r="B532" i="5"/>
  <c r="C532" i="5" s="1"/>
  <c r="A532" i="5"/>
  <c r="K531" i="5"/>
  <c r="L531" i="5" s="1"/>
  <c r="J531" i="5"/>
  <c r="I531" i="5"/>
  <c r="H531" i="5"/>
  <c r="G531" i="5"/>
  <c r="F531" i="5"/>
  <c r="E531" i="5"/>
  <c r="D531" i="5"/>
  <c r="B531" i="5"/>
  <c r="C531" i="5" s="1"/>
  <c r="A531" i="5"/>
  <c r="K530" i="5"/>
  <c r="L530" i="5" s="1"/>
  <c r="J530" i="5"/>
  <c r="I530" i="5"/>
  <c r="H530" i="5"/>
  <c r="G530" i="5"/>
  <c r="F530" i="5"/>
  <c r="E530" i="5"/>
  <c r="D530" i="5"/>
  <c r="B530" i="5"/>
  <c r="C530" i="5" s="1"/>
  <c r="A530" i="5"/>
  <c r="K529" i="5"/>
  <c r="L529" i="5" s="1"/>
  <c r="J529" i="5"/>
  <c r="I529" i="5"/>
  <c r="H529" i="5"/>
  <c r="G529" i="5"/>
  <c r="F529" i="5"/>
  <c r="E529" i="5"/>
  <c r="D529" i="5"/>
  <c r="B529" i="5"/>
  <c r="C529" i="5" s="1"/>
  <c r="A529" i="5"/>
  <c r="K528" i="5"/>
  <c r="L528" i="5" s="1"/>
  <c r="J528" i="5"/>
  <c r="I528" i="5"/>
  <c r="H528" i="5"/>
  <c r="G528" i="5"/>
  <c r="F528" i="5"/>
  <c r="E528" i="5"/>
  <c r="D528" i="5"/>
  <c r="C528" i="5"/>
  <c r="B528" i="5"/>
  <c r="A528" i="5"/>
  <c r="K527" i="5"/>
  <c r="L527" i="5" s="1"/>
  <c r="J527" i="5"/>
  <c r="I527" i="5"/>
  <c r="H527" i="5"/>
  <c r="G527" i="5"/>
  <c r="F527" i="5"/>
  <c r="E527" i="5"/>
  <c r="D527" i="5"/>
  <c r="B527" i="5"/>
  <c r="C527" i="5" s="1"/>
  <c r="A527" i="5"/>
  <c r="K526" i="5"/>
  <c r="L526" i="5" s="1"/>
  <c r="J526" i="5"/>
  <c r="I526" i="5"/>
  <c r="H526" i="5"/>
  <c r="G526" i="5"/>
  <c r="F526" i="5"/>
  <c r="E526" i="5"/>
  <c r="D526" i="5"/>
  <c r="B526" i="5"/>
  <c r="C526" i="5" s="1"/>
  <c r="A526" i="5"/>
  <c r="L525" i="5"/>
  <c r="K525" i="5"/>
  <c r="J525" i="5"/>
  <c r="I525" i="5"/>
  <c r="H525" i="5"/>
  <c r="G525" i="5"/>
  <c r="F525" i="5"/>
  <c r="E525" i="5"/>
  <c r="D525" i="5"/>
  <c r="B525" i="5"/>
  <c r="C525" i="5" s="1"/>
  <c r="A525" i="5"/>
  <c r="K524" i="5"/>
  <c r="L524" i="5" s="1"/>
  <c r="J524" i="5"/>
  <c r="I524" i="5"/>
  <c r="H524" i="5"/>
  <c r="G524" i="5"/>
  <c r="F524" i="5"/>
  <c r="E524" i="5"/>
  <c r="D524" i="5"/>
  <c r="B524" i="5"/>
  <c r="C524" i="5" s="1"/>
  <c r="A524" i="5"/>
  <c r="K523" i="5"/>
  <c r="L523" i="5" s="1"/>
  <c r="J523" i="5"/>
  <c r="I523" i="5"/>
  <c r="H523" i="5"/>
  <c r="G523" i="5"/>
  <c r="F523" i="5"/>
  <c r="E523" i="5"/>
  <c r="D523" i="5"/>
  <c r="B523" i="5"/>
  <c r="C523" i="5" s="1"/>
  <c r="A523" i="5"/>
  <c r="K522" i="5"/>
  <c r="L522" i="5" s="1"/>
  <c r="J522" i="5"/>
  <c r="I522" i="5"/>
  <c r="H522" i="5"/>
  <c r="G522" i="5"/>
  <c r="F522" i="5"/>
  <c r="E522" i="5"/>
  <c r="D522" i="5"/>
  <c r="C522" i="5"/>
  <c r="B522" i="5"/>
  <c r="A522" i="5"/>
  <c r="K521" i="5"/>
  <c r="L521" i="5" s="1"/>
  <c r="J521" i="5"/>
  <c r="I521" i="5"/>
  <c r="H521" i="5"/>
  <c r="G521" i="5"/>
  <c r="F521" i="5"/>
  <c r="E521" i="5"/>
  <c r="D521" i="5"/>
  <c r="C521" i="5"/>
  <c r="B521" i="5"/>
  <c r="A521" i="5"/>
  <c r="K520" i="5"/>
  <c r="L520" i="5" s="1"/>
  <c r="J520" i="5"/>
  <c r="I520" i="5"/>
  <c r="H520" i="5"/>
  <c r="G520" i="5"/>
  <c r="F520" i="5"/>
  <c r="E520" i="5"/>
  <c r="D520" i="5"/>
  <c r="C520" i="5"/>
  <c r="B520" i="5"/>
  <c r="A520" i="5"/>
  <c r="K519" i="5"/>
  <c r="L519" i="5" s="1"/>
  <c r="J519" i="5"/>
  <c r="I519" i="5"/>
  <c r="H519" i="5"/>
  <c r="G519" i="5"/>
  <c r="F519" i="5"/>
  <c r="E519" i="5"/>
  <c r="D519" i="5"/>
  <c r="B519" i="5"/>
  <c r="C519" i="5" s="1"/>
  <c r="A519" i="5"/>
  <c r="K518" i="5"/>
  <c r="L518" i="5" s="1"/>
  <c r="J518" i="5"/>
  <c r="I518" i="5"/>
  <c r="H518" i="5"/>
  <c r="G518" i="5"/>
  <c r="F518" i="5"/>
  <c r="E518" i="5"/>
  <c r="D518" i="5"/>
  <c r="B518" i="5"/>
  <c r="C518" i="5" s="1"/>
  <c r="A518" i="5"/>
  <c r="L517" i="5"/>
  <c r="K517" i="5"/>
  <c r="J517" i="5"/>
  <c r="I517" i="5"/>
  <c r="H517" i="5"/>
  <c r="G517" i="5"/>
  <c r="F517" i="5"/>
  <c r="E517" i="5"/>
  <c r="D517" i="5"/>
  <c r="B517" i="5"/>
  <c r="C517" i="5" s="1"/>
  <c r="A517" i="5"/>
  <c r="K516" i="5"/>
  <c r="L516" i="5" s="1"/>
  <c r="J516" i="5"/>
  <c r="I516" i="5"/>
  <c r="H516" i="5"/>
  <c r="G516" i="5"/>
  <c r="F516" i="5"/>
  <c r="E516" i="5"/>
  <c r="D516" i="5"/>
  <c r="B516" i="5"/>
  <c r="C516" i="5" s="1"/>
  <c r="A516" i="5"/>
  <c r="K515" i="5"/>
  <c r="L515" i="5" s="1"/>
  <c r="J515" i="5"/>
  <c r="I515" i="5"/>
  <c r="H515" i="5"/>
  <c r="G515" i="5"/>
  <c r="F515" i="5"/>
  <c r="E515" i="5"/>
  <c r="D515" i="5"/>
  <c r="B515" i="5"/>
  <c r="C515" i="5" s="1"/>
  <c r="A515" i="5"/>
  <c r="K514" i="5"/>
  <c r="L514" i="5" s="1"/>
  <c r="J514" i="5"/>
  <c r="I514" i="5"/>
  <c r="H514" i="5"/>
  <c r="G514" i="5"/>
  <c r="F514" i="5"/>
  <c r="E514" i="5"/>
  <c r="D514" i="5"/>
  <c r="B514" i="5"/>
  <c r="C514" i="5" s="1"/>
  <c r="A514" i="5"/>
  <c r="K513" i="5"/>
  <c r="L513" i="5" s="1"/>
  <c r="J513" i="5"/>
  <c r="I513" i="5"/>
  <c r="H513" i="5"/>
  <c r="G513" i="5"/>
  <c r="F513" i="5"/>
  <c r="E513" i="5"/>
  <c r="D513" i="5"/>
  <c r="C513" i="5"/>
  <c r="B513" i="5"/>
  <c r="A513" i="5"/>
  <c r="K512" i="5"/>
  <c r="L512" i="5" s="1"/>
  <c r="J512" i="5"/>
  <c r="I512" i="5"/>
  <c r="H512" i="5"/>
  <c r="G512" i="5"/>
  <c r="F512" i="5"/>
  <c r="E512" i="5"/>
  <c r="D512" i="5"/>
  <c r="C512" i="5"/>
  <c r="B512" i="5"/>
  <c r="A512" i="5"/>
  <c r="K511" i="5"/>
  <c r="L511" i="5" s="1"/>
  <c r="J511" i="5"/>
  <c r="I511" i="5"/>
  <c r="H511" i="5"/>
  <c r="G511" i="5"/>
  <c r="F511" i="5"/>
  <c r="E511" i="5"/>
  <c r="D511" i="5"/>
  <c r="B511" i="5"/>
  <c r="C511" i="5" s="1"/>
  <c r="A511" i="5"/>
  <c r="K510" i="5"/>
  <c r="L510" i="5" s="1"/>
  <c r="J510" i="5"/>
  <c r="I510" i="5"/>
  <c r="H510" i="5"/>
  <c r="G510" i="5"/>
  <c r="F510" i="5"/>
  <c r="E510" i="5"/>
  <c r="D510" i="5"/>
  <c r="B510" i="5"/>
  <c r="C510" i="5" s="1"/>
  <c r="A510" i="5"/>
  <c r="K509" i="5"/>
  <c r="L509" i="5" s="1"/>
  <c r="J509" i="5"/>
  <c r="I509" i="5"/>
  <c r="H509" i="5"/>
  <c r="G509" i="5"/>
  <c r="F509" i="5"/>
  <c r="E509" i="5"/>
  <c r="D509" i="5"/>
  <c r="B509" i="5"/>
  <c r="C509" i="5" s="1"/>
  <c r="A509" i="5"/>
  <c r="K508" i="5"/>
  <c r="L508" i="5" s="1"/>
  <c r="J508" i="5"/>
  <c r="I508" i="5"/>
  <c r="H508" i="5"/>
  <c r="G508" i="5"/>
  <c r="F508" i="5"/>
  <c r="E508" i="5"/>
  <c r="D508" i="5"/>
  <c r="B508" i="5"/>
  <c r="C508" i="5" s="1"/>
  <c r="A508" i="5"/>
  <c r="L507" i="5"/>
  <c r="K507" i="5"/>
  <c r="J507" i="5"/>
  <c r="I507" i="5"/>
  <c r="H507" i="5"/>
  <c r="G507" i="5"/>
  <c r="F507" i="5"/>
  <c r="E507" i="5"/>
  <c r="D507" i="5"/>
  <c r="B507" i="5"/>
  <c r="C507" i="5" s="1"/>
  <c r="A507" i="5"/>
  <c r="K506" i="5"/>
  <c r="L506" i="5" s="1"/>
  <c r="J506" i="5"/>
  <c r="I506" i="5"/>
  <c r="H506" i="5"/>
  <c r="G506" i="5"/>
  <c r="F506" i="5"/>
  <c r="E506" i="5"/>
  <c r="D506" i="5"/>
  <c r="B506" i="5"/>
  <c r="C506" i="5" s="1"/>
  <c r="A506" i="5"/>
  <c r="K505" i="5"/>
  <c r="L505" i="5" s="1"/>
  <c r="J505" i="5"/>
  <c r="I505" i="5"/>
  <c r="H505" i="5"/>
  <c r="G505" i="5"/>
  <c r="F505" i="5"/>
  <c r="E505" i="5"/>
  <c r="D505" i="5"/>
  <c r="B505" i="5"/>
  <c r="C505" i="5" s="1"/>
  <c r="A505" i="5"/>
  <c r="K504" i="5"/>
  <c r="L504" i="5" s="1"/>
  <c r="J504" i="5"/>
  <c r="I504" i="5"/>
  <c r="H504" i="5"/>
  <c r="G504" i="5"/>
  <c r="F504" i="5"/>
  <c r="E504" i="5"/>
  <c r="D504" i="5"/>
  <c r="B504" i="5"/>
  <c r="C504" i="5" s="1"/>
  <c r="A504" i="5"/>
  <c r="K503" i="5"/>
  <c r="L503" i="5" s="1"/>
  <c r="J503" i="5"/>
  <c r="I503" i="5"/>
  <c r="H503" i="5"/>
  <c r="G503" i="5"/>
  <c r="F503" i="5"/>
  <c r="E503" i="5"/>
  <c r="D503" i="5"/>
  <c r="B503" i="5"/>
  <c r="C503" i="5" s="1"/>
  <c r="A503" i="5"/>
  <c r="K502" i="5"/>
  <c r="L502" i="5" s="1"/>
  <c r="J502" i="5"/>
  <c r="I502" i="5"/>
  <c r="H502" i="5"/>
  <c r="G502" i="5"/>
  <c r="F502" i="5"/>
  <c r="E502" i="5"/>
  <c r="D502" i="5"/>
  <c r="B502" i="5"/>
  <c r="C502" i="5" s="1"/>
  <c r="A502" i="5"/>
  <c r="L501" i="5"/>
  <c r="K501" i="5"/>
  <c r="J501" i="5"/>
  <c r="I501" i="5"/>
  <c r="H501" i="5"/>
  <c r="G501" i="5"/>
  <c r="F501" i="5"/>
  <c r="E501" i="5"/>
  <c r="D501" i="5"/>
  <c r="B501" i="5"/>
  <c r="C501" i="5" s="1"/>
  <c r="A501" i="5"/>
  <c r="L500" i="5"/>
  <c r="K500" i="5"/>
  <c r="J500" i="5"/>
  <c r="I500" i="5"/>
  <c r="H500" i="5"/>
  <c r="G500" i="5"/>
  <c r="F500" i="5"/>
  <c r="E500" i="5"/>
  <c r="D500" i="5"/>
  <c r="B500" i="5"/>
  <c r="C500" i="5" s="1"/>
  <c r="A500" i="5"/>
  <c r="K499" i="5"/>
  <c r="L499" i="5" s="1"/>
  <c r="J499" i="5"/>
  <c r="I499" i="5"/>
  <c r="H499" i="5"/>
  <c r="G499" i="5"/>
  <c r="F499" i="5"/>
  <c r="E499" i="5"/>
  <c r="D499" i="5"/>
  <c r="B499" i="5"/>
  <c r="C499" i="5" s="1"/>
  <c r="A499" i="5"/>
  <c r="K498" i="5"/>
  <c r="L498" i="5" s="1"/>
  <c r="J498" i="5"/>
  <c r="I498" i="5"/>
  <c r="H498" i="5"/>
  <c r="G498" i="5"/>
  <c r="F498" i="5"/>
  <c r="E498" i="5"/>
  <c r="D498" i="5"/>
  <c r="B498" i="5"/>
  <c r="C498" i="5" s="1"/>
  <c r="A498" i="5"/>
  <c r="K497" i="5"/>
  <c r="L497" i="5" s="1"/>
  <c r="J497" i="5"/>
  <c r="I497" i="5"/>
  <c r="H497" i="5"/>
  <c r="G497" i="5"/>
  <c r="F497" i="5"/>
  <c r="E497" i="5"/>
  <c r="D497" i="5"/>
  <c r="C497" i="5"/>
  <c r="B497" i="5"/>
  <c r="A497" i="5"/>
  <c r="K496" i="5"/>
  <c r="L496" i="5" s="1"/>
  <c r="J496" i="5"/>
  <c r="I496" i="5"/>
  <c r="H496" i="5"/>
  <c r="G496" i="5"/>
  <c r="F496" i="5"/>
  <c r="E496" i="5"/>
  <c r="D496" i="5"/>
  <c r="B496" i="5"/>
  <c r="C496" i="5" s="1"/>
  <c r="A496" i="5"/>
  <c r="K495" i="5"/>
  <c r="L495" i="5" s="1"/>
  <c r="J495" i="5"/>
  <c r="I495" i="5"/>
  <c r="H495" i="5"/>
  <c r="G495" i="5"/>
  <c r="F495" i="5"/>
  <c r="E495" i="5"/>
  <c r="D495" i="5"/>
  <c r="B495" i="5"/>
  <c r="C495" i="5" s="1"/>
  <c r="A495" i="5"/>
  <c r="K494" i="5"/>
  <c r="L494" i="5" s="1"/>
  <c r="J494" i="5"/>
  <c r="I494" i="5"/>
  <c r="H494" i="5"/>
  <c r="G494" i="5"/>
  <c r="F494" i="5"/>
  <c r="E494" i="5"/>
  <c r="D494" i="5"/>
  <c r="B494" i="5"/>
  <c r="C494" i="5" s="1"/>
  <c r="A494" i="5"/>
  <c r="K493" i="5"/>
  <c r="L493" i="5" s="1"/>
  <c r="J493" i="5"/>
  <c r="I493" i="5"/>
  <c r="H493" i="5"/>
  <c r="G493" i="5"/>
  <c r="F493" i="5"/>
  <c r="E493" i="5"/>
  <c r="D493" i="5"/>
  <c r="B493" i="5"/>
  <c r="C493" i="5" s="1"/>
  <c r="A493" i="5"/>
  <c r="K492" i="5"/>
  <c r="L492" i="5" s="1"/>
  <c r="J492" i="5"/>
  <c r="I492" i="5"/>
  <c r="H492" i="5"/>
  <c r="G492" i="5"/>
  <c r="F492" i="5"/>
  <c r="E492" i="5"/>
  <c r="D492" i="5"/>
  <c r="B492" i="5"/>
  <c r="C492" i="5" s="1"/>
  <c r="A492" i="5"/>
  <c r="L491" i="5"/>
  <c r="K491" i="5"/>
  <c r="J491" i="5"/>
  <c r="I491" i="5"/>
  <c r="H491" i="5"/>
  <c r="G491" i="5"/>
  <c r="F491" i="5"/>
  <c r="E491" i="5"/>
  <c r="D491" i="5"/>
  <c r="B491" i="5"/>
  <c r="C491" i="5" s="1"/>
  <c r="A491" i="5"/>
  <c r="K490" i="5"/>
  <c r="L490" i="5" s="1"/>
  <c r="J490" i="5"/>
  <c r="I490" i="5"/>
  <c r="H490" i="5"/>
  <c r="G490" i="5"/>
  <c r="F490" i="5"/>
  <c r="E490" i="5"/>
  <c r="D490" i="5"/>
  <c r="B490" i="5"/>
  <c r="C490" i="5" s="1"/>
  <c r="A490" i="5"/>
  <c r="K489" i="5"/>
  <c r="L489" i="5" s="1"/>
  <c r="J489" i="5"/>
  <c r="I489" i="5"/>
  <c r="H489" i="5"/>
  <c r="G489" i="5"/>
  <c r="F489" i="5"/>
  <c r="E489" i="5"/>
  <c r="D489" i="5"/>
  <c r="B489" i="5"/>
  <c r="C489" i="5" s="1"/>
  <c r="A489" i="5"/>
  <c r="K488" i="5"/>
  <c r="L488" i="5" s="1"/>
  <c r="J488" i="5"/>
  <c r="I488" i="5"/>
  <c r="H488" i="5"/>
  <c r="G488" i="5"/>
  <c r="F488" i="5"/>
  <c r="E488" i="5"/>
  <c r="D488" i="5"/>
  <c r="B488" i="5"/>
  <c r="C488" i="5" s="1"/>
  <c r="A488" i="5"/>
  <c r="K487" i="5"/>
  <c r="L487" i="5" s="1"/>
  <c r="J487" i="5"/>
  <c r="I487" i="5"/>
  <c r="H487" i="5"/>
  <c r="G487" i="5"/>
  <c r="F487" i="5"/>
  <c r="E487" i="5"/>
  <c r="D487" i="5"/>
  <c r="B487" i="5"/>
  <c r="C487" i="5" s="1"/>
  <c r="A487" i="5"/>
  <c r="K486" i="5"/>
  <c r="L486" i="5" s="1"/>
  <c r="J486" i="5"/>
  <c r="I486" i="5"/>
  <c r="H486" i="5"/>
  <c r="G486" i="5"/>
  <c r="F486" i="5"/>
  <c r="E486" i="5"/>
  <c r="D486" i="5"/>
  <c r="B486" i="5"/>
  <c r="C486" i="5" s="1"/>
  <c r="A486" i="5"/>
  <c r="K485" i="5"/>
  <c r="L485" i="5" s="1"/>
  <c r="J485" i="5"/>
  <c r="I485" i="5"/>
  <c r="H485" i="5"/>
  <c r="G485" i="5"/>
  <c r="F485" i="5"/>
  <c r="E485" i="5"/>
  <c r="D485" i="5"/>
  <c r="B485" i="5"/>
  <c r="C485" i="5" s="1"/>
  <c r="A485" i="5"/>
  <c r="K484" i="5"/>
  <c r="L484" i="5" s="1"/>
  <c r="J484" i="5"/>
  <c r="I484" i="5"/>
  <c r="H484" i="5"/>
  <c r="G484" i="5"/>
  <c r="F484" i="5"/>
  <c r="E484" i="5"/>
  <c r="D484" i="5"/>
  <c r="C484" i="5"/>
  <c r="B484" i="5"/>
  <c r="A484" i="5"/>
  <c r="K483" i="5"/>
  <c r="L483" i="5" s="1"/>
  <c r="J483" i="5"/>
  <c r="I483" i="5"/>
  <c r="H483" i="5"/>
  <c r="G483" i="5"/>
  <c r="F483" i="5"/>
  <c r="E483" i="5"/>
  <c r="D483" i="5"/>
  <c r="B483" i="5"/>
  <c r="C483" i="5" s="1"/>
  <c r="A483" i="5"/>
  <c r="K482" i="5"/>
  <c r="L482" i="5" s="1"/>
  <c r="J482" i="5"/>
  <c r="I482" i="5"/>
  <c r="H482" i="5"/>
  <c r="G482" i="5"/>
  <c r="F482" i="5"/>
  <c r="E482" i="5"/>
  <c r="D482" i="5"/>
  <c r="B482" i="5"/>
  <c r="C482" i="5" s="1"/>
  <c r="A482" i="5"/>
  <c r="K481" i="5"/>
  <c r="L481" i="5" s="1"/>
  <c r="J481" i="5"/>
  <c r="I481" i="5"/>
  <c r="H481" i="5"/>
  <c r="G481" i="5"/>
  <c r="F481" i="5"/>
  <c r="E481" i="5"/>
  <c r="D481" i="5"/>
  <c r="B481" i="5"/>
  <c r="C481" i="5" s="1"/>
  <c r="A481" i="5"/>
  <c r="K480" i="5"/>
  <c r="L480" i="5" s="1"/>
  <c r="J480" i="5"/>
  <c r="I480" i="5"/>
  <c r="H480" i="5"/>
  <c r="G480" i="5"/>
  <c r="F480" i="5"/>
  <c r="E480" i="5"/>
  <c r="D480" i="5"/>
  <c r="B480" i="5"/>
  <c r="C480" i="5" s="1"/>
  <c r="A480" i="5"/>
  <c r="K479" i="5"/>
  <c r="L479" i="5" s="1"/>
  <c r="J479" i="5"/>
  <c r="I479" i="5"/>
  <c r="H479" i="5"/>
  <c r="G479" i="5"/>
  <c r="F479" i="5"/>
  <c r="E479" i="5"/>
  <c r="D479" i="5"/>
  <c r="B479" i="5"/>
  <c r="C479" i="5" s="1"/>
  <c r="A479" i="5"/>
  <c r="K478" i="5"/>
  <c r="L478" i="5" s="1"/>
  <c r="J478" i="5"/>
  <c r="I478" i="5"/>
  <c r="H478" i="5"/>
  <c r="G478" i="5"/>
  <c r="F478" i="5"/>
  <c r="E478" i="5"/>
  <c r="D478" i="5"/>
  <c r="B478" i="5"/>
  <c r="C478" i="5" s="1"/>
  <c r="A478" i="5"/>
  <c r="K477" i="5"/>
  <c r="L477" i="5" s="1"/>
  <c r="J477" i="5"/>
  <c r="I477" i="5"/>
  <c r="H477" i="5"/>
  <c r="G477" i="5"/>
  <c r="F477" i="5"/>
  <c r="E477" i="5"/>
  <c r="D477" i="5"/>
  <c r="B477" i="5"/>
  <c r="C477" i="5" s="1"/>
  <c r="A477" i="5"/>
  <c r="K476" i="5"/>
  <c r="L476" i="5" s="1"/>
  <c r="J476" i="5"/>
  <c r="I476" i="5"/>
  <c r="H476" i="5"/>
  <c r="G476" i="5"/>
  <c r="F476" i="5"/>
  <c r="E476" i="5"/>
  <c r="D476" i="5"/>
  <c r="B476" i="5"/>
  <c r="C476" i="5" s="1"/>
  <c r="A476" i="5"/>
  <c r="L475" i="5"/>
  <c r="K475" i="5"/>
  <c r="J475" i="5"/>
  <c r="I475" i="5"/>
  <c r="H475" i="5"/>
  <c r="G475" i="5"/>
  <c r="F475" i="5"/>
  <c r="E475" i="5"/>
  <c r="D475" i="5"/>
  <c r="B475" i="5"/>
  <c r="C475" i="5" s="1"/>
  <c r="A475" i="5"/>
  <c r="K474" i="5"/>
  <c r="L474" i="5" s="1"/>
  <c r="J474" i="5"/>
  <c r="I474" i="5"/>
  <c r="H474" i="5"/>
  <c r="G474" i="5"/>
  <c r="F474" i="5"/>
  <c r="E474" i="5"/>
  <c r="D474" i="5"/>
  <c r="B474" i="5"/>
  <c r="C474" i="5" s="1"/>
  <c r="A474" i="5"/>
  <c r="K473" i="5"/>
  <c r="L473" i="5" s="1"/>
  <c r="J473" i="5"/>
  <c r="I473" i="5"/>
  <c r="H473" i="5"/>
  <c r="G473" i="5"/>
  <c r="F473" i="5"/>
  <c r="E473" i="5"/>
  <c r="D473" i="5"/>
  <c r="B473" i="5"/>
  <c r="C473" i="5" s="1"/>
  <c r="A473" i="5"/>
  <c r="K472" i="5"/>
  <c r="L472" i="5" s="1"/>
  <c r="J472" i="5"/>
  <c r="I472" i="5"/>
  <c r="H472" i="5"/>
  <c r="G472" i="5"/>
  <c r="F472" i="5"/>
  <c r="E472" i="5"/>
  <c r="D472" i="5"/>
  <c r="B472" i="5"/>
  <c r="C472" i="5" s="1"/>
  <c r="A472" i="5"/>
  <c r="K471" i="5"/>
  <c r="L471" i="5" s="1"/>
  <c r="J471" i="5"/>
  <c r="I471" i="5"/>
  <c r="H471" i="5"/>
  <c r="G471" i="5"/>
  <c r="F471" i="5"/>
  <c r="E471" i="5"/>
  <c r="D471" i="5"/>
  <c r="C471" i="5"/>
  <c r="B471" i="5"/>
  <c r="A471" i="5"/>
  <c r="K470" i="5"/>
  <c r="L470" i="5" s="1"/>
  <c r="J470" i="5"/>
  <c r="I470" i="5"/>
  <c r="H470" i="5"/>
  <c r="G470" i="5"/>
  <c r="F470" i="5"/>
  <c r="E470" i="5"/>
  <c r="D470" i="5"/>
  <c r="B470" i="5"/>
  <c r="C470" i="5" s="1"/>
  <c r="A470" i="5"/>
  <c r="K469" i="5"/>
  <c r="L469" i="5" s="1"/>
  <c r="J469" i="5"/>
  <c r="I469" i="5"/>
  <c r="H469" i="5"/>
  <c r="G469" i="5"/>
  <c r="F469" i="5"/>
  <c r="E469" i="5"/>
  <c r="D469" i="5"/>
  <c r="B469" i="5"/>
  <c r="C469" i="5" s="1"/>
  <c r="A469" i="5"/>
  <c r="K468" i="5"/>
  <c r="L468" i="5" s="1"/>
  <c r="J468" i="5"/>
  <c r="I468" i="5"/>
  <c r="H468" i="5"/>
  <c r="G468" i="5"/>
  <c r="F468" i="5"/>
  <c r="E468" i="5"/>
  <c r="D468" i="5"/>
  <c r="B468" i="5"/>
  <c r="C468" i="5" s="1"/>
  <c r="A468" i="5"/>
  <c r="K467" i="5"/>
  <c r="L467" i="5" s="1"/>
  <c r="J467" i="5"/>
  <c r="I467" i="5"/>
  <c r="H467" i="5"/>
  <c r="G467" i="5"/>
  <c r="F467" i="5"/>
  <c r="E467" i="5"/>
  <c r="D467" i="5"/>
  <c r="C467" i="5"/>
  <c r="B467" i="5"/>
  <c r="A467" i="5"/>
  <c r="K466" i="5"/>
  <c r="L466" i="5" s="1"/>
  <c r="J466" i="5"/>
  <c r="I466" i="5"/>
  <c r="H466" i="5"/>
  <c r="G466" i="5"/>
  <c r="F466" i="5"/>
  <c r="E466" i="5"/>
  <c r="D466" i="5"/>
  <c r="C466" i="5"/>
  <c r="B466" i="5"/>
  <c r="A466" i="5"/>
  <c r="K465" i="5"/>
  <c r="L465" i="5" s="1"/>
  <c r="J465" i="5"/>
  <c r="I465" i="5"/>
  <c r="H465" i="5"/>
  <c r="G465" i="5"/>
  <c r="F465" i="5"/>
  <c r="E465" i="5"/>
  <c r="D465" i="5"/>
  <c r="B465" i="5"/>
  <c r="C465" i="5" s="1"/>
  <c r="A465" i="5"/>
  <c r="K464" i="5"/>
  <c r="L464" i="5" s="1"/>
  <c r="J464" i="5"/>
  <c r="I464" i="5"/>
  <c r="H464" i="5"/>
  <c r="G464" i="5"/>
  <c r="F464" i="5"/>
  <c r="E464" i="5"/>
  <c r="D464" i="5"/>
  <c r="B464" i="5"/>
  <c r="C464" i="5" s="1"/>
  <c r="A464" i="5"/>
  <c r="K463" i="5"/>
  <c r="L463" i="5" s="1"/>
  <c r="J463" i="5"/>
  <c r="I463" i="5"/>
  <c r="H463" i="5"/>
  <c r="G463" i="5"/>
  <c r="F463" i="5"/>
  <c r="E463" i="5"/>
  <c r="D463" i="5"/>
  <c r="B463" i="5"/>
  <c r="C463" i="5" s="1"/>
  <c r="A463" i="5"/>
  <c r="K462" i="5"/>
  <c r="L462" i="5" s="1"/>
  <c r="J462" i="5"/>
  <c r="I462" i="5"/>
  <c r="H462" i="5"/>
  <c r="G462" i="5"/>
  <c r="F462" i="5"/>
  <c r="E462" i="5"/>
  <c r="D462" i="5"/>
  <c r="B462" i="5"/>
  <c r="C462" i="5" s="1"/>
  <c r="A462" i="5"/>
  <c r="K461" i="5"/>
  <c r="L461" i="5" s="1"/>
  <c r="J461" i="5"/>
  <c r="I461" i="5"/>
  <c r="H461" i="5"/>
  <c r="G461" i="5"/>
  <c r="F461" i="5"/>
  <c r="E461" i="5"/>
  <c r="D461" i="5"/>
  <c r="B461" i="5"/>
  <c r="C461" i="5" s="1"/>
  <c r="A461" i="5"/>
  <c r="K460" i="5"/>
  <c r="L460" i="5" s="1"/>
  <c r="J460" i="5"/>
  <c r="I460" i="5"/>
  <c r="H460" i="5"/>
  <c r="G460" i="5"/>
  <c r="F460" i="5"/>
  <c r="E460" i="5"/>
  <c r="D460" i="5"/>
  <c r="B460" i="5"/>
  <c r="C460" i="5" s="1"/>
  <c r="A460" i="5"/>
  <c r="K459" i="5"/>
  <c r="L459" i="5" s="1"/>
  <c r="J459" i="5"/>
  <c r="I459" i="5"/>
  <c r="H459" i="5"/>
  <c r="G459" i="5"/>
  <c r="F459" i="5"/>
  <c r="E459" i="5"/>
  <c r="D459" i="5"/>
  <c r="C459" i="5"/>
  <c r="B459" i="5"/>
  <c r="A459" i="5"/>
  <c r="K458" i="5"/>
  <c r="L458" i="5" s="1"/>
  <c r="J458" i="5"/>
  <c r="I458" i="5"/>
  <c r="H458" i="5"/>
  <c r="G458" i="5"/>
  <c r="F458" i="5"/>
  <c r="E458" i="5"/>
  <c r="D458" i="5"/>
  <c r="B458" i="5"/>
  <c r="C458" i="5" s="1"/>
  <c r="A458" i="5"/>
  <c r="K457" i="5"/>
  <c r="L457" i="5" s="1"/>
  <c r="J457" i="5"/>
  <c r="I457" i="5"/>
  <c r="H457" i="5"/>
  <c r="G457" i="5"/>
  <c r="F457" i="5"/>
  <c r="E457" i="5"/>
  <c r="D457" i="5"/>
  <c r="B457" i="5"/>
  <c r="C457" i="5" s="1"/>
  <c r="A457" i="5"/>
  <c r="K456" i="5"/>
  <c r="L456" i="5" s="1"/>
  <c r="J456" i="5"/>
  <c r="I456" i="5"/>
  <c r="H456" i="5"/>
  <c r="G456" i="5"/>
  <c r="F456" i="5"/>
  <c r="E456" i="5"/>
  <c r="D456" i="5"/>
  <c r="B456" i="5"/>
  <c r="C456" i="5" s="1"/>
  <c r="A456" i="5"/>
  <c r="K455" i="5"/>
  <c r="L455" i="5" s="1"/>
  <c r="J455" i="5"/>
  <c r="I455" i="5"/>
  <c r="H455" i="5"/>
  <c r="G455" i="5"/>
  <c r="F455" i="5"/>
  <c r="E455" i="5"/>
  <c r="D455" i="5"/>
  <c r="B455" i="5"/>
  <c r="C455" i="5" s="1"/>
  <c r="A455" i="5"/>
  <c r="K454" i="5"/>
  <c r="L454" i="5" s="1"/>
  <c r="J454" i="5"/>
  <c r="I454" i="5"/>
  <c r="H454" i="5"/>
  <c r="G454" i="5"/>
  <c r="F454" i="5"/>
  <c r="E454" i="5"/>
  <c r="D454" i="5"/>
  <c r="B454" i="5"/>
  <c r="C454" i="5" s="1"/>
  <c r="A454" i="5"/>
  <c r="K453" i="5"/>
  <c r="L453" i="5" s="1"/>
  <c r="J453" i="5"/>
  <c r="I453" i="5"/>
  <c r="H453" i="5"/>
  <c r="G453" i="5"/>
  <c r="F453" i="5"/>
  <c r="E453" i="5"/>
  <c r="D453" i="5"/>
  <c r="B453" i="5"/>
  <c r="C453" i="5" s="1"/>
  <c r="A453" i="5"/>
  <c r="K452" i="5"/>
  <c r="L452" i="5" s="1"/>
  <c r="J452" i="5"/>
  <c r="I452" i="5"/>
  <c r="H452" i="5"/>
  <c r="G452" i="5"/>
  <c r="F452" i="5"/>
  <c r="E452" i="5"/>
  <c r="D452" i="5"/>
  <c r="B452" i="5"/>
  <c r="C452" i="5" s="1"/>
  <c r="A452" i="5"/>
  <c r="K451" i="5"/>
  <c r="L451" i="5" s="1"/>
  <c r="J451" i="5"/>
  <c r="I451" i="5"/>
  <c r="H451" i="5"/>
  <c r="G451" i="5"/>
  <c r="F451" i="5"/>
  <c r="E451" i="5"/>
  <c r="D451" i="5"/>
  <c r="C451" i="5"/>
  <c r="B451" i="5"/>
  <c r="A451" i="5"/>
  <c r="K450" i="5"/>
  <c r="L450" i="5" s="1"/>
  <c r="J450" i="5"/>
  <c r="I450" i="5"/>
  <c r="H450" i="5"/>
  <c r="G450" i="5"/>
  <c r="F450" i="5"/>
  <c r="E450" i="5"/>
  <c r="D450" i="5"/>
  <c r="B450" i="5"/>
  <c r="C450" i="5" s="1"/>
  <c r="A450" i="5"/>
  <c r="K449" i="5"/>
  <c r="L449" i="5" s="1"/>
  <c r="J449" i="5"/>
  <c r="I449" i="5"/>
  <c r="H449" i="5"/>
  <c r="G449" i="5"/>
  <c r="F449" i="5"/>
  <c r="E449" i="5"/>
  <c r="D449" i="5"/>
  <c r="B449" i="5"/>
  <c r="C449" i="5" s="1"/>
  <c r="A449" i="5"/>
  <c r="K448" i="5"/>
  <c r="L448" i="5" s="1"/>
  <c r="J448" i="5"/>
  <c r="I448" i="5"/>
  <c r="H448" i="5"/>
  <c r="G448" i="5"/>
  <c r="F448" i="5"/>
  <c r="E448" i="5"/>
  <c r="D448" i="5"/>
  <c r="B448" i="5"/>
  <c r="C448" i="5" s="1"/>
  <c r="A448" i="5"/>
  <c r="K447" i="5"/>
  <c r="L447" i="5" s="1"/>
  <c r="J447" i="5"/>
  <c r="I447" i="5"/>
  <c r="H447" i="5"/>
  <c r="G447" i="5"/>
  <c r="F447" i="5"/>
  <c r="E447" i="5"/>
  <c r="D447" i="5"/>
  <c r="C447" i="5"/>
  <c r="B447" i="5"/>
  <c r="A447" i="5"/>
  <c r="K446" i="5"/>
  <c r="L446" i="5" s="1"/>
  <c r="J446" i="5"/>
  <c r="I446" i="5"/>
  <c r="H446" i="5"/>
  <c r="G446" i="5"/>
  <c r="F446" i="5"/>
  <c r="E446" i="5"/>
  <c r="D446" i="5"/>
  <c r="B446" i="5"/>
  <c r="C446" i="5" s="1"/>
  <c r="A446" i="5"/>
  <c r="K445" i="5"/>
  <c r="L445" i="5" s="1"/>
  <c r="J445" i="5"/>
  <c r="I445" i="5"/>
  <c r="H445" i="5"/>
  <c r="G445" i="5"/>
  <c r="F445" i="5"/>
  <c r="E445" i="5"/>
  <c r="D445" i="5"/>
  <c r="B445" i="5"/>
  <c r="C445" i="5" s="1"/>
  <c r="A445" i="5"/>
  <c r="K444" i="5"/>
  <c r="L444" i="5" s="1"/>
  <c r="J444" i="5"/>
  <c r="I444" i="5"/>
  <c r="H444" i="5"/>
  <c r="G444" i="5"/>
  <c r="F444" i="5"/>
  <c r="E444" i="5"/>
  <c r="D444" i="5"/>
  <c r="B444" i="5"/>
  <c r="C444" i="5" s="1"/>
  <c r="A444" i="5"/>
  <c r="K443" i="5"/>
  <c r="L443" i="5" s="1"/>
  <c r="J443" i="5"/>
  <c r="I443" i="5"/>
  <c r="H443" i="5"/>
  <c r="G443" i="5"/>
  <c r="F443" i="5"/>
  <c r="E443" i="5"/>
  <c r="D443" i="5"/>
  <c r="C443" i="5"/>
  <c r="B443" i="5"/>
  <c r="A443" i="5"/>
  <c r="K442" i="5"/>
  <c r="L442" i="5" s="1"/>
  <c r="J442" i="5"/>
  <c r="I442" i="5"/>
  <c r="H442" i="5"/>
  <c r="G442" i="5"/>
  <c r="F442" i="5"/>
  <c r="E442" i="5"/>
  <c r="D442" i="5"/>
  <c r="B442" i="5"/>
  <c r="C442" i="5" s="1"/>
  <c r="A442" i="5"/>
  <c r="K441" i="5"/>
  <c r="L441" i="5" s="1"/>
  <c r="J441" i="5"/>
  <c r="I441" i="5"/>
  <c r="H441" i="5"/>
  <c r="G441" i="5"/>
  <c r="F441" i="5"/>
  <c r="E441" i="5"/>
  <c r="D441" i="5"/>
  <c r="B441" i="5"/>
  <c r="C441" i="5" s="1"/>
  <c r="A441" i="5"/>
  <c r="K440" i="5"/>
  <c r="L440" i="5" s="1"/>
  <c r="J440" i="5"/>
  <c r="I440" i="5"/>
  <c r="H440" i="5"/>
  <c r="G440" i="5"/>
  <c r="F440" i="5"/>
  <c r="E440" i="5"/>
  <c r="D440" i="5"/>
  <c r="B440" i="5"/>
  <c r="C440" i="5" s="1"/>
  <c r="A440" i="5"/>
  <c r="K439" i="5"/>
  <c r="L439" i="5" s="1"/>
  <c r="J439" i="5"/>
  <c r="I439" i="5"/>
  <c r="H439" i="5"/>
  <c r="G439" i="5"/>
  <c r="F439" i="5"/>
  <c r="E439" i="5"/>
  <c r="D439" i="5"/>
  <c r="C439" i="5"/>
  <c r="B439" i="5"/>
  <c r="A439" i="5"/>
  <c r="K438" i="5"/>
  <c r="L438" i="5" s="1"/>
  <c r="J438" i="5"/>
  <c r="I438" i="5"/>
  <c r="H438" i="5"/>
  <c r="G438" i="5"/>
  <c r="F438" i="5"/>
  <c r="E438" i="5"/>
  <c r="D438" i="5"/>
  <c r="B438" i="5"/>
  <c r="C438" i="5" s="1"/>
  <c r="A438" i="5"/>
  <c r="K437" i="5"/>
  <c r="L437" i="5" s="1"/>
  <c r="J437" i="5"/>
  <c r="I437" i="5"/>
  <c r="H437" i="5"/>
  <c r="G437" i="5"/>
  <c r="F437" i="5"/>
  <c r="E437" i="5"/>
  <c r="D437" i="5"/>
  <c r="B437" i="5"/>
  <c r="C437" i="5" s="1"/>
  <c r="A437" i="5"/>
  <c r="K436" i="5"/>
  <c r="L436" i="5" s="1"/>
  <c r="J436" i="5"/>
  <c r="I436" i="5"/>
  <c r="H436" i="5"/>
  <c r="G436" i="5"/>
  <c r="F436" i="5"/>
  <c r="E436" i="5"/>
  <c r="D436" i="5"/>
  <c r="B436" i="5"/>
  <c r="C436" i="5" s="1"/>
  <c r="A436" i="5"/>
  <c r="K435" i="5"/>
  <c r="L435" i="5" s="1"/>
  <c r="J435" i="5"/>
  <c r="I435" i="5"/>
  <c r="H435" i="5"/>
  <c r="G435" i="5"/>
  <c r="F435" i="5"/>
  <c r="E435" i="5"/>
  <c r="D435" i="5"/>
  <c r="C435" i="5"/>
  <c r="B435" i="5"/>
  <c r="A435" i="5"/>
  <c r="K434" i="5"/>
  <c r="L434" i="5" s="1"/>
  <c r="J434" i="5"/>
  <c r="I434" i="5"/>
  <c r="H434" i="5"/>
  <c r="G434" i="5"/>
  <c r="F434" i="5"/>
  <c r="E434" i="5"/>
  <c r="D434" i="5"/>
  <c r="C434" i="5"/>
  <c r="B434" i="5"/>
  <c r="A434" i="5"/>
  <c r="K433" i="5"/>
  <c r="L433" i="5" s="1"/>
  <c r="J433" i="5"/>
  <c r="I433" i="5"/>
  <c r="H433" i="5"/>
  <c r="G433" i="5"/>
  <c r="F433" i="5"/>
  <c r="E433" i="5"/>
  <c r="D433" i="5"/>
  <c r="B433" i="5"/>
  <c r="C433" i="5" s="1"/>
  <c r="A433" i="5"/>
  <c r="K432" i="5"/>
  <c r="L432" i="5" s="1"/>
  <c r="J432" i="5"/>
  <c r="I432" i="5"/>
  <c r="H432" i="5"/>
  <c r="G432" i="5"/>
  <c r="F432" i="5"/>
  <c r="E432" i="5"/>
  <c r="D432" i="5"/>
  <c r="B432" i="5"/>
  <c r="C432" i="5" s="1"/>
  <c r="A432" i="5"/>
  <c r="K431" i="5"/>
  <c r="L431" i="5" s="1"/>
  <c r="J431" i="5"/>
  <c r="I431" i="5"/>
  <c r="H431" i="5"/>
  <c r="G431" i="5"/>
  <c r="F431" i="5"/>
  <c r="E431" i="5"/>
  <c r="D431" i="5"/>
  <c r="B431" i="5"/>
  <c r="C431" i="5" s="1"/>
  <c r="A431" i="5"/>
  <c r="K430" i="5"/>
  <c r="L430" i="5" s="1"/>
  <c r="J430" i="5"/>
  <c r="I430" i="5"/>
  <c r="H430" i="5"/>
  <c r="G430" i="5"/>
  <c r="F430" i="5"/>
  <c r="E430" i="5"/>
  <c r="D430" i="5"/>
  <c r="B430" i="5"/>
  <c r="C430" i="5" s="1"/>
  <c r="A430" i="5"/>
  <c r="K429" i="5"/>
  <c r="L429" i="5" s="1"/>
  <c r="J429" i="5"/>
  <c r="I429" i="5"/>
  <c r="H429" i="5"/>
  <c r="G429" i="5"/>
  <c r="F429" i="5"/>
  <c r="E429" i="5"/>
  <c r="D429" i="5"/>
  <c r="B429" i="5"/>
  <c r="C429" i="5" s="1"/>
  <c r="A429" i="5"/>
  <c r="K428" i="5"/>
  <c r="L428" i="5" s="1"/>
  <c r="J428" i="5"/>
  <c r="I428" i="5"/>
  <c r="H428" i="5"/>
  <c r="G428" i="5"/>
  <c r="F428" i="5"/>
  <c r="E428" i="5"/>
  <c r="D428" i="5"/>
  <c r="B428" i="5"/>
  <c r="C428" i="5" s="1"/>
  <c r="A428" i="5"/>
  <c r="K427" i="5"/>
  <c r="L427" i="5" s="1"/>
  <c r="J427" i="5"/>
  <c r="I427" i="5"/>
  <c r="H427" i="5"/>
  <c r="G427" i="5"/>
  <c r="F427" i="5"/>
  <c r="E427" i="5"/>
  <c r="D427" i="5"/>
  <c r="C427" i="5"/>
  <c r="B427" i="5"/>
  <c r="A427" i="5"/>
  <c r="K426" i="5"/>
  <c r="L426" i="5" s="1"/>
  <c r="J426" i="5"/>
  <c r="I426" i="5"/>
  <c r="H426" i="5"/>
  <c r="G426" i="5"/>
  <c r="F426" i="5"/>
  <c r="E426" i="5"/>
  <c r="D426" i="5"/>
  <c r="B426" i="5"/>
  <c r="C426" i="5" s="1"/>
  <c r="A426" i="5"/>
  <c r="K425" i="5"/>
  <c r="L425" i="5" s="1"/>
  <c r="J425" i="5"/>
  <c r="I425" i="5"/>
  <c r="H425" i="5"/>
  <c r="G425" i="5"/>
  <c r="F425" i="5"/>
  <c r="E425" i="5"/>
  <c r="D425" i="5"/>
  <c r="B425" i="5"/>
  <c r="C425" i="5" s="1"/>
  <c r="A425" i="5"/>
  <c r="K424" i="5"/>
  <c r="L424" i="5" s="1"/>
  <c r="J424" i="5"/>
  <c r="I424" i="5"/>
  <c r="H424" i="5"/>
  <c r="G424" i="5"/>
  <c r="F424" i="5"/>
  <c r="E424" i="5"/>
  <c r="D424" i="5"/>
  <c r="B424" i="5"/>
  <c r="C424" i="5" s="1"/>
  <c r="A424" i="5"/>
  <c r="K423" i="5"/>
  <c r="L423" i="5" s="1"/>
  <c r="J423" i="5"/>
  <c r="I423" i="5"/>
  <c r="H423" i="5"/>
  <c r="G423" i="5"/>
  <c r="F423" i="5"/>
  <c r="E423" i="5"/>
  <c r="D423" i="5"/>
  <c r="B423" i="5"/>
  <c r="C423" i="5" s="1"/>
  <c r="A423" i="5"/>
  <c r="K422" i="5"/>
  <c r="L422" i="5" s="1"/>
  <c r="J422" i="5"/>
  <c r="I422" i="5"/>
  <c r="H422" i="5"/>
  <c r="G422" i="5"/>
  <c r="F422" i="5"/>
  <c r="E422" i="5"/>
  <c r="D422" i="5"/>
  <c r="B422" i="5"/>
  <c r="C422" i="5" s="1"/>
  <c r="A422" i="5"/>
  <c r="K421" i="5"/>
  <c r="L421" i="5" s="1"/>
  <c r="J421" i="5"/>
  <c r="I421" i="5"/>
  <c r="H421" i="5"/>
  <c r="G421" i="5"/>
  <c r="F421" i="5"/>
  <c r="E421" i="5"/>
  <c r="D421" i="5"/>
  <c r="B421" i="5"/>
  <c r="C421" i="5" s="1"/>
  <c r="A421" i="5"/>
  <c r="K420" i="5"/>
  <c r="L420" i="5" s="1"/>
  <c r="J420" i="5"/>
  <c r="I420" i="5"/>
  <c r="H420" i="5"/>
  <c r="G420" i="5"/>
  <c r="F420" i="5"/>
  <c r="E420" i="5"/>
  <c r="D420" i="5"/>
  <c r="B420" i="5"/>
  <c r="C420" i="5" s="1"/>
  <c r="A420" i="5"/>
  <c r="K419" i="5"/>
  <c r="L419" i="5" s="1"/>
  <c r="J419" i="5"/>
  <c r="I419" i="5"/>
  <c r="H419" i="5"/>
  <c r="G419" i="5"/>
  <c r="F419" i="5"/>
  <c r="E419" i="5"/>
  <c r="D419" i="5"/>
  <c r="C419" i="5"/>
  <c r="B419" i="5"/>
  <c r="A419" i="5"/>
  <c r="K418" i="5"/>
  <c r="L418" i="5" s="1"/>
  <c r="J418" i="5"/>
  <c r="I418" i="5"/>
  <c r="H418" i="5"/>
  <c r="G418" i="5"/>
  <c r="F418" i="5"/>
  <c r="E418" i="5"/>
  <c r="D418" i="5"/>
  <c r="B418" i="5"/>
  <c r="C418" i="5" s="1"/>
  <c r="A418" i="5"/>
  <c r="K417" i="5"/>
  <c r="L417" i="5" s="1"/>
  <c r="J417" i="5"/>
  <c r="I417" i="5"/>
  <c r="H417" i="5"/>
  <c r="G417" i="5"/>
  <c r="F417" i="5"/>
  <c r="E417" i="5"/>
  <c r="D417" i="5"/>
  <c r="B417" i="5"/>
  <c r="C417" i="5" s="1"/>
  <c r="A417" i="5"/>
  <c r="K416" i="5"/>
  <c r="L416" i="5" s="1"/>
  <c r="J416" i="5"/>
  <c r="I416" i="5"/>
  <c r="H416" i="5"/>
  <c r="G416" i="5"/>
  <c r="F416" i="5"/>
  <c r="E416" i="5"/>
  <c r="D416" i="5"/>
  <c r="B416" i="5"/>
  <c r="C416" i="5" s="1"/>
  <c r="A416" i="5"/>
  <c r="K415" i="5"/>
  <c r="L415" i="5" s="1"/>
  <c r="J415" i="5"/>
  <c r="I415" i="5"/>
  <c r="H415" i="5"/>
  <c r="G415" i="5"/>
  <c r="F415" i="5"/>
  <c r="E415" i="5"/>
  <c r="D415" i="5"/>
  <c r="B415" i="5"/>
  <c r="C415" i="5" s="1"/>
  <c r="A415" i="5"/>
  <c r="K414" i="5"/>
  <c r="L414" i="5" s="1"/>
  <c r="J414" i="5"/>
  <c r="I414" i="5"/>
  <c r="H414" i="5"/>
  <c r="G414" i="5"/>
  <c r="F414" i="5"/>
  <c r="E414" i="5"/>
  <c r="D414" i="5"/>
  <c r="B414" i="5"/>
  <c r="C414" i="5" s="1"/>
  <c r="A414" i="5"/>
  <c r="K413" i="5"/>
  <c r="L413" i="5" s="1"/>
  <c r="J413" i="5"/>
  <c r="I413" i="5"/>
  <c r="H413" i="5"/>
  <c r="G413" i="5"/>
  <c r="F413" i="5"/>
  <c r="E413" i="5"/>
  <c r="D413" i="5"/>
  <c r="B413" i="5"/>
  <c r="C413" i="5" s="1"/>
  <c r="A413" i="5"/>
  <c r="K412" i="5"/>
  <c r="L412" i="5" s="1"/>
  <c r="J412" i="5"/>
  <c r="I412" i="5"/>
  <c r="H412" i="5"/>
  <c r="G412" i="5"/>
  <c r="F412" i="5"/>
  <c r="E412" i="5"/>
  <c r="D412" i="5"/>
  <c r="B412" i="5"/>
  <c r="C412" i="5" s="1"/>
  <c r="A412" i="5"/>
  <c r="K411" i="5"/>
  <c r="L411" i="5" s="1"/>
  <c r="J411" i="5"/>
  <c r="I411" i="5"/>
  <c r="H411" i="5"/>
  <c r="G411" i="5"/>
  <c r="F411" i="5"/>
  <c r="E411" i="5"/>
  <c r="D411" i="5"/>
  <c r="C411" i="5"/>
  <c r="B411" i="5"/>
  <c r="A411" i="5"/>
  <c r="K410" i="5"/>
  <c r="L410" i="5" s="1"/>
  <c r="J410" i="5"/>
  <c r="I410" i="5"/>
  <c r="H410" i="5"/>
  <c r="G410" i="5"/>
  <c r="F410" i="5"/>
  <c r="E410" i="5"/>
  <c r="D410" i="5"/>
  <c r="C410" i="5"/>
  <c r="B410" i="5"/>
  <c r="A410" i="5"/>
  <c r="K409" i="5"/>
  <c r="L409" i="5" s="1"/>
  <c r="J409" i="5"/>
  <c r="I409" i="5"/>
  <c r="H409" i="5"/>
  <c r="G409" i="5"/>
  <c r="F409" i="5"/>
  <c r="E409" i="5"/>
  <c r="D409" i="5"/>
  <c r="B409" i="5"/>
  <c r="C409" i="5" s="1"/>
  <c r="A409" i="5"/>
  <c r="K408" i="5"/>
  <c r="L408" i="5" s="1"/>
  <c r="J408" i="5"/>
  <c r="I408" i="5"/>
  <c r="H408" i="5"/>
  <c r="G408" i="5"/>
  <c r="F408" i="5"/>
  <c r="E408" i="5"/>
  <c r="D408" i="5"/>
  <c r="B408" i="5"/>
  <c r="C408" i="5" s="1"/>
  <c r="A408" i="5"/>
  <c r="K407" i="5"/>
  <c r="L407" i="5" s="1"/>
  <c r="J407" i="5"/>
  <c r="I407" i="5"/>
  <c r="H407" i="5"/>
  <c r="G407" i="5"/>
  <c r="F407" i="5"/>
  <c r="E407" i="5"/>
  <c r="D407" i="5"/>
  <c r="C407" i="5"/>
  <c r="B407" i="5"/>
  <c r="A407" i="5"/>
  <c r="K406" i="5"/>
  <c r="L406" i="5" s="1"/>
  <c r="J406" i="5"/>
  <c r="I406" i="5"/>
  <c r="H406" i="5"/>
  <c r="G406" i="5"/>
  <c r="F406" i="5"/>
  <c r="E406" i="5"/>
  <c r="D406" i="5"/>
  <c r="B406" i="5"/>
  <c r="C406" i="5" s="1"/>
  <c r="A406" i="5"/>
  <c r="K405" i="5"/>
  <c r="L405" i="5" s="1"/>
  <c r="J405" i="5"/>
  <c r="I405" i="5"/>
  <c r="H405" i="5"/>
  <c r="G405" i="5"/>
  <c r="F405" i="5"/>
  <c r="E405" i="5"/>
  <c r="D405" i="5"/>
  <c r="B405" i="5"/>
  <c r="C405" i="5" s="1"/>
  <c r="A405" i="5"/>
  <c r="K404" i="5"/>
  <c r="L404" i="5" s="1"/>
  <c r="J404" i="5"/>
  <c r="I404" i="5"/>
  <c r="H404" i="5"/>
  <c r="G404" i="5"/>
  <c r="F404" i="5"/>
  <c r="E404" i="5"/>
  <c r="D404" i="5"/>
  <c r="B404" i="5"/>
  <c r="C404" i="5" s="1"/>
  <c r="A404" i="5"/>
  <c r="K403" i="5"/>
  <c r="L403" i="5" s="1"/>
  <c r="J403" i="5"/>
  <c r="I403" i="5"/>
  <c r="H403" i="5"/>
  <c r="G403" i="5"/>
  <c r="F403" i="5"/>
  <c r="E403" i="5"/>
  <c r="D403" i="5"/>
  <c r="C403" i="5"/>
  <c r="B403" i="5"/>
  <c r="A403" i="5"/>
  <c r="K402" i="5"/>
  <c r="L402" i="5" s="1"/>
  <c r="J402" i="5"/>
  <c r="I402" i="5"/>
  <c r="H402" i="5"/>
  <c r="G402" i="5"/>
  <c r="F402" i="5"/>
  <c r="E402" i="5"/>
  <c r="D402" i="5"/>
  <c r="C402" i="5"/>
  <c r="B402" i="5"/>
  <c r="A402" i="5"/>
  <c r="K401" i="5"/>
  <c r="L401" i="5" s="1"/>
  <c r="J401" i="5"/>
  <c r="I401" i="5"/>
  <c r="H401" i="5"/>
  <c r="G401" i="5"/>
  <c r="F401" i="5"/>
  <c r="E401" i="5"/>
  <c r="D401" i="5"/>
  <c r="B401" i="5"/>
  <c r="C401" i="5" s="1"/>
  <c r="A401" i="5"/>
  <c r="K400" i="5"/>
  <c r="L400" i="5" s="1"/>
  <c r="J400" i="5"/>
  <c r="I400" i="5"/>
  <c r="H400" i="5"/>
  <c r="G400" i="5"/>
  <c r="F400" i="5"/>
  <c r="E400" i="5"/>
  <c r="D400" i="5"/>
  <c r="B400" i="5"/>
  <c r="C400" i="5" s="1"/>
  <c r="A400" i="5"/>
  <c r="K399" i="5"/>
  <c r="L399" i="5" s="1"/>
  <c r="J399" i="5"/>
  <c r="I399" i="5"/>
  <c r="H399" i="5"/>
  <c r="G399" i="5"/>
  <c r="F399" i="5"/>
  <c r="E399" i="5"/>
  <c r="D399" i="5"/>
  <c r="B399" i="5"/>
  <c r="C399" i="5" s="1"/>
  <c r="A399" i="5"/>
  <c r="K398" i="5"/>
  <c r="L398" i="5" s="1"/>
  <c r="J398" i="5"/>
  <c r="I398" i="5"/>
  <c r="H398" i="5"/>
  <c r="G398" i="5"/>
  <c r="F398" i="5"/>
  <c r="E398" i="5"/>
  <c r="D398" i="5"/>
  <c r="B398" i="5"/>
  <c r="C398" i="5" s="1"/>
  <c r="A398" i="5"/>
  <c r="K397" i="5"/>
  <c r="L397" i="5" s="1"/>
  <c r="J397" i="5"/>
  <c r="I397" i="5"/>
  <c r="H397" i="5"/>
  <c r="G397" i="5"/>
  <c r="F397" i="5"/>
  <c r="E397" i="5"/>
  <c r="D397" i="5"/>
  <c r="B397" i="5"/>
  <c r="C397" i="5" s="1"/>
  <c r="A397" i="5"/>
  <c r="K396" i="5"/>
  <c r="L396" i="5" s="1"/>
  <c r="J396" i="5"/>
  <c r="I396" i="5"/>
  <c r="H396" i="5"/>
  <c r="G396" i="5"/>
  <c r="F396" i="5"/>
  <c r="E396" i="5"/>
  <c r="D396" i="5"/>
  <c r="B396" i="5"/>
  <c r="C396" i="5" s="1"/>
  <c r="A396" i="5"/>
  <c r="K395" i="5"/>
  <c r="L395" i="5" s="1"/>
  <c r="J395" i="5"/>
  <c r="I395" i="5"/>
  <c r="H395" i="5"/>
  <c r="G395" i="5"/>
  <c r="F395" i="5"/>
  <c r="E395" i="5"/>
  <c r="D395" i="5"/>
  <c r="C395" i="5"/>
  <c r="B395" i="5"/>
  <c r="A395" i="5"/>
  <c r="K394" i="5"/>
  <c r="L394" i="5" s="1"/>
  <c r="J394" i="5"/>
  <c r="I394" i="5"/>
  <c r="H394" i="5"/>
  <c r="G394" i="5"/>
  <c r="F394" i="5"/>
  <c r="E394" i="5"/>
  <c r="D394" i="5"/>
  <c r="C394" i="5"/>
  <c r="B394" i="5"/>
  <c r="A394" i="5"/>
  <c r="K393" i="5"/>
  <c r="L393" i="5" s="1"/>
  <c r="J393" i="5"/>
  <c r="I393" i="5"/>
  <c r="H393" i="5"/>
  <c r="G393" i="5"/>
  <c r="F393" i="5"/>
  <c r="E393" i="5"/>
  <c r="D393" i="5"/>
  <c r="B393" i="5"/>
  <c r="C393" i="5" s="1"/>
  <c r="A393" i="5"/>
  <c r="K392" i="5"/>
  <c r="L392" i="5" s="1"/>
  <c r="J392" i="5"/>
  <c r="I392" i="5"/>
  <c r="H392" i="5"/>
  <c r="G392" i="5"/>
  <c r="F392" i="5"/>
  <c r="E392" i="5"/>
  <c r="D392" i="5"/>
  <c r="B392" i="5"/>
  <c r="C392" i="5" s="1"/>
  <c r="A392" i="5"/>
  <c r="K391" i="5"/>
  <c r="L391" i="5" s="1"/>
  <c r="J391" i="5"/>
  <c r="I391" i="5"/>
  <c r="H391" i="5"/>
  <c r="G391" i="5"/>
  <c r="F391" i="5"/>
  <c r="E391" i="5"/>
  <c r="D391" i="5"/>
  <c r="B391" i="5"/>
  <c r="C391" i="5" s="1"/>
  <c r="A391" i="5"/>
  <c r="K390" i="5"/>
  <c r="L390" i="5" s="1"/>
  <c r="J390" i="5"/>
  <c r="I390" i="5"/>
  <c r="H390" i="5"/>
  <c r="G390" i="5"/>
  <c r="F390" i="5"/>
  <c r="E390" i="5"/>
  <c r="D390" i="5"/>
  <c r="B390" i="5"/>
  <c r="C390" i="5" s="1"/>
  <c r="A390" i="5"/>
  <c r="K389" i="5"/>
  <c r="L389" i="5" s="1"/>
  <c r="J389" i="5"/>
  <c r="I389" i="5"/>
  <c r="H389" i="5"/>
  <c r="G389" i="5"/>
  <c r="F389" i="5"/>
  <c r="E389" i="5"/>
  <c r="D389" i="5"/>
  <c r="B389" i="5"/>
  <c r="C389" i="5" s="1"/>
  <c r="A389" i="5"/>
  <c r="K388" i="5"/>
  <c r="L388" i="5" s="1"/>
  <c r="J388" i="5"/>
  <c r="I388" i="5"/>
  <c r="H388" i="5"/>
  <c r="G388" i="5"/>
  <c r="F388" i="5"/>
  <c r="E388" i="5"/>
  <c r="D388" i="5"/>
  <c r="B388" i="5"/>
  <c r="C388" i="5" s="1"/>
  <c r="A388" i="5"/>
  <c r="K387" i="5"/>
  <c r="L387" i="5" s="1"/>
  <c r="J387" i="5"/>
  <c r="I387" i="5"/>
  <c r="H387" i="5"/>
  <c r="G387" i="5"/>
  <c r="F387" i="5"/>
  <c r="E387" i="5"/>
  <c r="D387" i="5"/>
  <c r="C387" i="5"/>
  <c r="B387" i="5"/>
  <c r="A387" i="5"/>
  <c r="K386" i="5"/>
  <c r="L386" i="5" s="1"/>
  <c r="J386" i="5"/>
  <c r="I386" i="5"/>
  <c r="H386" i="5"/>
  <c r="G386" i="5"/>
  <c r="F386" i="5"/>
  <c r="E386" i="5"/>
  <c r="D386" i="5"/>
  <c r="C386" i="5"/>
  <c r="B386" i="5"/>
  <c r="A386" i="5"/>
  <c r="K385" i="5"/>
  <c r="L385" i="5" s="1"/>
  <c r="J385" i="5"/>
  <c r="I385" i="5"/>
  <c r="H385" i="5"/>
  <c r="G385" i="5"/>
  <c r="F385" i="5"/>
  <c r="E385" i="5"/>
  <c r="D385" i="5"/>
  <c r="B385" i="5"/>
  <c r="C385" i="5" s="1"/>
  <c r="A385" i="5"/>
  <c r="K384" i="5"/>
  <c r="L384" i="5" s="1"/>
  <c r="J384" i="5"/>
  <c r="I384" i="5"/>
  <c r="H384" i="5"/>
  <c r="G384" i="5"/>
  <c r="F384" i="5"/>
  <c r="E384" i="5"/>
  <c r="D384" i="5"/>
  <c r="B384" i="5"/>
  <c r="C384" i="5" s="1"/>
  <c r="A384" i="5"/>
  <c r="K383" i="5"/>
  <c r="L383" i="5" s="1"/>
  <c r="J383" i="5"/>
  <c r="I383" i="5"/>
  <c r="H383" i="5"/>
  <c r="G383" i="5"/>
  <c r="F383" i="5"/>
  <c r="E383" i="5"/>
  <c r="D383" i="5"/>
  <c r="B383" i="5"/>
  <c r="C383" i="5" s="1"/>
  <c r="A383" i="5"/>
  <c r="K382" i="5"/>
  <c r="L382" i="5" s="1"/>
  <c r="J382" i="5"/>
  <c r="I382" i="5"/>
  <c r="H382" i="5"/>
  <c r="G382" i="5"/>
  <c r="F382" i="5"/>
  <c r="E382" i="5"/>
  <c r="D382" i="5"/>
  <c r="B382" i="5"/>
  <c r="C382" i="5" s="1"/>
  <c r="A382" i="5"/>
  <c r="K381" i="5"/>
  <c r="L381" i="5" s="1"/>
  <c r="J381" i="5"/>
  <c r="I381" i="5"/>
  <c r="H381" i="5"/>
  <c r="G381" i="5"/>
  <c r="F381" i="5"/>
  <c r="E381" i="5"/>
  <c r="D381" i="5"/>
  <c r="B381" i="5"/>
  <c r="C381" i="5" s="1"/>
  <c r="A381" i="5"/>
  <c r="K380" i="5"/>
  <c r="L380" i="5" s="1"/>
  <c r="J380" i="5"/>
  <c r="I380" i="5"/>
  <c r="H380" i="5"/>
  <c r="G380" i="5"/>
  <c r="F380" i="5"/>
  <c r="E380" i="5"/>
  <c r="D380" i="5"/>
  <c r="B380" i="5"/>
  <c r="C380" i="5" s="1"/>
  <c r="A380" i="5"/>
  <c r="K379" i="5"/>
  <c r="L379" i="5" s="1"/>
  <c r="J379" i="5"/>
  <c r="I379" i="5"/>
  <c r="H379" i="5"/>
  <c r="G379" i="5"/>
  <c r="F379" i="5"/>
  <c r="E379" i="5"/>
  <c r="D379" i="5"/>
  <c r="C379" i="5"/>
  <c r="B379" i="5"/>
  <c r="A379" i="5"/>
  <c r="K378" i="5"/>
  <c r="L378" i="5" s="1"/>
  <c r="J378" i="5"/>
  <c r="I378" i="5"/>
  <c r="H378" i="5"/>
  <c r="G378" i="5"/>
  <c r="F378" i="5"/>
  <c r="E378" i="5"/>
  <c r="D378" i="5"/>
  <c r="C378" i="5"/>
  <c r="B378" i="5"/>
  <c r="A378" i="5"/>
  <c r="K377" i="5"/>
  <c r="L377" i="5" s="1"/>
  <c r="J377" i="5"/>
  <c r="I377" i="5"/>
  <c r="H377" i="5"/>
  <c r="G377" i="5"/>
  <c r="F377" i="5"/>
  <c r="E377" i="5"/>
  <c r="D377" i="5"/>
  <c r="B377" i="5"/>
  <c r="C377" i="5" s="1"/>
  <c r="A377" i="5"/>
  <c r="K376" i="5"/>
  <c r="L376" i="5" s="1"/>
  <c r="J376" i="5"/>
  <c r="I376" i="5"/>
  <c r="H376" i="5"/>
  <c r="G376" i="5"/>
  <c r="F376" i="5"/>
  <c r="E376" i="5"/>
  <c r="D376" i="5"/>
  <c r="B376" i="5"/>
  <c r="C376" i="5" s="1"/>
  <c r="A376" i="5"/>
  <c r="K375" i="5"/>
  <c r="L375" i="5" s="1"/>
  <c r="J375" i="5"/>
  <c r="I375" i="5"/>
  <c r="H375" i="5"/>
  <c r="G375" i="5"/>
  <c r="F375" i="5"/>
  <c r="E375" i="5"/>
  <c r="D375" i="5"/>
  <c r="B375" i="5"/>
  <c r="C375" i="5" s="1"/>
  <c r="A375" i="5"/>
  <c r="K374" i="5"/>
  <c r="L374" i="5" s="1"/>
  <c r="J374" i="5"/>
  <c r="I374" i="5"/>
  <c r="H374" i="5"/>
  <c r="G374" i="5"/>
  <c r="F374" i="5"/>
  <c r="E374" i="5"/>
  <c r="D374" i="5"/>
  <c r="B374" i="5"/>
  <c r="C374" i="5" s="1"/>
  <c r="A374" i="5"/>
  <c r="K373" i="5"/>
  <c r="L373" i="5" s="1"/>
  <c r="J373" i="5"/>
  <c r="I373" i="5"/>
  <c r="H373" i="5"/>
  <c r="G373" i="5"/>
  <c r="F373" i="5"/>
  <c r="E373" i="5"/>
  <c r="D373" i="5"/>
  <c r="B373" i="5"/>
  <c r="C373" i="5" s="1"/>
  <c r="A373" i="5"/>
  <c r="K372" i="5"/>
  <c r="L372" i="5" s="1"/>
  <c r="J372" i="5"/>
  <c r="I372" i="5"/>
  <c r="H372" i="5"/>
  <c r="G372" i="5"/>
  <c r="F372" i="5"/>
  <c r="E372" i="5"/>
  <c r="D372" i="5"/>
  <c r="B372" i="5"/>
  <c r="C372" i="5" s="1"/>
  <c r="A372" i="5"/>
  <c r="K371" i="5"/>
  <c r="L371" i="5" s="1"/>
  <c r="J371" i="5"/>
  <c r="I371" i="5"/>
  <c r="H371" i="5"/>
  <c r="G371" i="5"/>
  <c r="F371" i="5"/>
  <c r="E371" i="5"/>
  <c r="D371" i="5"/>
  <c r="C371" i="5"/>
  <c r="B371" i="5"/>
  <c r="A371" i="5"/>
  <c r="K370" i="5"/>
  <c r="L370" i="5" s="1"/>
  <c r="J370" i="5"/>
  <c r="I370" i="5"/>
  <c r="H370" i="5"/>
  <c r="G370" i="5"/>
  <c r="F370" i="5"/>
  <c r="E370" i="5"/>
  <c r="D370" i="5"/>
  <c r="C370" i="5"/>
  <c r="B370" i="5"/>
  <c r="A370" i="5"/>
  <c r="K369" i="5"/>
  <c r="L369" i="5" s="1"/>
  <c r="J369" i="5"/>
  <c r="I369" i="5"/>
  <c r="H369" i="5"/>
  <c r="G369" i="5"/>
  <c r="F369" i="5"/>
  <c r="E369" i="5"/>
  <c r="D369" i="5"/>
  <c r="B369" i="5"/>
  <c r="C369" i="5" s="1"/>
  <c r="A369" i="5"/>
  <c r="K368" i="5"/>
  <c r="L368" i="5" s="1"/>
  <c r="J368" i="5"/>
  <c r="I368" i="5"/>
  <c r="H368" i="5"/>
  <c r="G368" i="5"/>
  <c r="F368" i="5"/>
  <c r="E368" i="5"/>
  <c r="D368" i="5"/>
  <c r="B368" i="5"/>
  <c r="C368" i="5" s="1"/>
  <c r="A368" i="5"/>
  <c r="K367" i="5"/>
  <c r="L367" i="5" s="1"/>
  <c r="J367" i="5"/>
  <c r="I367" i="5"/>
  <c r="H367" i="5"/>
  <c r="G367" i="5"/>
  <c r="F367" i="5"/>
  <c r="E367" i="5"/>
  <c r="D367" i="5"/>
  <c r="B367" i="5"/>
  <c r="C367" i="5" s="1"/>
  <c r="A367" i="5"/>
  <c r="K366" i="5"/>
  <c r="L366" i="5" s="1"/>
  <c r="J366" i="5"/>
  <c r="I366" i="5"/>
  <c r="H366" i="5"/>
  <c r="G366" i="5"/>
  <c r="F366" i="5"/>
  <c r="E366" i="5"/>
  <c r="D366" i="5"/>
  <c r="B366" i="5"/>
  <c r="C366" i="5" s="1"/>
  <c r="A366" i="5"/>
  <c r="K365" i="5"/>
  <c r="L365" i="5" s="1"/>
  <c r="J365" i="5"/>
  <c r="I365" i="5"/>
  <c r="H365" i="5"/>
  <c r="G365" i="5"/>
  <c r="F365" i="5"/>
  <c r="E365" i="5"/>
  <c r="D365" i="5"/>
  <c r="B365" i="5"/>
  <c r="C365" i="5" s="1"/>
  <c r="A365" i="5"/>
  <c r="K364" i="5"/>
  <c r="L364" i="5" s="1"/>
  <c r="J364" i="5"/>
  <c r="I364" i="5"/>
  <c r="H364" i="5"/>
  <c r="G364" i="5"/>
  <c r="F364" i="5"/>
  <c r="E364" i="5"/>
  <c r="D364" i="5"/>
  <c r="B364" i="5"/>
  <c r="C364" i="5" s="1"/>
  <c r="A364" i="5"/>
  <c r="K363" i="5"/>
  <c r="L363" i="5" s="1"/>
  <c r="J363" i="5"/>
  <c r="I363" i="5"/>
  <c r="H363" i="5"/>
  <c r="G363" i="5"/>
  <c r="F363" i="5"/>
  <c r="E363" i="5"/>
  <c r="D363" i="5"/>
  <c r="C363" i="5"/>
  <c r="B363" i="5"/>
  <c r="A363" i="5"/>
  <c r="K362" i="5"/>
  <c r="L362" i="5" s="1"/>
  <c r="J362" i="5"/>
  <c r="I362" i="5"/>
  <c r="H362" i="5"/>
  <c r="G362" i="5"/>
  <c r="F362" i="5"/>
  <c r="E362" i="5"/>
  <c r="D362" i="5"/>
  <c r="C362" i="5"/>
  <c r="B362" i="5"/>
  <c r="A362" i="5"/>
  <c r="K361" i="5"/>
  <c r="L361" i="5" s="1"/>
  <c r="J361" i="5"/>
  <c r="I361" i="5"/>
  <c r="H361" i="5"/>
  <c r="G361" i="5"/>
  <c r="F361" i="5"/>
  <c r="E361" i="5"/>
  <c r="D361" i="5"/>
  <c r="B361" i="5"/>
  <c r="C361" i="5" s="1"/>
  <c r="A361" i="5"/>
  <c r="K360" i="5"/>
  <c r="L360" i="5" s="1"/>
  <c r="J360" i="5"/>
  <c r="I360" i="5"/>
  <c r="H360" i="5"/>
  <c r="G360" i="5"/>
  <c r="F360" i="5"/>
  <c r="E360" i="5"/>
  <c r="D360" i="5"/>
  <c r="B360" i="5"/>
  <c r="C360" i="5" s="1"/>
  <c r="A360" i="5"/>
  <c r="K359" i="5"/>
  <c r="L359" i="5" s="1"/>
  <c r="J359" i="5"/>
  <c r="I359" i="5"/>
  <c r="H359" i="5"/>
  <c r="G359" i="5"/>
  <c r="F359" i="5"/>
  <c r="E359" i="5"/>
  <c r="D359" i="5"/>
  <c r="B359" i="5"/>
  <c r="C359" i="5" s="1"/>
  <c r="A359" i="5"/>
  <c r="K358" i="5"/>
  <c r="L358" i="5" s="1"/>
  <c r="J358" i="5"/>
  <c r="I358" i="5"/>
  <c r="H358" i="5"/>
  <c r="G358" i="5"/>
  <c r="F358" i="5"/>
  <c r="E358" i="5"/>
  <c r="D358" i="5"/>
  <c r="B358" i="5"/>
  <c r="C358" i="5" s="1"/>
  <c r="A358" i="5"/>
  <c r="K357" i="5"/>
  <c r="L357" i="5" s="1"/>
  <c r="J357" i="5"/>
  <c r="I357" i="5"/>
  <c r="H357" i="5"/>
  <c r="G357" i="5"/>
  <c r="F357" i="5"/>
  <c r="E357" i="5"/>
  <c r="D357" i="5"/>
  <c r="B357" i="5"/>
  <c r="C357" i="5" s="1"/>
  <c r="A357" i="5"/>
  <c r="K356" i="5"/>
  <c r="L356" i="5" s="1"/>
  <c r="J356" i="5"/>
  <c r="I356" i="5"/>
  <c r="H356" i="5"/>
  <c r="G356" i="5"/>
  <c r="F356" i="5"/>
  <c r="E356" i="5"/>
  <c r="D356" i="5"/>
  <c r="B356" i="5"/>
  <c r="C356" i="5" s="1"/>
  <c r="A356" i="5"/>
  <c r="K355" i="5"/>
  <c r="L355" i="5" s="1"/>
  <c r="J355" i="5"/>
  <c r="I355" i="5"/>
  <c r="H355" i="5"/>
  <c r="G355" i="5"/>
  <c r="F355" i="5"/>
  <c r="E355" i="5"/>
  <c r="D355" i="5"/>
  <c r="C355" i="5"/>
  <c r="B355" i="5"/>
  <c r="A355" i="5"/>
  <c r="L354" i="5"/>
  <c r="K354" i="5"/>
  <c r="J354" i="5"/>
  <c r="I354" i="5"/>
  <c r="H354" i="5"/>
  <c r="G354" i="5"/>
  <c r="F354" i="5"/>
  <c r="E354" i="5"/>
  <c r="D354" i="5"/>
  <c r="C354" i="5"/>
  <c r="B354" i="5"/>
  <c r="A354" i="5"/>
  <c r="L353" i="5"/>
  <c r="K353" i="5"/>
  <c r="J353" i="5"/>
  <c r="I353" i="5"/>
  <c r="H353" i="5"/>
  <c r="G353" i="5"/>
  <c r="F353" i="5"/>
  <c r="E353" i="5"/>
  <c r="D353" i="5"/>
  <c r="B353" i="5"/>
  <c r="C353" i="5" s="1"/>
  <c r="A353" i="5"/>
  <c r="K352" i="5"/>
  <c r="L352" i="5" s="1"/>
  <c r="J352" i="5"/>
  <c r="I352" i="5"/>
  <c r="H352" i="5"/>
  <c r="G352" i="5"/>
  <c r="F352" i="5"/>
  <c r="E352" i="5"/>
  <c r="D352" i="5"/>
  <c r="B352" i="5"/>
  <c r="C352" i="5" s="1"/>
  <c r="A352" i="5"/>
  <c r="K351" i="5"/>
  <c r="L351" i="5" s="1"/>
  <c r="J351" i="5"/>
  <c r="I351" i="5"/>
  <c r="H351" i="5"/>
  <c r="G351" i="5"/>
  <c r="F351" i="5"/>
  <c r="E351" i="5"/>
  <c r="D351" i="5"/>
  <c r="B351" i="5"/>
  <c r="C351" i="5" s="1"/>
  <c r="A351" i="5"/>
  <c r="L350" i="5"/>
  <c r="K350" i="5"/>
  <c r="J350" i="5"/>
  <c r="I350" i="5"/>
  <c r="H350" i="5"/>
  <c r="G350" i="5"/>
  <c r="F350" i="5"/>
  <c r="E350" i="5"/>
  <c r="D350" i="5"/>
  <c r="B350" i="5"/>
  <c r="C350" i="5" s="1"/>
  <c r="A350" i="5"/>
  <c r="K349" i="5"/>
  <c r="L349" i="5" s="1"/>
  <c r="J349" i="5"/>
  <c r="I349" i="5"/>
  <c r="H349" i="5"/>
  <c r="G349" i="5"/>
  <c r="F349" i="5"/>
  <c r="E349" i="5"/>
  <c r="D349" i="5"/>
  <c r="B349" i="5"/>
  <c r="C349" i="5" s="1"/>
  <c r="A349" i="5"/>
  <c r="K348" i="5"/>
  <c r="L348" i="5" s="1"/>
  <c r="J348" i="5"/>
  <c r="I348" i="5"/>
  <c r="H348" i="5"/>
  <c r="G348" i="5"/>
  <c r="F348" i="5"/>
  <c r="E348" i="5"/>
  <c r="D348" i="5"/>
  <c r="B348" i="5"/>
  <c r="C348" i="5" s="1"/>
  <c r="A348" i="5"/>
  <c r="K347" i="5"/>
  <c r="L347" i="5" s="1"/>
  <c r="J347" i="5"/>
  <c r="I347" i="5"/>
  <c r="H347" i="5"/>
  <c r="G347" i="5"/>
  <c r="F347" i="5"/>
  <c r="E347" i="5"/>
  <c r="D347" i="5"/>
  <c r="B347" i="5"/>
  <c r="C347" i="5" s="1"/>
  <c r="A347" i="5"/>
  <c r="K346" i="5"/>
  <c r="L346" i="5" s="1"/>
  <c r="J346" i="5"/>
  <c r="I346" i="5"/>
  <c r="H346" i="5"/>
  <c r="G346" i="5"/>
  <c r="F346" i="5"/>
  <c r="E346" i="5"/>
  <c r="D346" i="5"/>
  <c r="B346" i="5"/>
  <c r="C346" i="5" s="1"/>
  <c r="A346" i="5"/>
  <c r="K345" i="5"/>
  <c r="L345" i="5" s="1"/>
  <c r="J345" i="5"/>
  <c r="I345" i="5"/>
  <c r="H345" i="5"/>
  <c r="G345" i="5"/>
  <c r="F345" i="5"/>
  <c r="E345" i="5"/>
  <c r="D345" i="5"/>
  <c r="B345" i="5"/>
  <c r="C345" i="5" s="1"/>
  <c r="A345" i="5"/>
  <c r="K344" i="5"/>
  <c r="L344" i="5" s="1"/>
  <c r="J344" i="5"/>
  <c r="I344" i="5"/>
  <c r="H344" i="5"/>
  <c r="G344" i="5"/>
  <c r="F344" i="5"/>
  <c r="E344" i="5"/>
  <c r="D344" i="5"/>
  <c r="B344" i="5"/>
  <c r="C344" i="5" s="1"/>
  <c r="A344" i="5"/>
  <c r="K343" i="5"/>
  <c r="L343" i="5" s="1"/>
  <c r="J343" i="5"/>
  <c r="I343" i="5"/>
  <c r="H343" i="5"/>
  <c r="G343" i="5"/>
  <c r="F343" i="5"/>
  <c r="E343" i="5"/>
  <c r="D343" i="5"/>
  <c r="B343" i="5"/>
  <c r="C343" i="5" s="1"/>
  <c r="A343" i="5"/>
  <c r="L342" i="5"/>
  <c r="K342" i="5"/>
  <c r="J342" i="5"/>
  <c r="I342" i="5"/>
  <c r="H342" i="5"/>
  <c r="G342" i="5"/>
  <c r="F342" i="5"/>
  <c r="E342" i="5"/>
  <c r="D342" i="5"/>
  <c r="B342" i="5"/>
  <c r="C342" i="5" s="1"/>
  <c r="A342" i="5"/>
  <c r="L341" i="5"/>
  <c r="K341" i="5"/>
  <c r="J341" i="5"/>
  <c r="I341" i="5"/>
  <c r="H341" i="5"/>
  <c r="G341" i="5"/>
  <c r="F341" i="5"/>
  <c r="E341" i="5"/>
  <c r="D341" i="5"/>
  <c r="B341" i="5"/>
  <c r="C341" i="5" s="1"/>
  <c r="A341" i="5"/>
  <c r="K340" i="5"/>
  <c r="L340" i="5" s="1"/>
  <c r="J340" i="5"/>
  <c r="I340" i="5"/>
  <c r="H340" i="5"/>
  <c r="G340" i="5"/>
  <c r="F340" i="5"/>
  <c r="E340" i="5"/>
  <c r="D340" i="5"/>
  <c r="B340" i="5"/>
  <c r="C340" i="5" s="1"/>
  <c r="A340" i="5"/>
  <c r="K339" i="5"/>
  <c r="L339" i="5" s="1"/>
  <c r="J339" i="5"/>
  <c r="I339" i="5"/>
  <c r="H339" i="5"/>
  <c r="G339" i="5"/>
  <c r="F339" i="5"/>
  <c r="E339" i="5"/>
  <c r="D339" i="5"/>
  <c r="B339" i="5"/>
  <c r="C339" i="5" s="1"/>
  <c r="A339" i="5"/>
  <c r="K338" i="5"/>
  <c r="L338" i="5" s="1"/>
  <c r="J338" i="5"/>
  <c r="I338" i="5"/>
  <c r="H338" i="5"/>
  <c r="G338" i="5"/>
  <c r="F338" i="5"/>
  <c r="E338" i="5"/>
  <c r="D338" i="5"/>
  <c r="B338" i="5"/>
  <c r="C338" i="5" s="1"/>
  <c r="A338" i="5"/>
  <c r="K337" i="5"/>
  <c r="L337" i="5" s="1"/>
  <c r="J337" i="5"/>
  <c r="I337" i="5"/>
  <c r="H337" i="5"/>
  <c r="G337" i="5"/>
  <c r="F337" i="5"/>
  <c r="E337" i="5"/>
  <c r="D337" i="5"/>
  <c r="B337" i="5"/>
  <c r="C337" i="5" s="1"/>
  <c r="A337" i="5"/>
  <c r="K336" i="5"/>
  <c r="L336" i="5" s="1"/>
  <c r="J336" i="5"/>
  <c r="I336" i="5"/>
  <c r="H336" i="5"/>
  <c r="G336" i="5"/>
  <c r="F336" i="5"/>
  <c r="E336" i="5"/>
  <c r="D336" i="5"/>
  <c r="B336" i="5"/>
  <c r="C336" i="5" s="1"/>
  <c r="A336" i="5"/>
  <c r="K335" i="5"/>
  <c r="L335" i="5" s="1"/>
  <c r="J335" i="5"/>
  <c r="I335" i="5"/>
  <c r="H335" i="5"/>
  <c r="G335" i="5"/>
  <c r="F335" i="5"/>
  <c r="E335" i="5"/>
  <c r="D335" i="5"/>
  <c r="B335" i="5"/>
  <c r="C335" i="5" s="1"/>
  <c r="A335" i="5"/>
  <c r="L334" i="5"/>
  <c r="K334" i="5"/>
  <c r="J334" i="5"/>
  <c r="I334" i="5"/>
  <c r="H334" i="5"/>
  <c r="G334" i="5"/>
  <c r="F334" i="5"/>
  <c r="E334" i="5"/>
  <c r="D334" i="5"/>
  <c r="B334" i="5"/>
  <c r="C334" i="5" s="1"/>
  <c r="A334" i="5"/>
  <c r="K333" i="5"/>
  <c r="L333" i="5" s="1"/>
  <c r="J333" i="5"/>
  <c r="I333" i="5"/>
  <c r="H333" i="5"/>
  <c r="G333" i="5"/>
  <c r="F333" i="5"/>
  <c r="E333" i="5"/>
  <c r="D333" i="5"/>
  <c r="B333" i="5"/>
  <c r="C333" i="5" s="1"/>
  <c r="A333" i="5"/>
  <c r="K332" i="5"/>
  <c r="L332" i="5" s="1"/>
  <c r="J332" i="5"/>
  <c r="I332" i="5"/>
  <c r="H332" i="5"/>
  <c r="G332" i="5"/>
  <c r="F332" i="5"/>
  <c r="E332" i="5"/>
  <c r="D332" i="5"/>
  <c r="B332" i="5"/>
  <c r="C332" i="5" s="1"/>
  <c r="A332" i="5"/>
  <c r="K331" i="5"/>
  <c r="L331" i="5" s="1"/>
  <c r="J331" i="5"/>
  <c r="I331" i="5"/>
  <c r="H331" i="5"/>
  <c r="G331" i="5"/>
  <c r="F331" i="5"/>
  <c r="E331" i="5"/>
  <c r="D331" i="5"/>
  <c r="B331" i="5"/>
  <c r="C331" i="5" s="1"/>
  <c r="A331" i="5"/>
  <c r="K330" i="5"/>
  <c r="L330" i="5" s="1"/>
  <c r="J330" i="5"/>
  <c r="I330" i="5"/>
  <c r="H330" i="5"/>
  <c r="G330" i="5"/>
  <c r="F330" i="5"/>
  <c r="E330" i="5"/>
  <c r="D330" i="5"/>
  <c r="C330" i="5"/>
  <c r="B330" i="5"/>
  <c r="A330" i="5"/>
  <c r="K329" i="5"/>
  <c r="L329" i="5" s="1"/>
  <c r="J329" i="5"/>
  <c r="I329" i="5"/>
  <c r="H329" i="5"/>
  <c r="G329" i="5"/>
  <c r="F329" i="5"/>
  <c r="E329" i="5"/>
  <c r="D329" i="5"/>
  <c r="B329" i="5"/>
  <c r="C329" i="5" s="1"/>
  <c r="A329" i="5"/>
  <c r="K328" i="5"/>
  <c r="L328" i="5" s="1"/>
  <c r="J328" i="5"/>
  <c r="I328" i="5"/>
  <c r="H328" i="5"/>
  <c r="G328" i="5"/>
  <c r="F328" i="5"/>
  <c r="E328" i="5"/>
  <c r="D328" i="5"/>
  <c r="B328" i="5"/>
  <c r="C328" i="5" s="1"/>
  <c r="A328" i="5"/>
  <c r="K327" i="5"/>
  <c r="L327" i="5" s="1"/>
  <c r="J327" i="5"/>
  <c r="I327" i="5"/>
  <c r="H327" i="5"/>
  <c r="G327" i="5"/>
  <c r="F327" i="5"/>
  <c r="E327" i="5"/>
  <c r="D327" i="5"/>
  <c r="B327" i="5"/>
  <c r="C327" i="5" s="1"/>
  <c r="A327" i="5"/>
  <c r="K326" i="5"/>
  <c r="L326" i="5" s="1"/>
  <c r="J326" i="5"/>
  <c r="I326" i="5"/>
  <c r="H326" i="5"/>
  <c r="G326" i="5"/>
  <c r="F326" i="5"/>
  <c r="E326" i="5"/>
  <c r="D326" i="5"/>
  <c r="B326" i="5"/>
  <c r="C326" i="5" s="1"/>
  <c r="A326" i="5"/>
  <c r="K325" i="5"/>
  <c r="L325" i="5" s="1"/>
  <c r="J325" i="5"/>
  <c r="I325" i="5"/>
  <c r="H325" i="5"/>
  <c r="G325" i="5"/>
  <c r="F325" i="5"/>
  <c r="E325" i="5"/>
  <c r="D325" i="5"/>
  <c r="B325" i="5"/>
  <c r="C325" i="5" s="1"/>
  <c r="A325" i="5"/>
  <c r="K324" i="5"/>
  <c r="L324" i="5" s="1"/>
  <c r="J324" i="5"/>
  <c r="I324" i="5"/>
  <c r="H324" i="5"/>
  <c r="G324" i="5"/>
  <c r="F324" i="5"/>
  <c r="E324" i="5"/>
  <c r="D324" i="5"/>
  <c r="B324" i="5"/>
  <c r="C324" i="5" s="1"/>
  <c r="A324" i="5"/>
  <c r="K323" i="5"/>
  <c r="L323" i="5" s="1"/>
  <c r="J323" i="5"/>
  <c r="I323" i="5"/>
  <c r="H323" i="5"/>
  <c r="G323" i="5"/>
  <c r="F323" i="5"/>
  <c r="E323" i="5"/>
  <c r="D323" i="5"/>
  <c r="B323" i="5"/>
  <c r="C323" i="5" s="1"/>
  <c r="A323" i="5"/>
  <c r="K322" i="5"/>
  <c r="L322" i="5" s="1"/>
  <c r="J322" i="5"/>
  <c r="I322" i="5"/>
  <c r="H322" i="5"/>
  <c r="G322" i="5"/>
  <c r="F322" i="5"/>
  <c r="E322" i="5"/>
  <c r="D322" i="5"/>
  <c r="B322" i="5"/>
  <c r="C322" i="5" s="1"/>
  <c r="A322" i="5"/>
  <c r="K321" i="5"/>
  <c r="L321" i="5" s="1"/>
  <c r="J321" i="5"/>
  <c r="I321" i="5"/>
  <c r="H321" i="5"/>
  <c r="G321" i="5"/>
  <c r="F321" i="5"/>
  <c r="E321" i="5"/>
  <c r="D321" i="5"/>
  <c r="B321" i="5"/>
  <c r="C321" i="5" s="1"/>
  <c r="A321" i="5"/>
  <c r="K320" i="5"/>
  <c r="L320" i="5" s="1"/>
  <c r="J320" i="5"/>
  <c r="I320" i="5"/>
  <c r="H320" i="5"/>
  <c r="G320" i="5"/>
  <c r="F320" i="5"/>
  <c r="E320" i="5"/>
  <c r="D320" i="5"/>
  <c r="B320" i="5"/>
  <c r="C320" i="5" s="1"/>
  <c r="A320" i="5"/>
  <c r="K319" i="5"/>
  <c r="L319" i="5" s="1"/>
  <c r="J319" i="5"/>
  <c r="I319" i="5"/>
  <c r="H319" i="5"/>
  <c r="G319" i="5"/>
  <c r="F319" i="5"/>
  <c r="E319" i="5"/>
  <c r="D319" i="5"/>
  <c r="B319" i="5"/>
  <c r="C319" i="5" s="1"/>
  <c r="A319" i="5"/>
  <c r="K318" i="5"/>
  <c r="L318" i="5" s="1"/>
  <c r="J318" i="5"/>
  <c r="I318" i="5"/>
  <c r="H318" i="5"/>
  <c r="G318" i="5"/>
  <c r="F318" i="5"/>
  <c r="E318" i="5"/>
  <c r="D318" i="5"/>
  <c r="B318" i="5"/>
  <c r="C318" i="5" s="1"/>
  <c r="A318" i="5"/>
  <c r="K317" i="5"/>
  <c r="L317" i="5" s="1"/>
  <c r="J317" i="5"/>
  <c r="I317" i="5"/>
  <c r="H317" i="5"/>
  <c r="G317" i="5"/>
  <c r="F317" i="5"/>
  <c r="E317" i="5"/>
  <c r="D317" i="5"/>
  <c r="B317" i="5"/>
  <c r="C317" i="5" s="1"/>
  <c r="A317" i="5"/>
  <c r="K316" i="5"/>
  <c r="L316" i="5" s="1"/>
  <c r="J316" i="5"/>
  <c r="I316" i="5"/>
  <c r="H316" i="5"/>
  <c r="G316" i="5"/>
  <c r="F316" i="5"/>
  <c r="E316" i="5"/>
  <c r="D316" i="5"/>
  <c r="B316" i="5"/>
  <c r="C316" i="5" s="1"/>
  <c r="A316" i="5"/>
  <c r="K315" i="5"/>
  <c r="L315" i="5" s="1"/>
  <c r="J315" i="5"/>
  <c r="I315" i="5"/>
  <c r="H315" i="5"/>
  <c r="G315" i="5"/>
  <c r="F315" i="5"/>
  <c r="E315" i="5"/>
  <c r="D315" i="5"/>
  <c r="B315" i="5"/>
  <c r="C315" i="5" s="1"/>
  <c r="A315" i="5"/>
  <c r="K314" i="5"/>
  <c r="L314" i="5" s="1"/>
  <c r="J314" i="5"/>
  <c r="I314" i="5"/>
  <c r="H314" i="5"/>
  <c r="G314" i="5"/>
  <c r="F314" i="5"/>
  <c r="E314" i="5"/>
  <c r="D314" i="5"/>
  <c r="B314" i="5"/>
  <c r="C314" i="5" s="1"/>
  <c r="A314" i="5"/>
  <c r="K313" i="5"/>
  <c r="L313" i="5" s="1"/>
  <c r="J313" i="5"/>
  <c r="I313" i="5"/>
  <c r="H313" i="5"/>
  <c r="G313" i="5"/>
  <c r="F313" i="5"/>
  <c r="E313" i="5"/>
  <c r="D313" i="5"/>
  <c r="B313" i="5"/>
  <c r="C313" i="5" s="1"/>
  <c r="A313" i="5"/>
  <c r="K312" i="5"/>
  <c r="L312" i="5" s="1"/>
  <c r="J312" i="5"/>
  <c r="I312" i="5"/>
  <c r="H312" i="5"/>
  <c r="G312" i="5"/>
  <c r="F312" i="5"/>
  <c r="E312" i="5"/>
  <c r="D312" i="5"/>
  <c r="B312" i="5"/>
  <c r="C312" i="5" s="1"/>
  <c r="A312" i="5"/>
  <c r="K311" i="5"/>
  <c r="L311" i="5" s="1"/>
  <c r="J311" i="5"/>
  <c r="I311" i="5"/>
  <c r="H311" i="5"/>
  <c r="G311" i="5"/>
  <c r="F311" i="5"/>
  <c r="E311" i="5"/>
  <c r="D311" i="5"/>
  <c r="B311" i="5"/>
  <c r="C311" i="5" s="1"/>
  <c r="A311" i="5"/>
  <c r="K310" i="5"/>
  <c r="L310" i="5" s="1"/>
  <c r="J310" i="5"/>
  <c r="I310" i="5"/>
  <c r="H310" i="5"/>
  <c r="G310" i="5"/>
  <c r="F310" i="5"/>
  <c r="E310" i="5"/>
  <c r="D310" i="5"/>
  <c r="B310" i="5"/>
  <c r="C310" i="5" s="1"/>
  <c r="A310" i="5"/>
  <c r="K309" i="5"/>
  <c r="L309" i="5" s="1"/>
  <c r="J309" i="5"/>
  <c r="I309" i="5"/>
  <c r="H309" i="5"/>
  <c r="G309" i="5"/>
  <c r="F309" i="5"/>
  <c r="E309" i="5"/>
  <c r="D309" i="5"/>
  <c r="B309" i="5"/>
  <c r="C309" i="5" s="1"/>
  <c r="A309" i="5"/>
  <c r="K308" i="5"/>
  <c r="L308" i="5" s="1"/>
  <c r="J308" i="5"/>
  <c r="I308" i="5"/>
  <c r="H308" i="5"/>
  <c r="G308" i="5"/>
  <c r="F308" i="5"/>
  <c r="E308" i="5"/>
  <c r="D308" i="5"/>
  <c r="B308" i="5"/>
  <c r="C308" i="5" s="1"/>
  <c r="A308" i="5"/>
  <c r="K307" i="5"/>
  <c r="L307" i="5" s="1"/>
  <c r="J307" i="5"/>
  <c r="I307" i="5"/>
  <c r="H307" i="5"/>
  <c r="G307" i="5"/>
  <c r="F307" i="5"/>
  <c r="E307" i="5"/>
  <c r="D307" i="5"/>
  <c r="B307" i="5"/>
  <c r="C307" i="5" s="1"/>
  <c r="A307" i="5"/>
  <c r="K306" i="5"/>
  <c r="L306" i="5" s="1"/>
  <c r="J306" i="5"/>
  <c r="I306" i="5"/>
  <c r="H306" i="5"/>
  <c r="G306" i="5"/>
  <c r="F306" i="5"/>
  <c r="E306" i="5"/>
  <c r="D306" i="5"/>
  <c r="B306" i="5"/>
  <c r="C306" i="5" s="1"/>
  <c r="A306" i="5"/>
  <c r="K305" i="5"/>
  <c r="L305" i="5" s="1"/>
  <c r="J305" i="5"/>
  <c r="I305" i="5"/>
  <c r="H305" i="5"/>
  <c r="G305" i="5"/>
  <c r="F305" i="5"/>
  <c r="E305" i="5"/>
  <c r="D305" i="5"/>
  <c r="B305" i="5"/>
  <c r="C305" i="5" s="1"/>
  <c r="A305" i="5"/>
  <c r="K304" i="5"/>
  <c r="L304" i="5" s="1"/>
  <c r="J304" i="5"/>
  <c r="I304" i="5"/>
  <c r="H304" i="5"/>
  <c r="G304" i="5"/>
  <c r="F304" i="5"/>
  <c r="E304" i="5"/>
  <c r="D304" i="5"/>
  <c r="B304" i="5"/>
  <c r="C304" i="5" s="1"/>
  <c r="A304" i="5"/>
  <c r="K303" i="5"/>
  <c r="L303" i="5" s="1"/>
  <c r="J303" i="5"/>
  <c r="I303" i="5"/>
  <c r="H303" i="5"/>
  <c r="G303" i="5"/>
  <c r="F303" i="5"/>
  <c r="E303" i="5"/>
  <c r="D303" i="5"/>
  <c r="B303" i="5"/>
  <c r="C303" i="5" s="1"/>
  <c r="A303" i="5"/>
  <c r="L302" i="5"/>
  <c r="K302" i="5"/>
  <c r="J302" i="5"/>
  <c r="I302" i="5"/>
  <c r="H302" i="5"/>
  <c r="G302" i="5"/>
  <c r="F302" i="5"/>
  <c r="E302" i="5"/>
  <c r="D302" i="5"/>
  <c r="B302" i="5"/>
  <c r="C302" i="5" s="1"/>
  <c r="A302" i="5"/>
  <c r="L301" i="5"/>
  <c r="K301" i="5"/>
  <c r="J301" i="5"/>
  <c r="I301" i="5"/>
  <c r="H301" i="5"/>
  <c r="G301" i="5"/>
  <c r="F301" i="5"/>
  <c r="E301" i="5"/>
  <c r="D301" i="5"/>
  <c r="B301" i="5"/>
  <c r="C301" i="5" s="1"/>
  <c r="A301" i="5"/>
  <c r="K300" i="5"/>
  <c r="L300" i="5" s="1"/>
  <c r="J300" i="5"/>
  <c r="I300" i="5"/>
  <c r="H300" i="5"/>
  <c r="G300" i="5"/>
  <c r="F300" i="5"/>
  <c r="E300" i="5"/>
  <c r="D300" i="5"/>
  <c r="B300" i="5"/>
  <c r="C300" i="5" s="1"/>
  <c r="A300" i="5"/>
  <c r="K299" i="5"/>
  <c r="L299" i="5" s="1"/>
  <c r="J299" i="5"/>
  <c r="I299" i="5"/>
  <c r="H299" i="5"/>
  <c r="G299" i="5"/>
  <c r="F299" i="5"/>
  <c r="E299" i="5"/>
  <c r="D299" i="5"/>
  <c r="B299" i="5"/>
  <c r="C299" i="5" s="1"/>
  <c r="A299" i="5"/>
  <c r="K298" i="5"/>
  <c r="L298" i="5" s="1"/>
  <c r="J298" i="5"/>
  <c r="I298" i="5"/>
  <c r="H298" i="5"/>
  <c r="G298" i="5"/>
  <c r="F298" i="5"/>
  <c r="E298" i="5"/>
  <c r="D298" i="5"/>
  <c r="B298" i="5"/>
  <c r="C298" i="5" s="1"/>
  <c r="A298" i="5"/>
  <c r="K297" i="5"/>
  <c r="L297" i="5" s="1"/>
  <c r="J297" i="5"/>
  <c r="I297" i="5"/>
  <c r="H297" i="5"/>
  <c r="G297" i="5"/>
  <c r="F297" i="5"/>
  <c r="E297" i="5"/>
  <c r="D297" i="5"/>
  <c r="B297" i="5"/>
  <c r="C297" i="5" s="1"/>
  <c r="A297" i="5"/>
  <c r="K296" i="5"/>
  <c r="L296" i="5" s="1"/>
  <c r="J296" i="5"/>
  <c r="I296" i="5"/>
  <c r="H296" i="5"/>
  <c r="G296" i="5"/>
  <c r="F296" i="5"/>
  <c r="E296" i="5"/>
  <c r="D296" i="5"/>
  <c r="B296" i="5"/>
  <c r="C296" i="5" s="1"/>
  <c r="A296" i="5"/>
  <c r="K295" i="5"/>
  <c r="L295" i="5" s="1"/>
  <c r="J295" i="5"/>
  <c r="I295" i="5"/>
  <c r="H295" i="5"/>
  <c r="G295" i="5"/>
  <c r="F295" i="5"/>
  <c r="E295" i="5"/>
  <c r="D295" i="5"/>
  <c r="B295" i="5"/>
  <c r="C295" i="5" s="1"/>
  <c r="A295" i="5"/>
  <c r="K294" i="5"/>
  <c r="L294" i="5" s="1"/>
  <c r="J294" i="5"/>
  <c r="I294" i="5"/>
  <c r="H294" i="5"/>
  <c r="G294" i="5"/>
  <c r="F294" i="5"/>
  <c r="E294" i="5"/>
  <c r="D294" i="5"/>
  <c r="B294" i="5"/>
  <c r="C294" i="5" s="1"/>
  <c r="A294" i="5"/>
  <c r="K293" i="5"/>
  <c r="L293" i="5" s="1"/>
  <c r="J293" i="5"/>
  <c r="I293" i="5"/>
  <c r="H293" i="5"/>
  <c r="G293" i="5"/>
  <c r="F293" i="5"/>
  <c r="E293" i="5"/>
  <c r="D293" i="5"/>
  <c r="B293" i="5"/>
  <c r="C293" i="5" s="1"/>
  <c r="A293" i="5"/>
  <c r="K292" i="5"/>
  <c r="L292" i="5" s="1"/>
  <c r="J292" i="5"/>
  <c r="I292" i="5"/>
  <c r="H292" i="5"/>
  <c r="G292" i="5"/>
  <c r="F292" i="5"/>
  <c r="E292" i="5"/>
  <c r="D292" i="5"/>
  <c r="B292" i="5"/>
  <c r="C292" i="5" s="1"/>
  <c r="A292" i="5"/>
  <c r="K291" i="5"/>
  <c r="L291" i="5" s="1"/>
  <c r="J291" i="5"/>
  <c r="I291" i="5"/>
  <c r="H291" i="5"/>
  <c r="G291" i="5"/>
  <c r="F291" i="5"/>
  <c r="E291" i="5"/>
  <c r="D291" i="5"/>
  <c r="B291" i="5"/>
  <c r="C291" i="5" s="1"/>
  <c r="A291" i="5"/>
  <c r="K290" i="5"/>
  <c r="L290" i="5" s="1"/>
  <c r="J290" i="5"/>
  <c r="I290" i="5"/>
  <c r="H290" i="5"/>
  <c r="G290" i="5"/>
  <c r="F290" i="5"/>
  <c r="E290" i="5"/>
  <c r="D290" i="5"/>
  <c r="B290" i="5"/>
  <c r="C290" i="5" s="1"/>
  <c r="A290" i="5"/>
  <c r="K289" i="5"/>
  <c r="L289" i="5" s="1"/>
  <c r="J289" i="5"/>
  <c r="I289" i="5"/>
  <c r="H289" i="5"/>
  <c r="G289" i="5"/>
  <c r="F289" i="5"/>
  <c r="E289" i="5"/>
  <c r="D289" i="5"/>
  <c r="B289" i="5"/>
  <c r="C289" i="5" s="1"/>
  <c r="A289" i="5"/>
  <c r="K288" i="5"/>
  <c r="L288" i="5" s="1"/>
  <c r="J288" i="5"/>
  <c r="I288" i="5"/>
  <c r="H288" i="5"/>
  <c r="G288" i="5"/>
  <c r="F288" i="5"/>
  <c r="E288" i="5"/>
  <c r="D288" i="5"/>
  <c r="B288" i="5"/>
  <c r="C288" i="5" s="1"/>
  <c r="A288" i="5"/>
  <c r="K287" i="5"/>
  <c r="L287" i="5" s="1"/>
  <c r="J287" i="5"/>
  <c r="I287" i="5"/>
  <c r="H287" i="5"/>
  <c r="G287" i="5"/>
  <c r="F287" i="5"/>
  <c r="E287" i="5"/>
  <c r="D287" i="5"/>
  <c r="C287" i="5"/>
  <c r="B287" i="5"/>
  <c r="A287" i="5"/>
  <c r="K286" i="5"/>
  <c r="L286" i="5" s="1"/>
  <c r="J286" i="5"/>
  <c r="I286" i="5"/>
  <c r="H286" i="5"/>
  <c r="G286" i="5"/>
  <c r="F286" i="5"/>
  <c r="E286" i="5"/>
  <c r="D286" i="5"/>
  <c r="B286" i="5"/>
  <c r="C286" i="5" s="1"/>
  <c r="A286" i="5"/>
  <c r="K285" i="5"/>
  <c r="L285" i="5" s="1"/>
  <c r="J285" i="5"/>
  <c r="I285" i="5"/>
  <c r="H285" i="5"/>
  <c r="G285" i="5"/>
  <c r="F285" i="5"/>
  <c r="E285" i="5"/>
  <c r="D285" i="5"/>
  <c r="B285" i="5"/>
  <c r="C285" i="5" s="1"/>
  <c r="A285" i="5"/>
  <c r="K284" i="5"/>
  <c r="L284" i="5" s="1"/>
  <c r="J284" i="5"/>
  <c r="I284" i="5"/>
  <c r="H284" i="5"/>
  <c r="G284" i="5"/>
  <c r="F284" i="5"/>
  <c r="E284" i="5"/>
  <c r="D284" i="5"/>
  <c r="B284" i="5"/>
  <c r="C284" i="5" s="1"/>
  <c r="A284" i="5"/>
  <c r="K283" i="5"/>
  <c r="L283" i="5" s="1"/>
  <c r="J283" i="5"/>
  <c r="I283" i="5"/>
  <c r="H283" i="5"/>
  <c r="G283" i="5"/>
  <c r="F283" i="5"/>
  <c r="E283" i="5"/>
  <c r="D283" i="5"/>
  <c r="B283" i="5"/>
  <c r="C283" i="5" s="1"/>
  <c r="A283" i="5"/>
  <c r="K282" i="5"/>
  <c r="L282" i="5" s="1"/>
  <c r="J282" i="5"/>
  <c r="I282" i="5"/>
  <c r="H282" i="5"/>
  <c r="G282" i="5"/>
  <c r="F282" i="5"/>
  <c r="E282" i="5"/>
  <c r="D282" i="5"/>
  <c r="B282" i="5"/>
  <c r="C282" i="5" s="1"/>
  <c r="A282" i="5"/>
  <c r="K281" i="5"/>
  <c r="L281" i="5" s="1"/>
  <c r="J281" i="5"/>
  <c r="I281" i="5"/>
  <c r="H281" i="5"/>
  <c r="G281" i="5"/>
  <c r="F281" i="5"/>
  <c r="E281" i="5"/>
  <c r="D281" i="5"/>
  <c r="B281" i="5"/>
  <c r="C281" i="5" s="1"/>
  <c r="A281" i="5"/>
  <c r="K280" i="5"/>
  <c r="L280" i="5" s="1"/>
  <c r="J280" i="5"/>
  <c r="I280" i="5"/>
  <c r="H280" i="5"/>
  <c r="G280" i="5"/>
  <c r="F280" i="5"/>
  <c r="E280" i="5"/>
  <c r="D280" i="5"/>
  <c r="B280" i="5"/>
  <c r="C280" i="5" s="1"/>
  <c r="A280" i="5"/>
  <c r="K279" i="5"/>
  <c r="L279" i="5" s="1"/>
  <c r="J279" i="5"/>
  <c r="I279" i="5"/>
  <c r="H279" i="5"/>
  <c r="G279" i="5"/>
  <c r="F279" i="5"/>
  <c r="E279" i="5"/>
  <c r="D279" i="5"/>
  <c r="B279" i="5"/>
  <c r="C279" i="5" s="1"/>
  <c r="A279" i="5"/>
  <c r="K278" i="5"/>
  <c r="L278" i="5" s="1"/>
  <c r="J278" i="5"/>
  <c r="I278" i="5"/>
  <c r="H278" i="5"/>
  <c r="G278" i="5"/>
  <c r="F278" i="5"/>
  <c r="E278" i="5"/>
  <c r="D278" i="5"/>
  <c r="B278" i="5"/>
  <c r="C278" i="5" s="1"/>
  <c r="A278" i="5"/>
  <c r="K277" i="5"/>
  <c r="L277" i="5" s="1"/>
  <c r="J277" i="5"/>
  <c r="I277" i="5"/>
  <c r="H277" i="5"/>
  <c r="G277" i="5"/>
  <c r="F277" i="5"/>
  <c r="E277" i="5"/>
  <c r="D277" i="5"/>
  <c r="B277" i="5"/>
  <c r="C277" i="5" s="1"/>
  <c r="A277" i="5"/>
  <c r="K276" i="5"/>
  <c r="L276" i="5" s="1"/>
  <c r="J276" i="5"/>
  <c r="I276" i="5"/>
  <c r="H276" i="5"/>
  <c r="G276" i="5"/>
  <c r="F276" i="5"/>
  <c r="E276" i="5"/>
  <c r="D276" i="5"/>
  <c r="B276" i="5"/>
  <c r="C276" i="5" s="1"/>
  <c r="A276" i="5"/>
  <c r="K275" i="5"/>
  <c r="L275" i="5" s="1"/>
  <c r="J275" i="5"/>
  <c r="I275" i="5"/>
  <c r="H275" i="5"/>
  <c r="G275" i="5"/>
  <c r="F275" i="5"/>
  <c r="E275" i="5"/>
  <c r="D275" i="5"/>
  <c r="C275" i="5"/>
  <c r="B275" i="5"/>
  <c r="A275" i="5"/>
  <c r="K274" i="5"/>
  <c r="L274" i="5" s="1"/>
  <c r="J274" i="5"/>
  <c r="I274" i="5"/>
  <c r="H274" i="5"/>
  <c r="G274" i="5"/>
  <c r="F274" i="5"/>
  <c r="E274" i="5"/>
  <c r="D274" i="5"/>
  <c r="B274" i="5"/>
  <c r="C274" i="5" s="1"/>
  <c r="A274" i="5"/>
  <c r="K273" i="5"/>
  <c r="L273" i="5" s="1"/>
  <c r="J273" i="5"/>
  <c r="I273" i="5"/>
  <c r="H273" i="5"/>
  <c r="G273" i="5"/>
  <c r="F273" i="5"/>
  <c r="E273" i="5"/>
  <c r="D273" i="5"/>
  <c r="B273" i="5"/>
  <c r="C273" i="5" s="1"/>
  <c r="A273" i="5"/>
  <c r="K272" i="5"/>
  <c r="L272" i="5" s="1"/>
  <c r="J272" i="5"/>
  <c r="I272" i="5"/>
  <c r="H272" i="5"/>
  <c r="G272" i="5"/>
  <c r="F272" i="5"/>
  <c r="E272" i="5"/>
  <c r="D272" i="5"/>
  <c r="B272" i="5"/>
  <c r="C272" i="5" s="1"/>
  <c r="A272" i="5"/>
  <c r="K271" i="5"/>
  <c r="L271" i="5" s="1"/>
  <c r="J271" i="5"/>
  <c r="I271" i="5"/>
  <c r="H271" i="5"/>
  <c r="G271" i="5"/>
  <c r="F271" i="5"/>
  <c r="E271" i="5"/>
  <c r="D271" i="5"/>
  <c r="B271" i="5"/>
  <c r="C271" i="5" s="1"/>
  <c r="A271" i="5"/>
  <c r="L270" i="5"/>
  <c r="K270" i="5"/>
  <c r="J270" i="5"/>
  <c r="I270" i="5"/>
  <c r="H270" i="5"/>
  <c r="G270" i="5"/>
  <c r="F270" i="5"/>
  <c r="E270" i="5"/>
  <c r="D270" i="5"/>
  <c r="B270" i="5"/>
  <c r="C270" i="5" s="1"/>
  <c r="A270" i="5"/>
  <c r="K269" i="5"/>
  <c r="L269" i="5" s="1"/>
  <c r="J269" i="5"/>
  <c r="I269" i="5"/>
  <c r="H269" i="5"/>
  <c r="G269" i="5"/>
  <c r="F269" i="5"/>
  <c r="E269" i="5"/>
  <c r="D269" i="5"/>
  <c r="B269" i="5"/>
  <c r="C269" i="5" s="1"/>
  <c r="A269" i="5"/>
  <c r="K268" i="5"/>
  <c r="L268" i="5" s="1"/>
  <c r="J268" i="5"/>
  <c r="I268" i="5"/>
  <c r="H268" i="5"/>
  <c r="G268" i="5"/>
  <c r="F268" i="5"/>
  <c r="E268" i="5"/>
  <c r="D268" i="5"/>
  <c r="B268" i="5"/>
  <c r="C268" i="5" s="1"/>
  <c r="A268" i="5"/>
  <c r="K267" i="5"/>
  <c r="L267" i="5" s="1"/>
  <c r="J267" i="5"/>
  <c r="I267" i="5"/>
  <c r="H267" i="5"/>
  <c r="G267" i="5"/>
  <c r="F267" i="5"/>
  <c r="E267" i="5"/>
  <c r="D267" i="5"/>
  <c r="B267" i="5"/>
  <c r="C267" i="5" s="1"/>
  <c r="A267" i="5"/>
  <c r="K266" i="5"/>
  <c r="L266" i="5" s="1"/>
  <c r="J266" i="5"/>
  <c r="I266" i="5"/>
  <c r="H266" i="5"/>
  <c r="G266" i="5"/>
  <c r="F266" i="5"/>
  <c r="E266" i="5"/>
  <c r="D266" i="5"/>
  <c r="B266" i="5"/>
  <c r="C266" i="5" s="1"/>
  <c r="A266" i="5"/>
  <c r="K265" i="5"/>
  <c r="L265" i="5" s="1"/>
  <c r="J265" i="5"/>
  <c r="I265" i="5"/>
  <c r="H265" i="5"/>
  <c r="G265" i="5"/>
  <c r="F265" i="5"/>
  <c r="E265" i="5"/>
  <c r="D265" i="5"/>
  <c r="B265" i="5"/>
  <c r="C265" i="5" s="1"/>
  <c r="A265" i="5"/>
  <c r="K264" i="5"/>
  <c r="L264" i="5" s="1"/>
  <c r="J264" i="5"/>
  <c r="I264" i="5"/>
  <c r="H264" i="5"/>
  <c r="G264" i="5"/>
  <c r="F264" i="5"/>
  <c r="E264" i="5"/>
  <c r="D264" i="5"/>
  <c r="B264" i="5"/>
  <c r="C264" i="5" s="1"/>
  <c r="A264" i="5"/>
  <c r="K263" i="5"/>
  <c r="L263" i="5" s="1"/>
  <c r="J263" i="5"/>
  <c r="I263" i="5"/>
  <c r="H263" i="5"/>
  <c r="G263" i="5"/>
  <c r="F263" i="5"/>
  <c r="E263" i="5"/>
  <c r="D263" i="5"/>
  <c r="B263" i="5"/>
  <c r="C263" i="5" s="1"/>
  <c r="A263" i="5"/>
  <c r="K262" i="5"/>
  <c r="L262" i="5" s="1"/>
  <c r="J262" i="5"/>
  <c r="I262" i="5"/>
  <c r="H262" i="5"/>
  <c r="G262" i="5"/>
  <c r="F262" i="5"/>
  <c r="E262" i="5"/>
  <c r="D262" i="5"/>
  <c r="B262" i="5"/>
  <c r="C262" i="5" s="1"/>
  <c r="A262" i="5"/>
  <c r="K261" i="5"/>
  <c r="L261" i="5" s="1"/>
  <c r="J261" i="5"/>
  <c r="I261" i="5"/>
  <c r="H261" i="5"/>
  <c r="G261" i="5"/>
  <c r="F261" i="5"/>
  <c r="E261" i="5"/>
  <c r="D261" i="5"/>
  <c r="B261" i="5"/>
  <c r="C261" i="5" s="1"/>
  <c r="A261" i="5"/>
  <c r="K260" i="5"/>
  <c r="L260" i="5" s="1"/>
  <c r="J260" i="5"/>
  <c r="I260" i="5"/>
  <c r="H260" i="5"/>
  <c r="G260" i="5"/>
  <c r="F260" i="5"/>
  <c r="E260" i="5"/>
  <c r="D260" i="5"/>
  <c r="B260" i="5"/>
  <c r="C260" i="5" s="1"/>
  <c r="A260" i="5"/>
  <c r="K259" i="5"/>
  <c r="L259" i="5" s="1"/>
  <c r="J259" i="5"/>
  <c r="I259" i="5"/>
  <c r="H259" i="5"/>
  <c r="G259" i="5"/>
  <c r="F259" i="5"/>
  <c r="E259" i="5"/>
  <c r="D259" i="5"/>
  <c r="B259" i="5"/>
  <c r="C259" i="5" s="1"/>
  <c r="A259" i="5"/>
  <c r="K258" i="5"/>
  <c r="L258" i="5" s="1"/>
  <c r="J258" i="5"/>
  <c r="I258" i="5"/>
  <c r="H258" i="5"/>
  <c r="G258" i="5"/>
  <c r="F258" i="5"/>
  <c r="E258" i="5"/>
  <c r="D258" i="5"/>
  <c r="B258" i="5"/>
  <c r="C258" i="5" s="1"/>
  <c r="A258" i="5"/>
  <c r="K257" i="5"/>
  <c r="L257" i="5" s="1"/>
  <c r="J257" i="5"/>
  <c r="I257" i="5"/>
  <c r="H257" i="5"/>
  <c r="G257" i="5"/>
  <c r="F257" i="5"/>
  <c r="E257" i="5"/>
  <c r="D257" i="5"/>
  <c r="B257" i="5"/>
  <c r="C257" i="5" s="1"/>
  <c r="A257" i="5"/>
  <c r="K256" i="5"/>
  <c r="L256" i="5" s="1"/>
  <c r="J256" i="5"/>
  <c r="I256" i="5"/>
  <c r="H256" i="5"/>
  <c r="G256" i="5"/>
  <c r="F256" i="5"/>
  <c r="E256" i="5"/>
  <c r="D256" i="5"/>
  <c r="B256" i="5"/>
  <c r="C256" i="5" s="1"/>
  <c r="A256" i="5"/>
  <c r="K255" i="5"/>
  <c r="L255" i="5" s="1"/>
  <c r="J255" i="5"/>
  <c r="I255" i="5"/>
  <c r="H255" i="5"/>
  <c r="G255" i="5"/>
  <c r="F255" i="5"/>
  <c r="E255" i="5"/>
  <c r="D255" i="5"/>
  <c r="B255" i="5"/>
  <c r="C255" i="5" s="1"/>
  <c r="A255" i="5"/>
  <c r="L254" i="5"/>
  <c r="K254" i="5"/>
  <c r="J254" i="5"/>
  <c r="I254" i="5"/>
  <c r="H254" i="5"/>
  <c r="G254" i="5"/>
  <c r="F254" i="5"/>
  <c r="E254" i="5"/>
  <c r="D254" i="5"/>
  <c r="B254" i="5"/>
  <c r="C254" i="5" s="1"/>
  <c r="A254" i="5"/>
  <c r="K253" i="5"/>
  <c r="L253" i="5" s="1"/>
  <c r="J253" i="5"/>
  <c r="I253" i="5"/>
  <c r="H253" i="5"/>
  <c r="G253" i="5"/>
  <c r="F253" i="5"/>
  <c r="E253" i="5"/>
  <c r="D253" i="5"/>
  <c r="B253" i="5"/>
  <c r="C253" i="5" s="1"/>
  <c r="A253" i="5"/>
  <c r="K252" i="5"/>
  <c r="L252" i="5" s="1"/>
  <c r="J252" i="5"/>
  <c r="I252" i="5"/>
  <c r="H252" i="5"/>
  <c r="G252" i="5"/>
  <c r="F252" i="5"/>
  <c r="E252" i="5"/>
  <c r="D252" i="5"/>
  <c r="B252" i="5"/>
  <c r="C252" i="5" s="1"/>
  <c r="A252" i="5"/>
  <c r="K251" i="5"/>
  <c r="L251" i="5" s="1"/>
  <c r="J251" i="5"/>
  <c r="I251" i="5"/>
  <c r="H251" i="5"/>
  <c r="G251" i="5"/>
  <c r="F251" i="5"/>
  <c r="E251" i="5"/>
  <c r="D251" i="5"/>
  <c r="B251" i="5"/>
  <c r="C251" i="5" s="1"/>
  <c r="A251" i="5"/>
  <c r="K250" i="5"/>
  <c r="L250" i="5" s="1"/>
  <c r="J250" i="5"/>
  <c r="I250" i="5"/>
  <c r="H250" i="5"/>
  <c r="G250" i="5"/>
  <c r="F250" i="5"/>
  <c r="E250" i="5"/>
  <c r="D250" i="5"/>
  <c r="B250" i="5"/>
  <c r="C250" i="5" s="1"/>
  <c r="A250" i="5"/>
  <c r="K249" i="5"/>
  <c r="L249" i="5" s="1"/>
  <c r="J249" i="5"/>
  <c r="I249" i="5"/>
  <c r="H249" i="5"/>
  <c r="G249" i="5"/>
  <c r="F249" i="5"/>
  <c r="E249" i="5"/>
  <c r="D249" i="5"/>
  <c r="B249" i="5"/>
  <c r="C249" i="5" s="1"/>
  <c r="A249" i="5"/>
  <c r="K248" i="5"/>
  <c r="L248" i="5" s="1"/>
  <c r="J248" i="5"/>
  <c r="I248" i="5"/>
  <c r="H248" i="5"/>
  <c r="G248" i="5"/>
  <c r="F248" i="5"/>
  <c r="E248" i="5"/>
  <c r="D248" i="5"/>
  <c r="B248" i="5"/>
  <c r="C248" i="5" s="1"/>
  <c r="A248" i="5"/>
  <c r="K247" i="5"/>
  <c r="L247" i="5" s="1"/>
  <c r="J247" i="5"/>
  <c r="I247" i="5"/>
  <c r="H247" i="5"/>
  <c r="G247" i="5"/>
  <c r="F247" i="5"/>
  <c r="E247" i="5"/>
  <c r="D247" i="5"/>
  <c r="B247" i="5"/>
  <c r="C247" i="5" s="1"/>
  <c r="A247" i="5"/>
  <c r="K246" i="5"/>
  <c r="L246" i="5" s="1"/>
  <c r="J246" i="5"/>
  <c r="I246" i="5"/>
  <c r="H246" i="5"/>
  <c r="G246" i="5"/>
  <c r="F246" i="5"/>
  <c r="E246" i="5"/>
  <c r="D246" i="5"/>
  <c r="B246" i="5"/>
  <c r="C246" i="5" s="1"/>
  <c r="A246" i="5"/>
  <c r="K245" i="5"/>
  <c r="L245" i="5" s="1"/>
  <c r="J245" i="5"/>
  <c r="I245" i="5"/>
  <c r="H245" i="5"/>
  <c r="G245" i="5"/>
  <c r="F245" i="5"/>
  <c r="E245" i="5"/>
  <c r="D245" i="5"/>
  <c r="B245" i="5"/>
  <c r="C245" i="5" s="1"/>
  <c r="A245" i="5"/>
  <c r="K244" i="5"/>
  <c r="L244" i="5" s="1"/>
  <c r="J244" i="5"/>
  <c r="I244" i="5"/>
  <c r="H244" i="5"/>
  <c r="G244" i="5"/>
  <c r="F244" i="5"/>
  <c r="E244" i="5"/>
  <c r="D244" i="5"/>
  <c r="B244" i="5"/>
  <c r="C244" i="5" s="1"/>
  <c r="A244" i="5"/>
  <c r="K243" i="5"/>
  <c r="L243" i="5" s="1"/>
  <c r="J243" i="5"/>
  <c r="I243" i="5"/>
  <c r="H243" i="5"/>
  <c r="G243" i="5"/>
  <c r="F243" i="5"/>
  <c r="E243" i="5"/>
  <c r="D243" i="5"/>
  <c r="B243" i="5"/>
  <c r="C243" i="5" s="1"/>
  <c r="A243" i="5"/>
  <c r="K242" i="5"/>
  <c r="L242" i="5" s="1"/>
  <c r="J242" i="5"/>
  <c r="I242" i="5"/>
  <c r="H242" i="5"/>
  <c r="G242" i="5"/>
  <c r="F242" i="5"/>
  <c r="E242" i="5"/>
  <c r="D242" i="5"/>
  <c r="B242" i="5"/>
  <c r="C242" i="5" s="1"/>
  <c r="A242" i="5"/>
  <c r="K241" i="5"/>
  <c r="L241" i="5" s="1"/>
  <c r="J241" i="5"/>
  <c r="I241" i="5"/>
  <c r="H241" i="5"/>
  <c r="G241" i="5"/>
  <c r="F241" i="5"/>
  <c r="E241" i="5"/>
  <c r="D241" i="5"/>
  <c r="B241" i="5"/>
  <c r="C241" i="5" s="1"/>
  <c r="A241" i="5"/>
  <c r="K240" i="5"/>
  <c r="L240" i="5" s="1"/>
  <c r="J240" i="5"/>
  <c r="I240" i="5"/>
  <c r="H240" i="5"/>
  <c r="G240" i="5"/>
  <c r="F240" i="5"/>
  <c r="E240" i="5"/>
  <c r="D240" i="5"/>
  <c r="B240" i="5"/>
  <c r="C240" i="5" s="1"/>
  <c r="A240" i="5"/>
  <c r="K239" i="5"/>
  <c r="L239" i="5" s="1"/>
  <c r="J239" i="5"/>
  <c r="I239" i="5"/>
  <c r="H239" i="5"/>
  <c r="G239" i="5"/>
  <c r="F239" i="5"/>
  <c r="E239" i="5"/>
  <c r="D239" i="5"/>
  <c r="B239" i="5"/>
  <c r="C239" i="5" s="1"/>
  <c r="A239" i="5"/>
  <c r="K238" i="5"/>
  <c r="L238" i="5" s="1"/>
  <c r="J238" i="5"/>
  <c r="I238" i="5"/>
  <c r="H238" i="5"/>
  <c r="G238" i="5"/>
  <c r="F238" i="5"/>
  <c r="E238" i="5"/>
  <c r="D238" i="5"/>
  <c r="B238" i="5"/>
  <c r="C238" i="5" s="1"/>
  <c r="A238" i="5"/>
  <c r="K237" i="5"/>
  <c r="L237" i="5" s="1"/>
  <c r="J237" i="5"/>
  <c r="I237" i="5"/>
  <c r="H237" i="5"/>
  <c r="G237" i="5"/>
  <c r="F237" i="5"/>
  <c r="E237" i="5"/>
  <c r="D237" i="5"/>
  <c r="B237" i="5"/>
  <c r="C237" i="5" s="1"/>
  <c r="A237" i="5"/>
  <c r="K236" i="5"/>
  <c r="L236" i="5" s="1"/>
  <c r="J236" i="5"/>
  <c r="I236" i="5"/>
  <c r="H236" i="5"/>
  <c r="G236" i="5"/>
  <c r="F236" i="5"/>
  <c r="E236" i="5"/>
  <c r="D236" i="5"/>
  <c r="B236" i="5"/>
  <c r="C236" i="5" s="1"/>
  <c r="A236" i="5"/>
  <c r="K235" i="5"/>
  <c r="L235" i="5" s="1"/>
  <c r="J235" i="5"/>
  <c r="I235" i="5"/>
  <c r="H235" i="5"/>
  <c r="G235" i="5"/>
  <c r="F235" i="5"/>
  <c r="E235" i="5"/>
  <c r="D235" i="5"/>
  <c r="B235" i="5"/>
  <c r="C235" i="5" s="1"/>
  <c r="A235" i="5"/>
  <c r="K234" i="5"/>
  <c r="L234" i="5" s="1"/>
  <c r="J234" i="5"/>
  <c r="I234" i="5"/>
  <c r="H234" i="5"/>
  <c r="G234" i="5"/>
  <c r="F234" i="5"/>
  <c r="E234" i="5"/>
  <c r="D234" i="5"/>
  <c r="B234" i="5"/>
  <c r="C234" i="5" s="1"/>
  <c r="A234" i="5"/>
  <c r="K233" i="5"/>
  <c r="L233" i="5" s="1"/>
  <c r="J233" i="5"/>
  <c r="I233" i="5"/>
  <c r="H233" i="5"/>
  <c r="G233" i="5"/>
  <c r="F233" i="5"/>
  <c r="E233" i="5"/>
  <c r="D233" i="5"/>
  <c r="B233" i="5"/>
  <c r="C233" i="5" s="1"/>
  <c r="A233" i="5"/>
  <c r="K232" i="5"/>
  <c r="L232" i="5" s="1"/>
  <c r="J232" i="5"/>
  <c r="I232" i="5"/>
  <c r="H232" i="5"/>
  <c r="G232" i="5"/>
  <c r="F232" i="5"/>
  <c r="E232" i="5"/>
  <c r="D232" i="5"/>
  <c r="B232" i="5"/>
  <c r="C232" i="5" s="1"/>
  <c r="A232" i="5"/>
  <c r="K231" i="5"/>
  <c r="L231" i="5" s="1"/>
  <c r="J231" i="5"/>
  <c r="I231" i="5"/>
  <c r="H231" i="5"/>
  <c r="G231" i="5"/>
  <c r="F231" i="5"/>
  <c r="E231" i="5"/>
  <c r="D231" i="5"/>
  <c r="C231" i="5"/>
  <c r="B231" i="5"/>
  <c r="A231" i="5"/>
  <c r="K230" i="5"/>
  <c r="L230" i="5" s="1"/>
  <c r="J230" i="5"/>
  <c r="I230" i="5"/>
  <c r="H230" i="5"/>
  <c r="G230" i="5"/>
  <c r="F230" i="5"/>
  <c r="E230" i="5"/>
  <c r="D230" i="5"/>
  <c r="C230" i="5"/>
  <c r="B230" i="5"/>
  <c r="A230" i="5"/>
  <c r="K229" i="5"/>
  <c r="L229" i="5" s="1"/>
  <c r="J229" i="5"/>
  <c r="I229" i="5"/>
  <c r="H229" i="5"/>
  <c r="G229" i="5"/>
  <c r="F229" i="5"/>
  <c r="E229" i="5"/>
  <c r="D229" i="5"/>
  <c r="B229" i="5"/>
  <c r="C229" i="5" s="1"/>
  <c r="A229" i="5"/>
  <c r="K228" i="5"/>
  <c r="L228" i="5" s="1"/>
  <c r="J228" i="5"/>
  <c r="I228" i="5"/>
  <c r="H228" i="5"/>
  <c r="G228" i="5"/>
  <c r="F228" i="5"/>
  <c r="E228" i="5"/>
  <c r="D228" i="5"/>
  <c r="B228" i="5"/>
  <c r="C228" i="5" s="1"/>
  <c r="A228" i="5"/>
  <c r="K227" i="5"/>
  <c r="L227" i="5" s="1"/>
  <c r="J227" i="5"/>
  <c r="I227" i="5"/>
  <c r="H227" i="5"/>
  <c r="G227" i="5"/>
  <c r="F227" i="5"/>
  <c r="E227" i="5"/>
  <c r="D227" i="5"/>
  <c r="C227" i="5"/>
  <c r="B227" i="5"/>
  <c r="A227" i="5"/>
  <c r="K226" i="5"/>
  <c r="L226" i="5" s="1"/>
  <c r="J226" i="5"/>
  <c r="I226" i="5"/>
  <c r="H226" i="5"/>
  <c r="G226" i="5"/>
  <c r="F226" i="5"/>
  <c r="E226" i="5"/>
  <c r="D226" i="5"/>
  <c r="C226" i="5"/>
  <c r="B226" i="5"/>
  <c r="A226" i="5"/>
  <c r="K225" i="5"/>
  <c r="L225" i="5" s="1"/>
  <c r="J225" i="5"/>
  <c r="I225" i="5"/>
  <c r="H225" i="5"/>
  <c r="G225" i="5"/>
  <c r="F225" i="5"/>
  <c r="E225" i="5"/>
  <c r="D225" i="5"/>
  <c r="B225" i="5"/>
  <c r="C225" i="5" s="1"/>
  <c r="A225" i="5"/>
  <c r="K224" i="5"/>
  <c r="L224" i="5" s="1"/>
  <c r="J224" i="5"/>
  <c r="I224" i="5"/>
  <c r="H224" i="5"/>
  <c r="G224" i="5"/>
  <c r="F224" i="5"/>
  <c r="E224" i="5"/>
  <c r="D224" i="5"/>
  <c r="B224" i="5"/>
  <c r="C224" i="5" s="1"/>
  <c r="A224" i="5"/>
  <c r="K223" i="5"/>
  <c r="L223" i="5" s="1"/>
  <c r="J223" i="5"/>
  <c r="I223" i="5"/>
  <c r="H223" i="5"/>
  <c r="G223" i="5"/>
  <c r="F223" i="5"/>
  <c r="E223" i="5"/>
  <c r="D223" i="5"/>
  <c r="C223" i="5"/>
  <c r="B223" i="5"/>
  <c r="A223" i="5"/>
  <c r="K222" i="5"/>
  <c r="L222" i="5" s="1"/>
  <c r="J222" i="5"/>
  <c r="I222" i="5"/>
  <c r="H222" i="5"/>
  <c r="G222" i="5"/>
  <c r="F222" i="5"/>
  <c r="E222" i="5"/>
  <c r="D222" i="5"/>
  <c r="C222" i="5"/>
  <c r="B222" i="5"/>
  <c r="A222" i="5"/>
  <c r="K221" i="5"/>
  <c r="L221" i="5" s="1"/>
  <c r="J221" i="5"/>
  <c r="I221" i="5"/>
  <c r="H221" i="5"/>
  <c r="G221" i="5"/>
  <c r="F221" i="5"/>
  <c r="E221" i="5"/>
  <c r="D221" i="5"/>
  <c r="B221" i="5"/>
  <c r="C221" i="5" s="1"/>
  <c r="A221" i="5"/>
  <c r="K220" i="5"/>
  <c r="L220" i="5" s="1"/>
  <c r="J220" i="5"/>
  <c r="I220" i="5"/>
  <c r="H220" i="5"/>
  <c r="G220" i="5"/>
  <c r="F220" i="5"/>
  <c r="E220" i="5"/>
  <c r="D220" i="5"/>
  <c r="B220" i="5"/>
  <c r="C220" i="5" s="1"/>
  <c r="A220" i="5"/>
  <c r="K219" i="5"/>
  <c r="L219" i="5" s="1"/>
  <c r="J219" i="5"/>
  <c r="I219" i="5"/>
  <c r="H219" i="5"/>
  <c r="G219" i="5"/>
  <c r="F219" i="5"/>
  <c r="E219" i="5"/>
  <c r="D219" i="5"/>
  <c r="C219" i="5"/>
  <c r="B219" i="5"/>
  <c r="A219" i="5"/>
  <c r="K218" i="5"/>
  <c r="L218" i="5" s="1"/>
  <c r="J218" i="5"/>
  <c r="I218" i="5"/>
  <c r="H218" i="5"/>
  <c r="G218" i="5"/>
  <c r="F218" i="5"/>
  <c r="E218" i="5"/>
  <c r="D218" i="5"/>
  <c r="C218" i="5"/>
  <c r="B218" i="5"/>
  <c r="A218" i="5"/>
  <c r="K217" i="5"/>
  <c r="L217" i="5" s="1"/>
  <c r="J217" i="5"/>
  <c r="I217" i="5"/>
  <c r="H217" i="5"/>
  <c r="G217" i="5"/>
  <c r="F217" i="5"/>
  <c r="E217" i="5"/>
  <c r="D217" i="5"/>
  <c r="B217" i="5"/>
  <c r="C217" i="5" s="1"/>
  <c r="A217" i="5"/>
  <c r="K216" i="5"/>
  <c r="L216" i="5" s="1"/>
  <c r="J216" i="5"/>
  <c r="I216" i="5"/>
  <c r="H216" i="5"/>
  <c r="G216" i="5"/>
  <c r="F216" i="5"/>
  <c r="E216" i="5"/>
  <c r="D216" i="5"/>
  <c r="B216" i="5"/>
  <c r="C216" i="5" s="1"/>
  <c r="A216" i="5"/>
  <c r="K215" i="5"/>
  <c r="L215" i="5" s="1"/>
  <c r="J215" i="5"/>
  <c r="I215" i="5"/>
  <c r="H215" i="5"/>
  <c r="G215" i="5"/>
  <c r="F215" i="5"/>
  <c r="E215" i="5"/>
  <c r="D215" i="5"/>
  <c r="C215" i="5"/>
  <c r="B215" i="5"/>
  <c r="A215" i="5"/>
  <c r="K214" i="5"/>
  <c r="L214" i="5" s="1"/>
  <c r="J214" i="5"/>
  <c r="I214" i="5"/>
  <c r="H214" i="5"/>
  <c r="G214" i="5"/>
  <c r="F214" i="5"/>
  <c r="E214" i="5"/>
  <c r="D214" i="5"/>
  <c r="C214" i="5"/>
  <c r="B214" i="5"/>
  <c r="A214" i="5"/>
  <c r="K213" i="5"/>
  <c r="L213" i="5" s="1"/>
  <c r="J213" i="5"/>
  <c r="I213" i="5"/>
  <c r="H213" i="5"/>
  <c r="G213" i="5"/>
  <c r="F213" i="5"/>
  <c r="E213" i="5"/>
  <c r="D213" i="5"/>
  <c r="B213" i="5"/>
  <c r="C213" i="5" s="1"/>
  <c r="A213" i="5"/>
  <c r="K212" i="5"/>
  <c r="L212" i="5" s="1"/>
  <c r="J212" i="5"/>
  <c r="I212" i="5"/>
  <c r="H212" i="5"/>
  <c r="G212" i="5"/>
  <c r="F212" i="5"/>
  <c r="E212" i="5"/>
  <c r="D212" i="5"/>
  <c r="B212" i="5"/>
  <c r="C212" i="5" s="1"/>
  <c r="A212" i="5"/>
  <c r="K211" i="5"/>
  <c r="L211" i="5" s="1"/>
  <c r="J211" i="5"/>
  <c r="I211" i="5"/>
  <c r="H211" i="5"/>
  <c r="G211" i="5"/>
  <c r="F211" i="5"/>
  <c r="E211" i="5"/>
  <c r="D211" i="5"/>
  <c r="C211" i="5"/>
  <c r="B211" i="5"/>
  <c r="A211" i="5"/>
  <c r="K210" i="5"/>
  <c r="L210" i="5" s="1"/>
  <c r="J210" i="5"/>
  <c r="I210" i="5"/>
  <c r="H210" i="5"/>
  <c r="G210" i="5"/>
  <c r="F210" i="5"/>
  <c r="E210" i="5"/>
  <c r="D210" i="5"/>
  <c r="C210" i="5"/>
  <c r="B210" i="5"/>
  <c r="A210" i="5"/>
  <c r="K209" i="5"/>
  <c r="L209" i="5" s="1"/>
  <c r="J209" i="5"/>
  <c r="I209" i="5"/>
  <c r="H209" i="5"/>
  <c r="G209" i="5"/>
  <c r="F209" i="5"/>
  <c r="E209" i="5"/>
  <c r="D209" i="5"/>
  <c r="B209" i="5"/>
  <c r="C209" i="5" s="1"/>
  <c r="A209" i="5"/>
  <c r="K208" i="5"/>
  <c r="L208" i="5" s="1"/>
  <c r="J208" i="5"/>
  <c r="I208" i="5"/>
  <c r="H208" i="5"/>
  <c r="G208" i="5"/>
  <c r="F208" i="5"/>
  <c r="E208" i="5"/>
  <c r="D208" i="5"/>
  <c r="B208" i="5"/>
  <c r="C208" i="5" s="1"/>
  <c r="A208" i="5"/>
  <c r="K207" i="5"/>
  <c r="L207" i="5" s="1"/>
  <c r="J207" i="5"/>
  <c r="I207" i="5"/>
  <c r="H207" i="5"/>
  <c r="G207" i="5"/>
  <c r="F207" i="5"/>
  <c r="E207" i="5"/>
  <c r="D207" i="5"/>
  <c r="C207" i="5"/>
  <c r="B207" i="5"/>
  <c r="A207" i="5"/>
  <c r="K206" i="5"/>
  <c r="L206" i="5" s="1"/>
  <c r="J206" i="5"/>
  <c r="I206" i="5"/>
  <c r="H206" i="5"/>
  <c r="G206" i="5"/>
  <c r="F206" i="5"/>
  <c r="E206" i="5"/>
  <c r="D206" i="5"/>
  <c r="C206" i="5"/>
  <c r="B206" i="5"/>
  <c r="A206" i="5"/>
  <c r="K205" i="5"/>
  <c r="L205" i="5" s="1"/>
  <c r="J205" i="5"/>
  <c r="I205" i="5"/>
  <c r="H205" i="5"/>
  <c r="G205" i="5"/>
  <c r="F205" i="5"/>
  <c r="E205" i="5"/>
  <c r="D205" i="5"/>
  <c r="B205" i="5"/>
  <c r="C205" i="5" s="1"/>
  <c r="A205" i="5"/>
  <c r="K204" i="5"/>
  <c r="L204" i="5" s="1"/>
  <c r="J204" i="5"/>
  <c r="I204" i="5"/>
  <c r="H204" i="5"/>
  <c r="G204" i="5"/>
  <c r="F204" i="5"/>
  <c r="E204" i="5"/>
  <c r="D204" i="5"/>
  <c r="B204" i="5"/>
  <c r="C204" i="5" s="1"/>
  <c r="A204" i="5"/>
  <c r="K203" i="5"/>
  <c r="L203" i="5" s="1"/>
  <c r="J203" i="5"/>
  <c r="I203" i="5"/>
  <c r="H203" i="5"/>
  <c r="G203" i="5"/>
  <c r="F203" i="5"/>
  <c r="E203" i="5"/>
  <c r="D203" i="5"/>
  <c r="C203" i="5"/>
  <c r="B203" i="5"/>
  <c r="A203" i="5"/>
  <c r="K202" i="5"/>
  <c r="L202" i="5" s="1"/>
  <c r="J202" i="5"/>
  <c r="I202" i="5"/>
  <c r="H202" i="5"/>
  <c r="G202" i="5"/>
  <c r="F202" i="5"/>
  <c r="E202" i="5"/>
  <c r="D202" i="5"/>
  <c r="C202" i="5"/>
  <c r="B202" i="5"/>
  <c r="A202" i="5"/>
  <c r="K201" i="5"/>
  <c r="L201" i="5" s="1"/>
  <c r="J201" i="5"/>
  <c r="I201" i="5"/>
  <c r="H201" i="5"/>
  <c r="G201" i="5"/>
  <c r="F201" i="5"/>
  <c r="E201" i="5"/>
  <c r="D201" i="5"/>
  <c r="B201" i="5"/>
  <c r="C201" i="5" s="1"/>
  <c r="A201" i="5"/>
  <c r="K200" i="5"/>
  <c r="L200" i="5" s="1"/>
  <c r="J200" i="5"/>
  <c r="I200" i="5"/>
  <c r="H200" i="5"/>
  <c r="G200" i="5"/>
  <c r="F200" i="5"/>
  <c r="E200" i="5"/>
  <c r="D200" i="5"/>
  <c r="B200" i="5"/>
  <c r="C200" i="5" s="1"/>
  <c r="A200" i="5"/>
  <c r="K199" i="5"/>
  <c r="L199" i="5" s="1"/>
  <c r="J199" i="5"/>
  <c r="I199" i="5"/>
  <c r="H199" i="5"/>
  <c r="G199" i="5"/>
  <c r="F199" i="5"/>
  <c r="E199" i="5"/>
  <c r="D199" i="5"/>
  <c r="C199" i="5"/>
  <c r="B199" i="5"/>
  <c r="A199" i="5"/>
  <c r="K198" i="5"/>
  <c r="L198" i="5" s="1"/>
  <c r="J198" i="5"/>
  <c r="I198" i="5"/>
  <c r="H198" i="5"/>
  <c r="G198" i="5"/>
  <c r="F198" i="5"/>
  <c r="E198" i="5"/>
  <c r="D198" i="5"/>
  <c r="C198" i="5"/>
  <c r="B198" i="5"/>
  <c r="A198" i="5"/>
  <c r="K197" i="5"/>
  <c r="L197" i="5" s="1"/>
  <c r="J197" i="5"/>
  <c r="I197" i="5"/>
  <c r="H197" i="5"/>
  <c r="G197" i="5"/>
  <c r="F197" i="5"/>
  <c r="E197" i="5"/>
  <c r="D197" i="5"/>
  <c r="B197" i="5"/>
  <c r="C197" i="5" s="1"/>
  <c r="A197" i="5"/>
  <c r="K196" i="5"/>
  <c r="L196" i="5" s="1"/>
  <c r="J196" i="5"/>
  <c r="I196" i="5"/>
  <c r="H196" i="5"/>
  <c r="G196" i="5"/>
  <c r="F196" i="5"/>
  <c r="E196" i="5"/>
  <c r="D196" i="5"/>
  <c r="B196" i="5"/>
  <c r="C196" i="5" s="1"/>
  <c r="A196" i="5"/>
  <c r="K195" i="5"/>
  <c r="L195" i="5" s="1"/>
  <c r="J195" i="5"/>
  <c r="I195" i="5"/>
  <c r="H195" i="5"/>
  <c r="G195" i="5"/>
  <c r="F195" i="5"/>
  <c r="E195" i="5"/>
  <c r="D195" i="5"/>
  <c r="C195" i="5"/>
  <c r="B195" i="5"/>
  <c r="A195" i="5"/>
  <c r="K194" i="5"/>
  <c r="L194" i="5" s="1"/>
  <c r="J194" i="5"/>
  <c r="I194" i="5"/>
  <c r="H194" i="5"/>
  <c r="G194" i="5"/>
  <c r="F194" i="5"/>
  <c r="E194" i="5"/>
  <c r="D194" i="5"/>
  <c r="C194" i="5"/>
  <c r="B194" i="5"/>
  <c r="A194" i="5"/>
  <c r="K193" i="5"/>
  <c r="L193" i="5" s="1"/>
  <c r="J193" i="5"/>
  <c r="I193" i="5"/>
  <c r="H193" i="5"/>
  <c r="G193" i="5"/>
  <c r="F193" i="5"/>
  <c r="E193" i="5"/>
  <c r="D193" i="5"/>
  <c r="B193" i="5"/>
  <c r="C193" i="5" s="1"/>
  <c r="A193" i="5"/>
  <c r="K192" i="5"/>
  <c r="L192" i="5" s="1"/>
  <c r="J192" i="5"/>
  <c r="I192" i="5"/>
  <c r="H192" i="5"/>
  <c r="G192" i="5"/>
  <c r="F192" i="5"/>
  <c r="E192" i="5"/>
  <c r="D192" i="5"/>
  <c r="B192" i="5"/>
  <c r="C192" i="5" s="1"/>
  <c r="A192" i="5"/>
  <c r="K191" i="5"/>
  <c r="L191" i="5" s="1"/>
  <c r="J191" i="5"/>
  <c r="I191" i="5"/>
  <c r="H191" i="5"/>
  <c r="G191" i="5"/>
  <c r="F191" i="5"/>
  <c r="E191" i="5"/>
  <c r="D191" i="5"/>
  <c r="C191" i="5"/>
  <c r="B191" i="5"/>
  <c r="A191" i="5"/>
  <c r="K190" i="5"/>
  <c r="L190" i="5" s="1"/>
  <c r="J190" i="5"/>
  <c r="I190" i="5"/>
  <c r="H190" i="5"/>
  <c r="G190" i="5"/>
  <c r="F190" i="5"/>
  <c r="E190" i="5"/>
  <c r="D190" i="5"/>
  <c r="C190" i="5"/>
  <c r="B190" i="5"/>
  <c r="A190" i="5"/>
  <c r="K189" i="5"/>
  <c r="L189" i="5" s="1"/>
  <c r="J189" i="5"/>
  <c r="I189" i="5"/>
  <c r="H189" i="5"/>
  <c r="G189" i="5"/>
  <c r="F189" i="5"/>
  <c r="E189" i="5"/>
  <c r="D189" i="5"/>
  <c r="B189" i="5"/>
  <c r="C189" i="5" s="1"/>
  <c r="A189" i="5"/>
  <c r="K188" i="5"/>
  <c r="L188" i="5" s="1"/>
  <c r="J188" i="5"/>
  <c r="I188" i="5"/>
  <c r="H188" i="5"/>
  <c r="G188" i="5"/>
  <c r="F188" i="5"/>
  <c r="E188" i="5"/>
  <c r="D188" i="5"/>
  <c r="B188" i="5"/>
  <c r="C188" i="5" s="1"/>
  <c r="A188" i="5"/>
  <c r="K187" i="5"/>
  <c r="L187" i="5" s="1"/>
  <c r="J187" i="5"/>
  <c r="I187" i="5"/>
  <c r="H187" i="5"/>
  <c r="G187" i="5"/>
  <c r="F187" i="5"/>
  <c r="E187" i="5"/>
  <c r="D187" i="5"/>
  <c r="C187" i="5"/>
  <c r="B187" i="5"/>
  <c r="A187" i="5"/>
  <c r="K186" i="5"/>
  <c r="L186" i="5" s="1"/>
  <c r="J186" i="5"/>
  <c r="I186" i="5"/>
  <c r="H186" i="5"/>
  <c r="G186" i="5"/>
  <c r="F186" i="5"/>
  <c r="E186" i="5"/>
  <c r="D186" i="5"/>
  <c r="C186" i="5"/>
  <c r="B186" i="5"/>
  <c r="A186" i="5"/>
  <c r="K185" i="5"/>
  <c r="L185" i="5" s="1"/>
  <c r="J185" i="5"/>
  <c r="I185" i="5"/>
  <c r="H185" i="5"/>
  <c r="G185" i="5"/>
  <c r="F185" i="5"/>
  <c r="E185" i="5"/>
  <c r="D185" i="5"/>
  <c r="B185" i="5"/>
  <c r="C185" i="5" s="1"/>
  <c r="A185" i="5"/>
  <c r="K184" i="5"/>
  <c r="L184" i="5" s="1"/>
  <c r="J184" i="5"/>
  <c r="I184" i="5"/>
  <c r="H184" i="5"/>
  <c r="G184" i="5"/>
  <c r="F184" i="5"/>
  <c r="E184" i="5"/>
  <c r="D184" i="5"/>
  <c r="B184" i="5"/>
  <c r="C184" i="5" s="1"/>
  <c r="A184" i="5"/>
  <c r="K183" i="5"/>
  <c r="L183" i="5" s="1"/>
  <c r="J183" i="5"/>
  <c r="I183" i="5"/>
  <c r="H183" i="5"/>
  <c r="G183" i="5"/>
  <c r="F183" i="5"/>
  <c r="E183" i="5"/>
  <c r="D183" i="5"/>
  <c r="C183" i="5"/>
  <c r="B183" i="5"/>
  <c r="A183" i="5"/>
  <c r="K182" i="5"/>
  <c r="L182" i="5" s="1"/>
  <c r="J182" i="5"/>
  <c r="I182" i="5"/>
  <c r="H182" i="5"/>
  <c r="G182" i="5"/>
  <c r="F182" i="5"/>
  <c r="E182" i="5"/>
  <c r="D182" i="5"/>
  <c r="C182" i="5"/>
  <c r="B182" i="5"/>
  <c r="A182" i="5"/>
  <c r="K181" i="5"/>
  <c r="L181" i="5" s="1"/>
  <c r="J181" i="5"/>
  <c r="I181" i="5"/>
  <c r="H181" i="5"/>
  <c r="G181" i="5"/>
  <c r="F181" i="5"/>
  <c r="E181" i="5"/>
  <c r="D181" i="5"/>
  <c r="B181" i="5"/>
  <c r="C181" i="5" s="1"/>
  <c r="A181" i="5"/>
  <c r="K180" i="5"/>
  <c r="L180" i="5" s="1"/>
  <c r="J180" i="5"/>
  <c r="I180" i="5"/>
  <c r="H180" i="5"/>
  <c r="G180" i="5"/>
  <c r="F180" i="5"/>
  <c r="E180" i="5"/>
  <c r="D180" i="5"/>
  <c r="B180" i="5"/>
  <c r="C180" i="5" s="1"/>
  <c r="A180" i="5"/>
  <c r="K179" i="5"/>
  <c r="L179" i="5" s="1"/>
  <c r="J179" i="5"/>
  <c r="I179" i="5"/>
  <c r="H179" i="5"/>
  <c r="G179" i="5"/>
  <c r="F179" i="5"/>
  <c r="E179" i="5"/>
  <c r="D179" i="5"/>
  <c r="C179" i="5"/>
  <c r="B179" i="5"/>
  <c r="A179" i="5"/>
  <c r="K178" i="5"/>
  <c r="L178" i="5" s="1"/>
  <c r="J178" i="5"/>
  <c r="I178" i="5"/>
  <c r="H178" i="5"/>
  <c r="G178" i="5"/>
  <c r="F178" i="5"/>
  <c r="E178" i="5"/>
  <c r="D178" i="5"/>
  <c r="C178" i="5"/>
  <c r="B178" i="5"/>
  <c r="A178" i="5"/>
  <c r="K177" i="5"/>
  <c r="L177" i="5" s="1"/>
  <c r="J177" i="5"/>
  <c r="I177" i="5"/>
  <c r="H177" i="5"/>
  <c r="G177" i="5"/>
  <c r="F177" i="5"/>
  <c r="E177" i="5"/>
  <c r="D177" i="5"/>
  <c r="B177" i="5"/>
  <c r="C177" i="5" s="1"/>
  <c r="A177" i="5"/>
  <c r="K176" i="5"/>
  <c r="L176" i="5" s="1"/>
  <c r="J176" i="5"/>
  <c r="I176" i="5"/>
  <c r="H176" i="5"/>
  <c r="G176" i="5"/>
  <c r="F176" i="5"/>
  <c r="E176" i="5"/>
  <c r="D176" i="5"/>
  <c r="B176" i="5"/>
  <c r="C176" i="5" s="1"/>
  <c r="A176" i="5"/>
  <c r="K175" i="5"/>
  <c r="L175" i="5" s="1"/>
  <c r="J175" i="5"/>
  <c r="I175" i="5"/>
  <c r="H175" i="5"/>
  <c r="G175" i="5"/>
  <c r="F175" i="5"/>
  <c r="E175" i="5"/>
  <c r="D175" i="5"/>
  <c r="C175" i="5"/>
  <c r="B175" i="5"/>
  <c r="A175" i="5"/>
  <c r="K174" i="5"/>
  <c r="L174" i="5" s="1"/>
  <c r="J174" i="5"/>
  <c r="I174" i="5"/>
  <c r="H174" i="5"/>
  <c r="G174" i="5"/>
  <c r="F174" i="5"/>
  <c r="E174" i="5"/>
  <c r="D174" i="5"/>
  <c r="C174" i="5"/>
  <c r="B174" i="5"/>
  <c r="A174" i="5"/>
  <c r="K173" i="5"/>
  <c r="L173" i="5" s="1"/>
  <c r="J173" i="5"/>
  <c r="I173" i="5"/>
  <c r="H173" i="5"/>
  <c r="G173" i="5"/>
  <c r="F173" i="5"/>
  <c r="E173" i="5"/>
  <c r="D173" i="5"/>
  <c r="B173" i="5"/>
  <c r="C173" i="5" s="1"/>
  <c r="A173" i="5"/>
  <c r="K172" i="5"/>
  <c r="L172" i="5" s="1"/>
  <c r="J172" i="5"/>
  <c r="I172" i="5"/>
  <c r="H172" i="5"/>
  <c r="G172" i="5"/>
  <c r="F172" i="5"/>
  <c r="E172" i="5"/>
  <c r="D172" i="5"/>
  <c r="B172" i="5"/>
  <c r="C172" i="5" s="1"/>
  <c r="A172" i="5"/>
  <c r="K171" i="5"/>
  <c r="L171" i="5" s="1"/>
  <c r="J171" i="5"/>
  <c r="I171" i="5"/>
  <c r="H171" i="5"/>
  <c r="G171" i="5"/>
  <c r="F171" i="5"/>
  <c r="E171" i="5"/>
  <c r="D171" i="5"/>
  <c r="C171" i="5"/>
  <c r="B171" i="5"/>
  <c r="A171" i="5"/>
  <c r="K170" i="5"/>
  <c r="L170" i="5" s="1"/>
  <c r="J170" i="5"/>
  <c r="I170" i="5"/>
  <c r="H170" i="5"/>
  <c r="G170" i="5"/>
  <c r="F170" i="5"/>
  <c r="E170" i="5"/>
  <c r="D170" i="5"/>
  <c r="C170" i="5"/>
  <c r="B170" i="5"/>
  <c r="A170" i="5"/>
  <c r="K169" i="5"/>
  <c r="L169" i="5" s="1"/>
  <c r="J169" i="5"/>
  <c r="I169" i="5"/>
  <c r="H169" i="5"/>
  <c r="G169" i="5"/>
  <c r="F169" i="5"/>
  <c r="E169" i="5"/>
  <c r="D169" i="5"/>
  <c r="B169" i="5"/>
  <c r="C169" i="5" s="1"/>
  <c r="A169" i="5"/>
  <c r="K168" i="5"/>
  <c r="L168" i="5" s="1"/>
  <c r="J168" i="5"/>
  <c r="I168" i="5"/>
  <c r="H168" i="5"/>
  <c r="G168" i="5"/>
  <c r="F168" i="5"/>
  <c r="E168" i="5"/>
  <c r="D168" i="5"/>
  <c r="B168" i="5"/>
  <c r="C168" i="5" s="1"/>
  <c r="A168" i="5"/>
  <c r="K167" i="5"/>
  <c r="L167" i="5" s="1"/>
  <c r="J167" i="5"/>
  <c r="I167" i="5"/>
  <c r="H167" i="5"/>
  <c r="G167" i="5"/>
  <c r="F167" i="5"/>
  <c r="E167" i="5"/>
  <c r="D167" i="5"/>
  <c r="C167" i="5"/>
  <c r="B167" i="5"/>
  <c r="A167" i="5"/>
  <c r="K166" i="5"/>
  <c r="L166" i="5" s="1"/>
  <c r="J166" i="5"/>
  <c r="I166" i="5"/>
  <c r="H166" i="5"/>
  <c r="G166" i="5"/>
  <c r="F166" i="5"/>
  <c r="E166" i="5"/>
  <c r="D166" i="5"/>
  <c r="C166" i="5"/>
  <c r="B166" i="5"/>
  <c r="A166" i="5"/>
  <c r="K165" i="5"/>
  <c r="L165" i="5" s="1"/>
  <c r="J165" i="5"/>
  <c r="I165" i="5"/>
  <c r="H165" i="5"/>
  <c r="G165" i="5"/>
  <c r="F165" i="5"/>
  <c r="E165" i="5"/>
  <c r="D165" i="5"/>
  <c r="B165" i="5"/>
  <c r="C165" i="5" s="1"/>
  <c r="A165" i="5"/>
  <c r="K164" i="5"/>
  <c r="L164" i="5" s="1"/>
  <c r="J164" i="5"/>
  <c r="I164" i="5"/>
  <c r="H164" i="5"/>
  <c r="G164" i="5"/>
  <c r="F164" i="5"/>
  <c r="E164" i="5"/>
  <c r="D164" i="5"/>
  <c r="B164" i="5"/>
  <c r="C164" i="5" s="1"/>
  <c r="A164" i="5"/>
  <c r="K163" i="5"/>
  <c r="L163" i="5" s="1"/>
  <c r="J163" i="5"/>
  <c r="I163" i="5"/>
  <c r="H163" i="5"/>
  <c r="G163" i="5"/>
  <c r="F163" i="5"/>
  <c r="E163" i="5"/>
  <c r="D163" i="5"/>
  <c r="C163" i="5"/>
  <c r="B163" i="5"/>
  <c r="A163" i="5"/>
  <c r="K162" i="5"/>
  <c r="L162" i="5" s="1"/>
  <c r="J162" i="5"/>
  <c r="I162" i="5"/>
  <c r="H162" i="5"/>
  <c r="G162" i="5"/>
  <c r="F162" i="5"/>
  <c r="E162" i="5"/>
  <c r="D162" i="5"/>
  <c r="C162" i="5"/>
  <c r="B162" i="5"/>
  <c r="A162" i="5"/>
  <c r="K161" i="5"/>
  <c r="L161" i="5" s="1"/>
  <c r="J161" i="5"/>
  <c r="I161" i="5"/>
  <c r="H161" i="5"/>
  <c r="G161" i="5"/>
  <c r="F161" i="5"/>
  <c r="E161" i="5"/>
  <c r="D161" i="5"/>
  <c r="B161" i="5"/>
  <c r="C161" i="5" s="1"/>
  <c r="A161" i="5"/>
  <c r="K160" i="5"/>
  <c r="L160" i="5" s="1"/>
  <c r="J160" i="5"/>
  <c r="I160" i="5"/>
  <c r="H160" i="5"/>
  <c r="G160" i="5"/>
  <c r="F160" i="5"/>
  <c r="E160" i="5"/>
  <c r="D160" i="5"/>
  <c r="B160" i="5"/>
  <c r="C160" i="5" s="1"/>
  <c r="A160" i="5"/>
  <c r="K159" i="5"/>
  <c r="L159" i="5" s="1"/>
  <c r="J159" i="5"/>
  <c r="I159" i="5"/>
  <c r="H159" i="5"/>
  <c r="G159" i="5"/>
  <c r="F159" i="5"/>
  <c r="E159" i="5"/>
  <c r="D159" i="5"/>
  <c r="C159" i="5"/>
  <c r="B159" i="5"/>
  <c r="A159" i="5"/>
  <c r="K158" i="5"/>
  <c r="L158" i="5" s="1"/>
  <c r="J158" i="5"/>
  <c r="I158" i="5"/>
  <c r="H158" i="5"/>
  <c r="G158" i="5"/>
  <c r="F158" i="5"/>
  <c r="E158" i="5"/>
  <c r="D158" i="5"/>
  <c r="C158" i="5"/>
  <c r="B158" i="5"/>
  <c r="A158" i="5"/>
  <c r="K157" i="5"/>
  <c r="L157" i="5" s="1"/>
  <c r="J157" i="5"/>
  <c r="I157" i="5"/>
  <c r="H157" i="5"/>
  <c r="G157" i="5"/>
  <c r="F157" i="5"/>
  <c r="E157" i="5"/>
  <c r="D157" i="5"/>
  <c r="B157" i="5"/>
  <c r="C157" i="5" s="1"/>
  <c r="A157" i="5"/>
  <c r="K156" i="5"/>
  <c r="L156" i="5" s="1"/>
  <c r="J156" i="5"/>
  <c r="I156" i="5"/>
  <c r="H156" i="5"/>
  <c r="G156" i="5"/>
  <c r="F156" i="5"/>
  <c r="E156" i="5"/>
  <c r="D156" i="5"/>
  <c r="B156" i="5"/>
  <c r="C156" i="5" s="1"/>
  <c r="A156" i="5"/>
  <c r="K155" i="5"/>
  <c r="L155" i="5" s="1"/>
  <c r="J155" i="5"/>
  <c r="I155" i="5"/>
  <c r="H155" i="5"/>
  <c r="G155" i="5"/>
  <c r="F155" i="5"/>
  <c r="E155" i="5"/>
  <c r="D155" i="5"/>
  <c r="C155" i="5"/>
  <c r="B155" i="5"/>
  <c r="A155" i="5"/>
  <c r="K154" i="5"/>
  <c r="L154" i="5" s="1"/>
  <c r="J154" i="5"/>
  <c r="I154" i="5"/>
  <c r="H154" i="5"/>
  <c r="G154" i="5"/>
  <c r="F154" i="5"/>
  <c r="E154" i="5"/>
  <c r="D154" i="5"/>
  <c r="C154" i="5"/>
  <c r="B154" i="5"/>
  <c r="A154" i="5"/>
  <c r="K153" i="5"/>
  <c r="L153" i="5" s="1"/>
  <c r="J153" i="5"/>
  <c r="I153" i="5"/>
  <c r="H153" i="5"/>
  <c r="G153" i="5"/>
  <c r="F153" i="5"/>
  <c r="E153" i="5"/>
  <c r="D153" i="5"/>
  <c r="B153" i="5"/>
  <c r="C153" i="5" s="1"/>
  <c r="A153" i="5"/>
  <c r="K152" i="5"/>
  <c r="L152" i="5" s="1"/>
  <c r="J152" i="5"/>
  <c r="I152" i="5"/>
  <c r="H152" i="5"/>
  <c r="G152" i="5"/>
  <c r="F152" i="5"/>
  <c r="E152" i="5"/>
  <c r="D152" i="5"/>
  <c r="B152" i="5"/>
  <c r="C152" i="5" s="1"/>
  <c r="A152" i="5"/>
  <c r="K151" i="5"/>
  <c r="L151" i="5" s="1"/>
  <c r="J151" i="5"/>
  <c r="I151" i="5"/>
  <c r="H151" i="5"/>
  <c r="G151" i="5"/>
  <c r="F151" i="5"/>
  <c r="E151" i="5"/>
  <c r="D151" i="5"/>
  <c r="C151" i="5"/>
  <c r="B151" i="5"/>
  <c r="A151" i="5"/>
  <c r="K150" i="5"/>
  <c r="L150" i="5" s="1"/>
  <c r="J150" i="5"/>
  <c r="I150" i="5"/>
  <c r="H150" i="5"/>
  <c r="G150" i="5"/>
  <c r="F150" i="5"/>
  <c r="E150" i="5"/>
  <c r="D150" i="5"/>
  <c r="C150" i="5"/>
  <c r="B150" i="5"/>
  <c r="A150" i="5"/>
  <c r="K149" i="5"/>
  <c r="L149" i="5" s="1"/>
  <c r="J149" i="5"/>
  <c r="I149" i="5"/>
  <c r="H149" i="5"/>
  <c r="G149" i="5"/>
  <c r="F149" i="5"/>
  <c r="E149" i="5"/>
  <c r="D149" i="5"/>
  <c r="B149" i="5"/>
  <c r="C149" i="5" s="1"/>
  <c r="A149" i="5"/>
  <c r="K148" i="5"/>
  <c r="L148" i="5" s="1"/>
  <c r="J148" i="5"/>
  <c r="I148" i="5"/>
  <c r="H148" i="5"/>
  <c r="G148" i="5"/>
  <c r="F148" i="5"/>
  <c r="E148" i="5"/>
  <c r="D148" i="5"/>
  <c r="B148" i="5"/>
  <c r="C148" i="5" s="1"/>
  <c r="A148" i="5"/>
  <c r="K147" i="5"/>
  <c r="L147" i="5" s="1"/>
  <c r="J147" i="5"/>
  <c r="I147" i="5"/>
  <c r="H147" i="5"/>
  <c r="G147" i="5"/>
  <c r="F147" i="5"/>
  <c r="E147" i="5"/>
  <c r="D147" i="5"/>
  <c r="C147" i="5"/>
  <c r="B147" i="5"/>
  <c r="A147" i="5"/>
  <c r="K146" i="5"/>
  <c r="L146" i="5" s="1"/>
  <c r="J146" i="5"/>
  <c r="I146" i="5"/>
  <c r="H146" i="5"/>
  <c r="G146" i="5"/>
  <c r="F146" i="5"/>
  <c r="E146" i="5"/>
  <c r="D146" i="5"/>
  <c r="C146" i="5"/>
  <c r="B146" i="5"/>
  <c r="A146" i="5"/>
  <c r="K145" i="5"/>
  <c r="L145" i="5" s="1"/>
  <c r="J145" i="5"/>
  <c r="I145" i="5"/>
  <c r="H145" i="5"/>
  <c r="G145" i="5"/>
  <c r="F145" i="5"/>
  <c r="E145" i="5"/>
  <c r="D145" i="5"/>
  <c r="B145" i="5"/>
  <c r="C145" i="5" s="1"/>
  <c r="A145" i="5"/>
  <c r="K144" i="5"/>
  <c r="L144" i="5" s="1"/>
  <c r="J144" i="5"/>
  <c r="I144" i="5"/>
  <c r="H144" i="5"/>
  <c r="G144" i="5"/>
  <c r="F144" i="5"/>
  <c r="E144" i="5"/>
  <c r="D144" i="5"/>
  <c r="B144" i="5"/>
  <c r="C144" i="5" s="1"/>
  <c r="A144" i="5"/>
  <c r="K143" i="5"/>
  <c r="L143" i="5" s="1"/>
  <c r="J143" i="5"/>
  <c r="I143" i="5"/>
  <c r="H143" i="5"/>
  <c r="G143" i="5"/>
  <c r="F143" i="5"/>
  <c r="E143" i="5"/>
  <c r="D143" i="5"/>
  <c r="C143" i="5"/>
  <c r="B143" i="5"/>
  <c r="A143" i="5"/>
  <c r="K142" i="5"/>
  <c r="L142" i="5" s="1"/>
  <c r="J142" i="5"/>
  <c r="I142" i="5"/>
  <c r="H142" i="5"/>
  <c r="G142" i="5"/>
  <c r="F142" i="5"/>
  <c r="E142" i="5"/>
  <c r="D142" i="5"/>
  <c r="C142" i="5"/>
  <c r="B142" i="5"/>
  <c r="A142" i="5"/>
  <c r="K141" i="5"/>
  <c r="L141" i="5" s="1"/>
  <c r="J141" i="5"/>
  <c r="I141" i="5"/>
  <c r="H141" i="5"/>
  <c r="G141" i="5"/>
  <c r="F141" i="5"/>
  <c r="E141" i="5"/>
  <c r="D141" i="5"/>
  <c r="B141" i="5"/>
  <c r="C141" i="5" s="1"/>
  <c r="A141" i="5"/>
  <c r="K140" i="5"/>
  <c r="L140" i="5" s="1"/>
  <c r="J140" i="5"/>
  <c r="I140" i="5"/>
  <c r="H140" i="5"/>
  <c r="G140" i="5"/>
  <c r="F140" i="5"/>
  <c r="E140" i="5"/>
  <c r="D140" i="5"/>
  <c r="B140" i="5"/>
  <c r="C140" i="5" s="1"/>
  <c r="A140" i="5"/>
  <c r="K139" i="5"/>
  <c r="L139" i="5" s="1"/>
  <c r="J139" i="5"/>
  <c r="I139" i="5"/>
  <c r="H139" i="5"/>
  <c r="G139" i="5"/>
  <c r="F139" i="5"/>
  <c r="E139" i="5"/>
  <c r="D139" i="5"/>
  <c r="B139" i="5"/>
  <c r="C139" i="5" s="1"/>
  <c r="A139" i="5"/>
  <c r="K138" i="5"/>
  <c r="L138" i="5" s="1"/>
  <c r="J138" i="5"/>
  <c r="I138" i="5"/>
  <c r="H138" i="5"/>
  <c r="G138" i="5"/>
  <c r="F138" i="5"/>
  <c r="E138" i="5"/>
  <c r="D138" i="5"/>
  <c r="B138" i="5"/>
  <c r="C138" i="5" s="1"/>
  <c r="A138" i="5"/>
  <c r="K137" i="5"/>
  <c r="L137" i="5" s="1"/>
  <c r="J137" i="5"/>
  <c r="I137" i="5"/>
  <c r="H137" i="5"/>
  <c r="G137" i="5"/>
  <c r="F137" i="5"/>
  <c r="E137" i="5"/>
  <c r="D137" i="5"/>
  <c r="B137" i="5"/>
  <c r="C137" i="5" s="1"/>
  <c r="A137" i="5"/>
  <c r="K136" i="5"/>
  <c r="L136" i="5" s="1"/>
  <c r="J136" i="5"/>
  <c r="I136" i="5"/>
  <c r="H136" i="5"/>
  <c r="G136" i="5"/>
  <c r="F136" i="5"/>
  <c r="E136" i="5"/>
  <c r="D136" i="5"/>
  <c r="B136" i="5"/>
  <c r="C136" i="5" s="1"/>
  <c r="A136" i="5"/>
  <c r="K135" i="5"/>
  <c r="L135" i="5" s="1"/>
  <c r="J135" i="5"/>
  <c r="I135" i="5"/>
  <c r="H135" i="5"/>
  <c r="G135" i="5"/>
  <c r="F135" i="5"/>
  <c r="E135" i="5"/>
  <c r="D135" i="5"/>
  <c r="B135" i="5"/>
  <c r="C135" i="5" s="1"/>
  <c r="A135" i="5"/>
  <c r="L134" i="5"/>
  <c r="K134" i="5"/>
  <c r="J134" i="5"/>
  <c r="I134" i="5"/>
  <c r="H134" i="5"/>
  <c r="G134" i="5"/>
  <c r="F134" i="5"/>
  <c r="E134" i="5"/>
  <c r="D134" i="5"/>
  <c r="B134" i="5"/>
  <c r="C134" i="5" s="1"/>
  <c r="A134" i="5"/>
  <c r="K133" i="5"/>
  <c r="L133" i="5" s="1"/>
  <c r="J133" i="5"/>
  <c r="I133" i="5"/>
  <c r="H133" i="5"/>
  <c r="G133" i="5"/>
  <c r="F133" i="5"/>
  <c r="E133" i="5"/>
  <c r="D133" i="5"/>
  <c r="B133" i="5"/>
  <c r="C133" i="5" s="1"/>
  <c r="A133" i="5"/>
  <c r="K132" i="5"/>
  <c r="L132" i="5" s="1"/>
  <c r="J132" i="5"/>
  <c r="I132" i="5"/>
  <c r="H132" i="5"/>
  <c r="G132" i="5"/>
  <c r="F132" i="5"/>
  <c r="E132" i="5"/>
  <c r="D132" i="5"/>
  <c r="B132" i="5"/>
  <c r="C132" i="5" s="1"/>
  <c r="A132" i="5"/>
  <c r="K131" i="5"/>
  <c r="L131" i="5" s="1"/>
  <c r="J131" i="5"/>
  <c r="I131" i="5"/>
  <c r="H131" i="5"/>
  <c r="G131" i="5"/>
  <c r="F131" i="5"/>
  <c r="E131" i="5"/>
  <c r="D131" i="5"/>
  <c r="B131" i="5"/>
  <c r="C131" i="5" s="1"/>
  <c r="A131" i="5"/>
  <c r="K130" i="5"/>
  <c r="L130" i="5" s="1"/>
  <c r="J130" i="5"/>
  <c r="I130" i="5"/>
  <c r="H130" i="5"/>
  <c r="G130" i="5"/>
  <c r="F130" i="5"/>
  <c r="E130" i="5"/>
  <c r="D130" i="5"/>
  <c r="B130" i="5"/>
  <c r="C130" i="5" s="1"/>
  <c r="A130" i="5"/>
  <c r="K129" i="5"/>
  <c r="L129" i="5" s="1"/>
  <c r="J129" i="5"/>
  <c r="I129" i="5"/>
  <c r="H129" i="5"/>
  <c r="G129" i="5"/>
  <c r="F129" i="5"/>
  <c r="E129" i="5"/>
  <c r="D129" i="5"/>
  <c r="B129" i="5"/>
  <c r="C129" i="5" s="1"/>
  <c r="A129" i="5"/>
  <c r="K128" i="5"/>
  <c r="L128" i="5" s="1"/>
  <c r="J128" i="5"/>
  <c r="I128" i="5"/>
  <c r="H128" i="5"/>
  <c r="G128" i="5"/>
  <c r="F128" i="5"/>
  <c r="E128" i="5"/>
  <c r="D128" i="5"/>
  <c r="B128" i="5"/>
  <c r="C128" i="5" s="1"/>
  <c r="A128" i="5"/>
  <c r="K127" i="5"/>
  <c r="L127" i="5" s="1"/>
  <c r="J127" i="5"/>
  <c r="I127" i="5"/>
  <c r="H127" i="5"/>
  <c r="G127" i="5"/>
  <c r="F127" i="5"/>
  <c r="E127" i="5"/>
  <c r="D127" i="5"/>
  <c r="B127" i="5"/>
  <c r="C127" i="5" s="1"/>
  <c r="A127" i="5"/>
  <c r="K126" i="5"/>
  <c r="L126" i="5" s="1"/>
  <c r="J126" i="5"/>
  <c r="I126" i="5"/>
  <c r="H126" i="5"/>
  <c r="G126" i="5"/>
  <c r="F126" i="5"/>
  <c r="E126" i="5"/>
  <c r="D126" i="5"/>
  <c r="B126" i="5"/>
  <c r="C126" i="5" s="1"/>
  <c r="A126" i="5"/>
  <c r="K125" i="5"/>
  <c r="L125" i="5" s="1"/>
  <c r="J125" i="5"/>
  <c r="I125" i="5"/>
  <c r="H125" i="5"/>
  <c r="G125" i="5"/>
  <c r="F125" i="5"/>
  <c r="E125" i="5"/>
  <c r="D125" i="5"/>
  <c r="B125" i="5"/>
  <c r="C125" i="5" s="1"/>
  <c r="A125" i="5"/>
  <c r="K124" i="5"/>
  <c r="L124" i="5" s="1"/>
  <c r="J124" i="5"/>
  <c r="I124" i="5"/>
  <c r="H124" i="5"/>
  <c r="G124" i="5"/>
  <c r="F124" i="5"/>
  <c r="E124" i="5"/>
  <c r="D124" i="5"/>
  <c r="B124" i="5"/>
  <c r="C124" i="5" s="1"/>
  <c r="A124" i="5"/>
  <c r="K123" i="5"/>
  <c r="L123" i="5" s="1"/>
  <c r="J123" i="5"/>
  <c r="I123" i="5"/>
  <c r="H123" i="5"/>
  <c r="G123" i="5"/>
  <c r="F123" i="5"/>
  <c r="E123" i="5"/>
  <c r="D123" i="5"/>
  <c r="B123" i="5"/>
  <c r="C123" i="5" s="1"/>
  <c r="A123" i="5"/>
  <c r="K122" i="5"/>
  <c r="L122" i="5" s="1"/>
  <c r="J122" i="5"/>
  <c r="I122" i="5"/>
  <c r="H122" i="5"/>
  <c r="G122" i="5"/>
  <c r="F122" i="5"/>
  <c r="E122" i="5"/>
  <c r="D122" i="5"/>
  <c r="B122" i="5"/>
  <c r="C122" i="5" s="1"/>
  <c r="A122" i="5"/>
  <c r="K121" i="5"/>
  <c r="L121" i="5" s="1"/>
  <c r="J121" i="5"/>
  <c r="I121" i="5"/>
  <c r="H121" i="5"/>
  <c r="G121" i="5"/>
  <c r="F121" i="5"/>
  <c r="E121" i="5"/>
  <c r="D121" i="5"/>
  <c r="B121" i="5"/>
  <c r="C121" i="5" s="1"/>
  <c r="A121" i="5"/>
  <c r="K120" i="5"/>
  <c r="L120" i="5" s="1"/>
  <c r="J120" i="5"/>
  <c r="I120" i="5"/>
  <c r="H120" i="5"/>
  <c r="G120" i="5"/>
  <c r="F120" i="5"/>
  <c r="E120" i="5"/>
  <c r="D120" i="5"/>
  <c r="B120" i="5"/>
  <c r="C120" i="5" s="1"/>
  <c r="A120" i="5"/>
  <c r="K119" i="5"/>
  <c r="L119" i="5" s="1"/>
  <c r="J119" i="5"/>
  <c r="I119" i="5"/>
  <c r="H119" i="5"/>
  <c r="G119" i="5"/>
  <c r="F119" i="5"/>
  <c r="E119" i="5"/>
  <c r="D119" i="5"/>
  <c r="B119" i="5"/>
  <c r="C119" i="5" s="1"/>
  <c r="A119" i="5"/>
  <c r="L118" i="5"/>
  <c r="K118" i="5"/>
  <c r="J118" i="5"/>
  <c r="I118" i="5"/>
  <c r="H118" i="5"/>
  <c r="G118" i="5"/>
  <c r="F118" i="5"/>
  <c r="E118" i="5"/>
  <c r="D118" i="5"/>
  <c r="B118" i="5"/>
  <c r="C118" i="5" s="1"/>
  <c r="A118" i="5"/>
  <c r="K117" i="5"/>
  <c r="L117" i="5" s="1"/>
  <c r="J117" i="5"/>
  <c r="I117" i="5"/>
  <c r="H117" i="5"/>
  <c r="G117" i="5"/>
  <c r="F117" i="5"/>
  <c r="E117" i="5"/>
  <c r="D117" i="5"/>
  <c r="B117" i="5"/>
  <c r="C117" i="5" s="1"/>
  <c r="A117" i="5"/>
  <c r="K116" i="5"/>
  <c r="L116" i="5" s="1"/>
  <c r="J116" i="5"/>
  <c r="I116" i="5"/>
  <c r="H116" i="5"/>
  <c r="G116" i="5"/>
  <c r="F116" i="5"/>
  <c r="E116" i="5"/>
  <c r="D116" i="5"/>
  <c r="B116" i="5"/>
  <c r="C116" i="5" s="1"/>
  <c r="A116" i="5"/>
  <c r="K115" i="5"/>
  <c r="L115" i="5" s="1"/>
  <c r="J115" i="5"/>
  <c r="I115" i="5"/>
  <c r="H115" i="5"/>
  <c r="G115" i="5"/>
  <c r="F115" i="5"/>
  <c r="E115" i="5"/>
  <c r="D115" i="5"/>
  <c r="B115" i="5"/>
  <c r="C115" i="5" s="1"/>
  <c r="A115" i="5"/>
  <c r="K114" i="5"/>
  <c r="L114" i="5" s="1"/>
  <c r="J114" i="5"/>
  <c r="I114" i="5"/>
  <c r="H114" i="5"/>
  <c r="G114" i="5"/>
  <c r="F114" i="5"/>
  <c r="E114" i="5"/>
  <c r="D114" i="5"/>
  <c r="B114" i="5"/>
  <c r="C114" i="5" s="1"/>
  <c r="A114" i="5"/>
  <c r="K113" i="5"/>
  <c r="L113" i="5" s="1"/>
  <c r="J113" i="5"/>
  <c r="I113" i="5"/>
  <c r="H113" i="5"/>
  <c r="G113" i="5"/>
  <c r="F113" i="5"/>
  <c r="E113" i="5"/>
  <c r="D113" i="5"/>
  <c r="B113" i="5"/>
  <c r="C113" i="5" s="1"/>
  <c r="A113" i="5"/>
  <c r="K112" i="5"/>
  <c r="L112" i="5" s="1"/>
  <c r="J112" i="5"/>
  <c r="I112" i="5"/>
  <c r="H112" i="5"/>
  <c r="G112" i="5"/>
  <c r="F112" i="5"/>
  <c r="E112" i="5"/>
  <c r="D112" i="5"/>
  <c r="B112" i="5"/>
  <c r="C112" i="5" s="1"/>
  <c r="A112" i="5"/>
  <c r="K111" i="5"/>
  <c r="L111" i="5" s="1"/>
  <c r="J111" i="5"/>
  <c r="I111" i="5"/>
  <c r="H111" i="5"/>
  <c r="G111" i="5"/>
  <c r="F111" i="5"/>
  <c r="E111" i="5"/>
  <c r="D111" i="5"/>
  <c r="B111" i="5"/>
  <c r="C111" i="5" s="1"/>
  <c r="A111" i="5"/>
  <c r="K110" i="5"/>
  <c r="L110" i="5" s="1"/>
  <c r="J110" i="5"/>
  <c r="I110" i="5"/>
  <c r="H110" i="5"/>
  <c r="G110" i="5"/>
  <c r="F110" i="5"/>
  <c r="E110" i="5"/>
  <c r="D110" i="5"/>
  <c r="B110" i="5"/>
  <c r="C110" i="5" s="1"/>
  <c r="A110" i="5"/>
  <c r="K109" i="5"/>
  <c r="L109" i="5" s="1"/>
  <c r="J109" i="5"/>
  <c r="I109" i="5"/>
  <c r="H109" i="5"/>
  <c r="G109" i="5"/>
  <c r="F109" i="5"/>
  <c r="E109" i="5"/>
  <c r="D109" i="5"/>
  <c r="B109" i="5"/>
  <c r="C109" i="5" s="1"/>
  <c r="A109" i="5"/>
  <c r="K108" i="5"/>
  <c r="L108" i="5" s="1"/>
  <c r="J108" i="5"/>
  <c r="I108" i="5"/>
  <c r="H108" i="5"/>
  <c r="G108" i="5"/>
  <c r="F108" i="5"/>
  <c r="E108" i="5"/>
  <c r="D108" i="5"/>
  <c r="B108" i="5"/>
  <c r="C108" i="5" s="1"/>
  <c r="A108" i="5"/>
  <c r="K107" i="5"/>
  <c r="L107" i="5" s="1"/>
  <c r="J107" i="5"/>
  <c r="I107" i="5"/>
  <c r="H107" i="5"/>
  <c r="G107" i="5"/>
  <c r="F107" i="5"/>
  <c r="E107" i="5"/>
  <c r="D107" i="5"/>
  <c r="B107" i="5"/>
  <c r="C107" i="5" s="1"/>
  <c r="A107" i="5"/>
  <c r="L106" i="5"/>
  <c r="K106" i="5"/>
  <c r="J106" i="5"/>
  <c r="I106" i="5"/>
  <c r="H106" i="5"/>
  <c r="G106" i="5"/>
  <c r="F106" i="5"/>
  <c r="E106" i="5"/>
  <c r="D106" i="5"/>
  <c r="B106" i="5"/>
  <c r="C106" i="5" s="1"/>
  <c r="A106" i="5"/>
  <c r="K105" i="5"/>
  <c r="L105" i="5" s="1"/>
  <c r="J105" i="5"/>
  <c r="I105" i="5"/>
  <c r="H105" i="5"/>
  <c r="G105" i="5"/>
  <c r="F105" i="5"/>
  <c r="E105" i="5"/>
  <c r="D105" i="5"/>
  <c r="B105" i="5"/>
  <c r="C105" i="5" s="1"/>
  <c r="A105" i="5"/>
  <c r="K104" i="5"/>
  <c r="L104" i="5" s="1"/>
  <c r="J104" i="5"/>
  <c r="I104" i="5"/>
  <c r="H104" i="5"/>
  <c r="G104" i="5"/>
  <c r="F104" i="5"/>
  <c r="E104" i="5"/>
  <c r="D104" i="5"/>
  <c r="B104" i="5"/>
  <c r="C104" i="5" s="1"/>
  <c r="A104" i="5"/>
  <c r="K103" i="5"/>
  <c r="L103" i="5" s="1"/>
  <c r="J103" i="5"/>
  <c r="I103" i="5"/>
  <c r="H103" i="5"/>
  <c r="G103" i="5"/>
  <c r="F103" i="5"/>
  <c r="E103" i="5"/>
  <c r="D103" i="5"/>
  <c r="B103" i="5"/>
  <c r="C103" i="5" s="1"/>
  <c r="A103" i="5"/>
  <c r="K102" i="5"/>
  <c r="L102" i="5" s="1"/>
  <c r="J102" i="5"/>
  <c r="I102" i="5"/>
  <c r="H102" i="5"/>
  <c r="G102" i="5"/>
  <c r="F102" i="5"/>
  <c r="E102" i="5"/>
  <c r="D102" i="5"/>
  <c r="B102" i="5"/>
  <c r="C102" i="5" s="1"/>
  <c r="A102" i="5"/>
  <c r="K101" i="5"/>
  <c r="L101" i="5" s="1"/>
  <c r="J101" i="5"/>
  <c r="I101" i="5"/>
  <c r="H101" i="5"/>
  <c r="G101" i="5"/>
  <c r="F101" i="5"/>
  <c r="E101" i="5"/>
  <c r="D101" i="5"/>
  <c r="B101" i="5"/>
  <c r="C101" i="5" s="1"/>
  <c r="A101" i="5"/>
  <c r="K100" i="5"/>
  <c r="L100" i="5" s="1"/>
  <c r="J100" i="5"/>
  <c r="I100" i="5"/>
  <c r="H100" i="5"/>
  <c r="G100" i="5"/>
  <c r="F100" i="5"/>
  <c r="E100" i="5"/>
  <c r="D100" i="5"/>
  <c r="B100" i="5"/>
  <c r="C100" i="5" s="1"/>
  <c r="A100" i="5"/>
  <c r="K99" i="5"/>
  <c r="L99" i="5" s="1"/>
  <c r="J99" i="5"/>
  <c r="I99" i="5"/>
  <c r="H99" i="5"/>
  <c r="G99" i="5"/>
  <c r="F99" i="5"/>
  <c r="E99" i="5"/>
  <c r="D99" i="5"/>
  <c r="C99" i="5"/>
  <c r="B99" i="5"/>
  <c r="A99" i="5"/>
  <c r="K98" i="5"/>
  <c r="L98" i="5" s="1"/>
  <c r="J98" i="5"/>
  <c r="I98" i="5"/>
  <c r="H98" i="5"/>
  <c r="G98" i="5"/>
  <c r="F98" i="5"/>
  <c r="E98" i="5"/>
  <c r="D98" i="5"/>
  <c r="B98" i="5"/>
  <c r="C98" i="5" s="1"/>
  <c r="A98" i="5"/>
  <c r="K97" i="5"/>
  <c r="L97" i="5" s="1"/>
  <c r="J97" i="5"/>
  <c r="I97" i="5"/>
  <c r="H97" i="5"/>
  <c r="G97" i="5"/>
  <c r="F97" i="5"/>
  <c r="E97" i="5"/>
  <c r="D97" i="5"/>
  <c r="B97" i="5"/>
  <c r="C97" i="5" s="1"/>
  <c r="A97" i="5"/>
  <c r="K96" i="5"/>
  <c r="L96" i="5" s="1"/>
  <c r="J96" i="5"/>
  <c r="I96" i="5"/>
  <c r="H96" i="5"/>
  <c r="G96" i="5"/>
  <c r="F96" i="5"/>
  <c r="E96" i="5"/>
  <c r="D96" i="5"/>
  <c r="B96" i="5"/>
  <c r="C96" i="5" s="1"/>
  <c r="A96" i="5"/>
  <c r="K95" i="5"/>
  <c r="L95" i="5" s="1"/>
  <c r="J95" i="5"/>
  <c r="I95" i="5"/>
  <c r="H95" i="5"/>
  <c r="G95" i="5"/>
  <c r="F95" i="5"/>
  <c r="E95" i="5"/>
  <c r="D95" i="5"/>
  <c r="B95" i="5"/>
  <c r="C95" i="5" s="1"/>
  <c r="A95" i="5"/>
  <c r="K94" i="5"/>
  <c r="L94" i="5" s="1"/>
  <c r="J94" i="5"/>
  <c r="I94" i="5"/>
  <c r="H94" i="5"/>
  <c r="G94" i="5"/>
  <c r="F94" i="5"/>
  <c r="E94" i="5"/>
  <c r="D94" i="5"/>
  <c r="B94" i="5"/>
  <c r="C94" i="5" s="1"/>
  <c r="A94" i="5"/>
  <c r="K93" i="5"/>
  <c r="L93" i="5" s="1"/>
  <c r="J93" i="5"/>
  <c r="I93" i="5"/>
  <c r="H93" i="5"/>
  <c r="G93" i="5"/>
  <c r="F93" i="5"/>
  <c r="E93" i="5"/>
  <c r="D93" i="5"/>
  <c r="B93" i="5"/>
  <c r="C93" i="5" s="1"/>
  <c r="A93" i="5"/>
  <c r="K92" i="5"/>
  <c r="L92" i="5" s="1"/>
  <c r="J92" i="5"/>
  <c r="I92" i="5"/>
  <c r="H92" i="5"/>
  <c r="G92" i="5"/>
  <c r="F92" i="5"/>
  <c r="E92" i="5"/>
  <c r="D92" i="5"/>
  <c r="B92" i="5"/>
  <c r="C92" i="5" s="1"/>
  <c r="A92" i="5"/>
  <c r="K91" i="5"/>
  <c r="L91" i="5" s="1"/>
  <c r="J91" i="5"/>
  <c r="I91" i="5"/>
  <c r="H91" i="5"/>
  <c r="G91" i="5"/>
  <c r="F91" i="5"/>
  <c r="E91" i="5"/>
  <c r="D91" i="5"/>
  <c r="B91" i="5"/>
  <c r="C91" i="5" s="1"/>
  <c r="A91" i="5"/>
  <c r="K90" i="5"/>
  <c r="L90" i="5" s="1"/>
  <c r="J90" i="5"/>
  <c r="I90" i="5"/>
  <c r="H90" i="5"/>
  <c r="G90" i="5"/>
  <c r="F90" i="5"/>
  <c r="E90" i="5"/>
  <c r="D90" i="5"/>
  <c r="B90" i="5"/>
  <c r="C90" i="5" s="1"/>
  <c r="A90" i="5"/>
  <c r="K89" i="5"/>
  <c r="L89" i="5" s="1"/>
  <c r="J89" i="5"/>
  <c r="I89" i="5"/>
  <c r="H89" i="5"/>
  <c r="G89" i="5"/>
  <c r="F89" i="5"/>
  <c r="E89" i="5"/>
  <c r="D89" i="5"/>
  <c r="B89" i="5"/>
  <c r="C89" i="5" s="1"/>
  <c r="A89" i="5"/>
  <c r="K88" i="5"/>
  <c r="L88" i="5" s="1"/>
  <c r="J88" i="5"/>
  <c r="I88" i="5"/>
  <c r="H88" i="5"/>
  <c r="G88" i="5"/>
  <c r="F88" i="5"/>
  <c r="E88" i="5"/>
  <c r="D88" i="5"/>
  <c r="B88" i="5"/>
  <c r="C88" i="5" s="1"/>
  <c r="A88" i="5"/>
  <c r="K87" i="5"/>
  <c r="L87" i="5" s="1"/>
  <c r="J87" i="5"/>
  <c r="I87" i="5"/>
  <c r="H87" i="5"/>
  <c r="G87" i="5"/>
  <c r="F87" i="5"/>
  <c r="E87" i="5"/>
  <c r="D87" i="5"/>
  <c r="B87" i="5"/>
  <c r="C87" i="5" s="1"/>
  <c r="A87" i="5"/>
  <c r="K86" i="5"/>
  <c r="L86" i="5" s="1"/>
  <c r="J86" i="5"/>
  <c r="I86" i="5"/>
  <c r="H86" i="5"/>
  <c r="G86" i="5"/>
  <c r="F86" i="5"/>
  <c r="E86" i="5"/>
  <c r="D86" i="5"/>
  <c r="B86" i="5"/>
  <c r="C86" i="5" s="1"/>
  <c r="A86" i="5"/>
  <c r="K85" i="5"/>
  <c r="L85" i="5" s="1"/>
  <c r="J85" i="5"/>
  <c r="I85" i="5"/>
  <c r="H85" i="5"/>
  <c r="G85" i="5"/>
  <c r="F85" i="5"/>
  <c r="E85" i="5"/>
  <c r="D85" i="5"/>
  <c r="B85" i="5"/>
  <c r="C85" i="5" s="1"/>
  <c r="A85" i="5"/>
  <c r="K84" i="5"/>
  <c r="L84" i="5" s="1"/>
  <c r="J84" i="5"/>
  <c r="I84" i="5"/>
  <c r="H84" i="5"/>
  <c r="G84" i="5"/>
  <c r="F84" i="5"/>
  <c r="E84" i="5"/>
  <c r="D84" i="5"/>
  <c r="B84" i="5"/>
  <c r="C84" i="5" s="1"/>
  <c r="A84" i="5"/>
  <c r="K83" i="5"/>
  <c r="L83" i="5" s="1"/>
  <c r="J83" i="5"/>
  <c r="I83" i="5"/>
  <c r="H83" i="5"/>
  <c r="G83" i="5"/>
  <c r="F83" i="5"/>
  <c r="E83" i="5"/>
  <c r="D83" i="5"/>
  <c r="C83" i="5"/>
  <c r="B83" i="5"/>
  <c r="A83" i="5"/>
  <c r="K82" i="5"/>
  <c r="L82" i="5" s="1"/>
  <c r="J82" i="5"/>
  <c r="I82" i="5"/>
  <c r="H82" i="5"/>
  <c r="G82" i="5"/>
  <c r="F82" i="5"/>
  <c r="E82" i="5"/>
  <c r="D82" i="5"/>
  <c r="B82" i="5"/>
  <c r="C82" i="5" s="1"/>
  <c r="A82" i="5"/>
  <c r="K81" i="5"/>
  <c r="L81" i="5" s="1"/>
  <c r="J81" i="5"/>
  <c r="I81" i="5"/>
  <c r="H81" i="5"/>
  <c r="G81" i="5"/>
  <c r="F81" i="5"/>
  <c r="E81" i="5"/>
  <c r="D81" i="5"/>
  <c r="B81" i="5"/>
  <c r="C81" i="5" s="1"/>
  <c r="A81" i="5"/>
  <c r="K80" i="5"/>
  <c r="L80" i="5" s="1"/>
  <c r="J80" i="5"/>
  <c r="I80" i="5"/>
  <c r="H80" i="5"/>
  <c r="G80" i="5"/>
  <c r="F80" i="5"/>
  <c r="E80" i="5"/>
  <c r="D80" i="5"/>
  <c r="B80" i="5"/>
  <c r="C80" i="5" s="1"/>
  <c r="A80" i="5"/>
  <c r="K79" i="5"/>
  <c r="L79" i="5" s="1"/>
  <c r="J79" i="5"/>
  <c r="I79" i="5"/>
  <c r="H79" i="5"/>
  <c r="G79" i="5"/>
  <c r="F79" i="5"/>
  <c r="E79" i="5"/>
  <c r="D79" i="5"/>
  <c r="B79" i="5"/>
  <c r="C79" i="5" s="1"/>
  <c r="A79" i="5"/>
  <c r="K78" i="5"/>
  <c r="L78" i="5" s="1"/>
  <c r="J78" i="5"/>
  <c r="I78" i="5"/>
  <c r="H78" i="5"/>
  <c r="G78" i="5"/>
  <c r="F78" i="5"/>
  <c r="E78" i="5"/>
  <c r="D78" i="5"/>
  <c r="B78" i="5"/>
  <c r="C78" i="5" s="1"/>
  <c r="A78" i="5"/>
  <c r="K77" i="5"/>
  <c r="L77" i="5" s="1"/>
  <c r="J77" i="5"/>
  <c r="I77" i="5"/>
  <c r="H77" i="5"/>
  <c r="G77" i="5"/>
  <c r="F77" i="5"/>
  <c r="E77" i="5"/>
  <c r="D77" i="5"/>
  <c r="B77" i="5"/>
  <c r="C77" i="5" s="1"/>
  <c r="A77" i="5"/>
  <c r="K76" i="5"/>
  <c r="L76" i="5" s="1"/>
  <c r="J76" i="5"/>
  <c r="I76" i="5"/>
  <c r="H76" i="5"/>
  <c r="G76" i="5"/>
  <c r="F76" i="5"/>
  <c r="E76" i="5"/>
  <c r="D76" i="5"/>
  <c r="B76" i="5"/>
  <c r="C76" i="5" s="1"/>
  <c r="A76" i="5"/>
  <c r="K75" i="5"/>
  <c r="L75" i="5" s="1"/>
  <c r="J75" i="5"/>
  <c r="I75" i="5"/>
  <c r="H75" i="5"/>
  <c r="G75" i="5"/>
  <c r="F75" i="5"/>
  <c r="E75" i="5"/>
  <c r="D75" i="5"/>
  <c r="B75" i="5"/>
  <c r="C75" i="5" s="1"/>
  <c r="A75" i="5"/>
  <c r="K74" i="5"/>
  <c r="L74" i="5" s="1"/>
  <c r="J74" i="5"/>
  <c r="I74" i="5"/>
  <c r="H74" i="5"/>
  <c r="G74" i="5"/>
  <c r="F74" i="5"/>
  <c r="E74" i="5"/>
  <c r="D74" i="5"/>
  <c r="B74" i="5"/>
  <c r="C74" i="5" s="1"/>
  <c r="A74" i="5"/>
  <c r="K73" i="5"/>
  <c r="L73" i="5" s="1"/>
  <c r="J73" i="5"/>
  <c r="I73" i="5"/>
  <c r="H73" i="5"/>
  <c r="G73" i="5"/>
  <c r="F73" i="5"/>
  <c r="E73" i="5"/>
  <c r="D73" i="5"/>
  <c r="B73" i="5"/>
  <c r="C73" i="5" s="1"/>
  <c r="A73" i="5"/>
  <c r="K72" i="5"/>
  <c r="L72" i="5" s="1"/>
  <c r="J72" i="5"/>
  <c r="I72" i="5"/>
  <c r="H72" i="5"/>
  <c r="G72" i="5"/>
  <c r="F72" i="5"/>
  <c r="E72" i="5"/>
  <c r="D72" i="5"/>
  <c r="B72" i="5"/>
  <c r="C72" i="5" s="1"/>
  <c r="A72" i="5"/>
  <c r="K71" i="5"/>
  <c r="L71" i="5" s="1"/>
  <c r="J71" i="5"/>
  <c r="I71" i="5"/>
  <c r="H71" i="5"/>
  <c r="G71" i="5"/>
  <c r="F71" i="5"/>
  <c r="E71" i="5"/>
  <c r="D71" i="5"/>
  <c r="B71" i="5"/>
  <c r="C71" i="5" s="1"/>
  <c r="A71" i="5"/>
  <c r="K70" i="5"/>
  <c r="L70" i="5" s="1"/>
  <c r="J70" i="5"/>
  <c r="I70" i="5"/>
  <c r="H70" i="5"/>
  <c r="G70" i="5"/>
  <c r="F70" i="5"/>
  <c r="E70" i="5"/>
  <c r="D70" i="5"/>
  <c r="B70" i="5"/>
  <c r="C70" i="5" s="1"/>
  <c r="A70" i="5"/>
  <c r="K69" i="5"/>
  <c r="L69" i="5" s="1"/>
  <c r="J69" i="5"/>
  <c r="I69" i="5"/>
  <c r="H69" i="5"/>
  <c r="G69" i="5"/>
  <c r="F69" i="5"/>
  <c r="E69" i="5"/>
  <c r="D69" i="5"/>
  <c r="B69" i="5"/>
  <c r="C69" i="5" s="1"/>
  <c r="A69" i="5"/>
  <c r="K68" i="5"/>
  <c r="L68" i="5" s="1"/>
  <c r="J68" i="5"/>
  <c r="I68" i="5"/>
  <c r="H68" i="5"/>
  <c r="G68" i="5"/>
  <c r="F68" i="5"/>
  <c r="E68" i="5"/>
  <c r="D68" i="5"/>
  <c r="B68" i="5"/>
  <c r="C68" i="5" s="1"/>
  <c r="A68" i="5"/>
  <c r="K67" i="5"/>
  <c r="L67" i="5" s="1"/>
  <c r="J67" i="5"/>
  <c r="I67" i="5"/>
  <c r="H67" i="5"/>
  <c r="G67" i="5"/>
  <c r="F67" i="5"/>
  <c r="E67" i="5"/>
  <c r="D67" i="5"/>
  <c r="B67" i="5"/>
  <c r="C67" i="5" s="1"/>
  <c r="A67" i="5"/>
  <c r="K66" i="5"/>
  <c r="L66" i="5" s="1"/>
  <c r="J66" i="5"/>
  <c r="I66" i="5"/>
  <c r="H66" i="5"/>
  <c r="G66" i="5"/>
  <c r="F66" i="5"/>
  <c r="E66" i="5"/>
  <c r="D66" i="5"/>
  <c r="B66" i="5"/>
  <c r="C66" i="5" s="1"/>
  <c r="A66" i="5"/>
  <c r="K65" i="5"/>
  <c r="L65" i="5" s="1"/>
  <c r="J65" i="5"/>
  <c r="I65" i="5"/>
  <c r="H65" i="5"/>
  <c r="G65" i="5"/>
  <c r="F65" i="5"/>
  <c r="E65" i="5"/>
  <c r="D65" i="5"/>
  <c r="B65" i="5"/>
  <c r="C65" i="5" s="1"/>
  <c r="A65" i="5"/>
  <c r="K64" i="5"/>
  <c r="L64" i="5" s="1"/>
  <c r="J64" i="5"/>
  <c r="I64" i="5"/>
  <c r="H64" i="5"/>
  <c r="G64" i="5"/>
  <c r="F64" i="5"/>
  <c r="E64" i="5"/>
  <c r="D64" i="5"/>
  <c r="B64" i="5"/>
  <c r="C64" i="5" s="1"/>
  <c r="A64" i="5"/>
  <c r="K63" i="5"/>
  <c r="L63" i="5" s="1"/>
  <c r="J63" i="5"/>
  <c r="I63" i="5"/>
  <c r="H63" i="5"/>
  <c r="G63" i="5"/>
  <c r="F63" i="5"/>
  <c r="E63" i="5"/>
  <c r="D63" i="5"/>
  <c r="B63" i="5"/>
  <c r="C63" i="5" s="1"/>
  <c r="A63" i="5"/>
  <c r="L62" i="5"/>
  <c r="K62" i="5"/>
  <c r="J62" i="5"/>
  <c r="I62" i="5"/>
  <c r="H62" i="5"/>
  <c r="G62" i="5"/>
  <c r="F62" i="5"/>
  <c r="E62" i="5"/>
  <c r="D62" i="5"/>
  <c r="B62" i="5"/>
  <c r="C62" i="5" s="1"/>
  <c r="A62" i="5"/>
  <c r="K61" i="5"/>
  <c r="L61" i="5" s="1"/>
  <c r="J61" i="5"/>
  <c r="I61" i="5"/>
  <c r="H61" i="5"/>
  <c r="G61" i="5"/>
  <c r="F61" i="5"/>
  <c r="E61" i="5"/>
  <c r="D61" i="5"/>
  <c r="B61" i="5"/>
  <c r="C61" i="5" s="1"/>
  <c r="A61" i="5"/>
  <c r="K60" i="5"/>
  <c r="L60" i="5" s="1"/>
  <c r="J60" i="5"/>
  <c r="I60" i="5"/>
  <c r="H60" i="5"/>
  <c r="G60" i="5"/>
  <c r="F60" i="5"/>
  <c r="E60" i="5"/>
  <c r="D60" i="5"/>
  <c r="B60" i="5"/>
  <c r="C60" i="5" s="1"/>
  <c r="A60" i="5"/>
  <c r="K59" i="5"/>
  <c r="L59" i="5" s="1"/>
  <c r="J59" i="5"/>
  <c r="I59" i="5"/>
  <c r="H59" i="5"/>
  <c r="G59" i="5"/>
  <c r="F59" i="5"/>
  <c r="E59" i="5"/>
  <c r="D59" i="5"/>
  <c r="B59" i="5"/>
  <c r="C59" i="5" s="1"/>
  <c r="A59" i="5"/>
  <c r="K58" i="5"/>
  <c r="L58" i="5" s="1"/>
  <c r="J58" i="5"/>
  <c r="I58" i="5"/>
  <c r="H58" i="5"/>
  <c r="G58" i="5"/>
  <c r="F58" i="5"/>
  <c r="E58" i="5"/>
  <c r="D58" i="5"/>
  <c r="B58" i="5"/>
  <c r="C58" i="5" s="1"/>
  <c r="A58" i="5"/>
  <c r="K57" i="5"/>
  <c r="L57" i="5" s="1"/>
  <c r="J57" i="5"/>
  <c r="I57" i="5"/>
  <c r="H57" i="5"/>
  <c r="G57" i="5"/>
  <c r="F57" i="5"/>
  <c r="E57" i="5"/>
  <c r="D57" i="5"/>
  <c r="B57" i="5"/>
  <c r="C57" i="5" s="1"/>
  <c r="A57" i="5"/>
  <c r="K56" i="5"/>
  <c r="L56" i="5" s="1"/>
  <c r="J56" i="5"/>
  <c r="I56" i="5"/>
  <c r="H56" i="5"/>
  <c r="G56" i="5"/>
  <c r="F56" i="5"/>
  <c r="E56" i="5"/>
  <c r="D56" i="5"/>
  <c r="B56" i="5"/>
  <c r="C56" i="5" s="1"/>
  <c r="A56" i="5"/>
  <c r="K55" i="5"/>
  <c r="L55" i="5" s="1"/>
  <c r="J55" i="5"/>
  <c r="I55" i="5"/>
  <c r="H55" i="5"/>
  <c r="G55" i="5"/>
  <c r="F55" i="5"/>
  <c r="E55" i="5"/>
  <c r="D55" i="5"/>
  <c r="B55" i="5"/>
  <c r="C55" i="5" s="1"/>
  <c r="A55" i="5"/>
  <c r="K54" i="5"/>
  <c r="L54" i="5" s="1"/>
  <c r="J54" i="5"/>
  <c r="I54" i="5"/>
  <c r="H54" i="5"/>
  <c r="G54" i="5"/>
  <c r="F54" i="5"/>
  <c r="E54" i="5"/>
  <c r="D54" i="5"/>
  <c r="B54" i="5"/>
  <c r="C54" i="5" s="1"/>
  <c r="A54" i="5"/>
  <c r="K53" i="5"/>
  <c r="L53" i="5" s="1"/>
  <c r="J53" i="5"/>
  <c r="I53" i="5"/>
  <c r="H53" i="5"/>
  <c r="G53" i="5"/>
  <c r="F53" i="5"/>
  <c r="E53" i="5"/>
  <c r="D53" i="5"/>
  <c r="B53" i="5"/>
  <c r="C53" i="5" s="1"/>
  <c r="A53" i="5"/>
  <c r="K52" i="5"/>
  <c r="L52" i="5" s="1"/>
  <c r="J52" i="5"/>
  <c r="I52" i="5"/>
  <c r="H52" i="5"/>
  <c r="G52" i="5"/>
  <c r="F52" i="5"/>
  <c r="E52" i="5"/>
  <c r="D52" i="5"/>
  <c r="B52" i="5"/>
  <c r="C52" i="5" s="1"/>
  <c r="A52" i="5"/>
  <c r="K51" i="5"/>
  <c r="L51" i="5" s="1"/>
  <c r="J51" i="5"/>
  <c r="I51" i="5"/>
  <c r="H51" i="5"/>
  <c r="G51" i="5"/>
  <c r="F51" i="5"/>
  <c r="E51" i="5"/>
  <c r="D51" i="5"/>
  <c r="B51" i="5"/>
  <c r="C51" i="5" s="1"/>
  <c r="A51" i="5"/>
  <c r="J50" i="5"/>
  <c r="I50" i="5"/>
  <c r="K50" i="5" s="1"/>
  <c r="L50" i="5" s="1"/>
  <c r="H50" i="5"/>
  <c r="G50" i="5"/>
  <c r="F50" i="5"/>
  <c r="E50" i="5"/>
  <c r="D50" i="5"/>
  <c r="B50" i="5"/>
  <c r="C50" i="5" s="1"/>
  <c r="A50" i="5"/>
  <c r="K49" i="5"/>
  <c r="J49" i="5"/>
  <c r="I49" i="5"/>
  <c r="G49" i="5"/>
  <c r="H49" i="5" s="1"/>
  <c r="F49" i="5"/>
  <c r="E49" i="5"/>
  <c r="D49" i="5"/>
  <c r="B49" i="5"/>
  <c r="C49" i="5" s="1"/>
  <c r="A49" i="5"/>
  <c r="J48" i="5"/>
  <c r="I48" i="5"/>
  <c r="K48" i="5" s="1"/>
  <c r="G48" i="5"/>
  <c r="H48" i="5" s="1"/>
  <c r="F48" i="5"/>
  <c r="E48" i="5"/>
  <c r="D48" i="5"/>
  <c r="B48" i="5"/>
  <c r="C48" i="5" s="1"/>
  <c r="A48" i="5"/>
  <c r="J47" i="5"/>
  <c r="I47" i="5"/>
  <c r="K47" i="5" s="1"/>
  <c r="L47" i="5" s="1"/>
  <c r="G47" i="5"/>
  <c r="H47" i="5" s="1"/>
  <c r="F47" i="5"/>
  <c r="E47" i="5"/>
  <c r="D47" i="5"/>
  <c r="B47" i="5"/>
  <c r="C47" i="5" s="1"/>
  <c r="A47" i="5"/>
  <c r="J46" i="5"/>
  <c r="I46" i="5"/>
  <c r="K46" i="5" s="1"/>
  <c r="G46" i="5"/>
  <c r="H46" i="5" s="1"/>
  <c r="F46" i="5"/>
  <c r="E46" i="5"/>
  <c r="D46" i="5"/>
  <c r="B46" i="5"/>
  <c r="C46" i="5" s="1"/>
  <c r="A46" i="5"/>
  <c r="J45" i="5"/>
  <c r="I45" i="5"/>
  <c r="K45" i="5" s="1"/>
  <c r="G45" i="5"/>
  <c r="H45" i="5" s="1"/>
  <c r="F45" i="5"/>
  <c r="E45" i="5"/>
  <c r="D45" i="5"/>
  <c r="B45" i="5"/>
  <c r="C45" i="5" s="1"/>
  <c r="A45" i="5"/>
  <c r="J44" i="5"/>
  <c r="I44" i="5"/>
  <c r="K44" i="5" s="1"/>
  <c r="L44" i="5" s="1"/>
  <c r="G44" i="5"/>
  <c r="H44" i="5" s="1"/>
  <c r="F44" i="5"/>
  <c r="E44" i="5"/>
  <c r="D44" i="5"/>
  <c r="C44" i="5"/>
  <c r="B44" i="5"/>
  <c r="A44" i="5"/>
  <c r="K43" i="5"/>
  <c r="J43" i="5"/>
  <c r="I43" i="5"/>
  <c r="G43" i="5"/>
  <c r="H43" i="5" s="1"/>
  <c r="F43" i="5"/>
  <c r="E43" i="5"/>
  <c r="D43" i="5"/>
  <c r="B43" i="5"/>
  <c r="C43" i="5" s="1"/>
  <c r="A43" i="5"/>
  <c r="J42" i="5"/>
  <c r="I42" i="5"/>
  <c r="K42" i="5" s="1"/>
  <c r="G42" i="5"/>
  <c r="H42" i="5" s="1"/>
  <c r="F42" i="5"/>
  <c r="E42" i="5"/>
  <c r="D42" i="5"/>
  <c r="B42" i="5"/>
  <c r="C42" i="5" s="1"/>
  <c r="A42" i="5"/>
  <c r="J41" i="5"/>
  <c r="I41" i="5"/>
  <c r="K41" i="5" s="1"/>
  <c r="L41" i="5" s="1"/>
  <c r="G41" i="5"/>
  <c r="H41" i="5" s="1"/>
  <c r="F41" i="5"/>
  <c r="E41" i="5"/>
  <c r="D41" i="5"/>
  <c r="B41" i="5"/>
  <c r="C41" i="5" s="1"/>
  <c r="A41" i="5"/>
  <c r="J40" i="5"/>
  <c r="I40" i="5"/>
  <c r="K40" i="5" s="1"/>
  <c r="L40" i="5" s="1"/>
  <c r="G40" i="5"/>
  <c r="H40" i="5" s="1"/>
  <c r="F40" i="5"/>
  <c r="E40" i="5"/>
  <c r="D40" i="5"/>
  <c r="B40" i="5"/>
  <c r="C40" i="5" s="1"/>
  <c r="A40" i="5"/>
  <c r="J39" i="5"/>
  <c r="I39" i="5"/>
  <c r="K39" i="5" s="1"/>
  <c r="L39" i="5" s="1"/>
  <c r="G39" i="5"/>
  <c r="H39" i="5" s="1"/>
  <c r="F39" i="5"/>
  <c r="E39" i="5"/>
  <c r="D39" i="5"/>
  <c r="B39" i="5"/>
  <c r="C39" i="5" s="1"/>
  <c r="A39" i="5"/>
  <c r="J38" i="5"/>
  <c r="I38" i="5"/>
  <c r="K38" i="5" s="1"/>
  <c r="G38" i="5"/>
  <c r="H38" i="5" s="1"/>
  <c r="F38" i="5"/>
  <c r="E38" i="5"/>
  <c r="D38" i="5"/>
  <c r="B38" i="5"/>
  <c r="C38" i="5" s="1"/>
  <c r="A38" i="5"/>
  <c r="J37" i="5"/>
  <c r="I37" i="5"/>
  <c r="K37" i="5" s="1"/>
  <c r="G37" i="5"/>
  <c r="H37" i="5" s="1"/>
  <c r="F37" i="5"/>
  <c r="E37" i="5"/>
  <c r="D37" i="5"/>
  <c r="B37" i="5"/>
  <c r="C37" i="5" s="1"/>
  <c r="A37" i="5"/>
  <c r="J36" i="5"/>
  <c r="I36" i="5"/>
  <c r="K36" i="5" s="1"/>
  <c r="G36" i="5"/>
  <c r="H36" i="5" s="1"/>
  <c r="F36" i="5"/>
  <c r="E36" i="5"/>
  <c r="D36" i="5"/>
  <c r="B36" i="5"/>
  <c r="C36" i="5" s="1"/>
  <c r="A36" i="5"/>
  <c r="J35" i="5"/>
  <c r="I35" i="5"/>
  <c r="K35" i="5" s="1"/>
  <c r="L35" i="5" s="1"/>
  <c r="G35" i="5"/>
  <c r="H35" i="5" s="1"/>
  <c r="F35" i="5"/>
  <c r="E35" i="5"/>
  <c r="D35" i="5"/>
  <c r="B35" i="5"/>
  <c r="C35" i="5" s="1"/>
  <c r="A35" i="5"/>
  <c r="J34" i="5"/>
  <c r="I34" i="5"/>
  <c r="K34" i="5" s="1"/>
  <c r="L34" i="5" s="1"/>
  <c r="G34" i="5"/>
  <c r="H34" i="5" s="1"/>
  <c r="F34" i="5"/>
  <c r="E34" i="5"/>
  <c r="D34" i="5"/>
  <c r="C34" i="5"/>
  <c r="B34" i="5"/>
  <c r="A34" i="5"/>
  <c r="J33" i="5"/>
  <c r="I33" i="5"/>
  <c r="K33" i="5" s="1"/>
  <c r="L33" i="5" s="1"/>
  <c r="G33" i="5"/>
  <c r="H33" i="5" s="1"/>
  <c r="F33" i="5"/>
  <c r="E33" i="5"/>
  <c r="D33" i="5"/>
  <c r="B33" i="5"/>
  <c r="C33" i="5" s="1"/>
  <c r="A33" i="5"/>
  <c r="K32" i="5"/>
  <c r="J32" i="5"/>
  <c r="I32" i="5"/>
  <c r="G32" i="5"/>
  <c r="H32" i="5" s="1"/>
  <c r="F32" i="5"/>
  <c r="E32" i="5"/>
  <c r="D32" i="5"/>
  <c r="B32" i="5"/>
  <c r="C32" i="5" s="1"/>
  <c r="A32" i="5"/>
  <c r="J31" i="5"/>
  <c r="I31" i="5"/>
  <c r="K31" i="5" s="1"/>
  <c r="G31" i="5"/>
  <c r="H31" i="5" s="1"/>
  <c r="F31" i="5"/>
  <c r="E31" i="5"/>
  <c r="D31" i="5"/>
  <c r="B31" i="5"/>
  <c r="C31" i="5" s="1"/>
  <c r="A31" i="5"/>
  <c r="J30" i="5"/>
  <c r="I30" i="5"/>
  <c r="K30" i="5" s="1"/>
  <c r="G30" i="5"/>
  <c r="H30" i="5" s="1"/>
  <c r="F30" i="5"/>
  <c r="E30" i="5"/>
  <c r="D30" i="5"/>
  <c r="B30" i="5"/>
  <c r="C30" i="5" s="1"/>
  <c r="A30" i="5"/>
  <c r="J29" i="5"/>
  <c r="I29" i="5"/>
  <c r="K29" i="5" s="1"/>
  <c r="G29" i="5"/>
  <c r="H29" i="5" s="1"/>
  <c r="F29" i="5"/>
  <c r="E29" i="5"/>
  <c r="D29" i="5"/>
  <c r="B29" i="5"/>
  <c r="C29" i="5" s="1"/>
  <c r="A29" i="5"/>
  <c r="J28" i="5"/>
  <c r="I28" i="5"/>
  <c r="K28" i="5" s="1"/>
  <c r="L28" i="5" s="1"/>
  <c r="G28" i="5"/>
  <c r="H28" i="5" s="1"/>
  <c r="F28" i="5"/>
  <c r="E28" i="5"/>
  <c r="D28" i="5"/>
  <c r="B28" i="5"/>
  <c r="C28" i="5" s="1"/>
  <c r="A28" i="5"/>
  <c r="J27" i="5"/>
  <c r="I27" i="5"/>
  <c r="K27" i="5" s="1"/>
  <c r="L27" i="5" s="1"/>
  <c r="G27" i="5"/>
  <c r="H27" i="5" s="1"/>
  <c r="F27" i="5"/>
  <c r="E27" i="5"/>
  <c r="D27" i="5"/>
  <c r="C27" i="5"/>
  <c r="B27" i="5"/>
  <c r="A27" i="5"/>
  <c r="J26" i="5"/>
  <c r="I26" i="5"/>
  <c r="K26" i="5" s="1"/>
  <c r="L26" i="5" s="1"/>
  <c r="G26" i="5"/>
  <c r="H26" i="5" s="1"/>
  <c r="F26" i="5"/>
  <c r="E26" i="5"/>
  <c r="D26" i="5"/>
  <c r="B26" i="5"/>
  <c r="C26" i="5" s="1"/>
  <c r="A26" i="5"/>
  <c r="J25" i="5"/>
  <c r="I25" i="5"/>
  <c r="K25" i="5" s="1"/>
  <c r="G25" i="5"/>
  <c r="H25" i="5" s="1"/>
  <c r="F25" i="5"/>
  <c r="E25" i="5"/>
  <c r="D25" i="5"/>
  <c r="B25" i="5"/>
  <c r="C25" i="5" s="1"/>
  <c r="A25" i="5"/>
  <c r="J24" i="5"/>
  <c r="I24" i="5"/>
  <c r="K24" i="5" s="1"/>
  <c r="G24" i="5"/>
  <c r="H24" i="5" s="1"/>
  <c r="F24" i="5"/>
  <c r="E24" i="5"/>
  <c r="D24" i="5"/>
  <c r="B24" i="5"/>
  <c r="C24" i="5" s="1"/>
  <c r="A24" i="5"/>
  <c r="J23" i="5"/>
  <c r="I23" i="5"/>
  <c r="K23" i="5" s="1"/>
  <c r="L23" i="5" s="1"/>
  <c r="G23" i="5"/>
  <c r="H23" i="5" s="1"/>
  <c r="F23" i="5"/>
  <c r="E23" i="5"/>
  <c r="D23" i="5"/>
  <c r="B23" i="5"/>
  <c r="C23" i="5" s="1"/>
  <c r="A23" i="5"/>
  <c r="J22" i="5"/>
  <c r="I22" i="5"/>
  <c r="K22" i="5" s="1"/>
  <c r="L22" i="5" s="1"/>
  <c r="G22" i="5"/>
  <c r="H22" i="5" s="1"/>
  <c r="F22" i="5"/>
  <c r="E22" i="5"/>
  <c r="D22" i="5"/>
  <c r="C22" i="5"/>
  <c r="B22" i="5"/>
  <c r="A22" i="5"/>
  <c r="J21" i="5"/>
  <c r="I21" i="5"/>
  <c r="K21" i="5" s="1"/>
  <c r="L21" i="5" s="1"/>
  <c r="G21" i="5"/>
  <c r="H21" i="5" s="1"/>
  <c r="F21" i="5"/>
  <c r="E21" i="5"/>
  <c r="D21" i="5"/>
  <c r="B21" i="5"/>
  <c r="C21" i="5" s="1"/>
  <c r="A21" i="5"/>
  <c r="K20" i="5"/>
  <c r="J20" i="5"/>
  <c r="I20" i="5"/>
  <c r="G20" i="5"/>
  <c r="H20" i="5" s="1"/>
  <c r="F20" i="5"/>
  <c r="E20" i="5"/>
  <c r="D20" i="5"/>
  <c r="B20" i="5"/>
  <c r="C20" i="5" s="1"/>
  <c r="A20" i="5"/>
  <c r="J19" i="5"/>
  <c r="I19" i="5"/>
  <c r="K19" i="5" s="1"/>
  <c r="G19" i="5"/>
  <c r="H19" i="5" s="1"/>
  <c r="F19" i="5"/>
  <c r="E19" i="5"/>
  <c r="D19" i="5"/>
  <c r="B19" i="5"/>
  <c r="C19" i="5" s="1"/>
  <c r="A19" i="5"/>
  <c r="J18" i="5"/>
  <c r="I18" i="5"/>
  <c r="K18" i="5" s="1"/>
  <c r="G18" i="5"/>
  <c r="H18" i="5" s="1"/>
  <c r="F18" i="5"/>
  <c r="E18" i="5"/>
  <c r="D18" i="5"/>
  <c r="B18" i="5"/>
  <c r="C18" i="5" s="1"/>
  <c r="A18" i="5"/>
  <c r="J17" i="5"/>
  <c r="I17" i="5"/>
  <c r="K17" i="5" s="1"/>
  <c r="G17" i="5"/>
  <c r="H17" i="5" s="1"/>
  <c r="F17" i="5"/>
  <c r="E17" i="5"/>
  <c r="D17" i="5"/>
  <c r="B17" i="5"/>
  <c r="C17" i="5" s="1"/>
  <c r="A17" i="5"/>
  <c r="J16" i="5"/>
  <c r="I16" i="5"/>
  <c r="K16" i="5" s="1"/>
  <c r="L16" i="5" s="1"/>
  <c r="G16" i="5"/>
  <c r="H16" i="5" s="1"/>
  <c r="F16" i="5"/>
  <c r="E16" i="5"/>
  <c r="D16" i="5"/>
  <c r="C16" i="5"/>
  <c r="B16" i="5"/>
  <c r="A16" i="5"/>
  <c r="J15" i="5"/>
  <c r="I15" i="5"/>
  <c r="K15" i="5" s="1"/>
  <c r="L15" i="5" s="1"/>
  <c r="G15" i="5"/>
  <c r="H15" i="5" s="1"/>
  <c r="F15" i="5"/>
  <c r="E15" i="5"/>
  <c r="D15" i="5"/>
  <c r="B15" i="5"/>
  <c r="C15" i="5" s="1"/>
  <c r="A15" i="5"/>
  <c r="J14" i="5"/>
  <c r="I14" i="5"/>
  <c r="K14" i="5" s="1"/>
  <c r="G14" i="5"/>
  <c r="H14" i="5" s="1"/>
  <c r="F14" i="5"/>
  <c r="E14" i="5"/>
  <c r="D14" i="5"/>
  <c r="B14" i="5"/>
  <c r="C14" i="5" s="1"/>
  <c r="A14" i="5"/>
  <c r="J13" i="5"/>
  <c r="I13" i="5"/>
  <c r="K13" i="5" s="1"/>
  <c r="G13" i="5"/>
  <c r="H13" i="5" s="1"/>
  <c r="F13" i="5"/>
  <c r="E13" i="5"/>
  <c r="D13" i="5"/>
  <c r="B13" i="5"/>
  <c r="C13" i="5" s="1"/>
  <c r="A13" i="5"/>
  <c r="K12" i="5"/>
  <c r="J12" i="5"/>
  <c r="I12" i="5"/>
  <c r="G12" i="5"/>
  <c r="H12" i="5" s="1"/>
  <c r="F12" i="5"/>
  <c r="E12" i="5"/>
  <c r="D12" i="5"/>
  <c r="B12" i="5"/>
  <c r="C12" i="5" s="1"/>
  <c r="A12" i="5"/>
  <c r="J11" i="5"/>
  <c r="I11" i="5"/>
  <c r="K11" i="5" s="1"/>
  <c r="L11" i="5" s="1"/>
  <c r="G11" i="5"/>
  <c r="H11" i="5" s="1"/>
  <c r="F11" i="5"/>
  <c r="E11" i="5"/>
  <c r="D11" i="5"/>
  <c r="B11" i="5"/>
  <c r="C11" i="5" s="1"/>
  <c r="A11" i="5"/>
  <c r="J10" i="5"/>
  <c r="I10" i="5"/>
  <c r="K10" i="5" s="1"/>
  <c r="L10" i="5" s="1"/>
  <c r="G10" i="5"/>
  <c r="H10" i="5" s="1"/>
  <c r="F10" i="5"/>
  <c r="E10" i="5"/>
  <c r="D10" i="5"/>
  <c r="B10" i="5"/>
  <c r="C10" i="5" s="1"/>
  <c r="A10" i="5"/>
  <c r="J9" i="5"/>
  <c r="I9" i="5"/>
  <c r="K9" i="5" s="1"/>
  <c r="G9" i="5"/>
  <c r="H9" i="5" s="1"/>
  <c r="F9" i="5"/>
  <c r="E9" i="5"/>
  <c r="D9" i="5"/>
  <c r="B9" i="5"/>
  <c r="C9" i="5" s="1"/>
  <c r="A9" i="5"/>
  <c r="J8" i="5"/>
  <c r="I8" i="5"/>
  <c r="K8" i="5" s="1"/>
  <c r="L8" i="5" s="1"/>
  <c r="G8" i="5"/>
  <c r="H8" i="5" s="1"/>
  <c r="F8" i="5"/>
  <c r="E8" i="5"/>
  <c r="D8" i="5"/>
  <c r="B8" i="5"/>
  <c r="C8" i="5" s="1"/>
  <c r="A8" i="5"/>
  <c r="J7" i="5"/>
  <c r="I7" i="5"/>
  <c r="K7" i="5" s="1"/>
  <c r="G7" i="5"/>
  <c r="H7" i="5" s="1"/>
  <c r="F7" i="5"/>
  <c r="E7" i="5"/>
  <c r="D7" i="5"/>
  <c r="B7" i="5"/>
  <c r="C7" i="5" s="1"/>
  <c r="A7" i="5"/>
  <c r="J6" i="5"/>
  <c r="I6" i="5"/>
  <c r="K6" i="5" s="1"/>
  <c r="G6" i="5"/>
  <c r="H6" i="5" s="1"/>
  <c r="F6" i="5"/>
  <c r="E6" i="5"/>
  <c r="D6" i="5"/>
  <c r="B6" i="5"/>
  <c r="C6" i="5" s="1"/>
  <c r="A6" i="5"/>
  <c r="J5" i="5"/>
  <c r="I5" i="5"/>
  <c r="K5" i="5" s="1"/>
  <c r="G5" i="5"/>
  <c r="H5" i="5" s="1"/>
  <c r="F5" i="5"/>
  <c r="E5" i="5"/>
  <c r="D5" i="5"/>
  <c r="B5" i="5"/>
  <c r="C5" i="5" s="1"/>
  <c r="A5" i="5"/>
  <c r="J4" i="5"/>
  <c r="I4" i="5"/>
  <c r="K4" i="5" s="1"/>
  <c r="G4" i="5"/>
  <c r="H4" i="5" s="1"/>
  <c r="F4" i="5"/>
  <c r="E4" i="5"/>
  <c r="D4" i="5"/>
  <c r="B4" i="5"/>
  <c r="C4" i="5" s="1"/>
  <c r="A4" i="5"/>
  <c r="J3" i="5"/>
  <c r="I3" i="5"/>
  <c r="K3" i="5" s="1"/>
  <c r="G3" i="5"/>
  <c r="H3" i="5" s="1"/>
  <c r="F3" i="5"/>
  <c r="E3" i="5"/>
  <c r="D3" i="5"/>
  <c r="B3" i="5"/>
  <c r="C3" i="5" s="1"/>
  <c r="A3" i="5"/>
  <c r="J2" i="5"/>
  <c r="I2" i="5"/>
  <c r="K2" i="5" s="1"/>
  <c r="G2" i="5"/>
  <c r="H2" i="5" s="1"/>
  <c r="F2" i="5"/>
  <c r="E2" i="5"/>
  <c r="D2" i="5"/>
  <c r="B2" i="5"/>
  <c r="C2" i="5" s="1"/>
  <c r="A2" i="5"/>
  <c r="S15" i="4" l="1"/>
  <c r="O9" i="4"/>
  <c r="L49" i="5"/>
  <c r="S14" i="4"/>
  <c r="L43" i="5"/>
  <c r="L9" i="5"/>
  <c r="L17" i="5"/>
  <c r="L2" i="5"/>
  <c r="L4" i="5"/>
  <c r="L7" i="5"/>
  <c r="L18" i="5"/>
  <c r="L19" i="5"/>
  <c r="L24" i="5"/>
  <c r="L31" i="5"/>
  <c r="L36" i="5"/>
  <c r="L42" i="5"/>
  <c r="L48" i="5"/>
  <c r="T10" i="4"/>
  <c r="Q11" i="4"/>
  <c r="R8" i="4"/>
  <c r="T12" i="4"/>
  <c r="S9" i="4"/>
  <c r="O12" i="4"/>
  <c r="Q15" i="4"/>
  <c r="R7" i="4"/>
  <c r="P10" i="4"/>
  <c r="M11" i="4"/>
  <c r="N7" i="4"/>
  <c r="J13" i="4"/>
  <c r="K10" i="4"/>
  <c r="J9" i="4"/>
  <c r="M8" i="4"/>
  <c r="J7" i="4"/>
  <c r="G12" i="4"/>
  <c r="F11" i="4"/>
  <c r="D10" i="4"/>
  <c r="C9" i="4"/>
  <c r="G8" i="4"/>
  <c r="C8" i="4"/>
  <c r="E7" i="4"/>
  <c r="F13" i="4"/>
  <c r="E12" i="4"/>
  <c r="E11" i="4"/>
  <c r="H10" i="4"/>
  <c r="C10" i="4"/>
  <c r="G9" i="4"/>
  <c r="H7" i="4"/>
  <c r="D7" i="4"/>
  <c r="E15" i="4"/>
  <c r="G10" i="4"/>
  <c r="F9" i="4"/>
  <c r="C14" i="4"/>
  <c r="H12" i="4"/>
  <c r="C12" i="4"/>
  <c r="G11" i="4"/>
  <c r="E9" i="4"/>
  <c r="H8" i="4"/>
  <c r="F8" i="4"/>
  <c r="G14" i="4"/>
  <c r="E13" i="4"/>
  <c r="C11" i="4"/>
  <c r="G7" i="4"/>
  <c r="D8" i="4"/>
  <c r="F7" i="4"/>
  <c r="D12" i="4"/>
  <c r="E8" i="4"/>
  <c r="C7" i="4"/>
  <c r="E10" i="4"/>
  <c r="P9" i="4"/>
  <c r="L12" i="5"/>
  <c r="L20" i="5"/>
  <c r="L32" i="5"/>
  <c r="K7" i="4"/>
  <c r="S7" i="4"/>
  <c r="S8" i="4"/>
  <c r="K9" i="4"/>
  <c r="T9" i="4"/>
  <c r="L10" i="4"/>
  <c r="N11" i="4"/>
  <c r="I12" i="4"/>
  <c r="S16" i="4"/>
  <c r="L7" i="4"/>
  <c r="T7" i="4"/>
  <c r="T8" i="4"/>
  <c r="M9" i="4"/>
  <c r="Q9" i="4"/>
  <c r="M10" i="4"/>
  <c r="R10" i="4"/>
  <c r="O11" i="4"/>
  <c r="S11" i="4"/>
  <c r="Q12" i="4"/>
  <c r="P13" i="4"/>
  <c r="L5" i="5"/>
  <c r="L13" i="5"/>
  <c r="L29" i="5"/>
  <c r="L37" i="5"/>
  <c r="O7" i="4"/>
  <c r="I8" i="4"/>
  <c r="O8" i="4"/>
  <c r="Q10" i="4"/>
  <c r="I11" i="4"/>
  <c r="R11" i="4"/>
  <c r="P12" i="4"/>
  <c r="M13" i="4"/>
  <c r="P7" i="4"/>
  <c r="K8" i="4"/>
  <c r="P8" i="4"/>
  <c r="J11" i="4"/>
  <c r="K12" i="4"/>
  <c r="K14" i="4"/>
  <c r="M15" i="4"/>
  <c r="O18" i="4"/>
  <c r="I7" i="4"/>
  <c r="M7" i="4"/>
  <c r="Q7" i="4"/>
  <c r="L8" i="4"/>
  <c r="Q8" i="4"/>
  <c r="I9" i="4"/>
  <c r="N9" i="4"/>
  <c r="R9" i="4"/>
  <c r="I10" i="4"/>
  <c r="O10" i="4"/>
  <c r="S10" i="4"/>
  <c r="K11" i="4"/>
  <c r="P11" i="4"/>
  <c r="T11" i="4"/>
  <c r="L12" i="4"/>
  <c r="S12" i="4"/>
  <c r="I13" i="4"/>
  <c r="R13" i="4"/>
  <c r="P14" i="4"/>
  <c r="L3" i="5"/>
  <c r="L6" i="5"/>
  <c r="L14" i="5"/>
  <c r="L25" i="5"/>
  <c r="L30" i="5"/>
  <c r="L38" i="5"/>
  <c r="R17" i="4"/>
  <c r="L45" i="5"/>
  <c r="L46" i="5"/>
  <c r="Q14" i="4"/>
  <c r="R12" i="4"/>
  <c r="O13" i="4"/>
  <c r="S13" i="4"/>
  <c r="O14" i="4"/>
  <c r="T14" i="4"/>
  <c r="O15" i="4"/>
  <c r="O16" i="4"/>
  <c r="T16" i="4"/>
  <c r="P18" i="4"/>
  <c r="P16" i="4"/>
  <c r="Q17" i="4"/>
  <c r="S18" i="4"/>
  <c r="Q13" i="4"/>
  <c r="I15" i="4"/>
  <c r="R15" i="4"/>
  <c r="Q16" i="4"/>
  <c r="R18" i="4"/>
  <c r="M982" i="5"/>
  <c r="M966" i="5"/>
  <c r="M978" i="5"/>
  <c r="M974" i="5"/>
  <c r="M926" i="5"/>
  <c r="M917" i="5"/>
  <c r="M916" i="5"/>
  <c r="M901" i="5"/>
  <c r="M900" i="5"/>
  <c r="M673" i="5"/>
  <c r="M657" i="5"/>
  <c r="M641" i="5"/>
  <c r="M625" i="5"/>
  <c r="M621" i="5"/>
  <c r="M620" i="5"/>
  <c r="M669" i="5"/>
  <c r="M653" i="5"/>
  <c r="M611" i="5"/>
  <c r="M595" i="5"/>
  <c r="M579" i="5"/>
  <c r="M563" i="5"/>
  <c r="M479" i="5"/>
  <c r="M637" i="5"/>
  <c r="M607" i="5"/>
  <c r="M591" i="5"/>
  <c r="M575" i="5"/>
  <c r="M475" i="5"/>
  <c r="M474" i="5"/>
  <c r="M409" i="5"/>
  <c r="M393" i="5"/>
  <c r="M377" i="5"/>
  <c r="M361" i="5"/>
  <c r="M321" i="5"/>
  <c r="M305" i="5"/>
  <c r="M289" i="5"/>
  <c r="M405" i="5"/>
  <c r="M389" i="5"/>
  <c r="M373" i="5"/>
  <c r="M357" i="5"/>
  <c r="M353" i="5"/>
  <c r="M349" i="5"/>
  <c r="M345" i="5"/>
  <c r="M341" i="5"/>
  <c r="M337" i="5"/>
  <c r="M333" i="5"/>
  <c r="M332" i="5"/>
  <c r="M317" i="5"/>
  <c r="M316" i="5"/>
  <c r="M301" i="5"/>
  <c r="M300" i="5"/>
  <c r="M169" i="5"/>
  <c r="M165" i="5"/>
  <c r="M161" i="5"/>
  <c r="M157" i="5"/>
  <c r="M153" i="5"/>
  <c r="M149" i="5"/>
  <c r="M145" i="5"/>
  <c r="M141" i="5"/>
  <c r="M3" i="5"/>
  <c r="M6" i="5"/>
  <c r="M9" i="5"/>
  <c r="M12" i="5"/>
  <c r="M14" i="5"/>
  <c r="M17" i="5"/>
  <c r="M20" i="5"/>
  <c r="M25" i="5"/>
  <c r="L13" i="4"/>
  <c r="N12" i="4"/>
  <c r="J12" i="4"/>
  <c r="L11" i="4"/>
  <c r="N10" i="4"/>
  <c r="J10" i="4"/>
  <c r="L9" i="4"/>
  <c r="N8" i="4"/>
  <c r="J8" i="4"/>
  <c r="K17" i="4"/>
  <c r="M16" i="4"/>
  <c r="I16" i="4"/>
  <c r="K15" i="4"/>
  <c r="M14" i="4"/>
  <c r="I14" i="4"/>
  <c r="K13" i="4"/>
  <c r="M12" i="4"/>
  <c r="L18" i="4"/>
  <c r="N17" i="4"/>
  <c r="J17" i="4"/>
  <c r="L16" i="4"/>
  <c r="N15" i="4"/>
  <c r="J15" i="4"/>
  <c r="L14" i="4"/>
  <c r="N13" i="4"/>
  <c r="K18" i="4"/>
  <c r="M17" i="4"/>
  <c r="I17" i="4"/>
  <c r="K16" i="4"/>
  <c r="M30" i="5"/>
  <c r="M32" i="5"/>
  <c r="M37" i="5"/>
  <c r="M38" i="5"/>
  <c r="M40" i="5"/>
  <c r="M43" i="5"/>
  <c r="M51" i="5"/>
  <c r="M59" i="5"/>
  <c r="M67" i="5"/>
  <c r="M75" i="5"/>
  <c r="M83" i="5"/>
  <c r="M91" i="5"/>
  <c r="M99" i="5"/>
  <c r="M107" i="5"/>
  <c r="M115" i="5"/>
  <c r="M123" i="5"/>
  <c r="M131" i="5"/>
  <c r="M173" i="5"/>
  <c r="H13" i="4"/>
  <c r="D13" i="4"/>
  <c r="F12" i="4"/>
  <c r="H11" i="4"/>
  <c r="D11" i="4"/>
  <c r="F10" i="4"/>
  <c r="H9" i="4"/>
  <c r="D9" i="4"/>
  <c r="G17" i="4"/>
  <c r="C17" i="4"/>
  <c r="E16" i="4"/>
  <c r="G15" i="4"/>
  <c r="C15" i="4"/>
  <c r="E14" i="4"/>
  <c r="G13" i="4"/>
  <c r="C13" i="4"/>
  <c r="H18" i="4"/>
  <c r="D18" i="4"/>
  <c r="F17" i="4"/>
  <c r="D16" i="4"/>
  <c r="F15" i="4"/>
  <c r="H14" i="4"/>
  <c r="D14" i="4"/>
  <c r="G18" i="4"/>
  <c r="C18" i="4"/>
  <c r="E17" i="4"/>
  <c r="G16" i="4"/>
  <c r="C16" i="4"/>
  <c r="M4" i="5"/>
  <c r="M7" i="5"/>
  <c r="M15" i="5"/>
  <c r="M26" i="5"/>
  <c r="M28" i="5"/>
  <c r="M31" i="5"/>
  <c r="M39" i="5"/>
  <c r="M45" i="5"/>
  <c r="M46" i="5"/>
  <c r="M48" i="5"/>
  <c r="M50" i="5"/>
  <c r="M53" i="5"/>
  <c r="M56" i="5"/>
  <c r="M58" i="5"/>
  <c r="M61" i="5"/>
  <c r="M64" i="5"/>
  <c r="M66" i="5"/>
  <c r="M69" i="5"/>
  <c r="M72" i="5"/>
  <c r="M74" i="5"/>
  <c r="M77" i="5"/>
  <c r="M80" i="5"/>
  <c r="M82" i="5"/>
  <c r="M85" i="5"/>
  <c r="M88" i="5"/>
  <c r="M90" i="5"/>
  <c r="M93" i="5"/>
  <c r="M96" i="5"/>
  <c r="M98" i="5"/>
  <c r="M101" i="5"/>
  <c r="M104" i="5"/>
  <c r="M106" i="5"/>
  <c r="M109" i="5"/>
  <c r="M112" i="5"/>
  <c r="M114" i="5"/>
  <c r="M117" i="5"/>
  <c r="M120" i="5"/>
  <c r="M122" i="5"/>
  <c r="M125" i="5"/>
  <c r="M128" i="5"/>
  <c r="M130" i="5"/>
  <c r="M133" i="5"/>
  <c r="M136" i="5"/>
  <c r="M8" i="5"/>
  <c r="M10" i="5"/>
  <c r="M13" i="5"/>
  <c r="M16" i="5"/>
  <c r="M18" i="5"/>
  <c r="M21" i="5"/>
  <c r="M22" i="5"/>
  <c r="M24" i="5"/>
  <c r="M27" i="5"/>
  <c r="M33" i="5"/>
  <c r="M34" i="5"/>
  <c r="M36" i="5"/>
  <c r="M41" i="5"/>
  <c r="M47" i="5"/>
  <c r="M55" i="5"/>
  <c r="M63" i="5"/>
  <c r="M71" i="5"/>
  <c r="M79" i="5"/>
  <c r="M87" i="5"/>
  <c r="M95" i="5"/>
  <c r="M103" i="5"/>
  <c r="M111" i="5"/>
  <c r="M119" i="5"/>
  <c r="M127" i="5"/>
  <c r="M135" i="5"/>
  <c r="M138" i="5"/>
  <c r="M5" i="5"/>
  <c r="M11" i="5"/>
  <c r="M19" i="5"/>
  <c r="M23" i="5"/>
  <c r="M29" i="5"/>
  <c r="M35" i="5"/>
  <c r="M42" i="5"/>
  <c r="M44" i="5"/>
  <c r="M49" i="5"/>
  <c r="M52" i="5"/>
  <c r="M54" i="5"/>
  <c r="M57" i="5"/>
  <c r="M60" i="5"/>
  <c r="M62" i="5"/>
  <c r="M65" i="5"/>
  <c r="M68" i="5"/>
  <c r="M70" i="5"/>
  <c r="M73" i="5"/>
  <c r="M76" i="5"/>
  <c r="M78" i="5"/>
  <c r="M81" i="5"/>
  <c r="M84" i="5"/>
  <c r="M86" i="5"/>
  <c r="M89" i="5"/>
  <c r="M92" i="5"/>
  <c r="M94" i="5"/>
  <c r="M97" i="5"/>
  <c r="M100" i="5"/>
  <c r="M102" i="5"/>
  <c r="M105" i="5"/>
  <c r="M108" i="5"/>
  <c r="M110" i="5"/>
  <c r="M113" i="5"/>
  <c r="M116" i="5"/>
  <c r="M118" i="5"/>
  <c r="M121" i="5"/>
  <c r="M124" i="5"/>
  <c r="M126" i="5"/>
  <c r="M129" i="5"/>
  <c r="M132" i="5"/>
  <c r="M134" i="5"/>
  <c r="M137" i="5"/>
  <c r="M140" i="5"/>
  <c r="M142" i="5"/>
  <c r="M146" i="5"/>
  <c r="M150" i="5"/>
  <c r="M154" i="5"/>
  <c r="M158" i="5"/>
  <c r="M162" i="5"/>
  <c r="M166" i="5"/>
  <c r="M170" i="5"/>
  <c r="M2" i="5"/>
  <c r="M177" i="5"/>
  <c r="M181" i="5"/>
  <c r="M185" i="5"/>
  <c r="M189" i="5"/>
  <c r="M193" i="5"/>
  <c r="M197" i="5"/>
  <c r="M201" i="5"/>
  <c r="M205" i="5"/>
  <c r="M209" i="5"/>
  <c r="M213" i="5"/>
  <c r="M217" i="5"/>
  <c r="M221" i="5"/>
  <c r="M225" i="5"/>
  <c r="M229" i="5"/>
  <c r="M233" i="5"/>
  <c r="M236" i="5"/>
  <c r="M238" i="5"/>
  <c r="M241" i="5"/>
  <c r="M244" i="5"/>
  <c r="M246" i="5"/>
  <c r="M249" i="5"/>
  <c r="M252" i="5"/>
  <c r="M254" i="5"/>
  <c r="M257" i="5"/>
  <c r="M260" i="5"/>
  <c r="M262" i="5"/>
  <c r="M265" i="5"/>
  <c r="M268" i="5"/>
  <c r="M270" i="5"/>
  <c r="M273" i="5"/>
  <c r="M276" i="5"/>
  <c r="M278" i="5"/>
  <c r="M281" i="5"/>
  <c r="M284" i="5"/>
  <c r="M286" i="5"/>
  <c r="M288" i="5"/>
  <c r="M290" i="5"/>
  <c r="M296" i="5"/>
  <c r="M304" i="5"/>
  <c r="M306" i="5"/>
  <c r="M312" i="5"/>
  <c r="M320" i="5"/>
  <c r="M322" i="5"/>
  <c r="M330" i="5"/>
  <c r="M342" i="5"/>
  <c r="T18" i="4"/>
  <c r="M139" i="5"/>
  <c r="M172" i="5"/>
  <c r="M235" i="5"/>
  <c r="M243" i="5"/>
  <c r="M251" i="5"/>
  <c r="M259" i="5"/>
  <c r="M267" i="5"/>
  <c r="M275" i="5"/>
  <c r="M283" i="5"/>
  <c r="M292" i="5"/>
  <c r="M298" i="5"/>
  <c r="M308" i="5"/>
  <c r="M314" i="5"/>
  <c r="M324" i="5"/>
  <c r="M329" i="5"/>
  <c r="M346" i="5"/>
  <c r="M365" i="5"/>
  <c r="M369" i="5"/>
  <c r="M381" i="5"/>
  <c r="M385" i="5"/>
  <c r="M397" i="5"/>
  <c r="M401" i="5"/>
  <c r="M417" i="5"/>
  <c r="O17" i="4"/>
  <c r="S17" i="4"/>
  <c r="E18" i="4"/>
  <c r="I18" i="4"/>
  <c r="M18" i="4"/>
  <c r="Q18" i="4"/>
  <c r="M143" i="5"/>
  <c r="M144" i="5"/>
  <c r="M147" i="5"/>
  <c r="M148" i="5"/>
  <c r="M151" i="5"/>
  <c r="M152" i="5"/>
  <c r="M155" i="5"/>
  <c r="M156" i="5"/>
  <c r="M159" i="5"/>
  <c r="M160" i="5"/>
  <c r="M163" i="5"/>
  <c r="M164" i="5"/>
  <c r="M167" i="5"/>
  <c r="M168" i="5"/>
  <c r="M171" i="5"/>
  <c r="M176" i="5"/>
  <c r="M180" i="5"/>
  <c r="M184" i="5"/>
  <c r="M188" i="5"/>
  <c r="M192" i="5"/>
  <c r="M196" i="5"/>
  <c r="M200" i="5"/>
  <c r="M204" i="5"/>
  <c r="M208" i="5"/>
  <c r="M212" i="5"/>
  <c r="M216" i="5"/>
  <c r="M220" i="5"/>
  <c r="M224" i="5"/>
  <c r="M228" i="5"/>
  <c r="M232" i="5"/>
  <c r="M234" i="5"/>
  <c r="M237" i="5"/>
  <c r="M240" i="5"/>
  <c r="M242" i="5"/>
  <c r="M245" i="5"/>
  <c r="M248" i="5"/>
  <c r="M250" i="5"/>
  <c r="M253" i="5"/>
  <c r="M256" i="5"/>
  <c r="M258" i="5"/>
  <c r="M261" i="5"/>
  <c r="M264" i="5"/>
  <c r="M266" i="5"/>
  <c r="M269" i="5"/>
  <c r="M272" i="5"/>
  <c r="M274" i="5"/>
  <c r="M277" i="5"/>
  <c r="M280" i="5"/>
  <c r="M282" i="5"/>
  <c r="M285" i="5"/>
  <c r="M294" i="5"/>
  <c r="M297" i="5"/>
  <c r="M310" i="5"/>
  <c r="M313" i="5"/>
  <c r="M326" i="5"/>
  <c r="M334" i="5"/>
  <c r="M350" i="5"/>
  <c r="M413" i="5"/>
  <c r="T13" i="4"/>
  <c r="F14" i="4"/>
  <c r="J14" i="4"/>
  <c r="N14" i="4"/>
  <c r="R14" i="4"/>
  <c r="D15" i="4"/>
  <c r="H15" i="4"/>
  <c r="L15" i="4"/>
  <c r="P15" i="4"/>
  <c r="T15" i="4"/>
  <c r="F16" i="4"/>
  <c r="J16" i="4"/>
  <c r="N16" i="4"/>
  <c r="R16" i="4"/>
  <c r="D17" i="4"/>
  <c r="H17" i="4"/>
  <c r="L17" i="4"/>
  <c r="P17" i="4"/>
  <c r="T17" i="4"/>
  <c r="F18" i="4"/>
  <c r="J18" i="4"/>
  <c r="N18" i="4"/>
  <c r="M174" i="5"/>
  <c r="M175" i="5"/>
  <c r="M178" i="5"/>
  <c r="M179" i="5"/>
  <c r="M182" i="5"/>
  <c r="M183" i="5"/>
  <c r="M186" i="5"/>
  <c r="M187" i="5"/>
  <c r="M190" i="5"/>
  <c r="M191" i="5"/>
  <c r="M194" i="5"/>
  <c r="M195" i="5"/>
  <c r="M198" i="5"/>
  <c r="M199" i="5"/>
  <c r="M202" i="5"/>
  <c r="M203" i="5"/>
  <c r="M206" i="5"/>
  <c r="M207" i="5"/>
  <c r="M210" i="5"/>
  <c r="M211" i="5"/>
  <c r="M214" i="5"/>
  <c r="M215" i="5"/>
  <c r="M218" i="5"/>
  <c r="M219" i="5"/>
  <c r="M222" i="5"/>
  <c r="M223" i="5"/>
  <c r="M226" i="5"/>
  <c r="M227" i="5"/>
  <c r="M230" i="5"/>
  <c r="M231" i="5"/>
  <c r="M239" i="5"/>
  <c r="M247" i="5"/>
  <c r="M255" i="5"/>
  <c r="M263" i="5"/>
  <c r="M271" i="5"/>
  <c r="M279" i="5"/>
  <c r="M293" i="5"/>
  <c r="M302" i="5"/>
  <c r="M309" i="5"/>
  <c r="M318" i="5"/>
  <c r="M325" i="5"/>
  <c r="M328" i="5"/>
  <c r="M338" i="5"/>
  <c r="M354" i="5"/>
  <c r="M295" i="5"/>
  <c r="M311" i="5"/>
  <c r="M327" i="5"/>
  <c r="M360" i="5"/>
  <c r="M370" i="5"/>
  <c r="M371" i="5"/>
  <c r="M376" i="5"/>
  <c r="M386" i="5"/>
  <c r="M387" i="5"/>
  <c r="M392" i="5"/>
  <c r="M402" i="5"/>
  <c r="M403" i="5"/>
  <c r="M408" i="5"/>
  <c r="M418" i="5"/>
  <c r="M419" i="5"/>
  <c r="M422" i="5"/>
  <c r="M423" i="5"/>
  <c r="M426" i="5"/>
  <c r="M427" i="5"/>
  <c r="M430" i="5"/>
  <c r="M431" i="5"/>
  <c r="M434" i="5"/>
  <c r="M435" i="5"/>
  <c r="M438" i="5"/>
  <c r="M439" i="5"/>
  <c r="M442" i="5"/>
  <c r="M443" i="5"/>
  <c r="M446" i="5"/>
  <c r="M447" i="5"/>
  <c r="M450" i="5"/>
  <c r="M451" i="5"/>
  <c r="M454" i="5"/>
  <c r="M455" i="5"/>
  <c r="M458" i="5"/>
  <c r="M459" i="5"/>
  <c r="M462" i="5"/>
  <c r="M463" i="5"/>
  <c r="M466" i="5"/>
  <c r="M467" i="5"/>
  <c r="M470" i="5"/>
  <c r="M471" i="5"/>
  <c r="M482" i="5"/>
  <c r="M488" i="5"/>
  <c r="M496" i="5"/>
  <c r="M504" i="5"/>
  <c r="M512" i="5"/>
  <c r="M520" i="5"/>
  <c r="M528" i="5"/>
  <c r="M536" i="5"/>
  <c r="M544" i="5"/>
  <c r="M552" i="5"/>
  <c r="M560" i="5"/>
  <c r="M299" i="5"/>
  <c r="M315" i="5"/>
  <c r="M331" i="5"/>
  <c r="M358" i="5"/>
  <c r="M359" i="5"/>
  <c r="M364" i="5"/>
  <c r="M374" i="5"/>
  <c r="M375" i="5"/>
  <c r="M380" i="5"/>
  <c r="M390" i="5"/>
  <c r="M391" i="5"/>
  <c r="M396" i="5"/>
  <c r="M406" i="5"/>
  <c r="M407" i="5"/>
  <c r="M412" i="5"/>
  <c r="M421" i="5"/>
  <c r="M425" i="5"/>
  <c r="M429" i="5"/>
  <c r="M433" i="5"/>
  <c r="M437" i="5"/>
  <c r="M441" i="5"/>
  <c r="M445" i="5"/>
  <c r="M449" i="5"/>
  <c r="M453" i="5"/>
  <c r="M457" i="5"/>
  <c r="M461" i="5"/>
  <c r="M465" i="5"/>
  <c r="M469" i="5"/>
  <c r="M473" i="5"/>
  <c r="M484" i="5"/>
  <c r="M487" i="5"/>
  <c r="M495" i="5"/>
  <c r="M503" i="5"/>
  <c r="M511" i="5"/>
  <c r="M519" i="5"/>
  <c r="M527" i="5"/>
  <c r="M535" i="5"/>
  <c r="M543" i="5"/>
  <c r="M551" i="5"/>
  <c r="M559" i="5"/>
  <c r="M567" i="5"/>
  <c r="M571" i="5"/>
  <c r="M583" i="5"/>
  <c r="M587" i="5"/>
  <c r="M599" i="5"/>
  <c r="M603" i="5"/>
  <c r="M618" i="5"/>
  <c r="M287" i="5"/>
  <c r="M303" i="5"/>
  <c r="M319" i="5"/>
  <c r="M335" i="5"/>
  <c r="M336" i="5"/>
  <c r="M339" i="5"/>
  <c r="M340" i="5"/>
  <c r="M343" i="5"/>
  <c r="M344" i="5"/>
  <c r="M347" i="5"/>
  <c r="M348" i="5"/>
  <c r="M351" i="5"/>
  <c r="M352" i="5"/>
  <c r="M355" i="5"/>
  <c r="M356" i="5"/>
  <c r="M362" i="5"/>
  <c r="M363" i="5"/>
  <c r="M368" i="5"/>
  <c r="M378" i="5"/>
  <c r="M379" i="5"/>
  <c r="M384" i="5"/>
  <c r="M394" i="5"/>
  <c r="M395" i="5"/>
  <c r="M400" i="5"/>
  <c r="M410" i="5"/>
  <c r="M411" i="5"/>
  <c r="M416" i="5"/>
  <c r="M476" i="5"/>
  <c r="M483" i="5"/>
  <c r="M492" i="5"/>
  <c r="M500" i="5"/>
  <c r="M508" i="5"/>
  <c r="M516" i="5"/>
  <c r="M524" i="5"/>
  <c r="M532" i="5"/>
  <c r="M540" i="5"/>
  <c r="M548" i="5"/>
  <c r="M556" i="5"/>
  <c r="M291" i="5"/>
  <c r="M307" i="5"/>
  <c r="M323" i="5"/>
  <c r="M366" i="5"/>
  <c r="M367" i="5"/>
  <c r="M372" i="5"/>
  <c r="M382" i="5"/>
  <c r="M383" i="5"/>
  <c r="M388" i="5"/>
  <c r="M398" i="5"/>
  <c r="M399" i="5"/>
  <c r="M404" i="5"/>
  <c r="M414" i="5"/>
  <c r="M415" i="5"/>
  <c r="M420" i="5"/>
  <c r="M424" i="5"/>
  <c r="M428" i="5"/>
  <c r="M432" i="5"/>
  <c r="M436" i="5"/>
  <c r="M440" i="5"/>
  <c r="M444" i="5"/>
  <c r="M448" i="5"/>
  <c r="M452" i="5"/>
  <c r="M456" i="5"/>
  <c r="M460" i="5"/>
  <c r="M464" i="5"/>
  <c r="M468" i="5"/>
  <c r="M472" i="5"/>
  <c r="M478" i="5"/>
  <c r="M480" i="5"/>
  <c r="M486" i="5"/>
  <c r="M491" i="5"/>
  <c r="M499" i="5"/>
  <c r="M507" i="5"/>
  <c r="M515" i="5"/>
  <c r="M523" i="5"/>
  <c r="M531" i="5"/>
  <c r="M539" i="5"/>
  <c r="M547" i="5"/>
  <c r="M555" i="5"/>
  <c r="M485" i="5"/>
  <c r="M562" i="5"/>
  <c r="M572" i="5"/>
  <c r="M573" i="5"/>
  <c r="M578" i="5"/>
  <c r="M588" i="5"/>
  <c r="M589" i="5"/>
  <c r="M594" i="5"/>
  <c r="M604" i="5"/>
  <c r="M605" i="5"/>
  <c r="M610" i="5"/>
  <c r="M617" i="5"/>
  <c r="M622" i="5"/>
  <c r="M634" i="5"/>
  <c r="M635" i="5"/>
  <c r="M640" i="5"/>
  <c r="M677" i="5"/>
  <c r="M681" i="5"/>
  <c r="M685" i="5"/>
  <c r="M689" i="5"/>
  <c r="M693" i="5"/>
  <c r="M697" i="5"/>
  <c r="M701" i="5"/>
  <c r="M705" i="5"/>
  <c r="M709" i="5"/>
  <c r="M713" i="5"/>
  <c r="M717" i="5"/>
  <c r="M721" i="5"/>
  <c r="M725" i="5"/>
  <c r="M729" i="5"/>
  <c r="M733" i="5"/>
  <c r="M737" i="5"/>
  <c r="M741" i="5"/>
  <c r="M745" i="5"/>
  <c r="M749" i="5"/>
  <c r="M753" i="5"/>
  <c r="M757" i="5"/>
  <c r="M761" i="5"/>
  <c r="M765" i="5"/>
  <c r="M769" i="5"/>
  <c r="M489" i="5"/>
  <c r="M490" i="5"/>
  <c r="M493" i="5"/>
  <c r="M494" i="5"/>
  <c r="M497" i="5"/>
  <c r="M498" i="5"/>
  <c r="M501" i="5"/>
  <c r="M502" i="5"/>
  <c r="M505" i="5"/>
  <c r="M506" i="5"/>
  <c r="M509" i="5"/>
  <c r="M510" i="5"/>
  <c r="M513" i="5"/>
  <c r="M514" i="5"/>
  <c r="M517" i="5"/>
  <c r="M518" i="5"/>
  <c r="M521" i="5"/>
  <c r="M522" i="5"/>
  <c r="M525" i="5"/>
  <c r="M526" i="5"/>
  <c r="M529" i="5"/>
  <c r="M530" i="5"/>
  <c r="M533" i="5"/>
  <c r="M534" i="5"/>
  <c r="M537" i="5"/>
  <c r="M538" i="5"/>
  <c r="M541" i="5"/>
  <c r="M542" i="5"/>
  <c r="M545" i="5"/>
  <c r="M546" i="5"/>
  <c r="M549" i="5"/>
  <c r="M550" i="5"/>
  <c r="M553" i="5"/>
  <c r="M554" i="5"/>
  <c r="M557" i="5"/>
  <c r="M558" i="5"/>
  <c r="M561" i="5"/>
  <c r="M566" i="5"/>
  <c r="M576" i="5"/>
  <c r="M577" i="5"/>
  <c r="M582" i="5"/>
  <c r="M592" i="5"/>
  <c r="M593" i="5"/>
  <c r="M598" i="5"/>
  <c r="M608" i="5"/>
  <c r="M609" i="5"/>
  <c r="M614" i="5"/>
  <c r="M624" i="5"/>
  <c r="M629" i="5"/>
  <c r="M633" i="5"/>
  <c r="M650" i="5"/>
  <c r="M651" i="5"/>
  <c r="M656" i="5"/>
  <c r="M477" i="5"/>
  <c r="M564" i="5"/>
  <c r="M565" i="5"/>
  <c r="M570" i="5"/>
  <c r="M580" i="5"/>
  <c r="M581" i="5"/>
  <c r="M586" i="5"/>
  <c r="M596" i="5"/>
  <c r="M597" i="5"/>
  <c r="M602" i="5"/>
  <c r="M612" i="5"/>
  <c r="M613" i="5"/>
  <c r="M616" i="5"/>
  <c r="M645" i="5"/>
  <c r="M649" i="5"/>
  <c r="M666" i="5"/>
  <c r="M667" i="5"/>
  <c r="M672" i="5"/>
  <c r="M481" i="5"/>
  <c r="M568" i="5"/>
  <c r="M569" i="5"/>
  <c r="M574" i="5"/>
  <c r="M584" i="5"/>
  <c r="M585" i="5"/>
  <c r="M590" i="5"/>
  <c r="M600" i="5"/>
  <c r="M601" i="5"/>
  <c r="M606" i="5"/>
  <c r="M615" i="5"/>
  <c r="M661" i="5"/>
  <c r="M665" i="5"/>
  <c r="M619" i="5"/>
  <c r="M628" i="5"/>
  <c r="M638" i="5"/>
  <c r="M639" i="5"/>
  <c r="M644" i="5"/>
  <c r="M654" i="5"/>
  <c r="M655" i="5"/>
  <c r="M660" i="5"/>
  <c r="M670" i="5"/>
  <c r="M671" i="5"/>
  <c r="M676" i="5"/>
  <c r="M736" i="5"/>
  <c r="M740" i="5"/>
  <c r="M744" i="5"/>
  <c r="M748" i="5"/>
  <c r="M752" i="5"/>
  <c r="M756" i="5"/>
  <c r="M760" i="5"/>
  <c r="M764" i="5"/>
  <c r="M775" i="5"/>
  <c r="M623" i="5"/>
  <c r="M626" i="5"/>
  <c r="M627" i="5"/>
  <c r="M632" i="5"/>
  <c r="M642" i="5"/>
  <c r="M643" i="5"/>
  <c r="M648" i="5"/>
  <c r="M658" i="5"/>
  <c r="M659" i="5"/>
  <c r="M664" i="5"/>
  <c r="M674" i="5"/>
  <c r="M675" i="5"/>
  <c r="M680" i="5"/>
  <c r="M684" i="5"/>
  <c r="M688" i="5"/>
  <c r="M692" i="5"/>
  <c r="M696" i="5"/>
  <c r="M700" i="5"/>
  <c r="M704" i="5"/>
  <c r="M708" i="5"/>
  <c r="M712" i="5"/>
  <c r="M716" i="5"/>
  <c r="M720" i="5"/>
  <c r="M724" i="5"/>
  <c r="M728" i="5"/>
  <c r="M732" i="5"/>
  <c r="M735" i="5"/>
  <c r="M739" i="5"/>
  <c r="M743" i="5"/>
  <c r="M747" i="5"/>
  <c r="M751" i="5"/>
  <c r="M755" i="5"/>
  <c r="M759" i="5"/>
  <c r="M763" i="5"/>
  <c r="M767" i="5"/>
  <c r="M771" i="5"/>
  <c r="M774" i="5"/>
  <c r="M630" i="5"/>
  <c r="M631" i="5"/>
  <c r="M636" i="5"/>
  <c r="M646" i="5"/>
  <c r="M647" i="5"/>
  <c r="M652" i="5"/>
  <c r="M662" i="5"/>
  <c r="M663" i="5"/>
  <c r="M668" i="5"/>
  <c r="M678" i="5"/>
  <c r="M679" i="5"/>
  <c r="M682" i="5"/>
  <c r="M683" i="5"/>
  <c r="M686" i="5"/>
  <c r="M687" i="5"/>
  <c r="M690" i="5"/>
  <c r="M691" i="5"/>
  <c r="M694" i="5"/>
  <c r="M695" i="5"/>
  <c r="M698" i="5"/>
  <c r="M699" i="5"/>
  <c r="M702" i="5"/>
  <c r="M703" i="5"/>
  <c r="M706" i="5"/>
  <c r="M707" i="5"/>
  <c r="M710" i="5"/>
  <c r="M711" i="5"/>
  <c r="M714" i="5"/>
  <c r="M715" i="5"/>
  <c r="M718" i="5"/>
  <c r="M719" i="5"/>
  <c r="M722" i="5"/>
  <c r="M723" i="5"/>
  <c r="M726" i="5"/>
  <c r="M727" i="5"/>
  <c r="M730" i="5"/>
  <c r="M731" i="5"/>
  <c r="M734" i="5"/>
  <c r="M738" i="5"/>
  <c r="M742" i="5"/>
  <c r="M746" i="5"/>
  <c r="M750" i="5"/>
  <c r="M754" i="5"/>
  <c r="M758" i="5"/>
  <c r="M762" i="5"/>
  <c r="M766" i="5"/>
  <c r="M770" i="5"/>
  <c r="M778" i="5"/>
  <c r="M827" i="5"/>
  <c r="M828" i="5"/>
  <c r="M831" i="5"/>
  <c r="M832" i="5"/>
  <c r="M835" i="5"/>
  <c r="M836" i="5"/>
  <c r="M839" i="5"/>
  <c r="M840" i="5"/>
  <c r="M843" i="5"/>
  <c r="M844" i="5"/>
  <c r="M845" i="5"/>
  <c r="M851" i="5"/>
  <c r="M852" i="5"/>
  <c r="M853" i="5"/>
  <c r="M859" i="5"/>
  <c r="M860" i="5"/>
  <c r="M861" i="5"/>
  <c r="M867" i="5"/>
  <c r="M868" i="5"/>
  <c r="M869" i="5"/>
  <c r="M875" i="5"/>
  <c r="M876" i="5"/>
  <c r="M877" i="5"/>
  <c r="M880" i="5"/>
  <c r="M881" i="5"/>
  <c r="M884" i="5"/>
  <c r="M885" i="5"/>
  <c r="M888" i="5"/>
  <c r="M889" i="5"/>
  <c r="M892" i="5"/>
  <c r="M897" i="5"/>
  <c r="M904" i="5"/>
  <c r="M910" i="5"/>
  <c r="M912" i="5"/>
  <c r="M918" i="5"/>
  <c r="M930" i="5"/>
  <c r="M938" i="5"/>
  <c r="M946" i="5"/>
  <c r="M954" i="5"/>
  <c r="M962" i="5"/>
  <c r="M970" i="5"/>
  <c r="M986" i="5"/>
  <c r="M994" i="5"/>
  <c r="M781" i="5"/>
  <c r="M785" i="5"/>
  <c r="M789" i="5"/>
  <c r="M793" i="5"/>
  <c r="M797" i="5"/>
  <c r="M801" i="5"/>
  <c r="M805" i="5"/>
  <c r="M809" i="5"/>
  <c r="M813" i="5"/>
  <c r="M817" i="5"/>
  <c r="M821" i="5"/>
  <c r="M826" i="5"/>
  <c r="M830" i="5"/>
  <c r="M834" i="5"/>
  <c r="M838" i="5"/>
  <c r="M842" i="5"/>
  <c r="M850" i="5"/>
  <c r="M858" i="5"/>
  <c r="M866" i="5"/>
  <c r="M874" i="5"/>
  <c r="M879" i="5"/>
  <c r="M883" i="5"/>
  <c r="M887" i="5"/>
  <c r="M894" i="5"/>
  <c r="M896" i="5"/>
  <c r="M902" i="5"/>
  <c r="M909" i="5"/>
  <c r="M922" i="5"/>
  <c r="M768" i="5"/>
  <c r="M779" i="5"/>
  <c r="M780" i="5"/>
  <c r="M783" i="5"/>
  <c r="M784" i="5"/>
  <c r="M787" i="5"/>
  <c r="M788" i="5"/>
  <c r="M791" i="5"/>
  <c r="M792" i="5"/>
  <c r="M795" i="5"/>
  <c r="M796" i="5"/>
  <c r="M799" i="5"/>
  <c r="M800" i="5"/>
  <c r="M803" i="5"/>
  <c r="M804" i="5"/>
  <c r="M807" i="5"/>
  <c r="M808" i="5"/>
  <c r="M811" i="5"/>
  <c r="M812" i="5"/>
  <c r="M815" i="5"/>
  <c r="M816" i="5"/>
  <c r="M819" i="5"/>
  <c r="M820" i="5"/>
  <c r="M823" i="5"/>
  <c r="M824" i="5"/>
  <c r="M825" i="5"/>
  <c r="M847" i="5"/>
  <c r="M848" i="5"/>
  <c r="M849" i="5"/>
  <c r="M855" i="5"/>
  <c r="M856" i="5"/>
  <c r="M857" i="5"/>
  <c r="M863" i="5"/>
  <c r="M864" i="5"/>
  <c r="M865" i="5"/>
  <c r="M871" i="5"/>
  <c r="M872" i="5"/>
  <c r="M873" i="5"/>
  <c r="M893" i="5"/>
  <c r="M906" i="5"/>
  <c r="M914" i="5"/>
  <c r="M921" i="5"/>
  <c r="M934" i="5"/>
  <c r="M942" i="5"/>
  <c r="M950" i="5"/>
  <c r="M958" i="5"/>
  <c r="M990" i="5"/>
  <c r="M998" i="5"/>
  <c r="M772" i="5"/>
  <c r="M773" i="5"/>
  <c r="M776" i="5"/>
  <c r="M777" i="5"/>
  <c r="M782" i="5"/>
  <c r="M786" i="5"/>
  <c r="M790" i="5"/>
  <c r="M794" i="5"/>
  <c r="M798" i="5"/>
  <c r="M802" i="5"/>
  <c r="M806" i="5"/>
  <c r="M810" i="5"/>
  <c r="M814" i="5"/>
  <c r="M818" i="5"/>
  <c r="M822" i="5"/>
  <c r="M829" i="5"/>
  <c r="M833" i="5"/>
  <c r="M837" i="5"/>
  <c r="M841" i="5"/>
  <c r="M846" i="5"/>
  <c r="M854" i="5"/>
  <c r="M862" i="5"/>
  <c r="M870" i="5"/>
  <c r="M878" i="5"/>
  <c r="M882" i="5"/>
  <c r="M886" i="5"/>
  <c r="M890" i="5"/>
  <c r="M898" i="5"/>
  <c r="M905" i="5"/>
  <c r="M908" i="5"/>
  <c r="M913" i="5"/>
  <c r="M920" i="5"/>
  <c r="M895" i="5"/>
  <c r="M911" i="5"/>
  <c r="M928" i="5"/>
  <c r="M941" i="5"/>
  <c r="M943" i="5"/>
  <c r="M944" i="5"/>
  <c r="M957" i="5"/>
  <c r="M959" i="5"/>
  <c r="M960" i="5"/>
  <c r="M965" i="5"/>
  <c r="M971" i="5"/>
  <c r="M976" i="5"/>
  <c r="M981" i="5"/>
  <c r="M989" i="5"/>
  <c r="M991" i="5"/>
  <c r="M992" i="5"/>
  <c r="M899" i="5"/>
  <c r="M915" i="5"/>
  <c r="M927" i="5"/>
  <c r="M937" i="5"/>
  <c r="M939" i="5"/>
  <c r="M940" i="5"/>
  <c r="M953" i="5"/>
  <c r="M955" i="5"/>
  <c r="M956" i="5"/>
  <c r="M964" i="5"/>
  <c r="M969" i="5"/>
  <c r="M975" i="5"/>
  <c r="M980" i="5"/>
  <c r="M985" i="5"/>
  <c r="M987" i="5"/>
  <c r="M988" i="5"/>
  <c r="M1001" i="5"/>
  <c r="M903" i="5"/>
  <c r="M919" i="5"/>
  <c r="M925" i="5"/>
  <c r="M933" i="5"/>
  <c r="M935" i="5"/>
  <c r="M936" i="5"/>
  <c r="M949" i="5"/>
  <c r="M951" i="5"/>
  <c r="M952" i="5"/>
  <c r="M963" i="5"/>
  <c r="M968" i="5"/>
  <c r="M973" i="5"/>
  <c r="M979" i="5"/>
  <c r="M984" i="5"/>
  <c r="M997" i="5"/>
  <c r="M999" i="5"/>
  <c r="M1000" i="5"/>
  <c r="M891" i="5"/>
  <c r="M907" i="5"/>
  <c r="M923" i="5"/>
  <c r="M924" i="5"/>
  <c r="M929" i="5"/>
  <c r="M931" i="5"/>
  <c r="M932" i="5"/>
  <c r="M945" i="5"/>
  <c r="M947" i="5"/>
  <c r="M948" i="5"/>
  <c r="M961" i="5"/>
  <c r="M967" i="5"/>
  <c r="M972" i="5"/>
  <c r="M977" i="5"/>
  <c r="M983" i="5"/>
  <c r="M993" i="5"/>
  <c r="M995" i="5"/>
  <c r="M996" i="5"/>
  <c r="X12" i="4" l="1"/>
  <c r="X10" i="4"/>
  <c r="V8" i="4"/>
  <c r="U7" i="4"/>
  <c r="U15" i="4"/>
  <c r="W11" i="4"/>
  <c r="U8" i="4"/>
  <c r="U10" i="4"/>
  <c r="X11" i="4"/>
  <c r="H16" i="4"/>
  <c r="X16" i="4" s="1"/>
  <c r="V11" i="4"/>
  <c r="V10" i="4"/>
  <c r="W7" i="4"/>
  <c r="V13" i="4"/>
  <c r="V9" i="4"/>
  <c r="X7" i="4"/>
  <c r="W18" i="4"/>
  <c r="W10" i="4"/>
  <c r="V7" i="4"/>
  <c r="V15" i="4"/>
  <c r="W13" i="4"/>
  <c r="Q19" i="4"/>
  <c r="S19" i="4"/>
  <c r="X9" i="4"/>
  <c r="W12" i="4"/>
  <c r="X8" i="4"/>
  <c r="U13" i="4"/>
  <c r="O19" i="4"/>
  <c r="V14" i="4"/>
  <c r="W9" i="4"/>
  <c r="W8" i="4"/>
  <c r="U12" i="4"/>
  <c r="V12" i="4"/>
  <c r="U11" i="4"/>
  <c r="U9" i="4"/>
  <c r="V16" i="4"/>
  <c r="K19" i="4"/>
  <c r="V17" i="4"/>
  <c r="D19" i="4"/>
  <c r="G19" i="4"/>
  <c r="P19" i="4"/>
  <c r="T19" i="4"/>
  <c r="I19" i="4"/>
  <c r="L19" i="4"/>
  <c r="R19" i="4"/>
  <c r="W16" i="4"/>
  <c r="X15" i="4"/>
  <c r="V18" i="4"/>
  <c r="U16" i="4"/>
  <c r="M19" i="4"/>
  <c r="J19" i="4"/>
  <c r="X17" i="4"/>
  <c r="W17" i="4"/>
  <c r="U14" i="4"/>
  <c r="E19" i="4"/>
  <c r="N19" i="4"/>
  <c r="F19" i="4"/>
  <c r="A69" i="3"/>
  <c r="A65" i="3"/>
  <c r="A61" i="3"/>
  <c r="A57" i="3"/>
  <c r="A53" i="3"/>
  <c r="A49" i="3"/>
  <c r="A45" i="3"/>
  <c r="A41" i="3"/>
  <c r="A37" i="3"/>
  <c r="A33" i="3"/>
  <c r="A29" i="3"/>
  <c r="A25" i="3"/>
  <c r="A21" i="3"/>
  <c r="A17" i="3"/>
  <c r="A13" i="3"/>
  <c r="A64" i="3"/>
  <c r="A62" i="3"/>
  <c r="A55" i="3"/>
  <c r="A48" i="3"/>
  <c r="A46" i="3"/>
  <c r="A39" i="3"/>
  <c r="A32" i="3"/>
  <c r="A30" i="3"/>
  <c r="A23" i="3"/>
  <c r="A16" i="3"/>
  <c r="A14" i="3"/>
  <c r="A11" i="3"/>
  <c r="A44" i="3"/>
  <c r="A35" i="3"/>
  <c r="A28" i="3"/>
  <c r="A67" i="3"/>
  <c r="A60" i="3"/>
  <c r="A58" i="3"/>
  <c r="A51" i="3"/>
  <c r="A42" i="3"/>
  <c r="A26" i="3"/>
  <c r="A19" i="3"/>
  <c r="A63" i="3"/>
  <c r="A54" i="3"/>
  <c r="A40" i="3"/>
  <c r="A31" i="3"/>
  <c r="A22" i="3"/>
  <c r="A12" i="3"/>
  <c r="A9" i="3"/>
  <c r="A56" i="3"/>
  <c r="A47" i="3"/>
  <c r="A38" i="3"/>
  <c r="A24" i="3"/>
  <c r="A15" i="3"/>
  <c r="A10" i="3"/>
  <c r="A8" i="3"/>
  <c r="A20" i="3"/>
  <c r="A68" i="3"/>
  <c r="A59" i="3"/>
  <c r="A50" i="3"/>
  <c r="A36" i="3"/>
  <c r="A27" i="3"/>
  <c r="A18" i="3"/>
  <c r="A66" i="3"/>
  <c r="A52" i="3"/>
  <c r="A43" i="3"/>
  <c r="A34" i="3"/>
  <c r="X14" i="4"/>
  <c r="U17" i="4"/>
  <c r="W14" i="4"/>
  <c r="U18" i="4"/>
  <c r="W15" i="4"/>
  <c r="X18" i="4"/>
  <c r="X13" i="4"/>
  <c r="C19" i="4"/>
  <c r="H19" i="4" l="1"/>
  <c r="W19" i="4"/>
  <c r="U19" i="4"/>
  <c r="V19" i="4"/>
  <c r="X19" i="4"/>
  <c r="R22" i="3"/>
  <c r="N22" i="3"/>
  <c r="J22" i="3"/>
  <c r="F22" i="3"/>
  <c r="B22" i="3"/>
  <c r="O22" i="3"/>
  <c r="I22" i="3"/>
  <c r="D22" i="3"/>
  <c r="S22" i="3"/>
  <c r="M22" i="3"/>
  <c r="H22" i="3"/>
  <c r="C22" i="3"/>
  <c r="L22" i="3"/>
  <c r="Q22" i="3"/>
  <c r="G22" i="3"/>
  <c r="E22" i="3"/>
  <c r="K22" i="3"/>
  <c r="P22" i="3"/>
  <c r="P28" i="3"/>
  <c r="L28" i="3"/>
  <c r="H28" i="3"/>
  <c r="D28" i="3"/>
  <c r="R28" i="3"/>
  <c r="M28" i="3"/>
  <c r="G28" i="3"/>
  <c r="B28" i="3"/>
  <c r="Q28" i="3"/>
  <c r="K28" i="3"/>
  <c r="F28" i="3"/>
  <c r="O28" i="3"/>
  <c r="E28" i="3"/>
  <c r="J28" i="3"/>
  <c r="S28" i="3"/>
  <c r="N28" i="3"/>
  <c r="C28" i="3"/>
  <c r="I28" i="3"/>
  <c r="P32" i="3"/>
  <c r="L32" i="3"/>
  <c r="H32" i="3"/>
  <c r="D32" i="3"/>
  <c r="Q32" i="3"/>
  <c r="K32" i="3"/>
  <c r="F32" i="3"/>
  <c r="O32" i="3"/>
  <c r="J32" i="3"/>
  <c r="E32" i="3"/>
  <c r="N32" i="3"/>
  <c r="C32" i="3"/>
  <c r="S32" i="3"/>
  <c r="I32" i="3"/>
  <c r="R32" i="3"/>
  <c r="M32" i="3"/>
  <c r="B32" i="3"/>
  <c r="G32" i="3"/>
  <c r="S55" i="3"/>
  <c r="O55" i="3"/>
  <c r="K55" i="3"/>
  <c r="G55" i="3"/>
  <c r="C55" i="3"/>
  <c r="Q55" i="3"/>
  <c r="L55" i="3"/>
  <c r="F55" i="3"/>
  <c r="J55" i="3"/>
  <c r="P55" i="3"/>
  <c r="E55" i="3"/>
  <c r="N55" i="3"/>
  <c r="D55" i="3"/>
  <c r="I55" i="3"/>
  <c r="M55" i="3"/>
  <c r="B55" i="3"/>
  <c r="R55" i="3"/>
  <c r="H55" i="3"/>
  <c r="Q17" i="3"/>
  <c r="M17" i="3"/>
  <c r="I17" i="3"/>
  <c r="E17" i="3"/>
  <c r="S17" i="3"/>
  <c r="N17" i="3"/>
  <c r="H17" i="3"/>
  <c r="C17" i="3"/>
  <c r="R17" i="3"/>
  <c r="L17" i="3"/>
  <c r="G17" i="3"/>
  <c r="B17" i="3"/>
  <c r="K17" i="3"/>
  <c r="P17" i="3"/>
  <c r="F17" i="3"/>
  <c r="J17" i="3"/>
  <c r="O17" i="3"/>
  <c r="D17" i="3"/>
  <c r="Q33" i="3"/>
  <c r="M33" i="3"/>
  <c r="I33" i="3"/>
  <c r="E33" i="3"/>
  <c r="S33" i="3"/>
  <c r="N33" i="3"/>
  <c r="H33" i="3"/>
  <c r="C33" i="3"/>
  <c r="L33" i="3"/>
  <c r="G33" i="3"/>
  <c r="R33" i="3"/>
  <c r="B33" i="3"/>
  <c r="J33" i="3"/>
  <c r="P33" i="3"/>
  <c r="F33" i="3"/>
  <c r="K33" i="3"/>
  <c r="O33" i="3"/>
  <c r="D33" i="3"/>
  <c r="Q49" i="3"/>
  <c r="M49" i="3"/>
  <c r="I49" i="3"/>
  <c r="E49" i="3"/>
  <c r="S49" i="3"/>
  <c r="N49" i="3"/>
  <c r="H49" i="3"/>
  <c r="C49" i="3"/>
  <c r="R49" i="3"/>
  <c r="L49" i="3"/>
  <c r="G49" i="3"/>
  <c r="B49" i="3"/>
  <c r="K49" i="3"/>
  <c r="P49" i="3"/>
  <c r="F49" i="3"/>
  <c r="J49" i="3"/>
  <c r="O49" i="3"/>
  <c r="D49" i="3"/>
  <c r="Q65" i="3"/>
  <c r="M65" i="3"/>
  <c r="I65" i="3"/>
  <c r="E65" i="3"/>
  <c r="S65" i="3"/>
  <c r="N65" i="3"/>
  <c r="H65" i="3"/>
  <c r="C65" i="3"/>
  <c r="R65" i="3"/>
  <c r="L65" i="3"/>
  <c r="G65" i="3"/>
  <c r="B65" i="3"/>
  <c r="P65" i="3"/>
  <c r="F65" i="3"/>
  <c r="K65" i="3"/>
  <c r="O65" i="3"/>
  <c r="D65" i="3"/>
  <c r="J65" i="3"/>
  <c r="P10" i="3"/>
  <c r="L10" i="3"/>
  <c r="H10" i="3"/>
  <c r="D10" i="3"/>
  <c r="S10" i="3"/>
  <c r="N10" i="3"/>
  <c r="I10" i="3"/>
  <c r="C10" i="3"/>
  <c r="Q10" i="3"/>
  <c r="K10" i="3"/>
  <c r="F10" i="3"/>
  <c r="E10" i="3"/>
  <c r="R10" i="3"/>
  <c r="M10" i="3"/>
  <c r="G10" i="3"/>
  <c r="B10" i="3"/>
  <c r="O10" i="3"/>
  <c r="J10" i="3"/>
  <c r="S51" i="3"/>
  <c r="O51" i="3"/>
  <c r="K51" i="3"/>
  <c r="G51" i="3"/>
  <c r="C51" i="3"/>
  <c r="R51" i="3"/>
  <c r="M51" i="3"/>
  <c r="H51" i="3"/>
  <c r="B51" i="3"/>
  <c r="L51" i="3"/>
  <c r="F51" i="3"/>
  <c r="Q51" i="3"/>
  <c r="P51" i="3"/>
  <c r="E51" i="3"/>
  <c r="J51" i="3"/>
  <c r="N51" i="3"/>
  <c r="D51" i="3"/>
  <c r="I51" i="3"/>
  <c r="R14" i="3"/>
  <c r="N14" i="3"/>
  <c r="J14" i="3"/>
  <c r="F14" i="3"/>
  <c r="B14" i="3"/>
  <c r="Q14" i="3"/>
  <c r="L14" i="3"/>
  <c r="G14" i="3"/>
  <c r="P14" i="3"/>
  <c r="K14" i="3"/>
  <c r="E14" i="3"/>
  <c r="O14" i="3"/>
  <c r="D14" i="3"/>
  <c r="I14" i="3"/>
  <c r="H14" i="3"/>
  <c r="M14" i="3"/>
  <c r="C14" i="3"/>
  <c r="S14" i="3"/>
  <c r="S43" i="3"/>
  <c r="O43" i="3"/>
  <c r="K43" i="3"/>
  <c r="G43" i="3"/>
  <c r="C43" i="3"/>
  <c r="P43" i="3"/>
  <c r="J43" i="3"/>
  <c r="E43" i="3"/>
  <c r="I43" i="3"/>
  <c r="N43" i="3"/>
  <c r="D43" i="3"/>
  <c r="R43" i="3"/>
  <c r="H43" i="3"/>
  <c r="M43" i="3"/>
  <c r="B43" i="3"/>
  <c r="Q43" i="3"/>
  <c r="F43" i="3"/>
  <c r="L43" i="3"/>
  <c r="S27" i="3"/>
  <c r="O27" i="3"/>
  <c r="K27" i="3"/>
  <c r="G27" i="3"/>
  <c r="C27" i="3"/>
  <c r="P27" i="3"/>
  <c r="J27" i="3"/>
  <c r="E27" i="3"/>
  <c r="D27" i="3"/>
  <c r="N27" i="3"/>
  <c r="I27" i="3"/>
  <c r="M27" i="3"/>
  <c r="B27" i="3"/>
  <c r="R27" i="3"/>
  <c r="H27" i="3"/>
  <c r="F27" i="3"/>
  <c r="L27" i="3"/>
  <c r="Q27" i="3"/>
  <c r="P68" i="3"/>
  <c r="L68" i="3"/>
  <c r="H68" i="3"/>
  <c r="D68" i="3"/>
  <c r="O68" i="3"/>
  <c r="J68" i="3"/>
  <c r="E68" i="3"/>
  <c r="S68" i="3"/>
  <c r="N68" i="3"/>
  <c r="I68" i="3"/>
  <c r="C68" i="3"/>
  <c r="M68" i="3"/>
  <c r="B68" i="3"/>
  <c r="R68" i="3"/>
  <c r="G68" i="3"/>
  <c r="K68" i="3"/>
  <c r="Q68" i="3"/>
  <c r="F68" i="3"/>
  <c r="S15" i="3"/>
  <c r="O15" i="3"/>
  <c r="K15" i="3"/>
  <c r="G15" i="3"/>
  <c r="C15" i="3"/>
  <c r="N15" i="3"/>
  <c r="I15" i="3"/>
  <c r="D15" i="3"/>
  <c r="R15" i="3"/>
  <c r="H15" i="3"/>
  <c r="B15" i="3"/>
  <c r="M15" i="3"/>
  <c r="Q15" i="3"/>
  <c r="F15" i="3"/>
  <c r="L15" i="3"/>
  <c r="J15" i="3"/>
  <c r="P15" i="3"/>
  <c r="E15" i="3"/>
  <c r="P56" i="3"/>
  <c r="L56" i="3"/>
  <c r="H56" i="3"/>
  <c r="D56" i="3"/>
  <c r="S56" i="3"/>
  <c r="N56" i="3"/>
  <c r="I56" i="3"/>
  <c r="C56" i="3"/>
  <c r="R56" i="3"/>
  <c r="M56" i="3"/>
  <c r="G56" i="3"/>
  <c r="B56" i="3"/>
  <c r="J56" i="3"/>
  <c r="Q56" i="3"/>
  <c r="F56" i="3"/>
  <c r="K56" i="3"/>
  <c r="O56" i="3"/>
  <c r="E56" i="3"/>
  <c r="S31" i="3"/>
  <c r="O31" i="3"/>
  <c r="K31" i="3"/>
  <c r="G31" i="3"/>
  <c r="C31" i="3"/>
  <c r="N31" i="3"/>
  <c r="I31" i="3"/>
  <c r="D31" i="3"/>
  <c r="M31" i="3"/>
  <c r="H31" i="3"/>
  <c r="B31" i="3"/>
  <c r="R31" i="3"/>
  <c r="L31" i="3"/>
  <c r="Q31" i="3"/>
  <c r="F31" i="3"/>
  <c r="P31" i="3"/>
  <c r="E31" i="3"/>
  <c r="J31" i="3"/>
  <c r="S19" i="3"/>
  <c r="O19" i="3"/>
  <c r="K19" i="3"/>
  <c r="G19" i="3"/>
  <c r="C19" i="3"/>
  <c r="R19" i="3"/>
  <c r="M19" i="3"/>
  <c r="H19" i="3"/>
  <c r="B19" i="3"/>
  <c r="Q19" i="3"/>
  <c r="L19" i="3"/>
  <c r="F19" i="3"/>
  <c r="P19" i="3"/>
  <c r="E19" i="3"/>
  <c r="J19" i="3"/>
  <c r="N19" i="3"/>
  <c r="D19" i="3"/>
  <c r="I19" i="3"/>
  <c r="R58" i="3"/>
  <c r="N58" i="3"/>
  <c r="J58" i="3"/>
  <c r="F58" i="3"/>
  <c r="B58" i="3"/>
  <c r="S58" i="3"/>
  <c r="M58" i="3"/>
  <c r="H58" i="3"/>
  <c r="C58" i="3"/>
  <c r="Q58" i="3"/>
  <c r="L58" i="3"/>
  <c r="G58" i="3"/>
  <c r="K58" i="3"/>
  <c r="P58" i="3"/>
  <c r="E58" i="3"/>
  <c r="I58" i="3"/>
  <c r="O58" i="3"/>
  <c r="D58" i="3"/>
  <c r="S35" i="3"/>
  <c r="O35" i="3"/>
  <c r="K35" i="3"/>
  <c r="G35" i="3"/>
  <c r="C35" i="3"/>
  <c r="R35" i="3"/>
  <c r="M35" i="3"/>
  <c r="H35" i="3"/>
  <c r="B35" i="3"/>
  <c r="Q35" i="3"/>
  <c r="F35" i="3"/>
  <c r="L35" i="3"/>
  <c r="J35" i="3"/>
  <c r="P35" i="3"/>
  <c r="E35" i="3"/>
  <c r="D35" i="3"/>
  <c r="I35" i="3"/>
  <c r="N35" i="3"/>
  <c r="P16" i="3"/>
  <c r="L16" i="3"/>
  <c r="H16" i="3"/>
  <c r="D16" i="3"/>
  <c r="Q16" i="3"/>
  <c r="K16" i="3"/>
  <c r="F16" i="3"/>
  <c r="O16" i="3"/>
  <c r="J16" i="3"/>
  <c r="E16" i="3"/>
  <c r="S16" i="3"/>
  <c r="I16" i="3"/>
  <c r="N16" i="3"/>
  <c r="C16" i="3"/>
  <c r="M16" i="3"/>
  <c r="R16" i="3"/>
  <c r="G16" i="3"/>
  <c r="B16" i="3"/>
  <c r="S39" i="3"/>
  <c r="O39" i="3"/>
  <c r="K39" i="3"/>
  <c r="G39" i="3"/>
  <c r="C39" i="3"/>
  <c r="Q39" i="3"/>
  <c r="L39" i="3"/>
  <c r="F39" i="3"/>
  <c r="P39" i="3"/>
  <c r="E39" i="3"/>
  <c r="J39" i="3"/>
  <c r="I39" i="3"/>
  <c r="N39" i="3"/>
  <c r="D39" i="3"/>
  <c r="R39" i="3"/>
  <c r="H39" i="3"/>
  <c r="M39" i="3"/>
  <c r="B39" i="3"/>
  <c r="R62" i="3"/>
  <c r="N62" i="3"/>
  <c r="J62" i="3"/>
  <c r="F62" i="3"/>
  <c r="B62" i="3"/>
  <c r="Q62" i="3"/>
  <c r="L62" i="3"/>
  <c r="G62" i="3"/>
  <c r="P62" i="3"/>
  <c r="K62" i="3"/>
  <c r="E62" i="3"/>
  <c r="I62" i="3"/>
  <c r="O62" i="3"/>
  <c r="D62" i="3"/>
  <c r="S62" i="3"/>
  <c r="H62" i="3"/>
  <c r="M62" i="3"/>
  <c r="C62" i="3"/>
  <c r="Q21" i="3"/>
  <c r="M21" i="3"/>
  <c r="I21" i="3"/>
  <c r="E21" i="3"/>
  <c r="R21" i="3"/>
  <c r="L21" i="3"/>
  <c r="G21" i="3"/>
  <c r="B21" i="3"/>
  <c r="P21" i="3"/>
  <c r="K21" i="3"/>
  <c r="F21" i="3"/>
  <c r="J21" i="3"/>
  <c r="O21" i="3"/>
  <c r="D21" i="3"/>
  <c r="C21" i="3"/>
  <c r="S21" i="3"/>
  <c r="H21" i="3"/>
  <c r="N21" i="3"/>
  <c r="Q37" i="3"/>
  <c r="M37" i="3"/>
  <c r="I37" i="3"/>
  <c r="E37" i="3"/>
  <c r="R37" i="3"/>
  <c r="L37" i="3"/>
  <c r="G37" i="3"/>
  <c r="B37" i="3"/>
  <c r="K37" i="3"/>
  <c r="F37" i="3"/>
  <c r="P37" i="3"/>
  <c r="O37" i="3"/>
  <c r="D37" i="3"/>
  <c r="J37" i="3"/>
  <c r="H37" i="3"/>
  <c r="N37" i="3"/>
  <c r="C37" i="3"/>
  <c r="S37" i="3"/>
  <c r="Q53" i="3"/>
  <c r="M53" i="3"/>
  <c r="I53" i="3"/>
  <c r="E53" i="3"/>
  <c r="R53" i="3"/>
  <c r="L53" i="3"/>
  <c r="G53" i="3"/>
  <c r="B53" i="3"/>
  <c r="P53" i="3"/>
  <c r="K53" i="3"/>
  <c r="F53" i="3"/>
  <c r="J53" i="3"/>
  <c r="O53" i="3"/>
  <c r="D53" i="3"/>
  <c r="S53" i="3"/>
  <c r="H53" i="3"/>
  <c r="N53" i="3"/>
  <c r="C53" i="3"/>
  <c r="Q69" i="3"/>
  <c r="M69" i="3"/>
  <c r="I69" i="3"/>
  <c r="E69" i="3"/>
  <c r="R69" i="3"/>
  <c r="L69" i="3"/>
  <c r="G69" i="3"/>
  <c r="B69" i="3"/>
  <c r="P69" i="3"/>
  <c r="K69" i="3"/>
  <c r="F69" i="3"/>
  <c r="O69" i="3"/>
  <c r="D69" i="3"/>
  <c r="J69" i="3"/>
  <c r="N69" i="3"/>
  <c r="C69" i="3"/>
  <c r="S69" i="3"/>
  <c r="H69" i="3"/>
  <c r="R18" i="3"/>
  <c r="N18" i="3"/>
  <c r="J18" i="3"/>
  <c r="F18" i="3"/>
  <c r="B18" i="3"/>
  <c r="P18" i="3"/>
  <c r="K18" i="3"/>
  <c r="E18" i="3"/>
  <c r="O18" i="3"/>
  <c r="I18" i="3"/>
  <c r="D18" i="3"/>
  <c r="M18" i="3"/>
  <c r="C18" i="3"/>
  <c r="S18" i="3"/>
  <c r="H18" i="3"/>
  <c r="L18" i="3"/>
  <c r="Q18" i="3"/>
  <c r="G18" i="3"/>
  <c r="S47" i="3"/>
  <c r="O47" i="3"/>
  <c r="K47" i="3"/>
  <c r="G47" i="3"/>
  <c r="C47" i="3"/>
  <c r="N47" i="3"/>
  <c r="I47" i="3"/>
  <c r="D47" i="3"/>
  <c r="R47" i="3"/>
  <c r="M47" i="3"/>
  <c r="H47" i="3"/>
  <c r="B47" i="3"/>
  <c r="Q47" i="3"/>
  <c r="F47" i="3"/>
  <c r="L47" i="3"/>
  <c r="P47" i="3"/>
  <c r="E47" i="3"/>
  <c r="J47" i="3"/>
  <c r="P52" i="3"/>
  <c r="L52" i="3"/>
  <c r="H52" i="3"/>
  <c r="D52" i="3"/>
  <c r="O52" i="3"/>
  <c r="J52" i="3"/>
  <c r="E52" i="3"/>
  <c r="N52" i="3"/>
  <c r="I52" i="3"/>
  <c r="C52" i="3"/>
  <c r="S52" i="3"/>
  <c r="R52" i="3"/>
  <c r="G52" i="3"/>
  <c r="M52" i="3"/>
  <c r="B52" i="3"/>
  <c r="Q52" i="3"/>
  <c r="F52" i="3"/>
  <c r="K52" i="3"/>
  <c r="P36" i="3"/>
  <c r="L36" i="3"/>
  <c r="H36" i="3"/>
  <c r="D36" i="3"/>
  <c r="O36" i="3"/>
  <c r="J36" i="3"/>
  <c r="E36" i="3"/>
  <c r="S36" i="3"/>
  <c r="I36" i="3"/>
  <c r="C36" i="3"/>
  <c r="N36" i="3"/>
  <c r="M36" i="3"/>
  <c r="B36" i="3"/>
  <c r="R36" i="3"/>
  <c r="G36" i="3"/>
  <c r="F36" i="3"/>
  <c r="K36" i="3"/>
  <c r="Q36" i="3"/>
  <c r="P24" i="3"/>
  <c r="L24" i="3"/>
  <c r="H24" i="3"/>
  <c r="D24" i="3"/>
  <c r="S24" i="3"/>
  <c r="N24" i="3"/>
  <c r="I24" i="3"/>
  <c r="C24" i="3"/>
  <c r="R24" i="3"/>
  <c r="G24" i="3"/>
  <c r="B24" i="3"/>
  <c r="M24" i="3"/>
  <c r="Q24" i="3"/>
  <c r="F24" i="3"/>
  <c r="K24" i="3"/>
  <c r="J24" i="3"/>
  <c r="O24" i="3"/>
  <c r="E24" i="3"/>
  <c r="R26" i="3"/>
  <c r="N26" i="3"/>
  <c r="J26" i="3"/>
  <c r="F26" i="3"/>
  <c r="B26" i="3"/>
  <c r="S26" i="3"/>
  <c r="M26" i="3"/>
  <c r="H26" i="3"/>
  <c r="C26" i="3"/>
  <c r="L26" i="3"/>
  <c r="G26" i="3"/>
  <c r="Q26" i="3"/>
  <c r="K26" i="3"/>
  <c r="P26" i="3"/>
  <c r="E26" i="3"/>
  <c r="D26" i="3"/>
  <c r="I26" i="3"/>
  <c r="O26" i="3"/>
  <c r="P60" i="3"/>
  <c r="L60" i="3"/>
  <c r="H60" i="3"/>
  <c r="D60" i="3"/>
  <c r="R60" i="3"/>
  <c r="M60" i="3"/>
  <c r="G60" i="3"/>
  <c r="B60" i="3"/>
  <c r="Q60" i="3"/>
  <c r="K60" i="3"/>
  <c r="F60" i="3"/>
  <c r="O60" i="3"/>
  <c r="E60" i="3"/>
  <c r="J60" i="3"/>
  <c r="N60" i="3"/>
  <c r="C60" i="3"/>
  <c r="S60" i="3"/>
  <c r="I60" i="3"/>
  <c r="P44" i="3"/>
  <c r="L44" i="3"/>
  <c r="H44" i="3"/>
  <c r="D44" i="3"/>
  <c r="R44" i="3"/>
  <c r="M44" i="3"/>
  <c r="G44" i="3"/>
  <c r="B44" i="3"/>
  <c r="Q44" i="3"/>
  <c r="K44" i="3"/>
  <c r="F44" i="3"/>
  <c r="J44" i="3"/>
  <c r="O44" i="3"/>
  <c r="E44" i="3"/>
  <c r="C44" i="3"/>
  <c r="S44" i="3"/>
  <c r="I44" i="3"/>
  <c r="N44" i="3"/>
  <c r="S23" i="3"/>
  <c r="O23" i="3"/>
  <c r="K23" i="3"/>
  <c r="G23" i="3"/>
  <c r="C23" i="3"/>
  <c r="Q23" i="3"/>
  <c r="L23" i="3"/>
  <c r="F23" i="3"/>
  <c r="P23" i="3"/>
  <c r="E23" i="3"/>
  <c r="J23" i="3"/>
  <c r="N23" i="3"/>
  <c r="D23" i="3"/>
  <c r="I23" i="3"/>
  <c r="H23" i="3"/>
  <c r="M23" i="3"/>
  <c r="B23" i="3"/>
  <c r="R23" i="3"/>
  <c r="R46" i="3"/>
  <c r="N46" i="3"/>
  <c r="J46" i="3"/>
  <c r="F46" i="3"/>
  <c r="B46" i="3"/>
  <c r="Q46" i="3"/>
  <c r="L46" i="3"/>
  <c r="G46" i="3"/>
  <c r="P46" i="3"/>
  <c r="K46" i="3"/>
  <c r="E46" i="3"/>
  <c r="O46" i="3"/>
  <c r="D46" i="3"/>
  <c r="I46" i="3"/>
  <c r="M46" i="3"/>
  <c r="C46" i="3"/>
  <c r="S46" i="3"/>
  <c r="H46" i="3"/>
  <c r="P64" i="3"/>
  <c r="L64" i="3"/>
  <c r="H64" i="3"/>
  <c r="D64" i="3"/>
  <c r="Q64" i="3"/>
  <c r="K64" i="3"/>
  <c r="F64" i="3"/>
  <c r="O64" i="3"/>
  <c r="J64" i="3"/>
  <c r="E64" i="3"/>
  <c r="N64" i="3"/>
  <c r="C64" i="3"/>
  <c r="S64" i="3"/>
  <c r="I64" i="3"/>
  <c r="M64" i="3"/>
  <c r="B64" i="3"/>
  <c r="R64" i="3"/>
  <c r="G64" i="3"/>
  <c r="Q25" i="3"/>
  <c r="M25" i="3"/>
  <c r="I25" i="3"/>
  <c r="E25" i="3"/>
  <c r="P25" i="3"/>
  <c r="K25" i="3"/>
  <c r="F25" i="3"/>
  <c r="O25" i="3"/>
  <c r="J25" i="3"/>
  <c r="D25" i="3"/>
  <c r="S25" i="3"/>
  <c r="H25" i="3"/>
  <c r="N25" i="3"/>
  <c r="C25" i="3"/>
  <c r="L25" i="3"/>
  <c r="R25" i="3"/>
  <c r="G25" i="3"/>
  <c r="B25" i="3"/>
  <c r="Q41" i="3"/>
  <c r="M41" i="3"/>
  <c r="I41" i="3"/>
  <c r="E41" i="3"/>
  <c r="P41" i="3"/>
  <c r="K41" i="3"/>
  <c r="F41" i="3"/>
  <c r="O41" i="3"/>
  <c r="J41" i="3"/>
  <c r="D41" i="3"/>
  <c r="N41" i="3"/>
  <c r="C41" i="3"/>
  <c r="S41" i="3"/>
  <c r="H41" i="3"/>
  <c r="G41" i="3"/>
  <c r="L41" i="3"/>
  <c r="B41" i="3"/>
  <c r="R41" i="3"/>
  <c r="Q57" i="3"/>
  <c r="M57" i="3"/>
  <c r="I57" i="3"/>
  <c r="E57" i="3"/>
  <c r="P57" i="3"/>
  <c r="K57" i="3"/>
  <c r="F57" i="3"/>
  <c r="O57" i="3"/>
  <c r="J57" i="3"/>
  <c r="D57" i="3"/>
  <c r="S57" i="3"/>
  <c r="H57" i="3"/>
  <c r="N57" i="3"/>
  <c r="C57" i="3"/>
  <c r="R57" i="3"/>
  <c r="G57" i="3"/>
  <c r="L57" i="3"/>
  <c r="B57" i="3"/>
  <c r="R34" i="3"/>
  <c r="N34" i="3"/>
  <c r="J34" i="3"/>
  <c r="F34" i="3"/>
  <c r="B34" i="3"/>
  <c r="P34" i="3"/>
  <c r="K34" i="3"/>
  <c r="E34" i="3"/>
  <c r="D34" i="3"/>
  <c r="O34" i="3"/>
  <c r="I34" i="3"/>
  <c r="S34" i="3"/>
  <c r="H34" i="3"/>
  <c r="M34" i="3"/>
  <c r="C34" i="3"/>
  <c r="L34" i="3"/>
  <c r="Q34" i="3"/>
  <c r="G34" i="3"/>
  <c r="S59" i="3"/>
  <c r="O59" i="3"/>
  <c r="K59" i="3"/>
  <c r="G59" i="3"/>
  <c r="C59" i="3"/>
  <c r="P59" i="3"/>
  <c r="J59" i="3"/>
  <c r="E59" i="3"/>
  <c r="N59" i="3"/>
  <c r="I59" i="3"/>
  <c r="D59" i="3"/>
  <c r="M59" i="3"/>
  <c r="B59" i="3"/>
  <c r="R59" i="3"/>
  <c r="H59" i="3"/>
  <c r="L59" i="3"/>
  <c r="Q59" i="3"/>
  <c r="F59" i="3"/>
  <c r="S63" i="3"/>
  <c r="O63" i="3"/>
  <c r="K63" i="3"/>
  <c r="G63" i="3"/>
  <c r="C63" i="3"/>
  <c r="N63" i="3"/>
  <c r="I63" i="3"/>
  <c r="D63" i="3"/>
  <c r="R63" i="3"/>
  <c r="M63" i="3"/>
  <c r="H63" i="3"/>
  <c r="B63" i="3"/>
  <c r="L63" i="3"/>
  <c r="Q63" i="3"/>
  <c r="F63" i="3"/>
  <c r="J63" i="3"/>
  <c r="P63" i="3"/>
  <c r="E63" i="3"/>
  <c r="P20" i="3"/>
  <c r="L20" i="3"/>
  <c r="H20" i="3"/>
  <c r="D20" i="3"/>
  <c r="O20" i="3"/>
  <c r="J20" i="3"/>
  <c r="E20" i="3"/>
  <c r="S20" i="3"/>
  <c r="N20" i="3"/>
  <c r="C20" i="3"/>
  <c r="I20" i="3"/>
  <c r="R20" i="3"/>
  <c r="G20" i="3"/>
  <c r="M20" i="3"/>
  <c r="B20" i="3"/>
  <c r="Q20" i="3"/>
  <c r="F20" i="3"/>
  <c r="K20" i="3"/>
  <c r="S9" i="3"/>
  <c r="O9" i="3"/>
  <c r="K9" i="3"/>
  <c r="G9" i="3"/>
  <c r="C9" i="3"/>
  <c r="Q9" i="3"/>
  <c r="L9" i="3"/>
  <c r="F9" i="3"/>
  <c r="N9" i="3"/>
  <c r="I9" i="3"/>
  <c r="D9" i="3"/>
  <c r="M9" i="3"/>
  <c r="B9" i="3"/>
  <c r="P9" i="3"/>
  <c r="J9" i="3"/>
  <c r="E9" i="3"/>
  <c r="R9" i="3"/>
  <c r="H9" i="3"/>
  <c r="P40" i="3"/>
  <c r="L40" i="3"/>
  <c r="H40" i="3"/>
  <c r="D40" i="3"/>
  <c r="S40" i="3"/>
  <c r="N40" i="3"/>
  <c r="I40" i="3"/>
  <c r="C40" i="3"/>
  <c r="R40" i="3"/>
  <c r="G40" i="3"/>
  <c r="B40" i="3"/>
  <c r="M40" i="3"/>
  <c r="K40" i="3"/>
  <c r="Q40" i="3"/>
  <c r="F40" i="3"/>
  <c r="E40" i="3"/>
  <c r="J40" i="3"/>
  <c r="O40" i="3"/>
  <c r="R66" i="3"/>
  <c r="N66" i="3"/>
  <c r="J66" i="3"/>
  <c r="F66" i="3"/>
  <c r="B66" i="3"/>
  <c r="P66" i="3"/>
  <c r="K66" i="3"/>
  <c r="E66" i="3"/>
  <c r="O66" i="3"/>
  <c r="I66" i="3"/>
  <c r="D66" i="3"/>
  <c r="S66" i="3"/>
  <c r="H66" i="3"/>
  <c r="M66" i="3"/>
  <c r="C66" i="3"/>
  <c r="Q66" i="3"/>
  <c r="G66" i="3"/>
  <c r="L66" i="3"/>
  <c r="R50" i="3"/>
  <c r="N50" i="3"/>
  <c r="J50" i="3"/>
  <c r="F50" i="3"/>
  <c r="B50" i="3"/>
  <c r="P50" i="3"/>
  <c r="K50" i="3"/>
  <c r="E50" i="3"/>
  <c r="O50" i="3"/>
  <c r="I50" i="3"/>
  <c r="D50" i="3"/>
  <c r="M50" i="3"/>
  <c r="C50" i="3"/>
  <c r="S50" i="3"/>
  <c r="H50" i="3"/>
  <c r="L50" i="3"/>
  <c r="Q50" i="3"/>
  <c r="G50" i="3"/>
  <c r="R8" i="3"/>
  <c r="N8" i="3"/>
  <c r="J8" i="3"/>
  <c r="F8" i="3"/>
  <c r="B8" i="3"/>
  <c r="O8" i="3"/>
  <c r="I8" i="3"/>
  <c r="D8" i="3"/>
  <c r="Q8" i="3"/>
  <c r="L8" i="3"/>
  <c r="G8" i="3"/>
  <c r="K8" i="3"/>
  <c r="S8" i="3"/>
  <c r="M8" i="3"/>
  <c r="H8" i="3"/>
  <c r="C8" i="3"/>
  <c r="P8" i="3"/>
  <c r="E8" i="3"/>
  <c r="R38" i="3"/>
  <c r="N38" i="3"/>
  <c r="J38" i="3"/>
  <c r="F38" i="3"/>
  <c r="B38" i="3"/>
  <c r="O38" i="3"/>
  <c r="I38" i="3"/>
  <c r="D38" i="3"/>
  <c r="S38" i="3"/>
  <c r="H38" i="3"/>
  <c r="C38" i="3"/>
  <c r="M38" i="3"/>
  <c r="Q38" i="3"/>
  <c r="G38" i="3"/>
  <c r="L38" i="3"/>
  <c r="K38" i="3"/>
  <c r="P38" i="3"/>
  <c r="E38" i="3"/>
  <c r="P12" i="3"/>
  <c r="L12" i="3"/>
  <c r="H12" i="3"/>
  <c r="D12" i="3"/>
  <c r="R12" i="3"/>
  <c r="M12" i="3"/>
  <c r="G12" i="3"/>
  <c r="B12" i="3"/>
  <c r="O12" i="3"/>
  <c r="I12" i="3"/>
  <c r="S12" i="3"/>
  <c r="K12" i="3"/>
  <c r="E12" i="3"/>
  <c r="J12" i="3"/>
  <c r="C12" i="3"/>
  <c r="N12" i="3"/>
  <c r="F12" i="3"/>
  <c r="Q12" i="3"/>
  <c r="R54" i="3"/>
  <c r="N54" i="3"/>
  <c r="J54" i="3"/>
  <c r="F54" i="3"/>
  <c r="B54" i="3"/>
  <c r="O54" i="3"/>
  <c r="I54" i="3"/>
  <c r="D54" i="3"/>
  <c r="S54" i="3"/>
  <c r="H54" i="3"/>
  <c r="M54" i="3"/>
  <c r="C54" i="3"/>
  <c r="L54" i="3"/>
  <c r="Q54" i="3"/>
  <c r="G54" i="3"/>
  <c r="K54" i="3"/>
  <c r="P54" i="3"/>
  <c r="E54" i="3"/>
  <c r="R42" i="3"/>
  <c r="N42" i="3"/>
  <c r="J42" i="3"/>
  <c r="F42" i="3"/>
  <c r="B42" i="3"/>
  <c r="S42" i="3"/>
  <c r="M42" i="3"/>
  <c r="H42" i="3"/>
  <c r="C42" i="3"/>
  <c r="Q42" i="3"/>
  <c r="G42" i="3"/>
  <c r="L42" i="3"/>
  <c r="P42" i="3"/>
  <c r="E42" i="3"/>
  <c r="K42" i="3"/>
  <c r="O42" i="3"/>
  <c r="D42" i="3"/>
  <c r="I42" i="3"/>
  <c r="S67" i="3"/>
  <c r="O67" i="3"/>
  <c r="K67" i="3"/>
  <c r="G67" i="3"/>
  <c r="C67" i="3"/>
  <c r="R67" i="3"/>
  <c r="M67" i="3"/>
  <c r="H67" i="3"/>
  <c r="B67" i="3"/>
  <c r="Q67" i="3"/>
  <c r="L67" i="3"/>
  <c r="F67" i="3"/>
  <c r="J67" i="3"/>
  <c r="P67" i="3"/>
  <c r="E67" i="3"/>
  <c r="I67" i="3"/>
  <c r="N67" i="3"/>
  <c r="D67" i="3"/>
  <c r="S11" i="3"/>
  <c r="O11" i="3"/>
  <c r="K11" i="3"/>
  <c r="G11" i="3"/>
  <c r="P11" i="3"/>
  <c r="J11" i="3"/>
  <c r="E11" i="3"/>
  <c r="M11" i="3"/>
  <c r="F11" i="3"/>
  <c r="Q11" i="3"/>
  <c r="I11" i="3"/>
  <c r="C11" i="3"/>
  <c r="B11" i="3"/>
  <c r="R11" i="3"/>
  <c r="L11" i="3"/>
  <c r="D11" i="3"/>
  <c r="N11" i="3"/>
  <c r="H11" i="3"/>
  <c r="R30" i="3"/>
  <c r="N30" i="3"/>
  <c r="J30" i="3"/>
  <c r="F30" i="3"/>
  <c r="B30" i="3"/>
  <c r="Q30" i="3"/>
  <c r="L30" i="3"/>
  <c r="G30" i="3"/>
  <c r="P30" i="3"/>
  <c r="E30" i="3"/>
  <c r="K30" i="3"/>
  <c r="I30" i="3"/>
  <c r="O30" i="3"/>
  <c r="D30" i="3"/>
  <c r="C30" i="3"/>
  <c r="S30" i="3"/>
  <c r="H30" i="3"/>
  <c r="M30" i="3"/>
  <c r="P48" i="3"/>
  <c r="L48" i="3"/>
  <c r="H48" i="3"/>
  <c r="D48" i="3"/>
  <c r="Q48" i="3"/>
  <c r="K48" i="3"/>
  <c r="F48" i="3"/>
  <c r="O48" i="3"/>
  <c r="J48" i="3"/>
  <c r="E48" i="3"/>
  <c r="S48" i="3"/>
  <c r="I48" i="3"/>
  <c r="N48" i="3"/>
  <c r="C48" i="3"/>
  <c r="R48" i="3"/>
  <c r="G48" i="3"/>
  <c r="M48" i="3"/>
  <c r="B48" i="3"/>
  <c r="Q13" i="3"/>
  <c r="M13" i="3"/>
  <c r="I13" i="3"/>
  <c r="E13" i="3"/>
  <c r="O13" i="3"/>
  <c r="J13" i="3"/>
  <c r="D13" i="3"/>
  <c r="N13" i="3"/>
  <c r="H13" i="3"/>
  <c r="S13" i="3"/>
  <c r="L13" i="3"/>
  <c r="C13" i="3"/>
  <c r="R13" i="3"/>
  <c r="G13" i="3"/>
  <c r="F13" i="3"/>
  <c r="K13" i="3"/>
  <c r="B13" i="3"/>
  <c r="P13" i="3"/>
  <c r="Q29" i="3"/>
  <c r="M29" i="3"/>
  <c r="I29" i="3"/>
  <c r="E29" i="3"/>
  <c r="O29" i="3"/>
  <c r="J29" i="3"/>
  <c r="D29" i="3"/>
  <c r="S29" i="3"/>
  <c r="N29" i="3"/>
  <c r="H29" i="3"/>
  <c r="C29" i="3"/>
  <c r="R29" i="3"/>
  <c r="G29" i="3"/>
  <c r="L29" i="3"/>
  <c r="B29" i="3"/>
  <c r="P29" i="3"/>
  <c r="F29" i="3"/>
  <c r="K29" i="3"/>
  <c r="Q45" i="3"/>
  <c r="M45" i="3"/>
  <c r="I45" i="3"/>
  <c r="E45" i="3"/>
  <c r="O45" i="3"/>
  <c r="J45" i="3"/>
  <c r="D45" i="3"/>
  <c r="N45" i="3"/>
  <c r="H45" i="3"/>
  <c r="C45" i="3"/>
  <c r="S45" i="3"/>
  <c r="L45" i="3"/>
  <c r="B45" i="3"/>
  <c r="R45" i="3"/>
  <c r="G45" i="3"/>
  <c r="K45" i="3"/>
  <c r="P45" i="3"/>
  <c r="F45" i="3"/>
  <c r="Q61" i="3"/>
  <c r="M61" i="3"/>
  <c r="I61" i="3"/>
  <c r="E61" i="3"/>
  <c r="O61" i="3"/>
  <c r="J61" i="3"/>
  <c r="D61" i="3"/>
  <c r="S61" i="3"/>
  <c r="N61" i="3"/>
  <c r="H61" i="3"/>
  <c r="C61" i="3"/>
  <c r="R61" i="3"/>
  <c r="G61" i="3"/>
  <c r="L61" i="3"/>
  <c r="B61" i="3"/>
  <c r="P61" i="3"/>
  <c r="F61" i="3"/>
  <c r="K61" i="3"/>
  <c r="L7" i="3" l="1"/>
  <c r="I7" i="3"/>
  <c r="O7" i="3"/>
  <c r="Q7" i="3"/>
  <c r="C7" i="3"/>
  <c r="R7" i="3"/>
  <c r="G7" i="3"/>
  <c r="N7" i="3"/>
  <c r="F7" i="3"/>
  <c r="J7" i="3"/>
</calcChain>
</file>

<file path=xl/sharedStrings.xml><?xml version="1.0" encoding="utf-8"?>
<sst xmlns="http://schemas.openxmlformats.org/spreadsheetml/2006/main" count="419" uniqueCount="252">
  <si>
    <t>CONTROL DE BOLETOS — TDS · PIN · PKS</t>
  </si>
  <si>
    <t>Un solo libro para los tres buses, dividido por meses. Se cargaron los viajes de octubre de TDS y PIN; PKS empieza vacío.</t>
  </si>
  <si>
    <t>1. REGISTRAR UN VIAJE (ventana emergente)</t>
  </si>
  <si>
    <t>Primera vez (una sola vez): clic derecho en la barra de acceso rápido (arriba a la izquierda) → Personalizar barra de herramientas de acceso rápido → en «Comandos disponibles en» elige «Comandos que no están en la cinta de opciones» → busca «Formulario…» → Agregar → Aceptar. En Excel para Mac: pestaña Datos → Formulario.</t>
  </si>
  <si>
    <t>Cada vez: ve a la hoja Registro, haz clic en cualquier celda con datos y pulsa el botón Formulario. Se abre una ventana con un campo por cada columna.</t>
  </si>
  <si>
    <t>Añadir: botón Nuevo, llena los campos (Tab pasa al siguiente) y pulsa Enter. Corregir: Buscar anterior / Buscar siguiente, edita y Enter. Eliminar borra el registro mostrado. Criterios sirve para buscar (por ejemplo Bus = TDS).</t>
  </si>
  <si>
    <t>Esta ventana no está disponible en Excel para la web ni en el celular; allí escribe directamente en la hoja Registro (una fila por viaje).</t>
  </si>
  <si>
    <t>2. CÓMO ESCRIBIR LOS DATOS</t>
  </si>
  <si>
    <t>Bus: TDS, PIN o PKS. Fecha: por ejemplo 24-10-26.</t>
  </si>
  <si>
    <t>Boletos de ida y de llegada: «cantidad x precio», separados con punto y coma o con +. Ejemplo: 25x40; 3x50. Si en la llegada no hubo boletos, escribe Sin boleto (el monto calculado se iguala al registrado, como en tus hojas anteriores).</t>
  </si>
  <si>
    <t>Gastos y Otros gastos: «concepto monto» separados con punto y coma. Ejemplo: Peaje 50; Veatico 50. Otros gastos es para cosas como el diesel; se restan después, igual que en tu segunda hoja.</t>
  </si>
  <si>
    <t>Si escribes en la hoja con Alt+Enter (una línea por dato), también funciona.</t>
  </si>
  <si>
    <t>3. DÓNDE VER LOS RESULTADOS</t>
  </si>
  <si>
    <t>Consulta: elige bus, año y mes y verás esos viajes con todos los cálculos y los totales, como tu hoja Control de boletos.</t>
  </si>
  <si>
    <t>Resumen: totales de cada mes del año para cada bus y para todos juntos.</t>
  </si>
  <si>
    <t>Cálculo: hoja automática; no escribas ahí. Capacidad: 1000 viajes, unos 12 meses para los tres buses (filas 2 a 1001 de Registro).</t>
  </si>
  <si>
    <t>Bus</t>
  </si>
  <si>
    <t>Fecha</t>
  </si>
  <si>
    <t>Destino</t>
  </si>
  <si>
    <t>Hora salida - llegada</t>
  </si>
  <si>
    <t>Boletos de ida (detalle)</t>
  </si>
  <si>
    <t>Boletos de llegada (detalle)</t>
  </si>
  <si>
    <t>Monto registrado que trajeron</t>
  </si>
  <si>
    <t>Gastos (concepto y monto)</t>
  </si>
  <si>
    <t>Otros gastos (concepto y monto)</t>
  </si>
  <si>
    <t>Observaciones</t>
  </si>
  <si>
    <t>TDS</t>
  </si>
  <si>
    <t>Lp</t>
  </si>
  <si>
    <t>08:30 - 15:30</t>
  </si>
  <si>
    <t>25x40; 3x50</t>
  </si>
  <si>
    <t>1x3300</t>
  </si>
  <si>
    <t>Peaje 50; Veatico 50</t>
  </si>
  <si>
    <t>Cbba</t>
  </si>
  <si>
    <t>6:30 - 17:30</t>
  </si>
  <si>
    <t>15x40; 15x50; 5x60</t>
  </si>
  <si>
    <t>1x4060</t>
  </si>
  <si>
    <t>Peaje 50; Veatico 50; Gasto 100</t>
  </si>
  <si>
    <t>5:30 - 15:30</t>
  </si>
  <si>
    <t>43x50; 2x80; 10x70</t>
  </si>
  <si>
    <t>1x3599</t>
  </si>
  <si>
    <t>Diesel 8400</t>
  </si>
  <si>
    <t>4:00</t>
  </si>
  <si>
    <t>43x40; 4x50; 7x60</t>
  </si>
  <si>
    <t>1x2080</t>
  </si>
  <si>
    <t>Peaje 50; Veatico 50; Engrase 40</t>
  </si>
  <si>
    <t>9:30-17:00</t>
  </si>
  <si>
    <t>37x40; 2x50; 2x70; 8x60</t>
  </si>
  <si>
    <t>Peaje 50; Diesel 400; Veatico 50</t>
  </si>
  <si>
    <t>Diesel 7500</t>
  </si>
  <si>
    <t>15:30-4:00</t>
  </si>
  <si>
    <t>9x60; 2x70; 45x50</t>
  </si>
  <si>
    <t>1x2350</t>
  </si>
  <si>
    <t>6:30-14:30</t>
  </si>
  <si>
    <t>24x40; 4x60; 5x50</t>
  </si>
  <si>
    <t>1x2455</t>
  </si>
  <si>
    <t>19:30-8:00</t>
  </si>
  <si>
    <t>35x40; 11x60</t>
  </si>
  <si>
    <t>1x2365</t>
  </si>
  <si>
    <t>Peaje 50</t>
  </si>
  <si>
    <t>4:00-11:00</t>
  </si>
  <si>
    <t>14x40; 31x50; 1x60; 4x70; 7x60</t>
  </si>
  <si>
    <t>1x2395</t>
  </si>
  <si>
    <t>7:00-14:30</t>
  </si>
  <si>
    <t>30x40; 12x35; 1x70</t>
  </si>
  <si>
    <t>1x3670</t>
  </si>
  <si>
    <t>Diesel 8380</t>
  </si>
  <si>
    <t>17:30-4:30</t>
  </si>
  <si>
    <t>19x40; 10x60; 5x50; 11x35</t>
  </si>
  <si>
    <t>1x2100</t>
  </si>
  <si>
    <t>12:00-19:00</t>
  </si>
  <si>
    <t>46x50; 4x70</t>
  </si>
  <si>
    <t>1x5280</t>
  </si>
  <si>
    <t>Peaje 50; Veatico 50; Engrase 30</t>
  </si>
  <si>
    <t>4:30-16:30</t>
  </si>
  <si>
    <t>38x40; 5x60; 8x50</t>
  </si>
  <si>
    <t>1x2855</t>
  </si>
  <si>
    <t>Peaje 50; Veatico 50; Ayudante 120</t>
  </si>
  <si>
    <t>Diesel 8190</t>
  </si>
  <si>
    <t>4:30-19:00</t>
  </si>
  <si>
    <t>36x40; 3x60; 2x50</t>
  </si>
  <si>
    <t>1x2960</t>
  </si>
  <si>
    <t>Peaje 50; Veatico 50; Engrase 20</t>
  </si>
  <si>
    <t>3:30-16:00</t>
  </si>
  <si>
    <t>29x40; 3x50; 10x60</t>
  </si>
  <si>
    <t>1x2070</t>
  </si>
  <si>
    <t>Peaje 50; Veatico 50; Diesel 500</t>
  </si>
  <si>
    <t>3:30-14:30</t>
  </si>
  <si>
    <t>Sin boleto</t>
  </si>
  <si>
    <t>Peaje 50; Veatico 50; Extra 20</t>
  </si>
  <si>
    <t>Diesel 8370</t>
  </si>
  <si>
    <t>5:00-19:00</t>
  </si>
  <si>
    <t>1x3250</t>
  </si>
  <si>
    <t>05:00-12:00</t>
  </si>
  <si>
    <t>29x50; 18x60; 11x80</t>
  </si>
  <si>
    <t>1x3360</t>
  </si>
  <si>
    <t>Peaje 60; Veatico 50; Taxi 20</t>
  </si>
  <si>
    <t>Diesel 5550</t>
  </si>
  <si>
    <t>7:00-15:30</t>
  </si>
  <si>
    <t>37x40; 5x60</t>
  </si>
  <si>
    <t>1x3275</t>
  </si>
  <si>
    <t>Peaje 45; Veatico 50</t>
  </si>
  <si>
    <t>3:30-12:00</t>
  </si>
  <si>
    <t>41x50; 7x40; 4x80</t>
  </si>
  <si>
    <t>Peaje 45; Veatico 50; Ayudante 120</t>
  </si>
  <si>
    <t>3:30-10:00</t>
  </si>
  <si>
    <t>42x50; 5x70; 2x60</t>
  </si>
  <si>
    <t>1x2340</t>
  </si>
  <si>
    <t>Diesel 8500</t>
  </si>
  <si>
    <t>4:30-17:00</t>
  </si>
  <si>
    <t>7x70; 35x50</t>
  </si>
  <si>
    <t>6:30-15:30</t>
  </si>
  <si>
    <t>19x50; 6x40; 4x70; 4x60</t>
  </si>
  <si>
    <t>4:30-11:00</t>
  </si>
  <si>
    <t>47x50; 12x70</t>
  </si>
  <si>
    <t>1x2335</t>
  </si>
  <si>
    <t>PIN</t>
  </si>
  <si>
    <t>17:30-5:30</t>
  </si>
  <si>
    <t>31x40; 5x50; 7X60</t>
  </si>
  <si>
    <t>1X1925</t>
  </si>
  <si>
    <t>29x40; 13x50; 6x60; 4x70</t>
  </si>
  <si>
    <t>1x2520</t>
  </si>
  <si>
    <t>Bultos 180</t>
  </si>
  <si>
    <t>16:00-5:30</t>
  </si>
  <si>
    <t>32x40; 8x70; 4x60</t>
  </si>
  <si>
    <t>1x2215</t>
  </si>
  <si>
    <t>Bultos 300</t>
  </si>
  <si>
    <t>15:30-5:00</t>
  </si>
  <si>
    <t>18x40; 15x50; 4x70; 8x60</t>
  </si>
  <si>
    <t>1x3860</t>
  </si>
  <si>
    <t>13:30-20:30</t>
  </si>
  <si>
    <t>38x40; 10x60; 1x70</t>
  </si>
  <si>
    <t>1x2685</t>
  </si>
  <si>
    <t>Peaje 50; Veatico 50; Engrase-Llantas 100; Gastos 65</t>
  </si>
  <si>
    <t>04:30-12:00</t>
  </si>
  <si>
    <t>3x70; 5x60; 42x50</t>
  </si>
  <si>
    <t>1x2235</t>
  </si>
  <si>
    <t>Peaje 52; Veatico 50; Gastos 70</t>
  </si>
  <si>
    <t>1x80; 4x70; 7x60; 20x50</t>
  </si>
  <si>
    <t>Peaje 50; Veatico 50; Gasto 80</t>
  </si>
  <si>
    <t>4:30-13:30</t>
  </si>
  <si>
    <t>29x40; 18x50; 3x70; 8x60</t>
  </si>
  <si>
    <t>Peaje 50; Veatico 50; engrase 45</t>
  </si>
  <si>
    <t>5:30-14:30</t>
  </si>
  <si>
    <t>37x40; 10x60</t>
  </si>
  <si>
    <t>1x3015</t>
  </si>
  <si>
    <t>Peaje 55; Veatico 50</t>
  </si>
  <si>
    <t>4:30-13:00</t>
  </si>
  <si>
    <t>47x50; 2x70</t>
  </si>
  <si>
    <t>1x2825</t>
  </si>
  <si>
    <t>16:00-7:30</t>
  </si>
  <si>
    <t>7x70; 14x40; 22x50; 5x60</t>
  </si>
  <si>
    <t>1x1425</t>
  </si>
  <si>
    <t>18:00-12:30</t>
  </si>
  <si>
    <t>49x50; 12x70</t>
  </si>
  <si>
    <t>1x2795</t>
  </si>
  <si>
    <t>30x50; 2x70; 2x90; 1x60</t>
  </si>
  <si>
    <t>1x1415</t>
  </si>
  <si>
    <t>19:30-8:30</t>
  </si>
  <si>
    <t>44x40; 11x60</t>
  </si>
  <si>
    <t>1x2115</t>
  </si>
  <si>
    <t>19:30-7:30</t>
  </si>
  <si>
    <t>49x40; 1x50; 11x60</t>
  </si>
  <si>
    <t>1x1905</t>
  </si>
  <si>
    <t>14:30-5:30</t>
  </si>
  <si>
    <t>Peaje 55; Veatico 50; Engrase 80</t>
  </si>
  <si>
    <t>24x40; 3x70; 18x50; 2x80; 8x60</t>
  </si>
  <si>
    <t>1x1925</t>
  </si>
  <si>
    <t>9x60; 2x70; 16x50; 30x40</t>
  </si>
  <si>
    <t>1x1725</t>
  </si>
  <si>
    <t>15:30-4:30</t>
  </si>
  <si>
    <t>26x50; 14x40; 1x80; 6x70; 4x60</t>
  </si>
  <si>
    <t>1x3660</t>
  </si>
  <si>
    <t>Peaje 60; Veatico 50</t>
  </si>
  <si>
    <t>9:00-17:00</t>
  </si>
  <si>
    <t>37x40; 3x60; 4x50; 2x70</t>
  </si>
  <si>
    <t>1x1795</t>
  </si>
  <si>
    <t>Veatico 50; Peaje 35</t>
  </si>
  <si>
    <t>40x50; 2x60; 12x70</t>
  </si>
  <si>
    <t>43x60; 2x80; 5x50; 10x70</t>
  </si>
  <si>
    <t>Engrase 40; gastos 90</t>
  </si>
  <si>
    <t>CONSULTA POR BUS Y MES</t>
  </si>
  <si>
    <t>Elige el bus, el año y el mes (celdas amarillas). Se muestran los viajes de ese bus y mes con todos los cálculos. «Fila en Registro» indica dónde corregir un dato.</t>
  </si>
  <si>
    <t>Bus:</t>
  </si>
  <si>
    <t>Año:</t>
  </si>
  <si>
    <t>Mes:</t>
  </si>
  <si>
    <t>Octubre</t>
  </si>
  <si>
    <t>Clave (aaaamm):</t>
  </si>
  <si>
    <t>INFORMACIÓN DEL VIAJE</t>
  </si>
  <si>
    <t>IDA</t>
  </si>
  <si>
    <t>LLEGADA</t>
  </si>
  <si>
    <t>GASTOS Y NETO</t>
  </si>
  <si>
    <t>OTROS GASTOS</t>
  </si>
  <si>
    <t>NOTAS</t>
  </si>
  <si>
    <t>Fila en Registro</t>
  </si>
  <si>
    <t>Total boletos ida (cant.)</t>
  </si>
  <si>
    <t>Monto total de ida</t>
  </si>
  <si>
    <t>Total boletos llegada (cant.)</t>
  </si>
  <si>
    <t>Monto calculado</t>
  </si>
  <si>
    <t>Verificación</t>
  </si>
  <si>
    <t>Gastos (detalle)</t>
  </si>
  <si>
    <t>Total gastos</t>
  </si>
  <si>
    <t>Total menos gastos</t>
  </si>
  <si>
    <t>Otros gastos (detalle)</t>
  </si>
  <si>
    <t>Total otros gastos</t>
  </si>
  <si>
    <t>Neto final</t>
  </si>
  <si>
    <t>TOTALES</t>
  </si>
  <si>
    <t>RESUMEN POR MES Y BUS</t>
  </si>
  <si>
    <t>Cambia el año en la celda amarilla. Todo se calcula solo a partir de la hoja Registro. Neto final = monto registrado − gastos − otros gastos. Monto ida = total de los boletos de ida. Monto llegada = monto registrado que trajeron (es el que se usa en Neto final). Ida y llegada van separados.</t>
  </si>
  <si>
    <t>PKS</t>
  </si>
  <si>
    <t>TODOS LOS BUSES</t>
  </si>
  <si>
    <t>N°</t>
  </si>
  <si>
    <t>Mes</t>
  </si>
  <si>
    <t>Viajes</t>
  </si>
  <si>
    <t>Boletos</t>
  </si>
  <si>
    <t>Monto ida</t>
  </si>
  <si>
    <t>Monto llegada</t>
  </si>
  <si>
    <t>Gastos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</si>
  <si>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</si>
  <si>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</si>
  <si>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</si>
  <si>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</si>
  <si>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</si>
  <si>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</si>
  <si>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</si>
  <si>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</si>
  <si>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</si>
  <si>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Noviembre</t>
  </si>
  <si>
    <t>Diciembre</t>
  </si>
  <si>
    <t>TOTAL AÑO</t>
  </si>
  <si>
    <t>Clave mes (aaaamm)</t>
  </si>
  <si>
    <t>Total boletos ida</t>
  </si>
  <si>
    <t>Total boletos llegada</t>
  </si>
  <si>
    <t>Monto calculado llegada</t>
  </si>
  <si>
    <t>Orden (Consulta)</t>
  </si>
  <si>
    <t>4:00-13:30</t>
  </si>
  <si>
    <t>43x50; 6x70; 2x80; 1x60</t>
  </si>
  <si>
    <t>1x2815</t>
  </si>
  <si>
    <t>Veatico 92</t>
  </si>
  <si>
    <t>Diesel 2700</t>
  </si>
  <si>
    <t>13x50; 18x40; 2x60; 1x70</t>
  </si>
  <si>
    <t>1x200</t>
  </si>
  <si>
    <t>5:00-12:00</t>
  </si>
  <si>
    <t>40x50; 8x70; 3x60</t>
  </si>
  <si>
    <t>veatico 50; Peaje 40</t>
  </si>
  <si>
    <t>Aumento 200 rudy</t>
  </si>
  <si>
    <t>Diesel 2500</t>
  </si>
  <si>
    <t>3x80; 1x70; 7x40; 4x60; 8x55; 20x50</t>
  </si>
  <si>
    <t>5:00-14:30</t>
  </si>
  <si>
    <t>32x50; 5x70; 1x60</t>
  </si>
  <si>
    <t>26x50; 7x70; 2x80; 2x90; 13x60</t>
  </si>
  <si>
    <t>veatico 50; peaje 40; llantero 350</t>
  </si>
  <si>
    <t>Diesel 3000; devolviorRudy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</si>
</sst>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"/>
    <numFmt numFmtId="165" formatCode="0&quot; viajes&quot;"/>
  </numFmts>
  <fonts count="11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9"/>
      <name val="Arial"/>
      <charset val="1"/>
    </font>
    <font>
      <b/>
      <sz val="10"/>
      <color rgb="FF0000FF"/>
      <name val="Arial"/>
      <charset val="1"/>
    </font>
    <font>
      <sz val="9"/>
      <color rgb="FF7F7F7F"/>
      <name val="Arial"/>
      <charset val="1"/>
    </font>
    <font>
      <b/>
      <sz val="10"/>
      <color rgb="FFFFFFFF"/>
      <name val="Arial"/>
      <charset val="1"/>
    </font>
    <font>
      <sz val="10"/>
      <color rgb="FF7F7F7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FFF9DB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9D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/>
    </xf>
    <xf numFmtId="164" fontId="5" fillId="3" borderId="1" xfId="0" applyNumberFormat="1" applyFont="1" applyFill="1" applyBorder="1" applyAlignment="1">
      <alignment horizontal="center" vertical="top"/>
    </xf>
    <xf numFmtId="0" fontId="5" fillId="3" borderId="1" xfId="0" applyFont="1" applyFill="1" applyBorder="1" applyAlignment="1">
      <alignment vertical="top"/>
    </xf>
    <xf numFmtId="4" fontId="5" fillId="3" borderId="1" xfId="0" applyNumberFormat="1" applyFont="1" applyFill="1" applyBorder="1" applyAlignment="1">
      <alignment vertical="top"/>
    </xf>
    <xf numFmtId="0" fontId="1" fillId="0" borderId="0" xfId="0" applyFont="1"/>
    <xf numFmtId="0" fontId="6" fillId="0" borderId="0" xfId="0" applyFont="1"/>
    <xf numFmtId="0" fontId="4" fillId="0" borderId="0" xfId="0" applyFont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0" fontId="4" fillId="0" borderId="0" xfId="0" applyFont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1" fontId="4" fillId="6" borderId="1" xfId="0" applyNumberFormat="1" applyFont="1" applyFill="1" applyBorder="1" applyAlignment="1">
      <alignment vertical="center"/>
    </xf>
    <xf numFmtId="3" fontId="4" fillId="6" borderId="1" xfId="0" applyNumberFormat="1" applyFont="1" applyFill="1" applyBorder="1" applyAlignment="1">
      <alignment vertical="center"/>
    </xf>
    <xf numFmtId="4" fontId="4" fillId="6" borderId="1" xfId="0" applyNumberFormat="1" applyFont="1" applyFill="1" applyBorder="1" applyAlignment="1">
      <alignment vertical="center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9"/>
  <sheetViews>
    <sheetView zoomScaleNormal="100" workbookViewId="0">
      <selection activeCell="E21" sqref="E21"/>
    </sheetView>
  </sheetViews>
  <sheetFormatPr baseColWidth="10" defaultColWidth="8.7109375" defaultRowHeight="15" x14ac:dyDescent="0.25"/>
  <cols>
    <col min="1" max="1" width="3" customWidth="1"/>
    <col min="2" max="2" width="115" customWidth="1"/>
  </cols>
  <sheetData>
    <row r="1" spans="2:2" ht="18" customHeight="1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2"/>
    </row>
    <row r="4" spans="2:2" x14ac:dyDescent="0.25">
      <c r="B4" s="3" t="s">
        <v>2</v>
      </c>
    </row>
    <row r="5" spans="2:2" ht="38.25" customHeight="1" x14ac:dyDescent="0.25">
      <c r="B5" s="2" t="s">
        <v>3</v>
      </c>
    </row>
    <row r="6" spans="2:2" ht="25.5" customHeight="1" x14ac:dyDescent="0.25">
      <c r="B6" s="2" t="s">
        <v>4</v>
      </c>
    </row>
    <row r="7" spans="2:2" ht="25.5" customHeight="1" x14ac:dyDescent="0.25">
      <c r="B7" s="2" t="s">
        <v>5</v>
      </c>
    </row>
    <row r="8" spans="2:2" x14ac:dyDescent="0.25">
      <c r="B8" s="2" t="s">
        <v>6</v>
      </c>
    </row>
    <row r="9" spans="2:2" x14ac:dyDescent="0.25">
      <c r="B9" s="2"/>
    </row>
    <row r="10" spans="2:2" x14ac:dyDescent="0.25">
      <c r="B10" s="3" t="s">
        <v>7</v>
      </c>
    </row>
    <row r="11" spans="2:2" x14ac:dyDescent="0.25">
      <c r="B11" s="2" t="s">
        <v>8</v>
      </c>
    </row>
    <row r="12" spans="2:2" ht="25.5" customHeight="1" x14ac:dyDescent="0.25">
      <c r="B12" s="2" t="s">
        <v>9</v>
      </c>
    </row>
    <row r="13" spans="2:2" ht="25.5" customHeight="1" x14ac:dyDescent="0.25">
      <c r="B13" s="2" t="s">
        <v>10</v>
      </c>
    </row>
    <row r="14" spans="2:2" x14ac:dyDescent="0.25">
      <c r="B14" s="2" t="s">
        <v>11</v>
      </c>
    </row>
    <row r="15" spans="2:2" x14ac:dyDescent="0.25">
      <c r="B15" s="2"/>
    </row>
    <row r="16" spans="2:2" x14ac:dyDescent="0.25">
      <c r="B16" s="3" t="s">
        <v>12</v>
      </c>
    </row>
    <row r="17" spans="2:2" x14ac:dyDescent="0.25">
      <c r="B17" s="2" t="s">
        <v>13</v>
      </c>
    </row>
    <row r="18" spans="2:2" x14ac:dyDescent="0.25">
      <c r="B18" s="2" t="s">
        <v>14</v>
      </c>
    </row>
    <row r="19" spans="2:2" x14ac:dyDescent="0.25">
      <c r="B19" s="2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1"/>
  <sheetViews>
    <sheetView zoomScaleNormal="100" workbookViewId="0">
      <pane ySplit="1" topLeftCell="A45" activePane="bottomLeft" state="frozen"/>
      <selection activeCell="E21" sqref="E21"/>
      <selection pane="bottomLeft" activeCell="C50" sqref="C50"/>
    </sheetView>
  </sheetViews>
  <sheetFormatPr baseColWidth="10" defaultColWidth="8.7109375" defaultRowHeight="15" x14ac:dyDescent="0.25"/>
  <cols>
    <col min="1" max="1" width="8" customWidth="1"/>
    <col min="2" max="2" width="12" customWidth="1"/>
    <col min="3" max="3" width="10" customWidth="1"/>
    <col min="4" max="4" width="18" customWidth="1"/>
    <col min="5" max="5" width="30" customWidth="1"/>
    <col min="6" max="6" width="26" customWidth="1"/>
    <col min="7" max="7" width="18" customWidth="1"/>
    <col min="8" max="8" width="30" customWidth="1"/>
    <col min="9" max="9" width="26" customWidth="1"/>
    <col min="10" max="10" width="28" customWidth="1"/>
  </cols>
  <sheetData>
    <row r="1" spans="1:10" ht="31.5" customHeight="1" x14ac:dyDescent="0.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</row>
    <row r="2" spans="1:10" x14ac:dyDescent="0.25">
      <c r="A2" s="5" t="s">
        <v>26</v>
      </c>
      <c r="B2" s="6">
        <v>46296</v>
      </c>
      <c r="C2" s="5" t="s">
        <v>27</v>
      </c>
      <c r="D2" s="5" t="s">
        <v>28</v>
      </c>
      <c r="E2" s="7" t="s">
        <v>29</v>
      </c>
      <c r="F2" s="7" t="s">
        <v>30</v>
      </c>
      <c r="G2" s="8">
        <v>3300</v>
      </c>
      <c r="H2" s="7" t="s">
        <v>31</v>
      </c>
      <c r="I2" s="7"/>
      <c r="J2" s="7"/>
    </row>
    <row r="3" spans="1:10" x14ac:dyDescent="0.25">
      <c r="A3" s="5" t="s">
        <v>26</v>
      </c>
      <c r="B3" s="6">
        <v>46297</v>
      </c>
      <c r="C3" s="5" t="s">
        <v>32</v>
      </c>
      <c r="D3" s="5" t="s">
        <v>33</v>
      </c>
      <c r="E3" s="7" t="s">
        <v>34</v>
      </c>
      <c r="F3" s="7" t="s">
        <v>35</v>
      </c>
      <c r="G3" s="8">
        <v>4060</v>
      </c>
      <c r="H3" s="7" t="s">
        <v>36</v>
      </c>
      <c r="I3" s="7"/>
      <c r="J3" s="7"/>
    </row>
    <row r="4" spans="1:10" x14ac:dyDescent="0.25">
      <c r="A4" s="5" t="s">
        <v>26</v>
      </c>
      <c r="B4" s="6">
        <v>46298</v>
      </c>
      <c r="C4" s="5" t="s">
        <v>32</v>
      </c>
      <c r="D4" s="5" t="s">
        <v>37</v>
      </c>
      <c r="E4" s="7" t="s">
        <v>38</v>
      </c>
      <c r="F4" s="7" t="s">
        <v>39</v>
      </c>
      <c r="G4" s="8">
        <v>3599</v>
      </c>
      <c r="H4" s="7" t="s">
        <v>31</v>
      </c>
      <c r="I4" s="7" t="s">
        <v>40</v>
      </c>
      <c r="J4" s="7"/>
    </row>
    <row r="5" spans="1:10" x14ac:dyDescent="0.25">
      <c r="A5" s="5" t="s">
        <v>26</v>
      </c>
      <c r="B5" s="6">
        <v>46299</v>
      </c>
      <c r="C5" s="5" t="s">
        <v>27</v>
      </c>
      <c r="D5" s="5" t="s">
        <v>41</v>
      </c>
      <c r="E5" s="7" t="s">
        <v>42</v>
      </c>
      <c r="F5" s="7" t="s">
        <v>43</v>
      </c>
      <c r="G5" s="8">
        <v>2080</v>
      </c>
      <c r="H5" s="7" t="s">
        <v>44</v>
      </c>
      <c r="I5" s="7"/>
      <c r="J5" s="7"/>
    </row>
    <row r="6" spans="1:10" x14ac:dyDescent="0.25">
      <c r="A6" s="5" t="s">
        <v>26</v>
      </c>
      <c r="B6" s="6">
        <v>46300</v>
      </c>
      <c r="C6" s="5" t="s">
        <v>32</v>
      </c>
      <c r="D6" s="5" t="s">
        <v>45</v>
      </c>
      <c r="E6" s="7" t="s">
        <v>46</v>
      </c>
      <c r="F6" s="7" t="s">
        <v>30</v>
      </c>
      <c r="G6" s="8">
        <v>3300</v>
      </c>
      <c r="H6" s="7" t="s">
        <v>47</v>
      </c>
      <c r="I6" s="7" t="s">
        <v>48</v>
      </c>
      <c r="J6" s="7"/>
    </row>
    <row r="7" spans="1:10" x14ac:dyDescent="0.25">
      <c r="A7" s="5" t="s">
        <v>26</v>
      </c>
      <c r="B7" s="6">
        <v>46301</v>
      </c>
      <c r="C7" s="5" t="s">
        <v>27</v>
      </c>
      <c r="D7" s="5" t="s">
        <v>49</v>
      </c>
      <c r="E7" s="7" t="s">
        <v>50</v>
      </c>
      <c r="F7" s="7" t="s">
        <v>51</v>
      </c>
      <c r="G7" s="8">
        <v>2350</v>
      </c>
      <c r="H7" s="7" t="s">
        <v>31</v>
      </c>
      <c r="I7" s="7"/>
      <c r="J7" s="7"/>
    </row>
    <row r="8" spans="1:10" x14ac:dyDescent="0.25">
      <c r="A8" s="5" t="s">
        <v>26</v>
      </c>
      <c r="B8" s="6">
        <v>46302</v>
      </c>
      <c r="C8" s="5" t="s">
        <v>27</v>
      </c>
      <c r="D8" s="5" t="s">
        <v>52</v>
      </c>
      <c r="E8" s="7" t="s">
        <v>53</v>
      </c>
      <c r="F8" s="7" t="s">
        <v>54</v>
      </c>
      <c r="G8" s="8">
        <v>2455</v>
      </c>
      <c r="H8" s="7" t="s">
        <v>31</v>
      </c>
      <c r="I8" s="7"/>
      <c r="J8" s="7"/>
    </row>
    <row r="9" spans="1:10" x14ac:dyDescent="0.25">
      <c r="A9" s="5" t="s">
        <v>26</v>
      </c>
      <c r="B9" s="6">
        <v>46303</v>
      </c>
      <c r="C9" s="5" t="s">
        <v>27</v>
      </c>
      <c r="D9" s="5" t="s">
        <v>55</v>
      </c>
      <c r="E9" s="7" t="s">
        <v>56</v>
      </c>
      <c r="F9" s="7" t="s">
        <v>57</v>
      </c>
      <c r="G9" s="8">
        <v>2365</v>
      </c>
      <c r="H9" s="7" t="s">
        <v>58</v>
      </c>
      <c r="I9" s="7"/>
      <c r="J9" s="7"/>
    </row>
    <row r="10" spans="1:10" x14ac:dyDescent="0.25">
      <c r="A10" s="5" t="s">
        <v>26</v>
      </c>
      <c r="B10" s="6">
        <v>46304</v>
      </c>
      <c r="C10" s="5" t="s">
        <v>27</v>
      </c>
      <c r="D10" s="5" t="s">
        <v>59</v>
      </c>
      <c r="E10" s="7" t="s">
        <v>60</v>
      </c>
      <c r="F10" s="7" t="s">
        <v>61</v>
      </c>
      <c r="G10" s="8">
        <v>2395</v>
      </c>
      <c r="H10" s="7"/>
      <c r="I10" s="7"/>
      <c r="J10" s="7"/>
    </row>
    <row r="11" spans="1:10" x14ac:dyDescent="0.25">
      <c r="A11" s="5" t="s">
        <v>26</v>
      </c>
      <c r="B11" s="6">
        <v>46305</v>
      </c>
      <c r="C11" s="5" t="s">
        <v>32</v>
      </c>
      <c r="D11" s="5" t="s">
        <v>62</v>
      </c>
      <c r="E11" s="7" t="s">
        <v>63</v>
      </c>
      <c r="F11" s="7" t="s">
        <v>64</v>
      </c>
      <c r="G11" s="8">
        <v>3670</v>
      </c>
      <c r="H11" s="7" t="s">
        <v>31</v>
      </c>
      <c r="I11" s="7" t="s">
        <v>65</v>
      </c>
      <c r="J11" s="7"/>
    </row>
    <row r="12" spans="1:10" x14ac:dyDescent="0.25">
      <c r="A12" s="5" t="s">
        <v>26</v>
      </c>
      <c r="B12" s="6">
        <v>46305</v>
      </c>
      <c r="C12" s="5" t="s">
        <v>27</v>
      </c>
      <c r="D12" s="5" t="s">
        <v>66</v>
      </c>
      <c r="E12" s="7" t="s">
        <v>67</v>
      </c>
      <c r="F12" s="7" t="s">
        <v>68</v>
      </c>
      <c r="G12" s="8">
        <v>2100</v>
      </c>
      <c r="H12" s="7"/>
      <c r="I12" s="7"/>
      <c r="J12" s="7"/>
    </row>
    <row r="13" spans="1:10" x14ac:dyDescent="0.25">
      <c r="A13" s="5" t="s">
        <v>26</v>
      </c>
      <c r="B13" s="6">
        <v>46306</v>
      </c>
      <c r="C13" s="5" t="s">
        <v>32</v>
      </c>
      <c r="D13" s="5" t="s">
        <v>69</v>
      </c>
      <c r="E13" s="7" t="s">
        <v>70</v>
      </c>
      <c r="F13" s="7" t="s">
        <v>71</v>
      </c>
      <c r="G13" s="8">
        <v>5280</v>
      </c>
      <c r="H13" s="7" t="s">
        <v>72</v>
      </c>
      <c r="I13" s="7"/>
      <c r="J13" s="7"/>
    </row>
    <row r="14" spans="1:10" x14ac:dyDescent="0.25">
      <c r="A14" s="5" t="s">
        <v>26</v>
      </c>
      <c r="B14" s="6">
        <v>46307</v>
      </c>
      <c r="C14" s="5" t="s">
        <v>27</v>
      </c>
      <c r="D14" s="5" t="s">
        <v>73</v>
      </c>
      <c r="E14" s="7" t="s">
        <v>74</v>
      </c>
      <c r="F14" s="7" t="s">
        <v>75</v>
      </c>
      <c r="G14" s="8">
        <v>2855</v>
      </c>
      <c r="H14" s="7" t="s">
        <v>76</v>
      </c>
      <c r="I14" s="7" t="s">
        <v>77</v>
      </c>
      <c r="J14" s="7"/>
    </row>
    <row r="15" spans="1:10" x14ac:dyDescent="0.25">
      <c r="A15" s="5" t="s">
        <v>26</v>
      </c>
      <c r="B15" s="6">
        <v>46308</v>
      </c>
      <c r="C15" s="5" t="s">
        <v>32</v>
      </c>
      <c r="D15" s="5" t="s">
        <v>78</v>
      </c>
      <c r="E15" s="7" t="s">
        <v>79</v>
      </c>
      <c r="F15" s="7" t="s">
        <v>80</v>
      </c>
      <c r="G15" s="8">
        <v>2960</v>
      </c>
      <c r="H15" s="7" t="s">
        <v>81</v>
      </c>
      <c r="I15" s="7"/>
      <c r="J15" s="7"/>
    </row>
    <row r="16" spans="1:10" x14ac:dyDescent="0.25">
      <c r="A16" s="5" t="s">
        <v>26</v>
      </c>
      <c r="B16" s="6">
        <v>46309</v>
      </c>
      <c r="C16" s="5" t="s">
        <v>27</v>
      </c>
      <c r="D16" s="5" t="s">
        <v>82</v>
      </c>
      <c r="E16" s="7" t="s">
        <v>83</v>
      </c>
      <c r="F16" s="7" t="s">
        <v>84</v>
      </c>
      <c r="G16" s="8">
        <v>2070</v>
      </c>
      <c r="H16" s="7" t="s">
        <v>85</v>
      </c>
      <c r="I16" s="7"/>
      <c r="J16" s="7"/>
    </row>
    <row r="17" spans="1:10" x14ac:dyDescent="0.25">
      <c r="A17" s="5" t="s">
        <v>26</v>
      </c>
      <c r="B17" s="6">
        <v>46310</v>
      </c>
      <c r="C17" s="5" t="s">
        <v>27</v>
      </c>
      <c r="D17" s="5" t="s">
        <v>86</v>
      </c>
      <c r="E17" s="7" t="s">
        <v>87</v>
      </c>
      <c r="F17" s="7" t="s">
        <v>87</v>
      </c>
      <c r="G17" s="8">
        <v>2870</v>
      </c>
      <c r="H17" s="7" t="s">
        <v>88</v>
      </c>
      <c r="I17" s="7" t="s">
        <v>89</v>
      </c>
      <c r="J17" s="7"/>
    </row>
    <row r="18" spans="1:10" x14ac:dyDescent="0.25">
      <c r="A18" s="5" t="s">
        <v>26</v>
      </c>
      <c r="B18" s="6">
        <v>46311</v>
      </c>
      <c r="C18" s="5" t="s">
        <v>27</v>
      </c>
      <c r="D18" s="5" t="s">
        <v>90</v>
      </c>
      <c r="E18" s="7" t="s">
        <v>87</v>
      </c>
      <c r="F18" s="7" t="s">
        <v>91</v>
      </c>
      <c r="G18" s="8">
        <v>3250</v>
      </c>
      <c r="H18" s="7" t="s">
        <v>44</v>
      </c>
      <c r="I18" s="7"/>
      <c r="J18" s="7"/>
    </row>
    <row r="19" spans="1:10" x14ac:dyDescent="0.25">
      <c r="A19" s="5" t="s">
        <v>26</v>
      </c>
      <c r="B19" s="6">
        <v>46312</v>
      </c>
      <c r="C19" s="5" t="s">
        <v>32</v>
      </c>
      <c r="D19" s="5" t="s">
        <v>92</v>
      </c>
      <c r="E19" s="7" t="s">
        <v>93</v>
      </c>
      <c r="F19" s="7" t="s">
        <v>94</v>
      </c>
      <c r="G19" s="8">
        <v>3360</v>
      </c>
      <c r="H19" s="7" t="s">
        <v>95</v>
      </c>
      <c r="I19" s="7" t="s">
        <v>96</v>
      </c>
      <c r="J19" s="7"/>
    </row>
    <row r="20" spans="1:10" x14ac:dyDescent="0.25">
      <c r="A20" s="5" t="s">
        <v>26</v>
      </c>
      <c r="B20" s="6">
        <v>46313</v>
      </c>
      <c r="C20" s="5" t="s">
        <v>27</v>
      </c>
      <c r="D20" s="5" t="s">
        <v>97</v>
      </c>
      <c r="E20" s="7" t="s">
        <v>98</v>
      </c>
      <c r="F20" s="7" t="s">
        <v>99</v>
      </c>
      <c r="G20" s="8">
        <v>3275</v>
      </c>
      <c r="H20" s="7" t="s">
        <v>100</v>
      </c>
      <c r="I20" s="7"/>
      <c r="J20" s="7"/>
    </row>
    <row r="21" spans="1:10" x14ac:dyDescent="0.25">
      <c r="A21" s="5" t="s">
        <v>26</v>
      </c>
      <c r="B21" s="6">
        <v>46314</v>
      </c>
      <c r="C21" s="5" t="s">
        <v>32</v>
      </c>
      <c r="D21" s="5" t="s">
        <v>101</v>
      </c>
      <c r="E21" s="7" t="s">
        <v>102</v>
      </c>
      <c r="F21" s="7" t="s">
        <v>99</v>
      </c>
      <c r="G21" s="8">
        <v>3275</v>
      </c>
      <c r="H21" s="7" t="s">
        <v>103</v>
      </c>
      <c r="I21" s="7"/>
      <c r="J21" s="7"/>
    </row>
    <row r="22" spans="1:10" x14ac:dyDescent="0.25">
      <c r="A22" s="5" t="s">
        <v>26</v>
      </c>
      <c r="B22" s="6">
        <v>46315</v>
      </c>
      <c r="C22" s="5" t="s">
        <v>27</v>
      </c>
      <c r="D22" s="5" t="s">
        <v>104</v>
      </c>
      <c r="E22" s="7" t="s">
        <v>105</v>
      </c>
      <c r="F22" s="7" t="s">
        <v>106</v>
      </c>
      <c r="G22" s="8">
        <v>2340</v>
      </c>
      <c r="H22" s="7" t="s">
        <v>31</v>
      </c>
      <c r="I22" s="7" t="s">
        <v>107</v>
      </c>
      <c r="J22" s="7"/>
    </row>
    <row r="23" spans="1:10" x14ac:dyDescent="0.25">
      <c r="A23" s="5" t="s">
        <v>26</v>
      </c>
      <c r="B23" s="6">
        <v>46316</v>
      </c>
      <c r="C23" s="5" t="s">
        <v>27</v>
      </c>
      <c r="D23" s="5" t="s">
        <v>108</v>
      </c>
      <c r="E23" s="7" t="s">
        <v>109</v>
      </c>
      <c r="F23" s="7" t="s">
        <v>87</v>
      </c>
      <c r="G23" s="8">
        <v>0</v>
      </c>
      <c r="H23" s="7"/>
      <c r="I23" s="7"/>
      <c r="J23" s="7"/>
    </row>
    <row r="24" spans="1:10" x14ac:dyDescent="0.25">
      <c r="A24" s="5" t="s">
        <v>26</v>
      </c>
      <c r="B24" s="6">
        <v>46317</v>
      </c>
      <c r="C24" s="5" t="s">
        <v>32</v>
      </c>
      <c r="D24" s="5" t="s">
        <v>110</v>
      </c>
      <c r="E24" s="7" t="s">
        <v>111</v>
      </c>
      <c r="F24" s="7" t="s">
        <v>87</v>
      </c>
      <c r="G24" s="8">
        <v>3760</v>
      </c>
      <c r="H24" s="7" t="s">
        <v>72</v>
      </c>
      <c r="I24" s="7"/>
      <c r="J24" s="7"/>
    </row>
    <row r="25" spans="1:10" x14ac:dyDescent="0.25">
      <c r="A25" s="5" t="s">
        <v>26</v>
      </c>
      <c r="B25" s="6">
        <v>46318</v>
      </c>
      <c r="C25" s="5" t="s">
        <v>27</v>
      </c>
      <c r="D25" s="5" t="s">
        <v>112</v>
      </c>
      <c r="E25" s="7" t="s">
        <v>113</v>
      </c>
      <c r="F25" s="7" t="s">
        <v>114</v>
      </c>
      <c r="G25" s="8">
        <v>2335</v>
      </c>
      <c r="H25" s="7" t="s">
        <v>100</v>
      </c>
      <c r="I25" s="7" t="s">
        <v>40</v>
      </c>
      <c r="J25" s="7"/>
    </row>
    <row r="26" spans="1:10" x14ac:dyDescent="0.25">
      <c r="A26" s="5" t="s">
        <v>115</v>
      </c>
      <c r="B26" s="6">
        <v>46296</v>
      </c>
      <c r="C26" s="5" t="s">
        <v>27</v>
      </c>
      <c r="D26" s="5" t="s">
        <v>116</v>
      </c>
      <c r="E26" s="7" t="s">
        <v>117</v>
      </c>
      <c r="F26" s="7" t="s">
        <v>118</v>
      </c>
      <c r="G26" s="8">
        <v>1925</v>
      </c>
      <c r="H26" s="7" t="s">
        <v>31</v>
      </c>
      <c r="I26" s="7"/>
      <c r="J26" s="7"/>
    </row>
    <row r="27" spans="1:10" x14ac:dyDescent="0.25">
      <c r="A27" s="5" t="s">
        <v>115</v>
      </c>
      <c r="B27" s="6">
        <v>46297</v>
      </c>
      <c r="C27" s="5" t="s">
        <v>27</v>
      </c>
      <c r="D27" s="5" t="s">
        <v>116</v>
      </c>
      <c r="E27" s="7" t="s">
        <v>119</v>
      </c>
      <c r="F27" s="7" t="s">
        <v>120</v>
      </c>
      <c r="G27" s="8">
        <v>2520</v>
      </c>
      <c r="H27" s="7"/>
      <c r="I27" s="7"/>
      <c r="J27" s="7" t="s">
        <v>121</v>
      </c>
    </row>
    <row r="28" spans="1:10" x14ac:dyDescent="0.25">
      <c r="A28" s="5" t="s">
        <v>115</v>
      </c>
      <c r="B28" s="6">
        <v>46298</v>
      </c>
      <c r="C28" s="5" t="s">
        <v>27</v>
      </c>
      <c r="D28" s="5" t="s">
        <v>122</v>
      </c>
      <c r="E28" s="7" t="s">
        <v>123</v>
      </c>
      <c r="F28" s="7" t="s">
        <v>124</v>
      </c>
      <c r="G28" s="8">
        <v>2215</v>
      </c>
      <c r="H28" s="7"/>
      <c r="I28" s="7"/>
      <c r="J28" s="7" t="s">
        <v>125</v>
      </c>
    </row>
    <row r="29" spans="1:10" x14ac:dyDescent="0.25">
      <c r="A29" s="5" t="s">
        <v>115</v>
      </c>
      <c r="B29" s="6">
        <v>46299</v>
      </c>
      <c r="C29" s="5" t="s">
        <v>32</v>
      </c>
      <c r="D29" s="5" t="s">
        <v>126</v>
      </c>
      <c r="E29" s="7" t="s">
        <v>127</v>
      </c>
      <c r="F29" s="7" t="s">
        <v>128</v>
      </c>
      <c r="G29" s="8">
        <v>3860</v>
      </c>
      <c r="H29" s="7" t="s">
        <v>31</v>
      </c>
      <c r="I29" s="7"/>
      <c r="J29" s="7"/>
    </row>
    <row r="30" spans="1:10" x14ac:dyDescent="0.25">
      <c r="A30" s="5" t="s">
        <v>115</v>
      </c>
      <c r="B30" s="6">
        <v>46300</v>
      </c>
      <c r="C30" s="5" t="s">
        <v>27</v>
      </c>
      <c r="D30" s="5" t="s">
        <v>129</v>
      </c>
      <c r="E30" s="7" t="s">
        <v>130</v>
      </c>
      <c r="F30" s="7" t="s">
        <v>131</v>
      </c>
      <c r="G30" s="8">
        <v>2685</v>
      </c>
      <c r="H30" s="7" t="s">
        <v>132</v>
      </c>
      <c r="I30" s="7"/>
      <c r="J30" s="7"/>
    </row>
    <row r="31" spans="1:10" x14ac:dyDescent="0.25">
      <c r="A31" s="5" t="s">
        <v>115</v>
      </c>
      <c r="B31" s="6">
        <v>46302</v>
      </c>
      <c r="C31" s="5" t="s">
        <v>27</v>
      </c>
      <c r="D31" s="5" t="s">
        <v>133</v>
      </c>
      <c r="E31" s="7" t="s">
        <v>134</v>
      </c>
      <c r="F31" s="7" t="s">
        <v>135</v>
      </c>
      <c r="G31" s="8">
        <v>2235</v>
      </c>
      <c r="H31" s="7" t="s">
        <v>136</v>
      </c>
      <c r="I31" s="7"/>
      <c r="J31" s="7"/>
    </row>
    <row r="32" spans="1:10" x14ac:dyDescent="0.25">
      <c r="A32" s="5" t="s">
        <v>115</v>
      </c>
      <c r="B32" s="6">
        <v>46303</v>
      </c>
      <c r="C32" s="5" t="s">
        <v>32</v>
      </c>
      <c r="D32" s="5" t="s">
        <v>101</v>
      </c>
      <c r="E32" s="7" t="s">
        <v>137</v>
      </c>
      <c r="F32" s="7" t="s">
        <v>30</v>
      </c>
      <c r="G32" s="8">
        <v>3300</v>
      </c>
      <c r="H32" s="7" t="s">
        <v>138</v>
      </c>
      <c r="I32" s="7"/>
      <c r="J32" s="7"/>
    </row>
    <row r="33" spans="1:10" x14ac:dyDescent="0.25">
      <c r="A33" s="5" t="s">
        <v>115</v>
      </c>
      <c r="B33" s="6">
        <v>46304</v>
      </c>
      <c r="C33" s="5" t="s">
        <v>27</v>
      </c>
      <c r="D33" s="5" t="s">
        <v>139</v>
      </c>
      <c r="E33" s="7" t="s">
        <v>140</v>
      </c>
      <c r="F33" s="7" t="s">
        <v>75</v>
      </c>
      <c r="G33" s="8">
        <v>2855</v>
      </c>
      <c r="H33" s="7" t="s">
        <v>141</v>
      </c>
      <c r="I33" s="7"/>
      <c r="J33" s="7"/>
    </row>
    <row r="34" spans="1:10" x14ac:dyDescent="0.25">
      <c r="A34" s="5" t="s">
        <v>115</v>
      </c>
      <c r="B34" s="6">
        <v>46305</v>
      </c>
      <c r="C34" s="5" t="s">
        <v>27</v>
      </c>
      <c r="D34" s="5" t="s">
        <v>142</v>
      </c>
      <c r="E34" s="7" t="s">
        <v>143</v>
      </c>
      <c r="F34" s="7" t="s">
        <v>144</v>
      </c>
      <c r="G34" s="8">
        <v>3015</v>
      </c>
      <c r="H34" s="7" t="s">
        <v>145</v>
      </c>
      <c r="I34" s="7"/>
      <c r="J34" s="7"/>
    </row>
    <row r="35" spans="1:10" x14ac:dyDescent="0.25">
      <c r="A35" s="5" t="s">
        <v>115</v>
      </c>
      <c r="B35" s="6">
        <v>46306</v>
      </c>
      <c r="C35" s="5" t="s">
        <v>27</v>
      </c>
      <c r="D35" s="5" t="s">
        <v>146</v>
      </c>
      <c r="E35" s="7" t="s">
        <v>147</v>
      </c>
      <c r="F35" s="7" t="s">
        <v>148</v>
      </c>
      <c r="G35" s="8">
        <v>2825</v>
      </c>
      <c r="H35" s="7" t="s">
        <v>145</v>
      </c>
      <c r="I35" s="7"/>
      <c r="J35" s="7"/>
    </row>
    <row r="36" spans="1:10" x14ac:dyDescent="0.25">
      <c r="A36" s="5" t="s">
        <v>115</v>
      </c>
      <c r="B36" s="6">
        <v>46306</v>
      </c>
      <c r="C36" s="5" t="s">
        <v>27</v>
      </c>
      <c r="D36" s="5" t="s">
        <v>149</v>
      </c>
      <c r="E36" s="7" t="s">
        <v>150</v>
      </c>
      <c r="F36" s="7" t="s">
        <v>151</v>
      </c>
      <c r="G36" s="8">
        <v>1425</v>
      </c>
      <c r="H36" s="7" t="s">
        <v>145</v>
      </c>
      <c r="I36" s="7"/>
      <c r="J36" s="7"/>
    </row>
    <row r="37" spans="1:10" x14ac:dyDescent="0.25">
      <c r="A37" s="5" t="s">
        <v>115</v>
      </c>
      <c r="B37" s="6">
        <v>46307</v>
      </c>
      <c r="C37" s="5" t="s">
        <v>27</v>
      </c>
      <c r="D37" s="5" t="s">
        <v>152</v>
      </c>
      <c r="E37" s="7" t="s">
        <v>153</v>
      </c>
      <c r="F37" s="7" t="s">
        <v>154</v>
      </c>
      <c r="G37" s="8">
        <v>2795</v>
      </c>
      <c r="H37" s="7" t="s">
        <v>145</v>
      </c>
      <c r="I37" s="7"/>
      <c r="J37" s="7"/>
    </row>
    <row r="38" spans="1:10" x14ac:dyDescent="0.25">
      <c r="A38" s="5" t="s">
        <v>115</v>
      </c>
      <c r="B38" s="6">
        <v>46308</v>
      </c>
      <c r="C38" s="5" t="s">
        <v>27</v>
      </c>
      <c r="D38" s="5" t="s">
        <v>104</v>
      </c>
      <c r="E38" s="7" t="s">
        <v>155</v>
      </c>
      <c r="F38" s="7" t="s">
        <v>156</v>
      </c>
      <c r="G38" s="8">
        <v>1415</v>
      </c>
      <c r="H38" s="7" t="s">
        <v>145</v>
      </c>
      <c r="I38" s="7"/>
      <c r="J38" s="7"/>
    </row>
    <row r="39" spans="1:10" x14ac:dyDescent="0.25">
      <c r="A39" s="5" t="s">
        <v>115</v>
      </c>
      <c r="B39" s="6">
        <v>46309</v>
      </c>
      <c r="C39" s="5" t="s">
        <v>27</v>
      </c>
      <c r="D39" s="5" t="s">
        <v>157</v>
      </c>
      <c r="E39" s="7" t="s">
        <v>158</v>
      </c>
      <c r="F39" s="7" t="s">
        <v>159</v>
      </c>
      <c r="G39" s="8">
        <v>2115</v>
      </c>
      <c r="H39" s="7" t="s">
        <v>145</v>
      </c>
      <c r="I39" s="7"/>
      <c r="J39" s="7"/>
    </row>
    <row r="40" spans="1:10" x14ac:dyDescent="0.25">
      <c r="A40" s="5" t="s">
        <v>115</v>
      </c>
      <c r="B40" s="6">
        <v>46310</v>
      </c>
      <c r="C40" s="5" t="s">
        <v>27</v>
      </c>
      <c r="D40" s="5" t="s">
        <v>160</v>
      </c>
      <c r="E40" s="7" t="s">
        <v>161</v>
      </c>
      <c r="F40" s="7" t="s">
        <v>162</v>
      </c>
      <c r="G40" s="8">
        <v>1905</v>
      </c>
      <c r="H40" s="7" t="s">
        <v>145</v>
      </c>
      <c r="I40" s="7"/>
      <c r="J40" s="7"/>
    </row>
    <row r="41" spans="1:10" x14ac:dyDescent="0.25">
      <c r="A41" s="5" t="s">
        <v>115</v>
      </c>
      <c r="B41" s="6">
        <v>46311</v>
      </c>
      <c r="C41" s="5" t="s">
        <v>27</v>
      </c>
      <c r="D41" s="5" t="s">
        <v>163</v>
      </c>
      <c r="E41" s="7" t="s">
        <v>87</v>
      </c>
      <c r="F41" s="7" t="s">
        <v>87</v>
      </c>
      <c r="G41" s="8">
        <v>2775</v>
      </c>
      <c r="H41" s="7" t="s">
        <v>164</v>
      </c>
      <c r="I41" s="7"/>
      <c r="J41" s="7"/>
    </row>
    <row r="42" spans="1:10" x14ac:dyDescent="0.25">
      <c r="A42" s="5" t="s">
        <v>115</v>
      </c>
      <c r="B42" s="6">
        <v>46312</v>
      </c>
      <c r="C42" s="5" t="s">
        <v>27</v>
      </c>
      <c r="D42" s="5" t="s">
        <v>92</v>
      </c>
      <c r="E42" s="7" t="s">
        <v>165</v>
      </c>
      <c r="F42" s="7" t="s">
        <v>166</v>
      </c>
      <c r="G42" s="8">
        <v>1925</v>
      </c>
      <c r="H42" s="7" t="s">
        <v>145</v>
      </c>
      <c r="I42" s="7"/>
      <c r="J42" s="7"/>
    </row>
    <row r="43" spans="1:10" x14ac:dyDescent="0.25">
      <c r="A43" s="5" t="s">
        <v>115</v>
      </c>
      <c r="B43" s="6">
        <v>46314</v>
      </c>
      <c r="C43" s="5" t="s">
        <v>27</v>
      </c>
      <c r="D43" s="5" t="s">
        <v>129</v>
      </c>
      <c r="E43" s="7" t="s">
        <v>167</v>
      </c>
      <c r="F43" s="7" t="s">
        <v>168</v>
      </c>
      <c r="G43" s="8">
        <v>1725</v>
      </c>
      <c r="H43" s="7" t="s">
        <v>145</v>
      </c>
      <c r="I43" s="7"/>
      <c r="J43" s="7"/>
    </row>
    <row r="44" spans="1:10" x14ac:dyDescent="0.25">
      <c r="A44" s="5" t="s">
        <v>115</v>
      </c>
      <c r="B44" s="6">
        <v>46315</v>
      </c>
      <c r="C44" s="5" t="s">
        <v>32</v>
      </c>
      <c r="D44" s="5" t="s">
        <v>169</v>
      </c>
      <c r="E44" s="7" t="s">
        <v>170</v>
      </c>
      <c r="F44" s="7" t="s">
        <v>171</v>
      </c>
      <c r="G44" s="8">
        <v>3660</v>
      </c>
      <c r="H44" s="7" t="s">
        <v>172</v>
      </c>
      <c r="I44" s="7"/>
      <c r="J44" s="7"/>
    </row>
    <row r="45" spans="1:10" x14ac:dyDescent="0.25">
      <c r="A45" s="5" t="s">
        <v>115</v>
      </c>
      <c r="B45" s="6">
        <v>46317</v>
      </c>
      <c r="C45" s="5" t="s">
        <v>27</v>
      </c>
      <c r="D45" s="5" t="s">
        <v>173</v>
      </c>
      <c r="E45" s="7" t="s">
        <v>174</v>
      </c>
      <c r="F45" s="7" t="s">
        <v>175</v>
      </c>
      <c r="G45" s="8">
        <v>1795</v>
      </c>
      <c r="H45" s="7" t="s">
        <v>176</v>
      </c>
      <c r="I45" s="7"/>
      <c r="J45" s="7"/>
    </row>
    <row r="46" spans="1:10" x14ac:dyDescent="0.25">
      <c r="A46" s="5" t="s">
        <v>115</v>
      </c>
      <c r="B46" s="6">
        <v>46318</v>
      </c>
      <c r="C46" s="5" t="s">
        <v>32</v>
      </c>
      <c r="D46" s="5" t="s">
        <v>86</v>
      </c>
      <c r="E46" s="7" t="s">
        <v>177</v>
      </c>
      <c r="F46" s="7" t="s">
        <v>178</v>
      </c>
      <c r="G46" s="8">
        <v>3750</v>
      </c>
      <c r="H46" s="7" t="s">
        <v>179</v>
      </c>
      <c r="I46" s="7"/>
      <c r="J46" s="7"/>
    </row>
    <row r="47" spans="1:10" x14ac:dyDescent="0.25">
      <c r="A47" s="5" t="s">
        <v>26</v>
      </c>
      <c r="B47" s="6">
        <v>46319</v>
      </c>
      <c r="C47" s="5" t="s">
        <v>27</v>
      </c>
      <c r="D47" s="5" t="s">
        <v>234</v>
      </c>
      <c r="E47" s="7" t="s">
        <v>235</v>
      </c>
      <c r="F47" s="7" t="s">
        <v>236</v>
      </c>
      <c r="G47" s="8">
        <v>2815</v>
      </c>
      <c r="H47" s="7" t="s">
        <v>237</v>
      </c>
      <c r="I47" s="7" t="s">
        <v>238</v>
      </c>
      <c r="J47" s="7"/>
    </row>
    <row r="48" spans="1:10" x14ac:dyDescent="0.25">
      <c r="A48" s="5" t="s">
        <v>26</v>
      </c>
      <c r="B48" s="6">
        <v>46320</v>
      </c>
      <c r="C48" s="5" t="s">
        <v>27</v>
      </c>
      <c r="D48" s="5" t="s">
        <v>139</v>
      </c>
      <c r="E48" s="7" t="s">
        <v>239</v>
      </c>
      <c r="F48" s="7" t="s">
        <v>240</v>
      </c>
      <c r="G48" s="8">
        <v>200</v>
      </c>
      <c r="H48" s="7"/>
      <c r="I48" s="7"/>
      <c r="J48" s="7"/>
    </row>
    <row r="49" spans="1:10" x14ac:dyDescent="0.25">
      <c r="A49" s="5" t="s">
        <v>115</v>
      </c>
      <c r="B49" s="6">
        <v>46319</v>
      </c>
      <c r="C49" s="5" t="s">
        <v>27</v>
      </c>
      <c r="D49" s="5" t="s">
        <v>241</v>
      </c>
      <c r="E49" s="7" t="s">
        <v>242</v>
      </c>
      <c r="F49" s="7" t="s">
        <v>246</v>
      </c>
      <c r="G49" s="8">
        <v>2415</v>
      </c>
      <c r="H49" s="7" t="s">
        <v>243</v>
      </c>
      <c r="I49" s="7" t="s">
        <v>245</v>
      </c>
      <c r="J49" s="7" t="s">
        <v>244</v>
      </c>
    </row>
    <row r="50" spans="1:10" x14ac:dyDescent="0.25">
      <c r="A50" s="5" t="s">
        <v>115</v>
      </c>
      <c r="B50" s="6">
        <v>46320</v>
      </c>
      <c r="C50" s="5" t="s">
        <v>32</v>
      </c>
      <c r="D50" s="5" t="s">
        <v>247</v>
      </c>
      <c r="E50" s="7" t="s">
        <v>248</v>
      </c>
      <c r="F50" s="7" t="s">
        <v>249</v>
      </c>
      <c r="G50" s="8">
        <v>3560</v>
      </c>
      <c r="H50" s="7" t="s">
        <v>250</v>
      </c>
      <c r="I50" s="7" t="s">
        <v>251</v>
      </c>
      <c r="J50" s="7"/>
    </row>
    <row r="51" spans="1:10" x14ac:dyDescent="0.25">
      <c r="A51" s="5"/>
      <c r="B51" s="6"/>
      <c r="C51" s="5"/>
      <c r="D51" s="5"/>
      <c r="E51" s="7"/>
      <c r="F51" s="7"/>
      <c r="G51" s="8"/>
      <c r="H51" s="7"/>
      <c r="I51" s="7"/>
      <c r="J51" s="7"/>
    </row>
    <row r="52" spans="1:10" x14ac:dyDescent="0.25">
      <c r="A52" s="5"/>
      <c r="B52" s="6"/>
      <c r="C52" s="5"/>
      <c r="D52" s="5"/>
      <c r="E52" s="7"/>
      <c r="F52" s="7"/>
      <c r="G52" s="8"/>
      <c r="H52" s="7"/>
      <c r="I52" s="7"/>
      <c r="J52" s="7"/>
    </row>
    <row r="53" spans="1:10" x14ac:dyDescent="0.25">
      <c r="A53" s="5"/>
      <c r="B53" s="6"/>
      <c r="C53" s="5"/>
      <c r="D53" s="5"/>
      <c r="E53" s="7"/>
      <c r="F53" s="7"/>
      <c r="G53" s="8"/>
      <c r="H53" s="7"/>
      <c r="I53" s="7"/>
      <c r="J53" s="7"/>
    </row>
    <row r="54" spans="1:10" x14ac:dyDescent="0.25">
      <c r="A54" s="5"/>
      <c r="B54" s="6"/>
      <c r="C54" s="5"/>
      <c r="D54" s="5"/>
      <c r="E54" s="7"/>
      <c r="F54" s="7"/>
      <c r="G54" s="8"/>
      <c r="H54" s="7"/>
      <c r="I54" s="7"/>
      <c r="J54" s="7"/>
    </row>
    <row r="55" spans="1:10" x14ac:dyDescent="0.25">
      <c r="A55" s="5"/>
      <c r="B55" s="6"/>
      <c r="C55" s="5"/>
      <c r="D55" s="5"/>
      <c r="E55" s="7"/>
      <c r="F55" s="7"/>
      <c r="G55" s="8"/>
      <c r="H55" s="7"/>
      <c r="I55" s="7"/>
      <c r="J55" s="7"/>
    </row>
    <row r="56" spans="1:10" x14ac:dyDescent="0.25">
      <c r="A56" s="5"/>
      <c r="B56" s="6"/>
      <c r="C56" s="5"/>
      <c r="D56" s="5"/>
      <c r="E56" s="7"/>
      <c r="F56" s="7"/>
      <c r="G56" s="8"/>
      <c r="H56" s="7"/>
      <c r="I56" s="7"/>
      <c r="J56" s="7"/>
    </row>
    <row r="57" spans="1:10" x14ac:dyDescent="0.25">
      <c r="A57" s="5"/>
      <c r="B57" s="6"/>
      <c r="C57" s="5"/>
      <c r="D57" s="5"/>
      <c r="E57" s="7"/>
      <c r="F57" s="7"/>
      <c r="G57" s="8"/>
      <c r="H57" s="7"/>
      <c r="I57" s="7"/>
      <c r="J57" s="7"/>
    </row>
    <row r="58" spans="1:10" x14ac:dyDescent="0.25">
      <c r="A58" s="5"/>
      <c r="B58" s="6"/>
      <c r="C58" s="5"/>
      <c r="D58" s="5"/>
      <c r="E58" s="7"/>
      <c r="F58" s="7"/>
      <c r="G58" s="8"/>
      <c r="H58" s="7"/>
      <c r="I58" s="7"/>
      <c r="J58" s="7"/>
    </row>
    <row r="59" spans="1:10" x14ac:dyDescent="0.25">
      <c r="A59" s="5"/>
      <c r="B59" s="6"/>
      <c r="C59" s="5"/>
      <c r="D59" s="5"/>
      <c r="E59" s="7"/>
      <c r="F59" s="7"/>
      <c r="G59" s="8"/>
      <c r="H59" s="7"/>
      <c r="I59" s="7"/>
      <c r="J59" s="7"/>
    </row>
    <row r="60" spans="1:10" x14ac:dyDescent="0.25">
      <c r="A60" s="5"/>
      <c r="B60" s="6"/>
      <c r="C60" s="5"/>
      <c r="D60" s="5"/>
      <c r="E60" s="7"/>
      <c r="F60" s="7"/>
      <c r="G60" s="8"/>
      <c r="H60" s="7"/>
      <c r="I60" s="7"/>
      <c r="J60" s="7"/>
    </row>
    <row r="61" spans="1:10" x14ac:dyDescent="0.25">
      <c r="A61" s="5"/>
      <c r="B61" s="6"/>
      <c r="C61" s="5"/>
      <c r="D61" s="5"/>
      <c r="E61" s="7"/>
      <c r="F61" s="7"/>
      <c r="G61" s="8"/>
      <c r="H61" s="7"/>
      <c r="I61" s="7"/>
      <c r="J61" s="7"/>
    </row>
    <row r="62" spans="1:10" x14ac:dyDescent="0.25">
      <c r="A62" s="5"/>
      <c r="B62" s="6"/>
      <c r="C62" s="5"/>
      <c r="D62" s="5"/>
      <c r="E62" s="7"/>
      <c r="F62" s="7"/>
      <c r="G62" s="8"/>
      <c r="H62" s="7"/>
      <c r="I62" s="7"/>
      <c r="J62" s="7"/>
    </row>
    <row r="63" spans="1:10" x14ac:dyDescent="0.25">
      <c r="A63" s="5"/>
      <c r="B63" s="6"/>
      <c r="C63" s="5"/>
      <c r="D63" s="5"/>
      <c r="E63" s="7"/>
      <c r="F63" s="7"/>
      <c r="G63" s="8"/>
      <c r="H63" s="7"/>
      <c r="I63" s="7"/>
      <c r="J63" s="7"/>
    </row>
    <row r="64" spans="1:10" x14ac:dyDescent="0.25">
      <c r="A64" s="5"/>
      <c r="B64" s="6"/>
      <c r="C64" s="5"/>
      <c r="D64" s="5"/>
      <c r="E64" s="7"/>
      <c r="F64" s="7"/>
      <c r="G64" s="8"/>
      <c r="H64" s="7"/>
      <c r="I64" s="7"/>
      <c r="J64" s="7"/>
    </row>
    <row r="65" spans="1:10" x14ac:dyDescent="0.25">
      <c r="A65" s="5"/>
      <c r="B65" s="6"/>
      <c r="C65" s="5"/>
      <c r="D65" s="5"/>
      <c r="E65" s="7"/>
      <c r="F65" s="7"/>
      <c r="G65" s="8"/>
      <c r="H65" s="7"/>
      <c r="I65" s="7"/>
      <c r="J65" s="7"/>
    </row>
    <row r="66" spans="1:10" x14ac:dyDescent="0.25">
      <c r="A66" s="5"/>
      <c r="B66" s="6"/>
      <c r="C66" s="5"/>
      <c r="D66" s="5"/>
      <c r="E66" s="7"/>
      <c r="F66" s="7"/>
      <c r="G66" s="8"/>
      <c r="H66" s="7"/>
      <c r="I66" s="7"/>
      <c r="J66" s="7"/>
    </row>
    <row r="67" spans="1:10" x14ac:dyDescent="0.25">
      <c r="A67" s="5"/>
      <c r="B67" s="6"/>
      <c r="C67" s="5"/>
      <c r="D67" s="5"/>
      <c r="E67" s="7"/>
      <c r="F67" s="7"/>
      <c r="G67" s="8"/>
      <c r="H67" s="7"/>
      <c r="I67" s="7"/>
      <c r="J67" s="7"/>
    </row>
    <row r="68" spans="1:10" x14ac:dyDescent="0.25">
      <c r="A68" s="5"/>
      <c r="B68" s="6"/>
      <c r="C68" s="5"/>
      <c r="D68" s="5"/>
      <c r="E68" s="7"/>
      <c r="F68" s="7"/>
      <c r="G68" s="8"/>
      <c r="H68" s="7"/>
      <c r="I68" s="7"/>
      <c r="J68" s="7"/>
    </row>
    <row r="69" spans="1:10" x14ac:dyDescent="0.25">
      <c r="A69" s="5"/>
      <c r="B69" s="6"/>
      <c r="C69" s="5"/>
      <c r="D69" s="5"/>
      <c r="E69" s="7"/>
      <c r="F69" s="7"/>
      <c r="G69" s="8"/>
      <c r="H69" s="7"/>
      <c r="I69" s="7"/>
      <c r="J69" s="7"/>
    </row>
    <row r="70" spans="1:10" x14ac:dyDescent="0.25">
      <c r="A70" s="5"/>
      <c r="B70" s="6"/>
      <c r="C70" s="5"/>
      <c r="D70" s="5"/>
      <c r="E70" s="7"/>
      <c r="F70" s="7"/>
      <c r="G70" s="8"/>
      <c r="H70" s="7"/>
      <c r="I70" s="7"/>
      <c r="J70" s="7"/>
    </row>
    <row r="71" spans="1:10" x14ac:dyDescent="0.25">
      <c r="A71" s="5"/>
      <c r="B71" s="6"/>
      <c r="C71" s="5"/>
      <c r="D71" s="5"/>
      <c r="E71" s="7"/>
      <c r="F71" s="7"/>
      <c r="G71" s="8"/>
      <c r="H71" s="7"/>
      <c r="I71" s="7"/>
      <c r="J71" s="7"/>
    </row>
    <row r="72" spans="1:10" x14ac:dyDescent="0.25">
      <c r="A72" s="5"/>
      <c r="B72" s="6"/>
      <c r="C72" s="5"/>
      <c r="D72" s="5"/>
      <c r="E72" s="7"/>
      <c r="F72" s="7"/>
      <c r="G72" s="8"/>
      <c r="H72" s="7"/>
      <c r="I72" s="7"/>
      <c r="J72" s="7"/>
    </row>
    <row r="73" spans="1:10" x14ac:dyDescent="0.25">
      <c r="A73" s="5"/>
      <c r="B73" s="6"/>
      <c r="C73" s="5"/>
      <c r="D73" s="5"/>
      <c r="E73" s="7"/>
      <c r="F73" s="7"/>
      <c r="G73" s="8"/>
      <c r="H73" s="7"/>
      <c r="I73" s="7"/>
      <c r="J73" s="7"/>
    </row>
    <row r="74" spans="1:10" x14ac:dyDescent="0.25">
      <c r="A74" s="5"/>
      <c r="B74" s="6"/>
      <c r="C74" s="5"/>
      <c r="D74" s="5"/>
      <c r="E74" s="7"/>
      <c r="F74" s="7"/>
      <c r="G74" s="8"/>
      <c r="H74" s="7"/>
      <c r="I74" s="7"/>
      <c r="J74" s="7"/>
    </row>
    <row r="75" spans="1:10" x14ac:dyDescent="0.25">
      <c r="A75" s="5"/>
      <c r="B75" s="6"/>
      <c r="C75" s="5"/>
      <c r="D75" s="5"/>
      <c r="E75" s="7"/>
      <c r="F75" s="7"/>
      <c r="G75" s="8"/>
      <c r="H75" s="7"/>
      <c r="I75" s="7"/>
      <c r="J75" s="7"/>
    </row>
    <row r="76" spans="1:10" x14ac:dyDescent="0.25">
      <c r="A76" s="5"/>
      <c r="B76" s="6"/>
      <c r="C76" s="5"/>
      <c r="D76" s="5"/>
      <c r="E76" s="7"/>
      <c r="F76" s="7"/>
      <c r="G76" s="8"/>
      <c r="H76" s="7"/>
      <c r="I76" s="7"/>
      <c r="J76" s="7"/>
    </row>
    <row r="77" spans="1:10" x14ac:dyDescent="0.25">
      <c r="A77" s="5"/>
      <c r="B77" s="6"/>
      <c r="C77" s="5"/>
      <c r="D77" s="5"/>
      <c r="E77" s="7"/>
      <c r="F77" s="7"/>
      <c r="G77" s="8"/>
      <c r="H77" s="7"/>
      <c r="I77" s="7"/>
      <c r="J77" s="7"/>
    </row>
    <row r="78" spans="1:10" x14ac:dyDescent="0.25">
      <c r="A78" s="5"/>
      <c r="B78" s="6"/>
      <c r="C78" s="5"/>
      <c r="D78" s="5"/>
      <c r="E78" s="7"/>
      <c r="F78" s="7"/>
      <c r="G78" s="8"/>
      <c r="H78" s="7"/>
      <c r="I78" s="7"/>
      <c r="J78" s="7"/>
    </row>
    <row r="79" spans="1:10" x14ac:dyDescent="0.25">
      <c r="A79" s="5"/>
      <c r="B79" s="6"/>
      <c r="C79" s="5"/>
      <c r="D79" s="5"/>
      <c r="E79" s="7"/>
      <c r="F79" s="7"/>
      <c r="G79" s="8"/>
      <c r="H79" s="7"/>
      <c r="I79" s="7"/>
      <c r="J79" s="7"/>
    </row>
    <row r="80" spans="1:10" x14ac:dyDescent="0.25">
      <c r="A80" s="5"/>
      <c r="B80" s="6"/>
      <c r="C80" s="5"/>
      <c r="D80" s="5"/>
      <c r="E80" s="7"/>
      <c r="F80" s="7"/>
      <c r="G80" s="8"/>
      <c r="H80" s="7"/>
      <c r="I80" s="7"/>
      <c r="J80" s="7"/>
    </row>
    <row r="81" spans="1:10" x14ac:dyDescent="0.25">
      <c r="A81" s="5"/>
      <c r="B81" s="6"/>
      <c r="C81" s="5"/>
      <c r="D81" s="5"/>
      <c r="E81" s="7"/>
      <c r="F81" s="7"/>
      <c r="G81" s="8"/>
      <c r="H81" s="7"/>
      <c r="I81" s="7"/>
      <c r="J81" s="7"/>
    </row>
    <row r="82" spans="1:10" x14ac:dyDescent="0.25">
      <c r="A82" s="5"/>
      <c r="B82" s="6"/>
      <c r="C82" s="5"/>
      <c r="D82" s="5"/>
      <c r="E82" s="7"/>
      <c r="F82" s="7"/>
      <c r="G82" s="8"/>
      <c r="H82" s="7"/>
      <c r="I82" s="7"/>
      <c r="J82" s="7"/>
    </row>
    <row r="83" spans="1:10" x14ac:dyDescent="0.25">
      <c r="A83" s="5"/>
      <c r="B83" s="6"/>
      <c r="C83" s="5"/>
      <c r="D83" s="5"/>
      <c r="E83" s="7"/>
      <c r="F83" s="7"/>
      <c r="G83" s="8"/>
      <c r="H83" s="7"/>
      <c r="I83" s="7"/>
      <c r="J83" s="7"/>
    </row>
    <row r="84" spans="1:10" x14ac:dyDescent="0.25">
      <c r="A84" s="5"/>
      <c r="B84" s="6"/>
      <c r="C84" s="5"/>
      <c r="D84" s="5"/>
      <c r="E84" s="7"/>
      <c r="F84" s="7"/>
      <c r="G84" s="8"/>
      <c r="H84" s="7"/>
      <c r="I84" s="7"/>
      <c r="J84" s="7"/>
    </row>
    <row r="85" spans="1:10" x14ac:dyDescent="0.25">
      <c r="A85" s="5"/>
      <c r="B85" s="6"/>
      <c r="C85" s="5"/>
      <c r="D85" s="5"/>
      <c r="E85" s="7"/>
      <c r="F85" s="7"/>
      <c r="G85" s="8"/>
      <c r="H85" s="7"/>
      <c r="I85" s="7"/>
      <c r="J85" s="7"/>
    </row>
    <row r="86" spans="1:10" x14ac:dyDescent="0.25">
      <c r="A86" s="5"/>
      <c r="B86" s="6"/>
      <c r="C86" s="5"/>
      <c r="D86" s="5"/>
      <c r="E86" s="7"/>
      <c r="F86" s="7"/>
      <c r="G86" s="8"/>
      <c r="H86" s="7"/>
      <c r="I86" s="7"/>
      <c r="J86" s="7"/>
    </row>
    <row r="87" spans="1:10" x14ac:dyDescent="0.25">
      <c r="A87" s="5"/>
      <c r="B87" s="6"/>
      <c r="C87" s="5"/>
      <c r="D87" s="5"/>
      <c r="E87" s="7"/>
      <c r="F87" s="7"/>
      <c r="G87" s="8"/>
      <c r="H87" s="7"/>
      <c r="I87" s="7"/>
      <c r="J87" s="7"/>
    </row>
    <row r="88" spans="1:10" x14ac:dyDescent="0.25">
      <c r="A88" s="5"/>
      <c r="B88" s="6"/>
      <c r="C88" s="5"/>
      <c r="D88" s="5"/>
      <c r="E88" s="7"/>
      <c r="F88" s="7"/>
      <c r="G88" s="8"/>
      <c r="H88" s="7"/>
      <c r="I88" s="7"/>
      <c r="J88" s="7"/>
    </row>
    <row r="89" spans="1:10" x14ac:dyDescent="0.25">
      <c r="A89" s="5"/>
      <c r="B89" s="6"/>
      <c r="C89" s="5"/>
      <c r="D89" s="5"/>
      <c r="E89" s="7"/>
      <c r="F89" s="7"/>
      <c r="G89" s="8"/>
      <c r="H89" s="7"/>
      <c r="I89" s="7"/>
      <c r="J89" s="7"/>
    </row>
    <row r="90" spans="1:10" x14ac:dyDescent="0.25">
      <c r="A90" s="5"/>
      <c r="B90" s="6"/>
      <c r="C90" s="5"/>
      <c r="D90" s="5"/>
      <c r="E90" s="7"/>
      <c r="F90" s="7"/>
      <c r="G90" s="8"/>
      <c r="H90" s="7"/>
      <c r="I90" s="7"/>
      <c r="J90" s="7"/>
    </row>
    <row r="91" spans="1:10" x14ac:dyDescent="0.25">
      <c r="A91" s="5"/>
      <c r="B91" s="6"/>
      <c r="C91" s="5"/>
      <c r="D91" s="5"/>
      <c r="E91" s="7"/>
      <c r="F91" s="7"/>
      <c r="G91" s="8"/>
      <c r="H91" s="7"/>
      <c r="I91" s="7"/>
      <c r="J91" s="7"/>
    </row>
    <row r="92" spans="1:10" x14ac:dyDescent="0.25">
      <c r="A92" s="5"/>
      <c r="B92" s="6"/>
      <c r="C92" s="5"/>
      <c r="D92" s="5"/>
      <c r="E92" s="7"/>
      <c r="F92" s="7"/>
      <c r="G92" s="8"/>
      <c r="H92" s="7"/>
      <c r="I92" s="7"/>
      <c r="J92" s="7"/>
    </row>
    <row r="93" spans="1:10" x14ac:dyDescent="0.25">
      <c r="A93" s="5"/>
      <c r="B93" s="6"/>
      <c r="C93" s="5"/>
      <c r="D93" s="5"/>
      <c r="E93" s="7"/>
      <c r="F93" s="7"/>
      <c r="G93" s="8"/>
      <c r="H93" s="7"/>
      <c r="I93" s="7"/>
      <c r="J93" s="7"/>
    </row>
    <row r="94" spans="1:10" x14ac:dyDescent="0.25">
      <c r="A94" s="5"/>
      <c r="B94" s="6"/>
      <c r="C94" s="5"/>
      <c r="D94" s="5"/>
      <c r="E94" s="7"/>
      <c r="F94" s="7"/>
      <c r="G94" s="8"/>
      <c r="H94" s="7"/>
      <c r="I94" s="7"/>
      <c r="J94" s="7"/>
    </row>
    <row r="95" spans="1:10" x14ac:dyDescent="0.25">
      <c r="A95" s="5"/>
      <c r="B95" s="6"/>
      <c r="C95" s="5"/>
      <c r="D95" s="5"/>
      <c r="E95" s="7"/>
      <c r="F95" s="7"/>
      <c r="G95" s="8"/>
      <c r="H95" s="7"/>
      <c r="I95" s="7"/>
      <c r="J95" s="7"/>
    </row>
    <row r="96" spans="1:10" x14ac:dyDescent="0.25">
      <c r="A96" s="5"/>
      <c r="B96" s="6"/>
      <c r="C96" s="5"/>
      <c r="D96" s="5"/>
      <c r="E96" s="7"/>
      <c r="F96" s="7"/>
      <c r="G96" s="8"/>
      <c r="H96" s="7"/>
      <c r="I96" s="7"/>
      <c r="J96" s="7"/>
    </row>
    <row r="97" spans="1:10" x14ac:dyDescent="0.25">
      <c r="A97" s="5"/>
      <c r="B97" s="6"/>
      <c r="C97" s="5"/>
      <c r="D97" s="5"/>
      <c r="E97" s="7"/>
      <c r="F97" s="7"/>
      <c r="G97" s="8"/>
      <c r="H97" s="7"/>
      <c r="I97" s="7"/>
      <c r="J97" s="7"/>
    </row>
    <row r="98" spans="1:10" x14ac:dyDescent="0.25">
      <c r="A98" s="5"/>
      <c r="B98" s="6"/>
      <c r="C98" s="5"/>
      <c r="D98" s="5"/>
      <c r="E98" s="7"/>
      <c r="F98" s="7"/>
      <c r="G98" s="8"/>
      <c r="H98" s="7"/>
      <c r="I98" s="7"/>
      <c r="J98" s="7"/>
    </row>
    <row r="99" spans="1:10" x14ac:dyDescent="0.25">
      <c r="A99" s="5"/>
      <c r="B99" s="6"/>
      <c r="C99" s="5"/>
      <c r="D99" s="5"/>
      <c r="E99" s="7"/>
      <c r="F99" s="7"/>
      <c r="G99" s="8"/>
      <c r="H99" s="7"/>
      <c r="I99" s="7"/>
      <c r="J99" s="7"/>
    </row>
    <row r="100" spans="1:10" x14ac:dyDescent="0.25">
      <c r="A100" s="5"/>
      <c r="B100" s="6"/>
      <c r="C100" s="5"/>
      <c r="D100" s="5"/>
      <c r="E100" s="7"/>
      <c r="F100" s="7"/>
      <c r="G100" s="8"/>
      <c r="H100" s="7"/>
      <c r="I100" s="7"/>
      <c r="J100" s="7"/>
    </row>
    <row r="101" spans="1:10" x14ac:dyDescent="0.25">
      <c r="A101" s="5"/>
      <c r="B101" s="6"/>
      <c r="C101" s="5"/>
      <c r="D101" s="5"/>
      <c r="E101" s="7"/>
      <c r="F101" s="7"/>
      <c r="G101" s="8"/>
      <c r="H101" s="7"/>
      <c r="I101" s="7"/>
      <c r="J101" s="7"/>
    </row>
    <row r="102" spans="1:10" x14ac:dyDescent="0.25">
      <c r="A102" s="5"/>
      <c r="B102" s="6"/>
      <c r="C102" s="5"/>
      <c r="D102" s="5"/>
      <c r="E102" s="7"/>
      <c r="F102" s="7"/>
      <c r="G102" s="8"/>
      <c r="H102" s="7"/>
      <c r="I102" s="7"/>
      <c r="J102" s="7"/>
    </row>
    <row r="103" spans="1:10" x14ac:dyDescent="0.25">
      <c r="A103" s="5"/>
      <c r="B103" s="6"/>
      <c r="C103" s="5"/>
      <c r="D103" s="5"/>
      <c r="E103" s="7"/>
      <c r="F103" s="7"/>
      <c r="G103" s="8"/>
      <c r="H103" s="7"/>
      <c r="I103" s="7"/>
      <c r="J103" s="7"/>
    </row>
    <row r="104" spans="1:10" x14ac:dyDescent="0.25">
      <c r="A104" s="5"/>
      <c r="B104" s="6"/>
      <c r="C104" s="5"/>
      <c r="D104" s="5"/>
      <c r="E104" s="7"/>
      <c r="F104" s="7"/>
      <c r="G104" s="8"/>
      <c r="H104" s="7"/>
      <c r="I104" s="7"/>
      <c r="J104" s="7"/>
    </row>
    <row r="105" spans="1:10" x14ac:dyDescent="0.25">
      <c r="A105" s="5"/>
      <c r="B105" s="6"/>
      <c r="C105" s="5"/>
      <c r="D105" s="5"/>
      <c r="E105" s="7"/>
      <c r="F105" s="7"/>
      <c r="G105" s="8"/>
      <c r="H105" s="7"/>
      <c r="I105" s="7"/>
      <c r="J105" s="7"/>
    </row>
    <row r="106" spans="1:10" x14ac:dyDescent="0.25">
      <c r="A106" s="5"/>
      <c r="B106" s="6"/>
      <c r="C106" s="5"/>
      <c r="D106" s="5"/>
      <c r="E106" s="7"/>
      <c r="F106" s="7"/>
      <c r="G106" s="8"/>
      <c r="H106" s="7"/>
      <c r="I106" s="7"/>
      <c r="J106" s="7"/>
    </row>
    <row r="107" spans="1:10" x14ac:dyDescent="0.25">
      <c r="A107" s="5"/>
      <c r="B107" s="6"/>
      <c r="C107" s="5"/>
      <c r="D107" s="5"/>
      <c r="E107" s="7"/>
      <c r="F107" s="7"/>
      <c r="G107" s="8"/>
      <c r="H107" s="7"/>
      <c r="I107" s="7"/>
      <c r="J107" s="7"/>
    </row>
    <row r="108" spans="1:10" x14ac:dyDescent="0.25">
      <c r="A108" s="5"/>
      <c r="B108" s="6"/>
      <c r="C108" s="5"/>
      <c r="D108" s="5"/>
      <c r="E108" s="7"/>
      <c r="F108" s="7"/>
      <c r="G108" s="8"/>
      <c r="H108" s="7"/>
      <c r="I108" s="7"/>
      <c r="J108" s="7"/>
    </row>
    <row r="109" spans="1:10" x14ac:dyDescent="0.25">
      <c r="A109" s="5"/>
      <c r="B109" s="6"/>
      <c r="C109" s="5"/>
      <c r="D109" s="5"/>
      <c r="E109" s="7"/>
      <c r="F109" s="7"/>
      <c r="G109" s="8"/>
      <c r="H109" s="7"/>
      <c r="I109" s="7"/>
      <c r="J109" s="7"/>
    </row>
    <row r="110" spans="1:10" x14ac:dyDescent="0.25">
      <c r="A110" s="5"/>
      <c r="B110" s="6"/>
      <c r="C110" s="5"/>
      <c r="D110" s="5"/>
      <c r="E110" s="7"/>
      <c r="F110" s="7"/>
      <c r="G110" s="8"/>
      <c r="H110" s="7"/>
      <c r="I110" s="7"/>
      <c r="J110" s="7"/>
    </row>
    <row r="111" spans="1:10" x14ac:dyDescent="0.25">
      <c r="A111" s="5"/>
      <c r="B111" s="6"/>
      <c r="C111" s="5"/>
      <c r="D111" s="5"/>
      <c r="E111" s="7"/>
      <c r="F111" s="7"/>
      <c r="G111" s="8"/>
      <c r="H111" s="7"/>
      <c r="I111" s="7"/>
      <c r="J111" s="7"/>
    </row>
    <row r="112" spans="1:10" x14ac:dyDescent="0.25">
      <c r="A112" s="5"/>
      <c r="B112" s="6"/>
      <c r="C112" s="5"/>
      <c r="D112" s="5"/>
      <c r="E112" s="7"/>
      <c r="F112" s="7"/>
      <c r="G112" s="8"/>
      <c r="H112" s="7"/>
      <c r="I112" s="7"/>
      <c r="J112" s="7"/>
    </row>
    <row r="113" spans="1:10" x14ac:dyDescent="0.25">
      <c r="A113" s="5"/>
      <c r="B113" s="6"/>
      <c r="C113" s="5"/>
      <c r="D113" s="5"/>
      <c r="E113" s="7"/>
      <c r="F113" s="7"/>
      <c r="G113" s="8"/>
      <c r="H113" s="7"/>
      <c r="I113" s="7"/>
      <c r="J113" s="7"/>
    </row>
    <row r="114" spans="1:10" x14ac:dyDescent="0.25">
      <c r="A114" s="5"/>
      <c r="B114" s="6"/>
      <c r="C114" s="5"/>
      <c r="D114" s="5"/>
      <c r="E114" s="7"/>
      <c r="F114" s="7"/>
      <c r="G114" s="8"/>
      <c r="H114" s="7"/>
      <c r="I114" s="7"/>
      <c r="J114" s="7"/>
    </row>
    <row r="115" spans="1:10" x14ac:dyDescent="0.25">
      <c r="A115" s="5"/>
      <c r="B115" s="6"/>
      <c r="C115" s="5"/>
      <c r="D115" s="5"/>
      <c r="E115" s="7"/>
      <c r="F115" s="7"/>
      <c r="G115" s="8"/>
      <c r="H115" s="7"/>
      <c r="I115" s="7"/>
      <c r="J115" s="7"/>
    </row>
    <row r="116" spans="1:10" x14ac:dyDescent="0.25">
      <c r="A116" s="5"/>
      <c r="B116" s="6"/>
      <c r="C116" s="5"/>
      <c r="D116" s="5"/>
      <c r="E116" s="7"/>
      <c r="F116" s="7"/>
      <c r="G116" s="8"/>
      <c r="H116" s="7"/>
      <c r="I116" s="7"/>
      <c r="J116" s="7"/>
    </row>
    <row r="117" spans="1:10" x14ac:dyDescent="0.25">
      <c r="A117" s="5"/>
      <c r="B117" s="6"/>
      <c r="C117" s="5"/>
      <c r="D117" s="5"/>
      <c r="E117" s="7"/>
      <c r="F117" s="7"/>
      <c r="G117" s="8"/>
      <c r="H117" s="7"/>
      <c r="I117" s="7"/>
      <c r="J117" s="7"/>
    </row>
    <row r="118" spans="1:10" x14ac:dyDescent="0.25">
      <c r="A118" s="5"/>
      <c r="B118" s="6"/>
      <c r="C118" s="5"/>
      <c r="D118" s="5"/>
      <c r="E118" s="7"/>
      <c r="F118" s="7"/>
      <c r="G118" s="8"/>
      <c r="H118" s="7"/>
      <c r="I118" s="7"/>
      <c r="J118" s="7"/>
    </row>
    <row r="119" spans="1:10" x14ac:dyDescent="0.25">
      <c r="A119" s="5"/>
      <c r="B119" s="6"/>
      <c r="C119" s="5"/>
      <c r="D119" s="5"/>
      <c r="E119" s="7"/>
      <c r="F119" s="7"/>
      <c r="G119" s="8"/>
      <c r="H119" s="7"/>
      <c r="I119" s="7"/>
      <c r="J119" s="7"/>
    </row>
    <row r="120" spans="1:10" x14ac:dyDescent="0.25">
      <c r="A120" s="5"/>
      <c r="B120" s="6"/>
      <c r="C120" s="5"/>
      <c r="D120" s="5"/>
      <c r="E120" s="7"/>
      <c r="F120" s="7"/>
      <c r="G120" s="8"/>
      <c r="H120" s="7"/>
      <c r="I120" s="7"/>
      <c r="J120" s="7"/>
    </row>
    <row r="121" spans="1:10" x14ac:dyDescent="0.25">
      <c r="A121" s="5"/>
      <c r="B121" s="6"/>
      <c r="C121" s="5"/>
      <c r="D121" s="5"/>
      <c r="E121" s="7"/>
      <c r="F121" s="7"/>
      <c r="G121" s="8"/>
      <c r="H121" s="7"/>
      <c r="I121" s="7"/>
      <c r="J121" s="7"/>
    </row>
    <row r="122" spans="1:10" x14ac:dyDescent="0.25">
      <c r="A122" s="5"/>
      <c r="B122" s="6"/>
      <c r="C122" s="5"/>
      <c r="D122" s="5"/>
      <c r="E122" s="7"/>
      <c r="F122" s="7"/>
      <c r="G122" s="8"/>
      <c r="H122" s="7"/>
      <c r="I122" s="7"/>
      <c r="J122" s="7"/>
    </row>
    <row r="123" spans="1:10" x14ac:dyDescent="0.25">
      <c r="A123" s="5"/>
      <c r="B123" s="6"/>
      <c r="C123" s="5"/>
      <c r="D123" s="5"/>
      <c r="E123" s="7"/>
      <c r="F123" s="7"/>
      <c r="G123" s="8"/>
      <c r="H123" s="7"/>
      <c r="I123" s="7"/>
      <c r="J123" s="7"/>
    </row>
    <row r="124" spans="1:10" x14ac:dyDescent="0.25">
      <c r="A124" s="5"/>
      <c r="B124" s="6"/>
      <c r="C124" s="5"/>
      <c r="D124" s="5"/>
      <c r="E124" s="7"/>
      <c r="F124" s="7"/>
      <c r="G124" s="8"/>
      <c r="H124" s="7"/>
      <c r="I124" s="7"/>
      <c r="J124" s="7"/>
    </row>
    <row r="125" spans="1:10" x14ac:dyDescent="0.25">
      <c r="A125" s="5"/>
      <c r="B125" s="6"/>
      <c r="C125" s="5"/>
      <c r="D125" s="5"/>
      <c r="E125" s="7"/>
      <c r="F125" s="7"/>
      <c r="G125" s="8"/>
      <c r="H125" s="7"/>
      <c r="I125" s="7"/>
      <c r="J125" s="7"/>
    </row>
    <row r="126" spans="1:10" x14ac:dyDescent="0.25">
      <c r="A126" s="5"/>
      <c r="B126" s="6"/>
      <c r="C126" s="5"/>
      <c r="D126" s="5"/>
      <c r="E126" s="7"/>
      <c r="F126" s="7"/>
      <c r="G126" s="8"/>
      <c r="H126" s="7"/>
      <c r="I126" s="7"/>
      <c r="J126" s="7"/>
    </row>
    <row r="127" spans="1:10" x14ac:dyDescent="0.25">
      <c r="A127" s="5"/>
      <c r="B127" s="6"/>
      <c r="C127" s="5"/>
      <c r="D127" s="5"/>
      <c r="E127" s="7"/>
      <c r="F127" s="7"/>
      <c r="G127" s="8"/>
      <c r="H127" s="7"/>
      <c r="I127" s="7"/>
      <c r="J127" s="7"/>
    </row>
    <row r="128" spans="1:10" x14ac:dyDescent="0.25">
      <c r="A128" s="5"/>
      <c r="B128" s="6"/>
      <c r="C128" s="5"/>
      <c r="D128" s="5"/>
      <c r="E128" s="7"/>
      <c r="F128" s="7"/>
      <c r="G128" s="8"/>
      <c r="H128" s="7"/>
      <c r="I128" s="7"/>
      <c r="J128" s="7"/>
    </row>
    <row r="129" spans="1:10" x14ac:dyDescent="0.25">
      <c r="A129" s="5"/>
      <c r="B129" s="6"/>
      <c r="C129" s="5"/>
      <c r="D129" s="5"/>
      <c r="E129" s="7"/>
      <c r="F129" s="7"/>
      <c r="G129" s="8"/>
      <c r="H129" s="7"/>
      <c r="I129" s="7"/>
      <c r="J129" s="7"/>
    </row>
    <row r="130" spans="1:10" x14ac:dyDescent="0.25">
      <c r="A130" s="5"/>
      <c r="B130" s="6"/>
      <c r="C130" s="5"/>
      <c r="D130" s="5"/>
      <c r="E130" s="7"/>
      <c r="F130" s="7"/>
      <c r="G130" s="8"/>
      <c r="H130" s="7"/>
      <c r="I130" s="7"/>
      <c r="J130" s="7"/>
    </row>
    <row r="131" spans="1:10" x14ac:dyDescent="0.25">
      <c r="A131" s="5"/>
      <c r="B131" s="6"/>
      <c r="C131" s="5"/>
      <c r="D131" s="5"/>
      <c r="E131" s="7"/>
      <c r="F131" s="7"/>
      <c r="G131" s="8"/>
      <c r="H131" s="7"/>
      <c r="I131" s="7"/>
      <c r="J131" s="7"/>
    </row>
    <row r="132" spans="1:10" x14ac:dyDescent="0.25">
      <c r="A132" s="5"/>
      <c r="B132" s="6"/>
      <c r="C132" s="5"/>
      <c r="D132" s="5"/>
      <c r="E132" s="7"/>
      <c r="F132" s="7"/>
      <c r="G132" s="8"/>
      <c r="H132" s="7"/>
      <c r="I132" s="7"/>
      <c r="J132" s="7"/>
    </row>
    <row r="133" spans="1:10" x14ac:dyDescent="0.25">
      <c r="A133" s="5"/>
      <c r="B133" s="6"/>
      <c r="C133" s="5"/>
      <c r="D133" s="5"/>
      <c r="E133" s="7"/>
      <c r="F133" s="7"/>
      <c r="G133" s="8"/>
      <c r="H133" s="7"/>
      <c r="I133" s="7"/>
      <c r="J133" s="7"/>
    </row>
    <row r="134" spans="1:10" x14ac:dyDescent="0.25">
      <c r="A134" s="5"/>
      <c r="B134" s="6"/>
      <c r="C134" s="5"/>
      <c r="D134" s="5"/>
      <c r="E134" s="7"/>
      <c r="F134" s="7"/>
      <c r="G134" s="8"/>
      <c r="H134" s="7"/>
      <c r="I134" s="7"/>
      <c r="J134" s="7"/>
    </row>
    <row r="135" spans="1:10" x14ac:dyDescent="0.25">
      <c r="A135" s="5"/>
      <c r="B135" s="6"/>
      <c r="C135" s="5"/>
      <c r="D135" s="5"/>
      <c r="E135" s="7"/>
      <c r="F135" s="7"/>
      <c r="G135" s="8"/>
      <c r="H135" s="7"/>
      <c r="I135" s="7"/>
      <c r="J135" s="7"/>
    </row>
    <row r="136" spans="1:10" x14ac:dyDescent="0.25">
      <c r="A136" s="5"/>
      <c r="B136" s="6"/>
      <c r="C136" s="5"/>
      <c r="D136" s="5"/>
      <c r="E136" s="7"/>
      <c r="F136" s="7"/>
      <c r="G136" s="8"/>
      <c r="H136" s="7"/>
      <c r="I136" s="7"/>
      <c r="J136" s="7"/>
    </row>
    <row r="137" spans="1:10" x14ac:dyDescent="0.25">
      <c r="A137" s="5"/>
      <c r="B137" s="6"/>
      <c r="C137" s="5"/>
      <c r="D137" s="5"/>
      <c r="E137" s="7"/>
      <c r="F137" s="7"/>
      <c r="G137" s="8"/>
      <c r="H137" s="7"/>
      <c r="I137" s="7"/>
      <c r="J137" s="7"/>
    </row>
    <row r="138" spans="1:10" x14ac:dyDescent="0.25">
      <c r="A138" s="5"/>
      <c r="B138" s="6"/>
      <c r="C138" s="5"/>
      <c r="D138" s="5"/>
      <c r="E138" s="7"/>
      <c r="F138" s="7"/>
      <c r="G138" s="8"/>
      <c r="H138" s="7"/>
      <c r="I138" s="7"/>
      <c r="J138" s="7"/>
    </row>
    <row r="139" spans="1:10" x14ac:dyDescent="0.25">
      <c r="A139" s="5"/>
      <c r="B139" s="6"/>
      <c r="C139" s="5"/>
      <c r="D139" s="5"/>
      <c r="E139" s="7"/>
      <c r="F139" s="7"/>
      <c r="G139" s="8"/>
      <c r="H139" s="7"/>
      <c r="I139" s="7"/>
      <c r="J139" s="7"/>
    </row>
    <row r="140" spans="1:10" x14ac:dyDescent="0.25">
      <c r="A140" s="5"/>
      <c r="B140" s="6"/>
      <c r="C140" s="5"/>
      <c r="D140" s="5"/>
      <c r="E140" s="7"/>
      <c r="F140" s="7"/>
      <c r="G140" s="8"/>
      <c r="H140" s="7"/>
      <c r="I140" s="7"/>
      <c r="J140" s="7"/>
    </row>
    <row r="141" spans="1:10" x14ac:dyDescent="0.25">
      <c r="A141" s="5"/>
      <c r="B141" s="6"/>
      <c r="C141" s="5"/>
      <c r="D141" s="5"/>
      <c r="E141" s="7"/>
      <c r="F141" s="7"/>
      <c r="G141" s="8"/>
      <c r="H141" s="7"/>
      <c r="I141" s="7"/>
      <c r="J141" s="7"/>
    </row>
    <row r="142" spans="1:10" x14ac:dyDescent="0.25">
      <c r="A142" s="5"/>
      <c r="B142" s="6"/>
      <c r="C142" s="5"/>
      <c r="D142" s="5"/>
      <c r="E142" s="7"/>
      <c r="F142" s="7"/>
      <c r="G142" s="8"/>
      <c r="H142" s="7"/>
      <c r="I142" s="7"/>
      <c r="J142" s="7"/>
    </row>
    <row r="143" spans="1:10" x14ac:dyDescent="0.25">
      <c r="A143" s="5"/>
      <c r="B143" s="6"/>
      <c r="C143" s="5"/>
      <c r="D143" s="5"/>
      <c r="E143" s="7"/>
      <c r="F143" s="7"/>
      <c r="G143" s="8"/>
      <c r="H143" s="7"/>
      <c r="I143" s="7"/>
      <c r="J143" s="7"/>
    </row>
    <row r="144" spans="1:10" x14ac:dyDescent="0.25">
      <c r="A144" s="5"/>
      <c r="B144" s="6"/>
      <c r="C144" s="5"/>
      <c r="D144" s="5"/>
      <c r="E144" s="7"/>
      <c r="F144" s="7"/>
      <c r="G144" s="8"/>
      <c r="H144" s="7"/>
      <c r="I144" s="7"/>
      <c r="J144" s="7"/>
    </row>
    <row r="145" spans="1:10" x14ac:dyDescent="0.25">
      <c r="A145" s="5"/>
      <c r="B145" s="6"/>
      <c r="C145" s="5"/>
      <c r="D145" s="5"/>
      <c r="E145" s="7"/>
      <c r="F145" s="7"/>
      <c r="G145" s="8"/>
      <c r="H145" s="7"/>
      <c r="I145" s="7"/>
      <c r="J145" s="7"/>
    </row>
    <row r="146" spans="1:10" x14ac:dyDescent="0.25">
      <c r="A146" s="5"/>
      <c r="B146" s="6"/>
      <c r="C146" s="5"/>
      <c r="D146" s="5"/>
      <c r="E146" s="7"/>
      <c r="F146" s="7"/>
      <c r="G146" s="8"/>
      <c r="H146" s="7"/>
      <c r="I146" s="7"/>
      <c r="J146" s="7"/>
    </row>
    <row r="147" spans="1:10" x14ac:dyDescent="0.25">
      <c r="A147" s="5"/>
      <c r="B147" s="6"/>
      <c r="C147" s="5"/>
      <c r="D147" s="5"/>
      <c r="E147" s="7"/>
      <c r="F147" s="7"/>
      <c r="G147" s="8"/>
      <c r="H147" s="7"/>
      <c r="I147" s="7"/>
      <c r="J147" s="7"/>
    </row>
    <row r="148" spans="1:10" x14ac:dyDescent="0.25">
      <c r="A148" s="5"/>
      <c r="B148" s="6"/>
      <c r="C148" s="5"/>
      <c r="D148" s="5"/>
      <c r="E148" s="7"/>
      <c r="F148" s="7"/>
      <c r="G148" s="8"/>
      <c r="H148" s="7"/>
      <c r="I148" s="7"/>
      <c r="J148" s="7"/>
    </row>
    <row r="149" spans="1:10" x14ac:dyDescent="0.25">
      <c r="A149" s="5"/>
      <c r="B149" s="6"/>
      <c r="C149" s="5"/>
      <c r="D149" s="5"/>
      <c r="E149" s="7"/>
      <c r="F149" s="7"/>
      <c r="G149" s="8"/>
      <c r="H149" s="7"/>
      <c r="I149" s="7"/>
      <c r="J149" s="7"/>
    </row>
    <row r="150" spans="1:10" x14ac:dyDescent="0.25">
      <c r="A150" s="5"/>
      <c r="B150" s="6"/>
      <c r="C150" s="5"/>
      <c r="D150" s="5"/>
      <c r="E150" s="7"/>
      <c r="F150" s="7"/>
      <c r="G150" s="8"/>
      <c r="H150" s="7"/>
      <c r="I150" s="7"/>
      <c r="J150" s="7"/>
    </row>
    <row r="151" spans="1:10" x14ac:dyDescent="0.25">
      <c r="A151" s="5"/>
      <c r="B151" s="6"/>
      <c r="C151" s="5"/>
      <c r="D151" s="5"/>
      <c r="E151" s="7"/>
      <c r="F151" s="7"/>
      <c r="G151" s="8"/>
      <c r="H151" s="7"/>
      <c r="I151" s="7"/>
      <c r="J151" s="7"/>
    </row>
    <row r="152" spans="1:10" x14ac:dyDescent="0.25">
      <c r="A152" s="5"/>
      <c r="B152" s="6"/>
      <c r="C152" s="5"/>
      <c r="D152" s="5"/>
      <c r="E152" s="7"/>
      <c r="F152" s="7"/>
      <c r="G152" s="8"/>
      <c r="H152" s="7"/>
      <c r="I152" s="7"/>
      <c r="J152" s="7"/>
    </row>
    <row r="153" spans="1:10" x14ac:dyDescent="0.25">
      <c r="A153" s="5"/>
      <c r="B153" s="6"/>
      <c r="C153" s="5"/>
      <c r="D153" s="5"/>
      <c r="E153" s="7"/>
      <c r="F153" s="7"/>
      <c r="G153" s="8"/>
      <c r="H153" s="7"/>
      <c r="I153" s="7"/>
      <c r="J153" s="7"/>
    </row>
    <row r="154" spans="1:10" x14ac:dyDescent="0.25">
      <c r="A154" s="5"/>
      <c r="B154" s="6"/>
      <c r="C154" s="5"/>
      <c r="D154" s="5"/>
      <c r="E154" s="7"/>
      <c r="F154" s="7"/>
      <c r="G154" s="8"/>
      <c r="H154" s="7"/>
      <c r="I154" s="7"/>
      <c r="J154" s="7"/>
    </row>
    <row r="155" spans="1:10" x14ac:dyDescent="0.25">
      <c r="A155" s="5"/>
      <c r="B155" s="6"/>
      <c r="C155" s="5"/>
      <c r="D155" s="5"/>
      <c r="E155" s="7"/>
      <c r="F155" s="7"/>
      <c r="G155" s="8"/>
      <c r="H155" s="7"/>
      <c r="I155" s="7"/>
      <c r="J155" s="7"/>
    </row>
    <row r="156" spans="1:10" x14ac:dyDescent="0.25">
      <c r="A156" s="5"/>
      <c r="B156" s="6"/>
      <c r="C156" s="5"/>
      <c r="D156" s="5"/>
      <c r="E156" s="7"/>
      <c r="F156" s="7"/>
      <c r="G156" s="8"/>
      <c r="H156" s="7"/>
      <c r="I156" s="7"/>
      <c r="J156" s="7"/>
    </row>
    <row r="157" spans="1:10" x14ac:dyDescent="0.25">
      <c r="A157" s="5"/>
      <c r="B157" s="6"/>
      <c r="C157" s="5"/>
      <c r="D157" s="5"/>
      <c r="E157" s="7"/>
      <c r="F157" s="7"/>
      <c r="G157" s="8"/>
      <c r="H157" s="7"/>
      <c r="I157" s="7"/>
      <c r="J157" s="7"/>
    </row>
    <row r="158" spans="1:10" x14ac:dyDescent="0.25">
      <c r="A158" s="5"/>
      <c r="B158" s="6"/>
      <c r="C158" s="5"/>
      <c r="D158" s="5"/>
      <c r="E158" s="7"/>
      <c r="F158" s="7"/>
      <c r="G158" s="8"/>
      <c r="H158" s="7"/>
      <c r="I158" s="7"/>
      <c r="J158" s="7"/>
    </row>
    <row r="159" spans="1:10" x14ac:dyDescent="0.25">
      <c r="A159" s="5"/>
      <c r="B159" s="6"/>
      <c r="C159" s="5"/>
      <c r="D159" s="5"/>
      <c r="E159" s="7"/>
      <c r="F159" s="7"/>
      <c r="G159" s="8"/>
      <c r="H159" s="7"/>
      <c r="I159" s="7"/>
      <c r="J159" s="7"/>
    </row>
    <row r="160" spans="1:10" x14ac:dyDescent="0.25">
      <c r="A160" s="5"/>
      <c r="B160" s="6"/>
      <c r="C160" s="5"/>
      <c r="D160" s="5"/>
      <c r="E160" s="7"/>
      <c r="F160" s="7"/>
      <c r="G160" s="8"/>
      <c r="H160" s="7"/>
      <c r="I160" s="7"/>
      <c r="J160" s="7"/>
    </row>
    <row r="161" spans="1:10" x14ac:dyDescent="0.25">
      <c r="A161" s="5"/>
      <c r="B161" s="6"/>
      <c r="C161" s="5"/>
      <c r="D161" s="5"/>
      <c r="E161" s="7"/>
      <c r="F161" s="7"/>
      <c r="G161" s="8"/>
      <c r="H161" s="7"/>
      <c r="I161" s="7"/>
      <c r="J161" s="7"/>
    </row>
    <row r="162" spans="1:10" x14ac:dyDescent="0.25">
      <c r="A162" s="5"/>
      <c r="B162" s="6"/>
      <c r="C162" s="5"/>
      <c r="D162" s="5"/>
      <c r="E162" s="7"/>
      <c r="F162" s="7"/>
      <c r="G162" s="8"/>
      <c r="H162" s="7"/>
      <c r="I162" s="7"/>
      <c r="J162" s="7"/>
    </row>
    <row r="163" spans="1:10" x14ac:dyDescent="0.25">
      <c r="A163" s="5"/>
      <c r="B163" s="6"/>
      <c r="C163" s="5"/>
      <c r="D163" s="5"/>
      <c r="E163" s="7"/>
      <c r="F163" s="7"/>
      <c r="G163" s="8"/>
      <c r="H163" s="7"/>
      <c r="I163" s="7"/>
      <c r="J163" s="7"/>
    </row>
    <row r="164" spans="1:10" x14ac:dyDescent="0.25">
      <c r="A164" s="5"/>
      <c r="B164" s="6"/>
      <c r="C164" s="5"/>
      <c r="D164" s="5"/>
      <c r="E164" s="7"/>
      <c r="F164" s="7"/>
      <c r="G164" s="8"/>
      <c r="H164" s="7"/>
      <c r="I164" s="7"/>
      <c r="J164" s="7"/>
    </row>
    <row r="165" spans="1:10" x14ac:dyDescent="0.25">
      <c r="A165" s="5"/>
      <c r="B165" s="6"/>
      <c r="C165" s="5"/>
      <c r="D165" s="5"/>
      <c r="E165" s="7"/>
      <c r="F165" s="7"/>
      <c r="G165" s="8"/>
      <c r="H165" s="7"/>
      <c r="I165" s="7"/>
      <c r="J165" s="7"/>
    </row>
    <row r="166" spans="1:10" x14ac:dyDescent="0.25">
      <c r="A166" s="5"/>
      <c r="B166" s="6"/>
      <c r="C166" s="5"/>
      <c r="D166" s="5"/>
      <c r="E166" s="7"/>
      <c r="F166" s="7"/>
      <c r="G166" s="8"/>
      <c r="H166" s="7"/>
      <c r="I166" s="7"/>
      <c r="J166" s="7"/>
    </row>
    <row r="167" spans="1:10" x14ac:dyDescent="0.25">
      <c r="A167" s="5"/>
      <c r="B167" s="6"/>
      <c r="C167" s="5"/>
      <c r="D167" s="5"/>
      <c r="E167" s="7"/>
      <c r="F167" s="7"/>
      <c r="G167" s="8"/>
      <c r="H167" s="7"/>
      <c r="I167" s="7"/>
      <c r="J167" s="7"/>
    </row>
    <row r="168" spans="1:10" x14ac:dyDescent="0.25">
      <c r="A168" s="5"/>
      <c r="B168" s="6"/>
      <c r="C168" s="5"/>
      <c r="D168" s="5"/>
      <c r="E168" s="7"/>
      <c r="F168" s="7"/>
      <c r="G168" s="8"/>
      <c r="H168" s="7"/>
      <c r="I168" s="7"/>
      <c r="J168" s="7"/>
    </row>
    <row r="169" spans="1:10" x14ac:dyDescent="0.25">
      <c r="A169" s="5"/>
      <c r="B169" s="6"/>
      <c r="C169" s="5"/>
      <c r="D169" s="5"/>
      <c r="E169" s="7"/>
      <c r="F169" s="7"/>
      <c r="G169" s="8"/>
      <c r="H169" s="7"/>
      <c r="I169" s="7"/>
      <c r="J169" s="7"/>
    </row>
    <row r="170" spans="1:10" x14ac:dyDescent="0.25">
      <c r="A170" s="5"/>
      <c r="B170" s="6"/>
      <c r="C170" s="5"/>
      <c r="D170" s="5"/>
      <c r="E170" s="7"/>
      <c r="F170" s="7"/>
      <c r="G170" s="8"/>
      <c r="H170" s="7"/>
      <c r="I170" s="7"/>
      <c r="J170" s="7"/>
    </row>
    <row r="171" spans="1:10" x14ac:dyDescent="0.25">
      <c r="A171" s="5"/>
      <c r="B171" s="6"/>
      <c r="C171" s="5"/>
      <c r="D171" s="5"/>
      <c r="E171" s="7"/>
      <c r="F171" s="7"/>
      <c r="G171" s="8"/>
      <c r="H171" s="7"/>
      <c r="I171" s="7"/>
      <c r="J171" s="7"/>
    </row>
    <row r="172" spans="1:10" x14ac:dyDescent="0.25">
      <c r="A172" s="5"/>
      <c r="B172" s="6"/>
      <c r="C172" s="5"/>
      <c r="D172" s="5"/>
      <c r="E172" s="7"/>
      <c r="F172" s="7"/>
      <c r="G172" s="8"/>
      <c r="H172" s="7"/>
      <c r="I172" s="7"/>
      <c r="J172" s="7"/>
    </row>
    <row r="173" spans="1:10" x14ac:dyDescent="0.25">
      <c r="A173" s="5"/>
      <c r="B173" s="6"/>
      <c r="C173" s="5"/>
      <c r="D173" s="5"/>
      <c r="E173" s="7"/>
      <c r="F173" s="7"/>
      <c r="G173" s="8"/>
      <c r="H173" s="7"/>
      <c r="I173" s="7"/>
      <c r="J173" s="7"/>
    </row>
    <row r="174" spans="1:10" x14ac:dyDescent="0.25">
      <c r="A174" s="5"/>
      <c r="B174" s="6"/>
      <c r="C174" s="5"/>
      <c r="D174" s="5"/>
      <c r="E174" s="7"/>
      <c r="F174" s="7"/>
      <c r="G174" s="8"/>
      <c r="H174" s="7"/>
      <c r="I174" s="7"/>
      <c r="J174" s="7"/>
    </row>
    <row r="175" spans="1:10" x14ac:dyDescent="0.25">
      <c r="A175" s="5"/>
      <c r="B175" s="6"/>
      <c r="C175" s="5"/>
      <c r="D175" s="5"/>
      <c r="E175" s="7"/>
      <c r="F175" s="7"/>
      <c r="G175" s="8"/>
      <c r="H175" s="7"/>
      <c r="I175" s="7"/>
      <c r="J175" s="7"/>
    </row>
    <row r="176" spans="1:10" x14ac:dyDescent="0.25">
      <c r="A176" s="5"/>
      <c r="B176" s="6"/>
      <c r="C176" s="5"/>
      <c r="D176" s="5"/>
      <c r="E176" s="7"/>
      <c r="F176" s="7"/>
      <c r="G176" s="8"/>
      <c r="H176" s="7"/>
      <c r="I176" s="7"/>
      <c r="J176" s="7"/>
    </row>
    <row r="177" spans="1:10" x14ac:dyDescent="0.25">
      <c r="A177" s="5"/>
      <c r="B177" s="6"/>
      <c r="C177" s="5"/>
      <c r="D177" s="5"/>
      <c r="E177" s="7"/>
      <c r="F177" s="7"/>
      <c r="G177" s="8"/>
      <c r="H177" s="7"/>
      <c r="I177" s="7"/>
      <c r="J177" s="7"/>
    </row>
    <row r="178" spans="1:10" x14ac:dyDescent="0.25">
      <c r="A178" s="5"/>
      <c r="B178" s="6"/>
      <c r="C178" s="5"/>
      <c r="D178" s="5"/>
      <c r="E178" s="7"/>
      <c r="F178" s="7"/>
      <c r="G178" s="8"/>
      <c r="H178" s="7"/>
      <c r="I178" s="7"/>
      <c r="J178" s="7"/>
    </row>
    <row r="179" spans="1:10" x14ac:dyDescent="0.25">
      <c r="A179" s="5"/>
      <c r="B179" s="6"/>
      <c r="C179" s="5"/>
      <c r="D179" s="5"/>
      <c r="E179" s="7"/>
      <c r="F179" s="7"/>
      <c r="G179" s="8"/>
      <c r="H179" s="7"/>
      <c r="I179" s="7"/>
      <c r="J179" s="7"/>
    </row>
    <row r="180" spans="1:10" x14ac:dyDescent="0.25">
      <c r="A180" s="5"/>
      <c r="B180" s="6"/>
      <c r="C180" s="5"/>
      <c r="D180" s="5"/>
      <c r="E180" s="7"/>
      <c r="F180" s="7"/>
      <c r="G180" s="8"/>
      <c r="H180" s="7"/>
      <c r="I180" s="7"/>
      <c r="J180" s="7"/>
    </row>
    <row r="181" spans="1:10" x14ac:dyDescent="0.25">
      <c r="A181" s="5"/>
      <c r="B181" s="6"/>
      <c r="C181" s="5"/>
      <c r="D181" s="5"/>
      <c r="E181" s="7"/>
      <c r="F181" s="7"/>
      <c r="G181" s="8"/>
      <c r="H181" s="7"/>
      <c r="I181" s="7"/>
      <c r="J181" s="7"/>
    </row>
    <row r="182" spans="1:10" x14ac:dyDescent="0.25">
      <c r="A182" s="5"/>
      <c r="B182" s="6"/>
      <c r="C182" s="5"/>
      <c r="D182" s="5"/>
      <c r="E182" s="7"/>
      <c r="F182" s="7"/>
      <c r="G182" s="8"/>
      <c r="H182" s="7"/>
      <c r="I182" s="7"/>
      <c r="J182" s="7"/>
    </row>
    <row r="183" spans="1:10" x14ac:dyDescent="0.25">
      <c r="A183" s="5"/>
      <c r="B183" s="6"/>
      <c r="C183" s="5"/>
      <c r="D183" s="5"/>
      <c r="E183" s="7"/>
      <c r="F183" s="7"/>
      <c r="G183" s="8"/>
      <c r="H183" s="7"/>
      <c r="I183" s="7"/>
      <c r="J183" s="7"/>
    </row>
    <row r="184" spans="1:10" x14ac:dyDescent="0.25">
      <c r="A184" s="5"/>
      <c r="B184" s="6"/>
      <c r="C184" s="5"/>
      <c r="D184" s="5"/>
      <c r="E184" s="7"/>
      <c r="F184" s="7"/>
      <c r="G184" s="8"/>
      <c r="H184" s="7"/>
      <c r="I184" s="7"/>
      <c r="J184" s="7"/>
    </row>
    <row r="185" spans="1:10" x14ac:dyDescent="0.25">
      <c r="A185" s="5"/>
      <c r="B185" s="6"/>
      <c r="C185" s="5"/>
      <c r="D185" s="5"/>
      <c r="E185" s="7"/>
      <c r="F185" s="7"/>
      <c r="G185" s="8"/>
      <c r="H185" s="7"/>
      <c r="I185" s="7"/>
      <c r="J185" s="7"/>
    </row>
    <row r="186" spans="1:10" x14ac:dyDescent="0.25">
      <c r="A186" s="5"/>
      <c r="B186" s="6"/>
      <c r="C186" s="5"/>
      <c r="D186" s="5"/>
      <c r="E186" s="7"/>
      <c r="F186" s="7"/>
      <c r="G186" s="8"/>
      <c r="H186" s="7"/>
      <c r="I186" s="7"/>
      <c r="J186" s="7"/>
    </row>
    <row r="187" spans="1:10" x14ac:dyDescent="0.25">
      <c r="A187" s="5"/>
      <c r="B187" s="6"/>
      <c r="C187" s="5"/>
      <c r="D187" s="5"/>
      <c r="E187" s="7"/>
      <c r="F187" s="7"/>
      <c r="G187" s="8"/>
      <c r="H187" s="7"/>
      <c r="I187" s="7"/>
      <c r="J187" s="7"/>
    </row>
    <row r="188" spans="1:10" x14ac:dyDescent="0.25">
      <c r="A188" s="5"/>
      <c r="B188" s="6"/>
      <c r="C188" s="5"/>
      <c r="D188" s="5"/>
      <c r="E188" s="7"/>
      <c r="F188" s="7"/>
      <c r="G188" s="8"/>
      <c r="H188" s="7"/>
      <c r="I188" s="7"/>
      <c r="J188" s="7"/>
    </row>
    <row r="189" spans="1:10" x14ac:dyDescent="0.25">
      <c r="A189" s="5"/>
      <c r="B189" s="6"/>
      <c r="C189" s="5"/>
      <c r="D189" s="5"/>
      <c r="E189" s="7"/>
      <c r="F189" s="7"/>
      <c r="G189" s="8"/>
      <c r="H189" s="7"/>
      <c r="I189" s="7"/>
      <c r="J189" s="7"/>
    </row>
    <row r="190" spans="1:10" x14ac:dyDescent="0.25">
      <c r="A190" s="5"/>
      <c r="B190" s="6"/>
      <c r="C190" s="5"/>
      <c r="D190" s="5"/>
      <c r="E190" s="7"/>
      <c r="F190" s="7"/>
      <c r="G190" s="8"/>
      <c r="H190" s="7"/>
      <c r="I190" s="7"/>
      <c r="J190" s="7"/>
    </row>
    <row r="191" spans="1:10" x14ac:dyDescent="0.25">
      <c r="A191" s="5"/>
      <c r="B191" s="6"/>
      <c r="C191" s="5"/>
      <c r="D191" s="5"/>
      <c r="E191" s="7"/>
      <c r="F191" s="7"/>
      <c r="G191" s="8"/>
      <c r="H191" s="7"/>
      <c r="I191" s="7"/>
      <c r="J191" s="7"/>
    </row>
    <row r="192" spans="1:10" x14ac:dyDescent="0.25">
      <c r="A192" s="5"/>
      <c r="B192" s="6"/>
      <c r="C192" s="5"/>
      <c r="D192" s="5"/>
      <c r="E192" s="7"/>
      <c r="F192" s="7"/>
      <c r="G192" s="8"/>
      <c r="H192" s="7"/>
      <c r="I192" s="7"/>
      <c r="J192" s="7"/>
    </row>
    <row r="193" spans="1:10" x14ac:dyDescent="0.25">
      <c r="A193" s="5"/>
      <c r="B193" s="6"/>
      <c r="C193" s="5"/>
      <c r="D193" s="5"/>
      <c r="E193" s="7"/>
      <c r="F193" s="7"/>
      <c r="G193" s="8"/>
      <c r="H193" s="7"/>
      <c r="I193" s="7"/>
      <c r="J193" s="7"/>
    </row>
    <row r="194" spans="1:10" x14ac:dyDescent="0.25">
      <c r="A194" s="5"/>
      <c r="B194" s="6"/>
      <c r="C194" s="5"/>
      <c r="D194" s="5"/>
      <c r="E194" s="7"/>
      <c r="F194" s="7"/>
      <c r="G194" s="8"/>
      <c r="H194" s="7"/>
      <c r="I194" s="7"/>
      <c r="J194" s="7"/>
    </row>
    <row r="195" spans="1:10" x14ac:dyDescent="0.25">
      <c r="A195" s="5"/>
      <c r="B195" s="6"/>
      <c r="C195" s="5"/>
      <c r="D195" s="5"/>
      <c r="E195" s="7"/>
      <c r="F195" s="7"/>
      <c r="G195" s="8"/>
      <c r="H195" s="7"/>
      <c r="I195" s="7"/>
      <c r="J195" s="7"/>
    </row>
    <row r="196" spans="1:10" x14ac:dyDescent="0.25">
      <c r="A196" s="5"/>
      <c r="B196" s="6"/>
      <c r="C196" s="5"/>
      <c r="D196" s="5"/>
      <c r="E196" s="7"/>
      <c r="F196" s="7"/>
      <c r="G196" s="8"/>
      <c r="H196" s="7"/>
      <c r="I196" s="7"/>
      <c r="J196" s="7"/>
    </row>
    <row r="197" spans="1:10" x14ac:dyDescent="0.25">
      <c r="A197" s="5"/>
      <c r="B197" s="6"/>
      <c r="C197" s="5"/>
      <c r="D197" s="5"/>
      <c r="E197" s="7"/>
      <c r="F197" s="7"/>
      <c r="G197" s="8"/>
      <c r="H197" s="7"/>
      <c r="I197" s="7"/>
      <c r="J197" s="7"/>
    </row>
    <row r="198" spans="1:10" x14ac:dyDescent="0.25">
      <c r="A198" s="5"/>
      <c r="B198" s="6"/>
      <c r="C198" s="5"/>
      <c r="D198" s="5"/>
      <c r="E198" s="7"/>
      <c r="F198" s="7"/>
      <c r="G198" s="8"/>
      <c r="H198" s="7"/>
      <c r="I198" s="7"/>
      <c r="J198" s="7"/>
    </row>
    <row r="199" spans="1:10" x14ac:dyDescent="0.25">
      <c r="A199" s="5"/>
      <c r="B199" s="6"/>
      <c r="C199" s="5"/>
      <c r="D199" s="5"/>
      <c r="E199" s="7"/>
      <c r="F199" s="7"/>
      <c r="G199" s="8"/>
      <c r="H199" s="7"/>
      <c r="I199" s="7"/>
      <c r="J199" s="7"/>
    </row>
    <row r="200" spans="1:10" x14ac:dyDescent="0.25">
      <c r="A200" s="5"/>
      <c r="B200" s="6"/>
      <c r="C200" s="5"/>
      <c r="D200" s="5"/>
      <c r="E200" s="7"/>
      <c r="F200" s="7"/>
      <c r="G200" s="8"/>
      <c r="H200" s="7"/>
      <c r="I200" s="7"/>
      <c r="J200" s="7"/>
    </row>
    <row r="201" spans="1:10" x14ac:dyDescent="0.25">
      <c r="A201" s="5"/>
      <c r="B201" s="6"/>
      <c r="C201" s="5"/>
      <c r="D201" s="5"/>
      <c r="E201" s="7"/>
      <c r="F201" s="7"/>
      <c r="G201" s="8"/>
      <c r="H201" s="7"/>
      <c r="I201" s="7"/>
      <c r="J201" s="7"/>
    </row>
    <row r="202" spans="1:10" x14ac:dyDescent="0.25">
      <c r="A202" s="5"/>
      <c r="B202" s="6"/>
      <c r="C202" s="5"/>
      <c r="D202" s="5"/>
      <c r="E202" s="7"/>
      <c r="F202" s="7"/>
      <c r="G202" s="8"/>
      <c r="H202" s="7"/>
      <c r="I202" s="7"/>
      <c r="J202" s="7"/>
    </row>
    <row r="203" spans="1:10" x14ac:dyDescent="0.25">
      <c r="A203" s="5"/>
      <c r="B203" s="6"/>
      <c r="C203" s="5"/>
      <c r="D203" s="5"/>
      <c r="E203" s="7"/>
      <c r="F203" s="7"/>
      <c r="G203" s="8"/>
      <c r="H203" s="7"/>
      <c r="I203" s="7"/>
      <c r="J203" s="7"/>
    </row>
    <row r="204" spans="1:10" x14ac:dyDescent="0.25">
      <c r="A204" s="5"/>
      <c r="B204" s="6"/>
      <c r="C204" s="5"/>
      <c r="D204" s="5"/>
      <c r="E204" s="7"/>
      <c r="F204" s="7"/>
      <c r="G204" s="8"/>
      <c r="H204" s="7"/>
      <c r="I204" s="7"/>
      <c r="J204" s="7"/>
    </row>
    <row r="205" spans="1:10" x14ac:dyDescent="0.25">
      <c r="A205" s="5"/>
      <c r="B205" s="6"/>
      <c r="C205" s="5"/>
      <c r="D205" s="5"/>
      <c r="E205" s="7"/>
      <c r="F205" s="7"/>
      <c r="G205" s="8"/>
      <c r="H205" s="7"/>
      <c r="I205" s="7"/>
      <c r="J205" s="7"/>
    </row>
    <row r="206" spans="1:10" x14ac:dyDescent="0.25">
      <c r="A206" s="5"/>
      <c r="B206" s="6"/>
      <c r="C206" s="5"/>
      <c r="D206" s="5"/>
      <c r="E206" s="7"/>
      <c r="F206" s="7"/>
      <c r="G206" s="8"/>
      <c r="H206" s="7"/>
      <c r="I206" s="7"/>
      <c r="J206" s="7"/>
    </row>
    <row r="207" spans="1:10" x14ac:dyDescent="0.25">
      <c r="A207" s="5"/>
      <c r="B207" s="6"/>
      <c r="C207" s="5"/>
      <c r="D207" s="5"/>
      <c r="E207" s="7"/>
      <c r="F207" s="7"/>
      <c r="G207" s="8"/>
      <c r="H207" s="7"/>
      <c r="I207" s="7"/>
      <c r="J207" s="7"/>
    </row>
    <row r="208" spans="1:10" x14ac:dyDescent="0.25">
      <c r="A208" s="5"/>
      <c r="B208" s="6"/>
      <c r="C208" s="5"/>
      <c r="D208" s="5"/>
      <c r="E208" s="7"/>
      <c r="F208" s="7"/>
      <c r="G208" s="8"/>
      <c r="H208" s="7"/>
      <c r="I208" s="7"/>
      <c r="J208" s="7"/>
    </row>
    <row r="209" spans="1:10" x14ac:dyDescent="0.25">
      <c r="A209" s="5"/>
      <c r="B209" s="6"/>
      <c r="C209" s="5"/>
      <c r="D209" s="5"/>
      <c r="E209" s="7"/>
      <c r="F209" s="7"/>
      <c r="G209" s="8"/>
      <c r="H209" s="7"/>
      <c r="I209" s="7"/>
      <c r="J209" s="7"/>
    </row>
    <row r="210" spans="1:10" x14ac:dyDescent="0.25">
      <c r="A210" s="5"/>
      <c r="B210" s="6"/>
      <c r="C210" s="5"/>
      <c r="D210" s="5"/>
      <c r="E210" s="7"/>
      <c r="F210" s="7"/>
      <c r="G210" s="8"/>
      <c r="H210" s="7"/>
      <c r="I210" s="7"/>
      <c r="J210" s="7"/>
    </row>
    <row r="211" spans="1:10" x14ac:dyDescent="0.25">
      <c r="A211" s="5"/>
      <c r="B211" s="6"/>
      <c r="C211" s="5"/>
      <c r="D211" s="5"/>
      <c r="E211" s="7"/>
      <c r="F211" s="7"/>
      <c r="G211" s="8"/>
      <c r="H211" s="7"/>
      <c r="I211" s="7"/>
      <c r="J211" s="7"/>
    </row>
    <row r="212" spans="1:10" x14ac:dyDescent="0.25">
      <c r="A212" s="5"/>
      <c r="B212" s="6"/>
      <c r="C212" s="5"/>
      <c r="D212" s="5"/>
      <c r="E212" s="7"/>
      <c r="F212" s="7"/>
      <c r="G212" s="8"/>
      <c r="H212" s="7"/>
      <c r="I212" s="7"/>
      <c r="J212" s="7"/>
    </row>
    <row r="213" spans="1:10" x14ac:dyDescent="0.25">
      <c r="A213" s="5"/>
      <c r="B213" s="6"/>
      <c r="C213" s="5"/>
      <c r="D213" s="5"/>
      <c r="E213" s="7"/>
      <c r="F213" s="7"/>
      <c r="G213" s="8"/>
      <c r="H213" s="7"/>
      <c r="I213" s="7"/>
      <c r="J213" s="7"/>
    </row>
    <row r="214" spans="1:10" x14ac:dyDescent="0.25">
      <c r="A214" s="5"/>
      <c r="B214" s="6"/>
      <c r="C214" s="5"/>
      <c r="D214" s="5"/>
      <c r="E214" s="7"/>
      <c r="F214" s="7"/>
      <c r="G214" s="8"/>
      <c r="H214" s="7"/>
      <c r="I214" s="7"/>
      <c r="J214" s="7"/>
    </row>
    <row r="215" spans="1:10" x14ac:dyDescent="0.25">
      <c r="A215" s="5"/>
      <c r="B215" s="6"/>
      <c r="C215" s="5"/>
      <c r="D215" s="5"/>
      <c r="E215" s="7"/>
      <c r="F215" s="7"/>
      <c r="G215" s="8"/>
      <c r="H215" s="7"/>
      <c r="I215" s="7"/>
      <c r="J215" s="7"/>
    </row>
    <row r="216" spans="1:10" x14ac:dyDescent="0.25">
      <c r="A216" s="5"/>
      <c r="B216" s="6"/>
      <c r="C216" s="5"/>
      <c r="D216" s="5"/>
      <c r="E216" s="7"/>
      <c r="F216" s="7"/>
      <c r="G216" s="8"/>
      <c r="H216" s="7"/>
      <c r="I216" s="7"/>
      <c r="J216" s="7"/>
    </row>
    <row r="217" spans="1:10" x14ac:dyDescent="0.25">
      <c r="A217" s="5"/>
      <c r="B217" s="6"/>
      <c r="C217" s="5"/>
      <c r="D217" s="5"/>
      <c r="E217" s="7"/>
      <c r="F217" s="7"/>
      <c r="G217" s="8"/>
      <c r="H217" s="7"/>
      <c r="I217" s="7"/>
      <c r="J217" s="7"/>
    </row>
    <row r="218" spans="1:10" x14ac:dyDescent="0.25">
      <c r="A218" s="5"/>
      <c r="B218" s="6"/>
      <c r="C218" s="5"/>
      <c r="D218" s="5"/>
      <c r="E218" s="7"/>
      <c r="F218" s="7"/>
      <c r="G218" s="8"/>
      <c r="H218" s="7"/>
      <c r="I218" s="7"/>
      <c r="J218" s="7"/>
    </row>
    <row r="219" spans="1:10" x14ac:dyDescent="0.25">
      <c r="A219" s="5"/>
      <c r="B219" s="6"/>
      <c r="C219" s="5"/>
      <c r="D219" s="5"/>
      <c r="E219" s="7"/>
      <c r="F219" s="7"/>
      <c r="G219" s="8"/>
      <c r="H219" s="7"/>
      <c r="I219" s="7"/>
      <c r="J219" s="7"/>
    </row>
    <row r="220" spans="1:10" x14ac:dyDescent="0.25">
      <c r="A220" s="5"/>
      <c r="B220" s="6"/>
      <c r="C220" s="5"/>
      <c r="D220" s="5"/>
      <c r="E220" s="7"/>
      <c r="F220" s="7"/>
      <c r="G220" s="8"/>
      <c r="H220" s="7"/>
      <c r="I220" s="7"/>
      <c r="J220" s="7"/>
    </row>
    <row r="221" spans="1:10" x14ac:dyDescent="0.25">
      <c r="A221" s="5"/>
      <c r="B221" s="6"/>
      <c r="C221" s="5"/>
      <c r="D221" s="5"/>
      <c r="E221" s="7"/>
      <c r="F221" s="7"/>
      <c r="G221" s="8"/>
      <c r="H221" s="7"/>
      <c r="I221" s="7"/>
      <c r="J221" s="7"/>
    </row>
    <row r="222" spans="1:10" x14ac:dyDescent="0.25">
      <c r="A222" s="5"/>
      <c r="B222" s="6"/>
      <c r="C222" s="5"/>
      <c r="D222" s="5"/>
      <c r="E222" s="7"/>
      <c r="F222" s="7"/>
      <c r="G222" s="8"/>
      <c r="H222" s="7"/>
      <c r="I222" s="7"/>
      <c r="J222" s="7"/>
    </row>
    <row r="223" spans="1:10" x14ac:dyDescent="0.25">
      <c r="A223" s="5"/>
      <c r="B223" s="6"/>
      <c r="C223" s="5"/>
      <c r="D223" s="5"/>
      <c r="E223" s="7"/>
      <c r="F223" s="7"/>
      <c r="G223" s="8"/>
      <c r="H223" s="7"/>
      <c r="I223" s="7"/>
      <c r="J223" s="7"/>
    </row>
    <row r="224" spans="1:10" x14ac:dyDescent="0.25">
      <c r="A224" s="5"/>
      <c r="B224" s="6"/>
      <c r="C224" s="5"/>
      <c r="D224" s="5"/>
      <c r="E224" s="7"/>
      <c r="F224" s="7"/>
      <c r="G224" s="8"/>
      <c r="H224" s="7"/>
      <c r="I224" s="7"/>
      <c r="J224" s="7"/>
    </row>
    <row r="225" spans="1:10" x14ac:dyDescent="0.25">
      <c r="A225" s="5"/>
      <c r="B225" s="6"/>
      <c r="C225" s="5"/>
      <c r="D225" s="5"/>
      <c r="E225" s="7"/>
      <c r="F225" s="7"/>
      <c r="G225" s="8"/>
      <c r="H225" s="7"/>
      <c r="I225" s="7"/>
      <c r="J225" s="7"/>
    </row>
    <row r="226" spans="1:10" x14ac:dyDescent="0.25">
      <c r="A226" s="5"/>
      <c r="B226" s="6"/>
      <c r="C226" s="5"/>
      <c r="D226" s="5"/>
      <c r="E226" s="7"/>
      <c r="F226" s="7"/>
      <c r="G226" s="8"/>
      <c r="H226" s="7"/>
      <c r="I226" s="7"/>
      <c r="J226" s="7"/>
    </row>
    <row r="227" spans="1:10" x14ac:dyDescent="0.25">
      <c r="A227" s="5"/>
      <c r="B227" s="6"/>
      <c r="C227" s="5"/>
      <c r="D227" s="5"/>
      <c r="E227" s="7"/>
      <c r="F227" s="7"/>
      <c r="G227" s="8"/>
      <c r="H227" s="7"/>
      <c r="I227" s="7"/>
      <c r="J227" s="7"/>
    </row>
    <row r="228" spans="1:10" x14ac:dyDescent="0.25">
      <c r="A228" s="5"/>
      <c r="B228" s="6"/>
      <c r="C228" s="5"/>
      <c r="D228" s="5"/>
      <c r="E228" s="7"/>
      <c r="F228" s="7"/>
      <c r="G228" s="8"/>
      <c r="H228" s="7"/>
      <c r="I228" s="7"/>
      <c r="J228" s="7"/>
    </row>
    <row r="229" spans="1:10" x14ac:dyDescent="0.25">
      <c r="A229" s="5"/>
      <c r="B229" s="6"/>
      <c r="C229" s="5"/>
      <c r="D229" s="5"/>
      <c r="E229" s="7"/>
      <c r="F229" s="7"/>
      <c r="G229" s="8"/>
      <c r="H229" s="7"/>
      <c r="I229" s="7"/>
      <c r="J229" s="7"/>
    </row>
    <row r="230" spans="1:10" x14ac:dyDescent="0.25">
      <c r="A230" s="5"/>
      <c r="B230" s="6"/>
      <c r="C230" s="5"/>
      <c r="D230" s="5"/>
      <c r="E230" s="7"/>
      <c r="F230" s="7"/>
      <c r="G230" s="8"/>
      <c r="H230" s="7"/>
      <c r="I230" s="7"/>
      <c r="J230" s="7"/>
    </row>
    <row r="231" spans="1:10" x14ac:dyDescent="0.25">
      <c r="A231" s="5"/>
      <c r="B231" s="6"/>
      <c r="C231" s="5"/>
      <c r="D231" s="5"/>
      <c r="E231" s="7"/>
      <c r="F231" s="7"/>
      <c r="G231" s="8"/>
      <c r="H231" s="7"/>
      <c r="I231" s="7"/>
      <c r="J231" s="7"/>
    </row>
    <row r="232" spans="1:10" x14ac:dyDescent="0.25">
      <c r="A232" s="5"/>
      <c r="B232" s="6"/>
      <c r="C232" s="5"/>
      <c r="D232" s="5"/>
      <c r="E232" s="7"/>
      <c r="F232" s="7"/>
      <c r="G232" s="8"/>
      <c r="H232" s="7"/>
      <c r="I232" s="7"/>
      <c r="J232" s="7"/>
    </row>
    <row r="233" spans="1:10" x14ac:dyDescent="0.25">
      <c r="A233" s="5"/>
      <c r="B233" s="6"/>
      <c r="C233" s="5"/>
      <c r="D233" s="5"/>
      <c r="E233" s="7"/>
      <c r="F233" s="7"/>
      <c r="G233" s="8"/>
      <c r="H233" s="7"/>
      <c r="I233" s="7"/>
      <c r="J233" s="7"/>
    </row>
    <row r="234" spans="1:10" x14ac:dyDescent="0.25">
      <c r="A234" s="5"/>
      <c r="B234" s="6"/>
      <c r="C234" s="5"/>
      <c r="D234" s="5"/>
      <c r="E234" s="7"/>
      <c r="F234" s="7"/>
      <c r="G234" s="8"/>
      <c r="H234" s="7"/>
      <c r="I234" s="7"/>
      <c r="J234" s="7"/>
    </row>
    <row r="235" spans="1:10" x14ac:dyDescent="0.25">
      <c r="A235" s="5"/>
      <c r="B235" s="6"/>
      <c r="C235" s="5"/>
      <c r="D235" s="5"/>
      <c r="E235" s="7"/>
      <c r="F235" s="7"/>
      <c r="G235" s="8"/>
      <c r="H235" s="7"/>
      <c r="I235" s="7"/>
      <c r="J235" s="7"/>
    </row>
    <row r="236" spans="1:10" x14ac:dyDescent="0.25">
      <c r="A236" s="5"/>
      <c r="B236" s="6"/>
      <c r="C236" s="5"/>
      <c r="D236" s="5"/>
      <c r="E236" s="7"/>
      <c r="F236" s="7"/>
      <c r="G236" s="8"/>
      <c r="H236" s="7"/>
      <c r="I236" s="7"/>
      <c r="J236" s="7"/>
    </row>
    <row r="237" spans="1:10" x14ac:dyDescent="0.25">
      <c r="A237" s="5"/>
      <c r="B237" s="6"/>
      <c r="C237" s="5"/>
      <c r="D237" s="5"/>
      <c r="E237" s="7"/>
      <c r="F237" s="7"/>
      <c r="G237" s="8"/>
      <c r="H237" s="7"/>
      <c r="I237" s="7"/>
      <c r="J237" s="7"/>
    </row>
    <row r="238" spans="1:10" x14ac:dyDescent="0.25">
      <c r="A238" s="5"/>
      <c r="B238" s="6"/>
      <c r="C238" s="5"/>
      <c r="D238" s="5"/>
      <c r="E238" s="7"/>
      <c r="F238" s="7"/>
      <c r="G238" s="8"/>
      <c r="H238" s="7"/>
      <c r="I238" s="7"/>
      <c r="J238" s="7"/>
    </row>
    <row r="239" spans="1:10" x14ac:dyDescent="0.25">
      <c r="A239" s="5"/>
      <c r="B239" s="6"/>
      <c r="C239" s="5"/>
      <c r="D239" s="5"/>
      <c r="E239" s="7"/>
      <c r="F239" s="7"/>
      <c r="G239" s="8"/>
      <c r="H239" s="7"/>
      <c r="I239" s="7"/>
      <c r="J239" s="7"/>
    </row>
    <row r="240" spans="1:10" x14ac:dyDescent="0.25">
      <c r="A240" s="5"/>
      <c r="B240" s="6"/>
      <c r="C240" s="5"/>
      <c r="D240" s="5"/>
      <c r="E240" s="7"/>
      <c r="F240" s="7"/>
      <c r="G240" s="8"/>
      <c r="H240" s="7"/>
      <c r="I240" s="7"/>
      <c r="J240" s="7"/>
    </row>
    <row r="241" spans="1:10" x14ac:dyDescent="0.25">
      <c r="A241" s="5"/>
      <c r="B241" s="6"/>
      <c r="C241" s="5"/>
      <c r="D241" s="5"/>
      <c r="E241" s="7"/>
      <c r="F241" s="7"/>
      <c r="G241" s="8"/>
      <c r="H241" s="7"/>
      <c r="I241" s="7"/>
      <c r="J241" s="7"/>
    </row>
    <row r="242" spans="1:10" x14ac:dyDescent="0.25">
      <c r="A242" s="5"/>
      <c r="B242" s="6"/>
      <c r="C242" s="5"/>
      <c r="D242" s="5"/>
      <c r="E242" s="7"/>
      <c r="F242" s="7"/>
      <c r="G242" s="8"/>
      <c r="H242" s="7"/>
      <c r="I242" s="7"/>
      <c r="J242" s="7"/>
    </row>
    <row r="243" spans="1:10" x14ac:dyDescent="0.25">
      <c r="A243" s="5"/>
      <c r="B243" s="6"/>
      <c r="C243" s="5"/>
      <c r="D243" s="5"/>
      <c r="E243" s="7"/>
      <c r="F243" s="7"/>
      <c r="G243" s="8"/>
      <c r="H243" s="7"/>
      <c r="I243" s="7"/>
      <c r="J243" s="7"/>
    </row>
    <row r="244" spans="1:10" x14ac:dyDescent="0.25">
      <c r="A244" s="5"/>
      <c r="B244" s="6"/>
      <c r="C244" s="5"/>
      <c r="D244" s="5"/>
      <c r="E244" s="7"/>
      <c r="F244" s="7"/>
      <c r="G244" s="8"/>
      <c r="H244" s="7"/>
      <c r="I244" s="7"/>
      <c r="J244" s="7"/>
    </row>
    <row r="245" spans="1:10" x14ac:dyDescent="0.25">
      <c r="A245" s="5"/>
      <c r="B245" s="6"/>
      <c r="C245" s="5"/>
      <c r="D245" s="5"/>
      <c r="E245" s="7"/>
      <c r="F245" s="7"/>
      <c r="G245" s="8"/>
      <c r="H245" s="7"/>
      <c r="I245" s="7"/>
      <c r="J245" s="7"/>
    </row>
    <row r="246" spans="1:10" x14ac:dyDescent="0.25">
      <c r="A246" s="5"/>
      <c r="B246" s="6"/>
      <c r="C246" s="5"/>
      <c r="D246" s="5"/>
      <c r="E246" s="7"/>
      <c r="F246" s="7"/>
      <c r="G246" s="8"/>
      <c r="H246" s="7"/>
      <c r="I246" s="7"/>
      <c r="J246" s="7"/>
    </row>
    <row r="247" spans="1:10" x14ac:dyDescent="0.25">
      <c r="A247" s="5"/>
      <c r="B247" s="6"/>
      <c r="C247" s="5"/>
      <c r="D247" s="5"/>
      <c r="E247" s="7"/>
      <c r="F247" s="7"/>
      <c r="G247" s="8"/>
      <c r="H247" s="7"/>
      <c r="I247" s="7"/>
      <c r="J247" s="7"/>
    </row>
    <row r="248" spans="1:10" x14ac:dyDescent="0.25">
      <c r="A248" s="5"/>
      <c r="B248" s="6"/>
      <c r="C248" s="5"/>
      <c r="D248" s="5"/>
      <c r="E248" s="7"/>
      <c r="F248" s="7"/>
      <c r="G248" s="8"/>
      <c r="H248" s="7"/>
      <c r="I248" s="7"/>
      <c r="J248" s="7"/>
    </row>
    <row r="249" spans="1:10" x14ac:dyDescent="0.25">
      <c r="A249" s="5"/>
      <c r="B249" s="6"/>
      <c r="C249" s="5"/>
      <c r="D249" s="5"/>
      <c r="E249" s="7"/>
      <c r="F249" s="7"/>
      <c r="G249" s="8"/>
      <c r="H249" s="7"/>
      <c r="I249" s="7"/>
      <c r="J249" s="7"/>
    </row>
    <row r="250" spans="1:10" x14ac:dyDescent="0.25">
      <c r="A250" s="5"/>
      <c r="B250" s="6"/>
      <c r="C250" s="5"/>
      <c r="D250" s="5"/>
      <c r="E250" s="7"/>
      <c r="F250" s="7"/>
      <c r="G250" s="8"/>
      <c r="H250" s="7"/>
      <c r="I250" s="7"/>
      <c r="J250" s="7"/>
    </row>
    <row r="251" spans="1:10" x14ac:dyDescent="0.25">
      <c r="A251" s="5"/>
      <c r="B251" s="6"/>
      <c r="C251" s="5"/>
      <c r="D251" s="5"/>
      <c r="E251" s="7"/>
      <c r="F251" s="7"/>
      <c r="G251" s="8"/>
      <c r="H251" s="7"/>
      <c r="I251" s="7"/>
      <c r="J251" s="7"/>
    </row>
    <row r="252" spans="1:10" x14ac:dyDescent="0.25">
      <c r="A252" s="5"/>
      <c r="B252" s="6"/>
      <c r="C252" s="5"/>
      <c r="D252" s="5"/>
      <c r="E252" s="7"/>
      <c r="F252" s="7"/>
      <c r="G252" s="8"/>
      <c r="H252" s="7"/>
      <c r="I252" s="7"/>
      <c r="J252" s="7"/>
    </row>
    <row r="253" spans="1:10" x14ac:dyDescent="0.25">
      <c r="A253" s="5"/>
      <c r="B253" s="6"/>
      <c r="C253" s="5"/>
      <c r="D253" s="5"/>
      <c r="E253" s="7"/>
      <c r="F253" s="7"/>
      <c r="G253" s="8"/>
      <c r="H253" s="7"/>
      <c r="I253" s="7"/>
      <c r="J253" s="7"/>
    </row>
    <row r="254" spans="1:10" x14ac:dyDescent="0.25">
      <c r="A254" s="5"/>
      <c r="B254" s="6"/>
      <c r="C254" s="5"/>
      <c r="D254" s="5"/>
      <c r="E254" s="7"/>
      <c r="F254" s="7"/>
      <c r="G254" s="8"/>
      <c r="H254" s="7"/>
      <c r="I254" s="7"/>
      <c r="J254" s="7"/>
    </row>
    <row r="255" spans="1:10" x14ac:dyDescent="0.25">
      <c r="A255" s="5"/>
      <c r="B255" s="6"/>
      <c r="C255" s="5"/>
      <c r="D255" s="5"/>
      <c r="E255" s="7"/>
      <c r="F255" s="7"/>
      <c r="G255" s="8"/>
      <c r="H255" s="7"/>
      <c r="I255" s="7"/>
      <c r="J255" s="7"/>
    </row>
    <row r="256" spans="1:10" x14ac:dyDescent="0.25">
      <c r="A256" s="5"/>
      <c r="B256" s="6"/>
      <c r="C256" s="5"/>
      <c r="D256" s="5"/>
      <c r="E256" s="7"/>
      <c r="F256" s="7"/>
      <c r="G256" s="8"/>
      <c r="H256" s="7"/>
      <c r="I256" s="7"/>
      <c r="J256" s="7"/>
    </row>
    <row r="257" spans="1:10" x14ac:dyDescent="0.25">
      <c r="A257" s="5"/>
      <c r="B257" s="6"/>
      <c r="C257" s="5"/>
      <c r="D257" s="5"/>
      <c r="E257" s="7"/>
      <c r="F257" s="7"/>
      <c r="G257" s="8"/>
      <c r="H257" s="7"/>
      <c r="I257" s="7"/>
      <c r="J257" s="7"/>
    </row>
    <row r="258" spans="1:10" x14ac:dyDescent="0.25">
      <c r="A258" s="5"/>
      <c r="B258" s="6"/>
      <c r="C258" s="5"/>
      <c r="D258" s="5"/>
      <c r="E258" s="7"/>
      <c r="F258" s="7"/>
      <c r="G258" s="8"/>
      <c r="H258" s="7"/>
      <c r="I258" s="7"/>
      <c r="J258" s="7"/>
    </row>
    <row r="259" spans="1:10" x14ac:dyDescent="0.25">
      <c r="A259" s="5"/>
      <c r="B259" s="6"/>
      <c r="C259" s="5"/>
      <c r="D259" s="5"/>
      <c r="E259" s="7"/>
      <c r="F259" s="7"/>
      <c r="G259" s="8"/>
      <c r="H259" s="7"/>
      <c r="I259" s="7"/>
      <c r="J259" s="7"/>
    </row>
    <row r="260" spans="1:10" x14ac:dyDescent="0.25">
      <c r="A260" s="5"/>
      <c r="B260" s="6"/>
      <c r="C260" s="5"/>
      <c r="D260" s="5"/>
      <c r="E260" s="7"/>
      <c r="F260" s="7"/>
      <c r="G260" s="8"/>
      <c r="H260" s="7"/>
      <c r="I260" s="7"/>
      <c r="J260" s="7"/>
    </row>
    <row r="261" spans="1:10" x14ac:dyDescent="0.25">
      <c r="A261" s="5"/>
      <c r="B261" s="6"/>
      <c r="C261" s="5"/>
      <c r="D261" s="5"/>
      <c r="E261" s="7"/>
      <c r="F261" s="7"/>
      <c r="G261" s="8"/>
      <c r="H261" s="7"/>
      <c r="I261" s="7"/>
      <c r="J261" s="7"/>
    </row>
    <row r="262" spans="1:10" x14ac:dyDescent="0.25">
      <c r="A262" s="5"/>
      <c r="B262" s="6"/>
      <c r="C262" s="5"/>
      <c r="D262" s="5"/>
      <c r="E262" s="7"/>
      <c r="F262" s="7"/>
      <c r="G262" s="8"/>
      <c r="H262" s="7"/>
      <c r="I262" s="7"/>
      <c r="J262" s="7"/>
    </row>
    <row r="263" spans="1:10" x14ac:dyDescent="0.25">
      <c r="A263" s="5"/>
      <c r="B263" s="6"/>
      <c r="C263" s="5"/>
      <c r="D263" s="5"/>
      <c r="E263" s="7"/>
      <c r="F263" s="7"/>
      <c r="G263" s="8"/>
      <c r="H263" s="7"/>
      <c r="I263" s="7"/>
      <c r="J263" s="7"/>
    </row>
    <row r="264" spans="1:10" x14ac:dyDescent="0.25">
      <c r="A264" s="5"/>
      <c r="B264" s="6"/>
      <c r="C264" s="5"/>
      <c r="D264" s="5"/>
      <c r="E264" s="7"/>
      <c r="F264" s="7"/>
      <c r="G264" s="8"/>
      <c r="H264" s="7"/>
      <c r="I264" s="7"/>
      <c r="J264" s="7"/>
    </row>
    <row r="265" spans="1:10" x14ac:dyDescent="0.25">
      <c r="A265" s="5"/>
      <c r="B265" s="6"/>
      <c r="C265" s="5"/>
      <c r="D265" s="5"/>
      <c r="E265" s="7"/>
      <c r="F265" s="7"/>
      <c r="G265" s="8"/>
      <c r="H265" s="7"/>
      <c r="I265" s="7"/>
      <c r="J265" s="7"/>
    </row>
    <row r="266" spans="1:10" x14ac:dyDescent="0.25">
      <c r="A266" s="5"/>
      <c r="B266" s="6"/>
      <c r="C266" s="5"/>
      <c r="D266" s="5"/>
      <c r="E266" s="7"/>
      <c r="F266" s="7"/>
      <c r="G266" s="8"/>
      <c r="H266" s="7"/>
      <c r="I266" s="7"/>
      <c r="J266" s="7"/>
    </row>
    <row r="267" spans="1:10" x14ac:dyDescent="0.25">
      <c r="A267" s="5"/>
      <c r="B267" s="6"/>
      <c r="C267" s="5"/>
      <c r="D267" s="5"/>
      <c r="E267" s="7"/>
      <c r="F267" s="7"/>
      <c r="G267" s="8"/>
      <c r="H267" s="7"/>
      <c r="I267" s="7"/>
      <c r="J267" s="7"/>
    </row>
    <row r="268" spans="1:10" x14ac:dyDescent="0.25">
      <c r="A268" s="5"/>
      <c r="B268" s="6"/>
      <c r="C268" s="5"/>
      <c r="D268" s="5"/>
      <c r="E268" s="7"/>
      <c r="F268" s="7"/>
      <c r="G268" s="8"/>
      <c r="H268" s="7"/>
      <c r="I268" s="7"/>
      <c r="J268" s="7"/>
    </row>
    <row r="269" spans="1:10" x14ac:dyDescent="0.25">
      <c r="A269" s="5"/>
      <c r="B269" s="6"/>
      <c r="C269" s="5"/>
      <c r="D269" s="5"/>
      <c r="E269" s="7"/>
      <c r="F269" s="7"/>
      <c r="G269" s="8"/>
      <c r="H269" s="7"/>
      <c r="I269" s="7"/>
      <c r="J269" s="7"/>
    </row>
    <row r="270" spans="1:10" x14ac:dyDescent="0.25">
      <c r="A270" s="5"/>
      <c r="B270" s="6"/>
      <c r="C270" s="5"/>
      <c r="D270" s="5"/>
      <c r="E270" s="7"/>
      <c r="F270" s="7"/>
      <c r="G270" s="8"/>
      <c r="H270" s="7"/>
      <c r="I270" s="7"/>
      <c r="J270" s="7"/>
    </row>
    <row r="271" spans="1:10" x14ac:dyDescent="0.25">
      <c r="A271" s="5"/>
      <c r="B271" s="6"/>
      <c r="C271" s="5"/>
      <c r="D271" s="5"/>
      <c r="E271" s="7"/>
      <c r="F271" s="7"/>
      <c r="G271" s="8"/>
      <c r="H271" s="7"/>
      <c r="I271" s="7"/>
      <c r="J271" s="7"/>
    </row>
    <row r="272" spans="1:10" x14ac:dyDescent="0.25">
      <c r="A272" s="5"/>
      <c r="B272" s="6"/>
      <c r="C272" s="5"/>
      <c r="D272" s="5"/>
      <c r="E272" s="7"/>
      <c r="F272" s="7"/>
      <c r="G272" s="8"/>
      <c r="H272" s="7"/>
      <c r="I272" s="7"/>
      <c r="J272" s="7"/>
    </row>
    <row r="273" spans="1:10" x14ac:dyDescent="0.25">
      <c r="A273" s="5"/>
      <c r="B273" s="6"/>
      <c r="C273" s="5"/>
      <c r="D273" s="5"/>
      <c r="E273" s="7"/>
      <c r="F273" s="7"/>
      <c r="G273" s="8"/>
      <c r="H273" s="7"/>
      <c r="I273" s="7"/>
      <c r="J273" s="7"/>
    </row>
    <row r="274" spans="1:10" x14ac:dyDescent="0.25">
      <c r="A274" s="5"/>
      <c r="B274" s="6"/>
      <c r="C274" s="5"/>
      <c r="D274" s="5"/>
      <c r="E274" s="7"/>
      <c r="F274" s="7"/>
      <c r="G274" s="8"/>
      <c r="H274" s="7"/>
      <c r="I274" s="7"/>
      <c r="J274" s="7"/>
    </row>
    <row r="275" spans="1:10" x14ac:dyDescent="0.25">
      <c r="A275" s="5"/>
      <c r="B275" s="6"/>
      <c r="C275" s="5"/>
      <c r="D275" s="5"/>
      <c r="E275" s="7"/>
      <c r="F275" s="7"/>
      <c r="G275" s="8"/>
      <c r="H275" s="7"/>
      <c r="I275" s="7"/>
      <c r="J275" s="7"/>
    </row>
    <row r="276" spans="1:10" x14ac:dyDescent="0.25">
      <c r="A276" s="5"/>
      <c r="B276" s="6"/>
      <c r="C276" s="5"/>
      <c r="D276" s="5"/>
      <c r="E276" s="7"/>
      <c r="F276" s="7"/>
      <c r="G276" s="8"/>
      <c r="H276" s="7"/>
      <c r="I276" s="7"/>
      <c r="J276" s="7"/>
    </row>
    <row r="277" spans="1:10" x14ac:dyDescent="0.25">
      <c r="A277" s="5"/>
      <c r="B277" s="6"/>
      <c r="C277" s="5"/>
      <c r="D277" s="5"/>
      <c r="E277" s="7"/>
      <c r="F277" s="7"/>
      <c r="G277" s="8"/>
      <c r="H277" s="7"/>
      <c r="I277" s="7"/>
      <c r="J277" s="7"/>
    </row>
    <row r="278" spans="1:10" x14ac:dyDescent="0.25">
      <c r="A278" s="5"/>
      <c r="B278" s="6"/>
      <c r="C278" s="5"/>
      <c r="D278" s="5"/>
      <c r="E278" s="7"/>
      <c r="F278" s="7"/>
      <c r="G278" s="8"/>
      <c r="H278" s="7"/>
      <c r="I278" s="7"/>
      <c r="J278" s="7"/>
    </row>
    <row r="279" spans="1:10" x14ac:dyDescent="0.25">
      <c r="A279" s="5"/>
      <c r="B279" s="6"/>
      <c r="C279" s="5"/>
      <c r="D279" s="5"/>
      <c r="E279" s="7"/>
      <c r="F279" s="7"/>
      <c r="G279" s="8"/>
      <c r="H279" s="7"/>
      <c r="I279" s="7"/>
      <c r="J279" s="7"/>
    </row>
    <row r="280" spans="1:10" x14ac:dyDescent="0.25">
      <c r="A280" s="5"/>
      <c r="B280" s="6"/>
      <c r="C280" s="5"/>
      <c r="D280" s="5"/>
      <c r="E280" s="7"/>
      <c r="F280" s="7"/>
      <c r="G280" s="8"/>
      <c r="H280" s="7"/>
      <c r="I280" s="7"/>
      <c r="J280" s="7"/>
    </row>
    <row r="281" spans="1:10" x14ac:dyDescent="0.25">
      <c r="A281" s="5"/>
      <c r="B281" s="6"/>
      <c r="C281" s="5"/>
      <c r="D281" s="5"/>
      <c r="E281" s="7"/>
      <c r="F281" s="7"/>
      <c r="G281" s="8"/>
      <c r="H281" s="7"/>
      <c r="I281" s="7"/>
      <c r="J281" s="7"/>
    </row>
    <row r="282" spans="1:10" x14ac:dyDescent="0.25">
      <c r="A282" s="5"/>
      <c r="B282" s="6"/>
      <c r="C282" s="5"/>
      <c r="D282" s="5"/>
      <c r="E282" s="7"/>
      <c r="F282" s="7"/>
      <c r="G282" s="8"/>
      <c r="H282" s="7"/>
      <c r="I282" s="7"/>
      <c r="J282" s="7"/>
    </row>
    <row r="283" spans="1:10" x14ac:dyDescent="0.25">
      <c r="A283" s="5"/>
      <c r="B283" s="6"/>
      <c r="C283" s="5"/>
      <c r="D283" s="5"/>
      <c r="E283" s="7"/>
      <c r="F283" s="7"/>
      <c r="G283" s="8"/>
      <c r="H283" s="7"/>
      <c r="I283" s="7"/>
      <c r="J283" s="7"/>
    </row>
    <row r="284" spans="1:10" x14ac:dyDescent="0.25">
      <c r="A284" s="5"/>
      <c r="B284" s="6"/>
      <c r="C284" s="5"/>
      <c r="D284" s="5"/>
      <c r="E284" s="7"/>
      <c r="F284" s="7"/>
      <c r="G284" s="8"/>
      <c r="H284" s="7"/>
      <c r="I284" s="7"/>
      <c r="J284" s="7"/>
    </row>
    <row r="285" spans="1:10" x14ac:dyDescent="0.25">
      <c r="A285" s="5"/>
      <c r="B285" s="6"/>
      <c r="C285" s="5"/>
      <c r="D285" s="5"/>
      <c r="E285" s="7"/>
      <c r="F285" s="7"/>
      <c r="G285" s="8"/>
      <c r="H285" s="7"/>
      <c r="I285" s="7"/>
      <c r="J285" s="7"/>
    </row>
    <row r="286" spans="1:10" x14ac:dyDescent="0.25">
      <c r="A286" s="5"/>
      <c r="B286" s="6"/>
      <c r="C286" s="5"/>
      <c r="D286" s="5"/>
      <c r="E286" s="7"/>
      <c r="F286" s="7"/>
      <c r="G286" s="8"/>
      <c r="H286" s="7"/>
      <c r="I286" s="7"/>
      <c r="J286" s="7"/>
    </row>
    <row r="287" spans="1:10" x14ac:dyDescent="0.25">
      <c r="A287" s="5"/>
      <c r="B287" s="6"/>
      <c r="C287" s="5"/>
      <c r="D287" s="5"/>
      <c r="E287" s="7"/>
      <c r="F287" s="7"/>
      <c r="G287" s="8"/>
      <c r="H287" s="7"/>
      <c r="I287" s="7"/>
      <c r="J287" s="7"/>
    </row>
    <row r="288" spans="1:10" x14ac:dyDescent="0.25">
      <c r="A288" s="5"/>
      <c r="B288" s="6"/>
      <c r="C288" s="5"/>
      <c r="D288" s="5"/>
      <c r="E288" s="7"/>
      <c r="F288" s="7"/>
      <c r="G288" s="8"/>
      <c r="H288" s="7"/>
      <c r="I288" s="7"/>
      <c r="J288" s="7"/>
    </row>
    <row r="289" spans="1:10" x14ac:dyDescent="0.25">
      <c r="A289" s="5"/>
      <c r="B289" s="6"/>
      <c r="C289" s="5"/>
      <c r="D289" s="5"/>
      <c r="E289" s="7"/>
      <c r="F289" s="7"/>
      <c r="G289" s="8"/>
      <c r="H289" s="7"/>
      <c r="I289" s="7"/>
      <c r="J289" s="7"/>
    </row>
    <row r="290" spans="1:10" x14ac:dyDescent="0.25">
      <c r="A290" s="5"/>
      <c r="B290" s="6"/>
      <c r="C290" s="5"/>
      <c r="D290" s="5"/>
      <c r="E290" s="7"/>
      <c r="F290" s="7"/>
      <c r="G290" s="8"/>
      <c r="H290" s="7"/>
      <c r="I290" s="7"/>
      <c r="J290" s="7"/>
    </row>
    <row r="291" spans="1:10" x14ac:dyDescent="0.25">
      <c r="A291" s="5"/>
      <c r="B291" s="6"/>
      <c r="C291" s="5"/>
      <c r="D291" s="5"/>
      <c r="E291" s="7"/>
      <c r="F291" s="7"/>
      <c r="G291" s="8"/>
      <c r="H291" s="7"/>
      <c r="I291" s="7"/>
      <c r="J291" s="7"/>
    </row>
    <row r="292" spans="1:10" x14ac:dyDescent="0.25">
      <c r="A292" s="5"/>
      <c r="B292" s="6"/>
      <c r="C292" s="5"/>
      <c r="D292" s="5"/>
      <c r="E292" s="7"/>
      <c r="F292" s="7"/>
      <c r="G292" s="8"/>
      <c r="H292" s="7"/>
      <c r="I292" s="7"/>
      <c r="J292" s="7"/>
    </row>
    <row r="293" spans="1:10" x14ac:dyDescent="0.25">
      <c r="A293" s="5"/>
      <c r="B293" s="6"/>
      <c r="C293" s="5"/>
      <c r="D293" s="5"/>
      <c r="E293" s="7"/>
      <c r="F293" s="7"/>
      <c r="G293" s="8"/>
      <c r="H293" s="7"/>
      <c r="I293" s="7"/>
      <c r="J293" s="7"/>
    </row>
    <row r="294" spans="1:10" x14ac:dyDescent="0.25">
      <c r="A294" s="5"/>
      <c r="B294" s="6"/>
      <c r="C294" s="5"/>
      <c r="D294" s="5"/>
      <c r="E294" s="7"/>
      <c r="F294" s="7"/>
      <c r="G294" s="8"/>
      <c r="H294" s="7"/>
      <c r="I294" s="7"/>
      <c r="J294" s="7"/>
    </row>
    <row r="295" spans="1:10" x14ac:dyDescent="0.25">
      <c r="A295" s="5"/>
      <c r="B295" s="6"/>
      <c r="C295" s="5"/>
      <c r="D295" s="5"/>
      <c r="E295" s="7"/>
      <c r="F295" s="7"/>
      <c r="G295" s="8"/>
      <c r="H295" s="7"/>
      <c r="I295" s="7"/>
      <c r="J295" s="7"/>
    </row>
    <row r="296" spans="1:10" x14ac:dyDescent="0.25">
      <c r="A296" s="5"/>
      <c r="B296" s="6"/>
      <c r="C296" s="5"/>
      <c r="D296" s="5"/>
      <c r="E296" s="7"/>
      <c r="F296" s="7"/>
      <c r="G296" s="8"/>
      <c r="H296" s="7"/>
      <c r="I296" s="7"/>
      <c r="J296" s="7"/>
    </row>
    <row r="297" spans="1:10" x14ac:dyDescent="0.25">
      <c r="A297" s="5"/>
      <c r="B297" s="6"/>
      <c r="C297" s="5"/>
      <c r="D297" s="5"/>
      <c r="E297" s="7"/>
      <c r="F297" s="7"/>
      <c r="G297" s="8"/>
      <c r="H297" s="7"/>
      <c r="I297" s="7"/>
      <c r="J297" s="7"/>
    </row>
    <row r="298" spans="1:10" x14ac:dyDescent="0.25">
      <c r="A298" s="5"/>
      <c r="B298" s="6"/>
      <c r="C298" s="5"/>
      <c r="D298" s="5"/>
      <c r="E298" s="7"/>
      <c r="F298" s="7"/>
      <c r="G298" s="8"/>
      <c r="H298" s="7"/>
      <c r="I298" s="7"/>
      <c r="J298" s="7"/>
    </row>
    <row r="299" spans="1:10" x14ac:dyDescent="0.25">
      <c r="A299" s="5"/>
      <c r="B299" s="6"/>
      <c r="C299" s="5"/>
      <c r="D299" s="5"/>
      <c r="E299" s="7"/>
      <c r="F299" s="7"/>
      <c r="G299" s="8"/>
      <c r="H299" s="7"/>
      <c r="I299" s="7"/>
      <c r="J299" s="7"/>
    </row>
    <row r="300" spans="1:10" x14ac:dyDescent="0.25">
      <c r="A300" s="5"/>
      <c r="B300" s="6"/>
      <c r="C300" s="5"/>
      <c r="D300" s="5"/>
      <c r="E300" s="7"/>
      <c r="F300" s="7"/>
      <c r="G300" s="8"/>
      <c r="H300" s="7"/>
      <c r="I300" s="7"/>
      <c r="J300" s="7"/>
    </row>
    <row r="301" spans="1:10" x14ac:dyDescent="0.25">
      <c r="A301" s="5"/>
      <c r="B301" s="6"/>
      <c r="C301" s="5"/>
      <c r="D301" s="5"/>
      <c r="E301" s="7"/>
      <c r="F301" s="7"/>
      <c r="G301" s="8"/>
      <c r="H301" s="7"/>
      <c r="I301" s="7"/>
      <c r="J301" s="7"/>
    </row>
    <row r="302" spans="1:10" x14ac:dyDescent="0.25">
      <c r="A302" s="5"/>
      <c r="B302" s="6"/>
      <c r="C302" s="5"/>
      <c r="D302" s="5"/>
      <c r="E302" s="7"/>
      <c r="F302" s="7"/>
      <c r="G302" s="8"/>
      <c r="H302" s="7"/>
      <c r="I302" s="7"/>
      <c r="J302" s="7"/>
    </row>
    <row r="303" spans="1:10" x14ac:dyDescent="0.25">
      <c r="A303" s="5"/>
      <c r="B303" s="6"/>
      <c r="C303" s="5"/>
      <c r="D303" s="5"/>
      <c r="E303" s="7"/>
      <c r="F303" s="7"/>
      <c r="G303" s="8"/>
      <c r="H303" s="7"/>
      <c r="I303" s="7"/>
      <c r="J303" s="7"/>
    </row>
    <row r="304" spans="1:10" x14ac:dyDescent="0.25">
      <c r="A304" s="5"/>
      <c r="B304" s="6"/>
      <c r="C304" s="5"/>
      <c r="D304" s="5"/>
      <c r="E304" s="7"/>
      <c r="F304" s="7"/>
      <c r="G304" s="8"/>
      <c r="H304" s="7"/>
      <c r="I304" s="7"/>
      <c r="J304" s="7"/>
    </row>
    <row r="305" spans="1:10" x14ac:dyDescent="0.25">
      <c r="A305" s="5"/>
      <c r="B305" s="6"/>
      <c r="C305" s="5"/>
      <c r="D305" s="5"/>
      <c r="E305" s="7"/>
      <c r="F305" s="7"/>
      <c r="G305" s="8"/>
      <c r="H305" s="7"/>
      <c r="I305" s="7"/>
      <c r="J305" s="7"/>
    </row>
    <row r="306" spans="1:10" x14ac:dyDescent="0.25">
      <c r="A306" s="5"/>
      <c r="B306" s="6"/>
      <c r="C306" s="5"/>
      <c r="D306" s="5"/>
      <c r="E306" s="7"/>
      <c r="F306" s="7"/>
      <c r="G306" s="8"/>
      <c r="H306" s="7"/>
      <c r="I306" s="7"/>
      <c r="J306" s="7"/>
    </row>
    <row r="307" spans="1:10" x14ac:dyDescent="0.25">
      <c r="A307" s="5"/>
      <c r="B307" s="6"/>
      <c r="C307" s="5"/>
      <c r="D307" s="5"/>
      <c r="E307" s="7"/>
      <c r="F307" s="7"/>
      <c r="G307" s="8"/>
      <c r="H307" s="7"/>
      <c r="I307" s="7"/>
      <c r="J307" s="7"/>
    </row>
    <row r="308" spans="1:10" x14ac:dyDescent="0.25">
      <c r="A308" s="5"/>
      <c r="B308" s="6"/>
      <c r="C308" s="5"/>
      <c r="D308" s="5"/>
      <c r="E308" s="7"/>
      <c r="F308" s="7"/>
      <c r="G308" s="8"/>
      <c r="H308" s="7"/>
      <c r="I308" s="7"/>
      <c r="J308" s="7"/>
    </row>
    <row r="309" spans="1:10" x14ac:dyDescent="0.25">
      <c r="A309" s="5"/>
      <c r="B309" s="6"/>
      <c r="C309" s="5"/>
      <c r="D309" s="5"/>
      <c r="E309" s="7"/>
      <c r="F309" s="7"/>
      <c r="G309" s="8"/>
      <c r="H309" s="7"/>
      <c r="I309" s="7"/>
      <c r="J309" s="7"/>
    </row>
    <row r="310" spans="1:10" x14ac:dyDescent="0.25">
      <c r="A310" s="5"/>
      <c r="B310" s="6"/>
      <c r="C310" s="5"/>
      <c r="D310" s="5"/>
      <c r="E310" s="7"/>
      <c r="F310" s="7"/>
      <c r="G310" s="8"/>
      <c r="H310" s="7"/>
      <c r="I310" s="7"/>
      <c r="J310" s="7"/>
    </row>
    <row r="311" spans="1:10" x14ac:dyDescent="0.25">
      <c r="A311" s="5"/>
      <c r="B311" s="6"/>
      <c r="C311" s="5"/>
      <c r="D311" s="5"/>
      <c r="E311" s="7"/>
      <c r="F311" s="7"/>
      <c r="G311" s="8"/>
      <c r="H311" s="7"/>
      <c r="I311" s="7"/>
      <c r="J311" s="7"/>
    </row>
    <row r="312" spans="1:10" x14ac:dyDescent="0.25">
      <c r="A312" s="5"/>
      <c r="B312" s="6"/>
      <c r="C312" s="5"/>
      <c r="D312" s="5"/>
      <c r="E312" s="7"/>
      <c r="F312" s="7"/>
      <c r="G312" s="8"/>
      <c r="H312" s="7"/>
      <c r="I312" s="7"/>
      <c r="J312" s="7"/>
    </row>
    <row r="313" spans="1:10" x14ac:dyDescent="0.25">
      <c r="A313" s="5"/>
      <c r="B313" s="6"/>
      <c r="C313" s="5"/>
      <c r="D313" s="5"/>
      <c r="E313" s="7"/>
      <c r="F313" s="7"/>
      <c r="G313" s="8"/>
      <c r="H313" s="7"/>
      <c r="I313" s="7"/>
      <c r="J313" s="7"/>
    </row>
    <row r="314" spans="1:10" x14ac:dyDescent="0.25">
      <c r="A314" s="5"/>
      <c r="B314" s="6"/>
      <c r="C314" s="5"/>
      <c r="D314" s="5"/>
      <c r="E314" s="7"/>
      <c r="F314" s="7"/>
      <c r="G314" s="8"/>
      <c r="H314" s="7"/>
      <c r="I314" s="7"/>
      <c r="J314" s="7"/>
    </row>
    <row r="315" spans="1:10" x14ac:dyDescent="0.25">
      <c r="A315" s="5"/>
      <c r="B315" s="6"/>
      <c r="C315" s="5"/>
      <c r="D315" s="5"/>
      <c r="E315" s="7"/>
      <c r="F315" s="7"/>
      <c r="G315" s="8"/>
      <c r="H315" s="7"/>
      <c r="I315" s="7"/>
      <c r="J315" s="7"/>
    </row>
    <row r="316" spans="1:10" x14ac:dyDescent="0.25">
      <c r="A316" s="5"/>
      <c r="B316" s="6"/>
      <c r="C316" s="5"/>
      <c r="D316" s="5"/>
      <c r="E316" s="7"/>
      <c r="F316" s="7"/>
      <c r="G316" s="8"/>
      <c r="H316" s="7"/>
      <c r="I316" s="7"/>
      <c r="J316" s="7"/>
    </row>
    <row r="317" spans="1:10" x14ac:dyDescent="0.25">
      <c r="A317" s="5"/>
      <c r="B317" s="6"/>
      <c r="C317" s="5"/>
      <c r="D317" s="5"/>
      <c r="E317" s="7"/>
      <c r="F317" s="7"/>
      <c r="G317" s="8"/>
      <c r="H317" s="7"/>
      <c r="I317" s="7"/>
      <c r="J317" s="7"/>
    </row>
    <row r="318" spans="1:10" x14ac:dyDescent="0.25">
      <c r="A318" s="5"/>
      <c r="B318" s="6"/>
      <c r="C318" s="5"/>
      <c r="D318" s="5"/>
      <c r="E318" s="7"/>
      <c r="F318" s="7"/>
      <c r="G318" s="8"/>
      <c r="H318" s="7"/>
      <c r="I318" s="7"/>
      <c r="J318" s="7"/>
    </row>
    <row r="319" spans="1:10" x14ac:dyDescent="0.25">
      <c r="A319" s="5"/>
      <c r="B319" s="6"/>
      <c r="C319" s="5"/>
      <c r="D319" s="5"/>
      <c r="E319" s="7"/>
      <c r="F319" s="7"/>
      <c r="G319" s="8"/>
      <c r="H319" s="7"/>
      <c r="I319" s="7"/>
      <c r="J319" s="7"/>
    </row>
    <row r="320" spans="1:10" x14ac:dyDescent="0.25">
      <c r="A320" s="5"/>
      <c r="B320" s="6"/>
      <c r="C320" s="5"/>
      <c r="D320" s="5"/>
      <c r="E320" s="7"/>
      <c r="F320" s="7"/>
      <c r="G320" s="8"/>
      <c r="H320" s="7"/>
      <c r="I320" s="7"/>
      <c r="J320" s="7"/>
    </row>
    <row r="321" spans="1:10" x14ac:dyDescent="0.25">
      <c r="A321" s="5"/>
      <c r="B321" s="6"/>
      <c r="C321" s="5"/>
      <c r="D321" s="5"/>
      <c r="E321" s="7"/>
      <c r="F321" s="7"/>
      <c r="G321" s="8"/>
      <c r="H321" s="7"/>
      <c r="I321" s="7"/>
      <c r="J321" s="7"/>
    </row>
    <row r="322" spans="1:10" x14ac:dyDescent="0.25">
      <c r="A322" s="5"/>
      <c r="B322" s="6"/>
      <c r="C322" s="5"/>
      <c r="D322" s="5"/>
      <c r="E322" s="7"/>
      <c r="F322" s="7"/>
      <c r="G322" s="8"/>
      <c r="H322" s="7"/>
      <c r="I322" s="7"/>
      <c r="J322" s="7"/>
    </row>
    <row r="323" spans="1:10" x14ac:dyDescent="0.25">
      <c r="A323" s="5"/>
      <c r="B323" s="6"/>
      <c r="C323" s="5"/>
      <c r="D323" s="5"/>
      <c r="E323" s="7"/>
      <c r="F323" s="7"/>
      <c r="G323" s="8"/>
      <c r="H323" s="7"/>
      <c r="I323" s="7"/>
      <c r="J323" s="7"/>
    </row>
    <row r="324" spans="1:10" x14ac:dyDescent="0.25">
      <c r="A324" s="5"/>
      <c r="B324" s="6"/>
      <c r="C324" s="5"/>
      <c r="D324" s="5"/>
      <c r="E324" s="7"/>
      <c r="F324" s="7"/>
      <c r="G324" s="8"/>
      <c r="H324" s="7"/>
      <c r="I324" s="7"/>
      <c r="J324" s="7"/>
    </row>
    <row r="325" spans="1:10" x14ac:dyDescent="0.25">
      <c r="A325" s="5"/>
      <c r="B325" s="6"/>
      <c r="C325" s="5"/>
      <c r="D325" s="5"/>
      <c r="E325" s="7"/>
      <c r="F325" s="7"/>
      <c r="G325" s="8"/>
      <c r="H325" s="7"/>
      <c r="I325" s="7"/>
      <c r="J325" s="7"/>
    </row>
    <row r="326" spans="1:10" x14ac:dyDescent="0.25">
      <c r="A326" s="5"/>
      <c r="B326" s="6"/>
      <c r="C326" s="5"/>
      <c r="D326" s="5"/>
      <c r="E326" s="7"/>
      <c r="F326" s="7"/>
      <c r="G326" s="8"/>
      <c r="H326" s="7"/>
      <c r="I326" s="7"/>
      <c r="J326" s="7"/>
    </row>
    <row r="327" spans="1:10" x14ac:dyDescent="0.25">
      <c r="A327" s="5"/>
      <c r="B327" s="6"/>
      <c r="C327" s="5"/>
      <c r="D327" s="5"/>
      <c r="E327" s="7"/>
      <c r="F327" s="7"/>
      <c r="G327" s="8"/>
      <c r="H327" s="7"/>
      <c r="I327" s="7"/>
      <c r="J327" s="7"/>
    </row>
    <row r="328" spans="1:10" x14ac:dyDescent="0.25">
      <c r="A328" s="5"/>
      <c r="B328" s="6"/>
      <c r="C328" s="5"/>
      <c r="D328" s="5"/>
      <c r="E328" s="7"/>
      <c r="F328" s="7"/>
      <c r="G328" s="8"/>
      <c r="H328" s="7"/>
      <c r="I328" s="7"/>
      <c r="J328" s="7"/>
    </row>
    <row r="329" spans="1:10" x14ac:dyDescent="0.25">
      <c r="A329" s="5"/>
      <c r="B329" s="6"/>
      <c r="C329" s="5"/>
      <c r="D329" s="5"/>
      <c r="E329" s="7"/>
      <c r="F329" s="7"/>
      <c r="G329" s="8"/>
      <c r="H329" s="7"/>
      <c r="I329" s="7"/>
      <c r="J329" s="7"/>
    </row>
    <row r="330" spans="1:10" x14ac:dyDescent="0.25">
      <c r="A330" s="5"/>
      <c r="B330" s="6"/>
      <c r="C330" s="5"/>
      <c r="D330" s="5"/>
      <c r="E330" s="7"/>
      <c r="F330" s="7"/>
      <c r="G330" s="8"/>
      <c r="H330" s="7"/>
      <c r="I330" s="7"/>
      <c r="J330" s="7"/>
    </row>
    <row r="331" spans="1:10" x14ac:dyDescent="0.25">
      <c r="A331" s="5"/>
      <c r="B331" s="6"/>
      <c r="C331" s="5"/>
      <c r="D331" s="5"/>
      <c r="E331" s="7"/>
      <c r="F331" s="7"/>
      <c r="G331" s="8"/>
      <c r="H331" s="7"/>
      <c r="I331" s="7"/>
      <c r="J331" s="7"/>
    </row>
    <row r="332" spans="1:10" x14ac:dyDescent="0.25">
      <c r="A332" s="5"/>
      <c r="B332" s="6"/>
      <c r="C332" s="5"/>
      <c r="D332" s="5"/>
      <c r="E332" s="7"/>
      <c r="F332" s="7"/>
      <c r="G332" s="8"/>
      <c r="H332" s="7"/>
      <c r="I332" s="7"/>
      <c r="J332" s="7"/>
    </row>
    <row r="333" spans="1:10" x14ac:dyDescent="0.25">
      <c r="A333" s="5"/>
      <c r="B333" s="6"/>
      <c r="C333" s="5"/>
      <c r="D333" s="5"/>
      <c r="E333" s="7"/>
      <c r="F333" s="7"/>
      <c r="G333" s="8"/>
      <c r="H333" s="7"/>
      <c r="I333" s="7"/>
      <c r="J333" s="7"/>
    </row>
    <row r="334" spans="1:10" x14ac:dyDescent="0.25">
      <c r="A334" s="5"/>
      <c r="B334" s="6"/>
      <c r="C334" s="5"/>
      <c r="D334" s="5"/>
      <c r="E334" s="7"/>
      <c r="F334" s="7"/>
      <c r="G334" s="8"/>
      <c r="H334" s="7"/>
      <c r="I334" s="7"/>
      <c r="J334" s="7"/>
    </row>
    <row r="335" spans="1:10" x14ac:dyDescent="0.25">
      <c r="A335" s="5"/>
      <c r="B335" s="6"/>
      <c r="C335" s="5"/>
      <c r="D335" s="5"/>
      <c r="E335" s="7"/>
      <c r="F335" s="7"/>
      <c r="G335" s="8"/>
      <c r="H335" s="7"/>
      <c r="I335" s="7"/>
      <c r="J335" s="7"/>
    </row>
    <row r="336" spans="1:10" x14ac:dyDescent="0.25">
      <c r="A336" s="5"/>
      <c r="B336" s="6"/>
      <c r="C336" s="5"/>
      <c r="D336" s="5"/>
      <c r="E336" s="7"/>
      <c r="F336" s="7"/>
      <c r="G336" s="8"/>
      <c r="H336" s="7"/>
      <c r="I336" s="7"/>
      <c r="J336" s="7"/>
    </row>
    <row r="337" spans="1:10" x14ac:dyDescent="0.25">
      <c r="A337" s="5"/>
      <c r="B337" s="6"/>
      <c r="C337" s="5"/>
      <c r="D337" s="5"/>
      <c r="E337" s="7"/>
      <c r="F337" s="7"/>
      <c r="G337" s="8"/>
      <c r="H337" s="7"/>
      <c r="I337" s="7"/>
      <c r="J337" s="7"/>
    </row>
    <row r="338" spans="1:10" x14ac:dyDescent="0.25">
      <c r="A338" s="5"/>
      <c r="B338" s="6"/>
      <c r="C338" s="5"/>
      <c r="D338" s="5"/>
      <c r="E338" s="7"/>
      <c r="F338" s="7"/>
      <c r="G338" s="8"/>
      <c r="H338" s="7"/>
      <c r="I338" s="7"/>
      <c r="J338" s="7"/>
    </row>
    <row r="339" spans="1:10" x14ac:dyDescent="0.25">
      <c r="A339" s="5"/>
      <c r="B339" s="6"/>
      <c r="C339" s="5"/>
      <c r="D339" s="5"/>
      <c r="E339" s="7"/>
      <c r="F339" s="7"/>
      <c r="G339" s="8"/>
      <c r="H339" s="7"/>
      <c r="I339" s="7"/>
      <c r="J339" s="7"/>
    </row>
    <row r="340" spans="1:10" x14ac:dyDescent="0.25">
      <c r="A340" s="5"/>
      <c r="B340" s="6"/>
      <c r="C340" s="5"/>
      <c r="D340" s="5"/>
      <c r="E340" s="7"/>
      <c r="F340" s="7"/>
      <c r="G340" s="8"/>
      <c r="H340" s="7"/>
      <c r="I340" s="7"/>
      <c r="J340" s="7"/>
    </row>
    <row r="341" spans="1:10" x14ac:dyDescent="0.25">
      <c r="A341" s="5"/>
      <c r="B341" s="6"/>
      <c r="C341" s="5"/>
      <c r="D341" s="5"/>
      <c r="E341" s="7"/>
      <c r="F341" s="7"/>
      <c r="G341" s="8"/>
      <c r="H341" s="7"/>
      <c r="I341" s="7"/>
      <c r="J341" s="7"/>
    </row>
    <row r="342" spans="1:10" x14ac:dyDescent="0.25">
      <c r="A342" s="5"/>
      <c r="B342" s="6"/>
      <c r="C342" s="5"/>
      <c r="D342" s="5"/>
      <c r="E342" s="7"/>
      <c r="F342" s="7"/>
      <c r="G342" s="8"/>
      <c r="H342" s="7"/>
      <c r="I342" s="7"/>
      <c r="J342" s="7"/>
    </row>
    <row r="343" spans="1:10" x14ac:dyDescent="0.25">
      <c r="A343" s="5"/>
      <c r="B343" s="6"/>
      <c r="C343" s="5"/>
      <c r="D343" s="5"/>
      <c r="E343" s="7"/>
      <c r="F343" s="7"/>
      <c r="G343" s="8"/>
      <c r="H343" s="7"/>
      <c r="I343" s="7"/>
      <c r="J343" s="7"/>
    </row>
    <row r="344" spans="1:10" x14ac:dyDescent="0.25">
      <c r="A344" s="5"/>
      <c r="B344" s="6"/>
      <c r="C344" s="5"/>
      <c r="D344" s="5"/>
      <c r="E344" s="7"/>
      <c r="F344" s="7"/>
      <c r="G344" s="8"/>
      <c r="H344" s="7"/>
      <c r="I344" s="7"/>
      <c r="J344" s="7"/>
    </row>
    <row r="345" spans="1:10" x14ac:dyDescent="0.25">
      <c r="A345" s="5"/>
      <c r="B345" s="6"/>
      <c r="C345" s="5"/>
      <c r="D345" s="5"/>
      <c r="E345" s="7"/>
      <c r="F345" s="7"/>
      <c r="G345" s="8"/>
      <c r="H345" s="7"/>
      <c r="I345" s="7"/>
      <c r="J345" s="7"/>
    </row>
    <row r="346" spans="1:10" x14ac:dyDescent="0.25">
      <c r="A346" s="5"/>
      <c r="B346" s="6"/>
      <c r="C346" s="5"/>
      <c r="D346" s="5"/>
      <c r="E346" s="7"/>
      <c r="F346" s="7"/>
      <c r="G346" s="8"/>
      <c r="H346" s="7"/>
      <c r="I346" s="7"/>
      <c r="J346" s="7"/>
    </row>
    <row r="347" spans="1:10" x14ac:dyDescent="0.25">
      <c r="A347" s="5"/>
      <c r="B347" s="6"/>
      <c r="C347" s="5"/>
      <c r="D347" s="5"/>
      <c r="E347" s="7"/>
      <c r="F347" s="7"/>
      <c r="G347" s="8"/>
      <c r="H347" s="7"/>
      <c r="I347" s="7"/>
      <c r="J347" s="7"/>
    </row>
    <row r="348" spans="1:10" x14ac:dyDescent="0.25">
      <c r="A348" s="5"/>
      <c r="B348" s="6"/>
      <c r="C348" s="5"/>
      <c r="D348" s="5"/>
      <c r="E348" s="7"/>
      <c r="F348" s="7"/>
      <c r="G348" s="8"/>
      <c r="H348" s="7"/>
      <c r="I348" s="7"/>
      <c r="J348" s="7"/>
    </row>
    <row r="349" spans="1:10" x14ac:dyDescent="0.25">
      <c r="A349" s="5"/>
      <c r="B349" s="6"/>
      <c r="C349" s="5"/>
      <c r="D349" s="5"/>
      <c r="E349" s="7"/>
      <c r="F349" s="7"/>
      <c r="G349" s="8"/>
      <c r="H349" s="7"/>
      <c r="I349" s="7"/>
      <c r="J349" s="7"/>
    </row>
    <row r="350" spans="1:10" x14ac:dyDescent="0.25">
      <c r="A350" s="5"/>
      <c r="B350" s="6"/>
      <c r="C350" s="5"/>
      <c r="D350" s="5"/>
      <c r="E350" s="7"/>
      <c r="F350" s="7"/>
      <c r="G350" s="8"/>
      <c r="H350" s="7"/>
      <c r="I350" s="7"/>
      <c r="J350" s="7"/>
    </row>
    <row r="351" spans="1:10" x14ac:dyDescent="0.25">
      <c r="A351" s="5"/>
      <c r="B351" s="6"/>
      <c r="C351" s="5"/>
      <c r="D351" s="5"/>
      <c r="E351" s="7"/>
      <c r="F351" s="7"/>
      <c r="G351" s="8"/>
      <c r="H351" s="7"/>
      <c r="I351" s="7"/>
      <c r="J351" s="7"/>
    </row>
    <row r="352" spans="1:10" x14ac:dyDescent="0.25">
      <c r="A352" s="5"/>
      <c r="B352" s="6"/>
      <c r="C352" s="5"/>
      <c r="D352" s="5"/>
      <c r="E352" s="7"/>
      <c r="F352" s="7"/>
      <c r="G352" s="8"/>
      <c r="H352" s="7"/>
      <c r="I352" s="7"/>
      <c r="J352" s="7"/>
    </row>
    <row r="353" spans="1:10" x14ac:dyDescent="0.25">
      <c r="A353" s="5"/>
      <c r="B353" s="6"/>
      <c r="C353" s="5"/>
      <c r="D353" s="5"/>
      <c r="E353" s="7"/>
      <c r="F353" s="7"/>
      <c r="G353" s="8"/>
      <c r="H353" s="7"/>
      <c r="I353" s="7"/>
      <c r="J353" s="7"/>
    </row>
    <row r="354" spans="1:10" x14ac:dyDescent="0.25">
      <c r="A354" s="5"/>
      <c r="B354" s="6"/>
      <c r="C354" s="5"/>
      <c r="D354" s="5"/>
      <c r="E354" s="7"/>
      <c r="F354" s="7"/>
      <c r="G354" s="8"/>
      <c r="H354" s="7"/>
      <c r="I354" s="7"/>
      <c r="J354" s="7"/>
    </row>
    <row r="355" spans="1:10" x14ac:dyDescent="0.25">
      <c r="A355" s="5"/>
      <c r="B355" s="6"/>
      <c r="C355" s="5"/>
      <c r="D355" s="5"/>
      <c r="E355" s="7"/>
      <c r="F355" s="7"/>
      <c r="G355" s="8"/>
      <c r="H355" s="7"/>
      <c r="I355" s="7"/>
      <c r="J355" s="7"/>
    </row>
    <row r="356" spans="1:10" x14ac:dyDescent="0.25">
      <c r="A356" s="5"/>
      <c r="B356" s="6"/>
      <c r="C356" s="5"/>
      <c r="D356" s="5"/>
      <c r="E356" s="7"/>
      <c r="F356" s="7"/>
      <c r="G356" s="8"/>
      <c r="H356" s="7"/>
      <c r="I356" s="7"/>
      <c r="J356" s="7"/>
    </row>
    <row r="357" spans="1:10" x14ac:dyDescent="0.25">
      <c r="A357" s="5"/>
      <c r="B357" s="6"/>
      <c r="C357" s="5"/>
      <c r="D357" s="5"/>
      <c r="E357" s="7"/>
      <c r="F357" s="7"/>
      <c r="G357" s="8"/>
      <c r="H357" s="7"/>
      <c r="I357" s="7"/>
      <c r="J357" s="7"/>
    </row>
    <row r="358" spans="1:10" x14ac:dyDescent="0.25">
      <c r="A358" s="5"/>
      <c r="B358" s="6"/>
      <c r="C358" s="5"/>
      <c r="D358" s="5"/>
      <c r="E358" s="7"/>
      <c r="F358" s="7"/>
      <c r="G358" s="8"/>
      <c r="H358" s="7"/>
      <c r="I358" s="7"/>
      <c r="J358" s="7"/>
    </row>
    <row r="359" spans="1:10" x14ac:dyDescent="0.25">
      <c r="A359" s="5"/>
      <c r="B359" s="6"/>
      <c r="C359" s="5"/>
      <c r="D359" s="5"/>
      <c r="E359" s="7"/>
      <c r="F359" s="7"/>
      <c r="G359" s="8"/>
      <c r="H359" s="7"/>
      <c r="I359" s="7"/>
      <c r="J359" s="7"/>
    </row>
    <row r="360" spans="1:10" x14ac:dyDescent="0.25">
      <c r="A360" s="5"/>
      <c r="B360" s="6"/>
      <c r="C360" s="5"/>
      <c r="D360" s="5"/>
      <c r="E360" s="7"/>
      <c r="F360" s="7"/>
      <c r="G360" s="8"/>
      <c r="H360" s="7"/>
      <c r="I360" s="7"/>
      <c r="J360" s="7"/>
    </row>
    <row r="361" spans="1:10" x14ac:dyDescent="0.25">
      <c r="A361" s="5"/>
      <c r="B361" s="6"/>
      <c r="C361" s="5"/>
      <c r="D361" s="5"/>
      <c r="E361" s="7"/>
      <c r="F361" s="7"/>
      <c r="G361" s="8"/>
      <c r="H361" s="7"/>
      <c r="I361" s="7"/>
      <c r="J361" s="7"/>
    </row>
    <row r="362" spans="1:10" x14ac:dyDescent="0.25">
      <c r="A362" s="5"/>
      <c r="B362" s="6"/>
      <c r="C362" s="5"/>
      <c r="D362" s="5"/>
      <c r="E362" s="7"/>
      <c r="F362" s="7"/>
      <c r="G362" s="8"/>
      <c r="H362" s="7"/>
      <c r="I362" s="7"/>
      <c r="J362" s="7"/>
    </row>
    <row r="363" spans="1:10" x14ac:dyDescent="0.25">
      <c r="A363" s="5"/>
      <c r="B363" s="6"/>
      <c r="C363" s="5"/>
      <c r="D363" s="5"/>
      <c r="E363" s="7"/>
      <c r="F363" s="7"/>
      <c r="G363" s="8"/>
      <c r="H363" s="7"/>
      <c r="I363" s="7"/>
      <c r="J363" s="7"/>
    </row>
    <row r="364" spans="1:10" x14ac:dyDescent="0.25">
      <c r="A364" s="5"/>
      <c r="B364" s="6"/>
      <c r="C364" s="5"/>
      <c r="D364" s="5"/>
      <c r="E364" s="7"/>
      <c r="F364" s="7"/>
      <c r="G364" s="8"/>
      <c r="H364" s="7"/>
      <c r="I364" s="7"/>
      <c r="J364" s="7"/>
    </row>
    <row r="365" spans="1:10" x14ac:dyDescent="0.25">
      <c r="A365" s="5"/>
      <c r="B365" s="6"/>
      <c r="C365" s="5"/>
      <c r="D365" s="5"/>
      <c r="E365" s="7"/>
      <c r="F365" s="7"/>
      <c r="G365" s="8"/>
      <c r="H365" s="7"/>
      <c r="I365" s="7"/>
      <c r="J365" s="7"/>
    </row>
    <row r="366" spans="1:10" x14ac:dyDescent="0.25">
      <c r="A366" s="5"/>
      <c r="B366" s="6"/>
      <c r="C366" s="5"/>
      <c r="D366" s="5"/>
      <c r="E366" s="7"/>
      <c r="F366" s="7"/>
      <c r="G366" s="8"/>
      <c r="H366" s="7"/>
      <c r="I366" s="7"/>
      <c r="J366" s="7"/>
    </row>
    <row r="367" spans="1:10" x14ac:dyDescent="0.25">
      <c r="A367" s="5"/>
      <c r="B367" s="6"/>
      <c r="C367" s="5"/>
      <c r="D367" s="5"/>
      <c r="E367" s="7"/>
      <c r="F367" s="7"/>
      <c r="G367" s="8"/>
      <c r="H367" s="7"/>
      <c r="I367" s="7"/>
      <c r="J367" s="7"/>
    </row>
    <row r="368" spans="1:10" x14ac:dyDescent="0.25">
      <c r="A368" s="5"/>
      <c r="B368" s="6"/>
      <c r="C368" s="5"/>
      <c r="D368" s="5"/>
      <c r="E368" s="7"/>
      <c r="F368" s="7"/>
      <c r="G368" s="8"/>
      <c r="H368" s="7"/>
      <c r="I368" s="7"/>
      <c r="J368" s="7"/>
    </row>
    <row r="369" spans="1:10" x14ac:dyDescent="0.25">
      <c r="A369" s="5"/>
      <c r="B369" s="6"/>
      <c r="C369" s="5"/>
      <c r="D369" s="5"/>
      <c r="E369" s="7"/>
      <c r="F369" s="7"/>
      <c r="G369" s="8"/>
      <c r="H369" s="7"/>
      <c r="I369" s="7"/>
      <c r="J369" s="7"/>
    </row>
    <row r="370" spans="1:10" x14ac:dyDescent="0.25">
      <c r="A370" s="5"/>
      <c r="B370" s="6"/>
      <c r="C370" s="5"/>
      <c r="D370" s="5"/>
      <c r="E370" s="7"/>
      <c r="F370" s="7"/>
      <c r="G370" s="8"/>
      <c r="H370" s="7"/>
      <c r="I370" s="7"/>
      <c r="J370" s="7"/>
    </row>
    <row r="371" spans="1:10" x14ac:dyDescent="0.25">
      <c r="A371" s="5"/>
      <c r="B371" s="6"/>
      <c r="C371" s="5"/>
      <c r="D371" s="5"/>
      <c r="E371" s="7"/>
      <c r="F371" s="7"/>
      <c r="G371" s="8"/>
      <c r="H371" s="7"/>
      <c r="I371" s="7"/>
      <c r="J371" s="7"/>
    </row>
    <row r="372" spans="1:10" x14ac:dyDescent="0.25">
      <c r="A372" s="5"/>
      <c r="B372" s="6"/>
      <c r="C372" s="5"/>
      <c r="D372" s="5"/>
      <c r="E372" s="7"/>
      <c r="F372" s="7"/>
      <c r="G372" s="8"/>
      <c r="H372" s="7"/>
      <c r="I372" s="7"/>
      <c r="J372" s="7"/>
    </row>
    <row r="373" spans="1:10" x14ac:dyDescent="0.25">
      <c r="A373" s="5"/>
      <c r="B373" s="6"/>
      <c r="C373" s="5"/>
      <c r="D373" s="5"/>
      <c r="E373" s="7"/>
      <c r="F373" s="7"/>
      <c r="G373" s="8"/>
      <c r="H373" s="7"/>
      <c r="I373" s="7"/>
      <c r="J373" s="7"/>
    </row>
    <row r="374" spans="1:10" x14ac:dyDescent="0.25">
      <c r="A374" s="5"/>
      <c r="B374" s="6"/>
      <c r="C374" s="5"/>
      <c r="D374" s="5"/>
      <c r="E374" s="7"/>
      <c r="F374" s="7"/>
      <c r="G374" s="8"/>
      <c r="H374" s="7"/>
      <c r="I374" s="7"/>
      <c r="J374" s="7"/>
    </row>
    <row r="375" spans="1:10" x14ac:dyDescent="0.25">
      <c r="A375" s="5"/>
      <c r="B375" s="6"/>
      <c r="C375" s="5"/>
      <c r="D375" s="5"/>
      <c r="E375" s="7"/>
      <c r="F375" s="7"/>
      <c r="G375" s="8"/>
      <c r="H375" s="7"/>
      <c r="I375" s="7"/>
      <c r="J375" s="7"/>
    </row>
    <row r="376" spans="1:10" x14ac:dyDescent="0.25">
      <c r="A376" s="5"/>
      <c r="B376" s="6"/>
      <c r="C376" s="5"/>
      <c r="D376" s="5"/>
      <c r="E376" s="7"/>
      <c r="F376" s="7"/>
      <c r="G376" s="8"/>
      <c r="H376" s="7"/>
      <c r="I376" s="7"/>
      <c r="J376" s="7"/>
    </row>
    <row r="377" spans="1:10" x14ac:dyDescent="0.25">
      <c r="A377" s="5"/>
      <c r="B377" s="6"/>
      <c r="C377" s="5"/>
      <c r="D377" s="5"/>
      <c r="E377" s="7"/>
      <c r="F377" s="7"/>
      <c r="G377" s="8"/>
      <c r="H377" s="7"/>
      <c r="I377" s="7"/>
      <c r="J377" s="7"/>
    </row>
    <row r="378" spans="1:10" x14ac:dyDescent="0.25">
      <c r="A378" s="5"/>
      <c r="B378" s="6"/>
      <c r="C378" s="5"/>
      <c r="D378" s="5"/>
      <c r="E378" s="7"/>
      <c r="F378" s="7"/>
      <c r="G378" s="8"/>
      <c r="H378" s="7"/>
      <c r="I378" s="7"/>
      <c r="J378" s="7"/>
    </row>
    <row r="379" spans="1:10" x14ac:dyDescent="0.25">
      <c r="A379" s="5"/>
      <c r="B379" s="6"/>
      <c r="C379" s="5"/>
      <c r="D379" s="5"/>
      <c r="E379" s="7"/>
      <c r="F379" s="7"/>
      <c r="G379" s="8"/>
      <c r="H379" s="7"/>
      <c r="I379" s="7"/>
      <c r="J379" s="7"/>
    </row>
    <row r="380" spans="1:10" x14ac:dyDescent="0.25">
      <c r="A380" s="5"/>
      <c r="B380" s="6"/>
      <c r="C380" s="5"/>
      <c r="D380" s="5"/>
      <c r="E380" s="7"/>
      <c r="F380" s="7"/>
      <c r="G380" s="8"/>
      <c r="H380" s="7"/>
      <c r="I380" s="7"/>
      <c r="J380" s="7"/>
    </row>
    <row r="381" spans="1:10" x14ac:dyDescent="0.25">
      <c r="A381" s="5"/>
      <c r="B381" s="6"/>
      <c r="C381" s="5"/>
      <c r="D381" s="5"/>
      <c r="E381" s="7"/>
      <c r="F381" s="7"/>
      <c r="G381" s="8"/>
      <c r="H381" s="7"/>
      <c r="I381" s="7"/>
      <c r="J381" s="7"/>
    </row>
    <row r="382" spans="1:10" x14ac:dyDescent="0.25">
      <c r="A382" s="5"/>
      <c r="B382" s="6"/>
      <c r="C382" s="5"/>
      <c r="D382" s="5"/>
      <c r="E382" s="7"/>
      <c r="F382" s="7"/>
      <c r="G382" s="8"/>
      <c r="H382" s="7"/>
      <c r="I382" s="7"/>
      <c r="J382" s="7"/>
    </row>
    <row r="383" spans="1:10" x14ac:dyDescent="0.25">
      <c r="A383" s="5"/>
      <c r="B383" s="6"/>
      <c r="C383" s="5"/>
      <c r="D383" s="5"/>
      <c r="E383" s="7"/>
      <c r="F383" s="7"/>
      <c r="G383" s="8"/>
      <c r="H383" s="7"/>
      <c r="I383" s="7"/>
      <c r="J383" s="7"/>
    </row>
    <row r="384" spans="1:10" x14ac:dyDescent="0.25">
      <c r="A384" s="5"/>
      <c r="B384" s="6"/>
      <c r="C384" s="5"/>
      <c r="D384" s="5"/>
      <c r="E384" s="7"/>
      <c r="F384" s="7"/>
      <c r="G384" s="8"/>
      <c r="H384" s="7"/>
      <c r="I384" s="7"/>
      <c r="J384" s="7"/>
    </row>
    <row r="385" spans="1:10" x14ac:dyDescent="0.25">
      <c r="A385" s="5"/>
      <c r="B385" s="6"/>
      <c r="C385" s="5"/>
      <c r="D385" s="5"/>
      <c r="E385" s="7"/>
      <c r="F385" s="7"/>
      <c r="G385" s="8"/>
      <c r="H385" s="7"/>
      <c r="I385" s="7"/>
      <c r="J385" s="7"/>
    </row>
    <row r="386" spans="1:10" x14ac:dyDescent="0.25">
      <c r="A386" s="5"/>
      <c r="B386" s="6"/>
      <c r="C386" s="5"/>
      <c r="D386" s="5"/>
      <c r="E386" s="7"/>
      <c r="F386" s="7"/>
      <c r="G386" s="8"/>
      <c r="H386" s="7"/>
      <c r="I386" s="7"/>
      <c r="J386" s="7"/>
    </row>
    <row r="387" spans="1:10" x14ac:dyDescent="0.25">
      <c r="A387" s="5"/>
      <c r="B387" s="6"/>
      <c r="C387" s="5"/>
      <c r="D387" s="5"/>
      <c r="E387" s="7"/>
      <c r="F387" s="7"/>
      <c r="G387" s="8"/>
      <c r="H387" s="7"/>
      <c r="I387" s="7"/>
      <c r="J387" s="7"/>
    </row>
    <row r="388" spans="1:10" x14ac:dyDescent="0.25">
      <c r="A388" s="5"/>
      <c r="B388" s="6"/>
      <c r="C388" s="5"/>
      <c r="D388" s="5"/>
      <c r="E388" s="7"/>
      <c r="F388" s="7"/>
      <c r="G388" s="8"/>
      <c r="H388" s="7"/>
      <c r="I388" s="7"/>
      <c r="J388" s="7"/>
    </row>
    <row r="389" spans="1:10" x14ac:dyDescent="0.25">
      <c r="A389" s="5"/>
      <c r="B389" s="6"/>
      <c r="C389" s="5"/>
      <c r="D389" s="5"/>
      <c r="E389" s="7"/>
      <c r="F389" s="7"/>
      <c r="G389" s="8"/>
      <c r="H389" s="7"/>
      <c r="I389" s="7"/>
      <c r="J389" s="7"/>
    </row>
    <row r="390" spans="1:10" x14ac:dyDescent="0.25">
      <c r="A390" s="5"/>
      <c r="B390" s="6"/>
      <c r="C390" s="5"/>
      <c r="D390" s="5"/>
      <c r="E390" s="7"/>
      <c r="F390" s="7"/>
      <c r="G390" s="8"/>
      <c r="H390" s="7"/>
      <c r="I390" s="7"/>
      <c r="J390" s="7"/>
    </row>
    <row r="391" spans="1:10" x14ac:dyDescent="0.25">
      <c r="A391" s="5"/>
      <c r="B391" s="6"/>
      <c r="C391" s="5"/>
      <c r="D391" s="5"/>
      <c r="E391" s="7"/>
      <c r="F391" s="7"/>
      <c r="G391" s="8"/>
      <c r="H391" s="7"/>
      <c r="I391" s="7"/>
      <c r="J391" s="7"/>
    </row>
    <row r="392" spans="1:10" x14ac:dyDescent="0.25">
      <c r="A392" s="5"/>
      <c r="B392" s="6"/>
      <c r="C392" s="5"/>
      <c r="D392" s="5"/>
      <c r="E392" s="7"/>
      <c r="F392" s="7"/>
      <c r="G392" s="8"/>
      <c r="H392" s="7"/>
      <c r="I392" s="7"/>
      <c r="J392" s="7"/>
    </row>
    <row r="393" spans="1:10" x14ac:dyDescent="0.25">
      <c r="A393" s="5"/>
      <c r="B393" s="6"/>
      <c r="C393" s="5"/>
      <c r="D393" s="5"/>
      <c r="E393" s="7"/>
      <c r="F393" s="7"/>
      <c r="G393" s="8"/>
      <c r="H393" s="7"/>
      <c r="I393" s="7"/>
      <c r="J393" s="7"/>
    </row>
    <row r="394" spans="1:10" x14ac:dyDescent="0.25">
      <c r="A394" s="5"/>
      <c r="B394" s="6"/>
      <c r="C394" s="5"/>
      <c r="D394" s="5"/>
      <c r="E394" s="7"/>
      <c r="F394" s="7"/>
      <c r="G394" s="8"/>
      <c r="H394" s="7"/>
      <c r="I394" s="7"/>
      <c r="J394" s="7"/>
    </row>
    <row r="395" spans="1:10" x14ac:dyDescent="0.25">
      <c r="A395" s="5"/>
      <c r="B395" s="6"/>
      <c r="C395" s="5"/>
      <c r="D395" s="5"/>
      <c r="E395" s="7"/>
      <c r="F395" s="7"/>
      <c r="G395" s="8"/>
      <c r="H395" s="7"/>
      <c r="I395" s="7"/>
      <c r="J395" s="7"/>
    </row>
    <row r="396" spans="1:10" x14ac:dyDescent="0.25">
      <c r="A396" s="5"/>
      <c r="B396" s="6"/>
      <c r="C396" s="5"/>
      <c r="D396" s="5"/>
      <c r="E396" s="7"/>
      <c r="F396" s="7"/>
      <c r="G396" s="8"/>
      <c r="H396" s="7"/>
      <c r="I396" s="7"/>
      <c r="J396" s="7"/>
    </row>
    <row r="397" spans="1:10" x14ac:dyDescent="0.25">
      <c r="A397" s="5"/>
      <c r="B397" s="6"/>
      <c r="C397" s="5"/>
      <c r="D397" s="5"/>
      <c r="E397" s="7"/>
      <c r="F397" s="7"/>
      <c r="G397" s="8"/>
      <c r="H397" s="7"/>
      <c r="I397" s="7"/>
      <c r="J397" s="7"/>
    </row>
    <row r="398" spans="1:10" x14ac:dyDescent="0.25">
      <c r="A398" s="5"/>
      <c r="B398" s="6"/>
      <c r="C398" s="5"/>
      <c r="D398" s="5"/>
      <c r="E398" s="7"/>
      <c r="F398" s="7"/>
      <c r="G398" s="8"/>
      <c r="H398" s="7"/>
      <c r="I398" s="7"/>
      <c r="J398" s="7"/>
    </row>
    <row r="399" spans="1:10" x14ac:dyDescent="0.25">
      <c r="A399" s="5"/>
      <c r="B399" s="6"/>
      <c r="C399" s="5"/>
      <c r="D399" s="5"/>
      <c r="E399" s="7"/>
      <c r="F399" s="7"/>
      <c r="G399" s="8"/>
      <c r="H399" s="7"/>
      <c r="I399" s="7"/>
      <c r="J399" s="7"/>
    </row>
    <row r="400" spans="1:10" x14ac:dyDescent="0.25">
      <c r="A400" s="5"/>
      <c r="B400" s="6"/>
      <c r="C400" s="5"/>
      <c r="D400" s="5"/>
      <c r="E400" s="7"/>
      <c r="F400" s="7"/>
      <c r="G400" s="8"/>
      <c r="H400" s="7"/>
      <c r="I400" s="7"/>
      <c r="J400" s="7"/>
    </row>
    <row r="401" spans="1:10" x14ac:dyDescent="0.25">
      <c r="A401" s="5"/>
      <c r="B401" s="6"/>
      <c r="C401" s="5"/>
      <c r="D401" s="5"/>
      <c r="E401" s="7"/>
      <c r="F401" s="7"/>
      <c r="G401" s="8"/>
      <c r="H401" s="7"/>
      <c r="I401" s="7"/>
      <c r="J401" s="7"/>
    </row>
    <row r="402" spans="1:10" x14ac:dyDescent="0.25">
      <c r="A402" s="5"/>
      <c r="B402" s="6"/>
      <c r="C402" s="5"/>
      <c r="D402" s="5"/>
      <c r="E402" s="7"/>
      <c r="F402" s="7"/>
      <c r="G402" s="8"/>
      <c r="H402" s="7"/>
      <c r="I402" s="7"/>
      <c r="J402" s="7"/>
    </row>
    <row r="403" spans="1:10" x14ac:dyDescent="0.25">
      <c r="A403" s="5"/>
      <c r="B403" s="6"/>
      <c r="C403" s="5"/>
      <c r="D403" s="5"/>
      <c r="E403" s="7"/>
      <c r="F403" s="7"/>
      <c r="G403" s="8"/>
      <c r="H403" s="7"/>
      <c r="I403" s="7"/>
      <c r="J403" s="7"/>
    </row>
    <row r="404" spans="1:10" x14ac:dyDescent="0.25">
      <c r="A404" s="5"/>
      <c r="B404" s="6"/>
      <c r="C404" s="5"/>
      <c r="D404" s="5"/>
      <c r="E404" s="7"/>
      <c r="F404" s="7"/>
      <c r="G404" s="8"/>
      <c r="H404" s="7"/>
      <c r="I404" s="7"/>
      <c r="J404" s="7"/>
    </row>
    <row r="405" spans="1:10" x14ac:dyDescent="0.25">
      <c r="A405" s="5"/>
      <c r="B405" s="6"/>
      <c r="C405" s="5"/>
      <c r="D405" s="5"/>
      <c r="E405" s="7"/>
      <c r="F405" s="7"/>
      <c r="G405" s="8"/>
      <c r="H405" s="7"/>
      <c r="I405" s="7"/>
      <c r="J405" s="7"/>
    </row>
    <row r="406" spans="1:10" x14ac:dyDescent="0.25">
      <c r="A406" s="5"/>
      <c r="B406" s="6"/>
      <c r="C406" s="5"/>
      <c r="D406" s="5"/>
      <c r="E406" s="7"/>
      <c r="F406" s="7"/>
      <c r="G406" s="8"/>
      <c r="H406" s="7"/>
      <c r="I406" s="7"/>
      <c r="J406" s="7"/>
    </row>
    <row r="407" spans="1:10" x14ac:dyDescent="0.25">
      <c r="A407" s="5"/>
      <c r="B407" s="6"/>
      <c r="C407" s="5"/>
      <c r="D407" s="5"/>
      <c r="E407" s="7"/>
      <c r="F407" s="7"/>
      <c r="G407" s="8"/>
      <c r="H407" s="7"/>
      <c r="I407" s="7"/>
      <c r="J407" s="7"/>
    </row>
    <row r="408" spans="1:10" x14ac:dyDescent="0.25">
      <c r="A408" s="5"/>
      <c r="B408" s="6"/>
      <c r="C408" s="5"/>
      <c r="D408" s="5"/>
      <c r="E408" s="7"/>
      <c r="F408" s="7"/>
      <c r="G408" s="8"/>
      <c r="H408" s="7"/>
      <c r="I408" s="7"/>
      <c r="J408" s="7"/>
    </row>
    <row r="409" spans="1:10" x14ac:dyDescent="0.25">
      <c r="A409" s="5"/>
      <c r="B409" s="6"/>
      <c r="C409" s="5"/>
      <c r="D409" s="5"/>
      <c r="E409" s="7"/>
      <c r="F409" s="7"/>
      <c r="G409" s="8"/>
      <c r="H409" s="7"/>
      <c r="I409" s="7"/>
      <c r="J409" s="7"/>
    </row>
    <row r="410" spans="1:10" x14ac:dyDescent="0.25">
      <c r="A410" s="5"/>
      <c r="B410" s="6"/>
      <c r="C410" s="5"/>
      <c r="D410" s="5"/>
      <c r="E410" s="7"/>
      <c r="F410" s="7"/>
      <c r="G410" s="8"/>
      <c r="H410" s="7"/>
      <c r="I410" s="7"/>
      <c r="J410" s="7"/>
    </row>
    <row r="411" spans="1:10" x14ac:dyDescent="0.25">
      <c r="A411" s="5"/>
      <c r="B411" s="6"/>
      <c r="C411" s="5"/>
      <c r="D411" s="5"/>
      <c r="E411" s="7"/>
      <c r="F411" s="7"/>
      <c r="G411" s="8"/>
      <c r="H411" s="7"/>
      <c r="I411" s="7"/>
      <c r="J411" s="7"/>
    </row>
    <row r="412" spans="1:10" x14ac:dyDescent="0.25">
      <c r="A412" s="5"/>
      <c r="B412" s="6"/>
      <c r="C412" s="5"/>
      <c r="D412" s="5"/>
      <c r="E412" s="7"/>
      <c r="F412" s="7"/>
      <c r="G412" s="8"/>
      <c r="H412" s="7"/>
      <c r="I412" s="7"/>
      <c r="J412" s="7"/>
    </row>
    <row r="413" spans="1:10" x14ac:dyDescent="0.25">
      <c r="A413" s="5"/>
      <c r="B413" s="6"/>
      <c r="C413" s="5"/>
      <c r="D413" s="5"/>
      <c r="E413" s="7"/>
      <c r="F413" s="7"/>
      <c r="G413" s="8"/>
      <c r="H413" s="7"/>
      <c r="I413" s="7"/>
      <c r="J413" s="7"/>
    </row>
    <row r="414" spans="1:10" x14ac:dyDescent="0.25">
      <c r="A414" s="5"/>
      <c r="B414" s="6"/>
      <c r="C414" s="5"/>
      <c r="D414" s="5"/>
      <c r="E414" s="7"/>
      <c r="F414" s="7"/>
      <c r="G414" s="8"/>
      <c r="H414" s="7"/>
      <c r="I414" s="7"/>
      <c r="J414" s="7"/>
    </row>
    <row r="415" spans="1:10" x14ac:dyDescent="0.25">
      <c r="A415" s="5"/>
      <c r="B415" s="6"/>
      <c r="C415" s="5"/>
      <c r="D415" s="5"/>
      <c r="E415" s="7"/>
      <c r="F415" s="7"/>
      <c r="G415" s="8"/>
      <c r="H415" s="7"/>
      <c r="I415" s="7"/>
      <c r="J415" s="7"/>
    </row>
    <row r="416" spans="1:10" x14ac:dyDescent="0.25">
      <c r="A416" s="5"/>
      <c r="B416" s="6"/>
      <c r="C416" s="5"/>
      <c r="D416" s="5"/>
      <c r="E416" s="7"/>
      <c r="F416" s="7"/>
      <c r="G416" s="8"/>
      <c r="H416" s="7"/>
      <c r="I416" s="7"/>
      <c r="J416" s="7"/>
    </row>
    <row r="417" spans="1:10" x14ac:dyDescent="0.25">
      <c r="A417" s="5"/>
      <c r="B417" s="6"/>
      <c r="C417" s="5"/>
      <c r="D417" s="5"/>
      <c r="E417" s="7"/>
      <c r="F417" s="7"/>
      <c r="G417" s="8"/>
      <c r="H417" s="7"/>
      <c r="I417" s="7"/>
      <c r="J417" s="7"/>
    </row>
    <row r="418" spans="1:10" x14ac:dyDescent="0.25">
      <c r="A418" s="5"/>
      <c r="B418" s="6"/>
      <c r="C418" s="5"/>
      <c r="D418" s="5"/>
      <c r="E418" s="7"/>
      <c r="F418" s="7"/>
      <c r="G418" s="8"/>
      <c r="H418" s="7"/>
      <c r="I418" s="7"/>
      <c r="J418" s="7"/>
    </row>
    <row r="419" spans="1:10" x14ac:dyDescent="0.25">
      <c r="A419" s="5"/>
      <c r="B419" s="6"/>
      <c r="C419" s="5"/>
      <c r="D419" s="5"/>
      <c r="E419" s="7"/>
      <c r="F419" s="7"/>
      <c r="G419" s="8"/>
      <c r="H419" s="7"/>
      <c r="I419" s="7"/>
      <c r="J419" s="7"/>
    </row>
    <row r="420" spans="1:10" x14ac:dyDescent="0.25">
      <c r="A420" s="5"/>
      <c r="B420" s="6"/>
      <c r="C420" s="5"/>
      <c r="D420" s="5"/>
      <c r="E420" s="7"/>
      <c r="F420" s="7"/>
      <c r="G420" s="8"/>
      <c r="H420" s="7"/>
      <c r="I420" s="7"/>
      <c r="J420" s="7"/>
    </row>
    <row r="421" spans="1:10" x14ac:dyDescent="0.25">
      <c r="A421" s="5"/>
      <c r="B421" s="6"/>
      <c r="C421" s="5"/>
      <c r="D421" s="5"/>
      <c r="E421" s="7"/>
      <c r="F421" s="7"/>
      <c r="G421" s="8"/>
      <c r="H421" s="7"/>
      <c r="I421" s="7"/>
      <c r="J421" s="7"/>
    </row>
    <row r="422" spans="1:10" x14ac:dyDescent="0.25">
      <c r="A422" s="5"/>
      <c r="B422" s="6"/>
      <c r="C422" s="5"/>
      <c r="D422" s="5"/>
      <c r="E422" s="7"/>
      <c r="F422" s="7"/>
      <c r="G422" s="8"/>
      <c r="H422" s="7"/>
      <c r="I422" s="7"/>
      <c r="J422" s="7"/>
    </row>
    <row r="423" spans="1:10" x14ac:dyDescent="0.25">
      <c r="A423" s="5"/>
      <c r="B423" s="6"/>
      <c r="C423" s="5"/>
      <c r="D423" s="5"/>
      <c r="E423" s="7"/>
      <c r="F423" s="7"/>
      <c r="G423" s="8"/>
      <c r="H423" s="7"/>
      <c r="I423" s="7"/>
      <c r="J423" s="7"/>
    </row>
    <row r="424" spans="1:10" x14ac:dyDescent="0.25">
      <c r="A424" s="5"/>
      <c r="B424" s="6"/>
      <c r="C424" s="5"/>
      <c r="D424" s="5"/>
      <c r="E424" s="7"/>
      <c r="F424" s="7"/>
      <c r="G424" s="8"/>
      <c r="H424" s="7"/>
      <c r="I424" s="7"/>
      <c r="J424" s="7"/>
    </row>
    <row r="425" spans="1:10" x14ac:dyDescent="0.25">
      <c r="A425" s="5"/>
      <c r="B425" s="6"/>
      <c r="C425" s="5"/>
      <c r="D425" s="5"/>
      <c r="E425" s="7"/>
      <c r="F425" s="7"/>
      <c r="G425" s="8"/>
      <c r="H425" s="7"/>
      <c r="I425" s="7"/>
      <c r="J425" s="7"/>
    </row>
    <row r="426" spans="1:10" x14ac:dyDescent="0.25">
      <c r="A426" s="5"/>
      <c r="B426" s="6"/>
      <c r="C426" s="5"/>
      <c r="D426" s="5"/>
      <c r="E426" s="7"/>
      <c r="F426" s="7"/>
      <c r="G426" s="8"/>
      <c r="H426" s="7"/>
      <c r="I426" s="7"/>
      <c r="J426" s="7"/>
    </row>
    <row r="427" spans="1:10" x14ac:dyDescent="0.25">
      <c r="A427" s="5"/>
      <c r="B427" s="6"/>
      <c r="C427" s="5"/>
      <c r="D427" s="5"/>
      <c r="E427" s="7"/>
      <c r="F427" s="7"/>
      <c r="G427" s="8"/>
      <c r="H427" s="7"/>
      <c r="I427" s="7"/>
      <c r="J427" s="7"/>
    </row>
    <row r="428" spans="1:10" x14ac:dyDescent="0.25">
      <c r="A428" s="5"/>
      <c r="B428" s="6"/>
      <c r="C428" s="5"/>
      <c r="D428" s="5"/>
      <c r="E428" s="7"/>
      <c r="F428" s="7"/>
      <c r="G428" s="8"/>
      <c r="H428" s="7"/>
      <c r="I428" s="7"/>
      <c r="J428" s="7"/>
    </row>
    <row r="429" spans="1:10" x14ac:dyDescent="0.25">
      <c r="A429" s="5"/>
      <c r="B429" s="6"/>
      <c r="C429" s="5"/>
      <c r="D429" s="5"/>
      <c r="E429" s="7"/>
      <c r="F429" s="7"/>
      <c r="G429" s="8"/>
      <c r="H429" s="7"/>
      <c r="I429" s="7"/>
      <c r="J429" s="7"/>
    </row>
    <row r="430" spans="1:10" x14ac:dyDescent="0.25">
      <c r="A430" s="5"/>
      <c r="B430" s="6"/>
      <c r="C430" s="5"/>
      <c r="D430" s="5"/>
      <c r="E430" s="7"/>
      <c r="F430" s="7"/>
      <c r="G430" s="8"/>
      <c r="H430" s="7"/>
      <c r="I430" s="7"/>
      <c r="J430" s="7"/>
    </row>
    <row r="431" spans="1:10" x14ac:dyDescent="0.25">
      <c r="A431" s="5"/>
      <c r="B431" s="6"/>
      <c r="C431" s="5"/>
      <c r="D431" s="5"/>
      <c r="E431" s="7"/>
      <c r="F431" s="7"/>
      <c r="G431" s="8"/>
      <c r="H431" s="7"/>
      <c r="I431" s="7"/>
      <c r="J431" s="7"/>
    </row>
    <row r="432" spans="1:10" x14ac:dyDescent="0.25">
      <c r="A432" s="5"/>
      <c r="B432" s="6"/>
      <c r="C432" s="5"/>
      <c r="D432" s="5"/>
      <c r="E432" s="7"/>
      <c r="F432" s="7"/>
      <c r="G432" s="8"/>
      <c r="H432" s="7"/>
      <c r="I432" s="7"/>
      <c r="J432" s="7"/>
    </row>
    <row r="433" spans="1:10" x14ac:dyDescent="0.25">
      <c r="A433" s="5"/>
      <c r="B433" s="6"/>
      <c r="C433" s="5"/>
      <c r="D433" s="5"/>
      <c r="E433" s="7"/>
      <c r="F433" s="7"/>
      <c r="G433" s="8"/>
      <c r="H433" s="7"/>
      <c r="I433" s="7"/>
      <c r="J433" s="7"/>
    </row>
    <row r="434" spans="1:10" x14ac:dyDescent="0.25">
      <c r="A434" s="5"/>
      <c r="B434" s="6"/>
      <c r="C434" s="5"/>
      <c r="D434" s="5"/>
      <c r="E434" s="7"/>
      <c r="F434" s="7"/>
      <c r="G434" s="8"/>
      <c r="H434" s="7"/>
      <c r="I434" s="7"/>
      <c r="J434" s="7"/>
    </row>
    <row r="435" spans="1:10" x14ac:dyDescent="0.25">
      <c r="A435" s="5"/>
      <c r="B435" s="6"/>
      <c r="C435" s="5"/>
      <c r="D435" s="5"/>
      <c r="E435" s="7"/>
      <c r="F435" s="7"/>
      <c r="G435" s="8"/>
      <c r="H435" s="7"/>
      <c r="I435" s="7"/>
      <c r="J435" s="7"/>
    </row>
    <row r="436" spans="1:10" x14ac:dyDescent="0.25">
      <c r="A436" s="5"/>
      <c r="B436" s="6"/>
      <c r="C436" s="5"/>
      <c r="D436" s="5"/>
      <c r="E436" s="7"/>
      <c r="F436" s="7"/>
      <c r="G436" s="8"/>
      <c r="H436" s="7"/>
      <c r="I436" s="7"/>
      <c r="J436" s="7"/>
    </row>
    <row r="437" spans="1:10" x14ac:dyDescent="0.25">
      <c r="A437" s="5"/>
      <c r="B437" s="6"/>
      <c r="C437" s="5"/>
      <c r="D437" s="5"/>
      <c r="E437" s="7"/>
      <c r="F437" s="7"/>
      <c r="G437" s="8"/>
      <c r="H437" s="7"/>
      <c r="I437" s="7"/>
      <c r="J437" s="7"/>
    </row>
    <row r="438" spans="1:10" x14ac:dyDescent="0.25">
      <c r="A438" s="5"/>
      <c r="B438" s="6"/>
      <c r="C438" s="5"/>
      <c r="D438" s="5"/>
      <c r="E438" s="7"/>
      <c r="F438" s="7"/>
      <c r="G438" s="8"/>
      <c r="H438" s="7"/>
      <c r="I438" s="7"/>
      <c r="J438" s="7"/>
    </row>
    <row r="439" spans="1:10" x14ac:dyDescent="0.25">
      <c r="A439" s="5"/>
      <c r="B439" s="6"/>
      <c r="C439" s="5"/>
      <c r="D439" s="5"/>
      <c r="E439" s="7"/>
      <c r="F439" s="7"/>
      <c r="G439" s="8"/>
      <c r="H439" s="7"/>
      <c r="I439" s="7"/>
      <c r="J439" s="7"/>
    </row>
    <row r="440" spans="1:10" x14ac:dyDescent="0.25">
      <c r="A440" s="5"/>
      <c r="B440" s="6"/>
      <c r="C440" s="5"/>
      <c r="D440" s="5"/>
      <c r="E440" s="7"/>
      <c r="F440" s="7"/>
      <c r="G440" s="8"/>
      <c r="H440" s="7"/>
      <c r="I440" s="7"/>
      <c r="J440" s="7"/>
    </row>
    <row r="441" spans="1:10" x14ac:dyDescent="0.25">
      <c r="A441" s="5"/>
      <c r="B441" s="6"/>
      <c r="C441" s="5"/>
      <c r="D441" s="5"/>
      <c r="E441" s="7"/>
      <c r="F441" s="7"/>
      <c r="G441" s="8"/>
      <c r="H441" s="7"/>
      <c r="I441" s="7"/>
      <c r="J441" s="7"/>
    </row>
    <row r="442" spans="1:10" x14ac:dyDescent="0.25">
      <c r="A442" s="5"/>
      <c r="B442" s="6"/>
      <c r="C442" s="5"/>
      <c r="D442" s="5"/>
      <c r="E442" s="7"/>
      <c r="F442" s="7"/>
      <c r="G442" s="8"/>
      <c r="H442" s="7"/>
      <c r="I442" s="7"/>
      <c r="J442" s="7"/>
    </row>
    <row r="443" spans="1:10" x14ac:dyDescent="0.25">
      <c r="A443" s="5"/>
      <c r="B443" s="6"/>
      <c r="C443" s="5"/>
      <c r="D443" s="5"/>
      <c r="E443" s="7"/>
      <c r="F443" s="7"/>
      <c r="G443" s="8"/>
      <c r="H443" s="7"/>
      <c r="I443" s="7"/>
      <c r="J443" s="7"/>
    </row>
    <row r="444" spans="1:10" x14ac:dyDescent="0.25">
      <c r="A444" s="5"/>
      <c r="B444" s="6"/>
      <c r="C444" s="5"/>
      <c r="D444" s="5"/>
      <c r="E444" s="7"/>
      <c r="F444" s="7"/>
      <c r="G444" s="8"/>
      <c r="H444" s="7"/>
      <c r="I444" s="7"/>
      <c r="J444" s="7"/>
    </row>
    <row r="445" spans="1:10" x14ac:dyDescent="0.25">
      <c r="A445" s="5"/>
      <c r="B445" s="6"/>
      <c r="C445" s="5"/>
      <c r="D445" s="5"/>
      <c r="E445" s="7"/>
      <c r="F445" s="7"/>
      <c r="G445" s="8"/>
      <c r="H445" s="7"/>
      <c r="I445" s="7"/>
      <c r="J445" s="7"/>
    </row>
    <row r="446" spans="1:10" x14ac:dyDescent="0.25">
      <c r="A446" s="5"/>
      <c r="B446" s="6"/>
      <c r="C446" s="5"/>
      <c r="D446" s="5"/>
      <c r="E446" s="7"/>
      <c r="F446" s="7"/>
      <c r="G446" s="8"/>
      <c r="H446" s="7"/>
      <c r="I446" s="7"/>
      <c r="J446" s="7"/>
    </row>
    <row r="447" spans="1:10" x14ac:dyDescent="0.25">
      <c r="A447" s="5"/>
      <c r="B447" s="6"/>
      <c r="C447" s="5"/>
      <c r="D447" s="5"/>
      <c r="E447" s="7"/>
      <c r="F447" s="7"/>
      <c r="G447" s="8"/>
      <c r="H447" s="7"/>
      <c r="I447" s="7"/>
      <c r="J447" s="7"/>
    </row>
    <row r="448" spans="1:10" x14ac:dyDescent="0.25">
      <c r="A448" s="5"/>
      <c r="B448" s="6"/>
      <c r="C448" s="5"/>
      <c r="D448" s="5"/>
      <c r="E448" s="7"/>
      <c r="F448" s="7"/>
      <c r="G448" s="8"/>
      <c r="H448" s="7"/>
      <c r="I448" s="7"/>
      <c r="J448" s="7"/>
    </row>
    <row r="449" spans="1:10" x14ac:dyDescent="0.25">
      <c r="A449" s="5"/>
      <c r="B449" s="6"/>
      <c r="C449" s="5"/>
      <c r="D449" s="5"/>
      <c r="E449" s="7"/>
      <c r="F449" s="7"/>
      <c r="G449" s="8"/>
      <c r="H449" s="7"/>
      <c r="I449" s="7"/>
      <c r="J449" s="7"/>
    </row>
    <row r="450" spans="1:10" x14ac:dyDescent="0.25">
      <c r="A450" s="5"/>
      <c r="B450" s="6"/>
      <c r="C450" s="5"/>
      <c r="D450" s="5"/>
      <c r="E450" s="7"/>
      <c r="F450" s="7"/>
      <c r="G450" s="8"/>
      <c r="H450" s="7"/>
      <c r="I450" s="7"/>
      <c r="J450" s="7"/>
    </row>
    <row r="451" spans="1:10" x14ac:dyDescent="0.25">
      <c r="A451" s="5"/>
      <c r="B451" s="6"/>
      <c r="C451" s="5"/>
      <c r="D451" s="5"/>
      <c r="E451" s="7"/>
      <c r="F451" s="7"/>
      <c r="G451" s="8"/>
      <c r="H451" s="7"/>
      <c r="I451" s="7"/>
      <c r="J451" s="7"/>
    </row>
    <row r="452" spans="1:10" x14ac:dyDescent="0.25">
      <c r="A452" s="5"/>
      <c r="B452" s="6"/>
      <c r="C452" s="5"/>
      <c r="D452" s="5"/>
      <c r="E452" s="7"/>
      <c r="F452" s="7"/>
      <c r="G452" s="8"/>
      <c r="H452" s="7"/>
      <c r="I452" s="7"/>
      <c r="J452" s="7"/>
    </row>
    <row r="453" spans="1:10" x14ac:dyDescent="0.25">
      <c r="A453" s="5"/>
      <c r="B453" s="6"/>
      <c r="C453" s="5"/>
      <c r="D453" s="5"/>
      <c r="E453" s="7"/>
      <c r="F453" s="7"/>
      <c r="G453" s="8"/>
      <c r="H453" s="7"/>
      <c r="I453" s="7"/>
      <c r="J453" s="7"/>
    </row>
    <row r="454" spans="1:10" x14ac:dyDescent="0.25">
      <c r="A454" s="5"/>
      <c r="B454" s="6"/>
      <c r="C454" s="5"/>
      <c r="D454" s="5"/>
      <c r="E454" s="7"/>
      <c r="F454" s="7"/>
      <c r="G454" s="8"/>
      <c r="H454" s="7"/>
      <c r="I454" s="7"/>
      <c r="J454" s="7"/>
    </row>
    <row r="455" spans="1:10" x14ac:dyDescent="0.25">
      <c r="A455" s="5"/>
      <c r="B455" s="6"/>
      <c r="C455" s="5"/>
      <c r="D455" s="5"/>
      <c r="E455" s="7"/>
      <c r="F455" s="7"/>
      <c r="G455" s="8"/>
      <c r="H455" s="7"/>
      <c r="I455" s="7"/>
      <c r="J455" s="7"/>
    </row>
    <row r="456" spans="1:10" x14ac:dyDescent="0.25">
      <c r="A456" s="5"/>
      <c r="B456" s="6"/>
      <c r="C456" s="5"/>
      <c r="D456" s="5"/>
      <c r="E456" s="7"/>
      <c r="F456" s="7"/>
      <c r="G456" s="8"/>
      <c r="H456" s="7"/>
      <c r="I456" s="7"/>
      <c r="J456" s="7"/>
    </row>
    <row r="457" spans="1:10" x14ac:dyDescent="0.25">
      <c r="A457" s="5"/>
      <c r="B457" s="6"/>
      <c r="C457" s="5"/>
      <c r="D457" s="5"/>
      <c r="E457" s="7"/>
      <c r="F457" s="7"/>
      <c r="G457" s="8"/>
      <c r="H457" s="7"/>
      <c r="I457" s="7"/>
      <c r="J457" s="7"/>
    </row>
    <row r="458" spans="1:10" x14ac:dyDescent="0.25">
      <c r="A458" s="5"/>
      <c r="B458" s="6"/>
      <c r="C458" s="5"/>
      <c r="D458" s="5"/>
      <c r="E458" s="7"/>
      <c r="F458" s="7"/>
      <c r="G458" s="8"/>
      <c r="H458" s="7"/>
      <c r="I458" s="7"/>
      <c r="J458" s="7"/>
    </row>
    <row r="459" spans="1:10" x14ac:dyDescent="0.25">
      <c r="A459" s="5"/>
      <c r="B459" s="6"/>
      <c r="C459" s="5"/>
      <c r="D459" s="5"/>
      <c r="E459" s="7"/>
      <c r="F459" s="7"/>
      <c r="G459" s="8"/>
      <c r="H459" s="7"/>
      <c r="I459" s="7"/>
      <c r="J459" s="7"/>
    </row>
    <row r="460" spans="1:10" x14ac:dyDescent="0.25">
      <c r="A460" s="5"/>
      <c r="B460" s="6"/>
      <c r="C460" s="5"/>
      <c r="D460" s="5"/>
      <c r="E460" s="7"/>
      <c r="F460" s="7"/>
      <c r="G460" s="8"/>
      <c r="H460" s="7"/>
      <c r="I460" s="7"/>
      <c r="J460" s="7"/>
    </row>
    <row r="461" spans="1:10" x14ac:dyDescent="0.25">
      <c r="A461" s="5"/>
      <c r="B461" s="6"/>
      <c r="C461" s="5"/>
      <c r="D461" s="5"/>
      <c r="E461" s="7"/>
      <c r="F461" s="7"/>
      <c r="G461" s="8"/>
      <c r="H461" s="7"/>
      <c r="I461" s="7"/>
      <c r="J461" s="7"/>
    </row>
    <row r="462" spans="1:10" x14ac:dyDescent="0.25">
      <c r="A462" s="5"/>
      <c r="B462" s="6"/>
      <c r="C462" s="5"/>
      <c r="D462" s="5"/>
      <c r="E462" s="7"/>
      <c r="F462" s="7"/>
      <c r="G462" s="8"/>
      <c r="H462" s="7"/>
      <c r="I462" s="7"/>
      <c r="J462" s="7"/>
    </row>
    <row r="463" spans="1:10" x14ac:dyDescent="0.25">
      <c r="A463" s="5"/>
      <c r="B463" s="6"/>
      <c r="C463" s="5"/>
      <c r="D463" s="5"/>
      <c r="E463" s="7"/>
      <c r="F463" s="7"/>
      <c r="G463" s="8"/>
      <c r="H463" s="7"/>
      <c r="I463" s="7"/>
      <c r="J463" s="7"/>
    </row>
    <row r="464" spans="1:10" x14ac:dyDescent="0.25">
      <c r="A464" s="5"/>
      <c r="B464" s="6"/>
      <c r="C464" s="5"/>
      <c r="D464" s="5"/>
      <c r="E464" s="7"/>
      <c r="F464" s="7"/>
      <c r="G464" s="8"/>
      <c r="H464" s="7"/>
      <c r="I464" s="7"/>
      <c r="J464" s="7"/>
    </row>
    <row r="465" spans="1:10" x14ac:dyDescent="0.25">
      <c r="A465" s="5"/>
      <c r="B465" s="6"/>
      <c r="C465" s="5"/>
      <c r="D465" s="5"/>
      <c r="E465" s="7"/>
      <c r="F465" s="7"/>
      <c r="G465" s="8"/>
      <c r="H465" s="7"/>
      <c r="I465" s="7"/>
      <c r="J465" s="7"/>
    </row>
    <row r="466" spans="1:10" x14ac:dyDescent="0.25">
      <c r="A466" s="5"/>
      <c r="B466" s="6"/>
      <c r="C466" s="5"/>
      <c r="D466" s="5"/>
      <c r="E466" s="7"/>
      <c r="F466" s="7"/>
      <c r="G466" s="8"/>
      <c r="H466" s="7"/>
      <c r="I466" s="7"/>
      <c r="J466" s="7"/>
    </row>
    <row r="467" spans="1:10" x14ac:dyDescent="0.25">
      <c r="A467" s="5"/>
      <c r="B467" s="6"/>
      <c r="C467" s="5"/>
      <c r="D467" s="5"/>
      <c r="E467" s="7"/>
      <c r="F467" s="7"/>
      <c r="G467" s="8"/>
      <c r="H467" s="7"/>
      <c r="I467" s="7"/>
      <c r="J467" s="7"/>
    </row>
    <row r="468" spans="1:10" x14ac:dyDescent="0.25">
      <c r="A468" s="5"/>
      <c r="B468" s="6"/>
      <c r="C468" s="5"/>
      <c r="D468" s="5"/>
      <c r="E468" s="7"/>
      <c r="F468" s="7"/>
      <c r="G468" s="8"/>
      <c r="H468" s="7"/>
      <c r="I468" s="7"/>
      <c r="J468" s="7"/>
    </row>
    <row r="469" spans="1:10" x14ac:dyDescent="0.25">
      <c r="A469" s="5"/>
      <c r="B469" s="6"/>
      <c r="C469" s="5"/>
      <c r="D469" s="5"/>
      <c r="E469" s="7"/>
      <c r="F469" s="7"/>
      <c r="G469" s="8"/>
      <c r="H469" s="7"/>
      <c r="I469" s="7"/>
      <c r="J469" s="7"/>
    </row>
    <row r="470" spans="1:10" x14ac:dyDescent="0.25">
      <c r="A470" s="5"/>
      <c r="B470" s="6"/>
      <c r="C470" s="5"/>
      <c r="D470" s="5"/>
      <c r="E470" s="7"/>
      <c r="F470" s="7"/>
      <c r="G470" s="8"/>
      <c r="H470" s="7"/>
      <c r="I470" s="7"/>
      <c r="J470" s="7"/>
    </row>
    <row r="471" spans="1:10" x14ac:dyDescent="0.25">
      <c r="A471" s="5"/>
      <c r="B471" s="6"/>
      <c r="C471" s="5"/>
      <c r="D471" s="5"/>
      <c r="E471" s="7"/>
      <c r="F471" s="7"/>
      <c r="G471" s="8"/>
      <c r="H471" s="7"/>
      <c r="I471" s="7"/>
      <c r="J471" s="7"/>
    </row>
    <row r="472" spans="1:10" x14ac:dyDescent="0.25">
      <c r="A472" s="5"/>
      <c r="B472" s="6"/>
      <c r="C472" s="5"/>
      <c r="D472" s="5"/>
      <c r="E472" s="7"/>
      <c r="F472" s="7"/>
      <c r="G472" s="8"/>
      <c r="H472" s="7"/>
      <c r="I472" s="7"/>
      <c r="J472" s="7"/>
    </row>
    <row r="473" spans="1:10" x14ac:dyDescent="0.25">
      <c r="A473" s="5"/>
      <c r="B473" s="6"/>
      <c r="C473" s="5"/>
      <c r="D473" s="5"/>
      <c r="E473" s="7"/>
      <c r="F473" s="7"/>
      <c r="G473" s="8"/>
      <c r="H473" s="7"/>
      <c r="I473" s="7"/>
      <c r="J473" s="7"/>
    </row>
    <row r="474" spans="1:10" x14ac:dyDescent="0.25">
      <c r="A474" s="5"/>
      <c r="B474" s="6"/>
      <c r="C474" s="5"/>
      <c r="D474" s="5"/>
      <c r="E474" s="7"/>
      <c r="F474" s="7"/>
      <c r="G474" s="8"/>
      <c r="H474" s="7"/>
      <c r="I474" s="7"/>
      <c r="J474" s="7"/>
    </row>
    <row r="475" spans="1:10" x14ac:dyDescent="0.25">
      <c r="A475" s="5"/>
      <c r="B475" s="6"/>
      <c r="C475" s="5"/>
      <c r="D475" s="5"/>
      <c r="E475" s="7"/>
      <c r="F475" s="7"/>
      <c r="G475" s="8"/>
      <c r="H475" s="7"/>
      <c r="I475" s="7"/>
      <c r="J475" s="7"/>
    </row>
    <row r="476" spans="1:10" x14ac:dyDescent="0.25">
      <c r="A476" s="5"/>
      <c r="B476" s="6"/>
      <c r="C476" s="5"/>
      <c r="D476" s="5"/>
      <c r="E476" s="7"/>
      <c r="F476" s="7"/>
      <c r="G476" s="8"/>
      <c r="H476" s="7"/>
      <c r="I476" s="7"/>
      <c r="J476" s="7"/>
    </row>
    <row r="477" spans="1:10" x14ac:dyDescent="0.25">
      <c r="A477" s="5"/>
      <c r="B477" s="6"/>
      <c r="C477" s="5"/>
      <c r="D477" s="5"/>
      <c r="E477" s="7"/>
      <c r="F477" s="7"/>
      <c r="G477" s="8"/>
      <c r="H477" s="7"/>
      <c r="I477" s="7"/>
      <c r="J477" s="7"/>
    </row>
    <row r="478" spans="1:10" x14ac:dyDescent="0.25">
      <c r="A478" s="5"/>
      <c r="B478" s="6"/>
      <c r="C478" s="5"/>
      <c r="D478" s="5"/>
      <c r="E478" s="7"/>
      <c r="F478" s="7"/>
      <c r="G478" s="8"/>
      <c r="H478" s="7"/>
      <c r="I478" s="7"/>
      <c r="J478" s="7"/>
    </row>
    <row r="479" spans="1:10" x14ac:dyDescent="0.25">
      <c r="A479" s="5"/>
      <c r="B479" s="6"/>
      <c r="C479" s="5"/>
      <c r="D479" s="5"/>
      <c r="E479" s="7"/>
      <c r="F479" s="7"/>
      <c r="G479" s="8"/>
      <c r="H479" s="7"/>
      <c r="I479" s="7"/>
      <c r="J479" s="7"/>
    </row>
    <row r="480" spans="1:10" x14ac:dyDescent="0.25">
      <c r="A480" s="5"/>
      <c r="B480" s="6"/>
      <c r="C480" s="5"/>
      <c r="D480" s="5"/>
      <c r="E480" s="7"/>
      <c r="F480" s="7"/>
      <c r="G480" s="8"/>
      <c r="H480" s="7"/>
      <c r="I480" s="7"/>
      <c r="J480" s="7"/>
    </row>
    <row r="481" spans="1:10" x14ac:dyDescent="0.25">
      <c r="A481" s="5"/>
      <c r="B481" s="6"/>
      <c r="C481" s="5"/>
      <c r="D481" s="5"/>
      <c r="E481" s="7"/>
      <c r="F481" s="7"/>
      <c r="G481" s="8"/>
      <c r="H481" s="7"/>
      <c r="I481" s="7"/>
      <c r="J481" s="7"/>
    </row>
    <row r="482" spans="1:10" x14ac:dyDescent="0.25">
      <c r="A482" s="5"/>
      <c r="B482" s="6"/>
      <c r="C482" s="5"/>
      <c r="D482" s="5"/>
      <c r="E482" s="7"/>
      <c r="F482" s="7"/>
      <c r="G482" s="8"/>
      <c r="H482" s="7"/>
      <c r="I482" s="7"/>
      <c r="J482" s="7"/>
    </row>
    <row r="483" spans="1:10" x14ac:dyDescent="0.25">
      <c r="A483" s="5"/>
      <c r="B483" s="6"/>
      <c r="C483" s="5"/>
      <c r="D483" s="5"/>
      <c r="E483" s="7"/>
      <c r="F483" s="7"/>
      <c r="G483" s="8"/>
      <c r="H483" s="7"/>
      <c r="I483" s="7"/>
      <c r="J483" s="7"/>
    </row>
    <row r="484" spans="1:10" x14ac:dyDescent="0.25">
      <c r="A484" s="5"/>
      <c r="B484" s="6"/>
      <c r="C484" s="5"/>
      <c r="D484" s="5"/>
      <c r="E484" s="7"/>
      <c r="F484" s="7"/>
      <c r="G484" s="8"/>
      <c r="H484" s="7"/>
      <c r="I484" s="7"/>
      <c r="J484" s="7"/>
    </row>
    <row r="485" spans="1:10" x14ac:dyDescent="0.25">
      <c r="A485" s="5"/>
      <c r="B485" s="6"/>
      <c r="C485" s="5"/>
      <c r="D485" s="5"/>
      <c r="E485" s="7"/>
      <c r="F485" s="7"/>
      <c r="G485" s="8"/>
      <c r="H485" s="7"/>
      <c r="I485" s="7"/>
      <c r="J485" s="7"/>
    </row>
    <row r="486" spans="1:10" x14ac:dyDescent="0.25">
      <c r="A486" s="5"/>
      <c r="B486" s="6"/>
      <c r="C486" s="5"/>
      <c r="D486" s="5"/>
      <c r="E486" s="7"/>
      <c r="F486" s="7"/>
      <c r="G486" s="8"/>
      <c r="H486" s="7"/>
      <c r="I486" s="7"/>
      <c r="J486" s="7"/>
    </row>
    <row r="487" spans="1:10" x14ac:dyDescent="0.25">
      <c r="A487" s="5"/>
      <c r="B487" s="6"/>
      <c r="C487" s="5"/>
      <c r="D487" s="5"/>
      <c r="E487" s="7"/>
      <c r="F487" s="7"/>
      <c r="G487" s="8"/>
      <c r="H487" s="7"/>
      <c r="I487" s="7"/>
      <c r="J487" s="7"/>
    </row>
    <row r="488" spans="1:10" x14ac:dyDescent="0.25">
      <c r="A488" s="5"/>
      <c r="B488" s="6"/>
      <c r="C488" s="5"/>
      <c r="D488" s="5"/>
      <c r="E488" s="7"/>
      <c r="F488" s="7"/>
      <c r="G488" s="8"/>
      <c r="H488" s="7"/>
      <c r="I488" s="7"/>
      <c r="J488" s="7"/>
    </row>
    <row r="489" spans="1:10" x14ac:dyDescent="0.25">
      <c r="A489" s="5"/>
      <c r="B489" s="6"/>
      <c r="C489" s="5"/>
      <c r="D489" s="5"/>
      <c r="E489" s="7"/>
      <c r="F489" s="7"/>
      <c r="G489" s="8"/>
      <c r="H489" s="7"/>
      <c r="I489" s="7"/>
      <c r="J489" s="7"/>
    </row>
    <row r="490" spans="1:10" x14ac:dyDescent="0.25">
      <c r="A490" s="5"/>
      <c r="B490" s="6"/>
      <c r="C490" s="5"/>
      <c r="D490" s="5"/>
      <c r="E490" s="7"/>
      <c r="F490" s="7"/>
      <c r="G490" s="8"/>
      <c r="H490" s="7"/>
      <c r="I490" s="7"/>
      <c r="J490" s="7"/>
    </row>
    <row r="491" spans="1:10" x14ac:dyDescent="0.25">
      <c r="A491" s="5"/>
      <c r="B491" s="6"/>
      <c r="C491" s="5"/>
      <c r="D491" s="5"/>
      <c r="E491" s="7"/>
      <c r="F491" s="7"/>
      <c r="G491" s="8"/>
      <c r="H491" s="7"/>
      <c r="I491" s="7"/>
      <c r="J491" s="7"/>
    </row>
    <row r="492" spans="1:10" x14ac:dyDescent="0.25">
      <c r="A492" s="5"/>
      <c r="B492" s="6"/>
      <c r="C492" s="5"/>
      <c r="D492" s="5"/>
      <c r="E492" s="7"/>
      <c r="F492" s="7"/>
      <c r="G492" s="8"/>
      <c r="H492" s="7"/>
      <c r="I492" s="7"/>
      <c r="J492" s="7"/>
    </row>
    <row r="493" spans="1:10" x14ac:dyDescent="0.25">
      <c r="A493" s="5"/>
      <c r="B493" s="6"/>
      <c r="C493" s="5"/>
      <c r="D493" s="5"/>
      <c r="E493" s="7"/>
      <c r="F493" s="7"/>
      <c r="G493" s="8"/>
      <c r="H493" s="7"/>
      <c r="I493" s="7"/>
      <c r="J493" s="7"/>
    </row>
    <row r="494" spans="1:10" x14ac:dyDescent="0.25">
      <c r="A494" s="5"/>
      <c r="B494" s="6"/>
      <c r="C494" s="5"/>
      <c r="D494" s="5"/>
      <c r="E494" s="7"/>
      <c r="F494" s="7"/>
      <c r="G494" s="8"/>
      <c r="H494" s="7"/>
      <c r="I494" s="7"/>
      <c r="J494" s="7"/>
    </row>
    <row r="495" spans="1:10" x14ac:dyDescent="0.25">
      <c r="A495" s="5"/>
      <c r="B495" s="6"/>
      <c r="C495" s="5"/>
      <c r="D495" s="5"/>
      <c r="E495" s="7"/>
      <c r="F495" s="7"/>
      <c r="G495" s="8"/>
      <c r="H495" s="7"/>
      <c r="I495" s="7"/>
      <c r="J495" s="7"/>
    </row>
    <row r="496" spans="1:10" x14ac:dyDescent="0.25">
      <c r="A496" s="5"/>
      <c r="B496" s="6"/>
      <c r="C496" s="5"/>
      <c r="D496" s="5"/>
      <c r="E496" s="7"/>
      <c r="F496" s="7"/>
      <c r="G496" s="8"/>
      <c r="H496" s="7"/>
      <c r="I496" s="7"/>
      <c r="J496" s="7"/>
    </row>
    <row r="497" spans="1:10" x14ac:dyDescent="0.25">
      <c r="A497" s="5"/>
      <c r="B497" s="6"/>
      <c r="C497" s="5"/>
      <c r="D497" s="5"/>
      <c r="E497" s="7"/>
      <c r="F497" s="7"/>
      <c r="G497" s="8"/>
      <c r="H497" s="7"/>
      <c r="I497" s="7"/>
      <c r="J497" s="7"/>
    </row>
    <row r="498" spans="1:10" x14ac:dyDescent="0.25">
      <c r="A498" s="5"/>
      <c r="B498" s="6"/>
      <c r="C498" s="5"/>
      <c r="D498" s="5"/>
      <c r="E498" s="7"/>
      <c r="F498" s="7"/>
      <c r="G498" s="8"/>
      <c r="H498" s="7"/>
      <c r="I498" s="7"/>
      <c r="J498" s="7"/>
    </row>
    <row r="499" spans="1:10" x14ac:dyDescent="0.25">
      <c r="A499" s="5"/>
      <c r="B499" s="6"/>
      <c r="C499" s="5"/>
      <c r="D499" s="5"/>
      <c r="E499" s="7"/>
      <c r="F499" s="7"/>
      <c r="G499" s="8"/>
      <c r="H499" s="7"/>
      <c r="I499" s="7"/>
      <c r="J499" s="7"/>
    </row>
    <row r="500" spans="1:10" x14ac:dyDescent="0.25">
      <c r="A500" s="5"/>
      <c r="B500" s="6"/>
      <c r="C500" s="5"/>
      <c r="D500" s="5"/>
      <c r="E500" s="7"/>
      <c r="F500" s="7"/>
      <c r="G500" s="8"/>
      <c r="H500" s="7"/>
      <c r="I500" s="7"/>
      <c r="J500" s="7"/>
    </row>
    <row r="501" spans="1:10" x14ac:dyDescent="0.25">
      <c r="A501" s="5"/>
      <c r="B501" s="6"/>
      <c r="C501" s="5"/>
      <c r="D501" s="5"/>
      <c r="E501" s="7"/>
      <c r="F501" s="7"/>
      <c r="G501" s="8"/>
      <c r="H501" s="7"/>
      <c r="I501" s="7"/>
      <c r="J501" s="7"/>
    </row>
    <row r="502" spans="1:10" x14ac:dyDescent="0.25">
      <c r="A502" s="5"/>
      <c r="B502" s="6"/>
      <c r="C502" s="5"/>
      <c r="D502" s="5"/>
      <c r="E502" s="7"/>
      <c r="F502" s="7"/>
      <c r="G502" s="8"/>
      <c r="H502" s="7"/>
      <c r="I502" s="7"/>
      <c r="J502" s="7"/>
    </row>
    <row r="503" spans="1:10" x14ac:dyDescent="0.25">
      <c r="A503" s="5"/>
      <c r="B503" s="6"/>
      <c r="C503" s="5"/>
      <c r="D503" s="5"/>
      <c r="E503" s="7"/>
      <c r="F503" s="7"/>
      <c r="G503" s="8"/>
      <c r="H503" s="7"/>
      <c r="I503" s="7"/>
      <c r="J503" s="7"/>
    </row>
    <row r="504" spans="1:10" x14ac:dyDescent="0.25">
      <c r="A504" s="5"/>
      <c r="B504" s="6"/>
      <c r="C504" s="5"/>
      <c r="D504" s="5"/>
      <c r="E504" s="7"/>
      <c r="F504" s="7"/>
      <c r="G504" s="8"/>
      <c r="H504" s="7"/>
      <c r="I504" s="7"/>
      <c r="J504" s="7"/>
    </row>
    <row r="505" spans="1:10" x14ac:dyDescent="0.25">
      <c r="A505" s="5"/>
      <c r="B505" s="6"/>
      <c r="C505" s="5"/>
      <c r="D505" s="5"/>
      <c r="E505" s="7"/>
      <c r="F505" s="7"/>
      <c r="G505" s="8"/>
      <c r="H505" s="7"/>
      <c r="I505" s="7"/>
      <c r="J505" s="7"/>
    </row>
    <row r="506" spans="1:10" x14ac:dyDescent="0.25">
      <c r="A506" s="5"/>
      <c r="B506" s="6"/>
      <c r="C506" s="5"/>
      <c r="D506" s="5"/>
      <c r="E506" s="7"/>
      <c r="F506" s="7"/>
      <c r="G506" s="8"/>
      <c r="H506" s="7"/>
      <c r="I506" s="7"/>
      <c r="J506" s="7"/>
    </row>
    <row r="507" spans="1:10" x14ac:dyDescent="0.25">
      <c r="A507" s="5"/>
      <c r="B507" s="6"/>
      <c r="C507" s="5"/>
      <c r="D507" s="5"/>
      <c r="E507" s="7"/>
      <c r="F507" s="7"/>
      <c r="G507" s="8"/>
      <c r="H507" s="7"/>
      <c r="I507" s="7"/>
      <c r="J507" s="7"/>
    </row>
    <row r="508" spans="1:10" x14ac:dyDescent="0.25">
      <c r="A508" s="5"/>
      <c r="B508" s="6"/>
      <c r="C508" s="5"/>
      <c r="D508" s="5"/>
      <c r="E508" s="7"/>
      <c r="F508" s="7"/>
      <c r="G508" s="8"/>
      <c r="H508" s="7"/>
      <c r="I508" s="7"/>
      <c r="J508" s="7"/>
    </row>
    <row r="509" spans="1:10" x14ac:dyDescent="0.25">
      <c r="A509" s="5"/>
      <c r="B509" s="6"/>
      <c r="C509" s="5"/>
      <c r="D509" s="5"/>
      <c r="E509" s="7"/>
      <c r="F509" s="7"/>
      <c r="G509" s="8"/>
      <c r="H509" s="7"/>
      <c r="I509" s="7"/>
      <c r="J509" s="7"/>
    </row>
    <row r="510" spans="1:10" x14ac:dyDescent="0.25">
      <c r="A510" s="5"/>
      <c r="B510" s="6"/>
      <c r="C510" s="5"/>
      <c r="D510" s="5"/>
      <c r="E510" s="7"/>
      <c r="F510" s="7"/>
      <c r="G510" s="8"/>
      <c r="H510" s="7"/>
      <c r="I510" s="7"/>
      <c r="J510" s="7"/>
    </row>
    <row r="511" spans="1:10" x14ac:dyDescent="0.25">
      <c r="A511" s="5"/>
      <c r="B511" s="6"/>
      <c r="C511" s="5"/>
      <c r="D511" s="5"/>
      <c r="E511" s="7"/>
      <c r="F511" s="7"/>
      <c r="G511" s="8"/>
      <c r="H511" s="7"/>
      <c r="I511" s="7"/>
      <c r="J511" s="7"/>
    </row>
    <row r="512" spans="1:10" x14ac:dyDescent="0.25">
      <c r="A512" s="5"/>
      <c r="B512" s="6"/>
      <c r="C512" s="5"/>
      <c r="D512" s="5"/>
      <c r="E512" s="7"/>
      <c r="F512" s="7"/>
      <c r="G512" s="8"/>
      <c r="H512" s="7"/>
      <c r="I512" s="7"/>
      <c r="J512" s="7"/>
    </row>
    <row r="513" spans="1:10" x14ac:dyDescent="0.25">
      <c r="A513" s="5"/>
      <c r="B513" s="6"/>
      <c r="C513" s="5"/>
      <c r="D513" s="5"/>
      <c r="E513" s="7"/>
      <c r="F513" s="7"/>
      <c r="G513" s="8"/>
      <c r="H513" s="7"/>
      <c r="I513" s="7"/>
      <c r="J513" s="7"/>
    </row>
    <row r="514" spans="1:10" x14ac:dyDescent="0.25">
      <c r="A514" s="5"/>
      <c r="B514" s="6"/>
      <c r="C514" s="5"/>
      <c r="D514" s="5"/>
      <c r="E514" s="7"/>
      <c r="F514" s="7"/>
      <c r="G514" s="8"/>
      <c r="H514" s="7"/>
      <c r="I514" s="7"/>
      <c r="J514" s="7"/>
    </row>
    <row r="515" spans="1:10" x14ac:dyDescent="0.25">
      <c r="A515" s="5"/>
      <c r="B515" s="6"/>
      <c r="C515" s="5"/>
      <c r="D515" s="5"/>
      <c r="E515" s="7"/>
      <c r="F515" s="7"/>
      <c r="G515" s="8"/>
      <c r="H515" s="7"/>
      <c r="I515" s="7"/>
      <c r="J515" s="7"/>
    </row>
    <row r="516" spans="1:10" x14ac:dyDescent="0.25">
      <c r="A516" s="5"/>
      <c r="B516" s="6"/>
      <c r="C516" s="5"/>
      <c r="D516" s="5"/>
      <c r="E516" s="7"/>
      <c r="F516" s="7"/>
      <c r="G516" s="8"/>
      <c r="H516" s="7"/>
      <c r="I516" s="7"/>
      <c r="J516" s="7"/>
    </row>
    <row r="517" spans="1:10" x14ac:dyDescent="0.25">
      <c r="A517" s="5"/>
      <c r="B517" s="6"/>
      <c r="C517" s="5"/>
      <c r="D517" s="5"/>
      <c r="E517" s="7"/>
      <c r="F517" s="7"/>
      <c r="G517" s="8"/>
      <c r="H517" s="7"/>
      <c r="I517" s="7"/>
      <c r="J517" s="7"/>
    </row>
    <row r="518" spans="1:10" x14ac:dyDescent="0.25">
      <c r="A518" s="5"/>
      <c r="B518" s="6"/>
      <c r="C518" s="5"/>
      <c r="D518" s="5"/>
      <c r="E518" s="7"/>
      <c r="F518" s="7"/>
      <c r="G518" s="8"/>
      <c r="H518" s="7"/>
      <c r="I518" s="7"/>
      <c r="J518" s="7"/>
    </row>
    <row r="519" spans="1:10" x14ac:dyDescent="0.25">
      <c r="A519" s="5"/>
      <c r="B519" s="6"/>
      <c r="C519" s="5"/>
      <c r="D519" s="5"/>
      <c r="E519" s="7"/>
      <c r="F519" s="7"/>
      <c r="G519" s="8"/>
      <c r="H519" s="7"/>
      <c r="I519" s="7"/>
      <c r="J519" s="7"/>
    </row>
    <row r="520" spans="1:10" x14ac:dyDescent="0.25">
      <c r="A520" s="5"/>
      <c r="B520" s="6"/>
      <c r="C520" s="5"/>
      <c r="D520" s="5"/>
      <c r="E520" s="7"/>
      <c r="F520" s="7"/>
      <c r="G520" s="8"/>
      <c r="H520" s="7"/>
      <c r="I520" s="7"/>
      <c r="J520" s="7"/>
    </row>
    <row r="521" spans="1:10" x14ac:dyDescent="0.25">
      <c r="A521" s="5"/>
      <c r="B521" s="6"/>
      <c r="C521" s="5"/>
      <c r="D521" s="5"/>
      <c r="E521" s="7"/>
      <c r="F521" s="7"/>
      <c r="G521" s="8"/>
      <c r="H521" s="7"/>
      <c r="I521" s="7"/>
      <c r="J521" s="7"/>
    </row>
    <row r="522" spans="1:10" x14ac:dyDescent="0.25">
      <c r="A522" s="5"/>
      <c r="B522" s="6"/>
      <c r="C522" s="5"/>
      <c r="D522" s="5"/>
      <c r="E522" s="7"/>
      <c r="F522" s="7"/>
      <c r="G522" s="8"/>
      <c r="H522" s="7"/>
      <c r="I522" s="7"/>
      <c r="J522" s="7"/>
    </row>
    <row r="523" spans="1:10" x14ac:dyDescent="0.25">
      <c r="A523" s="5"/>
      <c r="B523" s="6"/>
      <c r="C523" s="5"/>
      <c r="D523" s="5"/>
      <c r="E523" s="7"/>
      <c r="F523" s="7"/>
      <c r="G523" s="8"/>
      <c r="H523" s="7"/>
      <c r="I523" s="7"/>
      <c r="J523" s="7"/>
    </row>
    <row r="524" spans="1:10" x14ac:dyDescent="0.25">
      <c r="A524" s="5"/>
      <c r="B524" s="6"/>
      <c r="C524" s="5"/>
      <c r="D524" s="5"/>
      <c r="E524" s="7"/>
      <c r="F524" s="7"/>
      <c r="G524" s="8"/>
      <c r="H524" s="7"/>
      <c r="I524" s="7"/>
      <c r="J524" s="7"/>
    </row>
    <row r="525" spans="1:10" x14ac:dyDescent="0.25">
      <c r="A525" s="5"/>
      <c r="B525" s="6"/>
      <c r="C525" s="5"/>
      <c r="D525" s="5"/>
      <c r="E525" s="7"/>
      <c r="F525" s="7"/>
      <c r="G525" s="8"/>
      <c r="H525" s="7"/>
      <c r="I525" s="7"/>
      <c r="J525" s="7"/>
    </row>
    <row r="526" spans="1:10" x14ac:dyDescent="0.25">
      <c r="A526" s="5"/>
      <c r="B526" s="6"/>
      <c r="C526" s="5"/>
      <c r="D526" s="5"/>
      <c r="E526" s="7"/>
      <c r="F526" s="7"/>
      <c r="G526" s="8"/>
      <c r="H526" s="7"/>
      <c r="I526" s="7"/>
      <c r="J526" s="7"/>
    </row>
    <row r="527" spans="1:10" x14ac:dyDescent="0.25">
      <c r="A527" s="5"/>
      <c r="B527" s="6"/>
      <c r="C527" s="5"/>
      <c r="D527" s="5"/>
      <c r="E527" s="7"/>
      <c r="F527" s="7"/>
      <c r="G527" s="8"/>
      <c r="H527" s="7"/>
      <c r="I527" s="7"/>
      <c r="J527" s="7"/>
    </row>
    <row r="528" spans="1:10" x14ac:dyDescent="0.25">
      <c r="A528" s="5"/>
      <c r="B528" s="6"/>
      <c r="C528" s="5"/>
      <c r="D528" s="5"/>
      <c r="E528" s="7"/>
      <c r="F528" s="7"/>
      <c r="G528" s="8"/>
      <c r="H528" s="7"/>
      <c r="I528" s="7"/>
      <c r="J528" s="7"/>
    </row>
    <row r="529" spans="1:10" x14ac:dyDescent="0.25">
      <c r="A529" s="5"/>
      <c r="B529" s="6"/>
      <c r="C529" s="5"/>
      <c r="D529" s="5"/>
      <c r="E529" s="7"/>
      <c r="F529" s="7"/>
      <c r="G529" s="8"/>
      <c r="H529" s="7"/>
      <c r="I529" s="7"/>
      <c r="J529" s="7"/>
    </row>
    <row r="530" spans="1:10" x14ac:dyDescent="0.25">
      <c r="A530" s="5"/>
      <c r="B530" s="6"/>
      <c r="C530" s="5"/>
      <c r="D530" s="5"/>
      <c r="E530" s="7"/>
      <c r="F530" s="7"/>
      <c r="G530" s="8"/>
      <c r="H530" s="7"/>
      <c r="I530" s="7"/>
      <c r="J530" s="7"/>
    </row>
    <row r="531" spans="1:10" x14ac:dyDescent="0.25">
      <c r="A531" s="5"/>
      <c r="B531" s="6"/>
      <c r="C531" s="5"/>
      <c r="D531" s="5"/>
      <c r="E531" s="7"/>
      <c r="F531" s="7"/>
      <c r="G531" s="8"/>
      <c r="H531" s="7"/>
      <c r="I531" s="7"/>
      <c r="J531" s="7"/>
    </row>
    <row r="532" spans="1:10" x14ac:dyDescent="0.25">
      <c r="A532" s="5"/>
      <c r="B532" s="6"/>
      <c r="C532" s="5"/>
      <c r="D532" s="5"/>
      <c r="E532" s="7"/>
      <c r="F532" s="7"/>
      <c r="G532" s="8"/>
      <c r="H532" s="7"/>
      <c r="I532" s="7"/>
      <c r="J532" s="7"/>
    </row>
    <row r="533" spans="1:10" x14ac:dyDescent="0.25">
      <c r="A533" s="5"/>
      <c r="B533" s="6"/>
      <c r="C533" s="5"/>
      <c r="D533" s="5"/>
      <c r="E533" s="7"/>
      <c r="F533" s="7"/>
      <c r="G533" s="8"/>
      <c r="H533" s="7"/>
      <c r="I533" s="7"/>
      <c r="J533" s="7"/>
    </row>
    <row r="534" spans="1:10" x14ac:dyDescent="0.25">
      <c r="A534" s="5"/>
      <c r="B534" s="6"/>
      <c r="C534" s="5"/>
      <c r="D534" s="5"/>
      <c r="E534" s="7"/>
      <c r="F534" s="7"/>
      <c r="G534" s="8"/>
      <c r="H534" s="7"/>
      <c r="I534" s="7"/>
      <c r="J534" s="7"/>
    </row>
    <row r="535" spans="1:10" x14ac:dyDescent="0.25">
      <c r="A535" s="5"/>
      <c r="B535" s="6"/>
      <c r="C535" s="5"/>
      <c r="D535" s="5"/>
      <c r="E535" s="7"/>
      <c r="F535" s="7"/>
      <c r="G535" s="8"/>
      <c r="H535" s="7"/>
      <c r="I535" s="7"/>
      <c r="J535" s="7"/>
    </row>
    <row r="536" spans="1:10" x14ac:dyDescent="0.25">
      <c r="A536" s="5"/>
      <c r="B536" s="6"/>
      <c r="C536" s="5"/>
      <c r="D536" s="5"/>
      <c r="E536" s="7"/>
      <c r="F536" s="7"/>
      <c r="G536" s="8"/>
      <c r="H536" s="7"/>
      <c r="I536" s="7"/>
      <c r="J536" s="7"/>
    </row>
    <row r="537" spans="1:10" x14ac:dyDescent="0.25">
      <c r="A537" s="5"/>
      <c r="B537" s="6"/>
      <c r="C537" s="5"/>
      <c r="D537" s="5"/>
      <c r="E537" s="7"/>
      <c r="F537" s="7"/>
      <c r="G537" s="8"/>
      <c r="H537" s="7"/>
      <c r="I537" s="7"/>
      <c r="J537" s="7"/>
    </row>
    <row r="538" spans="1:10" x14ac:dyDescent="0.25">
      <c r="A538" s="5"/>
      <c r="B538" s="6"/>
      <c r="C538" s="5"/>
      <c r="D538" s="5"/>
      <c r="E538" s="7"/>
      <c r="F538" s="7"/>
      <c r="G538" s="8"/>
      <c r="H538" s="7"/>
      <c r="I538" s="7"/>
      <c r="J538" s="7"/>
    </row>
    <row r="539" spans="1:10" x14ac:dyDescent="0.25">
      <c r="A539" s="5"/>
      <c r="B539" s="6"/>
      <c r="C539" s="5"/>
      <c r="D539" s="5"/>
      <c r="E539" s="7"/>
      <c r="F539" s="7"/>
      <c r="G539" s="8"/>
      <c r="H539" s="7"/>
      <c r="I539" s="7"/>
      <c r="J539" s="7"/>
    </row>
    <row r="540" spans="1:10" x14ac:dyDescent="0.25">
      <c r="A540" s="5"/>
      <c r="B540" s="6"/>
      <c r="C540" s="5"/>
      <c r="D540" s="5"/>
      <c r="E540" s="7"/>
      <c r="F540" s="7"/>
      <c r="G540" s="8"/>
      <c r="H540" s="7"/>
      <c r="I540" s="7"/>
      <c r="J540" s="7"/>
    </row>
    <row r="541" spans="1:10" x14ac:dyDescent="0.25">
      <c r="A541" s="5"/>
      <c r="B541" s="6"/>
      <c r="C541" s="5"/>
      <c r="D541" s="5"/>
      <c r="E541" s="7"/>
      <c r="F541" s="7"/>
      <c r="G541" s="8"/>
      <c r="H541" s="7"/>
      <c r="I541" s="7"/>
      <c r="J541" s="7"/>
    </row>
    <row r="542" spans="1:10" x14ac:dyDescent="0.25">
      <c r="A542" s="5"/>
      <c r="B542" s="6"/>
      <c r="C542" s="5"/>
      <c r="D542" s="5"/>
      <c r="E542" s="7"/>
      <c r="F542" s="7"/>
      <c r="G542" s="8"/>
      <c r="H542" s="7"/>
      <c r="I542" s="7"/>
      <c r="J542" s="7"/>
    </row>
    <row r="543" spans="1:10" x14ac:dyDescent="0.25">
      <c r="A543" s="5"/>
      <c r="B543" s="6"/>
      <c r="C543" s="5"/>
      <c r="D543" s="5"/>
      <c r="E543" s="7"/>
      <c r="F543" s="7"/>
      <c r="G543" s="8"/>
      <c r="H543" s="7"/>
      <c r="I543" s="7"/>
      <c r="J543" s="7"/>
    </row>
    <row r="544" spans="1:10" x14ac:dyDescent="0.25">
      <c r="A544" s="5"/>
      <c r="B544" s="6"/>
      <c r="C544" s="5"/>
      <c r="D544" s="5"/>
      <c r="E544" s="7"/>
      <c r="F544" s="7"/>
      <c r="G544" s="8"/>
      <c r="H544" s="7"/>
      <c r="I544" s="7"/>
      <c r="J544" s="7"/>
    </row>
    <row r="545" spans="1:10" x14ac:dyDescent="0.25">
      <c r="A545" s="5"/>
      <c r="B545" s="6"/>
      <c r="C545" s="5"/>
      <c r="D545" s="5"/>
      <c r="E545" s="7"/>
      <c r="F545" s="7"/>
      <c r="G545" s="8"/>
      <c r="H545" s="7"/>
      <c r="I545" s="7"/>
      <c r="J545" s="7"/>
    </row>
    <row r="546" spans="1:10" x14ac:dyDescent="0.25">
      <c r="A546" s="5"/>
      <c r="B546" s="6"/>
      <c r="C546" s="5"/>
      <c r="D546" s="5"/>
      <c r="E546" s="7"/>
      <c r="F546" s="7"/>
      <c r="G546" s="8"/>
      <c r="H546" s="7"/>
      <c r="I546" s="7"/>
      <c r="J546" s="7"/>
    </row>
    <row r="547" spans="1:10" x14ac:dyDescent="0.25">
      <c r="A547" s="5"/>
      <c r="B547" s="6"/>
      <c r="C547" s="5"/>
      <c r="D547" s="5"/>
      <c r="E547" s="7"/>
      <c r="F547" s="7"/>
      <c r="G547" s="8"/>
      <c r="H547" s="7"/>
      <c r="I547" s="7"/>
      <c r="J547" s="7"/>
    </row>
    <row r="548" spans="1:10" x14ac:dyDescent="0.25">
      <c r="A548" s="5"/>
      <c r="B548" s="6"/>
      <c r="C548" s="5"/>
      <c r="D548" s="5"/>
      <c r="E548" s="7"/>
      <c r="F548" s="7"/>
      <c r="G548" s="8"/>
      <c r="H548" s="7"/>
      <c r="I548" s="7"/>
      <c r="J548" s="7"/>
    </row>
    <row r="549" spans="1:10" x14ac:dyDescent="0.25">
      <c r="A549" s="5"/>
      <c r="B549" s="6"/>
      <c r="C549" s="5"/>
      <c r="D549" s="5"/>
      <c r="E549" s="7"/>
      <c r="F549" s="7"/>
      <c r="G549" s="8"/>
      <c r="H549" s="7"/>
      <c r="I549" s="7"/>
      <c r="J549" s="7"/>
    </row>
    <row r="550" spans="1:10" x14ac:dyDescent="0.25">
      <c r="A550" s="5"/>
      <c r="B550" s="6"/>
      <c r="C550" s="5"/>
      <c r="D550" s="5"/>
      <c r="E550" s="7"/>
      <c r="F550" s="7"/>
      <c r="G550" s="8"/>
      <c r="H550" s="7"/>
      <c r="I550" s="7"/>
      <c r="J550" s="7"/>
    </row>
    <row r="551" spans="1:10" x14ac:dyDescent="0.25">
      <c r="A551" s="5"/>
      <c r="B551" s="6"/>
      <c r="C551" s="5"/>
      <c r="D551" s="5"/>
      <c r="E551" s="7"/>
      <c r="F551" s="7"/>
      <c r="G551" s="8"/>
      <c r="H551" s="7"/>
      <c r="I551" s="7"/>
      <c r="J551" s="7"/>
    </row>
    <row r="552" spans="1:10" x14ac:dyDescent="0.25">
      <c r="A552" s="5"/>
      <c r="B552" s="6"/>
      <c r="C552" s="5"/>
      <c r="D552" s="5"/>
      <c r="E552" s="7"/>
      <c r="F552" s="7"/>
      <c r="G552" s="8"/>
      <c r="H552" s="7"/>
      <c r="I552" s="7"/>
      <c r="J552" s="7"/>
    </row>
    <row r="553" spans="1:10" x14ac:dyDescent="0.25">
      <c r="A553" s="5"/>
      <c r="B553" s="6"/>
      <c r="C553" s="5"/>
      <c r="D553" s="5"/>
      <c r="E553" s="7"/>
      <c r="F553" s="7"/>
      <c r="G553" s="8"/>
      <c r="H553" s="7"/>
      <c r="I553" s="7"/>
      <c r="J553" s="7"/>
    </row>
    <row r="554" spans="1:10" x14ac:dyDescent="0.25">
      <c r="A554" s="5"/>
      <c r="B554" s="6"/>
      <c r="C554" s="5"/>
      <c r="D554" s="5"/>
      <c r="E554" s="7"/>
      <c r="F554" s="7"/>
      <c r="G554" s="8"/>
      <c r="H554" s="7"/>
      <c r="I554" s="7"/>
      <c r="J554" s="7"/>
    </row>
    <row r="555" spans="1:10" x14ac:dyDescent="0.25">
      <c r="A555" s="5"/>
      <c r="B555" s="6"/>
      <c r="C555" s="5"/>
      <c r="D555" s="5"/>
      <c r="E555" s="7"/>
      <c r="F555" s="7"/>
      <c r="G555" s="8"/>
      <c r="H555" s="7"/>
      <c r="I555" s="7"/>
      <c r="J555" s="7"/>
    </row>
    <row r="556" spans="1:10" x14ac:dyDescent="0.25">
      <c r="A556" s="5"/>
      <c r="B556" s="6"/>
      <c r="C556" s="5"/>
      <c r="D556" s="5"/>
      <c r="E556" s="7"/>
      <c r="F556" s="7"/>
      <c r="G556" s="8"/>
      <c r="H556" s="7"/>
      <c r="I556" s="7"/>
      <c r="J556" s="7"/>
    </row>
    <row r="557" spans="1:10" x14ac:dyDescent="0.25">
      <c r="A557" s="5"/>
      <c r="B557" s="6"/>
      <c r="C557" s="5"/>
      <c r="D557" s="5"/>
      <c r="E557" s="7"/>
      <c r="F557" s="7"/>
      <c r="G557" s="8"/>
      <c r="H557" s="7"/>
      <c r="I557" s="7"/>
      <c r="J557" s="7"/>
    </row>
    <row r="558" spans="1:10" x14ac:dyDescent="0.25">
      <c r="A558" s="5"/>
      <c r="B558" s="6"/>
      <c r="C558" s="5"/>
      <c r="D558" s="5"/>
      <c r="E558" s="7"/>
      <c r="F558" s="7"/>
      <c r="G558" s="8"/>
      <c r="H558" s="7"/>
      <c r="I558" s="7"/>
      <c r="J558" s="7"/>
    </row>
    <row r="559" spans="1:10" x14ac:dyDescent="0.25">
      <c r="A559" s="5"/>
      <c r="B559" s="6"/>
      <c r="C559" s="5"/>
      <c r="D559" s="5"/>
      <c r="E559" s="7"/>
      <c r="F559" s="7"/>
      <c r="G559" s="8"/>
      <c r="H559" s="7"/>
      <c r="I559" s="7"/>
      <c r="J559" s="7"/>
    </row>
    <row r="560" spans="1:10" x14ac:dyDescent="0.25">
      <c r="A560" s="5"/>
      <c r="B560" s="6"/>
      <c r="C560" s="5"/>
      <c r="D560" s="5"/>
      <c r="E560" s="7"/>
      <c r="F560" s="7"/>
      <c r="G560" s="8"/>
      <c r="H560" s="7"/>
      <c r="I560" s="7"/>
      <c r="J560" s="7"/>
    </row>
    <row r="561" spans="1:10" x14ac:dyDescent="0.25">
      <c r="A561" s="5"/>
      <c r="B561" s="6"/>
      <c r="C561" s="5"/>
      <c r="D561" s="5"/>
      <c r="E561" s="7"/>
      <c r="F561" s="7"/>
      <c r="G561" s="8"/>
      <c r="H561" s="7"/>
      <c r="I561" s="7"/>
      <c r="J561" s="7"/>
    </row>
    <row r="562" spans="1:10" x14ac:dyDescent="0.25">
      <c r="A562" s="5"/>
      <c r="B562" s="6"/>
      <c r="C562" s="5"/>
      <c r="D562" s="5"/>
      <c r="E562" s="7"/>
      <c r="F562" s="7"/>
      <c r="G562" s="8"/>
      <c r="H562" s="7"/>
      <c r="I562" s="7"/>
      <c r="J562" s="7"/>
    </row>
    <row r="563" spans="1:10" x14ac:dyDescent="0.25">
      <c r="A563" s="5"/>
      <c r="B563" s="6"/>
      <c r="C563" s="5"/>
      <c r="D563" s="5"/>
      <c r="E563" s="7"/>
      <c r="F563" s="7"/>
      <c r="G563" s="8"/>
      <c r="H563" s="7"/>
      <c r="I563" s="7"/>
      <c r="J563" s="7"/>
    </row>
    <row r="564" spans="1:10" x14ac:dyDescent="0.25">
      <c r="A564" s="5"/>
      <c r="B564" s="6"/>
      <c r="C564" s="5"/>
      <c r="D564" s="5"/>
      <c r="E564" s="7"/>
      <c r="F564" s="7"/>
      <c r="G564" s="8"/>
      <c r="H564" s="7"/>
      <c r="I564" s="7"/>
      <c r="J564" s="7"/>
    </row>
    <row r="565" spans="1:10" x14ac:dyDescent="0.25">
      <c r="A565" s="5"/>
      <c r="B565" s="6"/>
      <c r="C565" s="5"/>
      <c r="D565" s="5"/>
      <c r="E565" s="7"/>
      <c r="F565" s="7"/>
      <c r="G565" s="8"/>
      <c r="H565" s="7"/>
      <c r="I565" s="7"/>
      <c r="J565" s="7"/>
    </row>
    <row r="566" spans="1:10" x14ac:dyDescent="0.25">
      <c r="A566" s="5"/>
      <c r="B566" s="6"/>
      <c r="C566" s="5"/>
      <c r="D566" s="5"/>
      <c r="E566" s="7"/>
      <c r="F566" s="7"/>
      <c r="G566" s="8"/>
      <c r="H566" s="7"/>
      <c r="I566" s="7"/>
      <c r="J566" s="7"/>
    </row>
    <row r="567" spans="1:10" x14ac:dyDescent="0.25">
      <c r="A567" s="5"/>
      <c r="B567" s="6"/>
      <c r="C567" s="5"/>
      <c r="D567" s="5"/>
      <c r="E567" s="7"/>
      <c r="F567" s="7"/>
      <c r="G567" s="8"/>
      <c r="H567" s="7"/>
      <c r="I567" s="7"/>
      <c r="J567" s="7"/>
    </row>
    <row r="568" spans="1:10" x14ac:dyDescent="0.25">
      <c r="A568" s="5"/>
      <c r="B568" s="6"/>
      <c r="C568" s="5"/>
      <c r="D568" s="5"/>
      <c r="E568" s="7"/>
      <c r="F568" s="7"/>
      <c r="G568" s="8"/>
      <c r="H568" s="7"/>
      <c r="I568" s="7"/>
      <c r="J568" s="7"/>
    </row>
    <row r="569" spans="1:10" x14ac:dyDescent="0.25">
      <c r="A569" s="5"/>
      <c r="B569" s="6"/>
      <c r="C569" s="5"/>
      <c r="D569" s="5"/>
      <c r="E569" s="7"/>
      <c r="F569" s="7"/>
      <c r="G569" s="8"/>
      <c r="H569" s="7"/>
      <c r="I569" s="7"/>
      <c r="J569" s="7"/>
    </row>
    <row r="570" spans="1:10" x14ac:dyDescent="0.25">
      <c r="A570" s="5"/>
      <c r="B570" s="6"/>
      <c r="C570" s="5"/>
      <c r="D570" s="5"/>
      <c r="E570" s="7"/>
      <c r="F570" s="7"/>
      <c r="G570" s="8"/>
      <c r="H570" s="7"/>
      <c r="I570" s="7"/>
      <c r="J570" s="7"/>
    </row>
    <row r="571" spans="1:10" x14ac:dyDescent="0.25">
      <c r="A571" s="5"/>
      <c r="B571" s="6"/>
      <c r="C571" s="5"/>
      <c r="D571" s="5"/>
      <c r="E571" s="7"/>
      <c r="F571" s="7"/>
      <c r="G571" s="8"/>
      <c r="H571" s="7"/>
      <c r="I571" s="7"/>
      <c r="J571" s="7"/>
    </row>
    <row r="572" spans="1:10" x14ac:dyDescent="0.25">
      <c r="A572" s="5"/>
      <c r="B572" s="6"/>
      <c r="C572" s="5"/>
      <c r="D572" s="5"/>
      <c r="E572" s="7"/>
      <c r="F572" s="7"/>
      <c r="G572" s="8"/>
      <c r="H572" s="7"/>
      <c r="I572" s="7"/>
      <c r="J572" s="7"/>
    </row>
    <row r="573" spans="1:10" x14ac:dyDescent="0.25">
      <c r="A573" s="5"/>
      <c r="B573" s="6"/>
      <c r="C573" s="5"/>
      <c r="D573" s="5"/>
      <c r="E573" s="7"/>
      <c r="F573" s="7"/>
      <c r="G573" s="8"/>
      <c r="H573" s="7"/>
      <c r="I573" s="7"/>
      <c r="J573" s="7"/>
    </row>
    <row r="574" spans="1:10" x14ac:dyDescent="0.25">
      <c r="A574" s="5"/>
      <c r="B574" s="6"/>
      <c r="C574" s="5"/>
      <c r="D574" s="5"/>
      <c r="E574" s="7"/>
      <c r="F574" s="7"/>
      <c r="G574" s="8"/>
      <c r="H574" s="7"/>
      <c r="I574" s="7"/>
      <c r="J574" s="7"/>
    </row>
    <row r="575" spans="1:10" x14ac:dyDescent="0.25">
      <c r="A575" s="5"/>
      <c r="B575" s="6"/>
      <c r="C575" s="5"/>
      <c r="D575" s="5"/>
      <c r="E575" s="7"/>
      <c r="F575" s="7"/>
      <c r="G575" s="8"/>
      <c r="H575" s="7"/>
      <c r="I575" s="7"/>
      <c r="J575" s="7"/>
    </row>
    <row r="576" spans="1:10" x14ac:dyDescent="0.25">
      <c r="A576" s="5"/>
      <c r="B576" s="6"/>
      <c r="C576" s="5"/>
      <c r="D576" s="5"/>
      <c r="E576" s="7"/>
      <c r="F576" s="7"/>
      <c r="G576" s="8"/>
      <c r="H576" s="7"/>
      <c r="I576" s="7"/>
      <c r="J576" s="7"/>
    </row>
    <row r="577" spans="1:10" x14ac:dyDescent="0.25">
      <c r="A577" s="5"/>
      <c r="B577" s="6"/>
      <c r="C577" s="5"/>
      <c r="D577" s="5"/>
      <c r="E577" s="7"/>
      <c r="F577" s="7"/>
      <c r="G577" s="8"/>
      <c r="H577" s="7"/>
      <c r="I577" s="7"/>
      <c r="J577" s="7"/>
    </row>
    <row r="578" spans="1:10" x14ac:dyDescent="0.25">
      <c r="A578" s="5"/>
      <c r="B578" s="6"/>
      <c r="C578" s="5"/>
      <c r="D578" s="5"/>
      <c r="E578" s="7"/>
      <c r="F578" s="7"/>
      <c r="G578" s="8"/>
      <c r="H578" s="7"/>
      <c r="I578" s="7"/>
      <c r="J578" s="7"/>
    </row>
    <row r="579" spans="1:10" x14ac:dyDescent="0.25">
      <c r="A579" s="5"/>
      <c r="B579" s="6"/>
      <c r="C579" s="5"/>
      <c r="D579" s="5"/>
      <c r="E579" s="7"/>
      <c r="F579" s="7"/>
      <c r="G579" s="8"/>
      <c r="H579" s="7"/>
      <c r="I579" s="7"/>
      <c r="J579" s="7"/>
    </row>
    <row r="580" spans="1:10" x14ac:dyDescent="0.25">
      <c r="A580" s="5"/>
      <c r="B580" s="6"/>
      <c r="C580" s="5"/>
      <c r="D580" s="5"/>
      <c r="E580" s="7"/>
      <c r="F580" s="7"/>
      <c r="G580" s="8"/>
      <c r="H580" s="7"/>
      <c r="I580" s="7"/>
      <c r="J580" s="7"/>
    </row>
    <row r="581" spans="1:10" x14ac:dyDescent="0.25">
      <c r="A581" s="5"/>
      <c r="B581" s="6"/>
      <c r="C581" s="5"/>
      <c r="D581" s="5"/>
      <c r="E581" s="7"/>
      <c r="F581" s="7"/>
      <c r="G581" s="8"/>
      <c r="H581" s="7"/>
      <c r="I581" s="7"/>
      <c r="J581" s="7"/>
    </row>
    <row r="582" spans="1:10" x14ac:dyDescent="0.25">
      <c r="A582" s="5"/>
      <c r="B582" s="6"/>
      <c r="C582" s="5"/>
      <c r="D582" s="5"/>
      <c r="E582" s="7"/>
      <c r="F582" s="7"/>
      <c r="G582" s="8"/>
      <c r="H582" s="7"/>
      <c r="I582" s="7"/>
      <c r="J582" s="7"/>
    </row>
    <row r="583" spans="1:10" x14ac:dyDescent="0.25">
      <c r="A583" s="5"/>
      <c r="B583" s="6"/>
      <c r="C583" s="5"/>
      <c r="D583" s="5"/>
      <c r="E583" s="7"/>
      <c r="F583" s="7"/>
      <c r="G583" s="8"/>
      <c r="H583" s="7"/>
      <c r="I583" s="7"/>
      <c r="J583" s="7"/>
    </row>
    <row r="584" spans="1:10" x14ac:dyDescent="0.25">
      <c r="A584" s="5"/>
      <c r="B584" s="6"/>
      <c r="C584" s="5"/>
      <c r="D584" s="5"/>
      <c r="E584" s="7"/>
      <c r="F584" s="7"/>
      <c r="G584" s="8"/>
      <c r="H584" s="7"/>
      <c r="I584" s="7"/>
      <c r="J584" s="7"/>
    </row>
    <row r="585" spans="1:10" x14ac:dyDescent="0.25">
      <c r="A585" s="5"/>
      <c r="B585" s="6"/>
      <c r="C585" s="5"/>
      <c r="D585" s="5"/>
      <c r="E585" s="7"/>
      <c r="F585" s="7"/>
      <c r="G585" s="8"/>
      <c r="H585" s="7"/>
      <c r="I585" s="7"/>
      <c r="J585" s="7"/>
    </row>
    <row r="586" spans="1:10" x14ac:dyDescent="0.25">
      <c r="A586" s="5"/>
      <c r="B586" s="6"/>
      <c r="C586" s="5"/>
      <c r="D586" s="5"/>
      <c r="E586" s="7"/>
      <c r="F586" s="7"/>
      <c r="G586" s="8"/>
      <c r="H586" s="7"/>
      <c r="I586" s="7"/>
      <c r="J586" s="7"/>
    </row>
    <row r="587" spans="1:10" x14ac:dyDescent="0.25">
      <c r="A587" s="5"/>
      <c r="B587" s="6"/>
      <c r="C587" s="5"/>
      <c r="D587" s="5"/>
      <c r="E587" s="7"/>
      <c r="F587" s="7"/>
      <c r="G587" s="8"/>
      <c r="H587" s="7"/>
      <c r="I587" s="7"/>
      <c r="J587" s="7"/>
    </row>
    <row r="588" spans="1:10" x14ac:dyDescent="0.25">
      <c r="A588" s="5"/>
      <c r="B588" s="6"/>
      <c r="C588" s="5"/>
      <c r="D588" s="5"/>
      <c r="E588" s="7"/>
      <c r="F588" s="7"/>
      <c r="G588" s="8"/>
      <c r="H588" s="7"/>
      <c r="I588" s="7"/>
      <c r="J588" s="7"/>
    </row>
    <row r="589" spans="1:10" x14ac:dyDescent="0.25">
      <c r="A589" s="5"/>
      <c r="B589" s="6"/>
      <c r="C589" s="5"/>
      <c r="D589" s="5"/>
      <c r="E589" s="7"/>
      <c r="F589" s="7"/>
      <c r="G589" s="8"/>
      <c r="H589" s="7"/>
      <c r="I589" s="7"/>
      <c r="J589" s="7"/>
    </row>
    <row r="590" spans="1:10" x14ac:dyDescent="0.25">
      <c r="A590" s="5"/>
      <c r="B590" s="6"/>
      <c r="C590" s="5"/>
      <c r="D590" s="5"/>
      <c r="E590" s="7"/>
      <c r="F590" s="7"/>
      <c r="G590" s="8"/>
      <c r="H590" s="7"/>
      <c r="I590" s="7"/>
      <c r="J590" s="7"/>
    </row>
    <row r="591" spans="1:10" x14ac:dyDescent="0.25">
      <c r="A591" s="5"/>
      <c r="B591" s="6"/>
      <c r="C591" s="5"/>
      <c r="D591" s="5"/>
      <c r="E591" s="7"/>
      <c r="F591" s="7"/>
      <c r="G591" s="8"/>
      <c r="H591" s="7"/>
      <c r="I591" s="7"/>
      <c r="J591" s="7"/>
    </row>
    <row r="592" spans="1:10" x14ac:dyDescent="0.25">
      <c r="A592" s="5"/>
      <c r="B592" s="6"/>
      <c r="C592" s="5"/>
      <c r="D592" s="5"/>
      <c r="E592" s="7"/>
      <c r="F592" s="7"/>
      <c r="G592" s="8"/>
      <c r="H592" s="7"/>
      <c r="I592" s="7"/>
      <c r="J592" s="7"/>
    </row>
    <row r="593" spans="1:10" x14ac:dyDescent="0.25">
      <c r="A593" s="5"/>
      <c r="B593" s="6"/>
      <c r="C593" s="5"/>
      <c r="D593" s="5"/>
      <c r="E593" s="7"/>
      <c r="F593" s="7"/>
      <c r="G593" s="8"/>
      <c r="H593" s="7"/>
      <c r="I593" s="7"/>
      <c r="J593" s="7"/>
    </row>
    <row r="594" spans="1:10" x14ac:dyDescent="0.25">
      <c r="A594" s="5"/>
      <c r="B594" s="6"/>
      <c r="C594" s="5"/>
      <c r="D594" s="5"/>
      <c r="E594" s="7"/>
      <c r="F594" s="7"/>
      <c r="G594" s="8"/>
      <c r="H594" s="7"/>
      <c r="I594" s="7"/>
      <c r="J594" s="7"/>
    </row>
    <row r="595" spans="1:10" x14ac:dyDescent="0.25">
      <c r="A595" s="5"/>
      <c r="B595" s="6"/>
      <c r="C595" s="5"/>
      <c r="D595" s="5"/>
      <c r="E595" s="7"/>
      <c r="F595" s="7"/>
      <c r="G595" s="8"/>
      <c r="H595" s="7"/>
      <c r="I595" s="7"/>
      <c r="J595" s="7"/>
    </row>
    <row r="596" spans="1:10" x14ac:dyDescent="0.25">
      <c r="A596" s="5"/>
      <c r="B596" s="6"/>
      <c r="C596" s="5"/>
      <c r="D596" s="5"/>
      <c r="E596" s="7"/>
      <c r="F596" s="7"/>
      <c r="G596" s="8"/>
      <c r="H596" s="7"/>
      <c r="I596" s="7"/>
      <c r="J596" s="7"/>
    </row>
    <row r="597" spans="1:10" x14ac:dyDescent="0.25">
      <c r="A597" s="5"/>
      <c r="B597" s="6"/>
      <c r="C597" s="5"/>
      <c r="D597" s="5"/>
      <c r="E597" s="7"/>
      <c r="F597" s="7"/>
      <c r="G597" s="8"/>
      <c r="H597" s="7"/>
      <c r="I597" s="7"/>
      <c r="J597" s="7"/>
    </row>
    <row r="598" spans="1:10" x14ac:dyDescent="0.25">
      <c r="A598" s="5"/>
      <c r="B598" s="6"/>
      <c r="C598" s="5"/>
      <c r="D598" s="5"/>
      <c r="E598" s="7"/>
      <c r="F598" s="7"/>
      <c r="G598" s="8"/>
      <c r="H598" s="7"/>
      <c r="I598" s="7"/>
      <c r="J598" s="7"/>
    </row>
    <row r="599" spans="1:10" x14ac:dyDescent="0.25">
      <c r="A599" s="5"/>
      <c r="B599" s="6"/>
      <c r="C599" s="5"/>
      <c r="D599" s="5"/>
      <c r="E599" s="7"/>
      <c r="F599" s="7"/>
      <c r="G599" s="8"/>
      <c r="H599" s="7"/>
      <c r="I599" s="7"/>
      <c r="J599" s="7"/>
    </row>
    <row r="600" spans="1:10" x14ac:dyDescent="0.25">
      <c r="A600" s="5"/>
      <c r="B600" s="6"/>
      <c r="C600" s="5"/>
      <c r="D600" s="5"/>
      <c r="E600" s="7"/>
      <c r="F600" s="7"/>
      <c r="G600" s="8"/>
      <c r="H600" s="7"/>
      <c r="I600" s="7"/>
      <c r="J600" s="7"/>
    </row>
    <row r="601" spans="1:10" x14ac:dyDescent="0.25">
      <c r="A601" s="5"/>
      <c r="B601" s="6"/>
      <c r="C601" s="5"/>
      <c r="D601" s="5"/>
      <c r="E601" s="7"/>
      <c r="F601" s="7"/>
      <c r="G601" s="8"/>
      <c r="H601" s="7"/>
      <c r="I601" s="7"/>
      <c r="J601" s="7"/>
    </row>
    <row r="602" spans="1:10" x14ac:dyDescent="0.25">
      <c r="A602" s="5"/>
      <c r="B602" s="6"/>
      <c r="C602" s="5"/>
      <c r="D602" s="5"/>
      <c r="E602" s="7"/>
      <c r="F602" s="7"/>
      <c r="G602" s="8"/>
      <c r="H602" s="7"/>
      <c r="I602" s="7"/>
      <c r="J602" s="7"/>
    </row>
    <row r="603" spans="1:10" x14ac:dyDescent="0.25">
      <c r="A603" s="5"/>
      <c r="B603" s="6"/>
      <c r="C603" s="5"/>
      <c r="D603" s="5"/>
      <c r="E603" s="7"/>
      <c r="F603" s="7"/>
      <c r="G603" s="8"/>
      <c r="H603" s="7"/>
      <c r="I603" s="7"/>
      <c r="J603" s="7"/>
    </row>
    <row r="604" spans="1:10" x14ac:dyDescent="0.25">
      <c r="A604" s="5"/>
      <c r="B604" s="6"/>
      <c r="C604" s="5"/>
      <c r="D604" s="5"/>
      <c r="E604" s="7"/>
      <c r="F604" s="7"/>
      <c r="G604" s="8"/>
      <c r="H604" s="7"/>
      <c r="I604" s="7"/>
      <c r="J604" s="7"/>
    </row>
    <row r="605" spans="1:10" x14ac:dyDescent="0.25">
      <c r="A605" s="5"/>
      <c r="B605" s="6"/>
      <c r="C605" s="5"/>
      <c r="D605" s="5"/>
      <c r="E605" s="7"/>
      <c r="F605" s="7"/>
      <c r="G605" s="8"/>
      <c r="H605" s="7"/>
      <c r="I605" s="7"/>
      <c r="J605" s="7"/>
    </row>
    <row r="606" spans="1:10" x14ac:dyDescent="0.25">
      <c r="A606" s="5"/>
      <c r="B606" s="6"/>
      <c r="C606" s="5"/>
      <c r="D606" s="5"/>
      <c r="E606" s="7"/>
      <c r="F606" s="7"/>
      <c r="G606" s="8"/>
      <c r="H606" s="7"/>
      <c r="I606" s="7"/>
      <c r="J606" s="7"/>
    </row>
    <row r="607" spans="1:10" x14ac:dyDescent="0.25">
      <c r="A607" s="5"/>
      <c r="B607" s="6"/>
      <c r="C607" s="5"/>
      <c r="D607" s="5"/>
      <c r="E607" s="7"/>
      <c r="F607" s="7"/>
      <c r="G607" s="8"/>
      <c r="H607" s="7"/>
      <c r="I607" s="7"/>
      <c r="J607" s="7"/>
    </row>
    <row r="608" spans="1:10" x14ac:dyDescent="0.25">
      <c r="A608" s="5"/>
      <c r="B608" s="6"/>
      <c r="C608" s="5"/>
      <c r="D608" s="5"/>
      <c r="E608" s="7"/>
      <c r="F608" s="7"/>
      <c r="G608" s="8"/>
      <c r="H608" s="7"/>
      <c r="I608" s="7"/>
      <c r="J608" s="7"/>
    </row>
    <row r="609" spans="1:10" x14ac:dyDescent="0.25">
      <c r="A609" s="5"/>
      <c r="B609" s="6"/>
      <c r="C609" s="5"/>
      <c r="D609" s="5"/>
      <c r="E609" s="7"/>
      <c r="F609" s="7"/>
      <c r="G609" s="8"/>
      <c r="H609" s="7"/>
      <c r="I609" s="7"/>
      <c r="J609" s="7"/>
    </row>
    <row r="610" spans="1:10" x14ac:dyDescent="0.25">
      <c r="A610" s="5"/>
      <c r="B610" s="6"/>
      <c r="C610" s="5"/>
      <c r="D610" s="5"/>
      <c r="E610" s="7"/>
      <c r="F610" s="7"/>
      <c r="G610" s="8"/>
      <c r="H610" s="7"/>
      <c r="I610" s="7"/>
      <c r="J610" s="7"/>
    </row>
    <row r="611" spans="1:10" x14ac:dyDescent="0.25">
      <c r="A611" s="5"/>
      <c r="B611" s="6"/>
      <c r="C611" s="5"/>
      <c r="D611" s="5"/>
      <c r="E611" s="7"/>
      <c r="F611" s="7"/>
      <c r="G611" s="8"/>
      <c r="H611" s="7"/>
      <c r="I611" s="7"/>
      <c r="J611" s="7"/>
    </row>
    <row r="612" spans="1:10" x14ac:dyDescent="0.25">
      <c r="A612" s="5"/>
      <c r="B612" s="6"/>
      <c r="C612" s="5"/>
      <c r="D612" s="5"/>
      <c r="E612" s="7"/>
      <c r="F612" s="7"/>
      <c r="G612" s="8"/>
      <c r="H612" s="7"/>
      <c r="I612" s="7"/>
      <c r="J612" s="7"/>
    </row>
    <row r="613" spans="1:10" x14ac:dyDescent="0.25">
      <c r="A613" s="5"/>
      <c r="B613" s="6"/>
      <c r="C613" s="5"/>
      <c r="D613" s="5"/>
      <c r="E613" s="7"/>
      <c r="F613" s="7"/>
      <c r="G613" s="8"/>
      <c r="H613" s="7"/>
      <c r="I613" s="7"/>
      <c r="J613" s="7"/>
    </row>
    <row r="614" spans="1:10" x14ac:dyDescent="0.25">
      <c r="A614" s="5"/>
      <c r="B614" s="6"/>
      <c r="C614" s="5"/>
      <c r="D614" s="5"/>
      <c r="E614" s="7"/>
      <c r="F614" s="7"/>
      <c r="G614" s="8"/>
      <c r="H614" s="7"/>
      <c r="I614" s="7"/>
      <c r="J614" s="7"/>
    </row>
    <row r="615" spans="1:10" x14ac:dyDescent="0.25">
      <c r="A615" s="5"/>
      <c r="B615" s="6"/>
      <c r="C615" s="5"/>
      <c r="D615" s="5"/>
      <c r="E615" s="7"/>
      <c r="F615" s="7"/>
      <c r="G615" s="8"/>
      <c r="H615" s="7"/>
      <c r="I615" s="7"/>
      <c r="J615" s="7"/>
    </row>
    <row r="616" spans="1:10" x14ac:dyDescent="0.25">
      <c r="A616" s="5"/>
      <c r="B616" s="6"/>
      <c r="C616" s="5"/>
      <c r="D616" s="5"/>
      <c r="E616" s="7"/>
      <c r="F616" s="7"/>
      <c r="G616" s="8"/>
      <c r="H616" s="7"/>
      <c r="I616" s="7"/>
      <c r="J616" s="7"/>
    </row>
    <row r="617" spans="1:10" x14ac:dyDescent="0.25">
      <c r="A617" s="5"/>
      <c r="B617" s="6"/>
      <c r="C617" s="5"/>
      <c r="D617" s="5"/>
      <c r="E617" s="7"/>
      <c r="F617" s="7"/>
      <c r="G617" s="8"/>
      <c r="H617" s="7"/>
      <c r="I617" s="7"/>
      <c r="J617" s="7"/>
    </row>
    <row r="618" spans="1:10" x14ac:dyDescent="0.25">
      <c r="A618" s="5"/>
      <c r="B618" s="6"/>
      <c r="C618" s="5"/>
      <c r="D618" s="5"/>
      <c r="E618" s="7"/>
      <c r="F618" s="7"/>
      <c r="G618" s="8"/>
      <c r="H618" s="7"/>
      <c r="I618" s="7"/>
      <c r="J618" s="7"/>
    </row>
    <row r="619" spans="1:10" x14ac:dyDescent="0.25">
      <c r="A619" s="5"/>
      <c r="B619" s="6"/>
      <c r="C619" s="5"/>
      <c r="D619" s="5"/>
      <c r="E619" s="7"/>
      <c r="F619" s="7"/>
      <c r="G619" s="8"/>
      <c r="H619" s="7"/>
      <c r="I619" s="7"/>
      <c r="J619" s="7"/>
    </row>
    <row r="620" spans="1:10" x14ac:dyDescent="0.25">
      <c r="A620" s="5"/>
      <c r="B620" s="6"/>
      <c r="C620" s="5"/>
      <c r="D620" s="5"/>
      <c r="E620" s="7"/>
      <c r="F620" s="7"/>
      <c r="G620" s="8"/>
      <c r="H620" s="7"/>
      <c r="I620" s="7"/>
      <c r="J620" s="7"/>
    </row>
    <row r="621" spans="1:10" x14ac:dyDescent="0.25">
      <c r="A621" s="5"/>
      <c r="B621" s="6"/>
      <c r="C621" s="5"/>
      <c r="D621" s="5"/>
      <c r="E621" s="7"/>
      <c r="F621" s="7"/>
      <c r="G621" s="8"/>
      <c r="H621" s="7"/>
      <c r="I621" s="7"/>
      <c r="J621" s="7"/>
    </row>
    <row r="622" spans="1:10" x14ac:dyDescent="0.25">
      <c r="A622" s="5"/>
      <c r="B622" s="6"/>
      <c r="C622" s="5"/>
      <c r="D622" s="5"/>
      <c r="E622" s="7"/>
      <c r="F622" s="7"/>
      <c r="G622" s="8"/>
      <c r="H622" s="7"/>
      <c r="I622" s="7"/>
      <c r="J622" s="7"/>
    </row>
    <row r="623" spans="1:10" x14ac:dyDescent="0.25">
      <c r="A623" s="5"/>
      <c r="B623" s="6"/>
      <c r="C623" s="5"/>
      <c r="D623" s="5"/>
      <c r="E623" s="7"/>
      <c r="F623" s="7"/>
      <c r="G623" s="8"/>
      <c r="H623" s="7"/>
      <c r="I623" s="7"/>
      <c r="J623" s="7"/>
    </row>
    <row r="624" spans="1:10" x14ac:dyDescent="0.25">
      <c r="A624" s="5"/>
      <c r="B624" s="6"/>
      <c r="C624" s="5"/>
      <c r="D624" s="5"/>
      <c r="E624" s="7"/>
      <c r="F624" s="7"/>
      <c r="G624" s="8"/>
      <c r="H624" s="7"/>
      <c r="I624" s="7"/>
      <c r="J624" s="7"/>
    </row>
    <row r="625" spans="1:10" x14ac:dyDescent="0.25">
      <c r="A625" s="5"/>
      <c r="B625" s="6"/>
      <c r="C625" s="5"/>
      <c r="D625" s="5"/>
      <c r="E625" s="7"/>
      <c r="F625" s="7"/>
      <c r="G625" s="8"/>
      <c r="H625" s="7"/>
      <c r="I625" s="7"/>
      <c r="J625" s="7"/>
    </row>
    <row r="626" spans="1:10" x14ac:dyDescent="0.25">
      <c r="A626" s="5"/>
      <c r="B626" s="6"/>
      <c r="C626" s="5"/>
      <c r="D626" s="5"/>
      <c r="E626" s="7"/>
      <c r="F626" s="7"/>
      <c r="G626" s="8"/>
      <c r="H626" s="7"/>
      <c r="I626" s="7"/>
      <c r="J626" s="7"/>
    </row>
    <row r="627" spans="1:10" x14ac:dyDescent="0.25">
      <c r="A627" s="5"/>
      <c r="B627" s="6"/>
      <c r="C627" s="5"/>
      <c r="D627" s="5"/>
      <c r="E627" s="7"/>
      <c r="F627" s="7"/>
      <c r="G627" s="8"/>
      <c r="H627" s="7"/>
      <c r="I627" s="7"/>
      <c r="J627" s="7"/>
    </row>
    <row r="628" spans="1:10" x14ac:dyDescent="0.25">
      <c r="A628" s="5"/>
      <c r="B628" s="6"/>
      <c r="C628" s="5"/>
      <c r="D628" s="5"/>
      <c r="E628" s="7"/>
      <c r="F628" s="7"/>
      <c r="G628" s="8"/>
      <c r="H628" s="7"/>
      <c r="I628" s="7"/>
      <c r="J628" s="7"/>
    </row>
    <row r="629" spans="1:10" x14ac:dyDescent="0.25">
      <c r="A629" s="5"/>
      <c r="B629" s="6"/>
      <c r="C629" s="5"/>
      <c r="D629" s="5"/>
      <c r="E629" s="7"/>
      <c r="F629" s="7"/>
      <c r="G629" s="8"/>
      <c r="H629" s="7"/>
      <c r="I629" s="7"/>
      <c r="J629" s="7"/>
    </row>
    <row r="630" spans="1:10" x14ac:dyDescent="0.25">
      <c r="A630" s="5"/>
      <c r="B630" s="6"/>
      <c r="C630" s="5"/>
      <c r="D630" s="5"/>
      <c r="E630" s="7"/>
      <c r="F630" s="7"/>
      <c r="G630" s="8"/>
      <c r="H630" s="7"/>
      <c r="I630" s="7"/>
      <c r="J630" s="7"/>
    </row>
    <row r="631" spans="1:10" x14ac:dyDescent="0.25">
      <c r="A631" s="5"/>
      <c r="B631" s="6"/>
      <c r="C631" s="5"/>
      <c r="D631" s="5"/>
      <c r="E631" s="7"/>
      <c r="F631" s="7"/>
      <c r="G631" s="8"/>
      <c r="H631" s="7"/>
      <c r="I631" s="7"/>
      <c r="J631" s="7"/>
    </row>
    <row r="632" spans="1:10" x14ac:dyDescent="0.25">
      <c r="A632" s="5"/>
      <c r="B632" s="6"/>
      <c r="C632" s="5"/>
      <c r="D632" s="5"/>
      <c r="E632" s="7"/>
      <c r="F632" s="7"/>
      <c r="G632" s="8"/>
      <c r="H632" s="7"/>
      <c r="I632" s="7"/>
      <c r="J632" s="7"/>
    </row>
    <row r="633" spans="1:10" x14ac:dyDescent="0.25">
      <c r="A633" s="5"/>
      <c r="B633" s="6"/>
      <c r="C633" s="5"/>
      <c r="D633" s="5"/>
      <c r="E633" s="7"/>
      <c r="F633" s="7"/>
      <c r="G633" s="8"/>
      <c r="H633" s="7"/>
      <c r="I633" s="7"/>
      <c r="J633" s="7"/>
    </row>
    <row r="634" spans="1:10" x14ac:dyDescent="0.25">
      <c r="A634" s="5"/>
      <c r="B634" s="6"/>
      <c r="C634" s="5"/>
      <c r="D634" s="5"/>
      <c r="E634" s="7"/>
      <c r="F634" s="7"/>
      <c r="G634" s="8"/>
      <c r="H634" s="7"/>
      <c r="I634" s="7"/>
      <c r="J634" s="7"/>
    </row>
    <row r="635" spans="1:10" x14ac:dyDescent="0.25">
      <c r="A635" s="5"/>
      <c r="B635" s="6"/>
      <c r="C635" s="5"/>
      <c r="D635" s="5"/>
      <c r="E635" s="7"/>
      <c r="F635" s="7"/>
      <c r="G635" s="8"/>
      <c r="H635" s="7"/>
      <c r="I635" s="7"/>
      <c r="J635" s="7"/>
    </row>
    <row r="636" spans="1:10" x14ac:dyDescent="0.25">
      <c r="A636" s="5"/>
      <c r="B636" s="6"/>
      <c r="C636" s="5"/>
      <c r="D636" s="5"/>
      <c r="E636" s="7"/>
      <c r="F636" s="7"/>
      <c r="G636" s="8"/>
      <c r="H636" s="7"/>
      <c r="I636" s="7"/>
      <c r="J636" s="7"/>
    </row>
    <row r="637" spans="1:10" x14ac:dyDescent="0.25">
      <c r="A637" s="5"/>
      <c r="B637" s="6"/>
      <c r="C637" s="5"/>
      <c r="D637" s="5"/>
      <c r="E637" s="7"/>
      <c r="F637" s="7"/>
      <c r="G637" s="8"/>
      <c r="H637" s="7"/>
      <c r="I637" s="7"/>
      <c r="J637" s="7"/>
    </row>
    <row r="638" spans="1:10" x14ac:dyDescent="0.25">
      <c r="A638" s="5"/>
      <c r="B638" s="6"/>
      <c r="C638" s="5"/>
      <c r="D638" s="5"/>
      <c r="E638" s="7"/>
      <c r="F638" s="7"/>
      <c r="G638" s="8"/>
      <c r="H638" s="7"/>
      <c r="I638" s="7"/>
      <c r="J638" s="7"/>
    </row>
    <row r="639" spans="1:10" x14ac:dyDescent="0.25">
      <c r="A639" s="5"/>
      <c r="B639" s="6"/>
      <c r="C639" s="5"/>
      <c r="D639" s="5"/>
      <c r="E639" s="7"/>
      <c r="F639" s="7"/>
      <c r="G639" s="8"/>
      <c r="H639" s="7"/>
      <c r="I639" s="7"/>
      <c r="J639" s="7"/>
    </row>
    <row r="640" spans="1:10" x14ac:dyDescent="0.25">
      <c r="A640" s="5"/>
      <c r="B640" s="6"/>
      <c r="C640" s="5"/>
      <c r="D640" s="5"/>
      <c r="E640" s="7"/>
      <c r="F640" s="7"/>
      <c r="G640" s="8"/>
      <c r="H640" s="7"/>
      <c r="I640" s="7"/>
      <c r="J640" s="7"/>
    </row>
    <row r="641" spans="1:10" x14ac:dyDescent="0.25">
      <c r="A641" s="5"/>
      <c r="B641" s="6"/>
      <c r="C641" s="5"/>
      <c r="D641" s="5"/>
      <c r="E641" s="7"/>
      <c r="F641" s="7"/>
      <c r="G641" s="8"/>
      <c r="H641" s="7"/>
      <c r="I641" s="7"/>
      <c r="J641" s="7"/>
    </row>
    <row r="642" spans="1:10" x14ac:dyDescent="0.25">
      <c r="A642" s="5"/>
      <c r="B642" s="6"/>
      <c r="C642" s="5"/>
      <c r="D642" s="5"/>
      <c r="E642" s="7"/>
      <c r="F642" s="7"/>
      <c r="G642" s="8"/>
      <c r="H642" s="7"/>
      <c r="I642" s="7"/>
      <c r="J642" s="7"/>
    </row>
    <row r="643" spans="1:10" x14ac:dyDescent="0.25">
      <c r="A643" s="5"/>
      <c r="B643" s="6"/>
      <c r="C643" s="5"/>
      <c r="D643" s="5"/>
      <c r="E643" s="7"/>
      <c r="F643" s="7"/>
      <c r="G643" s="8"/>
      <c r="H643" s="7"/>
      <c r="I643" s="7"/>
      <c r="J643" s="7"/>
    </row>
    <row r="644" spans="1:10" x14ac:dyDescent="0.25">
      <c r="A644" s="5"/>
      <c r="B644" s="6"/>
      <c r="C644" s="5"/>
      <c r="D644" s="5"/>
      <c r="E644" s="7"/>
      <c r="F644" s="7"/>
      <c r="G644" s="8"/>
      <c r="H644" s="7"/>
      <c r="I644" s="7"/>
      <c r="J644" s="7"/>
    </row>
    <row r="645" spans="1:10" x14ac:dyDescent="0.25">
      <c r="A645" s="5"/>
      <c r="B645" s="6"/>
      <c r="C645" s="5"/>
      <c r="D645" s="5"/>
      <c r="E645" s="7"/>
      <c r="F645" s="7"/>
      <c r="G645" s="8"/>
      <c r="H645" s="7"/>
      <c r="I645" s="7"/>
      <c r="J645" s="7"/>
    </row>
    <row r="646" spans="1:10" x14ac:dyDescent="0.25">
      <c r="A646" s="5"/>
      <c r="B646" s="6"/>
      <c r="C646" s="5"/>
      <c r="D646" s="5"/>
      <c r="E646" s="7"/>
      <c r="F646" s="7"/>
      <c r="G646" s="8"/>
      <c r="H646" s="7"/>
      <c r="I646" s="7"/>
      <c r="J646" s="7"/>
    </row>
    <row r="647" spans="1:10" x14ac:dyDescent="0.25">
      <c r="A647" s="5"/>
      <c r="B647" s="6"/>
      <c r="C647" s="5"/>
      <c r="D647" s="5"/>
      <c r="E647" s="7"/>
      <c r="F647" s="7"/>
      <c r="G647" s="8"/>
      <c r="H647" s="7"/>
      <c r="I647" s="7"/>
      <c r="J647" s="7"/>
    </row>
    <row r="648" spans="1:10" x14ac:dyDescent="0.25">
      <c r="A648" s="5"/>
      <c r="B648" s="6"/>
      <c r="C648" s="5"/>
      <c r="D648" s="5"/>
      <c r="E648" s="7"/>
      <c r="F648" s="7"/>
      <c r="G648" s="8"/>
      <c r="H648" s="7"/>
      <c r="I648" s="7"/>
      <c r="J648" s="7"/>
    </row>
    <row r="649" spans="1:10" x14ac:dyDescent="0.25">
      <c r="A649" s="5"/>
      <c r="B649" s="6"/>
      <c r="C649" s="5"/>
      <c r="D649" s="5"/>
      <c r="E649" s="7"/>
      <c r="F649" s="7"/>
      <c r="G649" s="8"/>
      <c r="H649" s="7"/>
      <c r="I649" s="7"/>
      <c r="J649" s="7"/>
    </row>
    <row r="650" spans="1:10" x14ac:dyDescent="0.25">
      <c r="A650" s="5"/>
      <c r="B650" s="6"/>
      <c r="C650" s="5"/>
      <c r="D650" s="5"/>
      <c r="E650" s="7"/>
      <c r="F650" s="7"/>
      <c r="G650" s="8"/>
      <c r="H650" s="7"/>
      <c r="I650" s="7"/>
      <c r="J650" s="7"/>
    </row>
    <row r="651" spans="1:10" x14ac:dyDescent="0.25">
      <c r="A651" s="5"/>
      <c r="B651" s="6"/>
      <c r="C651" s="5"/>
      <c r="D651" s="5"/>
      <c r="E651" s="7"/>
      <c r="F651" s="7"/>
      <c r="G651" s="8"/>
      <c r="H651" s="7"/>
      <c r="I651" s="7"/>
      <c r="J651" s="7"/>
    </row>
    <row r="652" spans="1:10" x14ac:dyDescent="0.25">
      <c r="A652" s="5"/>
      <c r="B652" s="6"/>
      <c r="C652" s="5"/>
      <c r="D652" s="5"/>
      <c r="E652" s="7"/>
      <c r="F652" s="7"/>
      <c r="G652" s="8"/>
      <c r="H652" s="7"/>
      <c r="I652" s="7"/>
      <c r="J652" s="7"/>
    </row>
    <row r="653" spans="1:10" x14ac:dyDescent="0.25">
      <c r="A653" s="5"/>
      <c r="B653" s="6"/>
      <c r="C653" s="5"/>
      <c r="D653" s="5"/>
      <c r="E653" s="7"/>
      <c r="F653" s="7"/>
      <c r="G653" s="8"/>
      <c r="H653" s="7"/>
      <c r="I653" s="7"/>
      <c r="J653" s="7"/>
    </row>
    <row r="654" spans="1:10" x14ac:dyDescent="0.25">
      <c r="A654" s="5"/>
      <c r="B654" s="6"/>
      <c r="C654" s="5"/>
      <c r="D654" s="5"/>
      <c r="E654" s="7"/>
      <c r="F654" s="7"/>
      <c r="G654" s="8"/>
      <c r="H654" s="7"/>
      <c r="I654" s="7"/>
      <c r="J654" s="7"/>
    </row>
    <row r="655" spans="1:10" x14ac:dyDescent="0.25">
      <c r="A655" s="5"/>
      <c r="B655" s="6"/>
      <c r="C655" s="5"/>
      <c r="D655" s="5"/>
      <c r="E655" s="7"/>
      <c r="F655" s="7"/>
      <c r="G655" s="8"/>
      <c r="H655" s="7"/>
      <c r="I655" s="7"/>
      <c r="J655" s="7"/>
    </row>
    <row r="656" spans="1:10" x14ac:dyDescent="0.25">
      <c r="A656" s="5"/>
      <c r="B656" s="6"/>
      <c r="C656" s="5"/>
      <c r="D656" s="5"/>
      <c r="E656" s="7"/>
      <c r="F656" s="7"/>
      <c r="G656" s="8"/>
      <c r="H656" s="7"/>
      <c r="I656" s="7"/>
      <c r="J656" s="7"/>
    </row>
    <row r="657" spans="1:10" x14ac:dyDescent="0.25">
      <c r="A657" s="5"/>
      <c r="B657" s="6"/>
      <c r="C657" s="5"/>
      <c r="D657" s="5"/>
      <c r="E657" s="7"/>
      <c r="F657" s="7"/>
      <c r="G657" s="8"/>
      <c r="H657" s="7"/>
      <c r="I657" s="7"/>
      <c r="J657" s="7"/>
    </row>
    <row r="658" spans="1:10" x14ac:dyDescent="0.25">
      <c r="A658" s="5"/>
      <c r="B658" s="6"/>
      <c r="C658" s="5"/>
      <c r="D658" s="5"/>
      <c r="E658" s="7"/>
      <c r="F658" s="7"/>
      <c r="G658" s="8"/>
      <c r="H658" s="7"/>
      <c r="I658" s="7"/>
      <c r="J658" s="7"/>
    </row>
    <row r="659" spans="1:10" x14ac:dyDescent="0.25">
      <c r="A659" s="5"/>
      <c r="B659" s="6"/>
      <c r="C659" s="5"/>
      <c r="D659" s="5"/>
      <c r="E659" s="7"/>
      <c r="F659" s="7"/>
      <c r="G659" s="8"/>
      <c r="H659" s="7"/>
      <c r="I659" s="7"/>
      <c r="J659" s="7"/>
    </row>
    <row r="660" spans="1:10" x14ac:dyDescent="0.25">
      <c r="A660" s="5"/>
      <c r="B660" s="6"/>
      <c r="C660" s="5"/>
      <c r="D660" s="5"/>
      <c r="E660" s="7"/>
      <c r="F660" s="7"/>
      <c r="G660" s="8"/>
      <c r="H660" s="7"/>
      <c r="I660" s="7"/>
      <c r="J660" s="7"/>
    </row>
    <row r="661" spans="1:10" x14ac:dyDescent="0.25">
      <c r="A661" s="5"/>
      <c r="B661" s="6"/>
      <c r="C661" s="5"/>
      <c r="D661" s="5"/>
      <c r="E661" s="7"/>
      <c r="F661" s="7"/>
      <c r="G661" s="8"/>
      <c r="H661" s="7"/>
      <c r="I661" s="7"/>
      <c r="J661" s="7"/>
    </row>
    <row r="662" spans="1:10" x14ac:dyDescent="0.25">
      <c r="A662" s="5"/>
      <c r="B662" s="6"/>
      <c r="C662" s="5"/>
      <c r="D662" s="5"/>
      <c r="E662" s="7"/>
      <c r="F662" s="7"/>
      <c r="G662" s="8"/>
      <c r="H662" s="7"/>
      <c r="I662" s="7"/>
      <c r="J662" s="7"/>
    </row>
    <row r="663" spans="1:10" x14ac:dyDescent="0.25">
      <c r="A663" s="5"/>
      <c r="B663" s="6"/>
      <c r="C663" s="5"/>
      <c r="D663" s="5"/>
      <c r="E663" s="7"/>
      <c r="F663" s="7"/>
      <c r="G663" s="8"/>
      <c r="H663" s="7"/>
      <c r="I663" s="7"/>
      <c r="J663" s="7"/>
    </row>
    <row r="664" spans="1:10" x14ac:dyDescent="0.25">
      <c r="A664" s="5"/>
      <c r="B664" s="6"/>
      <c r="C664" s="5"/>
      <c r="D664" s="5"/>
      <c r="E664" s="7"/>
      <c r="F664" s="7"/>
      <c r="G664" s="8"/>
      <c r="H664" s="7"/>
      <c r="I664" s="7"/>
      <c r="J664" s="7"/>
    </row>
    <row r="665" spans="1:10" x14ac:dyDescent="0.25">
      <c r="A665" s="5"/>
      <c r="B665" s="6"/>
      <c r="C665" s="5"/>
      <c r="D665" s="5"/>
      <c r="E665" s="7"/>
      <c r="F665" s="7"/>
      <c r="G665" s="8"/>
      <c r="H665" s="7"/>
      <c r="I665" s="7"/>
      <c r="J665" s="7"/>
    </row>
    <row r="666" spans="1:10" x14ac:dyDescent="0.25">
      <c r="A666" s="5"/>
      <c r="B666" s="6"/>
      <c r="C666" s="5"/>
      <c r="D666" s="5"/>
      <c r="E666" s="7"/>
      <c r="F666" s="7"/>
      <c r="G666" s="8"/>
      <c r="H666" s="7"/>
      <c r="I666" s="7"/>
      <c r="J666" s="7"/>
    </row>
    <row r="667" spans="1:10" x14ac:dyDescent="0.25">
      <c r="A667" s="5"/>
      <c r="B667" s="6"/>
      <c r="C667" s="5"/>
      <c r="D667" s="5"/>
      <c r="E667" s="7"/>
      <c r="F667" s="7"/>
      <c r="G667" s="8"/>
      <c r="H667" s="7"/>
      <c r="I667" s="7"/>
      <c r="J667" s="7"/>
    </row>
    <row r="668" spans="1:10" x14ac:dyDescent="0.25">
      <c r="A668" s="5"/>
      <c r="B668" s="6"/>
      <c r="C668" s="5"/>
      <c r="D668" s="5"/>
      <c r="E668" s="7"/>
      <c r="F668" s="7"/>
      <c r="G668" s="8"/>
      <c r="H668" s="7"/>
      <c r="I668" s="7"/>
      <c r="J668" s="7"/>
    </row>
    <row r="669" spans="1:10" x14ac:dyDescent="0.25">
      <c r="A669" s="5"/>
      <c r="B669" s="6"/>
      <c r="C669" s="5"/>
      <c r="D669" s="5"/>
      <c r="E669" s="7"/>
      <c r="F669" s="7"/>
      <c r="G669" s="8"/>
      <c r="H669" s="7"/>
      <c r="I669" s="7"/>
      <c r="J669" s="7"/>
    </row>
    <row r="670" spans="1:10" x14ac:dyDescent="0.25">
      <c r="A670" s="5"/>
      <c r="B670" s="6"/>
      <c r="C670" s="5"/>
      <c r="D670" s="5"/>
      <c r="E670" s="7"/>
      <c r="F670" s="7"/>
      <c r="G670" s="8"/>
      <c r="H670" s="7"/>
      <c r="I670" s="7"/>
      <c r="J670" s="7"/>
    </row>
    <row r="671" spans="1:10" x14ac:dyDescent="0.25">
      <c r="A671" s="5"/>
      <c r="B671" s="6"/>
      <c r="C671" s="5"/>
      <c r="D671" s="5"/>
      <c r="E671" s="7"/>
      <c r="F671" s="7"/>
      <c r="G671" s="8"/>
      <c r="H671" s="7"/>
      <c r="I671" s="7"/>
      <c r="J671" s="7"/>
    </row>
    <row r="672" spans="1:10" x14ac:dyDescent="0.25">
      <c r="A672" s="5"/>
      <c r="B672" s="6"/>
      <c r="C672" s="5"/>
      <c r="D672" s="5"/>
      <c r="E672" s="7"/>
      <c r="F672" s="7"/>
      <c r="G672" s="8"/>
      <c r="H672" s="7"/>
      <c r="I672" s="7"/>
      <c r="J672" s="7"/>
    </row>
    <row r="673" spans="1:10" x14ac:dyDescent="0.25">
      <c r="A673" s="5"/>
      <c r="B673" s="6"/>
      <c r="C673" s="5"/>
      <c r="D673" s="5"/>
      <c r="E673" s="7"/>
      <c r="F673" s="7"/>
      <c r="G673" s="8"/>
      <c r="H673" s="7"/>
      <c r="I673" s="7"/>
      <c r="J673" s="7"/>
    </row>
    <row r="674" spans="1:10" x14ac:dyDescent="0.25">
      <c r="A674" s="5"/>
      <c r="B674" s="6"/>
      <c r="C674" s="5"/>
      <c r="D674" s="5"/>
      <c r="E674" s="7"/>
      <c r="F674" s="7"/>
      <c r="G674" s="8"/>
      <c r="H674" s="7"/>
      <c r="I674" s="7"/>
      <c r="J674" s="7"/>
    </row>
    <row r="675" spans="1:10" x14ac:dyDescent="0.25">
      <c r="A675" s="5"/>
      <c r="B675" s="6"/>
      <c r="C675" s="5"/>
      <c r="D675" s="5"/>
      <c r="E675" s="7"/>
      <c r="F675" s="7"/>
      <c r="G675" s="8"/>
      <c r="H675" s="7"/>
      <c r="I675" s="7"/>
      <c r="J675" s="7"/>
    </row>
    <row r="676" spans="1:10" x14ac:dyDescent="0.25">
      <c r="A676" s="5"/>
      <c r="B676" s="6"/>
      <c r="C676" s="5"/>
      <c r="D676" s="5"/>
      <c r="E676" s="7"/>
      <c r="F676" s="7"/>
      <c r="G676" s="8"/>
      <c r="H676" s="7"/>
      <c r="I676" s="7"/>
      <c r="J676" s="7"/>
    </row>
    <row r="677" spans="1:10" x14ac:dyDescent="0.25">
      <c r="A677" s="5"/>
      <c r="B677" s="6"/>
      <c r="C677" s="5"/>
      <c r="D677" s="5"/>
      <c r="E677" s="7"/>
      <c r="F677" s="7"/>
      <c r="G677" s="8"/>
      <c r="H677" s="7"/>
      <c r="I677" s="7"/>
      <c r="J677" s="7"/>
    </row>
    <row r="678" spans="1:10" x14ac:dyDescent="0.25">
      <c r="A678" s="5"/>
      <c r="B678" s="6"/>
      <c r="C678" s="5"/>
      <c r="D678" s="5"/>
      <c r="E678" s="7"/>
      <c r="F678" s="7"/>
      <c r="G678" s="8"/>
      <c r="H678" s="7"/>
      <c r="I678" s="7"/>
      <c r="J678" s="7"/>
    </row>
    <row r="679" spans="1:10" x14ac:dyDescent="0.25">
      <c r="A679" s="5"/>
      <c r="B679" s="6"/>
      <c r="C679" s="5"/>
      <c r="D679" s="5"/>
      <c r="E679" s="7"/>
      <c r="F679" s="7"/>
      <c r="G679" s="8"/>
      <c r="H679" s="7"/>
      <c r="I679" s="7"/>
      <c r="J679" s="7"/>
    </row>
    <row r="680" spans="1:10" x14ac:dyDescent="0.25">
      <c r="A680" s="5"/>
      <c r="B680" s="6"/>
      <c r="C680" s="5"/>
      <c r="D680" s="5"/>
      <c r="E680" s="7"/>
      <c r="F680" s="7"/>
      <c r="G680" s="8"/>
      <c r="H680" s="7"/>
      <c r="I680" s="7"/>
      <c r="J680" s="7"/>
    </row>
    <row r="681" spans="1:10" x14ac:dyDescent="0.25">
      <c r="A681" s="5"/>
      <c r="B681" s="6"/>
      <c r="C681" s="5"/>
      <c r="D681" s="5"/>
      <c r="E681" s="7"/>
      <c r="F681" s="7"/>
      <c r="G681" s="8"/>
      <c r="H681" s="7"/>
      <c r="I681" s="7"/>
      <c r="J681" s="7"/>
    </row>
    <row r="682" spans="1:10" x14ac:dyDescent="0.25">
      <c r="A682" s="5"/>
      <c r="B682" s="6"/>
      <c r="C682" s="5"/>
      <c r="D682" s="5"/>
      <c r="E682" s="7"/>
      <c r="F682" s="7"/>
      <c r="G682" s="8"/>
      <c r="H682" s="7"/>
      <c r="I682" s="7"/>
      <c r="J682" s="7"/>
    </row>
    <row r="683" spans="1:10" x14ac:dyDescent="0.25">
      <c r="A683" s="5"/>
      <c r="B683" s="6"/>
      <c r="C683" s="5"/>
      <c r="D683" s="5"/>
      <c r="E683" s="7"/>
      <c r="F683" s="7"/>
      <c r="G683" s="8"/>
      <c r="H683" s="7"/>
      <c r="I683" s="7"/>
      <c r="J683" s="7"/>
    </row>
    <row r="684" spans="1:10" x14ac:dyDescent="0.25">
      <c r="A684" s="5"/>
      <c r="B684" s="6"/>
      <c r="C684" s="5"/>
      <c r="D684" s="5"/>
      <c r="E684" s="7"/>
      <c r="F684" s="7"/>
      <c r="G684" s="8"/>
      <c r="H684" s="7"/>
      <c r="I684" s="7"/>
      <c r="J684" s="7"/>
    </row>
    <row r="685" spans="1:10" x14ac:dyDescent="0.25">
      <c r="A685" s="5"/>
      <c r="B685" s="6"/>
      <c r="C685" s="5"/>
      <c r="D685" s="5"/>
      <c r="E685" s="7"/>
      <c r="F685" s="7"/>
      <c r="G685" s="8"/>
      <c r="H685" s="7"/>
      <c r="I685" s="7"/>
      <c r="J685" s="7"/>
    </row>
    <row r="686" spans="1:10" x14ac:dyDescent="0.25">
      <c r="A686" s="5"/>
      <c r="B686" s="6"/>
      <c r="C686" s="5"/>
      <c r="D686" s="5"/>
      <c r="E686" s="7"/>
      <c r="F686" s="7"/>
      <c r="G686" s="8"/>
      <c r="H686" s="7"/>
      <c r="I686" s="7"/>
      <c r="J686" s="7"/>
    </row>
    <row r="687" spans="1:10" x14ac:dyDescent="0.25">
      <c r="A687" s="5"/>
      <c r="B687" s="6"/>
      <c r="C687" s="5"/>
      <c r="D687" s="5"/>
      <c r="E687" s="7"/>
      <c r="F687" s="7"/>
      <c r="G687" s="8"/>
      <c r="H687" s="7"/>
      <c r="I687" s="7"/>
      <c r="J687" s="7"/>
    </row>
    <row r="688" spans="1:10" x14ac:dyDescent="0.25">
      <c r="A688" s="5"/>
      <c r="B688" s="6"/>
      <c r="C688" s="5"/>
      <c r="D688" s="5"/>
      <c r="E688" s="7"/>
      <c r="F688" s="7"/>
      <c r="G688" s="8"/>
      <c r="H688" s="7"/>
      <c r="I688" s="7"/>
      <c r="J688" s="7"/>
    </row>
    <row r="689" spans="1:10" x14ac:dyDescent="0.25">
      <c r="A689" s="5"/>
      <c r="B689" s="6"/>
      <c r="C689" s="5"/>
      <c r="D689" s="5"/>
      <c r="E689" s="7"/>
      <c r="F689" s="7"/>
      <c r="G689" s="8"/>
      <c r="H689" s="7"/>
      <c r="I689" s="7"/>
      <c r="J689" s="7"/>
    </row>
    <row r="690" spans="1:10" x14ac:dyDescent="0.25">
      <c r="A690" s="5"/>
      <c r="B690" s="6"/>
      <c r="C690" s="5"/>
      <c r="D690" s="5"/>
      <c r="E690" s="7"/>
      <c r="F690" s="7"/>
      <c r="G690" s="8"/>
      <c r="H690" s="7"/>
      <c r="I690" s="7"/>
      <c r="J690" s="7"/>
    </row>
    <row r="691" spans="1:10" x14ac:dyDescent="0.25">
      <c r="A691" s="5"/>
      <c r="B691" s="6"/>
      <c r="C691" s="5"/>
      <c r="D691" s="5"/>
      <c r="E691" s="7"/>
      <c r="F691" s="7"/>
      <c r="G691" s="8"/>
      <c r="H691" s="7"/>
      <c r="I691" s="7"/>
      <c r="J691" s="7"/>
    </row>
    <row r="692" spans="1:10" x14ac:dyDescent="0.25">
      <c r="A692" s="5"/>
      <c r="B692" s="6"/>
      <c r="C692" s="5"/>
      <c r="D692" s="5"/>
      <c r="E692" s="7"/>
      <c r="F692" s="7"/>
      <c r="G692" s="8"/>
      <c r="H692" s="7"/>
      <c r="I692" s="7"/>
      <c r="J692" s="7"/>
    </row>
    <row r="693" spans="1:10" x14ac:dyDescent="0.25">
      <c r="A693" s="5"/>
      <c r="B693" s="6"/>
      <c r="C693" s="5"/>
      <c r="D693" s="5"/>
      <c r="E693" s="7"/>
      <c r="F693" s="7"/>
      <c r="G693" s="8"/>
      <c r="H693" s="7"/>
      <c r="I693" s="7"/>
      <c r="J693" s="7"/>
    </row>
    <row r="694" spans="1:10" x14ac:dyDescent="0.25">
      <c r="A694" s="5"/>
      <c r="B694" s="6"/>
      <c r="C694" s="5"/>
      <c r="D694" s="5"/>
      <c r="E694" s="7"/>
      <c r="F694" s="7"/>
      <c r="G694" s="8"/>
      <c r="H694" s="7"/>
      <c r="I694" s="7"/>
      <c r="J694" s="7"/>
    </row>
    <row r="695" spans="1:10" x14ac:dyDescent="0.25">
      <c r="A695" s="5"/>
      <c r="B695" s="6"/>
      <c r="C695" s="5"/>
      <c r="D695" s="5"/>
      <c r="E695" s="7"/>
      <c r="F695" s="7"/>
      <c r="G695" s="8"/>
      <c r="H695" s="7"/>
      <c r="I695" s="7"/>
      <c r="J695" s="7"/>
    </row>
    <row r="696" spans="1:10" x14ac:dyDescent="0.25">
      <c r="A696" s="5"/>
      <c r="B696" s="6"/>
      <c r="C696" s="5"/>
      <c r="D696" s="5"/>
      <c r="E696" s="7"/>
      <c r="F696" s="7"/>
      <c r="G696" s="8"/>
      <c r="H696" s="7"/>
      <c r="I696" s="7"/>
      <c r="J696" s="7"/>
    </row>
    <row r="697" spans="1:10" x14ac:dyDescent="0.25">
      <c r="A697" s="5"/>
      <c r="B697" s="6"/>
      <c r="C697" s="5"/>
      <c r="D697" s="5"/>
      <c r="E697" s="7"/>
      <c r="F697" s="7"/>
      <c r="G697" s="8"/>
      <c r="H697" s="7"/>
      <c r="I697" s="7"/>
      <c r="J697" s="7"/>
    </row>
    <row r="698" spans="1:10" x14ac:dyDescent="0.25">
      <c r="A698" s="5"/>
      <c r="B698" s="6"/>
      <c r="C698" s="5"/>
      <c r="D698" s="5"/>
      <c r="E698" s="7"/>
      <c r="F698" s="7"/>
      <c r="G698" s="8"/>
      <c r="H698" s="7"/>
      <c r="I698" s="7"/>
      <c r="J698" s="7"/>
    </row>
    <row r="699" spans="1:10" x14ac:dyDescent="0.25">
      <c r="A699" s="5"/>
      <c r="B699" s="6"/>
      <c r="C699" s="5"/>
      <c r="D699" s="5"/>
      <c r="E699" s="7"/>
      <c r="F699" s="7"/>
      <c r="G699" s="8"/>
      <c r="H699" s="7"/>
      <c r="I699" s="7"/>
      <c r="J699" s="7"/>
    </row>
    <row r="700" spans="1:10" x14ac:dyDescent="0.25">
      <c r="A700" s="5"/>
      <c r="B700" s="6"/>
      <c r="C700" s="5"/>
      <c r="D700" s="5"/>
      <c r="E700" s="7"/>
      <c r="F700" s="7"/>
      <c r="G700" s="8"/>
      <c r="H700" s="7"/>
      <c r="I700" s="7"/>
      <c r="J700" s="7"/>
    </row>
    <row r="701" spans="1:10" x14ac:dyDescent="0.25">
      <c r="A701" s="5"/>
      <c r="B701" s="6"/>
      <c r="C701" s="5"/>
      <c r="D701" s="5"/>
      <c r="E701" s="7"/>
      <c r="F701" s="7"/>
      <c r="G701" s="8"/>
      <c r="H701" s="7"/>
      <c r="I701" s="7"/>
      <c r="J701" s="7"/>
    </row>
    <row r="702" spans="1:10" x14ac:dyDescent="0.25">
      <c r="A702" s="5"/>
      <c r="B702" s="6"/>
      <c r="C702" s="5"/>
      <c r="D702" s="5"/>
      <c r="E702" s="7"/>
      <c r="F702" s="7"/>
      <c r="G702" s="8"/>
      <c r="H702" s="7"/>
      <c r="I702" s="7"/>
      <c r="J702" s="7"/>
    </row>
    <row r="703" spans="1:10" x14ac:dyDescent="0.25">
      <c r="A703" s="5"/>
      <c r="B703" s="6"/>
      <c r="C703" s="5"/>
      <c r="D703" s="5"/>
      <c r="E703" s="7"/>
      <c r="F703" s="7"/>
      <c r="G703" s="8"/>
      <c r="H703" s="7"/>
      <c r="I703" s="7"/>
      <c r="J703" s="7"/>
    </row>
    <row r="704" spans="1:10" x14ac:dyDescent="0.25">
      <c r="A704" s="5"/>
      <c r="B704" s="6"/>
      <c r="C704" s="5"/>
      <c r="D704" s="5"/>
      <c r="E704" s="7"/>
      <c r="F704" s="7"/>
      <c r="G704" s="8"/>
      <c r="H704" s="7"/>
      <c r="I704" s="7"/>
      <c r="J704" s="7"/>
    </row>
    <row r="705" spans="1:10" x14ac:dyDescent="0.25">
      <c r="A705" s="5"/>
      <c r="B705" s="6"/>
      <c r="C705" s="5"/>
      <c r="D705" s="5"/>
      <c r="E705" s="7"/>
      <c r="F705" s="7"/>
      <c r="G705" s="8"/>
      <c r="H705" s="7"/>
      <c r="I705" s="7"/>
      <c r="J705" s="7"/>
    </row>
    <row r="706" spans="1:10" x14ac:dyDescent="0.25">
      <c r="A706" s="5"/>
      <c r="B706" s="6"/>
      <c r="C706" s="5"/>
      <c r="D706" s="5"/>
      <c r="E706" s="7"/>
      <c r="F706" s="7"/>
      <c r="G706" s="8"/>
      <c r="H706" s="7"/>
      <c r="I706" s="7"/>
      <c r="J706" s="7"/>
    </row>
    <row r="707" spans="1:10" x14ac:dyDescent="0.25">
      <c r="A707" s="5"/>
      <c r="B707" s="6"/>
      <c r="C707" s="5"/>
      <c r="D707" s="5"/>
      <c r="E707" s="7"/>
      <c r="F707" s="7"/>
      <c r="G707" s="8"/>
      <c r="H707" s="7"/>
      <c r="I707" s="7"/>
      <c r="J707" s="7"/>
    </row>
    <row r="708" spans="1:10" x14ac:dyDescent="0.25">
      <c r="A708" s="5"/>
      <c r="B708" s="6"/>
      <c r="C708" s="5"/>
      <c r="D708" s="5"/>
      <c r="E708" s="7"/>
      <c r="F708" s="7"/>
      <c r="G708" s="8"/>
      <c r="H708" s="7"/>
      <c r="I708" s="7"/>
      <c r="J708" s="7"/>
    </row>
    <row r="709" spans="1:10" x14ac:dyDescent="0.25">
      <c r="A709" s="5"/>
      <c r="B709" s="6"/>
      <c r="C709" s="5"/>
      <c r="D709" s="5"/>
      <c r="E709" s="7"/>
      <c r="F709" s="7"/>
      <c r="G709" s="8"/>
      <c r="H709" s="7"/>
      <c r="I709" s="7"/>
      <c r="J709" s="7"/>
    </row>
    <row r="710" spans="1:10" x14ac:dyDescent="0.25">
      <c r="A710" s="5"/>
      <c r="B710" s="6"/>
      <c r="C710" s="5"/>
      <c r="D710" s="5"/>
      <c r="E710" s="7"/>
      <c r="F710" s="7"/>
      <c r="G710" s="8"/>
      <c r="H710" s="7"/>
      <c r="I710" s="7"/>
      <c r="J710" s="7"/>
    </row>
    <row r="711" spans="1:10" x14ac:dyDescent="0.25">
      <c r="A711" s="5"/>
      <c r="B711" s="6"/>
      <c r="C711" s="5"/>
      <c r="D711" s="5"/>
      <c r="E711" s="7"/>
      <c r="F711" s="7"/>
      <c r="G711" s="8"/>
      <c r="H711" s="7"/>
      <c r="I711" s="7"/>
      <c r="J711" s="7"/>
    </row>
    <row r="712" spans="1:10" x14ac:dyDescent="0.25">
      <c r="A712" s="5"/>
      <c r="B712" s="6"/>
      <c r="C712" s="5"/>
      <c r="D712" s="5"/>
      <c r="E712" s="7"/>
      <c r="F712" s="7"/>
      <c r="G712" s="8"/>
      <c r="H712" s="7"/>
      <c r="I712" s="7"/>
      <c r="J712" s="7"/>
    </row>
    <row r="713" spans="1:10" x14ac:dyDescent="0.25">
      <c r="A713" s="5"/>
      <c r="B713" s="6"/>
      <c r="C713" s="5"/>
      <c r="D713" s="5"/>
      <c r="E713" s="7"/>
      <c r="F713" s="7"/>
      <c r="G713" s="8"/>
      <c r="H713" s="7"/>
      <c r="I713" s="7"/>
      <c r="J713" s="7"/>
    </row>
    <row r="714" spans="1:10" x14ac:dyDescent="0.25">
      <c r="A714" s="5"/>
      <c r="B714" s="6"/>
      <c r="C714" s="5"/>
      <c r="D714" s="5"/>
      <c r="E714" s="7"/>
      <c r="F714" s="7"/>
      <c r="G714" s="8"/>
      <c r="H714" s="7"/>
      <c r="I714" s="7"/>
      <c r="J714" s="7"/>
    </row>
    <row r="715" spans="1:10" x14ac:dyDescent="0.25">
      <c r="A715" s="5"/>
      <c r="B715" s="6"/>
      <c r="C715" s="5"/>
      <c r="D715" s="5"/>
      <c r="E715" s="7"/>
      <c r="F715" s="7"/>
      <c r="G715" s="8"/>
      <c r="H715" s="7"/>
      <c r="I715" s="7"/>
      <c r="J715" s="7"/>
    </row>
    <row r="716" spans="1:10" x14ac:dyDescent="0.25">
      <c r="A716" s="5"/>
      <c r="B716" s="6"/>
      <c r="C716" s="5"/>
      <c r="D716" s="5"/>
      <c r="E716" s="7"/>
      <c r="F716" s="7"/>
      <c r="G716" s="8"/>
      <c r="H716" s="7"/>
      <c r="I716" s="7"/>
      <c r="J716" s="7"/>
    </row>
    <row r="717" spans="1:10" x14ac:dyDescent="0.25">
      <c r="A717" s="5"/>
      <c r="B717" s="6"/>
      <c r="C717" s="5"/>
      <c r="D717" s="5"/>
      <c r="E717" s="7"/>
      <c r="F717" s="7"/>
      <c r="G717" s="8"/>
      <c r="H717" s="7"/>
      <c r="I717" s="7"/>
      <c r="J717" s="7"/>
    </row>
    <row r="718" spans="1:10" x14ac:dyDescent="0.25">
      <c r="A718" s="5"/>
      <c r="B718" s="6"/>
      <c r="C718" s="5"/>
      <c r="D718" s="5"/>
      <c r="E718" s="7"/>
      <c r="F718" s="7"/>
      <c r="G718" s="8"/>
      <c r="H718" s="7"/>
      <c r="I718" s="7"/>
      <c r="J718" s="7"/>
    </row>
    <row r="719" spans="1:10" x14ac:dyDescent="0.25">
      <c r="A719" s="5"/>
      <c r="B719" s="6"/>
      <c r="C719" s="5"/>
      <c r="D719" s="5"/>
      <c r="E719" s="7"/>
      <c r="F719" s="7"/>
      <c r="G719" s="8"/>
      <c r="H719" s="7"/>
      <c r="I719" s="7"/>
      <c r="J719" s="7"/>
    </row>
    <row r="720" spans="1:10" x14ac:dyDescent="0.25">
      <c r="A720" s="5"/>
      <c r="B720" s="6"/>
      <c r="C720" s="5"/>
      <c r="D720" s="5"/>
      <c r="E720" s="7"/>
      <c r="F720" s="7"/>
      <c r="G720" s="8"/>
      <c r="H720" s="7"/>
      <c r="I720" s="7"/>
      <c r="J720" s="7"/>
    </row>
    <row r="721" spans="1:10" x14ac:dyDescent="0.25">
      <c r="A721" s="5"/>
      <c r="B721" s="6"/>
      <c r="C721" s="5"/>
      <c r="D721" s="5"/>
      <c r="E721" s="7"/>
      <c r="F721" s="7"/>
      <c r="G721" s="8"/>
      <c r="H721" s="7"/>
      <c r="I721" s="7"/>
      <c r="J721" s="7"/>
    </row>
    <row r="722" spans="1:10" x14ac:dyDescent="0.25">
      <c r="A722" s="5"/>
      <c r="B722" s="6"/>
      <c r="C722" s="5"/>
      <c r="D722" s="5"/>
      <c r="E722" s="7"/>
      <c r="F722" s="7"/>
      <c r="G722" s="8"/>
      <c r="H722" s="7"/>
      <c r="I722" s="7"/>
      <c r="J722" s="7"/>
    </row>
    <row r="723" spans="1:10" x14ac:dyDescent="0.25">
      <c r="A723" s="5"/>
      <c r="B723" s="6"/>
      <c r="C723" s="5"/>
      <c r="D723" s="5"/>
      <c r="E723" s="7"/>
      <c r="F723" s="7"/>
      <c r="G723" s="8"/>
      <c r="H723" s="7"/>
      <c r="I723" s="7"/>
      <c r="J723" s="7"/>
    </row>
    <row r="724" spans="1:10" x14ac:dyDescent="0.25">
      <c r="A724" s="5"/>
      <c r="B724" s="6"/>
      <c r="C724" s="5"/>
      <c r="D724" s="5"/>
      <c r="E724" s="7"/>
      <c r="F724" s="7"/>
      <c r="G724" s="8"/>
      <c r="H724" s="7"/>
      <c r="I724" s="7"/>
      <c r="J724" s="7"/>
    </row>
    <row r="725" spans="1:10" x14ac:dyDescent="0.25">
      <c r="A725" s="5"/>
      <c r="B725" s="6"/>
      <c r="C725" s="5"/>
      <c r="D725" s="5"/>
      <c r="E725" s="7"/>
      <c r="F725" s="7"/>
      <c r="G725" s="8"/>
      <c r="H725" s="7"/>
      <c r="I725" s="7"/>
      <c r="J725" s="7"/>
    </row>
    <row r="726" spans="1:10" x14ac:dyDescent="0.25">
      <c r="A726" s="5"/>
      <c r="B726" s="6"/>
      <c r="C726" s="5"/>
      <c r="D726" s="5"/>
      <c r="E726" s="7"/>
      <c r="F726" s="7"/>
      <c r="G726" s="8"/>
      <c r="H726" s="7"/>
      <c r="I726" s="7"/>
      <c r="J726" s="7"/>
    </row>
    <row r="727" spans="1:10" x14ac:dyDescent="0.25">
      <c r="A727" s="5"/>
      <c r="B727" s="6"/>
      <c r="C727" s="5"/>
      <c r="D727" s="5"/>
      <c r="E727" s="7"/>
      <c r="F727" s="7"/>
      <c r="G727" s="8"/>
      <c r="H727" s="7"/>
      <c r="I727" s="7"/>
      <c r="J727" s="7"/>
    </row>
    <row r="728" spans="1:10" x14ac:dyDescent="0.25">
      <c r="A728" s="5"/>
      <c r="B728" s="6"/>
      <c r="C728" s="5"/>
      <c r="D728" s="5"/>
      <c r="E728" s="7"/>
      <c r="F728" s="7"/>
      <c r="G728" s="8"/>
      <c r="H728" s="7"/>
      <c r="I728" s="7"/>
      <c r="J728" s="7"/>
    </row>
    <row r="729" spans="1:10" x14ac:dyDescent="0.25">
      <c r="A729" s="5"/>
      <c r="B729" s="6"/>
      <c r="C729" s="5"/>
      <c r="D729" s="5"/>
      <c r="E729" s="7"/>
      <c r="F729" s="7"/>
      <c r="G729" s="8"/>
      <c r="H729" s="7"/>
      <c r="I729" s="7"/>
      <c r="J729" s="7"/>
    </row>
    <row r="730" spans="1:10" x14ac:dyDescent="0.25">
      <c r="A730" s="5"/>
      <c r="B730" s="6"/>
      <c r="C730" s="5"/>
      <c r="D730" s="5"/>
      <c r="E730" s="7"/>
      <c r="F730" s="7"/>
      <c r="G730" s="8"/>
      <c r="H730" s="7"/>
      <c r="I730" s="7"/>
      <c r="J730" s="7"/>
    </row>
    <row r="731" spans="1:10" x14ac:dyDescent="0.25">
      <c r="A731" s="5"/>
      <c r="B731" s="6"/>
      <c r="C731" s="5"/>
      <c r="D731" s="5"/>
      <c r="E731" s="7"/>
      <c r="F731" s="7"/>
      <c r="G731" s="8"/>
      <c r="H731" s="7"/>
      <c r="I731" s="7"/>
      <c r="J731" s="7"/>
    </row>
    <row r="732" spans="1:10" x14ac:dyDescent="0.25">
      <c r="A732" s="5"/>
      <c r="B732" s="6"/>
      <c r="C732" s="5"/>
      <c r="D732" s="5"/>
      <c r="E732" s="7"/>
      <c r="F732" s="7"/>
      <c r="G732" s="8"/>
      <c r="H732" s="7"/>
      <c r="I732" s="7"/>
      <c r="J732" s="7"/>
    </row>
    <row r="733" spans="1:10" x14ac:dyDescent="0.25">
      <c r="A733" s="5"/>
      <c r="B733" s="6"/>
      <c r="C733" s="5"/>
      <c r="D733" s="5"/>
      <c r="E733" s="7"/>
      <c r="F733" s="7"/>
      <c r="G733" s="8"/>
      <c r="H733" s="7"/>
      <c r="I733" s="7"/>
      <c r="J733" s="7"/>
    </row>
    <row r="734" spans="1:10" x14ac:dyDescent="0.25">
      <c r="A734" s="5"/>
      <c r="B734" s="6"/>
      <c r="C734" s="5"/>
      <c r="D734" s="5"/>
      <c r="E734" s="7"/>
      <c r="F734" s="7"/>
      <c r="G734" s="8"/>
      <c r="H734" s="7"/>
      <c r="I734" s="7"/>
      <c r="J734" s="7"/>
    </row>
    <row r="735" spans="1:10" x14ac:dyDescent="0.25">
      <c r="A735" s="5"/>
      <c r="B735" s="6"/>
      <c r="C735" s="5"/>
      <c r="D735" s="5"/>
      <c r="E735" s="7"/>
      <c r="F735" s="7"/>
      <c r="G735" s="8"/>
      <c r="H735" s="7"/>
      <c r="I735" s="7"/>
      <c r="J735" s="7"/>
    </row>
    <row r="736" spans="1:10" x14ac:dyDescent="0.25">
      <c r="A736" s="5"/>
      <c r="B736" s="6"/>
      <c r="C736" s="5"/>
      <c r="D736" s="5"/>
      <c r="E736" s="7"/>
      <c r="F736" s="7"/>
      <c r="G736" s="8"/>
      <c r="H736" s="7"/>
      <c r="I736" s="7"/>
      <c r="J736" s="7"/>
    </row>
    <row r="737" spans="1:10" x14ac:dyDescent="0.25">
      <c r="A737" s="5"/>
      <c r="B737" s="6"/>
      <c r="C737" s="5"/>
      <c r="D737" s="5"/>
      <c r="E737" s="7"/>
      <c r="F737" s="7"/>
      <c r="G737" s="8"/>
      <c r="H737" s="7"/>
      <c r="I737" s="7"/>
      <c r="J737" s="7"/>
    </row>
    <row r="738" spans="1:10" x14ac:dyDescent="0.25">
      <c r="A738" s="5"/>
      <c r="B738" s="6"/>
      <c r="C738" s="5"/>
      <c r="D738" s="5"/>
      <c r="E738" s="7"/>
      <c r="F738" s="7"/>
      <c r="G738" s="8"/>
      <c r="H738" s="7"/>
      <c r="I738" s="7"/>
      <c r="J738" s="7"/>
    </row>
    <row r="739" spans="1:10" x14ac:dyDescent="0.25">
      <c r="A739" s="5"/>
      <c r="B739" s="6"/>
      <c r="C739" s="5"/>
      <c r="D739" s="5"/>
      <c r="E739" s="7"/>
      <c r="F739" s="7"/>
      <c r="G739" s="8"/>
      <c r="H739" s="7"/>
      <c r="I739" s="7"/>
      <c r="J739" s="7"/>
    </row>
    <row r="740" spans="1:10" x14ac:dyDescent="0.25">
      <c r="A740" s="5"/>
      <c r="B740" s="6"/>
      <c r="C740" s="5"/>
      <c r="D740" s="5"/>
      <c r="E740" s="7"/>
      <c r="F740" s="7"/>
      <c r="G740" s="8"/>
      <c r="H740" s="7"/>
      <c r="I740" s="7"/>
      <c r="J740" s="7"/>
    </row>
    <row r="741" spans="1:10" x14ac:dyDescent="0.25">
      <c r="A741" s="5"/>
      <c r="B741" s="6"/>
      <c r="C741" s="5"/>
      <c r="D741" s="5"/>
      <c r="E741" s="7"/>
      <c r="F741" s="7"/>
      <c r="G741" s="8"/>
      <c r="H741" s="7"/>
      <c r="I741" s="7"/>
      <c r="J741" s="7"/>
    </row>
    <row r="742" spans="1:10" x14ac:dyDescent="0.25">
      <c r="A742" s="5"/>
      <c r="B742" s="6"/>
      <c r="C742" s="5"/>
      <c r="D742" s="5"/>
      <c r="E742" s="7"/>
      <c r="F742" s="7"/>
      <c r="G742" s="8"/>
      <c r="H742" s="7"/>
      <c r="I742" s="7"/>
      <c r="J742" s="7"/>
    </row>
    <row r="743" spans="1:10" x14ac:dyDescent="0.25">
      <c r="A743" s="5"/>
      <c r="B743" s="6"/>
      <c r="C743" s="5"/>
      <c r="D743" s="5"/>
      <c r="E743" s="7"/>
      <c r="F743" s="7"/>
      <c r="G743" s="8"/>
      <c r="H743" s="7"/>
      <c r="I743" s="7"/>
      <c r="J743" s="7"/>
    </row>
    <row r="744" spans="1:10" x14ac:dyDescent="0.25">
      <c r="A744" s="5"/>
      <c r="B744" s="6"/>
      <c r="C744" s="5"/>
      <c r="D744" s="5"/>
      <c r="E744" s="7"/>
      <c r="F744" s="7"/>
      <c r="G744" s="8"/>
      <c r="H744" s="7"/>
      <c r="I744" s="7"/>
      <c r="J744" s="7"/>
    </row>
    <row r="745" spans="1:10" x14ac:dyDescent="0.25">
      <c r="A745" s="5"/>
      <c r="B745" s="6"/>
      <c r="C745" s="5"/>
      <c r="D745" s="5"/>
      <c r="E745" s="7"/>
      <c r="F745" s="7"/>
      <c r="G745" s="8"/>
      <c r="H745" s="7"/>
      <c r="I745" s="7"/>
      <c r="J745" s="7"/>
    </row>
    <row r="746" spans="1:10" x14ac:dyDescent="0.25">
      <c r="A746" s="5"/>
      <c r="B746" s="6"/>
      <c r="C746" s="5"/>
      <c r="D746" s="5"/>
      <c r="E746" s="7"/>
      <c r="F746" s="7"/>
      <c r="G746" s="8"/>
      <c r="H746" s="7"/>
      <c r="I746" s="7"/>
      <c r="J746" s="7"/>
    </row>
    <row r="747" spans="1:10" x14ac:dyDescent="0.25">
      <c r="A747" s="5"/>
      <c r="B747" s="6"/>
      <c r="C747" s="5"/>
      <c r="D747" s="5"/>
      <c r="E747" s="7"/>
      <c r="F747" s="7"/>
      <c r="G747" s="8"/>
      <c r="H747" s="7"/>
      <c r="I747" s="7"/>
      <c r="J747" s="7"/>
    </row>
    <row r="748" spans="1:10" x14ac:dyDescent="0.25">
      <c r="A748" s="5"/>
      <c r="B748" s="6"/>
      <c r="C748" s="5"/>
      <c r="D748" s="5"/>
      <c r="E748" s="7"/>
      <c r="F748" s="7"/>
      <c r="G748" s="8"/>
      <c r="H748" s="7"/>
      <c r="I748" s="7"/>
      <c r="J748" s="7"/>
    </row>
    <row r="749" spans="1:10" x14ac:dyDescent="0.25">
      <c r="A749" s="5"/>
      <c r="B749" s="6"/>
      <c r="C749" s="5"/>
      <c r="D749" s="5"/>
      <c r="E749" s="7"/>
      <c r="F749" s="7"/>
      <c r="G749" s="8"/>
      <c r="H749" s="7"/>
      <c r="I749" s="7"/>
      <c r="J749" s="7"/>
    </row>
    <row r="750" spans="1:10" x14ac:dyDescent="0.25">
      <c r="A750" s="5"/>
      <c r="B750" s="6"/>
      <c r="C750" s="5"/>
      <c r="D750" s="5"/>
      <c r="E750" s="7"/>
      <c r="F750" s="7"/>
      <c r="G750" s="8"/>
      <c r="H750" s="7"/>
      <c r="I750" s="7"/>
      <c r="J750" s="7"/>
    </row>
    <row r="751" spans="1:10" x14ac:dyDescent="0.25">
      <c r="A751" s="5"/>
      <c r="B751" s="6"/>
      <c r="C751" s="5"/>
      <c r="D751" s="5"/>
      <c r="E751" s="7"/>
      <c r="F751" s="7"/>
      <c r="G751" s="8"/>
      <c r="H751" s="7"/>
      <c r="I751" s="7"/>
      <c r="J751" s="7"/>
    </row>
    <row r="752" spans="1:10" x14ac:dyDescent="0.25">
      <c r="A752" s="5"/>
      <c r="B752" s="6"/>
      <c r="C752" s="5"/>
      <c r="D752" s="5"/>
      <c r="E752" s="7"/>
      <c r="F752" s="7"/>
      <c r="G752" s="8"/>
      <c r="H752" s="7"/>
      <c r="I752" s="7"/>
      <c r="J752" s="7"/>
    </row>
    <row r="753" spans="1:10" x14ac:dyDescent="0.25">
      <c r="A753" s="5"/>
      <c r="B753" s="6"/>
      <c r="C753" s="5"/>
      <c r="D753" s="5"/>
      <c r="E753" s="7"/>
      <c r="F753" s="7"/>
      <c r="G753" s="8"/>
      <c r="H753" s="7"/>
      <c r="I753" s="7"/>
      <c r="J753" s="7"/>
    </row>
    <row r="754" spans="1:10" x14ac:dyDescent="0.25">
      <c r="A754" s="5"/>
      <c r="B754" s="6"/>
      <c r="C754" s="5"/>
      <c r="D754" s="5"/>
      <c r="E754" s="7"/>
      <c r="F754" s="7"/>
      <c r="G754" s="8"/>
      <c r="H754" s="7"/>
      <c r="I754" s="7"/>
      <c r="J754" s="7"/>
    </row>
    <row r="755" spans="1:10" x14ac:dyDescent="0.25">
      <c r="A755" s="5"/>
      <c r="B755" s="6"/>
      <c r="C755" s="5"/>
      <c r="D755" s="5"/>
      <c r="E755" s="7"/>
      <c r="F755" s="7"/>
      <c r="G755" s="8"/>
      <c r="H755" s="7"/>
      <c r="I755" s="7"/>
      <c r="J755" s="7"/>
    </row>
    <row r="756" spans="1:10" x14ac:dyDescent="0.25">
      <c r="A756" s="5"/>
      <c r="B756" s="6"/>
      <c r="C756" s="5"/>
      <c r="D756" s="5"/>
      <c r="E756" s="7"/>
      <c r="F756" s="7"/>
      <c r="G756" s="8"/>
      <c r="H756" s="7"/>
      <c r="I756" s="7"/>
      <c r="J756" s="7"/>
    </row>
    <row r="757" spans="1:10" x14ac:dyDescent="0.25">
      <c r="A757" s="5"/>
      <c r="B757" s="6"/>
      <c r="C757" s="5"/>
      <c r="D757" s="5"/>
      <c r="E757" s="7"/>
      <c r="F757" s="7"/>
      <c r="G757" s="8"/>
      <c r="H757" s="7"/>
      <c r="I757" s="7"/>
      <c r="J757" s="7"/>
    </row>
    <row r="758" spans="1:10" x14ac:dyDescent="0.25">
      <c r="A758" s="5"/>
      <c r="B758" s="6"/>
      <c r="C758" s="5"/>
      <c r="D758" s="5"/>
      <c r="E758" s="7"/>
      <c r="F758" s="7"/>
      <c r="G758" s="8"/>
      <c r="H758" s="7"/>
      <c r="I758" s="7"/>
      <c r="J758" s="7"/>
    </row>
    <row r="759" spans="1:10" x14ac:dyDescent="0.25">
      <c r="A759" s="5"/>
      <c r="B759" s="6"/>
      <c r="C759" s="5"/>
      <c r="D759" s="5"/>
      <c r="E759" s="7"/>
      <c r="F759" s="7"/>
      <c r="G759" s="8"/>
      <c r="H759" s="7"/>
      <c r="I759" s="7"/>
      <c r="J759" s="7"/>
    </row>
    <row r="760" spans="1:10" x14ac:dyDescent="0.25">
      <c r="A760" s="5"/>
      <c r="B760" s="6"/>
      <c r="C760" s="5"/>
      <c r="D760" s="5"/>
      <c r="E760" s="7"/>
      <c r="F760" s="7"/>
      <c r="G760" s="8"/>
      <c r="H760" s="7"/>
      <c r="I760" s="7"/>
      <c r="J760" s="7"/>
    </row>
    <row r="761" spans="1:10" x14ac:dyDescent="0.25">
      <c r="A761" s="5"/>
      <c r="B761" s="6"/>
      <c r="C761" s="5"/>
      <c r="D761" s="5"/>
      <c r="E761" s="7"/>
      <c r="F761" s="7"/>
      <c r="G761" s="8"/>
      <c r="H761" s="7"/>
      <c r="I761" s="7"/>
      <c r="J761" s="7"/>
    </row>
    <row r="762" spans="1:10" x14ac:dyDescent="0.25">
      <c r="A762" s="5"/>
      <c r="B762" s="6"/>
      <c r="C762" s="5"/>
      <c r="D762" s="5"/>
      <c r="E762" s="7"/>
      <c r="F762" s="7"/>
      <c r="G762" s="8"/>
      <c r="H762" s="7"/>
      <c r="I762" s="7"/>
      <c r="J762" s="7"/>
    </row>
    <row r="763" spans="1:10" x14ac:dyDescent="0.25">
      <c r="A763" s="5"/>
      <c r="B763" s="6"/>
      <c r="C763" s="5"/>
      <c r="D763" s="5"/>
      <c r="E763" s="7"/>
      <c r="F763" s="7"/>
      <c r="G763" s="8"/>
      <c r="H763" s="7"/>
      <c r="I763" s="7"/>
      <c r="J763" s="7"/>
    </row>
    <row r="764" spans="1:10" x14ac:dyDescent="0.25">
      <c r="A764" s="5"/>
      <c r="B764" s="6"/>
      <c r="C764" s="5"/>
      <c r="D764" s="5"/>
      <c r="E764" s="7"/>
      <c r="F764" s="7"/>
      <c r="G764" s="8"/>
      <c r="H764" s="7"/>
      <c r="I764" s="7"/>
      <c r="J764" s="7"/>
    </row>
    <row r="765" spans="1:10" x14ac:dyDescent="0.25">
      <c r="A765" s="5"/>
      <c r="B765" s="6"/>
      <c r="C765" s="5"/>
      <c r="D765" s="5"/>
      <c r="E765" s="7"/>
      <c r="F765" s="7"/>
      <c r="G765" s="8"/>
      <c r="H765" s="7"/>
      <c r="I765" s="7"/>
      <c r="J765" s="7"/>
    </row>
    <row r="766" spans="1:10" x14ac:dyDescent="0.25">
      <c r="A766" s="5"/>
      <c r="B766" s="6"/>
      <c r="C766" s="5"/>
      <c r="D766" s="5"/>
      <c r="E766" s="7"/>
      <c r="F766" s="7"/>
      <c r="G766" s="8"/>
      <c r="H766" s="7"/>
      <c r="I766" s="7"/>
      <c r="J766" s="7"/>
    </row>
    <row r="767" spans="1:10" x14ac:dyDescent="0.25">
      <c r="A767" s="5"/>
      <c r="B767" s="6"/>
      <c r="C767" s="5"/>
      <c r="D767" s="5"/>
      <c r="E767" s="7"/>
      <c r="F767" s="7"/>
      <c r="G767" s="8"/>
      <c r="H767" s="7"/>
      <c r="I767" s="7"/>
      <c r="J767" s="7"/>
    </row>
    <row r="768" spans="1:10" x14ac:dyDescent="0.25">
      <c r="A768" s="5"/>
      <c r="B768" s="6"/>
      <c r="C768" s="5"/>
      <c r="D768" s="5"/>
      <c r="E768" s="7"/>
      <c r="F768" s="7"/>
      <c r="G768" s="8"/>
      <c r="H768" s="7"/>
      <c r="I768" s="7"/>
      <c r="J768" s="7"/>
    </row>
    <row r="769" spans="1:10" x14ac:dyDescent="0.25">
      <c r="A769" s="5"/>
      <c r="B769" s="6"/>
      <c r="C769" s="5"/>
      <c r="D769" s="5"/>
      <c r="E769" s="7"/>
      <c r="F769" s="7"/>
      <c r="G769" s="8"/>
      <c r="H769" s="7"/>
      <c r="I769" s="7"/>
      <c r="J769" s="7"/>
    </row>
    <row r="770" spans="1:10" x14ac:dyDescent="0.25">
      <c r="A770" s="5"/>
      <c r="B770" s="6"/>
      <c r="C770" s="5"/>
      <c r="D770" s="5"/>
      <c r="E770" s="7"/>
      <c r="F770" s="7"/>
      <c r="G770" s="8"/>
      <c r="H770" s="7"/>
      <c r="I770" s="7"/>
      <c r="J770" s="7"/>
    </row>
    <row r="771" spans="1:10" x14ac:dyDescent="0.25">
      <c r="A771" s="5"/>
      <c r="B771" s="6"/>
      <c r="C771" s="5"/>
      <c r="D771" s="5"/>
      <c r="E771" s="7"/>
      <c r="F771" s="7"/>
      <c r="G771" s="8"/>
      <c r="H771" s="7"/>
      <c r="I771" s="7"/>
      <c r="J771" s="7"/>
    </row>
    <row r="772" spans="1:10" x14ac:dyDescent="0.25">
      <c r="A772" s="5"/>
      <c r="B772" s="6"/>
      <c r="C772" s="5"/>
      <c r="D772" s="5"/>
      <c r="E772" s="7"/>
      <c r="F772" s="7"/>
      <c r="G772" s="8"/>
      <c r="H772" s="7"/>
      <c r="I772" s="7"/>
      <c r="J772" s="7"/>
    </row>
    <row r="773" spans="1:10" x14ac:dyDescent="0.25">
      <c r="A773" s="5"/>
      <c r="B773" s="6"/>
      <c r="C773" s="5"/>
      <c r="D773" s="5"/>
      <c r="E773" s="7"/>
      <c r="F773" s="7"/>
      <c r="G773" s="8"/>
      <c r="H773" s="7"/>
      <c r="I773" s="7"/>
      <c r="J773" s="7"/>
    </row>
    <row r="774" spans="1:10" x14ac:dyDescent="0.25">
      <c r="A774" s="5"/>
      <c r="B774" s="6"/>
      <c r="C774" s="5"/>
      <c r="D774" s="5"/>
      <c r="E774" s="7"/>
      <c r="F774" s="7"/>
      <c r="G774" s="8"/>
      <c r="H774" s="7"/>
      <c r="I774" s="7"/>
      <c r="J774" s="7"/>
    </row>
    <row r="775" spans="1:10" x14ac:dyDescent="0.25">
      <c r="A775" s="5"/>
      <c r="B775" s="6"/>
      <c r="C775" s="5"/>
      <c r="D775" s="5"/>
      <c r="E775" s="7"/>
      <c r="F775" s="7"/>
      <c r="G775" s="8"/>
      <c r="H775" s="7"/>
      <c r="I775" s="7"/>
      <c r="J775" s="7"/>
    </row>
    <row r="776" spans="1:10" x14ac:dyDescent="0.25">
      <c r="A776" s="5"/>
      <c r="B776" s="6"/>
      <c r="C776" s="5"/>
      <c r="D776" s="5"/>
      <c r="E776" s="7"/>
      <c r="F776" s="7"/>
      <c r="G776" s="8"/>
      <c r="H776" s="7"/>
      <c r="I776" s="7"/>
      <c r="J776" s="7"/>
    </row>
    <row r="777" spans="1:10" x14ac:dyDescent="0.25">
      <c r="A777" s="5"/>
      <c r="B777" s="6"/>
      <c r="C777" s="5"/>
      <c r="D777" s="5"/>
      <c r="E777" s="7"/>
      <c r="F777" s="7"/>
      <c r="G777" s="8"/>
      <c r="H777" s="7"/>
      <c r="I777" s="7"/>
      <c r="J777" s="7"/>
    </row>
    <row r="778" spans="1:10" x14ac:dyDescent="0.25">
      <c r="A778" s="5"/>
      <c r="B778" s="6"/>
      <c r="C778" s="5"/>
      <c r="D778" s="5"/>
      <c r="E778" s="7"/>
      <c r="F778" s="7"/>
      <c r="G778" s="8"/>
      <c r="H778" s="7"/>
      <c r="I778" s="7"/>
      <c r="J778" s="7"/>
    </row>
    <row r="779" spans="1:10" x14ac:dyDescent="0.25">
      <c r="A779" s="5"/>
      <c r="B779" s="6"/>
      <c r="C779" s="5"/>
      <c r="D779" s="5"/>
      <c r="E779" s="7"/>
      <c r="F779" s="7"/>
      <c r="G779" s="8"/>
      <c r="H779" s="7"/>
      <c r="I779" s="7"/>
      <c r="J779" s="7"/>
    </row>
    <row r="780" spans="1:10" x14ac:dyDescent="0.25">
      <c r="A780" s="5"/>
      <c r="B780" s="6"/>
      <c r="C780" s="5"/>
      <c r="D780" s="5"/>
      <c r="E780" s="7"/>
      <c r="F780" s="7"/>
      <c r="G780" s="8"/>
      <c r="H780" s="7"/>
      <c r="I780" s="7"/>
      <c r="J780" s="7"/>
    </row>
    <row r="781" spans="1:10" x14ac:dyDescent="0.25">
      <c r="A781" s="5"/>
      <c r="B781" s="6"/>
      <c r="C781" s="5"/>
      <c r="D781" s="5"/>
      <c r="E781" s="7"/>
      <c r="F781" s="7"/>
      <c r="G781" s="8"/>
      <c r="H781" s="7"/>
      <c r="I781" s="7"/>
      <c r="J781" s="7"/>
    </row>
    <row r="782" spans="1:10" x14ac:dyDescent="0.25">
      <c r="A782" s="5"/>
      <c r="B782" s="6"/>
      <c r="C782" s="5"/>
      <c r="D782" s="5"/>
      <c r="E782" s="7"/>
      <c r="F782" s="7"/>
      <c r="G782" s="8"/>
      <c r="H782" s="7"/>
      <c r="I782" s="7"/>
      <c r="J782" s="7"/>
    </row>
    <row r="783" spans="1:10" x14ac:dyDescent="0.25">
      <c r="A783" s="5"/>
      <c r="B783" s="6"/>
      <c r="C783" s="5"/>
      <c r="D783" s="5"/>
      <c r="E783" s="7"/>
      <c r="F783" s="7"/>
      <c r="G783" s="8"/>
      <c r="H783" s="7"/>
      <c r="I783" s="7"/>
      <c r="J783" s="7"/>
    </row>
    <row r="784" spans="1:10" x14ac:dyDescent="0.25">
      <c r="A784" s="5"/>
      <c r="B784" s="6"/>
      <c r="C784" s="5"/>
      <c r="D784" s="5"/>
      <c r="E784" s="7"/>
      <c r="F784" s="7"/>
      <c r="G784" s="8"/>
      <c r="H784" s="7"/>
      <c r="I784" s="7"/>
      <c r="J784" s="7"/>
    </row>
    <row r="785" spans="1:10" x14ac:dyDescent="0.25">
      <c r="A785" s="5"/>
      <c r="B785" s="6"/>
      <c r="C785" s="5"/>
      <c r="D785" s="5"/>
      <c r="E785" s="7"/>
      <c r="F785" s="7"/>
      <c r="G785" s="8"/>
      <c r="H785" s="7"/>
      <c r="I785" s="7"/>
      <c r="J785" s="7"/>
    </row>
    <row r="786" spans="1:10" x14ac:dyDescent="0.25">
      <c r="A786" s="5"/>
      <c r="B786" s="6"/>
      <c r="C786" s="5"/>
      <c r="D786" s="5"/>
      <c r="E786" s="7"/>
      <c r="F786" s="7"/>
      <c r="G786" s="8"/>
      <c r="H786" s="7"/>
      <c r="I786" s="7"/>
      <c r="J786" s="7"/>
    </row>
    <row r="787" spans="1:10" x14ac:dyDescent="0.25">
      <c r="A787" s="5"/>
      <c r="B787" s="6"/>
      <c r="C787" s="5"/>
      <c r="D787" s="5"/>
      <c r="E787" s="7"/>
      <c r="F787" s="7"/>
      <c r="G787" s="8"/>
      <c r="H787" s="7"/>
      <c r="I787" s="7"/>
      <c r="J787" s="7"/>
    </row>
    <row r="788" spans="1:10" x14ac:dyDescent="0.25">
      <c r="A788" s="5"/>
      <c r="B788" s="6"/>
      <c r="C788" s="5"/>
      <c r="D788" s="5"/>
      <c r="E788" s="7"/>
      <c r="F788" s="7"/>
      <c r="G788" s="8"/>
      <c r="H788" s="7"/>
      <c r="I788" s="7"/>
      <c r="J788" s="7"/>
    </row>
    <row r="789" spans="1:10" x14ac:dyDescent="0.25">
      <c r="A789" s="5"/>
      <c r="B789" s="6"/>
      <c r="C789" s="5"/>
      <c r="D789" s="5"/>
      <c r="E789" s="7"/>
      <c r="F789" s="7"/>
      <c r="G789" s="8"/>
      <c r="H789" s="7"/>
      <c r="I789" s="7"/>
      <c r="J789" s="7"/>
    </row>
    <row r="790" spans="1:10" x14ac:dyDescent="0.25">
      <c r="A790" s="5"/>
      <c r="B790" s="6"/>
      <c r="C790" s="5"/>
      <c r="D790" s="5"/>
      <c r="E790" s="7"/>
      <c r="F790" s="7"/>
      <c r="G790" s="8"/>
      <c r="H790" s="7"/>
      <c r="I790" s="7"/>
      <c r="J790" s="7"/>
    </row>
    <row r="791" spans="1:10" x14ac:dyDescent="0.25">
      <c r="A791" s="5"/>
      <c r="B791" s="6"/>
      <c r="C791" s="5"/>
      <c r="D791" s="5"/>
      <c r="E791" s="7"/>
      <c r="F791" s="7"/>
      <c r="G791" s="8"/>
      <c r="H791" s="7"/>
      <c r="I791" s="7"/>
      <c r="J791" s="7"/>
    </row>
    <row r="792" spans="1:10" x14ac:dyDescent="0.25">
      <c r="A792" s="5"/>
      <c r="B792" s="6"/>
      <c r="C792" s="5"/>
      <c r="D792" s="5"/>
      <c r="E792" s="7"/>
      <c r="F792" s="7"/>
      <c r="G792" s="8"/>
      <c r="H792" s="7"/>
      <c r="I792" s="7"/>
      <c r="J792" s="7"/>
    </row>
    <row r="793" spans="1:10" x14ac:dyDescent="0.25">
      <c r="A793" s="5"/>
      <c r="B793" s="6"/>
      <c r="C793" s="5"/>
      <c r="D793" s="5"/>
      <c r="E793" s="7"/>
      <c r="F793" s="7"/>
      <c r="G793" s="8"/>
      <c r="H793" s="7"/>
      <c r="I793" s="7"/>
      <c r="J793" s="7"/>
    </row>
    <row r="794" spans="1:10" x14ac:dyDescent="0.25">
      <c r="A794" s="5"/>
      <c r="B794" s="6"/>
      <c r="C794" s="5"/>
      <c r="D794" s="5"/>
      <c r="E794" s="7"/>
      <c r="F794" s="7"/>
      <c r="G794" s="8"/>
      <c r="H794" s="7"/>
      <c r="I794" s="7"/>
      <c r="J794" s="7"/>
    </row>
    <row r="795" spans="1:10" x14ac:dyDescent="0.25">
      <c r="A795" s="5"/>
      <c r="B795" s="6"/>
      <c r="C795" s="5"/>
      <c r="D795" s="5"/>
      <c r="E795" s="7"/>
      <c r="F795" s="7"/>
      <c r="G795" s="8"/>
      <c r="H795" s="7"/>
      <c r="I795" s="7"/>
      <c r="J795" s="7"/>
    </row>
    <row r="796" spans="1:10" x14ac:dyDescent="0.25">
      <c r="A796" s="5"/>
      <c r="B796" s="6"/>
      <c r="C796" s="5"/>
      <c r="D796" s="5"/>
      <c r="E796" s="7"/>
      <c r="F796" s="7"/>
      <c r="G796" s="8"/>
      <c r="H796" s="7"/>
      <c r="I796" s="7"/>
      <c r="J796" s="7"/>
    </row>
    <row r="797" spans="1:10" x14ac:dyDescent="0.25">
      <c r="A797" s="5"/>
      <c r="B797" s="6"/>
      <c r="C797" s="5"/>
      <c r="D797" s="5"/>
      <c r="E797" s="7"/>
      <c r="F797" s="7"/>
      <c r="G797" s="8"/>
      <c r="H797" s="7"/>
      <c r="I797" s="7"/>
      <c r="J797" s="7"/>
    </row>
    <row r="798" spans="1:10" x14ac:dyDescent="0.25">
      <c r="A798" s="5"/>
      <c r="B798" s="6"/>
      <c r="C798" s="5"/>
      <c r="D798" s="5"/>
      <c r="E798" s="7"/>
      <c r="F798" s="7"/>
      <c r="G798" s="8"/>
      <c r="H798" s="7"/>
      <c r="I798" s="7"/>
      <c r="J798" s="7"/>
    </row>
    <row r="799" spans="1:10" x14ac:dyDescent="0.25">
      <c r="A799" s="5"/>
      <c r="B799" s="6"/>
      <c r="C799" s="5"/>
      <c r="D799" s="5"/>
      <c r="E799" s="7"/>
      <c r="F799" s="7"/>
      <c r="G799" s="8"/>
      <c r="H799" s="7"/>
      <c r="I799" s="7"/>
      <c r="J799" s="7"/>
    </row>
    <row r="800" spans="1:10" x14ac:dyDescent="0.25">
      <c r="A800" s="5"/>
      <c r="B800" s="6"/>
      <c r="C800" s="5"/>
      <c r="D800" s="5"/>
      <c r="E800" s="7"/>
      <c r="F800" s="7"/>
      <c r="G800" s="8"/>
      <c r="H800" s="7"/>
      <c r="I800" s="7"/>
      <c r="J800" s="7"/>
    </row>
    <row r="801" spans="1:10" x14ac:dyDescent="0.25">
      <c r="A801" s="5"/>
      <c r="B801" s="6"/>
      <c r="C801" s="5"/>
      <c r="D801" s="5"/>
      <c r="E801" s="7"/>
      <c r="F801" s="7"/>
      <c r="G801" s="8"/>
      <c r="H801" s="7"/>
      <c r="I801" s="7"/>
      <c r="J801" s="7"/>
    </row>
    <row r="802" spans="1:10" x14ac:dyDescent="0.25">
      <c r="A802" s="5"/>
      <c r="B802" s="6"/>
      <c r="C802" s="5"/>
      <c r="D802" s="5"/>
      <c r="E802" s="7"/>
      <c r="F802" s="7"/>
      <c r="G802" s="8"/>
      <c r="H802" s="7"/>
      <c r="I802" s="7"/>
      <c r="J802" s="7"/>
    </row>
    <row r="803" spans="1:10" x14ac:dyDescent="0.25">
      <c r="A803" s="5"/>
      <c r="B803" s="6"/>
      <c r="C803" s="5"/>
      <c r="D803" s="5"/>
      <c r="E803" s="7"/>
      <c r="F803" s="7"/>
      <c r="G803" s="8"/>
      <c r="H803" s="7"/>
      <c r="I803" s="7"/>
      <c r="J803" s="7"/>
    </row>
    <row r="804" spans="1:10" x14ac:dyDescent="0.25">
      <c r="A804" s="5"/>
      <c r="B804" s="6"/>
      <c r="C804" s="5"/>
      <c r="D804" s="5"/>
      <c r="E804" s="7"/>
      <c r="F804" s="7"/>
      <c r="G804" s="8"/>
      <c r="H804" s="7"/>
      <c r="I804" s="7"/>
      <c r="J804" s="7"/>
    </row>
    <row r="805" spans="1:10" x14ac:dyDescent="0.25">
      <c r="A805" s="5"/>
      <c r="B805" s="6"/>
      <c r="C805" s="5"/>
      <c r="D805" s="5"/>
      <c r="E805" s="7"/>
      <c r="F805" s="7"/>
      <c r="G805" s="8"/>
      <c r="H805" s="7"/>
      <c r="I805" s="7"/>
      <c r="J805" s="7"/>
    </row>
    <row r="806" spans="1:10" x14ac:dyDescent="0.25">
      <c r="A806" s="5"/>
      <c r="B806" s="6"/>
      <c r="C806" s="5"/>
      <c r="D806" s="5"/>
      <c r="E806" s="7"/>
      <c r="F806" s="7"/>
      <c r="G806" s="8"/>
      <c r="H806" s="7"/>
      <c r="I806" s="7"/>
      <c r="J806" s="7"/>
    </row>
    <row r="807" spans="1:10" x14ac:dyDescent="0.25">
      <c r="A807" s="5"/>
      <c r="B807" s="6"/>
      <c r="C807" s="5"/>
      <c r="D807" s="5"/>
      <c r="E807" s="7"/>
      <c r="F807" s="7"/>
      <c r="G807" s="8"/>
      <c r="H807" s="7"/>
      <c r="I807" s="7"/>
      <c r="J807" s="7"/>
    </row>
    <row r="808" spans="1:10" x14ac:dyDescent="0.25">
      <c r="A808" s="5"/>
      <c r="B808" s="6"/>
      <c r="C808" s="5"/>
      <c r="D808" s="5"/>
      <c r="E808" s="7"/>
      <c r="F808" s="7"/>
      <c r="G808" s="8"/>
      <c r="H808" s="7"/>
      <c r="I808" s="7"/>
      <c r="J808" s="7"/>
    </row>
    <row r="809" spans="1:10" x14ac:dyDescent="0.25">
      <c r="A809" s="5"/>
      <c r="B809" s="6"/>
      <c r="C809" s="5"/>
      <c r="D809" s="5"/>
      <c r="E809" s="7"/>
      <c r="F809" s="7"/>
      <c r="G809" s="8"/>
      <c r="H809" s="7"/>
      <c r="I809" s="7"/>
      <c r="J809" s="7"/>
    </row>
    <row r="810" spans="1:10" x14ac:dyDescent="0.25">
      <c r="A810" s="5"/>
      <c r="B810" s="6"/>
      <c r="C810" s="5"/>
      <c r="D810" s="5"/>
      <c r="E810" s="7"/>
      <c r="F810" s="7"/>
      <c r="G810" s="8"/>
      <c r="H810" s="7"/>
      <c r="I810" s="7"/>
      <c r="J810" s="7"/>
    </row>
    <row r="811" spans="1:10" x14ac:dyDescent="0.25">
      <c r="A811" s="5"/>
      <c r="B811" s="6"/>
      <c r="C811" s="5"/>
      <c r="D811" s="5"/>
      <c r="E811" s="7"/>
      <c r="F811" s="7"/>
      <c r="G811" s="8"/>
      <c r="H811" s="7"/>
      <c r="I811" s="7"/>
      <c r="J811" s="7"/>
    </row>
    <row r="812" spans="1:10" x14ac:dyDescent="0.25">
      <c r="A812" s="5"/>
      <c r="B812" s="6"/>
      <c r="C812" s="5"/>
      <c r="D812" s="5"/>
      <c r="E812" s="7"/>
      <c r="F812" s="7"/>
      <c r="G812" s="8"/>
      <c r="H812" s="7"/>
      <c r="I812" s="7"/>
      <c r="J812" s="7"/>
    </row>
    <row r="813" spans="1:10" x14ac:dyDescent="0.25">
      <c r="A813" s="5"/>
      <c r="B813" s="6"/>
      <c r="C813" s="5"/>
      <c r="D813" s="5"/>
      <c r="E813" s="7"/>
      <c r="F813" s="7"/>
      <c r="G813" s="8"/>
      <c r="H813" s="7"/>
      <c r="I813" s="7"/>
      <c r="J813" s="7"/>
    </row>
    <row r="814" spans="1:10" x14ac:dyDescent="0.25">
      <c r="A814" s="5"/>
      <c r="B814" s="6"/>
      <c r="C814" s="5"/>
      <c r="D814" s="5"/>
      <c r="E814" s="7"/>
      <c r="F814" s="7"/>
      <c r="G814" s="8"/>
      <c r="H814" s="7"/>
      <c r="I814" s="7"/>
      <c r="J814" s="7"/>
    </row>
    <row r="815" spans="1:10" x14ac:dyDescent="0.25">
      <c r="A815" s="5"/>
      <c r="B815" s="6"/>
      <c r="C815" s="5"/>
      <c r="D815" s="5"/>
      <c r="E815" s="7"/>
      <c r="F815" s="7"/>
      <c r="G815" s="8"/>
      <c r="H815" s="7"/>
      <c r="I815" s="7"/>
      <c r="J815" s="7"/>
    </row>
    <row r="816" spans="1:10" x14ac:dyDescent="0.25">
      <c r="A816" s="5"/>
      <c r="B816" s="6"/>
      <c r="C816" s="5"/>
      <c r="D816" s="5"/>
      <c r="E816" s="7"/>
      <c r="F816" s="7"/>
      <c r="G816" s="8"/>
      <c r="H816" s="7"/>
      <c r="I816" s="7"/>
      <c r="J816" s="7"/>
    </row>
    <row r="817" spans="1:10" x14ac:dyDescent="0.25">
      <c r="A817" s="5"/>
      <c r="B817" s="6"/>
      <c r="C817" s="5"/>
      <c r="D817" s="5"/>
      <c r="E817" s="7"/>
      <c r="F817" s="7"/>
      <c r="G817" s="8"/>
      <c r="H817" s="7"/>
      <c r="I817" s="7"/>
      <c r="J817" s="7"/>
    </row>
    <row r="818" spans="1:10" x14ac:dyDescent="0.25">
      <c r="A818" s="5"/>
      <c r="B818" s="6"/>
      <c r="C818" s="5"/>
      <c r="D818" s="5"/>
      <c r="E818" s="7"/>
      <c r="F818" s="7"/>
      <c r="G818" s="8"/>
      <c r="H818" s="7"/>
      <c r="I818" s="7"/>
      <c r="J818" s="7"/>
    </row>
    <row r="819" spans="1:10" x14ac:dyDescent="0.25">
      <c r="A819" s="5"/>
      <c r="B819" s="6"/>
      <c r="C819" s="5"/>
      <c r="D819" s="5"/>
      <c r="E819" s="7"/>
      <c r="F819" s="7"/>
      <c r="G819" s="8"/>
      <c r="H819" s="7"/>
      <c r="I819" s="7"/>
      <c r="J819" s="7"/>
    </row>
    <row r="820" spans="1:10" x14ac:dyDescent="0.25">
      <c r="A820" s="5"/>
      <c r="B820" s="6"/>
      <c r="C820" s="5"/>
      <c r="D820" s="5"/>
      <c r="E820" s="7"/>
      <c r="F820" s="7"/>
      <c r="G820" s="8"/>
      <c r="H820" s="7"/>
      <c r="I820" s="7"/>
      <c r="J820" s="7"/>
    </row>
    <row r="821" spans="1:10" x14ac:dyDescent="0.25">
      <c r="A821" s="5"/>
      <c r="B821" s="6"/>
      <c r="C821" s="5"/>
      <c r="D821" s="5"/>
      <c r="E821" s="7"/>
      <c r="F821" s="7"/>
      <c r="G821" s="8"/>
      <c r="H821" s="7"/>
      <c r="I821" s="7"/>
      <c r="J821" s="7"/>
    </row>
    <row r="822" spans="1:10" x14ac:dyDescent="0.25">
      <c r="A822" s="5"/>
      <c r="B822" s="6"/>
      <c r="C822" s="5"/>
      <c r="D822" s="5"/>
      <c r="E822" s="7"/>
      <c r="F822" s="7"/>
      <c r="G822" s="8"/>
      <c r="H822" s="7"/>
      <c r="I822" s="7"/>
      <c r="J822" s="7"/>
    </row>
    <row r="823" spans="1:10" x14ac:dyDescent="0.25">
      <c r="A823" s="5"/>
      <c r="B823" s="6"/>
      <c r="C823" s="5"/>
      <c r="D823" s="5"/>
      <c r="E823" s="7"/>
      <c r="F823" s="7"/>
      <c r="G823" s="8"/>
      <c r="H823" s="7"/>
      <c r="I823" s="7"/>
      <c r="J823" s="7"/>
    </row>
    <row r="824" spans="1:10" x14ac:dyDescent="0.25">
      <c r="A824" s="5"/>
      <c r="B824" s="6"/>
      <c r="C824" s="5"/>
      <c r="D824" s="5"/>
      <c r="E824" s="7"/>
      <c r="F824" s="7"/>
      <c r="G824" s="8"/>
      <c r="H824" s="7"/>
      <c r="I824" s="7"/>
      <c r="J824" s="7"/>
    </row>
    <row r="825" spans="1:10" x14ac:dyDescent="0.25">
      <c r="A825" s="5"/>
      <c r="B825" s="6"/>
      <c r="C825" s="5"/>
      <c r="D825" s="5"/>
      <c r="E825" s="7"/>
      <c r="F825" s="7"/>
      <c r="G825" s="8"/>
      <c r="H825" s="7"/>
      <c r="I825" s="7"/>
      <c r="J825" s="7"/>
    </row>
    <row r="826" spans="1:10" x14ac:dyDescent="0.25">
      <c r="A826" s="5"/>
      <c r="B826" s="6"/>
      <c r="C826" s="5"/>
      <c r="D826" s="5"/>
      <c r="E826" s="7"/>
      <c r="F826" s="7"/>
      <c r="G826" s="8"/>
      <c r="H826" s="7"/>
      <c r="I826" s="7"/>
      <c r="J826" s="7"/>
    </row>
    <row r="827" spans="1:10" x14ac:dyDescent="0.25">
      <c r="A827" s="5"/>
      <c r="B827" s="6"/>
      <c r="C827" s="5"/>
      <c r="D827" s="5"/>
      <c r="E827" s="7"/>
      <c r="F827" s="7"/>
      <c r="G827" s="8"/>
      <c r="H827" s="7"/>
      <c r="I827" s="7"/>
      <c r="J827" s="7"/>
    </row>
    <row r="828" spans="1:10" x14ac:dyDescent="0.25">
      <c r="A828" s="5"/>
      <c r="B828" s="6"/>
      <c r="C828" s="5"/>
      <c r="D828" s="5"/>
      <c r="E828" s="7"/>
      <c r="F828" s="7"/>
      <c r="G828" s="8"/>
      <c r="H828" s="7"/>
      <c r="I828" s="7"/>
      <c r="J828" s="7"/>
    </row>
    <row r="829" spans="1:10" x14ac:dyDescent="0.25">
      <c r="A829" s="5"/>
      <c r="B829" s="6"/>
      <c r="C829" s="5"/>
      <c r="D829" s="5"/>
      <c r="E829" s="7"/>
      <c r="F829" s="7"/>
      <c r="G829" s="8"/>
      <c r="H829" s="7"/>
      <c r="I829" s="7"/>
      <c r="J829" s="7"/>
    </row>
    <row r="830" spans="1:10" x14ac:dyDescent="0.25">
      <c r="A830" s="5"/>
      <c r="B830" s="6"/>
      <c r="C830" s="5"/>
      <c r="D830" s="5"/>
      <c r="E830" s="7"/>
      <c r="F830" s="7"/>
      <c r="G830" s="8"/>
      <c r="H830" s="7"/>
      <c r="I830" s="7"/>
      <c r="J830" s="7"/>
    </row>
    <row r="831" spans="1:10" x14ac:dyDescent="0.25">
      <c r="A831" s="5"/>
      <c r="B831" s="6"/>
      <c r="C831" s="5"/>
      <c r="D831" s="5"/>
      <c r="E831" s="7"/>
      <c r="F831" s="7"/>
      <c r="G831" s="8"/>
      <c r="H831" s="7"/>
      <c r="I831" s="7"/>
      <c r="J831" s="7"/>
    </row>
    <row r="832" spans="1:10" x14ac:dyDescent="0.25">
      <c r="A832" s="5"/>
      <c r="B832" s="6"/>
      <c r="C832" s="5"/>
      <c r="D832" s="5"/>
      <c r="E832" s="7"/>
      <c r="F832" s="7"/>
      <c r="G832" s="8"/>
      <c r="H832" s="7"/>
      <c r="I832" s="7"/>
      <c r="J832" s="7"/>
    </row>
    <row r="833" spans="1:10" x14ac:dyDescent="0.25">
      <c r="A833" s="5"/>
      <c r="B833" s="6"/>
      <c r="C833" s="5"/>
      <c r="D833" s="5"/>
      <c r="E833" s="7"/>
      <c r="F833" s="7"/>
      <c r="G833" s="8"/>
      <c r="H833" s="7"/>
      <c r="I833" s="7"/>
      <c r="J833" s="7"/>
    </row>
    <row r="834" spans="1:10" x14ac:dyDescent="0.25">
      <c r="A834" s="5"/>
      <c r="B834" s="6"/>
      <c r="C834" s="5"/>
      <c r="D834" s="5"/>
      <c r="E834" s="7"/>
      <c r="F834" s="7"/>
      <c r="G834" s="8"/>
      <c r="H834" s="7"/>
      <c r="I834" s="7"/>
      <c r="J834" s="7"/>
    </row>
    <row r="835" spans="1:10" x14ac:dyDescent="0.25">
      <c r="A835" s="5"/>
      <c r="B835" s="6"/>
      <c r="C835" s="5"/>
      <c r="D835" s="5"/>
      <c r="E835" s="7"/>
      <c r="F835" s="7"/>
      <c r="G835" s="8"/>
      <c r="H835" s="7"/>
      <c r="I835" s="7"/>
      <c r="J835" s="7"/>
    </row>
    <row r="836" spans="1:10" x14ac:dyDescent="0.25">
      <c r="A836" s="5"/>
      <c r="B836" s="6"/>
      <c r="C836" s="5"/>
      <c r="D836" s="5"/>
      <c r="E836" s="7"/>
      <c r="F836" s="7"/>
      <c r="G836" s="8"/>
      <c r="H836" s="7"/>
      <c r="I836" s="7"/>
      <c r="J836" s="7"/>
    </row>
    <row r="837" spans="1:10" x14ac:dyDescent="0.25">
      <c r="A837" s="5"/>
      <c r="B837" s="6"/>
      <c r="C837" s="5"/>
      <c r="D837" s="5"/>
      <c r="E837" s="7"/>
      <c r="F837" s="7"/>
      <c r="G837" s="8"/>
      <c r="H837" s="7"/>
      <c r="I837" s="7"/>
      <c r="J837" s="7"/>
    </row>
    <row r="838" spans="1:10" x14ac:dyDescent="0.25">
      <c r="A838" s="5"/>
      <c r="B838" s="6"/>
      <c r="C838" s="5"/>
      <c r="D838" s="5"/>
      <c r="E838" s="7"/>
      <c r="F838" s="7"/>
      <c r="G838" s="8"/>
      <c r="H838" s="7"/>
      <c r="I838" s="7"/>
      <c r="J838" s="7"/>
    </row>
    <row r="839" spans="1:10" x14ac:dyDescent="0.25">
      <c r="A839" s="5"/>
      <c r="B839" s="6"/>
      <c r="C839" s="5"/>
      <c r="D839" s="5"/>
      <c r="E839" s="7"/>
      <c r="F839" s="7"/>
      <c r="G839" s="8"/>
      <c r="H839" s="7"/>
      <c r="I839" s="7"/>
      <c r="J839" s="7"/>
    </row>
    <row r="840" spans="1:10" x14ac:dyDescent="0.25">
      <c r="A840" s="5"/>
      <c r="B840" s="6"/>
      <c r="C840" s="5"/>
      <c r="D840" s="5"/>
      <c r="E840" s="7"/>
      <c r="F840" s="7"/>
      <c r="G840" s="8"/>
      <c r="H840" s="7"/>
      <c r="I840" s="7"/>
      <c r="J840" s="7"/>
    </row>
    <row r="841" spans="1:10" x14ac:dyDescent="0.25">
      <c r="A841" s="5"/>
      <c r="B841" s="6"/>
      <c r="C841" s="5"/>
      <c r="D841" s="5"/>
      <c r="E841" s="7"/>
      <c r="F841" s="7"/>
      <c r="G841" s="8"/>
      <c r="H841" s="7"/>
      <c r="I841" s="7"/>
      <c r="J841" s="7"/>
    </row>
    <row r="842" spans="1:10" x14ac:dyDescent="0.25">
      <c r="A842" s="5"/>
      <c r="B842" s="6"/>
      <c r="C842" s="5"/>
      <c r="D842" s="5"/>
      <c r="E842" s="7"/>
      <c r="F842" s="7"/>
      <c r="G842" s="8"/>
      <c r="H842" s="7"/>
      <c r="I842" s="7"/>
      <c r="J842" s="7"/>
    </row>
    <row r="843" spans="1:10" x14ac:dyDescent="0.25">
      <c r="A843" s="5"/>
      <c r="B843" s="6"/>
      <c r="C843" s="5"/>
      <c r="D843" s="5"/>
      <c r="E843" s="7"/>
      <c r="F843" s="7"/>
      <c r="G843" s="8"/>
      <c r="H843" s="7"/>
      <c r="I843" s="7"/>
      <c r="J843" s="7"/>
    </row>
    <row r="844" spans="1:10" x14ac:dyDescent="0.25">
      <c r="A844" s="5"/>
      <c r="B844" s="6"/>
      <c r="C844" s="5"/>
      <c r="D844" s="5"/>
      <c r="E844" s="7"/>
      <c r="F844" s="7"/>
      <c r="G844" s="8"/>
      <c r="H844" s="7"/>
      <c r="I844" s="7"/>
      <c r="J844" s="7"/>
    </row>
    <row r="845" spans="1:10" x14ac:dyDescent="0.25">
      <c r="A845" s="5"/>
      <c r="B845" s="6"/>
      <c r="C845" s="5"/>
      <c r="D845" s="5"/>
      <c r="E845" s="7"/>
      <c r="F845" s="7"/>
      <c r="G845" s="8"/>
      <c r="H845" s="7"/>
      <c r="I845" s="7"/>
      <c r="J845" s="7"/>
    </row>
    <row r="846" spans="1:10" x14ac:dyDescent="0.25">
      <c r="A846" s="5"/>
      <c r="B846" s="6"/>
      <c r="C846" s="5"/>
      <c r="D846" s="5"/>
      <c r="E846" s="7"/>
      <c r="F846" s="7"/>
      <c r="G846" s="8"/>
      <c r="H846" s="7"/>
      <c r="I846" s="7"/>
      <c r="J846" s="7"/>
    </row>
    <row r="847" spans="1:10" x14ac:dyDescent="0.25">
      <c r="A847" s="5"/>
      <c r="B847" s="6"/>
      <c r="C847" s="5"/>
      <c r="D847" s="5"/>
      <c r="E847" s="7"/>
      <c r="F847" s="7"/>
      <c r="G847" s="8"/>
      <c r="H847" s="7"/>
      <c r="I847" s="7"/>
      <c r="J847" s="7"/>
    </row>
    <row r="848" spans="1:10" x14ac:dyDescent="0.25">
      <c r="A848" s="5"/>
      <c r="B848" s="6"/>
      <c r="C848" s="5"/>
      <c r="D848" s="5"/>
      <c r="E848" s="7"/>
      <c r="F848" s="7"/>
      <c r="G848" s="8"/>
      <c r="H848" s="7"/>
      <c r="I848" s="7"/>
      <c r="J848" s="7"/>
    </row>
    <row r="849" spans="1:10" x14ac:dyDescent="0.25">
      <c r="A849" s="5"/>
      <c r="B849" s="6"/>
      <c r="C849" s="5"/>
      <c r="D849" s="5"/>
      <c r="E849" s="7"/>
      <c r="F849" s="7"/>
      <c r="G849" s="8"/>
      <c r="H849" s="7"/>
      <c r="I849" s="7"/>
      <c r="J849" s="7"/>
    </row>
    <row r="850" spans="1:10" x14ac:dyDescent="0.25">
      <c r="A850" s="5"/>
      <c r="B850" s="6"/>
      <c r="C850" s="5"/>
      <c r="D850" s="5"/>
      <c r="E850" s="7"/>
      <c r="F850" s="7"/>
      <c r="G850" s="8"/>
      <c r="H850" s="7"/>
      <c r="I850" s="7"/>
      <c r="J850" s="7"/>
    </row>
    <row r="851" spans="1:10" x14ac:dyDescent="0.25">
      <c r="A851" s="5"/>
      <c r="B851" s="6"/>
      <c r="C851" s="5"/>
      <c r="D851" s="5"/>
      <c r="E851" s="7"/>
      <c r="F851" s="7"/>
      <c r="G851" s="8"/>
      <c r="H851" s="7"/>
      <c r="I851" s="7"/>
      <c r="J851" s="7"/>
    </row>
    <row r="852" spans="1:10" x14ac:dyDescent="0.25">
      <c r="A852" s="5"/>
      <c r="B852" s="6"/>
      <c r="C852" s="5"/>
      <c r="D852" s="5"/>
      <c r="E852" s="7"/>
      <c r="F852" s="7"/>
      <c r="G852" s="8"/>
      <c r="H852" s="7"/>
      <c r="I852" s="7"/>
      <c r="J852" s="7"/>
    </row>
    <row r="853" spans="1:10" x14ac:dyDescent="0.25">
      <c r="A853" s="5"/>
      <c r="B853" s="6"/>
      <c r="C853" s="5"/>
      <c r="D853" s="5"/>
      <c r="E853" s="7"/>
      <c r="F853" s="7"/>
      <c r="G853" s="8"/>
      <c r="H853" s="7"/>
      <c r="I853" s="7"/>
      <c r="J853" s="7"/>
    </row>
    <row r="854" spans="1:10" x14ac:dyDescent="0.25">
      <c r="A854" s="5"/>
      <c r="B854" s="6"/>
      <c r="C854" s="5"/>
      <c r="D854" s="5"/>
      <c r="E854" s="7"/>
      <c r="F854" s="7"/>
      <c r="G854" s="8"/>
      <c r="H854" s="7"/>
      <c r="I854" s="7"/>
      <c r="J854" s="7"/>
    </row>
    <row r="855" spans="1:10" x14ac:dyDescent="0.25">
      <c r="A855" s="5"/>
      <c r="B855" s="6"/>
      <c r="C855" s="5"/>
      <c r="D855" s="5"/>
      <c r="E855" s="7"/>
      <c r="F855" s="7"/>
      <c r="G855" s="8"/>
      <c r="H855" s="7"/>
      <c r="I855" s="7"/>
      <c r="J855" s="7"/>
    </row>
    <row r="856" spans="1:10" x14ac:dyDescent="0.25">
      <c r="A856" s="5"/>
      <c r="B856" s="6"/>
      <c r="C856" s="5"/>
      <c r="D856" s="5"/>
      <c r="E856" s="7"/>
      <c r="F856" s="7"/>
      <c r="G856" s="8"/>
      <c r="H856" s="7"/>
      <c r="I856" s="7"/>
      <c r="J856" s="7"/>
    </row>
    <row r="857" spans="1:10" x14ac:dyDescent="0.25">
      <c r="A857" s="5"/>
      <c r="B857" s="6"/>
      <c r="C857" s="5"/>
      <c r="D857" s="5"/>
      <c r="E857" s="7"/>
      <c r="F857" s="7"/>
      <c r="G857" s="8"/>
      <c r="H857" s="7"/>
      <c r="I857" s="7"/>
      <c r="J857" s="7"/>
    </row>
    <row r="858" spans="1:10" x14ac:dyDescent="0.25">
      <c r="A858" s="5"/>
      <c r="B858" s="6"/>
      <c r="C858" s="5"/>
      <c r="D858" s="5"/>
      <c r="E858" s="7"/>
      <c r="F858" s="7"/>
      <c r="G858" s="8"/>
      <c r="H858" s="7"/>
      <c r="I858" s="7"/>
      <c r="J858" s="7"/>
    </row>
    <row r="859" spans="1:10" x14ac:dyDescent="0.25">
      <c r="A859" s="5"/>
      <c r="B859" s="6"/>
      <c r="C859" s="5"/>
      <c r="D859" s="5"/>
      <c r="E859" s="7"/>
      <c r="F859" s="7"/>
      <c r="G859" s="8"/>
      <c r="H859" s="7"/>
      <c r="I859" s="7"/>
      <c r="J859" s="7"/>
    </row>
    <row r="860" spans="1:10" x14ac:dyDescent="0.25">
      <c r="A860" s="5"/>
      <c r="B860" s="6"/>
      <c r="C860" s="5"/>
      <c r="D860" s="5"/>
      <c r="E860" s="7"/>
      <c r="F860" s="7"/>
      <c r="G860" s="8"/>
      <c r="H860" s="7"/>
      <c r="I860" s="7"/>
      <c r="J860" s="7"/>
    </row>
    <row r="861" spans="1:10" x14ac:dyDescent="0.25">
      <c r="A861" s="5"/>
      <c r="B861" s="6"/>
      <c r="C861" s="5"/>
      <c r="D861" s="5"/>
      <c r="E861" s="7"/>
      <c r="F861" s="7"/>
      <c r="G861" s="8"/>
      <c r="H861" s="7"/>
      <c r="I861" s="7"/>
      <c r="J861" s="7"/>
    </row>
    <row r="862" spans="1:10" x14ac:dyDescent="0.25">
      <c r="A862" s="5"/>
      <c r="B862" s="6"/>
      <c r="C862" s="5"/>
      <c r="D862" s="5"/>
      <c r="E862" s="7"/>
      <c r="F862" s="7"/>
      <c r="G862" s="8"/>
      <c r="H862" s="7"/>
      <c r="I862" s="7"/>
      <c r="J862" s="7"/>
    </row>
    <row r="863" spans="1:10" x14ac:dyDescent="0.25">
      <c r="A863" s="5"/>
      <c r="B863" s="6"/>
      <c r="C863" s="5"/>
      <c r="D863" s="5"/>
      <c r="E863" s="7"/>
      <c r="F863" s="7"/>
      <c r="G863" s="8"/>
      <c r="H863" s="7"/>
      <c r="I863" s="7"/>
      <c r="J863" s="7"/>
    </row>
    <row r="864" spans="1:10" x14ac:dyDescent="0.25">
      <c r="A864" s="5"/>
      <c r="B864" s="6"/>
      <c r="C864" s="5"/>
      <c r="D864" s="5"/>
      <c r="E864" s="7"/>
      <c r="F864" s="7"/>
      <c r="G864" s="8"/>
      <c r="H864" s="7"/>
      <c r="I864" s="7"/>
      <c r="J864" s="7"/>
    </row>
    <row r="865" spans="1:10" x14ac:dyDescent="0.25">
      <c r="A865" s="5"/>
      <c r="B865" s="6"/>
      <c r="C865" s="5"/>
      <c r="D865" s="5"/>
      <c r="E865" s="7"/>
      <c r="F865" s="7"/>
      <c r="G865" s="8"/>
      <c r="H865" s="7"/>
      <c r="I865" s="7"/>
      <c r="J865" s="7"/>
    </row>
    <row r="866" spans="1:10" x14ac:dyDescent="0.25">
      <c r="A866" s="5"/>
      <c r="B866" s="6"/>
      <c r="C866" s="5"/>
      <c r="D866" s="5"/>
      <c r="E866" s="7"/>
      <c r="F866" s="7"/>
      <c r="G866" s="8"/>
      <c r="H866" s="7"/>
      <c r="I866" s="7"/>
      <c r="J866" s="7"/>
    </row>
    <row r="867" spans="1:10" x14ac:dyDescent="0.25">
      <c r="A867" s="5"/>
      <c r="B867" s="6"/>
      <c r="C867" s="5"/>
      <c r="D867" s="5"/>
      <c r="E867" s="7"/>
      <c r="F867" s="7"/>
      <c r="G867" s="8"/>
      <c r="H867" s="7"/>
      <c r="I867" s="7"/>
      <c r="J867" s="7"/>
    </row>
    <row r="868" spans="1:10" x14ac:dyDescent="0.25">
      <c r="A868" s="5"/>
      <c r="B868" s="6"/>
      <c r="C868" s="5"/>
      <c r="D868" s="5"/>
      <c r="E868" s="7"/>
      <c r="F868" s="7"/>
      <c r="G868" s="8"/>
      <c r="H868" s="7"/>
      <c r="I868" s="7"/>
      <c r="J868" s="7"/>
    </row>
    <row r="869" spans="1:10" x14ac:dyDescent="0.25">
      <c r="A869" s="5"/>
      <c r="B869" s="6"/>
      <c r="C869" s="5"/>
      <c r="D869" s="5"/>
      <c r="E869" s="7"/>
      <c r="F869" s="7"/>
      <c r="G869" s="8"/>
      <c r="H869" s="7"/>
      <c r="I869" s="7"/>
      <c r="J869" s="7"/>
    </row>
    <row r="870" spans="1:10" x14ac:dyDescent="0.25">
      <c r="A870" s="5"/>
      <c r="B870" s="6"/>
      <c r="C870" s="5"/>
      <c r="D870" s="5"/>
      <c r="E870" s="7"/>
      <c r="F870" s="7"/>
      <c r="G870" s="8"/>
      <c r="H870" s="7"/>
      <c r="I870" s="7"/>
      <c r="J870" s="7"/>
    </row>
    <row r="871" spans="1:10" x14ac:dyDescent="0.25">
      <c r="A871" s="5"/>
      <c r="B871" s="6"/>
      <c r="C871" s="5"/>
      <c r="D871" s="5"/>
      <c r="E871" s="7"/>
      <c r="F871" s="7"/>
      <c r="G871" s="8"/>
      <c r="H871" s="7"/>
      <c r="I871" s="7"/>
      <c r="J871" s="7"/>
    </row>
    <row r="872" spans="1:10" x14ac:dyDescent="0.25">
      <c r="A872" s="5"/>
      <c r="B872" s="6"/>
      <c r="C872" s="5"/>
      <c r="D872" s="5"/>
      <c r="E872" s="7"/>
      <c r="F872" s="7"/>
      <c r="G872" s="8"/>
      <c r="H872" s="7"/>
      <c r="I872" s="7"/>
      <c r="J872" s="7"/>
    </row>
    <row r="873" spans="1:10" x14ac:dyDescent="0.25">
      <c r="A873" s="5"/>
      <c r="B873" s="6"/>
      <c r="C873" s="5"/>
      <c r="D873" s="5"/>
      <c r="E873" s="7"/>
      <c r="F873" s="7"/>
      <c r="G873" s="8"/>
      <c r="H873" s="7"/>
      <c r="I873" s="7"/>
      <c r="J873" s="7"/>
    </row>
    <row r="874" spans="1:10" x14ac:dyDescent="0.25">
      <c r="A874" s="5"/>
      <c r="B874" s="6"/>
      <c r="C874" s="5"/>
      <c r="D874" s="5"/>
      <c r="E874" s="7"/>
      <c r="F874" s="7"/>
      <c r="G874" s="8"/>
      <c r="H874" s="7"/>
      <c r="I874" s="7"/>
      <c r="J874" s="7"/>
    </row>
    <row r="875" spans="1:10" x14ac:dyDescent="0.25">
      <c r="A875" s="5"/>
      <c r="B875" s="6"/>
      <c r="C875" s="5"/>
      <c r="D875" s="5"/>
      <c r="E875" s="7"/>
      <c r="F875" s="7"/>
      <c r="G875" s="8"/>
      <c r="H875" s="7"/>
      <c r="I875" s="7"/>
      <c r="J875" s="7"/>
    </row>
    <row r="876" spans="1:10" x14ac:dyDescent="0.25">
      <c r="A876" s="5"/>
      <c r="B876" s="6"/>
      <c r="C876" s="5"/>
      <c r="D876" s="5"/>
      <c r="E876" s="7"/>
      <c r="F876" s="7"/>
      <c r="G876" s="8"/>
      <c r="H876" s="7"/>
      <c r="I876" s="7"/>
      <c r="J876" s="7"/>
    </row>
    <row r="877" spans="1:10" x14ac:dyDescent="0.25">
      <c r="A877" s="5"/>
      <c r="B877" s="6"/>
      <c r="C877" s="5"/>
      <c r="D877" s="5"/>
      <c r="E877" s="7"/>
      <c r="F877" s="7"/>
      <c r="G877" s="8"/>
      <c r="H877" s="7"/>
      <c r="I877" s="7"/>
      <c r="J877" s="7"/>
    </row>
    <row r="878" spans="1:10" x14ac:dyDescent="0.25">
      <c r="A878" s="5"/>
      <c r="B878" s="6"/>
      <c r="C878" s="5"/>
      <c r="D878" s="5"/>
      <c r="E878" s="7"/>
      <c r="F878" s="7"/>
      <c r="G878" s="8"/>
      <c r="H878" s="7"/>
      <c r="I878" s="7"/>
      <c r="J878" s="7"/>
    </row>
    <row r="879" spans="1:10" x14ac:dyDescent="0.25">
      <c r="A879" s="5"/>
      <c r="B879" s="6"/>
      <c r="C879" s="5"/>
      <c r="D879" s="5"/>
      <c r="E879" s="7"/>
      <c r="F879" s="7"/>
      <c r="G879" s="8"/>
      <c r="H879" s="7"/>
      <c r="I879" s="7"/>
      <c r="J879" s="7"/>
    </row>
    <row r="880" spans="1:10" x14ac:dyDescent="0.25">
      <c r="A880" s="5"/>
      <c r="B880" s="6"/>
      <c r="C880" s="5"/>
      <c r="D880" s="5"/>
      <c r="E880" s="7"/>
      <c r="F880" s="7"/>
      <c r="G880" s="8"/>
      <c r="H880" s="7"/>
      <c r="I880" s="7"/>
      <c r="J880" s="7"/>
    </row>
    <row r="881" spans="1:10" x14ac:dyDescent="0.25">
      <c r="A881" s="5"/>
      <c r="B881" s="6"/>
      <c r="C881" s="5"/>
      <c r="D881" s="5"/>
      <c r="E881" s="7"/>
      <c r="F881" s="7"/>
      <c r="G881" s="8"/>
      <c r="H881" s="7"/>
      <c r="I881" s="7"/>
      <c r="J881" s="7"/>
    </row>
    <row r="882" spans="1:10" x14ac:dyDescent="0.25">
      <c r="A882" s="5"/>
      <c r="B882" s="6"/>
      <c r="C882" s="5"/>
      <c r="D882" s="5"/>
      <c r="E882" s="7"/>
      <c r="F882" s="7"/>
      <c r="G882" s="8"/>
      <c r="H882" s="7"/>
      <c r="I882" s="7"/>
      <c r="J882" s="7"/>
    </row>
    <row r="883" spans="1:10" x14ac:dyDescent="0.25">
      <c r="A883" s="5"/>
      <c r="B883" s="6"/>
      <c r="C883" s="5"/>
      <c r="D883" s="5"/>
      <c r="E883" s="7"/>
      <c r="F883" s="7"/>
      <c r="G883" s="8"/>
      <c r="H883" s="7"/>
      <c r="I883" s="7"/>
      <c r="J883" s="7"/>
    </row>
    <row r="884" spans="1:10" x14ac:dyDescent="0.25">
      <c r="A884" s="5"/>
      <c r="B884" s="6"/>
      <c r="C884" s="5"/>
      <c r="D884" s="5"/>
      <c r="E884" s="7"/>
      <c r="F884" s="7"/>
      <c r="G884" s="8"/>
      <c r="H884" s="7"/>
      <c r="I884" s="7"/>
      <c r="J884" s="7"/>
    </row>
    <row r="885" spans="1:10" x14ac:dyDescent="0.25">
      <c r="A885" s="5"/>
      <c r="B885" s="6"/>
      <c r="C885" s="5"/>
      <c r="D885" s="5"/>
      <c r="E885" s="7"/>
      <c r="F885" s="7"/>
      <c r="G885" s="8"/>
      <c r="H885" s="7"/>
      <c r="I885" s="7"/>
      <c r="J885" s="7"/>
    </row>
    <row r="886" spans="1:10" x14ac:dyDescent="0.25">
      <c r="A886" s="5"/>
      <c r="B886" s="6"/>
      <c r="C886" s="5"/>
      <c r="D886" s="5"/>
      <c r="E886" s="7"/>
      <c r="F886" s="7"/>
      <c r="G886" s="8"/>
      <c r="H886" s="7"/>
      <c r="I886" s="7"/>
      <c r="J886" s="7"/>
    </row>
    <row r="887" spans="1:10" x14ac:dyDescent="0.25">
      <c r="A887" s="5"/>
      <c r="B887" s="6"/>
      <c r="C887" s="5"/>
      <c r="D887" s="5"/>
      <c r="E887" s="7"/>
      <c r="F887" s="7"/>
      <c r="G887" s="8"/>
      <c r="H887" s="7"/>
      <c r="I887" s="7"/>
      <c r="J887" s="7"/>
    </row>
    <row r="888" spans="1:10" x14ac:dyDescent="0.25">
      <c r="A888" s="5"/>
      <c r="B888" s="6"/>
      <c r="C888" s="5"/>
      <c r="D888" s="5"/>
      <c r="E888" s="7"/>
      <c r="F888" s="7"/>
      <c r="G888" s="8"/>
      <c r="H888" s="7"/>
      <c r="I888" s="7"/>
      <c r="J888" s="7"/>
    </row>
    <row r="889" spans="1:10" x14ac:dyDescent="0.25">
      <c r="A889" s="5"/>
      <c r="B889" s="6"/>
      <c r="C889" s="5"/>
      <c r="D889" s="5"/>
      <c r="E889" s="7"/>
      <c r="F889" s="7"/>
      <c r="G889" s="8"/>
      <c r="H889" s="7"/>
      <c r="I889" s="7"/>
      <c r="J889" s="7"/>
    </row>
    <row r="890" spans="1:10" x14ac:dyDescent="0.25">
      <c r="A890" s="5"/>
      <c r="B890" s="6"/>
      <c r="C890" s="5"/>
      <c r="D890" s="5"/>
      <c r="E890" s="7"/>
      <c r="F890" s="7"/>
      <c r="G890" s="8"/>
      <c r="H890" s="7"/>
      <c r="I890" s="7"/>
      <c r="J890" s="7"/>
    </row>
    <row r="891" spans="1:10" x14ac:dyDescent="0.25">
      <c r="A891" s="5"/>
      <c r="B891" s="6"/>
      <c r="C891" s="5"/>
      <c r="D891" s="5"/>
      <c r="E891" s="7"/>
      <c r="F891" s="7"/>
      <c r="G891" s="8"/>
      <c r="H891" s="7"/>
      <c r="I891" s="7"/>
      <c r="J891" s="7"/>
    </row>
    <row r="892" spans="1:10" x14ac:dyDescent="0.25">
      <c r="A892" s="5"/>
      <c r="B892" s="6"/>
      <c r="C892" s="5"/>
      <c r="D892" s="5"/>
      <c r="E892" s="7"/>
      <c r="F892" s="7"/>
      <c r="G892" s="8"/>
      <c r="H892" s="7"/>
      <c r="I892" s="7"/>
      <c r="J892" s="7"/>
    </row>
    <row r="893" spans="1:10" x14ac:dyDescent="0.25">
      <c r="A893" s="5"/>
      <c r="B893" s="6"/>
      <c r="C893" s="5"/>
      <c r="D893" s="5"/>
      <c r="E893" s="7"/>
      <c r="F893" s="7"/>
      <c r="G893" s="8"/>
      <c r="H893" s="7"/>
      <c r="I893" s="7"/>
      <c r="J893" s="7"/>
    </row>
    <row r="894" spans="1:10" x14ac:dyDescent="0.25">
      <c r="A894" s="5"/>
      <c r="B894" s="6"/>
      <c r="C894" s="5"/>
      <c r="D894" s="5"/>
      <c r="E894" s="7"/>
      <c r="F894" s="7"/>
      <c r="G894" s="8"/>
      <c r="H894" s="7"/>
      <c r="I894" s="7"/>
      <c r="J894" s="7"/>
    </row>
    <row r="895" spans="1:10" x14ac:dyDescent="0.25">
      <c r="A895" s="5"/>
      <c r="B895" s="6"/>
      <c r="C895" s="5"/>
      <c r="D895" s="5"/>
      <c r="E895" s="7"/>
      <c r="F895" s="7"/>
      <c r="G895" s="8"/>
      <c r="H895" s="7"/>
      <c r="I895" s="7"/>
      <c r="J895" s="7"/>
    </row>
    <row r="896" spans="1:10" x14ac:dyDescent="0.25">
      <c r="A896" s="5"/>
      <c r="B896" s="6"/>
      <c r="C896" s="5"/>
      <c r="D896" s="5"/>
      <c r="E896" s="7"/>
      <c r="F896" s="7"/>
      <c r="G896" s="8"/>
      <c r="H896" s="7"/>
      <c r="I896" s="7"/>
      <c r="J896" s="7"/>
    </row>
    <row r="897" spans="1:10" x14ac:dyDescent="0.25">
      <c r="A897" s="5"/>
      <c r="B897" s="6"/>
      <c r="C897" s="5"/>
      <c r="D897" s="5"/>
      <c r="E897" s="7"/>
      <c r="F897" s="7"/>
      <c r="G897" s="8"/>
      <c r="H897" s="7"/>
      <c r="I897" s="7"/>
      <c r="J897" s="7"/>
    </row>
    <row r="898" spans="1:10" x14ac:dyDescent="0.25">
      <c r="A898" s="5"/>
      <c r="B898" s="6"/>
      <c r="C898" s="5"/>
      <c r="D898" s="5"/>
      <c r="E898" s="7"/>
      <c r="F898" s="7"/>
      <c r="G898" s="8"/>
      <c r="H898" s="7"/>
      <c r="I898" s="7"/>
      <c r="J898" s="7"/>
    </row>
    <row r="899" spans="1:10" x14ac:dyDescent="0.25">
      <c r="A899" s="5"/>
      <c r="B899" s="6"/>
      <c r="C899" s="5"/>
      <c r="D899" s="5"/>
      <c r="E899" s="7"/>
      <c r="F899" s="7"/>
      <c r="G899" s="8"/>
      <c r="H899" s="7"/>
      <c r="I899" s="7"/>
      <c r="J899" s="7"/>
    </row>
    <row r="900" spans="1:10" x14ac:dyDescent="0.25">
      <c r="A900" s="5"/>
      <c r="B900" s="6"/>
      <c r="C900" s="5"/>
      <c r="D900" s="5"/>
      <c r="E900" s="7"/>
      <c r="F900" s="7"/>
      <c r="G900" s="8"/>
      <c r="H900" s="7"/>
      <c r="I900" s="7"/>
      <c r="J900" s="7"/>
    </row>
    <row r="901" spans="1:10" x14ac:dyDescent="0.25">
      <c r="A901" s="5"/>
      <c r="B901" s="6"/>
      <c r="C901" s="5"/>
      <c r="D901" s="5"/>
      <c r="E901" s="7"/>
      <c r="F901" s="7"/>
      <c r="G901" s="8"/>
      <c r="H901" s="7"/>
      <c r="I901" s="7"/>
      <c r="J901" s="7"/>
    </row>
    <row r="902" spans="1:10" x14ac:dyDescent="0.25">
      <c r="A902" s="5"/>
      <c r="B902" s="6"/>
      <c r="C902" s="5"/>
      <c r="D902" s="5"/>
      <c r="E902" s="7"/>
      <c r="F902" s="7"/>
      <c r="G902" s="8"/>
      <c r="H902" s="7"/>
      <c r="I902" s="7"/>
      <c r="J902" s="7"/>
    </row>
    <row r="903" spans="1:10" x14ac:dyDescent="0.25">
      <c r="A903" s="5"/>
      <c r="B903" s="6"/>
      <c r="C903" s="5"/>
      <c r="D903" s="5"/>
      <c r="E903" s="7"/>
      <c r="F903" s="7"/>
      <c r="G903" s="8"/>
      <c r="H903" s="7"/>
      <c r="I903" s="7"/>
      <c r="J903" s="7"/>
    </row>
    <row r="904" spans="1:10" x14ac:dyDescent="0.25">
      <c r="A904" s="5"/>
      <c r="B904" s="6"/>
      <c r="C904" s="5"/>
      <c r="D904" s="5"/>
      <c r="E904" s="7"/>
      <c r="F904" s="7"/>
      <c r="G904" s="8"/>
      <c r="H904" s="7"/>
      <c r="I904" s="7"/>
      <c r="J904" s="7"/>
    </row>
    <row r="905" spans="1:10" x14ac:dyDescent="0.25">
      <c r="A905" s="5"/>
      <c r="B905" s="6"/>
      <c r="C905" s="5"/>
      <c r="D905" s="5"/>
      <c r="E905" s="7"/>
      <c r="F905" s="7"/>
      <c r="G905" s="8"/>
      <c r="H905" s="7"/>
      <c r="I905" s="7"/>
      <c r="J905" s="7"/>
    </row>
    <row r="906" spans="1:10" x14ac:dyDescent="0.25">
      <c r="A906" s="5"/>
      <c r="B906" s="6"/>
      <c r="C906" s="5"/>
      <c r="D906" s="5"/>
      <c r="E906" s="7"/>
      <c r="F906" s="7"/>
      <c r="G906" s="8"/>
      <c r="H906" s="7"/>
      <c r="I906" s="7"/>
      <c r="J906" s="7"/>
    </row>
    <row r="907" spans="1:10" x14ac:dyDescent="0.25">
      <c r="A907" s="5"/>
      <c r="B907" s="6"/>
      <c r="C907" s="5"/>
      <c r="D907" s="5"/>
      <c r="E907" s="7"/>
      <c r="F907" s="7"/>
      <c r="G907" s="8"/>
      <c r="H907" s="7"/>
      <c r="I907" s="7"/>
      <c r="J907" s="7"/>
    </row>
    <row r="908" spans="1:10" x14ac:dyDescent="0.25">
      <c r="A908" s="5"/>
      <c r="B908" s="6"/>
      <c r="C908" s="5"/>
      <c r="D908" s="5"/>
      <c r="E908" s="7"/>
      <c r="F908" s="7"/>
      <c r="G908" s="8"/>
      <c r="H908" s="7"/>
      <c r="I908" s="7"/>
      <c r="J908" s="7"/>
    </row>
    <row r="909" spans="1:10" x14ac:dyDescent="0.25">
      <c r="A909" s="5"/>
      <c r="B909" s="6"/>
      <c r="C909" s="5"/>
      <c r="D909" s="5"/>
      <c r="E909" s="7"/>
      <c r="F909" s="7"/>
      <c r="G909" s="8"/>
      <c r="H909" s="7"/>
      <c r="I909" s="7"/>
      <c r="J909" s="7"/>
    </row>
    <row r="910" spans="1:10" x14ac:dyDescent="0.25">
      <c r="A910" s="5"/>
      <c r="B910" s="6"/>
      <c r="C910" s="5"/>
      <c r="D910" s="5"/>
      <c r="E910" s="7"/>
      <c r="F910" s="7"/>
      <c r="G910" s="8"/>
      <c r="H910" s="7"/>
      <c r="I910" s="7"/>
      <c r="J910" s="7"/>
    </row>
    <row r="911" spans="1:10" x14ac:dyDescent="0.25">
      <c r="A911" s="5"/>
      <c r="B911" s="6"/>
      <c r="C911" s="5"/>
      <c r="D911" s="5"/>
      <c r="E911" s="7"/>
      <c r="F911" s="7"/>
      <c r="G911" s="8"/>
      <c r="H911" s="7"/>
      <c r="I911" s="7"/>
      <c r="J911" s="7"/>
    </row>
    <row r="912" spans="1:10" x14ac:dyDescent="0.25">
      <c r="A912" s="5"/>
      <c r="B912" s="6"/>
      <c r="C912" s="5"/>
      <c r="D912" s="5"/>
      <c r="E912" s="7"/>
      <c r="F912" s="7"/>
      <c r="G912" s="8"/>
      <c r="H912" s="7"/>
      <c r="I912" s="7"/>
      <c r="J912" s="7"/>
    </row>
    <row r="913" spans="1:10" x14ac:dyDescent="0.25">
      <c r="A913" s="5"/>
      <c r="B913" s="6"/>
      <c r="C913" s="5"/>
      <c r="D913" s="5"/>
      <c r="E913" s="7"/>
      <c r="F913" s="7"/>
      <c r="G913" s="8"/>
      <c r="H913" s="7"/>
      <c r="I913" s="7"/>
      <c r="J913" s="7"/>
    </row>
    <row r="914" spans="1:10" x14ac:dyDescent="0.25">
      <c r="A914" s="5"/>
      <c r="B914" s="6"/>
      <c r="C914" s="5"/>
      <c r="D914" s="5"/>
      <c r="E914" s="7"/>
      <c r="F914" s="7"/>
      <c r="G914" s="8"/>
      <c r="H914" s="7"/>
      <c r="I914" s="7"/>
      <c r="J914" s="7"/>
    </row>
    <row r="915" spans="1:10" x14ac:dyDescent="0.25">
      <c r="A915" s="5"/>
      <c r="B915" s="6"/>
      <c r="C915" s="5"/>
      <c r="D915" s="5"/>
      <c r="E915" s="7"/>
      <c r="F915" s="7"/>
      <c r="G915" s="8"/>
      <c r="H915" s="7"/>
      <c r="I915" s="7"/>
      <c r="J915" s="7"/>
    </row>
    <row r="916" spans="1:10" x14ac:dyDescent="0.25">
      <c r="A916" s="5"/>
      <c r="B916" s="6"/>
      <c r="C916" s="5"/>
      <c r="D916" s="5"/>
      <c r="E916" s="7"/>
      <c r="F916" s="7"/>
      <c r="G916" s="8"/>
      <c r="H916" s="7"/>
      <c r="I916" s="7"/>
      <c r="J916" s="7"/>
    </row>
    <row r="917" spans="1:10" x14ac:dyDescent="0.25">
      <c r="A917" s="5"/>
      <c r="B917" s="6"/>
      <c r="C917" s="5"/>
      <c r="D917" s="5"/>
      <c r="E917" s="7"/>
      <c r="F917" s="7"/>
      <c r="G917" s="8"/>
      <c r="H917" s="7"/>
      <c r="I917" s="7"/>
      <c r="J917" s="7"/>
    </row>
    <row r="918" spans="1:10" x14ac:dyDescent="0.25">
      <c r="A918" s="5"/>
      <c r="B918" s="6"/>
      <c r="C918" s="5"/>
      <c r="D918" s="5"/>
      <c r="E918" s="7"/>
      <c r="F918" s="7"/>
      <c r="G918" s="8"/>
      <c r="H918" s="7"/>
      <c r="I918" s="7"/>
      <c r="J918" s="7"/>
    </row>
    <row r="919" spans="1:10" x14ac:dyDescent="0.25">
      <c r="A919" s="5"/>
      <c r="B919" s="6"/>
      <c r="C919" s="5"/>
      <c r="D919" s="5"/>
      <c r="E919" s="7"/>
      <c r="F919" s="7"/>
      <c r="G919" s="8"/>
      <c r="H919" s="7"/>
      <c r="I919" s="7"/>
      <c r="J919" s="7"/>
    </row>
    <row r="920" spans="1:10" x14ac:dyDescent="0.25">
      <c r="A920" s="5"/>
      <c r="B920" s="6"/>
      <c r="C920" s="5"/>
      <c r="D920" s="5"/>
      <c r="E920" s="7"/>
      <c r="F920" s="7"/>
      <c r="G920" s="8"/>
      <c r="H920" s="7"/>
      <c r="I920" s="7"/>
      <c r="J920" s="7"/>
    </row>
    <row r="921" spans="1:10" x14ac:dyDescent="0.25">
      <c r="A921" s="5"/>
      <c r="B921" s="6"/>
      <c r="C921" s="5"/>
      <c r="D921" s="5"/>
      <c r="E921" s="7"/>
      <c r="F921" s="7"/>
      <c r="G921" s="8"/>
      <c r="H921" s="7"/>
      <c r="I921" s="7"/>
      <c r="J921" s="7"/>
    </row>
    <row r="922" spans="1:10" x14ac:dyDescent="0.25">
      <c r="A922" s="5"/>
      <c r="B922" s="6"/>
      <c r="C922" s="5"/>
      <c r="D922" s="5"/>
      <c r="E922" s="7"/>
      <c r="F922" s="7"/>
      <c r="G922" s="8"/>
      <c r="H922" s="7"/>
      <c r="I922" s="7"/>
      <c r="J922" s="7"/>
    </row>
    <row r="923" spans="1:10" x14ac:dyDescent="0.25">
      <c r="A923" s="5"/>
      <c r="B923" s="6"/>
      <c r="C923" s="5"/>
      <c r="D923" s="5"/>
      <c r="E923" s="7"/>
      <c r="F923" s="7"/>
      <c r="G923" s="8"/>
      <c r="H923" s="7"/>
      <c r="I923" s="7"/>
      <c r="J923" s="7"/>
    </row>
    <row r="924" spans="1:10" x14ac:dyDescent="0.25">
      <c r="A924" s="5"/>
      <c r="B924" s="6"/>
      <c r="C924" s="5"/>
      <c r="D924" s="5"/>
      <c r="E924" s="7"/>
      <c r="F924" s="7"/>
      <c r="G924" s="8"/>
      <c r="H924" s="7"/>
      <c r="I924" s="7"/>
      <c r="J924" s="7"/>
    </row>
    <row r="925" spans="1:10" x14ac:dyDescent="0.25">
      <c r="A925" s="5"/>
      <c r="B925" s="6"/>
      <c r="C925" s="5"/>
      <c r="D925" s="5"/>
      <c r="E925" s="7"/>
      <c r="F925" s="7"/>
      <c r="G925" s="8"/>
      <c r="H925" s="7"/>
      <c r="I925" s="7"/>
      <c r="J925" s="7"/>
    </row>
    <row r="926" spans="1:10" x14ac:dyDescent="0.25">
      <c r="A926" s="5"/>
      <c r="B926" s="6"/>
      <c r="C926" s="5"/>
      <c r="D926" s="5"/>
      <c r="E926" s="7"/>
      <c r="F926" s="7"/>
      <c r="G926" s="8"/>
      <c r="H926" s="7"/>
      <c r="I926" s="7"/>
      <c r="J926" s="7"/>
    </row>
    <row r="927" spans="1:10" x14ac:dyDescent="0.25">
      <c r="A927" s="5"/>
      <c r="B927" s="6"/>
      <c r="C927" s="5"/>
      <c r="D927" s="5"/>
      <c r="E927" s="7"/>
      <c r="F927" s="7"/>
      <c r="G927" s="8"/>
      <c r="H927" s="7"/>
      <c r="I927" s="7"/>
      <c r="J927" s="7"/>
    </row>
    <row r="928" spans="1:10" x14ac:dyDescent="0.25">
      <c r="A928" s="5"/>
      <c r="B928" s="6"/>
      <c r="C928" s="5"/>
      <c r="D928" s="5"/>
      <c r="E928" s="7"/>
      <c r="F928" s="7"/>
      <c r="G928" s="8"/>
      <c r="H928" s="7"/>
      <c r="I928" s="7"/>
      <c r="J928" s="7"/>
    </row>
    <row r="929" spans="1:10" x14ac:dyDescent="0.25">
      <c r="A929" s="5"/>
      <c r="B929" s="6"/>
      <c r="C929" s="5"/>
      <c r="D929" s="5"/>
      <c r="E929" s="7"/>
      <c r="F929" s="7"/>
      <c r="G929" s="8"/>
      <c r="H929" s="7"/>
      <c r="I929" s="7"/>
      <c r="J929" s="7"/>
    </row>
    <row r="930" spans="1:10" x14ac:dyDescent="0.25">
      <c r="A930" s="5"/>
      <c r="B930" s="6"/>
      <c r="C930" s="5"/>
      <c r="D930" s="5"/>
      <c r="E930" s="7"/>
      <c r="F930" s="7"/>
      <c r="G930" s="8"/>
      <c r="H930" s="7"/>
      <c r="I930" s="7"/>
      <c r="J930" s="7"/>
    </row>
    <row r="931" spans="1:10" x14ac:dyDescent="0.25">
      <c r="A931" s="5"/>
      <c r="B931" s="6"/>
      <c r="C931" s="5"/>
      <c r="D931" s="5"/>
      <c r="E931" s="7"/>
      <c r="F931" s="7"/>
      <c r="G931" s="8"/>
      <c r="H931" s="7"/>
      <c r="I931" s="7"/>
      <c r="J931" s="7"/>
    </row>
    <row r="932" spans="1:10" x14ac:dyDescent="0.25">
      <c r="A932" s="5"/>
      <c r="B932" s="6"/>
      <c r="C932" s="5"/>
      <c r="D932" s="5"/>
      <c r="E932" s="7"/>
      <c r="F932" s="7"/>
      <c r="G932" s="8"/>
      <c r="H932" s="7"/>
      <c r="I932" s="7"/>
      <c r="J932" s="7"/>
    </row>
    <row r="933" spans="1:10" x14ac:dyDescent="0.25">
      <c r="A933" s="5"/>
      <c r="B933" s="6"/>
      <c r="C933" s="5"/>
      <c r="D933" s="5"/>
      <c r="E933" s="7"/>
      <c r="F933" s="7"/>
      <c r="G933" s="8"/>
      <c r="H933" s="7"/>
      <c r="I933" s="7"/>
      <c r="J933" s="7"/>
    </row>
    <row r="934" spans="1:10" x14ac:dyDescent="0.25">
      <c r="A934" s="5"/>
      <c r="B934" s="6"/>
      <c r="C934" s="5"/>
      <c r="D934" s="5"/>
      <c r="E934" s="7"/>
      <c r="F934" s="7"/>
      <c r="G934" s="8"/>
      <c r="H934" s="7"/>
      <c r="I934" s="7"/>
      <c r="J934" s="7"/>
    </row>
    <row r="935" spans="1:10" x14ac:dyDescent="0.25">
      <c r="A935" s="5"/>
      <c r="B935" s="6"/>
      <c r="C935" s="5"/>
      <c r="D935" s="5"/>
      <c r="E935" s="7"/>
      <c r="F935" s="7"/>
      <c r="G935" s="8"/>
      <c r="H935" s="7"/>
      <c r="I935" s="7"/>
      <c r="J935" s="7"/>
    </row>
    <row r="936" spans="1:10" x14ac:dyDescent="0.25">
      <c r="A936" s="5"/>
      <c r="B936" s="6"/>
      <c r="C936" s="5"/>
      <c r="D936" s="5"/>
      <c r="E936" s="7"/>
      <c r="F936" s="7"/>
      <c r="G936" s="8"/>
      <c r="H936" s="7"/>
      <c r="I936" s="7"/>
      <c r="J936" s="7"/>
    </row>
    <row r="937" spans="1:10" x14ac:dyDescent="0.25">
      <c r="A937" s="5"/>
      <c r="B937" s="6"/>
      <c r="C937" s="5"/>
      <c r="D937" s="5"/>
      <c r="E937" s="7"/>
      <c r="F937" s="7"/>
      <c r="G937" s="8"/>
      <c r="H937" s="7"/>
      <c r="I937" s="7"/>
      <c r="J937" s="7"/>
    </row>
    <row r="938" spans="1:10" x14ac:dyDescent="0.25">
      <c r="A938" s="5"/>
      <c r="B938" s="6"/>
      <c r="C938" s="5"/>
      <c r="D938" s="5"/>
      <c r="E938" s="7"/>
      <c r="F938" s="7"/>
      <c r="G938" s="8"/>
      <c r="H938" s="7"/>
      <c r="I938" s="7"/>
      <c r="J938" s="7"/>
    </row>
    <row r="939" spans="1:10" x14ac:dyDescent="0.25">
      <c r="A939" s="5"/>
      <c r="B939" s="6"/>
      <c r="C939" s="5"/>
      <c r="D939" s="5"/>
      <c r="E939" s="7"/>
      <c r="F939" s="7"/>
      <c r="G939" s="8"/>
      <c r="H939" s="7"/>
      <c r="I939" s="7"/>
      <c r="J939" s="7"/>
    </row>
    <row r="940" spans="1:10" x14ac:dyDescent="0.25">
      <c r="A940" s="5"/>
      <c r="B940" s="6"/>
      <c r="C940" s="5"/>
      <c r="D940" s="5"/>
      <c r="E940" s="7"/>
      <c r="F940" s="7"/>
      <c r="G940" s="8"/>
      <c r="H940" s="7"/>
      <c r="I940" s="7"/>
      <c r="J940" s="7"/>
    </row>
    <row r="941" spans="1:10" x14ac:dyDescent="0.25">
      <c r="A941" s="5"/>
      <c r="B941" s="6"/>
      <c r="C941" s="5"/>
      <c r="D941" s="5"/>
      <c r="E941" s="7"/>
      <c r="F941" s="7"/>
      <c r="G941" s="8"/>
      <c r="H941" s="7"/>
      <c r="I941" s="7"/>
      <c r="J941" s="7"/>
    </row>
    <row r="942" spans="1:10" x14ac:dyDescent="0.25">
      <c r="A942" s="5"/>
      <c r="B942" s="6"/>
      <c r="C942" s="5"/>
      <c r="D942" s="5"/>
      <c r="E942" s="7"/>
      <c r="F942" s="7"/>
      <c r="G942" s="8"/>
      <c r="H942" s="7"/>
      <c r="I942" s="7"/>
      <c r="J942" s="7"/>
    </row>
    <row r="943" spans="1:10" x14ac:dyDescent="0.25">
      <c r="A943" s="5"/>
      <c r="B943" s="6"/>
      <c r="C943" s="5"/>
      <c r="D943" s="5"/>
      <c r="E943" s="7"/>
      <c r="F943" s="7"/>
      <c r="G943" s="8"/>
      <c r="H943" s="7"/>
      <c r="I943" s="7"/>
      <c r="J943" s="7"/>
    </row>
    <row r="944" spans="1:10" x14ac:dyDescent="0.25">
      <c r="A944" s="5"/>
      <c r="B944" s="6"/>
      <c r="C944" s="5"/>
      <c r="D944" s="5"/>
      <c r="E944" s="7"/>
      <c r="F944" s="7"/>
      <c r="G944" s="8"/>
      <c r="H944" s="7"/>
      <c r="I944" s="7"/>
      <c r="J944" s="7"/>
    </row>
    <row r="945" spans="1:10" x14ac:dyDescent="0.25">
      <c r="A945" s="5"/>
      <c r="B945" s="6"/>
      <c r="C945" s="5"/>
      <c r="D945" s="5"/>
      <c r="E945" s="7"/>
      <c r="F945" s="7"/>
      <c r="G945" s="8"/>
      <c r="H945" s="7"/>
      <c r="I945" s="7"/>
      <c r="J945" s="7"/>
    </row>
    <row r="946" spans="1:10" x14ac:dyDescent="0.25">
      <c r="A946" s="5"/>
      <c r="B946" s="6"/>
      <c r="C946" s="5"/>
      <c r="D946" s="5"/>
      <c r="E946" s="7"/>
      <c r="F946" s="7"/>
      <c r="G946" s="8"/>
      <c r="H946" s="7"/>
      <c r="I946" s="7"/>
      <c r="J946" s="7"/>
    </row>
    <row r="947" spans="1:10" x14ac:dyDescent="0.25">
      <c r="A947" s="5"/>
      <c r="B947" s="6"/>
      <c r="C947" s="5"/>
      <c r="D947" s="5"/>
      <c r="E947" s="7"/>
      <c r="F947" s="7"/>
      <c r="G947" s="8"/>
      <c r="H947" s="7"/>
      <c r="I947" s="7"/>
      <c r="J947" s="7"/>
    </row>
    <row r="948" spans="1:10" x14ac:dyDescent="0.25">
      <c r="A948" s="5"/>
      <c r="B948" s="6"/>
      <c r="C948" s="5"/>
      <c r="D948" s="5"/>
      <c r="E948" s="7"/>
      <c r="F948" s="7"/>
      <c r="G948" s="8"/>
      <c r="H948" s="7"/>
      <c r="I948" s="7"/>
      <c r="J948" s="7"/>
    </row>
    <row r="949" spans="1:10" x14ac:dyDescent="0.25">
      <c r="A949" s="5"/>
      <c r="B949" s="6"/>
      <c r="C949" s="5"/>
      <c r="D949" s="5"/>
      <c r="E949" s="7"/>
      <c r="F949" s="7"/>
      <c r="G949" s="8"/>
      <c r="H949" s="7"/>
      <c r="I949" s="7"/>
      <c r="J949" s="7"/>
    </row>
    <row r="950" spans="1:10" x14ac:dyDescent="0.25">
      <c r="A950" s="5"/>
      <c r="B950" s="6"/>
      <c r="C950" s="5"/>
      <c r="D950" s="5"/>
      <c r="E950" s="7"/>
      <c r="F950" s="7"/>
      <c r="G950" s="8"/>
      <c r="H950" s="7"/>
      <c r="I950" s="7"/>
      <c r="J950" s="7"/>
    </row>
    <row r="951" spans="1:10" x14ac:dyDescent="0.25">
      <c r="A951" s="5"/>
      <c r="B951" s="6"/>
      <c r="C951" s="5"/>
      <c r="D951" s="5"/>
      <c r="E951" s="7"/>
      <c r="F951" s="7"/>
      <c r="G951" s="8"/>
      <c r="H951" s="7"/>
      <c r="I951" s="7"/>
      <c r="J951" s="7"/>
    </row>
    <row r="952" spans="1:10" x14ac:dyDescent="0.25">
      <c r="A952" s="5"/>
      <c r="B952" s="6"/>
      <c r="C952" s="5"/>
      <c r="D952" s="5"/>
      <c r="E952" s="7"/>
      <c r="F952" s="7"/>
      <c r="G952" s="8"/>
      <c r="H952" s="7"/>
      <c r="I952" s="7"/>
      <c r="J952" s="7"/>
    </row>
    <row r="953" spans="1:10" x14ac:dyDescent="0.25">
      <c r="A953" s="5"/>
      <c r="B953" s="6"/>
      <c r="C953" s="5"/>
      <c r="D953" s="5"/>
      <c r="E953" s="7"/>
      <c r="F953" s="7"/>
      <c r="G953" s="8"/>
      <c r="H953" s="7"/>
      <c r="I953" s="7"/>
      <c r="J953" s="7"/>
    </row>
    <row r="954" spans="1:10" x14ac:dyDescent="0.25">
      <c r="A954" s="5"/>
      <c r="B954" s="6"/>
      <c r="C954" s="5"/>
      <c r="D954" s="5"/>
      <c r="E954" s="7"/>
      <c r="F954" s="7"/>
      <c r="G954" s="8"/>
      <c r="H954" s="7"/>
      <c r="I954" s="7"/>
      <c r="J954" s="7"/>
    </row>
    <row r="955" spans="1:10" x14ac:dyDescent="0.25">
      <c r="A955" s="5"/>
      <c r="B955" s="6"/>
      <c r="C955" s="5"/>
      <c r="D955" s="5"/>
      <c r="E955" s="7"/>
      <c r="F955" s="7"/>
      <c r="G955" s="8"/>
      <c r="H955" s="7"/>
      <c r="I955" s="7"/>
      <c r="J955" s="7"/>
    </row>
    <row r="956" spans="1:10" x14ac:dyDescent="0.25">
      <c r="A956" s="5"/>
      <c r="B956" s="6"/>
      <c r="C956" s="5"/>
      <c r="D956" s="5"/>
      <c r="E956" s="7"/>
      <c r="F956" s="7"/>
      <c r="G956" s="8"/>
      <c r="H956" s="7"/>
      <c r="I956" s="7"/>
      <c r="J956" s="7"/>
    </row>
    <row r="957" spans="1:10" x14ac:dyDescent="0.25">
      <c r="A957" s="5"/>
      <c r="B957" s="6"/>
      <c r="C957" s="5"/>
      <c r="D957" s="5"/>
      <c r="E957" s="7"/>
      <c r="F957" s="7"/>
      <c r="G957" s="8"/>
      <c r="H957" s="7"/>
      <c r="I957" s="7"/>
      <c r="J957" s="7"/>
    </row>
    <row r="958" spans="1:10" x14ac:dyDescent="0.25">
      <c r="A958" s="5"/>
      <c r="B958" s="6"/>
      <c r="C958" s="5"/>
      <c r="D958" s="5"/>
      <c r="E958" s="7"/>
      <c r="F958" s="7"/>
      <c r="G958" s="8"/>
      <c r="H958" s="7"/>
      <c r="I958" s="7"/>
      <c r="J958" s="7"/>
    </row>
    <row r="959" spans="1:10" x14ac:dyDescent="0.25">
      <c r="A959" s="5"/>
      <c r="B959" s="6"/>
      <c r="C959" s="5"/>
      <c r="D959" s="5"/>
      <c r="E959" s="7"/>
      <c r="F959" s="7"/>
      <c r="G959" s="8"/>
      <c r="H959" s="7"/>
      <c r="I959" s="7"/>
      <c r="J959" s="7"/>
    </row>
    <row r="960" spans="1:10" x14ac:dyDescent="0.25">
      <c r="A960" s="5"/>
      <c r="B960" s="6"/>
      <c r="C960" s="5"/>
      <c r="D960" s="5"/>
      <c r="E960" s="7"/>
      <c r="F960" s="7"/>
      <c r="G960" s="8"/>
      <c r="H960" s="7"/>
      <c r="I960" s="7"/>
      <c r="J960" s="7"/>
    </row>
    <row r="961" spans="1:10" x14ac:dyDescent="0.25">
      <c r="A961" s="5"/>
      <c r="B961" s="6"/>
      <c r="C961" s="5"/>
      <c r="D961" s="5"/>
      <c r="E961" s="7"/>
      <c r="F961" s="7"/>
      <c r="G961" s="8"/>
      <c r="H961" s="7"/>
      <c r="I961" s="7"/>
      <c r="J961" s="7"/>
    </row>
    <row r="962" spans="1:10" x14ac:dyDescent="0.25">
      <c r="A962" s="5"/>
      <c r="B962" s="6"/>
      <c r="C962" s="5"/>
      <c r="D962" s="5"/>
      <c r="E962" s="7"/>
      <c r="F962" s="7"/>
      <c r="G962" s="8"/>
      <c r="H962" s="7"/>
      <c r="I962" s="7"/>
      <c r="J962" s="7"/>
    </row>
    <row r="963" spans="1:10" x14ac:dyDescent="0.25">
      <c r="A963" s="5"/>
      <c r="B963" s="6"/>
      <c r="C963" s="5"/>
      <c r="D963" s="5"/>
      <c r="E963" s="7"/>
      <c r="F963" s="7"/>
      <c r="G963" s="8"/>
      <c r="H963" s="7"/>
      <c r="I963" s="7"/>
      <c r="J963" s="7"/>
    </row>
    <row r="964" spans="1:10" x14ac:dyDescent="0.25">
      <c r="A964" s="5"/>
      <c r="B964" s="6"/>
      <c r="C964" s="5"/>
      <c r="D964" s="5"/>
      <c r="E964" s="7"/>
      <c r="F964" s="7"/>
      <c r="G964" s="8"/>
      <c r="H964" s="7"/>
      <c r="I964" s="7"/>
      <c r="J964" s="7"/>
    </row>
    <row r="965" spans="1:10" x14ac:dyDescent="0.25">
      <c r="A965" s="5"/>
      <c r="B965" s="6"/>
      <c r="C965" s="5"/>
      <c r="D965" s="5"/>
      <c r="E965" s="7"/>
      <c r="F965" s="7"/>
      <c r="G965" s="8"/>
      <c r="H965" s="7"/>
      <c r="I965" s="7"/>
      <c r="J965" s="7"/>
    </row>
    <row r="966" spans="1:10" x14ac:dyDescent="0.25">
      <c r="A966" s="5"/>
      <c r="B966" s="6"/>
      <c r="C966" s="5"/>
      <c r="D966" s="5"/>
      <c r="E966" s="7"/>
      <c r="F966" s="7"/>
      <c r="G966" s="8"/>
      <c r="H966" s="7"/>
      <c r="I966" s="7"/>
      <c r="J966" s="7"/>
    </row>
    <row r="967" spans="1:10" x14ac:dyDescent="0.25">
      <c r="A967" s="5"/>
      <c r="B967" s="6"/>
      <c r="C967" s="5"/>
      <c r="D967" s="5"/>
      <c r="E967" s="7"/>
      <c r="F967" s="7"/>
      <c r="G967" s="8"/>
      <c r="H967" s="7"/>
      <c r="I967" s="7"/>
      <c r="J967" s="7"/>
    </row>
    <row r="968" spans="1:10" x14ac:dyDescent="0.25">
      <c r="A968" s="5"/>
      <c r="B968" s="6"/>
      <c r="C968" s="5"/>
      <c r="D968" s="5"/>
      <c r="E968" s="7"/>
      <c r="F968" s="7"/>
      <c r="G968" s="8"/>
      <c r="H968" s="7"/>
      <c r="I968" s="7"/>
      <c r="J968" s="7"/>
    </row>
    <row r="969" spans="1:10" x14ac:dyDescent="0.25">
      <c r="A969" s="5"/>
      <c r="B969" s="6"/>
      <c r="C969" s="5"/>
      <c r="D969" s="5"/>
      <c r="E969" s="7"/>
      <c r="F969" s="7"/>
      <c r="G969" s="8"/>
      <c r="H969" s="7"/>
      <c r="I969" s="7"/>
      <c r="J969" s="7"/>
    </row>
    <row r="970" spans="1:10" x14ac:dyDescent="0.25">
      <c r="A970" s="5"/>
      <c r="B970" s="6"/>
      <c r="C970" s="5"/>
      <c r="D970" s="5"/>
      <c r="E970" s="7"/>
      <c r="F970" s="7"/>
      <c r="G970" s="8"/>
      <c r="H970" s="7"/>
      <c r="I970" s="7"/>
      <c r="J970" s="7"/>
    </row>
    <row r="971" spans="1:10" x14ac:dyDescent="0.25">
      <c r="A971" s="5"/>
      <c r="B971" s="6"/>
      <c r="C971" s="5"/>
      <c r="D971" s="5"/>
      <c r="E971" s="7"/>
      <c r="F971" s="7"/>
      <c r="G971" s="8"/>
      <c r="H971" s="7"/>
      <c r="I971" s="7"/>
      <c r="J971" s="7"/>
    </row>
    <row r="972" spans="1:10" x14ac:dyDescent="0.25">
      <c r="A972" s="5"/>
      <c r="B972" s="6"/>
      <c r="C972" s="5"/>
      <c r="D972" s="5"/>
      <c r="E972" s="7"/>
      <c r="F972" s="7"/>
      <c r="G972" s="8"/>
      <c r="H972" s="7"/>
      <c r="I972" s="7"/>
      <c r="J972" s="7"/>
    </row>
    <row r="973" spans="1:10" x14ac:dyDescent="0.25">
      <c r="A973" s="5"/>
      <c r="B973" s="6"/>
      <c r="C973" s="5"/>
      <c r="D973" s="5"/>
      <c r="E973" s="7"/>
      <c r="F973" s="7"/>
      <c r="G973" s="8"/>
      <c r="H973" s="7"/>
      <c r="I973" s="7"/>
      <c r="J973" s="7"/>
    </row>
    <row r="974" spans="1:10" x14ac:dyDescent="0.25">
      <c r="A974" s="5"/>
      <c r="B974" s="6"/>
      <c r="C974" s="5"/>
      <c r="D974" s="5"/>
      <c r="E974" s="7"/>
      <c r="F974" s="7"/>
      <c r="G974" s="8"/>
      <c r="H974" s="7"/>
      <c r="I974" s="7"/>
      <c r="J974" s="7"/>
    </row>
    <row r="975" spans="1:10" x14ac:dyDescent="0.25">
      <c r="A975" s="5"/>
      <c r="B975" s="6"/>
      <c r="C975" s="5"/>
      <c r="D975" s="5"/>
      <c r="E975" s="7"/>
      <c r="F975" s="7"/>
      <c r="G975" s="8"/>
      <c r="H975" s="7"/>
      <c r="I975" s="7"/>
      <c r="J975" s="7"/>
    </row>
    <row r="976" spans="1:10" x14ac:dyDescent="0.25">
      <c r="A976" s="5"/>
      <c r="B976" s="6"/>
      <c r="C976" s="5"/>
      <c r="D976" s="5"/>
      <c r="E976" s="7"/>
      <c r="F976" s="7"/>
      <c r="G976" s="8"/>
      <c r="H976" s="7"/>
      <c r="I976" s="7"/>
      <c r="J976" s="7"/>
    </row>
    <row r="977" spans="1:10" x14ac:dyDescent="0.25">
      <c r="A977" s="5"/>
      <c r="B977" s="6"/>
      <c r="C977" s="5"/>
      <c r="D977" s="5"/>
      <c r="E977" s="7"/>
      <c r="F977" s="7"/>
      <c r="G977" s="8"/>
      <c r="H977" s="7"/>
      <c r="I977" s="7"/>
      <c r="J977" s="7"/>
    </row>
    <row r="978" spans="1:10" x14ac:dyDescent="0.25">
      <c r="A978" s="5"/>
      <c r="B978" s="6"/>
      <c r="C978" s="5"/>
      <c r="D978" s="5"/>
      <c r="E978" s="7"/>
      <c r="F978" s="7"/>
      <c r="G978" s="8"/>
      <c r="H978" s="7"/>
      <c r="I978" s="7"/>
      <c r="J978" s="7"/>
    </row>
    <row r="979" spans="1:10" x14ac:dyDescent="0.25">
      <c r="A979" s="5"/>
      <c r="B979" s="6"/>
      <c r="C979" s="5"/>
      <c r="D979" s="5"/>
      <c r="E979" s="7"/>
      <c r="F979" s="7"/>
      <c r="G979" s="8"/>
      <c r="H979" s="7"/>
      <c r="I979" s="7"/>
      <c r="J979" s="7"/>
    </row>
    <row r="980" spans="1:10" x14ac:dyDescent="0.25">
      <c r="A980" s="5"/>
      <c r="B980" s="6"/>
      <c r="C980" s="5"/>
      <c r="D980" s="5"/>
      <c r="E980" s="7"/>
      <c r="F980" s="7"/>
      <c r="G980" s="8"/>
      <c r="H980" s="7"/>
      <c r="I980" s="7"/>
      <c r="J980" s="7"/>
    </row>
    <row r="981" spans="1:10" x14ac:dyDescent="0.25">
      <c r="A981" s="5"/>
      <c r="B981" s="6"/>
      <c r="C981" s="5"/>
      <c r="D981" s="5"/>
      <c r="E981" s="7"/>
      <c r="F981" s="7"/>
      <c r="G981" s="8"/>
      <c r="H981" s="7"/>
      <c r="I981" s="7"/>
      <c r="J981" s="7"/>
    </row>
    <row r="982" spans="1:10" x14ac:dyDescent="0.25">
      <c r="A982" s="5"/>
      <c r="B982" s="6"/>
      <c r="C982" s="5"/>
      <c r="D982" s="5"/>
      <c r="E982" s="7"/>
      <c r="F982" s="7"/>
      <c r="G982" s="8"/>
      <c r="H982" s="7"/>
      <c r="I982" s="7"/>
      <c r="J982" s="7"/>
    </row>
    <row r="983" spans="1:10" x14ac:dyDescent="0.25">
      <c r="A983" s="5"/>
      <c r="B983" s="6"/>
      <c r="C983" s="5"/>
      <c r="D983" s="5"/>
      <c r="E983" s="7"/>
      <c r="F983" s="7"/>
      <c r="G983" s="8"/>
      <c r="H983" s="7"/>
      <c r="I983" s="7"/>
      <c r="J983" s="7"/>
    </row>
    <row r="984" spans="1:10" x14ac:dyDescent="0.25">
      <c r="A984" s="5"/>
      <c r="B984" s="6"/>
      <c r="C984" s="5"/>
      <c r="D984" s="5"/>
      <c r="E984" s="7"/>
      <c r="F984" s="7"/>
      <c r="G984" s="8"/>
      <c r="H984" s="7"/>
      <c r="I984" s="7"/>
      <c r="J984" s="7"/>
    </row>
    <row r="985" spans="1:10" x14ac:dyDescent="0.25">
      <c r="A985" s="5"/>
      <c r="B985" s="6"/>
      <c r="C985" s="5"/>
      <c r="D985" s="5"/>
      <c r="E985" s="7"/>
      <c r="F985" s="7"/>
      <c r="G985" s="8"/>
      <c r="H985" s="7"/>
      <c r="I985" s="7"/>
      <c r="J985" s="7"/>
    </row>
    <row r="986" spans="1:10" x14ac:dyDescent="0.25">
      <c r="A986" s="5"/>
      <c r="B986" s="6"/>
      <c r="C986" s="5"/>
      <c r="D986" s="5"/>
      <c r="E986" s="7"/>
      <c r="F986" s="7"/>
      <c r="G986" s="8"/>
      <c r="H986" s="7"/>
      <c r="I986" s="7"/>
      <c r="J986" s="7"/>
    </row>
    <row r="987" spans="1:10" x14ac:dyDescent="0.25">
      <c r="A987" s="5"/>
      <c r="B987" s="6"/>
      <c r="C987" s="5"/>
      <c r="D987" s="5"/>
      <c r="E987" s="7"/>
      <c r="F987" s="7"/>
      <c r="G987" s="8"/>
      <c r="H987" s="7"/>
      <c r="I987" s="7"/>
      <c r="J987" s="7"/>
    </row>
    <row r="988" spans="1:10" x14ac:dyDescent="0.25">
      <c r="A988" s="5"/>
      <c r="B988" s="6"/>
      <c r="C988" s="5"/>
      <c r="D988" s="5"/>
      <c r="E988" s="7"/>
      <c r="F988" s="7"/>
      <c r="G988" s="8"/>
      <c r="H988" s="7"/>
      <c r="I988" s="7"/>
      <c r="J988" s="7"/>
    </row>
    <row r="989" spans="1:10" x14ac:dyDescent="0.25">
      <c r="A989" s="5"/>
      <c r="B989" s="6"/>
      <c r="C989" s="5"/>
      <c r="D989" s="5"/>
      <c r="E989" s="7"/>
      <c r="F989" s="7"/>
      <c r="G989" s="8"/>
      <c r="H989" s="7"/>
      <c r="I989" s="7"/>
      <c r="J989" s="7"/>
    </row>
    <row r="990" spans="1:10" x14ac:dyDescent="0.25">
      <c r="A990" s="5"/>
      <c r="B990" s="6"/>
      <c r="C990" s="5"/>
      <c r="D990" s="5"/>
      <c r="E990" s="7"/>
      <c r="F990" s="7"/>
      <c r="G990" s="8"/>
      <c r="H990" s="7"/>
      <c r="I990" s="7"/>
      <c r="J990" s="7"/>
    </row>
    <row r="991" spans="1:10" x14ac:dyDescent="0.25">
      <c r="A991" s="5"/>
      <c r="B991" s="6"/>
      <c r="C991" s="5"/>
      <c r="D991" s="5"/>
      <c r="E991" s="7"/>
      <c r="F991" s="7"/>
      <c r="G991" s="8"/>
      <c r="H991" s="7"/>
      <c r="I991" s="7"/>
      <c r="J991" s="7"/>
    </row>
    <row r="992" spans="1:10" x14ac:dyDescent="0.25">
      <c r="A992" s="5"/>
      <c r="B992" s="6"/>
      <c r="C992" s="5"/>
      <c r="D992" s="5"/>
      <c r="E992" s="7"/>
      <c r="F992" s="7"/>
      <c r="G992" s="8"/>
      <c r="H992" s="7"/>
      <c r="I992" s="7"/>
      <c r="J992" s="7"/>
    </row>
    <row r="993" spans="1:10" x14ac:dyDescent="0.25">
      <c r="A993" s="5"/>
      <c r="B993" s="6"/>
      <c r="C993" s="5"/>
      <c r="D993" s="5"/>
      <c r="E993" s="7"/>
      <c r="F993" s="7"/>
      <c r="G993" s="8"/>
      <c r="H993" s="7"/>
      <c r="I993" s="7"/>
      <c r="J993" s="7"/>
    </row>
    <row r="994" spans="1:10" x14ac:dyDescent="0.25">
      <c r="A994" s="5"/>
      <c r="B994" s="6"/>
      <c r="C994" s="5"/>
      <c r="D994" s="5"/>
      <c r="E994" s="7"/>
      <c r="F994" s="7"/>
      <c r="G994" s="8"/>
      <c r="H994" s="7"/>
      <c r="I994" s="7"/>
      <c r="J994" s="7"/>
    </row>
    <row r="995" spans="1:10" x14ac:dyDescent="0.25">
      <c r="A995" s="5"/>
      <c r="B995" s="6"/>
      <c r="C995" s="5"/>
      <c r="D995" s="5"/>
      <c r="E995" s="7"/>
      <c r="F995" s="7"/>
      <c r="G995" s="8"/>
      <c r="H995" s="7"/>
      <c r="I995" s="7"/>
      <c r="J995" s="7"/>
    </row>
    <row r="996" spans="1:10" x14ac:dyDescent="0.25">
      <c r="A996" s="5"/>
      <c r="B996" s="6"/>
      <c r="C996" s="5"/>
      <c r="D996" s="5"/>
      <c r="E996" s="7"/>
      <c r="F996" s="7"/>
      <c r="G996" s="8"/>
      <c r="H996" s="7"/>
      <c r="I996" s="7"/>
      <c r="J996" s="7"/>
    </row>
    <row r="997" spans="1:10" x14ac:dyDescent="0.25">
      <c r="A997" s="5"/>
      <c r="B997" s="6"/>
      <c r="C997" s="5"/>
      <c r="D997" s="5"/>
      <c r="E997" s="7"/>
      <c r="F997" s="7"/>
      <c r="G997" s="8"/>
      <c r="H997" s="7"/>
      <c r="I997" s="7"/>
      <c r="J997" s="7"/>
    </row>
    <row r="998" spans="1:10" x14ac:dyDescent="0.25">
      <c r="A998" s="5"/>
      <c r="B998" s="6"/>
      <c r="C998" s="5"/>
      <c r="D998" s="5"/>
      <c r="E998" s="7"/>
      <c r="F998" s="7"/>
      <c r="G998" s="8"/>
      <c r="H998" s="7"/>
      <c r="I998" s="7"/>
      <c r="J998" s="7"/>
    </row>
    <row r="999" spans="1:10" x14ac:dyDescent="0.25">
      <c r="A999" s="5"/>
      <c r="B999" s="6"/>
      <c r="C999" s="5"/>
      <c r="D999" s="5"/>
      <c r="E999" s="7"/>
      <c r="F999" s="7"/>
      <c r="G999" s="8"/>
      <c r="H999" s="7"/>
      <c r="I999" s="7"/>
      <c r="J999" s="7"/>
    </row>
    <row r="1000" spans="1:10" x14ac:dyDescent="0.25">
      <c r="A1000" s="5"/>
      <c r="B1000" s="6"/>
      <c r="C1000" s="5"/>
      <c r="D1000" s="5"/>
      <c r="E1000" s="7"/>
      <c r="F1000" s="7"/>
      <c r="G1000" s="8"/>
      <c r="H1000" s="7"/>
      <c r="I1000" s="7"/>
      <c r="J1000" s="7"/>
    </row>
    <row r="1001" spans="1:10" x14ac:dyDescent="0.25">
      <c r="A1001" s="5"/>
      <c r="B1001" s="6"/>
      <c r="C1001" s="5"/>
      <c r="D1001" s="5"/>
      <c r="E1001" s="7"/>
      <c r="F1001" s="7"/>
      <c r="G1001" s="8"/>
      <c r="H1001" s="7"/>
      <c r="I1001" s="7"/>
      <c r="J1001" s="7"/>
    </row>
  </sheetData>
  <dataValidations count="3">
    <dataValidation type="list" allowBlank="1" showErrorMessage="1" errorTitle="Bus" error="Escribe TDS, PIN o PKS." sqref="A2:A1001" xr:uid="{00000000-0002-0000-0100-000000000000}">
      <formula1>"TDS,PIN,PKS"</formula1>
      <formula2>0</formula2>
    </dataValidation>
    <dataValidation type="date" operator="greaterThan" allowBlank="1" showErrorMessage="1" errorTitle="Fecha" error="Escribe una fecha válida (ej. 24-10-26)." sqref="B2:B1001" xr:uid="{00000000-0002-0000-0100-000001000000}">
      <formula1>36526</formula1>
      <formula2>0</formula2>
    </dataValidation>
    <dataValidation type="decimal" operator="greaterThanOrEqual" allowBlank="1" showErrorMessage="1" errorTitle="Monto" error="Escribe un número mayor o igual a 0." sqref="G2:G1001" xr:uid="{00000000-0002-0000-0100-000002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69"/>
  <sheetViews>
    <sheetView zoomScaleNormal="100" workbookViewId="0">
      <pane ySplit="7" topLeftCell="A26" activePane="bottomLeft" state="frozen"/>
      <selection activeCell="E21" sqref="E21"/>
      <selection pane="bottomLeft" activeCell="G32" sqref="G32"/>
    </sheetView>
  </sheetViews>
  <sheetFormatPr baseColWidth="10" defaultColWidth="8.7109375" defaultRowHeight="15" x14ac:dyDescent="0.25"/>
  <cols>
    <col min="1" max="1" width="10" customWidth="1"/>
    <col min="2" max="2" width="11" customWidth="1"/>
    <col min="3" max="3" width="9" customWidth="1"/>
    <col min="4" max="4" width="16" customWidth="1"/>
    <col min="5" max="5" width="26" customWidth="1"/>
    <col min="6" max="7" width="13" customWidth="1"/>
    <col min="8" max="8" width="24" customWidth="1"/>
    <col min="9" max="10" width="13" customWidth="1"/>
    <col min="11" max="12" width="15" customWidth="1"/>
    <col min="13" max="13" width="26" customWidth="1"/>
    <col min="14" max="14" width="12" customWidth="1"/>
    <col min="15" max="15" width="13" customWidth="1"/>
    <col min="16" max="16" width="22" customWidth="1"/>
    <col min="17" max="17" width="12" customWidth="1"/>
    <col min="18" max="18" width="13" customWidth="1"/>
    <col min="19" max="19" width="26" customWidth="1"/>
  </cols>
  <sheetData>
    <row r="1" spans="1:19" ht="18" customHeight="1" x14ac:dyDescent="0.25">
      <c r="A1" s="9" t="s">
        <v>180</v>
      </c>
    </row>
    <row r="2" spans="1:19" x14ac:dyDescent="0.25">
      <c r="A2" s="10" t="s">
        <v>181</v>
      </c>
    </row>
    <row r="3" spans="1:19" x14ac:dyDescent="0.25">
      <c r="A3" s="11" t="s">
        <v>182</v>
      </c>
      <c r="B3" s="12" t="s">
        <v>26</v>
      </c>
      <c r="C3" s="11" t="s">
        <v>183</v>
      </c>
      <c r="D3" s="12">
        <v>2026</v>
      </c>
      <c r="E3" s="11" t="s">
        <v>184</v>
      </c>
      <c r="F3" s="12" t="s">
        <v>185</v>
      </c>
      <c r="G3" s="11" t="s">
        <v>186</v>
      </c>
      <c r="H3" s="13">
        <f>$D$3*100+MATCH($F$3,{"Enero","Febrero","Marzo","Abril","Mayo","Junio","Julio","Agosto","Septiembre","Octubre","Noviembre","Diciembre"},0)</f>
        <v>202610</v>
      </c>
    </row>
    <row r="5" spans="1:19" ht="15" customHeight="1" x14ac:dyDescent="0.25">
      <c r="A5" s="37" t="s">
        <v>187</v>
      </c>
      <c r="B5" s="37"/>
      <c r="C5" s="37"/>
      <c r="D5" s="37"/>
      <c r="E5" s="38" t="s">
        <v>188</v>
      </c>
      <c r="F5" s="38"/>
      <c r="G5" s="38"/>
      <c r="H5" s="38" t="s">
        <v>189</v>
      </c>
      <c r="I5" s="38"/>
      <c r="J5" s="38"/>
      <c r="K5" s="38"/>
      <c r="L5" s="38"/>
      <c r="M5" s="38" t="s">
        <v>190</v>
      </c>
      <c r="N5" s="38"/>
      <c r="O5" s="38"/>
      <c r="P5" s="38" t="s">
        <v>191</v>
      </c>
      <c r="Q5" s="38"/>
      <c r="R5" s="38"/>
      <c r="S5" s="14" t="s">
        <v>192</v>
      </c>
    </row>
    <row r="6" spans="1:19" ht="42" customHeight="1" x14ac:dyDescent="0.25">
      <c r="A6" s="4" t="s">
        <v>193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194</v>
      </c>
      <c r="G6" s="4" t="s">
        <v>195</v>
      </c>
      <c r="H6" s="4" t="s">
        <v>21</v>
      </c>
      <c r="I6" s="4" t="s">
        <v>196</v>
      </c>
      <c r="J6" s="4" t="s">
        <v>197</v>
      </c>
      <c r="K6" s="4" t="s">
        <v>198</v>
      </c>
      <c r="L6" s="4" t="s">
        <v>22</v>
      </c>
      <c r="M6" s="4" t="s">
        <v>199</v>
      </c>
      <c r="N6" s="4" t="s">
        <v>200</v>
      </c>
      <c r="O6" s="4" t="s">
        <v>201</v>
      </c>
      <c r="P6" s="4" t="s">
        <v>202</v>
      </c>
      <c r="Q6" s="4" t="s">
        <v>203</v>
      </c>
      <c r="R6" s="4" t="s">
        <v>204</v>
      </c>
      <c r="S6" s="4" t="s">
        <v>25</v>
      </c>
    </row>
    <row r="7" spans="1:19" x14ac:dyDescent="0.25">
      <c r="A7" s="15"/>
      <c r="B7" s="15" t="s">
        <v>205</v>
      </c>
      <c r="C7" s="16">
        <f>COUNT(B8:B69)</f>
        <v>26</v>
      </c>
      <c r="D7" s="15"/>
      <c r="E7" s="15"/>
      <c r="F7" s="17">
        <f>SUM(F8:F69)</f>
        <v>1106</v>
      </c>
      <c r="G7" s="18">
        <f>SUM(G8:G69)</f>
        <v>53675</v>
      </c>
      <c r="H7" s="15"/>
      <c r="I7" s="17">
        <f>SUM(I8:I69)</f>
        <v>23</v>
      </c>
      <c r="J7" s="18">
        <f>SUM(J8:J69)</f>
        <v>72319</v>
      </c>
      <c r="K7" s="15"/>
      <c r="L7" s="18">
        <f>SUM(L8:L69)</f>
        <v>72319</v>
      </c>
      <c r="M7" s="15"/>
      <c r="N7" s="18">
        <f>SUM(N8:N69)</f>
        <v>3577</v>
      </c>
      <c r="O7" s="18">
        <f>SUM(O8:O69)</f>
        <v>68742</v>
      </c>
      <c r="P7" s="15"/>
      <c r="Q7" s="18">
        <f>SUM(Q8:Q69)</f>
        <v>65990</v>
      </c>
      <c r="R7" s="18">
        <f>SUM(R8:R69)</f>
        <v>2752</v>
      </c>
      <c r="S7" s="15"/>
    </row>
    <row r="8" spans="1:19" ht="18" customHeight="1" x14ac:dyDescent="0.25">
      <c r="A8" s="19">
        <f>IFERROR(MOD(SMALL(Cálculo!$M$2:$M$1001,ROWS(A$8:A8)),10000),"")</f>
        <v>2</v>
      </c>
      <c r="B8" s="20">
        <f>IF($A8="","",IF(INDEX(Registro!$B$1:$B$1001,$A8)="","",INDEX(Registro!$B$1:$B$1001,$A8)))</f>
        <v>46296</v>
      </c>
      <c r="C8" s="21" t="str">
        <f>IF($A8="","",IF(INDEX(Registro!$C$1:$C$1001,$A8)="","",INDEX(Registro!$C$1:$C$1001,$A8)))</f>
        <v>Lp</v>
      </c>
      <c r="D8" s="21" t="str">
        <f>IF($A8="","",IF(INDEX(Registro!$D$1:$D$1001,$A8)="","",INDEX(Registro!$D$1:$D$1001,$A8)))</f>
        <v>08:30 - 15:30</v>
      </c>
      <c r="E8" s="22" t="str">
        <f>IF($A8="","",IF(INDEX(Registro!$E$1:$E$1001,$A8)="","",INDEX(Registro!$E$1:$E$1001,$A8)))</f>
        <v>25x40; 3x50</v>
      </c>
      <c r="F8" s="23">
        <f>IF($A8="","",IF(INDEX(Cálculo!$D$1:$D$1001,$A8)="","",INDEX(Cálculo!$D$1:$D$1001,$A8)))</f>
        <v>28</v>
      </c>
      <c r="G8" s="24">
        <f>IF($A8="","",IF(INDEX(Cálculo!$E$1:$E$1001,$A8)="","",INDEX(Cálculo!$E$1:$E$1001,$A8)))</f>
        <v>1150</v>
      </c>
      <c r="H8" s="22" t="str">
        <f>IF($A8="","",IF(INDEX(Registro!$F$1:$F$1001,$A8)="","",INDEX(Registro!$F$1:$F$1001,$A8)))</f>
        <v>1x3300</v>
      </c>
      <c r="I8" s="23">
        <f>IF($A8="","",IF(INDEX(Cálculo!$F$1:$F$1001,$A8)="","",INDEX(Cálculo!$F$1:$F$1001,$A8)))</f>
        <v>1</v>
      </c>
      <c r="J8" s="24">
        <f>IF($A8="","",IF(INDEX(Cálculo!$G$1:$G$1001,$A8)="","",INDEX(Cálculo!$G$1:$G$1001,$A8)))</f>
        <v>3300</v>
      </c>
      <c r="K8" s="21" t="str">
        <f>IF($A8="","",IF(INDEX(Cálculo!$H$1:$H$1001,$A8)="","",INDEX(Cálculo!$H$1:$H$1001,$A8)))</f>
        <v>CONFORME</v>
      </c>
      <c r="L8" s="24">
        <f>IF($A8="","",IF(INDEX(Registro!$G$1:$G$1001,$A8)="","",INDEX(Registro!$G$1:$G$1001,$A8)))</f>
        <v>3300</v>
      </c>
      <c r="M8" s="22" t="str">
        <f>IF($A8="","",IF(INDEX(Registro!$H$1:$H$1001,$A8)="","",INDEX(Registro!$H$1:$H$1001,$A8)))</f>
        <v>Peaje 50; Veatico 50</v>
      </c>
      <c r="N8" s="24">
        <f>IF($A8="","",IF(INDEX(Cálculo!$I$1:$I$1001,$A8)="","",INDEX(Cálculo!$I$1:$I$1001,$A8)))</f>
        <v>100</v>
      </c>
      <c r="O8" s="24">
        <f>IF($A8="","",IF(INDEX(Cálculo!$K$1:$K$1001,$A8)="","",INDEX(Cálculo!$K$1:$K$1001,$A8)))</f>
        <v>3200</v>
      </c>
      <c r="P8" s="22" t="str">
        <f>IF($A8="","",IF(INDEX(Registro!$I$1:$I$1001,$A8)="","",INDEX(Registro!$I$1:$I$1001,$A8)))</f>
        <v/>
      </c>
      <c r="Q8" s="24" t="str">
        <f>IF($A8="","",IF(INDEX(Cálculo!$J$1:$J$1001,$A8)="","",INDEX(Cálculo!$J$1:$J$1001,$A8)))</f>
        <v/>
      </c>
      <c r="R8" s="24">
        <f>IF($A8="","",IF(INDEX(Cálculo!$L$1:$L$1001,$A8)="","",INDEX(Cálculo!$L$1:$L$1001,$A8)))</f>
        <v>3200</v>
      </c>
      <c r="S8" s="22" t="str">
        <f>IF($A8="","",IF(INDEX(Registro!$J$1:$J$1001,$A8)="","",INDEX(Registro!$J$1:$J$1001,$A8)))</f>
        <v/>
      </c>
    </row>
    <row r="9" spans="1:19" ht="18" customHeight="1" x14ac:dyDescent="0.25">
      <c r="A9" s="19">
        <f>IFERROR(MOD(SMALL(Cálculo!$M$2:$M$1001,ROWS(A$8:A9)),10000),"")</f>
        <v>3</v>
      </c>
      <c r="B9" s="20">
        <f>IF($A9="","",IF(INDEX(Registro!$B$1:$B$1001,$A9)="","",INDEX(Registro!$B$1:$B$1001,$A9)))</f>
        <v>46297</v>
      </c>
      <c r="C9" s="21" t="str">
        <f>IF($A9="","",IF(INDEX(Registro!$C$1:$C$1001,$A9)="","",INDEX(Registro!$C$1:$C$1001,$A9)))</f>
        <v>Cbba</v>
      </c>
      <c r="D9" s="21" t="str">
        <f>IF($A9="","",IF(INDEX(Registro!$D$1:$D$1001,$A9)="","",INDEX(Registro!$D$1:$D$1001,$A9)))</f>
        <v>6:30 - 17:30</v>
      </c>
      <c r="E9" s="22" t="str">
        <f>IF($A9="","",IF(INDEX(Registro!$E$1:$E$1001,$A9)="","",INDEX(Registro!$E$1:$E$1001,$A9)))</f>
        <v>15x40; 15x50; 5x60</v>
      </c>
      <c r="F9" s="23">
        <f>IF($A9="","",IF(INDEX(Cálculo!$D$1:$D$1001,$A9)="","",INDEX(Cálculo!$D$1:$D$1001,$A9)))</f>
        <v>35</v>
      </c>
      <c r="G9" s="24">
        <f>IF($A9="","",IF(INDEX(Cálculo!$E$1:$E$1001,$A9)="","",INDEX(Cálculo!$E$1:$E$1001,$A9)))</f>
        <v>1650</v>
      </c>
      <c r="H9" s="22" t="str">
        <f>IF($A9="","",IF(INDEX(Registro!$F$1:$F$1001,$A9)="","",INDEX(Registro!$F$1:$F$1001,$A9)))</f>
        <v>1x4060</v>
      </c>
      <c r="I9" s="23">
        <f>IF($A9="","",IF(INDEX(Cálculo!$F$1:$F$1001,$A9)="","",INDEX(Cálculo!$F$1:$F$1001,$A9)))</f>
        <v>1</v>
      </c>
      <c r="J9" s="24">
        <f>IF($A9="","",IF(INDEX(Cálculo!$G$1:$G$1001,$A9)="","",INDEX(Cálculo!$G$1:$G$1001,$A9)))</f>
        <v>4060</v>
      </c>
      <c r="K9" s="21" t="str">
        <f>IF($A9="","",IF(INDEX(Cálculo!$H$1:$H$1001,$A9)="","",INDEX(Cálculo!$H$1:$H$1001,$A9)))</f>
        <v>CONFORME</v>
      </c>
      <c r="L9" s="24">
        <f>IF($A9="","",IF(INDEX(Registro!$G$1:$G$1001,$A9)="","",INDEX(Registro!$G$1:$G$1001,$A9)))</f>
        <v>4060</v>
      </c>
      <c r="M9" s="22" t="str">
        <f>IF($A9="","",IF(INDEX(Registro!$H$1:$H$1001,$A9)="","",INDEX(Registro!$H$1:$H$1001,$A9)))</f>
        <v>Peaje 50; Veatico 50; Gasto 100</v>
      </c>
      <c r="N9" s="24">
        <f>IF($A9="","",IF(INDEX(Cálculo!$I$1:$I$1001,$A9)="","",INDEX(Cálculo!$I$1:$I$1001,$A9)))</f>
        <v>200</v>
      </c>
      <c r="O9" s="24">
        <f>IF($A9="","",IF(INDEX(Cálculo!$K$1:$K$1001,$A9)="","",INDEX(Cálculo!$K$1:$K$1001,$A9)))</f>
        <v>3860</v>
      </c>
      <c r="P9" s="22" t="str">
        <f>IF($A9="","",IF(INDEX(Registro!$I$1:$I$1001,$A9)="","",INDEX(Registro!$I$1:$I$1001,$A9)))</f>
        <v/>
      </c>
      <c r="Q9" s="24" t="str">
        <f>IF($A9="","",IF(INDEX(Cálculo!$J$1:$J$1001,$A9)="","",INDEX(Cálculo!$J$1:$J$1001,$A9)))</f>
        <v/>
      </c>
      <c r="R9" s="24">
        <f>IF($A9="","",IF(INDEX(Cálculo!$L$1:$L$1001,$A9)="","",INDEX(Cálculo!$L$1:$L$1001,$A9)))</f>
        <v>3860</v>
      </c>
      <c r="S9" s="22" t="str">
        <f>IF($A9="","",IF(INDEX(Registro!$J$1:$J$1001,$A9)="","",INDEX(Registro!$J$1:$J$1001,$A9)))</f>
        <v/>
      </c>
    </row>
    <row r="10" spans="1:19" ht="18" customHeight="1" x14ac:dyDescent="0.25">
      <c r="A10" s="19">
        <f>IFERROR(MOD(SMALL(Cálculo!$M$2:$M$1001,ROWS(A$8:A10)),10000),"")</f>
        <v>4</v>
      </c>
      <c r="B10" s="20">
        <f>IF($A10="","",IF(INDEX(Registro!$B$1:$B$1001,$A10)="","",INDEX(Registro!$B$1:$B$1001,$A10)))</f>
        <v>46298</v>
      </c>
      <c r="C10" s="21" t="str">
        <f>IF($A10="","",IF(INDEX(Registro!$C$1:$C$1001,$A10)="","",INDEX(Registro!$C$1:$C$1001,$A10)))</f>
        <v>Cbba</v>
      </c>
      <c r="D10" s="21" t="str">
        <f>IF($A10="","",IF(INDEX(Registro!$D$1:$D$1001,$A10)="","",INDEX(Registro!$D$1:$D$1001,$A10)))</f>
        <v>5:30 - 15:30</v>
      </c>
      <c r="E10" s="22" t="str">
        <f>IF($A10="","",IF(INDEX(Registro!$E$1:$E$1001,$A10)="","",INDEX(Registro!$E$1:$E$1001,$A10)))</f>
        <v>43x50; 2x80; 10x70</v>
      </c>
      <c r="F10" s="23">
        <f>IF($A10="","",IF(INDEX(Cálculo!$D$1:$D$1001,$A10)="","",INDEX(Cálculo!$D$1:$D$1001,$A10)))</f>
        <v>55</v>
      </c>
      <c r="G10" s="24">
        <f>IF($A10="","",IF(INDEX(Cálculo!$E$1:$E$1001,$A10)="","",INDEX(Cálculo!$E$1:$E$1001,$A10)))</f>
        <v>3010</v>
      </c>
      <c r="H10" s="22" t="str">
        <f>IF($A10="","",IF(INDEX(Registro!$F$1:$F$1001,$A10)="","",INDEX(Registro!$F$1:$F$1001,$A10)))</f>
        <v>1x3599</v>
      </c>
      <c r="I10" s="23">
        <f>IF($A10="","",IF(INDEX(Cálculo!$F$1:$F$1001,$A10)="","",INDEX(Cálculo!$F$1:$F$1001,$A10)))</f>
        <v>1</v>
      </c>
      <c r="J10" s="24">
        <f>IF($A10="","",IF(INDEX(Cálculo!$G$1:$G$1001,$A10)="","",INDEX(Cálculo!$G$1:$G$1001,$A10)))</f>
        <v>3599</v>
      </c>
      <c r="K10" s="21" t="str">
        <f>IF($A10="","",IF(INDEX(Cálculo!$H$1:$H$1001,$A10)="","",INDEX(Cálculo!$H$1:$H$1001,$A10)))</f>
        <v>CONFORME</v>
      </c>
      <c r="L10" s="24">
        <f>IF($A10="","",IF(INDEX(Registro!$G$1:$G$1001,$A10)="","",INDEX(Registro!$G$1:$G$1001,$A10)))</f>
        <v>3599</v>
      </c>
      <c r="M10" s="22" t="str">
        <f>IF($A10="","",IF(INDEX(Registro!$H$1:$H$1001,$A10)="","",INDEX(Registro!$H$1:$H$1001,$A10)))</f>
        <v>Peaje 50; Veatico 50</v>
      </c>
      <c r="N10" s="24">
        <f>IF($A10="","",IF(INDEX(Cálculo!$I$1:$I$1001,$A10)="","",INDEX(Cálculo!$I$1:$I$1001,$A10)))</f>
        <v>100</v>
      </c>
      <c r="O10" s="24">
        <f>IF($A10="","",IF(INDEX(Cálculo!$K$1:$K$1001,$A10)="","",INDEX(Cálculo!$K$1:$K$1001,$A10)))</f>
        <v>3499</v>
      </c>
      <c r="P10" s="22" t="str">
        <f>IF($A10="","",IF(INDEX(Registro!$I$1:$I$1001,$A10)="","",INDEX(Registro!$I$1:$I$1001,$A10)))</f>
        <v>Diesel 8400</v>
      </c>
      <c r="Q10" s="24">
        <f>IF($A10="","",IF(INDEX(Cálculo!$J$1:$J$1001,$A10)="","",INDEX(Cálculo!$J$1:$J$1001,$A10)))</f>
        <v>8400</v>
      </c>
      <c r="R10" s="24">
        <f>IF($A10="","",IF(INDEX(Cálculo!$L$1:$L$1001,$A10)="","",INDEX(Cálculo!$L$1:$L$1001,$A10)))</f>
        <v>-4901</v>
      </c>
      <c r="S10" s="22" t="str">
        <f>IF($A10="","",IF(INDEX(Registro!$J$1:$J$1001,$A10)="","",INDEX(Registro!$J$1:$J$1001,$A10)))</f>
        <v/>
      </c>
    </row>
    <row r="11" spans="1:19" ht="18" customHeight="1" x14ac:dyDescent="0.25">
      <c r="A11" s="19">
        <f>IFERROR(MOD(SMALL(Cálculo!$M$2:$M$1001,ROWS(A$8:A11)),10000),"")</f>
        <v>5</v>
      </c>
      <c r="B11" s="20">
        <f>IF($A11="","",IF(INDEX(Registro!$B$1:$B$1001,$A11)="","",INDEX(Registro!$B$1:$B$1001,$A11)))</f>
        <v>46299</v>
      </c>
      <c r="C11" s="21" t="str">
        <f>IF($A11="","",IF(INDEX(Registro!$C$1:$C$1001,$A11)="","",INDEX(Registro!$C$1:$C$1001,$A11)))</f>
        <v>Lp</v>
      </c>
      <c r="D11" s="21" t="str">
        <f>IF($A11="","",IF(INDEX(Registro!$D$1:$D$1001,$A11)="","",INDEX(Registro!$D$1:$D$1001,$A11)))</f>
        <v>4:00</v>
      </c>
      <c r="E11" s="22" t="str">
        <f>IF($A11="","",IF(INDEX(Registro!$E$1:$E$1001,$A11)="","",INDEX(Registro!$E$1:$E$1001,$A11)))</f>
        <v>43x40; 4x50; 7x60</v>
      </c>
      <c r="F11" s="23">
        <f>IF($A11="","",IF(INDEX(Cálculo!$D$1:$D$1001,$A11)="","",INDEX(Cálculo!$D$1:$D$1001,$A11)))</f>
        <v>54</v>
      </c>
      <c r="G11" s="24">
        <f>IF($A11="","",IF(INDEX(Cálculo!$E$1:$E$1001,$A11)="","",INDEX(Cálculo!$E$1:$E$1001,$A11)))</f>
        <v>2340</v>
      </c>
      <c r="H11" s="22" t="str">
        <f>IF($A11="","",IF(INDEX(Registro!$F$1:$F$1001,$A11)="","",INDEX(Registro!$F$1:$F$1001,$A11)))</f>
        <v>1x2080</v>
      </c>
      <c r="I11" s="23">
        <f>IF($A11="","",IF(INDEX(Cálculo!$F$1:$F$1001,$A11)="","",INDEX(Cálculo!$F$1:$F$1001,$A11)))</f>
        <v>1</v>
      </c>
      <c r="J11" s="24">
        <f>IF($A11="","",IF(INDEX(Cálculo!$G$1:$G$1001,$A11)="","",INDEX(Cálculo!$G$1:$G$1001,$A11)))</f>
        <v>2080</v>
      </c>
      <c r="K11" s="21" t="str">
        <f>IF($A11="","",IF(INDEX(Cálculo!$H$1:$H$1001,$A11)="","",INDEX(Cálculo!$H$1:$H$1001,$A11)))</f>
        <v>CONFORME</v>
      </c>
      <c r="L11" s="24">
        <f>IF($A11="","",IF(INDEX(Registro!$G$1:$G$1001,$A11)="","",INDEX(Registro!$G$1:$G$1001,$A11)))</f>
        <v>2080</v>
      </c>
      <c r="M11" s="22" t="str">
        <f>IF($A11="","",IF(INDEX(Registro!$H$1:$H$1001,$A11)="","",INDEX(Registro!$H$1:$H$1001,$A11)))</f>
        <v>Peaje 50; Veatico 50; Engrase 40</v>
      </c>
      <c r="N11" s="24">
        <f>IF($A11="","",IF(INDEX(Cálculo!$I$1:$I$1001,$A11)="","",INDEX(Cálculo!$I$1:$I$1001,$A11)))</f>
        <v>140</v>
      </c>
      <c r="O11" s="24">
        <f>IF($A11="","",IF(INDEX(Cálculo!$K$1:$K$1001,$A11)="","",INDEX(Cálculo!$K$1:$K$1001,$A11)))</f>
        <v>1940</v>
      </c>
      <c r="P11" s="22" t="str">
        <f>IF($A11="","",IF(INDEX(Registro!$I$1:$I$1001,$A11)="","",INDEX(Registro!$I$1:$I$1001,$A11)))</f>
        <v/>
      </c>
      <c r="Q11" s="24" t="str">
        <f>IF($A11="","",IF(INDEX(Cálculo!$J$1:$J$1001,$A11)="","",INDEX(Cálculo!$J$1:$J$1001,$A11)))</f>
        <v/>
      </c>
      <c r="R11" s="24">
        <f>IF($A11="","",IF(INDEX(Cálculo!$L$1:$L$1001,$A11)="","",INDEX(Cálculo!$L$1:$L$1001,$A11)))</f>
        <v>1940</v>
      </c>
      <c r="S11" s="22" t="str">
        <f>IF($A11="","",IF(INDEX(Registro!$J$1:$J$1001,$A11)="","",INDEX(Registro!$J$1:$J$1001,$A11)))</f>
        <v/>
      </c>
    </row>
    <row r="12" spans="1:19" ht="18" customHeight="1" x14ac:dyDescent="0.25">
      <c r="A12" s="19">
        <f>IFERROR(MOD(SMALL(Cálculo!$M$2:$M$1001,ROWS(A$8:A12)),10000),"")</f>
        <v>6</v>
      </c>
      <c r="B12" s="20">
        <f>IF($A12="","",IF(INDEX(Registro!$B$1:$B$1001,$A12)="","",INDEX(Registro!$B$1:$B$1001,$A12)))</f>
        <v>46300</v>
      </c>
      <c r="C12" s="21" t="str">
        <f>IF($A12="","",IF(INDEX(Registro!$C$1:$C$1001,$A12)="","",INDEX(Registro!$C$1:$C$1001,$A12)))</f>
        <v>Cbba</v>
      </c>
      <c r="D12" s="21" t="str">
        <f>IF($A12="","",IF(INDEX(Registro!$D$1:$D$1001,$A12)="","",INDEX(Registro!$D$1:$D$1001,$A12)))</f>
        <v>9:30-17:00</v>
      </c>
      <c r="E12" s="22" t="str">
        <f>IF($A12="","",IF(INDEX(Registro!$E$1:$E$1001,$A12)="","",INDEX(Registro!$E$1:$E$1001,$A12)))</f>
        <v>37x40; 2x50; 2x70; 8x60</v>
      </c>
      <c r="F12" s="23">
        <f>IF($A12="","",IF(INDEX(Cálculo!$D$1:$D$1001,$A12)="","",INDEX(Cálculo!$D$1:$D$1001,$A12)))</f>
        <v>49</v>
      </c>
      <c r="G12" s="24">
        <f>IF($A12="","",IF(INDEX(Cálculo!$E$1:$E$1001,$A12)="","",INDEX(Cálculo!$E$1:$E$1001,$A12)))</f>
        <v>2200</v>
      </c>
      <c r="H12" s="22" t="str">
        <f>IF($A12="","",IF(INDEX(Registro!$F$1:$F$1001,$A12)="","",INDEX(Registro!$F$1:$F$1001,$A12)))</f>
        <v>1x3300</v>
      </c>
      <c r="I12" s="23">
        <f>IF($A12="","",IF(INDEX(Cálculo!$F$1:$F$1001,$A12)="","",INDEX(Cálculo!$F$1:$F$1001,$A12)))</f>
        <v>1</v>
      </c>
      <c r="J12" s="24">
        <f>IF($A12="","",IF(INDEX(Cálculo!$G$1:$G$1001,$A12)="","",INDEX(Cálculo!$G$1:$G$1001,$A12)))</f>
        <v>3300</v>
      </c>
      <c r="K12" s="21" t="str">
        <f>IF($A12="","",IF(INDEX(Cálculo!$H$1:$H$1001,$A12)="","",INDEX(Cálculo!$H$1:$H$1001,$A12)))</f>
        <v>CONFORME</v>
      </c>
      <c r="L12" s="24">
        <f>IF($A12="","",IF(INDEX(Registro!$G$1:$G$1001,$A12)="","",INDEX(Registro!$G$1:$G$1001,$A12)))</f>
        <v>3300</v>
      </c>
      <c r="M12" s="22" t="str">
        <f>IF($A12="","",IF(INDEX(Registro!$H$1:$H$1001,$A12)="","",INDEX(Registro!$H$1:$H$1001,$A12)))</f>
        <v>Peaje 50; Diesel 400; Veatico 50</v>
      </c>
      <c r="N12" s="24">
        <f>IF($A12="","",IF(INDEX(Cálculo!$I$1:$I$1001,$A12)="","",INDEX(Cálculo!$I$1:$I$1001,$A12)))</f>
        <v>500</v>
      </c>
      <c r="O12" s="24">
        <f>IF($A12="","",IF(INDEX(Cálculo!$K$1:$K$1001,$A12)="","",INDEX(Cálculo!$K$1:$K$1001,$A12)))</f>
        <v>2800</v>
      </c>
      <c r="P12" s="22" t="str">
        <f>IF($A12="","",IF(INDEX(Registro!$I$1:$I$1001,$A12)="","",INDEX(Registro!$I$1:$I$1001,$A12)))</f>
        <v>Diesel 7500</v>
      </c>
      <c r="Q12" s="24">
        <f>IF($A12="","",IF(INDEX(Cálculo!$J$1:$J$1001,$A12)="","",INDEX(Cálculo!$J$1:$J$1001,$A12)))</f>
        <v>7500</v>
      </c>
      <c r="R12" s="24">
        <f>IF($A12="","",IF(INDEX(Cálculo!$L$1:$L$1001,$A12)="","",INDEX(Cálculo!$L$1:$L$1001,$A12)))</f>
        <v>-4700</v>
      </c>
      <c r="S12" s="22" t="str">
        <f>IF($A12="","",IF(INDEX(Registro!$J$1:$J$1001,$A12)="","",INDEX(Registro!$J$1:$J$1001,$A12)))</f>
        <v/>
      </c>
    </row>
    <row r="13" spans="1:19" ht="18" customHeight="1" x14ac:dyDescent="0.25">
      <c r="A13" s="19">
        <f>IFERROR(MOD(SMALL(Cálculo!$M$2:$M$1001,ROWS(A$8:A13)),10000),"")</f>
        <v>7</v>
      </c>
      <c r="B13" s="20">
        <f>IF($A13="","",IF(INDEX(Registro!$B$1:$B$1001,$A13)="","",INDEX(Registro!$B$1:$B$1001,$A13)))</f>
        <v>46301</v>
      </c>
      <c r="C13" s="21" t="str">
        <f>IF($A13="","",IF(INDEX(Registro!$C$1:$C$1001,$A13)="","",INDEX(Registro!$C$1:$C$1001,$A13)))</f>
        <v>Lp</v>
      </c>
      <c r="D13" s="21" t="str">
        <f>IF($A13="","",IF(INDEX(Registro!$D$1:$D$1001,$A13)="","",INDEX(Registro!$D$1:$D$1001,$A13)))</f>
        <v>15:30-4:00</v>
      </c>
      <c r="E13" s="22" t="str">
        <f>IF($A13="","",IF(INDEX(Registro!$E$1:$E$1001,$A13)="","",INDEX(Registro!$E$1:$E$1001,$A13)))</f>
        <v>9x60; 2x70; 45x50</v>
      </c>
      <c r="F13" s="23">
        <f>IF($A13="","",IF(INDEX(Cálculo!$D$1:$D$1001,$A13)="","",INDEX(Cálculo!$D$1:$D$1001,$A13)))</f>
        <v>56</v>
      </c>
      <c r="G13" s="24">
        <f>IF($A13="","",IF(INDEX(Cálculo!$E$1:$E$1001,$A13)="","",INDEX(Cálculo!$E$1:$E$1001,$A13)))</f>
        <v>2930</v>
      </c>
      <c r="H13" s="22" t="str">
        <f>IF($A13="","",IF(INDEX(Registro!$F$1:$F$1001,$A13)="","",INDEX(Registro!$F$1:$F$1001,$A13)))</f>
        <v>1x2350</v>
      </c>
      <c r="I13" s="23">
        <f>IF($A13="","",IF(INDEX(Cálculo!$F$1:$F$1001,$A13)="","",INDEX(Cálculo!$F$1:$F$1001,$A13)))</f>
        <v>1</v>
      </c>
      <c r="J13" s="24">
        <f>IF($A13="","",IF(INDEX(Cálculo!$G$1:$G$1001,$A13)="","",INDEX(Cálculo!$G$1:$G$1001,$A13)))</f>
        <v>2350</v>
      </c>
      <c r="K13" s="21" t="str">
        <f>IF($A13="","",IF(INDEX(Cálculo!$H$1:$H$1001,$A13)="","",INDEX(Cálculo!$H$1:$H$1001,$A13)))</f>
        <v>CONFORME</v>
      </c>
      <c r="L13" s="24">
        <f>IF($A13="","",IF(INDEX(Registro!$G$1:$G$1001,$A13)="","",INDEX(Registro!$G$1:$G$1001,$A13)))</f>
        <v>2350</v>
      </c>
      <c r="M13" s="22" t="str">
        <f>IF($A13="","",IF(INDEX(Registro!$H$1:$H$1001,$A13)="","",INDEX(Registro!$H$1:$H$1001,$A13)))</f>
        <v>Peaje 50; Veatico 50</v>
      </c>
      <c r="N13" s="24">
        <f>IF($A13="","",IF(INDEX(Cálculo!$I$1:$I$1001,$A13)="","",INDEX(Cálculo!$I$1:$I$1001,$A13)))</f>
        <v>100</v>
      </c>
      <c r="O13" s="24">
        <f>IF($A13="","",IF(INDEX(Cálculo!$K$1:$K$1001,$A13)="","",INDEX(Cálculo!$K$1:$K$1001,$A13)))</f>
        <v>2250</v>
      </c>
      <c r="P13" s="22" t="str">
        <f>IF($A13="","",IF(INDEX(Registro!$I$1:$I$1001,$A13)="","",INDEX(Registro!$I$1:$I$1001,$A13)))</f>
        <v/>
      </c>
      <c r="Q13" s="24" t="str">
        <f>IF($A13="","",IF(INDEX(Cálculo!$J$1:$J$1001,$A13)="","",INDEX(Cálculo!$J$1:$J$1001,$A13)))</f>
        <v/>
      </c>
      <c r="R13" s="24">
        <f>IF($A13="","",IF(INDEX(Cálculo!$L$1:$L$1001,$A13)="","",INDEX(Cálculo!$L$1:$L$1001,$A13)))</f>
        <v>2250</v>
      </c>
      <c r="S13" s="22" t="str">
        <f>IF($A13="","",IF(INDEX(Registro!$J$1:$J$1001,$A13)="","",INDEX(Registro!$J$1:$J$1001,$A13)))</f>
        <v/>
      </c>
    </row>
    <row r="14" spans="1:19" ht="18" customHeight="1" x14ac:dyDescent="0.25">
      <c r="A14" s="19">
        <f>IFERROR(MOD(SMALL(Cálculo!$M$2:$M$1001,ROWS(A$8:A14)),10000),"")</f>
        <v>8</v>
      </c>
      <c r="B14" s="20">
        <f>IF($A14="","",IF(INDEX(Registro!$B$1:$B$1001,$A14)="","",INDEX(Registro!$B$1:$B$1001,$A14)))</f>
        <v>46302</v>
      </c>
      <c r="C14" s="21" t="str">
        <f>IF($A14="","",IF(INDEX(Registro!$C$1:$C$1001,$A14)="","",INDEX(Registro!$C$1:$C$1001,$A14)))</f>
        <v>Lp</v>
      </c>
      <c r="D14" s="21" t="str">
        <f>IF($A14="","",IF(INDEX(Registro!$D$1:$D$1001,$A14)="","",INDEX(Registro!$D$1:$D$1001,$A14)))</f>
        <v>6:30-14:30</v>
      </c>
      <c r="E14" s="22" t="str">
        <f>IF($A14="","",IF(INDEX(Registro!$E$1:$E$1001,$A14)="","",INDEX(Registro!$E$1:$E$1001,$A14)))</f>
        <v>24x40; 4x60; 5x50</v>
      </c>
      <c r="F14" s="23">
        <f>IF($A14="","",IF(INDEX(Cálculo!$D$1:$D$1001,$A14)="","",INDEX(Cálculo!$D$1:$D$1001,$A14)))</f>
        <v>33</v>
      </c>
      <c r="G14" s="24">
        <f>IF($A14="","",IF(INDEX(Cálculo!$E$1:$E$1001,$A14)="","",INDEX(Cálculo!$E$1:$E$1001,$A14)))</f>
        <v>1450</v>
      </c>
      <c r="H14" s="22" t="str">
        <f>IF($A14="","",IF(INDEX(Registro!$F$1:$F$1001,$A14)="","",INDEX(Registro!$F$1:$F$1001,$A14)))</f>
        <v>1x2455</v>
      </c>
      <c r="I14" s="23">
        <f>IF($A14="","",IF(INDEX(Cálculo!$F$1:$F$1001,$A14)="","",INDEX(Cálculo!$F$1:$F$1001,$A14)))</f>
        <v>1</v>
      </c>
      <c r="J14" s="24">
        <f>IF($A14="","",IF(INDEX(Cálculo!$G$1:$G$1001,$A14)="","",INDEX(Cálculo!$G$1:$G$1001,$A14)))</f>
        <v>2455</v>
      </c>
      <c r="K14" s="21" t="str">
        <f>IF($A14="","",IF(INDEX(Cálculo!$H$1:$H$1001,$A14)="","",INDEX(Cálculo!$H$1:$H$1001,$A14)))</f>
        <v>CONFORME</v>
      </c>
      <c r="L14" s="24">
        <f>IF($A14="","",IF(INDEX(Registro!$G$1:$G$1001,$A14)="","",INDEX(Registro!$G$1:$G$1001,$A14)))</f>
        <v>2455</v>
      </c>
      <c r="M14" s="22" t="str">
        <f>IF($A14="","",IF(INDEX(Registro!$H$1:$H$1001,$A14)="","",INDEX(Registro!$H$1:$H$1001,$A14)))</f>
        <v>Peaje 50; Veatico 50</v>
      </c>
      <c r="N14" s="24">
        <f>IF($A14="","",IF(INDEX(Cálculo!$I$1:$I$1001,$A14)="","",INDEX(Cálculo!$I$1:$I$1001,$A14)))</f>
        <v>100</v>
      </c>
      <c r="O14" s="24">
        <f>IF($A14="","",IF(INDEX(Cálculo!$K$1:$K$1001,$A14)="","",INDEX(Cálculo!$K$1:$K$1001,$A14)))</f>
        <v>2355</v>
      </c>
      <c r="P14" s="22" t="str">
        <f>IF($A14="","",IF(INDEX(Registro!$I$1:$I$1001,$A14)="","",INDEX(Registro!$I$1:$I$1001,$A14)))</f>
        <v/>
      </c>
      <c r="Q14" s="24" t="str">
        <f>IF($A14="","",IF(INDEX(Cálculo!$J$1:$J$1001,$A14)="","",INDEX(Cálculo!$J$1:$J$1001,$A14)))</f>
        <v/>
      </c>
      <c r="R14" s="24">
        <f>IF($A14="","",IF(INDEX(Cálculo!$L$1:$L$1001,$A14)="","",INDEX(Cálculo!$L$1:$L$1001,$A14)))</f>
        <v>2355</v>
      </c>
      <c r="S14" s="22" t="str">
        <f>IF($A14="","",IF(INDEX(Registro!$J$1:$J$1001,$A14)="","",INDEX(Registro!$J$1:$J$1001,$A14)))</f>
        <v/>
      </c>
    </row>
    <row r="15" spans="1:19" ht="18" customHeight="1" x14ac:dyDescent="0.25">
      <c r="A15" s="19">
        <f>IFERROR(MOD(SMALL(Cálculo!$M$2:$M$1001,ROWS(A$8:A15)),10000),"")</f>
        <v>9</v>
      </c>
      <c r="B15" s="20">
        <f>IF($A15="","",IF(INDEX(Registro!$B$1:$B$1001,$A15)="","",INDEX(Registro!$B$1:$B$1001,$A15)))</f>
        <v>46303</v>
      </c>
      <c r="C15" s="21" t="str">
        <f>IF($A15="","",IF(INDEX(Registro!$C$1:$C$1001,$A15)="","",INDEX(Registro!$C$1:$C$1001,$A15)))</f>
        <v>Lp</v>
      </c>
      <c r="D15" s="21" t="str">
        <f>IF($A15="","",IF(INDEX(Registro!$D$1:$D$1001,$A15)="","",INDEX(Registro!$D$1:$D$1001,$A15)))</f>
        <v>19:30-8:00</v>
      </c>
      <c r="E15" s="22" t="str">
        <f>IF($A15="","",IF(INDEX(Registro!$E$1:$E$1001,$A15)="","",INDEX(Registro!$E$1:$E$1001,$A15)))</f>
        <v>35x40; 11x60</v>
      </c>
      <c r="F15" s="23">
        <f>IF($A15="","",IF(INDEX(Cálculo!$D$1:$D$1001,$A15)="","",INDEX(Cálculo!$D$1:$D$1001,$A15)))</f>
        <v>46</v>
      </c>
      <c r="G15" s="24">
        <f>IF($A15="","",IF(INDEX(Cálculo!$E$1:$E$1001,$A15)="","",INDEX(Cálculo!$E$1:$E$1001,$A15)))</f>
        <v>2060</v>
      </c>
      <c r="H15" s="22" t="str">
        <f>IF($A15="","",IF(INDEX(Registro!$F$1:$F$1001,$A15)="","",INDEX(Registro!$F$1:$F$1001,$A15)))</f>
        <v>1x2365</v>
      </c>
      <c r="I15" s="23">
        <f>IF($A15="","",IF(INDEX(Cálculo!$F$1:$F$1001,$A15)="","",INDEX(Cálculo!$F$1:$F$1001,$A15)))</f>
        <v>1</v>
      </c>
      <c r="J15" s="24">
        <f>IF($A15="","",IF(INDEX(Cálculo!$G$1:$G$1001,$A15)="","",INDEX(Cálculo!$G$1:$G$1001,$A15)))</f>
        <v>2365</v>
      </c>
      <c r="K15" s="21" t="str">
        <f>IF($A15="","",IF(INDEX(Cálculo!$H$1:$H$1001,$A15)="","",INDEX(Cálculo!$H$1:$H$1001,$A15)))</f>
        <v>CONFORME</v>
      </c>
      <c r="L15" s="24">
        <f>IF($A15="","",IF(INDEX(Registro!$G$1:$G$1001,$A15)="","",INDEX(Registro!$G$1:$G$1001,$A15)))</f>
        <v>2365</v>
      </c>
      <c r="M15" s="22" t="str">
        <f>IF($A15="","",IF(INDEX(Registro!$H$1:$H$1001,$A15)="","",INDEX(Registro!$H$1:$H$1001,$A15)))</f>
        <v>Peaje 50</v>
      </c>
      <c r="N15" s="24">
        <f>IF($A15="","",IF(INDEX(Cálculo!$I$1:$I$1001,$A15)="","",INDEX(Cálculo!$I$1:$I$1001,$A15)))</f>
        <v>50</v>
      </c>
      <c r="O15" s="24">
        <f>IF($A15="","",IF(INDEX(Cálculo!$K$1:$K$1001,$A15)="","",INDEX(Cálculo!$K$1:$K$1001,$A15)))</f>
        <v>2315</v>
      </c>
      <c r="P15" s="22" t="str">
        <f>IF($A15="","",IF(INDEX(Registro!$I$1:$I$1001,$A15)="","",INDEX(Registro!$I$1:$I$1001,$A15)))</f>
        <v/>
      </c>
      <c r="Q15" s="24" t="str">
        <f>IF($A15="","",IF(INDEX(Cálculo!$J$1:$J$1001,$A15)="","",INDEX(Cálculo!$J$1:$J$1001,$A15)))</f>
        <v/>
      </c>
      <c r="R15" s="24">
        <f>IF($A15="","",IF(INDEX(Cálculo!$L$1:$L$1001,$A15)="","",INDEX(Cálculo!$L$1:$L$1001,$A15)))</f>
        <v>2315</v>
      </c>
      <c r="S15" s="22" t="str">
        <f>IF($A15="","",IF(INDEX(Registro!$J$1:$J$1001,$A15)="","",INDEX(Registro!$J$1:$J$1001,$A15)))</f>
        <v/>
      </c>
    </row>
    <row r="16" spans="1:19" ht="18" customHeight="1" x14ac:dyDescent="0.25">
      <c r="A16" s="19">
        <f>IFERROR(MOD(SMALL(Cálculo!$M$2:$M$1001,ROWS(A$8:A16)),10000),"")</f>
        <v>10</v>
      </c>
      <c r="B16" s="20">
        <f>IF($A16="","",IF(INDEX(Registro!$B$1:$B$1001,$A16)="","",INDEX(Registro!$B$1:$B$1001,$A16)))</f>
        <v>46304</v>
      </c>
      <c r="C16" s="21" t="str">
        <f>IF($A16="","",IF(INDEX(Registro!$C$1:$C$1001,$A16)="","",INDEX(Registro!$C$1:$C$1001,$A16)))</f>
        <v>Lp</v>
      </c>
      <c r="D16" s="21" t="str">
        <f>IF($A16="","",IF(INDEX(Registro!$D$1:$D$1001,$A16)="","",INDEX(Registro!$D$1:$D$1001,$A16)))</f>
        <v>4:00-11:00</v>
      </c>
      <c r="E16" s="22" t="str">
        <f>IF($A16="","",IF(INDEX(Registro!$E$1:$E$1001,$A16)="","",INDEX(Registro!$E$1:$E$1001,$A16)))</f>
        <v>14x40; 31x50; 1x60; 4x70; 7x60</v>
      </c>
      <c r="F16" s="23">
        <f>IF($A16="","",IF(INDEX(Cálculo!$D$1:$D$1001,$A16)="","",INDEX(Cálculo!$D$1:$D$1001,$A16)))</f>
        <v>57</v>
      </c>
      <c r="G16" s="24">
        <f>IF($A16="","",IF(INDEX(Cálculo!$E$1:$E$1001,$A16)="","",INDEX(Cálculo!$E$1:$E$1001,$A16)))</f>
        <v>2870</v>
      </c>
      <c r="H16" s="22" t="str">
        <f>IF($A16="","",IF(INDEX(Registro!$F$1:$F$1001,$A16)="","",INDEX(Registro!$F$1:$F$1001,$A16)))</f>
        <v>1x2395</v>
      </c>
      <c r="I16" s="23">
        <f>IF($A16="","",IF(INDEX(Cálculo!$F$1:$F$1001,$A16)="","",INDEX(Cálculo!$F$1:$F$1001,$A16)))</f>
        <v>1</v>
      </c>
      <c r="J16" s="24">
        <f>IF($A16="","",IF(INDEX(Cálculo!$G$1:$G$1001,$A16)="","",INDEX(Cálculo!$G$1:$G$1001,$A16)))</f>
        <v>2395</v>
      </c>
      <c r="K16" s="21" t="str">
        <f>IF($A16="","",IF(INDEX(Cálculo!$H$1:$H$1001,$A16)="","",INDEX(Cálculo!$H$1:$H$1001,$A16)))</f>
        <v>CONFORME</v>
      </c>
      <c r="L16" s="24">
        <f>IF($A16="","",IF(INDEX(Registro!$G$1:$G$1001,$A16)="","",INDEX(Registro!$G$1:$G$1001,$A16)))</f>
        <v>2395</v>
      </c>
      <c r="M16" s="22" t="str">
        <f>IF($A16="","",IF(INDEX(Registro!$H$1:$H$1001,$A16)="","",INDEX(Registro!$H$1:$H$1001,$A16)))</f>
        <v/>
      </c>
      <c r="N16" s="24" t="str">
        <f>IF($A16="","",IF(INDEX(Cálculo!$I$1:$I$1001,$A16)="","",INDEX(Cálculo!$I$1:$I$1001,$A16)))</f>
        <v/>
      </c>
      <c r="O16" s="24">
        <f>IF($A16="","",IF(INDEX(Cálculo!$K$1:$K$1001,$A16)="","",INDEX(Cálculo!$K$1:$K$1001,$A16)))</f>
        <v>2395</v>
      </c>
      <c r="P16" s="22" t="str">
        <f>IF($A16="","",IF(INDEX(Registro!$I$1:$I$1001,$A16)="","",INDEX(Registro!$I$1:$I$1001,$A16)))</f>
        <v/>
      </c>
      <c r="Q16" s="24" t="str">
        <f>IF($A16="","",IF(INDEX(Cálculo!$J$1:$J$1001,$A16)="","",INDEX(Cálculo!$J$1:$J$1001,$A16)))</f>
        <v/>
      </c>
      <c r="R16" s="24">
        <f>IF($A16="","",IF(INDEX(Cálculo!$L$1:$L$1001,$A16)="","",INDEX(Cálculo!$L$1:$L$1001,$A16)))</f>
        <v>2395</v>
      </c>
      <c r="S16" s="22" t="str">
        <f>IF($A16="","",IF(INDEX(Registro!$J$1:$J$1001,$A16)="","",INDEX(Registro!$J$1:$J$1001,$A16)))</f>
        <v/>
      </c>
    </row>
    <row r="17" spans="1:19" ht="18" customHeight="1" x14ac:dyDescent="0.25">
      <c r="A17" s="19">
        <f>IFERROR(MOD(SMALL(Cálculo!$M$2:$M$1001,ROWS(A$8:A17)),10000),"")</f>
        <v>11</v>
      </c>
      <c r="B17" s="20">
        <f>IF($A17="","",IF(INDEX(Registro!$B$1:$B$1001,$A17)="","",INDEX(Registro!$B$1:$B$1001,$A17)))</f>
        <v>46305</v>
      </c>
      <c r="C17" s="21" t="str">
        <f>IF($A17="","",IF(INDEX(Registro!$C$1:$C$1001,$A17)="","",INDEX(Registro!$C$1:$C$1001,$A17)))</f>
        <v>Cbba</v>
      </c>
      <c r="D17" s="21" t="str">
        <f>IF($A17="","",IF(INDEX(Registro!$D$1:$D$1001,$A17)="","",INDEX(Registro!$D$1:$D$1001,$A17)))</f>
        <v>7:00-14:30</v>
      </c>
      <c r="E17" s="22" t="str">
        <f>IF($A17="","",IF(INDEX(Registro!$E$1:$E$1001,$A17)="","",INDEX(Registro!$E$1:$E$1001,$A17)))</f>
        <v>30x40; 12x35; 1x70</v>
      </c>
      <c r="F17" s="23">
        <f>IF($A17="","",IF(INDEX(Cálculo!$D$1:$D$1001,$A17)="","",INDEX(Cálculo!$D$1:$D$1001,$A17)))</f>
        <v>43</v>
      </c>
      <c r="G17" s="24">
        <f>IF($A17="","",IF(INDEX(Cálculo!$E$1:$E$1001,$A17)="","",INDEX(Cálculo!$E$1:$E$1001,$A17)))</f>
        <v>1690</v>
      </c>
      <c r="H17" s="22" t="str">
        <f>IF($A17="","",IF(INDEX(Registro!$F$1:$F$1001,$A17)="","",INDEX(Registro!$F$1:$F$1001,$A17)))</f>
        <v>1x3670</v>
      </c>
      <c r="I17" s="23">
        <f>IF($A17="","",IF(INDEX(Cálculo!$F$1:$F$1001,$A17)="","",INDEX(Cálculo!$F$1:$F$1001,$A17)))</f>
        <v>1</v>
      </c>
      <c r="J17" s="24">
        <f>IF($A17="","",IF(INDEX(Cálculo!$G$1:$G$1001,$A17)="","",INDEX(Cálculo!$G$1:$G$1001,$A17)))</f>
        <v>3670</v>
      </c>
      <c r="K17" s="21" t="str">
        <f>IF($A17="","",IF(INDEX(Cálculo!$H$1:$H$1001,$A17)="","",INDEX(Cálculo!$H$1:$H$1001,$A17)))</f>
        <v>CONFORME</v>
      </c>
      <c r="L17" s="24">
        <f>IF($A17="","",IF(INDEX(Registro!$G$1:$G$1001,$A17)="","",INDEX(Registro!$G$1:$G$1001,$A17)))</f>
        <v>3670</v>
      </c>
      <c r="M17" s="22" t="str">
        <f>IF($A17="","",IF(INDEX(Registro!$H$1:$H$1001,$A17)="","",INDEX(Registro!$H$1:$H$1001,$A17)))</f>
        <v>Peaje 50; Veatico 50</v>
      </c>
      <c r="N17" s="24">
        <f>IF($A17="","",IF(INDEX(Cálculo!$I$1:$I$1001,$A17)="","",INDEX(Cálculo!$I$1:$I$1001,$A17)))</f>
        <v>100</v>
      </c>
      <c r="O17" s="24">
        <f>IF($A17="","",IF(INDEX(Cálculo!$K$1:$K$1001,$A17)="","",INDEX(Cálculo!$K$1:$K$1001,$A17)))</f>
        <v>3570</v>
      </c>
      <c r="P17" s="22" t="str">
        <f>IF($A17="","",IF(INDEX(Registro!$I$1:$I$1001,$A17)="","",INDEX(Registro!$I$1:$I$1001,$A17)))</f>
        <v>Diesel 8380</v>
      </c>
      <c r="Q17" s="24">
        <f>IF($A17="","",IF(INDEX(Cálculo!$J$1:$J$1001,$A17)="","",INDEX(Cálculo!$J$1:$J$1001,$A17)))</f>
        <v>8380</v>
      </c>
      <c r="R17" s="24">
        <f>IF($A17="","",IF(INDEX(Cálculo!$L$1:$L$1001,$A17)="","",INDEX(Cálculo!$L$1:$L$1001,$A17)))</f>
        <v>-4810</v>
      </c>
      <c r="S17" s="22" t="str">
        <f>IF($A17="","",IF(INDEX(Registro!$J$1:$J$1001,$A17)="","",INDEX(Registro!$J$1:$J$1001,$A17)))</f>
        <v/>
      </c>
    </row>
    <row r="18" spans="1:19" ht="18" customHeight="1" x14ac:dyDescent="0.25">
      <c r="A18" s="19">
        <f>IFERROR(MOD(SMALL(Cálculo!$M$2:$M$1001,ROWS(A$8:A18)),10000),"")</f>
        <v>12</v>
      </c>
      <c r="B18" s="20">
        <f>IF($A18="","",IF(INDEX(Registro!$B$1:$B$1001,$A18)="","",INDEX(Registro!$B$1:$B$1001,$A18)))</f>
        <v>46305</v>
      </c>
      <c r="C18" s="21" t="str">
        <f>IF($A18="","",IF(INDEX(Registro!$C$1:$C$1001,$A18)="","",INDEX(Registro!$C$1:$C$1001,$A18)))</f>
        <v>Lp</v>
      </c>
      <c r="D18" s="21" t="str">
        <f>IF($A18="","",IF(INDEX(Registro!$D$1:$D$1001,$A18)="","",INDEX(Registro!$D$1:$D$1001,$A18)))</f>
        <v>17:30-4:30</v>
      </c>
      <c r="E18" s="22" t="str">
        <f>IF($A18="","",IF(INDEX(Registro!$E$1:$E$1001,$A18)="","",INDEX(Registro!$E$1:$E$1001,$A18)))</f>
        <v>19x40; 10x60; 5x50; 11x35</v>
      </c>
      <c r="F18" s="23">
        <f>IF($A18="","",IF(INDEX(Cálculo!$D$1:$D$1001,$A18)="","",INDEX(Cálculo!$D$1:$D$1001,$A18)))</f>
        <v>45</v>
      </c>
      <c r="G18" s="24">
        <f>IF($A18="","",IF(INDEX(Cálculo!$E$1:$E$1001,$A18)="","",INDEX(Cálculo!$E$1:$E$1001,$A18)))</f>
        <v>1995</v>
      </c>
      <c r="H18" s="22" t="str">
        <f>IF($A18="","",IF(INDEX(Registro!$F$1:$F$1001,$A18)="","",INDEX(Registro!$F$1:$F$1001,$A18)))</f>
        <v>1x2100</v>
      </c>
      <c r="I18" s="23">
        <f>IF($A18="","",IF(INDEX(Cálculo!$F$1:$F$1001,$A18)="","",INDEX(Cálculo!$F$1:$F$1001,$A18)))</f>
        <v>1</v>
      </c>
      <c r="J18" s="24">
        <f>IF($A18="","",IF(INDEX(Cálculo!$G$1:$G$1001,$A18)="","",INDEX(Cálculo!$G$1:$G$1001,$A18)))</f>
        <v>2100</v>
      </c>
      <c r="K18" s="21" t="str">
        <f>IF($A18="","",IF(INDEX(Cálculo!$H$1:$H$1001,$A18)="","",INDEX(Cálculo!$H$1:$H$1001,$A18)))</f>
        <v>CONFORME</v>
      </c>
      <c r="L18" s="24">
        <f>IF($A18="","",IF(INDEX(Registro!$G$1:$G$1001,$A18)="","",INDEX(Registro!$G$1:$G$1001,$A18)))</f>
        <v>2100</v>
      </c>
      <c r="M18" s="22" t="str">
        <f>IF($A18="","",IF(INDEX(Registro!$H$1:$H$1001,$A18)="","",INDEX(Registro!$H$1:$H$1001,$A18)))</f>
        <v/>
      </c>
      <c r="N18" s="24" t="str">
        <f>IF($A18="","",IF(INDEX(Cálculo!$I$1:$I$1001,$A18)="","",INDEX(Cálculo!$I$1:$I$1001,$A18)))</f>
        <v/>
      </c>
      <c r="O18" s="24">
        <f>IF($A18="","",IF(INDEX(Cálculo!$K$1:$K$1001,$A18)="","",INDEX(Cálculo!$K$1:$K$1001,$A18)))</f>
        <v>2100</v>
      </c>
      <c r="P18" s="22" t="str">
        <f>IF($A18="","",IF(INDEX(Registro!$I$1:$I$1001,$A18)="","",INDEX(Registro!$I$1:$I$1001,$A18)))</f>
        <v/>
      </c>
      <c r="Q18" s="24" t="str">
        <f>IF($A18="","",IF(INDEX(Cálculo!$J$1:$J$1001,$A18)="","",INDEX(Cálculo!$J$1:$J$1001,$A18)))</f>
        <v/>
      </c>
      <c r="R18" s="24">
        <f>IF($A18="","",IF(INDEX(Cálculo!$L$1:$L$1001,$A18)="","",INDEX(Cálculo!$L$1:$L$1001,$A18)))</f>
        <v>2100</v>
      </c>
      <c r="S18" s="22" t="str">
        <f>IF($A18="","",IF(INDEX(Registro!$J$1:$J$1001,$A18)="","",INDEX(Registro!$J$1:$J$1001,$A18)))</f>
        <v/>
      </c>
    </row>
    <row r="19" spans="1:19" ht="18" customHeight="1" x14ac:dyDescent="0.25">
      <c r="A19" s="19">
        <f>IFERROR(MOD(SMALL(Cálculo!$M$2:$M$1001,ROWS(A$8:A19)),10000),"")</f>
        <v>13</v>
      </c>
      <c r="B19" s="20">
        <f>IF($A19="","",IF(INDEX(Registro!$B$1:$B$1001,$A19)="","",INDEX(Registro!$B$1:$B$1001,$A19)))</f>
        <v>46306</v>
      </c>
      <c r="C19" s="21" t="str">
        <f>IF($A19="","",IF(INDEX(Registro!$C$1:$C$1001,$A19)="","",INDEX(Registro!$C$1:$C$1001,$A19)))</f>
        <v>Cbba</v>
      </c>
      <c r="D19" s="21" t="str">
        <f>IF($A19="","",IF(INDEX(Registro!$D$1:$D$1001,$A19)="","",INDEX(Registro!$D$1:$D$1001,$A19)))</f>
        <v>12:00-19:00</v>
      </c>
      <c r="E19" s="22" t="str">
        <f>IF($A19="","",IF(INDEX(Registro!$E$1:$E$1001,$A19)="","",INDEX(Registro!$E$1:$E$1001,$A19)))</f>
        <v>46x50; 4x70</v>
      </c>
      <c r="F19" s="23">
        <f>IF($A19="","",IF(INDEX(Cálculo!$D$1:$D$1001,$A19)="","",INDEX(Cálculo!$D$1:$D$1001,$A19)))</f>
        <v>50</v>
      </c>
      <c r="G19" s="24">
        <f>IF($A19="","",IF(INDEX(Cálculo!$E$1:$E$1001,$A19)="","",INDEX(Cálculo!$E$1:$E$1001,$A19)))</f>
        <v>2580</v>
      </c>
      <c r="H19" s="22" t="str">
        <f>IF($A19="","",IF(INDEX(Registro!$F$1:$F$1001,$A19)="","",INDEX(Registro!$F$1:$F$1001,$A19)))</f>
        <v>1x5280</v>
      </c>
      <c r="I19" s="23">
        <f>IF($A19="","",IF(INDEX(Cálculo!$F$1:$F$1001,$A19)="","",INDEX(Cálculo!$F$1:$F$1001,$A19)))</f>
        <v>1</v>
      </c>
      <c r="J19" s="24">
        <f>IF($A19="","",IF(INDEX(Cálculo!$G$1:$G$1001,$A19)="","",INDEX(Cálculo!$G$1:$G$1001,$A19)))</f>
        <v>5280</v>
      </c>
      <c r="K19" s="21" t="str">
        <f>IF($A19="","",IF(INDEX(Cálculo!$H$1:$H$1001,$A19)="","",INDEX(Cálculo!$H$1:$H$1001,$A19)))</f>
        <v>CONFORME</v>
      </c>
      <c r="L19" s="24">
        <f>IF($A19="","",IF(INDEX(Registro!$G$1:$G$1001,$A19)="","",INDEX(Registro!$G$1:$G$1001,$A19)))</f>
        <v>5280</v>
      </c>
      <c r="M19" s="22" t="str">
        <f>IF($A19="","",IF(INDEX(Registro!$H$1:$H$1001,$A19)="","",INDEX(Registro!$H$1:$H$1001,$A19)))</f>
        <v>Peaje 50; Veatico 50; Engrase 30</v>
      </c>
      <c r="N19" s="24">
        <f>IF($A19="","",IF(INDEX(Cálculo!$I$1:$I$1001,$A19)="","",INDEX(Cálculo!$I$1:$I$1001,$A19)))</f>
        <v>130</v>
      </c>
      <c r="O19" s="24">
        <f>IF($A19="","",IF(INDEX(Cálculo!$K$1:$K$1001,$A19)="","",INDEX(Cálculo!$K$1:$K$1001,$A19)))</f>
        <v>5150</v>
      </c>
      <c r="P19" s="22" t="str">
        <f>IF($A19="","",IF(INDEX(Registro!$I$1:$I$1001,$A19)="","",INDEX(Registro!$I$1:$I$1001,$A19)))</f>
        <v/>
      </c>
      <c r="Q19" s="24" t="str">
        <f>IF($A19="","",IF(INDEX(Cálculo!$J$1:$J$1001,$A19)="","",INDEX(Cálculo!$J$1:$J$1001,$A19)))</f>
        <v/>
      </c>
      <c r="R19" s="24">
        <f>IF($A19="","",IF(INDEX(Cálculo!$L$1:$L$1001,$A19)="","",INDEX(Cálculo!$L$1:$L$1001,$A19)))</f>
        <v>5150</v>
      </c>
      <c r="S19" s="22" t="str">
        <f>IF($A19="","",IF(INDEX(Registro!$J$1:$J$1001,$A19)="","",INDEX(Registro!$J$1:$J$1001,$A19)))</f>
        <v/>
      </c>
    </row>
    <row r="20" spans="1:19" ht="18" customHeight="1" x14ac:dyDescent="0.25">
      <c r="A20" s="19">
        <f>IFERROR(MOD(SMALL(Cálculo!$M$2:$M$1001,ROWS(A$8:A20)),10000),"")</f>
        <v>14</v>
      </c>
      <c r="B20" s="20">
        <f>IF($A20="","",IF(INDEX(Registro!$B$1:$B$1001,$A20)="","",INDEX(Registro!$B$1:$B$1001,$A20)))</f>
        <v>46307</v>
      </c>
      <c r="C20" s="21" t="str">
        <f>IF($A20="","",IF(INDEX(Registro!$C$1:$C$1001,$A20)="","",INDEX(Registro!$C$1:$C$1001,$A20)))</f>
        <v>Lp</v>
      </c>
      <c r="D20" s="21" t="str">
        <f>IF($A20="","",IF(INDEX(Registro!$D$1:$D$1001,$A20)="","",INDEX(Registro!$D$1:$D$1001,$A20)))</f>
        <v>4:30-16:30</v>
      </c>
      <c r="E20" s="22" t="str">
        <f>IF($A20="","",IF(INDEX(Registro!$E$1:$E$1001,$A20)="","",INDEX(Registro!$E$1:$E$1001,$A20)))</f>
        <v>38x40; 5x60; 8x50</v>
      </c>
      <c r="F20" s="23">
        <f>IF($A20="","",IF(INDEX(Cálculo!$D$1:$D$1001,$A20)="","",INDEX(Cálculo!$D$1:$D$1001,$A20)))</f>
        <v>51</v>
      </c>
      <c r="G20" s="24">
        <f>IF($A20="","",IF(INDEX(Cálculo!$E$1:$E$1001,$A20)="","",INDEX(Cálculo!$E$1:$E$1001,$A20)))</f>
        <v>2220</v>
      </c>
      <c r="H20" s="22" t="str">
        <f>IF($A20="","",IF(INDEX(Registro!$F$1:$F$1001,$A20)="","",INDEX(Registro!$F$1:$F$1001,$A20)))</f>
        <v>1x2855</v>
      </c>
      <c r="I20" s="23">
        <f>IF($A20="","",IF(INDEX(Cálculo!$F$1:$F$1001,$A20)="","",INDEX(Cálculo!$F$1:$F$1001,$A20)))</f>
        <v>1</v>
      </c>
      <c r="J20" s="24">
        <f>IF($A20="","",IF(INDEX(Cálculo!$G$1:$G$1001,$A20)="","",INDEX(Cálculo!$G$1:$G$1001,$A20)))</f>
        <v>2855</v>
      </c>
      <c r="K20" s="21" t="str">
        <f>IF($A20="","",IF(INDEX(Cálculo!$H$1:$H$1001,$A20)="","",INDEX(Cálculo!$H$1:$H$1001,$A20)))</f>
        <v>CONFORME</v>
      </c>
      <c r="L20" s="24">
        <f>IF($A20="","",IF(INDEX(Registro!$G$1:$G$1001,$A20)="","",INDEX(Registro!$G$1:$G$1001,$A20)))</f>
        <v>2855</v>
      </c>
      <c r="M20" s="22" t="str">
        <f>IF($A20="","",IF(INDEX(Registro!$H$1:$H$1001,$A20)="","",INDEX(Registro!$H$1:$H$1001,$A20)))</f>
        <v>Peaje 50; Veatico 50; Ayudante 120</v>
      </c>
      <c r="N20" s="24">
        <f>IF($A20="","",IF(INDEX(Cálculo!$I$1:$I$1001,$A20)="","",INDEX(Cálculo!$I$1:$I$1001,$A20)))</f>
        <v>220</v>
      </c>
      <c r="O20" s="24">
        <f>IF($A20="","",IF(INDEX(Cálculo!$K$1:$K$1001,$A20)="","",INDEX(Cálculo!$K$1:$K$1001,$A20)))</f>
        <v>2635</v>
      </c>
      <c r="P20" s="22" t="str">
        <f>IF($A20="","",IF(INDEX(Registro!$I$1:$I$1001,$A20)="","",INDEX(Registro!$I$1:$I$1001,$A20)))</f>
        <v>Diesel 8190</v>
      </c>
      <c r="Q20" s="24">
        <f>IF($A20="","",IF(INDEX(Cálculo!$J$1:$J$1001,$A20)="","",INDEX(Cálculo!$J$1:$J$1001,$A20)))</f>
        <v>8190</v>
      </c>
      <c r="R20" s="24">
        <f>IF($A20="","",IF(INDEX(Cálculo!$L$1:$L$1001,$A20)="","",INDEX(Cálculo!$L$1:$L$1001,$A20)))</f>
        <v>-5555</v>
      </c>
      <c r="S20" s="22" t="str">
        <f>IF($A20="","",IF(INDEX(Registro!$J$1:$J$1001,$A20)="","",INDEX(Registro!$J$1:$J$1001,$A20)))</f>
        <v/>
      </c>
    </row>
    <row r="21" spans="1:19" ht="18" customHeight="1" x14ac:dyDescent="0.25">
      <c r="A21" s="19">
        <f>IFERROR(MOD(SMALL(Cálculo!$M$2:$M$1001,ROWS(A$8:A21)),10000),"")</f>
        <v>15</v>
      </c>
      <c r="B21" s="20">
        <f>IF($A21="","",IF(INDEX(Registro!$B$1:$B$1001,$A21)="","",INDEX(Registro!$B$1:$B$1001,$A21)))</f>
        <v>46308</v>
      </c>
      <c r="C21" s="21" t="str">
        <f>IF($A21="","",IF(INDEX(Registro!$C$1:$C$1001,$A21)="","",INDEX(Registro!$C$1:$C$1001,$A21)))</f>
        <v>Cbba</v>
      </c>
      <c r="D21" s="21" t="str">
        <f>IF($A21="","",IF(INDEX(Registro!$D$1:$D$1001,$A21)="","",INDEX(Registro!$D$1:$D$1001,$A21)))</f>
        <v>4:30-19:00</v>
      </c>
      <c r="E21" s="22" t="str">
        <f>IF($A21="","",IF(INDEX(Registro!$E$1:$E$1001,$A21)="","",INDEX(Registro!$E$1:$E$1001,$A21)))</f>
        <v>36x40; 3x60; 2x50</v>
      </c>
      <c r="F21" s="23">
        <f>IF($A21="","",IF(INDEX(Cálculo!$D$1:$D$1001,$A21)="","",INDEX(Cálculo!$D$1:$D$1001,$A21)))</f>
        <v>41</v>
      </c>
      <c r="G21" s="24">
        <f>IF($A21="","",IF(INDEX(Cálculo!$E$1:$E$1001,$A21)="","",INDEX(Cálculo!$E$1:$E$1001,$A21)))</f>
        <v>1720</v>
      </c>
      <c r="H21" s="22" t="str">
        <f>IF($A21="","",IF(INDEX(Registro!$F$1:$F$1001,$A21)="","",INDEX(Registro!$F$1:$F$1001,$A21)))</f>
        <v>1x2960</v>
      </c>
      <c r="I21" s="23">
        <f>IF($A21="","",IF(INDEX(Cálculo!$F$1:$F$1001,$A21)="","",INDEX(Cálculo!$F$1:$F$1001,$A21)))</f>
        <v>1</v>
      </c>
      <c r="J21" s="24">
        <f>IF($A21="","",IF(INDEX(Cálculo!$G$1:$G$1001,$A21)="","",INDEX(Cálculo!$G$1:$G$1001,$A21)))</f>
        <v>2960</v>
      </c>
      <c r="K21" s="21" t="str">
        <f>IF($A21="","",IF(INDEX(Cálculo!$H$1:$H$1001,$A21)="","",INDEX(Cálculo!$H$1:$H$1001,$A21)))</f>
        <v>CONFORME</v>
      </c>
      <c r="L21" s="24">
        <f>IF($A21="","",IF(INDEX(Registro!$G$1:$G$1001,$A21)="","",INDEX(Registro!$G$1:$G$1001,$A21)))</f>
        <v>2960</v>
      </c>
      <c r="M21" s="22" t="str">
        <f>IF($A21="","",IF(INDEX(Registro!$H$1:$H$1001,$A21)="","",INDEX(Registro!$H$1:$H$1001,$A21)))</f>
        <v>Peaje 50; Veatico 50; Engrase 20</v>
      </c>
      <c r="N21" s="24">
        <f>IF($A21="","",IF(INDEX(Cálculo!$I$1:$I$1001,$A21)="","",INDEX(Cálculo!$I$1:$I$1001,$A21)))</f>
        <v>120</v>
      </c>
      <c r="O21" s="24">
        <f>IF($A21="","",IF(INDEX(Cálculo!$K$1:$K$1001,$A21)="","",INDEX(Cálculo!$K$1:$K$1001,$A21)))</f>
        <v>2840</v>
      </c>
      <c r="P21" s="22" t="str">
        <f>IF($A21="","",IF(INDEX(Registro!$I$1:$I$1001,$A21)="","",INDEX(Registro!$I$1:$I$1001,$A21)))</f>
        <v/>
      </c>
      <c r="Q21" s="24" t="str">
        <f>IF($A21="","",IF(INDEX(Cálculo!$J$1:$J$1001,$A21)="","",INDEX(Cálculo!$J$1:$J$1001,$A21)))</f>
        <v/>
      </c>
      <c r="R21" s="24">
        <f>IF($A21="","",IF(INDEX(Cálculo!$L$1:$L$1001,$A21)="","",INDEX(Cálculo!$L$1:$L$1001,$A21)))</f>
        <v>2840</v>
      </c>
      <c r="S21" s="22" t="str">
        <f>IF($A21="","",IF(INDEX(Registro!$J$1:$J$1001,$A21)="","",INDEX(Registro!$J$1:$J$1001,$A21)))</f>
        <v/>
      </c>
    </row>
    <row r="22" spans="1:19" ht="18" customHeight="1" x14ac:dyDescent="0.25">
      <c r="A22" s="19">
        <f>IFERROR(MOD(SMALL(Cálculo!$M$2:$M$1001,ROWS(A$8:A22)),10000),"")</f>
        <v>16</v>
      </c>
      <c r="B22" s="20">
        <f>IF($A22="","",IF(INDEX(Registro!$B$1:$B$1001,$A22)="","",INDEX(Registro!$B$1:$B$1001,$A22)))</f>
        <v>46309</v>
      </c>
      <c r="C22" s="21" t="str">
        <f>IF($A22="","",IF(INDEX(Registro!$C$1:$C$1001,$A22)="","",INDEX(Registro!$C$1:$C$1001,$A22)))</f>
        <v>Lp</v>
      </c>
      <c r="D22" s="21" t="str">
        <f>IF($A22="","",IF(INDEX(Registro!$D$1:$D$1001,$A22)="","",INDEX(Registro!$D$1:$D$1001,$A22)))</f>
        <v>3:30-16:00</v>
      </c>
      <c r="E22" s="22" t="str">
        <f>IF($A22="","",IF(INDEX(Registro!$E$1:$E$1001,$A22)="","",INDEX(Registro!$E$1:$E$1001,$A22)))</f>
        <v>29x40; 3x50; 10x60</v>
      </c>
      <c r="F22" s="23">
        <f>IF($A22="","",IF(INDEX(Cálculo!$D$1:$D$1001,$A22)="","",INDEX(Cálculo!$D$1:$D$1001,$A22)))</f>
        <v>42</v>
      </c>
      <c r="G22" s="24">
        <f>IF($A22="","",IF(INDEX(Cálculo!$E$1:$E$1001,$A22)="","",INDEX(Cálculo!$E$1:$E$1001,$A22)))</f>
        <v>1910</v>
      </c>
      <c r="H22" s="22" t="str">
        <f>IF($A22="","",IF(INDEX(Registro!$F$1:$F$1001,$A22)="","",INDEX(Registro!$F$1:$F$1001,$A22)))</f>
        <v>1x2070</v>
      </c>
      <c r="I22" s="23">
        <f>IF($A22="","",IF(INDEX(Cálculo!$F$1:$F$1001,$A22)="","",INDEX(Cálculo!$F$1:$F$1001,$A22)))</f>
        <v>1</v>
      </c>
      <c r="J22" s="24">
        <f>IF($A22="","",IF(INDEX(Cálculo!$G$1:$G$1001,$A22)="","",INDEX(Cálculo!$G$1:$G$1001,$A22)))</f>
        <v>2070</v>
      </c>
      <c r="K22" s="21" t="str">
        <f>IF($A22="","",IF(INDEX(Cálculo!$H$1:$H$1001,$A22)="","",INDEX(Cálculo!$H$1:$H$1001,$A22)))</f>
        <v>CONFORME</v>
      </c>
      <c r="L22" s="24">
        <f>IF($A22="","",IF(INDEX(Registro!$G$1:$G$1001,$A22)="","",INDEX(Registro!$G$1:$G$1001,$A22)))</f>
        <v>2070</v>
      </c>
      <c r="M22" s="22" t="str">
        <f>IF($A22="","",IF(INDEX(Registro!$H$1:$H$1001,$A22)="","",INDEX(Registro!$H$1:$H$1001,$A22)))</f>
        <v>Peaje 50; Veatico 50; Diesel 500</v>
      </c>
      <c r="N22" s="24">
        <f>IF($A22="","",IF(INDEX(Cálculo!$I$1:$I$1001,$A22)="","",INDEX(Cálculo!$I$1:$I$1001,$A22)))</f>
        <v>600</v>
      </c>
      <c r="O22" s="24">
        <f>IF($A22="","",IF(INDEX(Cálculo!$K$1:$K$1001,$A22)="","",INDEX(Cálculo!$K$1:$K$1001,$A22)))</f>
        <v>1470</v>
      </c>
      <c r="P22" s="22" t="str">
        <f>IF($A22="","",IF(INDEX(Registro!$I$1:$I$1001,$A22)="","",INDEX(Registro!$I$1:$I$1001,$A22)))</f>
        <v/>
      </c>
      <c r="Q22" s="24" t="str">
        <f>IF($A22="","",IF(INDEX(Cálculo!$J$1:$J$1001,$A22)="","",INDEX(Cálculo!$J$1:$J$1001,$A22)))</f>
        <v/>
      </c>
      <c r="R22" s="24">
        <f>IF($A22="","",IF(INDEX(Cálculo!$L$1:$L$1001,$A22)="","",INDEX(Cálculo!$L$1:$L$1001,$A22)))</f>
        <v>1470</v>
      </c>
      <c r="S22" s="22" t="str">
        <f>IF($A22="","",IF(INDEX(Registro!$J$1:$J$1001,$A22)="","",INDEX(Registro!$J$1:$J$1001,$A22)))</f>
        <v/>
      </c>
    </row>
    <row r="23" spans="1:19" ht="18" customHeight="1" x14ac:dyDescent="0.25">
      <c r="A23" s="19">
        <f>IFERROR(MOD(SMALL(Cálculo!$M$2:$M$1001,ROWS(A$8:A23)),10000),"")</f>
        <v>17</v>
      </c>
      <c r="B23" s="20">
        <f>IF($A23="","",IF(INDEX(Registro!$B$1:$B$1001,$A23)="","",INDEX(Registro!$B$1:$B$1001,$A23)))</f>
        <v>46310</v>
      </c>
      <c r="C23" s="21" t="str">
        <f>IF($A23="","",IF(INDEX(Registro!$C$1:$C$1001,$A23)="","",INDEX(Registro!$C$1:$C$1001,$A23)))</f>
        <v>Lp</v>
      </c>
      <c r="D23" s="21" t="str">
        <f>IF($A23="","",IF(INDEX(Registro!$D$1:$D$1001,$A23)="","",INDEX(Registro!$D$1:$D$1001,$A23)))</f>
        <v>3:30-14:30</v>
      </c>
      <c r="E23" s="22" t="str">
        <f>IF($A23="","",IF(INDEX(Registro!$E$1:$E$1001,$A23)="","",INDEX(Registro!$E$1:$E$1001,$A23)))</f>
        <v>Sin boleto</v>
      </c>
      <c r="F23" s="23" t="str">
        <f>IF($A23="","",IF(INDEX(Cálculo!$D$1:$D$1001,$A23)="","",INDEX(Cálculo!$D$1:$D$1001,$A23)))</f>
        <v>-</v>
      </c>
      <c r="G23" s="24" t="str">
        <f>IF($A23="","",IF(INDEX(Cálculo!$E$1:$E$1001,$A23)="","",INDEX(Cálculo!$E$1:$E$1001,$A23)))</f>
        <v>-</v>
      </c>
      <c r="H23" s="22" t="str">
        <f>IF($A23="","",IF(INDEX(Registro!$F$1:$F$1001,$A23)="","",INDEX(Registro!$F$1:$F$1001,$A23)))</f>
        <v>Sin boleto</v>
      </c>
      <c r="I23" s="23" t="str">
        <f>IF($A23="","",IF(INDEX(Cálculo!$F$1:$F$1001,$A23)="","",INDEX(Cálculo!$F$1:$F$1001,$A23)))</f>
        <v>-</v>
      </c>
      <c r="J23" s="24">
        <f>IF($A23="","",IF(INDEX(Cálculo!$G$1:$G$1001,$A23)="","",INDEX(Cálculo!$G$1:$G$1001,$A23)))</f>
        <v>2870</v>
      </c>
      <c r="K23" s="21" t="str">
        <f>IF($A23="","",IF(INDEX(Cálculo!$H$1:$H$1001,$A23)="","",INDEX(Cálculo!$H$1:$H$1001,$A23)))</f>
        <v>CONFORME</v>
      </c>
      <c r="L23" s="24">
        <f>IF($A23="","",IF(INDEX(Registro!$G$1:$G$1001,$A23)="","",INDEX(Registro!$G$1:$G$1001,$A23)))</f>
        <v>2870</v>
      </c>
      <c r="M23" s="22" t="str">
        <f>IF($A23="","",IF(INDEX(Registro!$H$1:$H$1001,$A23)="","",INDEX(Registro!$H$1:$H$1001,$A23)))</f>
        <v>Peaje 50; Veatico 50; Extra 20</v>
      </c>
      <c r="N23" s="24">
        <f>IF($A23="","",IF(INDEX(Cálculo!$I$1:$I$1001,$A23)="","",INDEX(Cálculo!$I$1:$I$1001,$A23)))</f>
        <v>120</v>
      </c>
      <c r="O23" s="24">
        <f>IF($A23="","",IF(INDEX(Cálculo!$K$1:$K$1001,$A23)="","",INDEX(Cálculo!$K$1:$K$1001,$A23)))</f>
        <v>2750</v>
      </c>
      <c r="P23" s="22" t="str">
        <f>IF($A23="","",IF(INDEX(Registro!$I$1:$I$1001,$A23)="","",INDEX(Registro!$I$1:$I$1001,$A23)))</f>
        <v>Diesel 8370</v>
      </c>
      <c r="Q23" s="24">
        <f>IF($A23="","",IF(INDEX(Cálculo!$J$1:$J$1001,$A23)="","",INDEX(Cálculo!$J$1:$J$1001,$A23)))</f>
        <v>8370</v>
      </c>
      <c r="R23" s="24">
        <f>IF($A23="","",IF(INDEX(Cálculo!$L$1:$L$1001,$A23)="","",INDEX(Cálculo!$L$1:$L$1001,$A23)))</f>
        <v>-5620</v>
      </c>
      <c r="S23" s="22" t="str">
        <f>IF($A23="","",IF(INDEX(Registro!$J$1:$J$1001,$A23)="","",INDEX(Registro!$J$1:$J$1001,$A23)))</f>
        <v/>
      </c>
    </row>
    <row r="24" spans="1:19" x14ac:dyDescent="0.25">
      <c r="A24" s="19">
        <f>IFERROR(MOD(SMALL(Cálculo!$M$2:$M$1001,ROWS(A$8:A24)),10000),"")</f>
        <v>18</v>
      </c>
      <c r="B24" s="20">
        <f>IF($A24="","",IF(INDEX(Registro!$B$1:$B$1001,$A24)="","",INDEX(Registro!$B$1:$B$1001,$A24)))</f>
        <v>46311</v>
      </c>
      <c r="C24" s="21" t="str">
        <f>IF($A24="","",IF(INDEX(Registro!$C$1:$C$1001,$A24)="","",INDEX(Registro!$C$1:$C$1001,$A24)))</f>
        <v>Lp</v>
      </c>
      <c r="D24" s="21" t="str">
        <f>IF($A24="","",IF(INDEX(Registro!$D$1:$D$1001,$A24)="","",INDEX(Registro!$D$1:$D$1001,$A24)))</f>
        <v>5:00-19:00</v>
      </c>
      <c r="E24" s="22" t="str">
        <f>IF($A24="","",IF(INDEX(Registro!$E$1:$E$1001,$A24)="","",INDEX(Registro!$E$1:$E$1001,$A24)))</f>
        <v>Sin boleto</v>
      </c>
      <c r="F24" s="23" t="str">
        <f>IF($A24="","",IF(INDEX(Cálculo!$D$1:$D$1001,$A24)="","",INDEX(Cálculo!$D$1:$D$1001,$A24)))</f>
        <v>-</v>
      </c>
      <c r="G24" s="24" t="str">
        <f>IF($A24="","",IF(INDEX(Cálculo!$E$1:$E$1001,$A24)="","",INDEX(Cálculo!$E$1:$E$1001,$A24)))</f>
        <v>-</v>
      </c>
      <c r="H24" s="22" t="str">
        <f>IF($A24="","",IF(INDEX(Registro!$F$1:$F$1001,$A24)="","",INDEX(Registro!$F$1:$F$1001,$A24)))</f>
        <v>1x3250</v>
      </c>
      <c r="I24" s="23">
        <f>IF($A24="","",IF(INDEX(Cálculo!$F$1:$F$1001,$A24)="","",INDEX(Cálculo!$F$1:$F$1001,$A24)))</f>
        <v>1</v>
      </c>
      <c r="J24" s="24">
        <f>IF($A24="","",IF(INDEX(Cálculo!$G$1:$G$1001,$A24)="","",INDEX(Cálculo!$G$1:$G$1001,$A24)))</f>
        <v>3250</v>
      </c>
      <c r="K24" s="21" t="str">
        <f>IF($A24="","",IF(INDEX(Cálculo!$H$1:$H$1001,$A24)="","",INDEX(Cálculo!$H$1:$H$1001,$A24)))</f>
        <v>CONFORME</v>
      </c>
      <c r="L24" s="24">
        <f>IF($A24="","",IF(INDEX(Registro!$G$1:$G$1001,$A24)="","",INDEX(Registro!$G$1:$G$1001,$A24)))</f>
        <v>3250</v>
      </c>
      <c r="M24" s="22" t="str">
        <f>IF($A24="","",IF(INDEX(Registro!$H$1:$H$1001,$A24)="","",INDEX(Registro!$H$1:$H$1001,$A24)))</f>
        <v>Peaje 50; Veatico 50; Engrase 40</v>
      </c>
      <c r="N24" s="24">
        <f>IF($A24="","",IF(INDEX(Cálculo!$I$1:$I$1001,$A24)="","",INDEX(Cálculo!$I$1:$I$1001,$A24)))</f>
        <v>140</v>
      </c>
      <c r="O24" s="24">
        <f>IF($A24="","",IF(INDEX(Cálculo!$K$1:$K$1001,$A24)="","",INDEX(Cálculo!$K$1:$K$1001,$A24)))</f>
        <v>3110</v>
      </c>
      <c r="P24" s="22" t="str">
        <f>IF($A24="","",IF(INDEX(Registro!$I$1:$I$1001,$A24)="","",INDEX(Registro!$I$1:$I$1001,$A24)))</f>
        <v/>
      </c>
      <c r="Q24" s="24" t="str">
        <f>IF($A24="","",IF(INDEX(Cálculo!$J$1:$J$1001,$A24)="","",INDEX(Cálculo!$J$1:$J$1001,$A24)))</f>
        <v/>
      </c>
      <c r="R24" s="24">
        <f>IF($A24="","",IF(INDEX(Cálculo!$L$1:$L$1001,$A24)="","",INDEX(Cálculo!$L$1:$L$1001,$A24)))</f>
        <v>3110</v>
      </c>
      <c r="S24" s="22" t="str">
        <f>IF($A24="","",IF(INDEX(Registro!$J$1:$J$1001,$A24)="","",INDEX(Registro!$J$1:$J$1001,$A24)))</f>
        <v/>
      </c>
    </row>
    <row r="25" spans="1:19" ht="18" customHeight="1" x14ac:dyDescent="0.25">
      <c r="A25" s="19">
        <f>IFERROR(MOD(SMALL(Cálculo!$M$2:$M$1001,ROWS(A$8:A25)),10000),"")</f>
        <v>19</v>
      </c>
      <c r="B25" s="20">
        <f>IF($A25="","",IF(INDEX(Registro!$B$1:$B$1001,$A25)="","",INDEX(Registro!$B$1:$B$1001,$A25)))</f>
        <v>46312</v>
      </c>
      <c r="C25" s="21" t="str">
        <f>IF($A25="","",IF(INDEX(Registro!$C$1:$C$1001,$A25)="","",INDEX(Registro!$C$1:$C$1001,$A25)))</f>
        <v>Cbba</v>
      </c>
      <c r="D25" s="21" t="str">
        <f>IF($A25="","",IF(INDEX(Registro!$D$1:$D$1001,$A25)="","",INDEX(Registro!$D$1:$D$1001,$A25)))</f>
        <v>05:00-12:00</v>
      </c>
      <c r="E25" s="22" t="str">
        <f>IF($A25="","",IF(INDEX(Registro!$E$1:$E$1001,$A25)="","",INDEX(Registro!$E$1:$E$1001,$A25)))</f>
        <v>29x50; 18x60; 11x80</v>
      </c>
      <c r="F25" s="23">
        <f>IF($A25="","",IF(INDEX(Cálculo!$D$1:$D$1001,$A25)="","",INDEX(Cálculo!$D$1:$D$1001,$A25)))</f>
        <v>58</v>
      </c>
      <c r="G25" s="24">
        <f>IF($A25="","",IF(INDEX(Cálculo!$E$1:$E$1001,$A25)="","",INDEX(Cálculo!$E$1:$E$1001,$A25)))</f>
        <v>3410</v>
      </c>
      <c r="H25" s="22" t="str">
        <f>IF($A25="","",IF(INDEX(Registro!$F$1:$F$1001,$A25)="","",INDEX(Registro!$F$1:$F$1001,$A25)))</f>
        <v>1x3360</v>
      </c>
      <c r="I25" s="23">
        <f>IF($A25="","",IF(INDEX(Cálculo!$F$1:$F$1001,$A25)="","",INDEX(Cálculo!$F$1:$F$1001,$A25)))</f>
        <v>1</v>
      </c>
      <c r="J25" s="24">
        <f>IF($A25="","",IF(INDEX(Cálculo!$G$1:$G$1001,$A25)="","",INDEX(Cálculo!$G$1:$G$1001,$A25)))</f>
        <v>3360</v>
      </c>
      <c r="K25" s="21" t="str">
        <f>IF($A25="","",IF(INDEX(Cálculo!$H$1:$H$1001,$A25)="","",INDEX(Cálculo!$H$1:$H$1001,$A25)))</f>
        <v>CONFORME</v>
      </c>
      <c r="L25" s="24">
        <f>IF($A25="","",IF(INDEX(Registro!$G$1:$G$1001,$A25)="","",INDEX(Registro!$G$1:$G$1001,$A25)))</f>
        <v>3360</v>
      </c>
      <c r="M25" s="22" t="str">
        <f>IF($A25="","",IF(INDEX(Registro!$H$1:$H$1001,$A25)="","",INDEX(Registro!$H$1:$H$1001,$A25)))</f>
        <v>Peaje 60; Veatico 50; Taxi 20</v>
      </c>
      <c r="N25" s="24">
        <f>IF($A25="","",IF(INDEX(Cálculo!$I$1:$I$1001,$A25)="","",INDEX(Cálculo!$I$1:$I$1001,$A25)))</f>
        <v>130</v>
      </c>
      <c r="O25" s="24">
        <f>IF($A25="","",IF(INDEX(Cálculo!$K$1:$K$1001,$A25)="","",INDEX(Cálculo!$K$1:$K$1001,$A25)))</f>
        <v>3230</v>
      </c>
      <c r="P25" s="22" t="str">
        <f>IF($A25="","",IF(INDEX(Registro!$I$1:$I$1001,$A25)="","",INDEX(Registro!$I$1:$I$1001,$A25)))</f>
        <v>Diesel 5550</v>
      </c>
      <c r="Q25" s="24">
        <f>IF($A25="","",IF(INDEX(Cálculo!$J$1:$J$1001,$A25)="","",INDEX(Cálculo!$J$1:$J$1001,$A25)))</f>
        <v>5550</v>
      </c>
      <c r="R25" s="24">
        <f>IF($A25="","",IF(INDEX(Cálculo!$L$1:$L$1001,$A25)="","",INDEX(Cálculo!$L$1:$L$1001,$A25)))</f>
        <v>-2320</v>
      </c>
      <c r="S25" s="22" t="str">
        <f>IF($A25="","",IF(INDEX(Registro!$J$1:$J$1001,$A25)="","",INDEX(Registro!$J$1:$J$1001,$A25)))</f>
        <v/>
      </c>
    </row>
    <row r="26" spans="1:19" x14ac:dyDescent="0.25">
      <c r="A26" s="19">
        <f>IFERROR(MOD(SMALL(Cálculo!$M$2:$M$1001,ROWS(A$8:A26)),10000),"")</f>
        <v>20</v>
      </c>
      <c r="B26" s="20">
        <f>IF($A26="","",IF(INDEX(Registro!$B$1:$B$1001,$A26)="","",INDEX(Registro!$B$1:$B$1001,$A26)))</f>
        <v>46313</v>
      </c>
      <c r="C26" s="21" t="str">
        <f>IF($A26="","",IF(INDEX(Registro!$C$1:$C$1001,$A26)="","",INDEX(Registro!$C$1:$C$1001,$A26)))</f>
        <v>Lp</v>
      </c>
      <c r="D26" s="21" t="str">
        <f>IF($A26="","",IF(INDEX(Registro!$D$1:$D$1001,$A26)="","",INDEX(Registro!$D$1:$D$1001,$A26)))</f>
        <v>7:00-15:30</v>
      </c>
      <c r="E26" s="22" t="str">
        <f>IF($A26="","",IF(INDEX(Registro!$E$1:$E$1001,$A26)="","",INDEX(Registro!$E$1:$E$1001,$A26)))</f>
        <v>37x40; 5x60</v>
      </c>
      <c r="F26" s="23">
        <f>IF($A26="","",IF(INDEX(Cálculo!$D$1:$D$1001,$A26)="","",INDEX(Cálculo!$D$1:$D$1001,$A26)))</f>
        <v>42</v>
      </c>
      <c r="G26" s="24">
        <f>IF($A26="","",IF(INDEX(Cálculo!$E$1:$E$1001,$A26)="","",INDEX(Cálculo!$E$1:$E$1001,$A26)))</f>
        <v>1780</v>
      </c>
      <c r="H26" s="22" t="str">
        <f>IF($A26="","",IF(INDEX(Registro!$F$1:$F$1001,$A26)="","",INDEX(Registro!$F$1:$F$1001,$A26)))</f>
        <v>1x3275</v>
      </c>
      <c r="I26" s="23">
        <f>IF($A26="","",IF(INDEX(Cálculo!$F$1:$F$1001,$A26)="","",INDEX(Cálculo!$F$1:$F$1001,$A26)))</f>
        <v>1</v>
      </c>
      <c r="J26" s="24">
        <f>IF($A26="","",IF(INDEX(Cálculo!$G$1:$G$1001,$A26)="","",INDEX(Cálculo!$G$1:$G$1001,$A26)))</f>
        <v>3275</v>
      </c>
      <c r="K26" s="21" t="str">
        <f>IF($A26="","",IF(INDEX(Cálculo!$H$1:$H$1001,$A26)="","",INDEX(Cálculo!$H$1:$H$1001,$A26)))</f>
        <v>CONFORME</v>
      </c>
      <c r="L26" s="24">
        <f>IF($A26="","",IF(INDEX(Registro!$G$1:$G$1001,$A26)="","",INDEX(Registro!$G$1:$G$1001,$A26)))</f>
        <v>3275</v>
      </c>
      <c r="M26" s="22" t="str">
        <f>IF($A26="","",IF(INDEX(Registro!$H$1:$H$1001,$A26)="","",INDEX(Registro!$H$1:$H$1001,$A26)))</f>
        <v>Peaje 45; Veatico 50</v>
      </c>
      <c r="N26" s="24">
        <f>IF($A26="","",IF(INDEX(Cálculo!$I$1:$I$1001,$A26)="","",INDEX(Cálculo!$I$1:$I$1001,$A26)))</f>
        <v>95</v>
      </c>
      <c r="O26" s="24">
        <f>IF($A26="","",IF(INDEX(Cálculo!$K$1:$K$1001,$A26)="","",INDEX(Cálculo!$K$1:$K$1001,$A26)))</f>
        <v>3180</v>
      </c>
      <c r="P26" s="22" t="str">
        <f>IF($A26="","",IF(INDEX(Registro!$I$1:$I$1001,$A26)="","",INDEX(Registro!$I$1:$I$1001,$A26)))</f>
        <v/>
      </c>
      <c r="Q26" s="24" t="str">
        <f>IF($A26="","",IF(INDEX(Cálculo!$J$1:$J$1001,$A26)="","",INDEX(Cálculo!$J$1:$J$1001,$A26)))</f>
        <v/>
      </c>
      <c r="R26" s="24">
        <f>IF($A26="","",IF(INDEX(Cálculo!$L$1:$L$1001,$A26)="","",INDEX(Cálculo!$L$1:$L$1001,$A26)))</f>
        <v>3180</v>
      </c>
      <c r="S26" s="22" t="str">
        <f>IF($A26="","",IF(INDEX(Registro!$J$1:$J$1001,$A26)="","",INDEX(Registro!$J$1:$J$1001,$A26)))</f>
        <v/>
      </c>
    </row>
    <row r="27" spans="1:19" ht="18" customHeight="1" x14ac:dyDescent="0.25">
      <c r="A27" s="19">
        <f>IFERROR(MOD(SMALL(Cálculo!$M$2:$M$1001,ROWS(A$8:A27)),10000),"")</f>
        <v>21</v>
      </c>
      <c r="B27" s="20">
        <f>IF($A27="","",IF(INDEX(Registro!$B$1:$B$1001,$A27)="","",INDEX(Registro!$B$1:$B$1001,$A27)))</f>
        <v>46314</v>
      </c>
      <c r="C27" s="21" t="str">
        <f>IF($A27="","",IF(INDEX(Registro!$C$1:$C$1001,$A27)="","",INDEX(Registro!$C$1:$C$1001,$A27)))</f>
        <v>Cbba</v>
      </c>
      <c r="D27" s="21" t="str">
        <f>IF($A27="","",IF(INDEX(Registro!$D$1:$D$1001,$A27)="","",INDEX(Registro!$D$1:$D$1001,$A27)))</f>
        <v>3:30-12:00</v>
      </c>
      <c r="E27" s="22" t="str">
        <f>IF($A27="","",IF(INDEX(Registro!$E$1:$E$1001,$A27)="","",INDEX(Registro!$E$1:$E$1001,$A27)))</f>
        <v>41x50; 7x40; 4x80</v>
      </c>
      <c r="F27" s="23">
        <f>IF($A27="","",IF(INDEX(Cálculo!$D$1:$D$1001,$A27)="","",INDEX(Cálculo!$D$1:$D$1001,$A27)))</f>
        <v>52</v>
      </c>
      <c r="G27" s="24">
        <f>IF($A27="","",IF(INDEX(Cálculo!$E$1:$E$1001,$A27)="","",INDEX(Cálculo!$E$1:$E$1001,$A27)))</f>
        <v>2650</v>
      </c>
      <c r="H27" s="22" t="str">
        <f>IF($A27="","",IF(INDEX(Registro!$F$1:$F$1001,$A27)="","",INDEX(Registro!$F$1:$F$1001,$A27)))</f>
        <v>1x3275</v>
      </c>
      <c r="I27" s="23">
        <f>IF($A27="","",IF(INDEX(Cálculo!$F$1:$F$1001,$A27)="","",INDEX(Cálculo!$F$1:$F$1001,$A27)))</f>
        <v>1</v>
      </c>
      <c r="J27" s="24">
        <f>IF($A27="","",IF(INDEX(Cálculo!$G$1:$G$1001,$A27)="","",INDEX(Cálculo!$G$1:$G$1001,$A27)))</f>
        <v>3275</v>
      </c>
      <c r="K27" s="21" t="str">
        <f>IF($A27="","",IF(INDEX(Cálculo!$H$1:$H$1001,$A27)="","",INDEX(Cálculo!$H$1:$H$1001,$A27)))</f>
        <v>CONFORME</v>
      </c>
      <c r="L27" s="24">
        <f>IF($A27="","",IF(INDEX(Registro!$G$1:$G$1001,$A27)="","",INDEX(Registro!$G$1:$G$1001,$A27)))</f>
        <v>3275</v>
      </c>
      <c r="M27" s="22" t="str">
        <f>IF($A27="","",IF(INDEX(Registro!$H$1:$H$1001,$A27)="","",INDEX(Registro!$H$1:$H$1001,$A27)))</f>
        <v>Peaje 45; Veatico 50; Ayudante 120</v>
      </c>
      <c r="N27" s="24">
        <f>IF($A27="","",IF(INDEX(Cálculo!$I$1:$I$1001,$A27)="","",INDEX(Cálculo!$I$1:$I$1001,$A27)))</f>
        <v>215</v>
      </c>
      <c r="O27" s="24">
        <f>IF($A27="","",IF(INDEX(Cálculo!$K$1:$K$1001,$A27)="","",INDEX(Cálculo!$K$1:$K$1001,$A27)))</f>
        <v>3060</v>
      </c>
      <c r="P27" s="22" t="str">
        <f>IF($A27="","",IF(INDEX(Registro!$I$1:$I$1001,$A27)="","",INDEX(Registro!$I$1:$I$1001,$A27)))</f>
        <v/>
      </c>
      <c r="Q27" s="24" t="str">
        <f>IF($A27="","",IF(INDEX(Cálculo!$J$1:$J$1001,$A27)="","",INDEX(Cálculo!$J$1:$J$1001,$A27)))</f>
        <v/>
      </c>
      <c r="R27" s="24">
        <f>IF($A27="","",IF(INDEX(Cálculo!$L$1:$L$1001,$A27)="","",INDEX(Cálculo!$L$1:$L$1001,$A27)))</f>
        <v>3060</v>
      </c>
      <c r="S27" s="22" t="str">
        <f>IF($A27="","",IF(INDEX(Registro!$J$1:$J$1001,$A27)="","",INDEX(Registro!$J$1:$J$1001,$A27)))</f>
        <v/>
      </c>
    </row>
    <row r="28" spans="1:19" ht="18" customHeight="1" x14ac:dyDescent="0.25">
      <c r="A28" s="19">
        <f>IFERROR(MOD(SMALL(Cálculo!$M$2:$M$1001,ROWS(A$8:A28)),10000),"")</f>
        <v>22</v>
      </c>
      <c r="B28" s="20">
        <f>IF($A28="","",IF(INDEX(Registro!$B$1:$B$1001,$A28)="","",INDEX(Registro!$B$1:$B$1001,$A28)))</f>
        <v>46315</v>
      </c>
      <c r="C28" s="21" t="str">
        <f>IF($A28="","",IF(INDEX(Registro!$C$1:$C$1001,$A28)="","",INDEX(Registro!$C$1:$C$1001,$A28)))</f>
        <v>Lp</v>
      </c>
      <c r="D28" s="21" t="str">
        <f>IF($A28="","",IF(INDEX(Registro!$D$1:$D$1001,$A28)="","",INDEX(Registro!$D$1:$D$1001,$A28)))</f>
        <v>3:30-10:00</v>
      </c>
      <c r="E28" s="22" t="str">
        <f>IF($A28="","",IF(INDEX(Registro!$E$1:$E$1001,$A28)="","",INDEX(Registro!$E$1:$E$1001,$A28)))</f>
        <v>42x50; 5x70; 2x60</v>
      </c>
      <c r="F28" s="23">
        <f>IF($A28="","",IF(INDEX(Cálculo!$D$1:$D$1001,$A28)="","",INDEX(Cálculo!$D$1:$D$1001,$A28)))</f>
        <v>49</v>
      </c>
      <c r="G28" s="24">
        <f>IF($A28="","",IF(INDEX(Cálculo!$E$1:$E$1001,$A28)="","",INDEX(Cálculo!$E$1:$E$1001,$A28)))</f>
        <v>2570</v>
      </c>
      <c r="H28" s="22" t="str">
        <f>IF($A28="","",IF(INDEX(Registro!$F$1:$F$1001,$A28)="","",INDEX(Registro!$F$1:$F$1001,$A28)))</f>
        <v>1x2340</v>
      </c>
      <c r="I28" s="23">
        <f>IF($A28="","",IF(INDEX(Cálculo!$F$1:$F$1001,$A28)="","",INDEX(Cálculo!$F$1:$F$1001,$A28)))</f>
        <v>1</v>
      </c>
      <c r="J28" s="24">
        <f>IF($A28="","",IF(INDEX(Cálculo!$G$1:$G$1001,$A28)="","",INDEX(Cálculo!$G$1:$G$1001,$A28)))</f>
        <v>2340</v>
      </c>
      <c r="K28" s="21" t="str">
        <f>IF($A28="","",IF(INDEX(Cálculo!$H$1:$H$1001,$A28)="","",INDEX(Cálculo!$H$1:$H$1001,$A28)))</f>
        <v>CONFORME</v>
      </c>
      <c r="L28" s="24">
        <f>IF($A28="","",IF(INDEX(Registro!$G$1:$G$1001,$A28)="","",INDEX(Registro!$G$1:$G$1001,$A28)))</f>
        <v>2340</v>
      </c>
      <c r="M28" s="22" t="str">
        <f>IF($A28="","",IF(INDEX(Registro!$H$1:$H$1001,$A28)="","",INDEX(Registro!$H$1:$H$1001,$A28)))</f>
        <v>Peaje 50; Veatico 50</v>
      </c>
      <c r="N28" s="24">
        <f>IF($A28="","",IF(INDEX(Cálculo!$I$1:$I$1001,$A28)="","",INDEX(Cálculo!$I$1:$I$1001,$A28)))</f>
        <v>100</v>
      </c>
      <c r="O28" s="24">
        <f>IF($A28="","",IF(INDEX(Cálculo!$K$1:$K$1001,$A28)="","",INDEX(Cálculo!$K$1:$K$1001,$A28)))</f>
        <v>2240</v>
      </c>
      <c r="P28" s="22" t="str">
        <f>IF($A28="","",IF(INDEX(Registro!$I$1:$I$1001,$A28)="","",INDEX(Registro!$I$1:$I$1001,$A28)))</f>
        <v>Diesel 8500</v>
      </c>
      <c r="Q28" s="24">
        <f>IF($A28="","",IF(INDEX(Cálculo!$J$1:$J$1001,$A28)="","",INDEX(Cálculo!$J$1:$J$1001,$A28)))</f>
        <v>8500</v>
      </c>
      <c r="R28" s="24">
        <f>IF($A28="","",IF(INDEX(Cálculo!$L$1:$L$1001,$A28)="","",INDEX(Cálculo!$L$1:$L$1001,$A28)))</f>
        <v>-6260</v>
      </c>
      <c r="S28" s="22" t="str">
        <f>IF($A28="","",IF(INDEX(Registro!$J$1:$J$1001,$A28)="","",INDEX(Registro!$J$1:$J$1001,$A28)))</f>
        <v/>
      </c>
    </row>
    <row r="29" spans="1:19" ht="18" customHeight="1" x14ac:dyDescent="0.25">
      <c r="A29" s="19">
        <f>IFERROR(MOD(SMALL(Cálculo!$M$2:$M$1001,ROWS(A$8:A29)),10000),"")</f>
        <v>23</v>
      </c>
      <c r="B29" s="20">
        <f>IF($A29="","",IF(INDEX(Registro!$B$1:$B$1001,$A29)="","",INDEX(Registro!$B$1:$B$1001,$A29)))</f>
        <v>46316</v>
      </c>
      <c r="C29" s="21" t="str">
        <f>IF($A29="","",IF(INDEX(Registro!$C$1:$C$1001,$A29)="","",INDEX(Registro!$C$1:$C$1001,$A29)))</f>
        <v>Lp</v>
      </c>
      <c r="D29" s="21" t="str">
        <f>IF($A29="","",IF(INDEX(Registro!$D$1:$D$1001,$A29)="","",INDEX(Registro!$D$1:$D$1001,$A29)))</f>
        <v>4:30-17:00</v>
      </c>
      <c r="E29" s="22" t="str">
        <f>IF($A29="","",IF(INDEX(Registro!$E$1:$E$1001,$A29)="","",INDEX(Registro!$E$1:$E$1001,$A29)))</f>
        <v>7x70; 35x50</v>
      </c>
      <c r="F29" s="23">
        <f>IF($A29="","",IF(INDEX(Cálculo!$D$1:$D$1001,$A29)="","",INDEX(Cálculo!$D$1:$D$1001,$A29)))</f>
        <v>42</v>
      </c>
      <c r="G29" s="24">
        <f>IF($A29="","",IF(INDEX(Cálculo!$E$1:$E$1001,$A29)="","",INDEX(Cálculo!$E$1:$E$1001,$A29)))</f>
        <v>2240</v>
      </c>
      <c r="H29" s="22" t="str">
        <f>IF($A29="","",IF(INDEX(Registro!$F$1:$F$1001,$A29)="","",INDEX(Registro!$F$1:$F$1001,$A29)))</f>
        <v>Sin boleto</v>
      </c>
      <c r="I29" s="23" t="str">
        <f>IF($A29="","",IF(INDEX(Cálculo!$F$1:$F$1001,$A29)="","",INDEX(Cálculo!$F$1:$F$1001,$A29)))</f>
        <v>-</v>
      </c>
      <c r="J29" s="24">
        <f>IF($A29="","",IF(INDEX(Cálculo!$G$1:$G$1001,$A29)="","",INDEX(Cálculo!$G$1:$G$1001,$A29)))</f>
        <v>0</v>
      </c>
      <c r="K29" s="21" t="str">
        <f>IF($A29="","",IF(INDEX(Cálculo!$H$1:$H$1001,$A29)="","",INDEX(Cálculo!$H$1:$H$1001,$A29)))</f>
        <v>CONFORME</v>
      </c>
      <c r="L29" s="24">
        <f>IF($A29="","",IF(INDEX(Registro!$G$1:$G$1001,$A29)="","",INDEX(Registro!$G$1:$G$1001,$A29)))</f>
        <v>0</v>
      </c>
      <c r="M29" s="22" t="str">
        <f>IF($A29="","",IF(INDEX(Registro!$H$1:$H$1001,$A29)="","",INDEX(Registro!$H$1:$H$1001,$A29)))</f>
        <v/>
      </c>
      <c r="N29" s="24" t="str">
        <f>IF($A29="","",IF(INDEX(Cálculo!$I$1:$I$1001,$A29)="","",INDEX(Cálculo!$I$1:$I$1001,$A29)))</f>
        <v/>
      </c>
      <c r="O29" s="24">
        <f>IF($A29="","",IF(INDEX(Cálculo!$K$1:$K$1001,$A29)="","",INDEX(Cálculo!$K$1:$K$1001,$A29)))</f>
        <v>0</v>
      </c>
      <c r="P29" s="22" t="str">
        <f>IF($A29="","",IF(INDEX(Registro!$I$1:$I$1001,$A29)="","",INDEX(Registro!$I$1:$I$1001,$A29)))</f>
        <v/>
      </c>
      <c r="Q29" s="24" t="str">
        <f>IF($A29="","",IF(INDEX(Cálculo!$J$1:$J$1001,$A29)="","",INDEX(Cálculo!$J$1:$J$1001,$A29)))</f>
        <v/>
      </c>
      <c r="R29" s="24">
        <f>IF($A29="","",IF(INDEX(Cálculo!$L$1:$L$1001,$A29)="","",INDEX(Cálculo!$L$1:$L$1001,$A29)))</f>
        <v>0</v>
      </c>
      <c r="S29" s="22" t="str">
        <f>IF($A29="","",IF(INDEX(Registro!$J$1:$J$1001,$A29)="","",INDEX(Registro!$J$1:$J$1001,$A29)))</f>
        <v/>
      </c>
    </row>
    <row r="30" spans="1:19" ht="18" customHeight="1" x14ac:dyDescent="0.25">
      <c r="A30" s="19">
        <f>IFERROR(MOD(SMALL(Cálculo!$M$2:$M$1001,ROWS(A$8:A30)),10000),"")</f>
        <v>24</v>
      </c>
      <c r="B30" s="20">
        <f>IF($A30="","",IF(INDEX(Registro!$B$1:$B$1001,$A30)="","",INDEX(Registro!$B$1:$B$1001,$A30)))</f>
        <v>46317</v>
      </c>
      <c r="C30" s="21" t="str">
        <f>IF($A30="","",IF(INDEX(Registro!$C$1:$C$1001,$A30)="","",INDEX(Registro!$C$1:$C$1001,$A30)))</f>
        <v>Cbba</v>
      </c>
      <c r="D30" s="21" t="str">
        <f>IF($A30="","",IF(INDEX(Registro!$D$1:$D$1001,$A30)="","",INDEX(Registro!$D$1:$D$1001,$A30)))</f>
        <v>6:30-15:30</v>
      </c>
      <c r="E30" s="22" t="str">
        <f>IF($A30="","",IF(INDEX(Registro!$E$1:$E$1001,$A30)="","",INDEX(Registro!$E$1:$E$1001,$A30)))</f>
        <v>19x50; 6x40; 4x70; 4x60</v>
      </c>
      <c r="F30" s="23">
        <f>IF($A30="","",IF(INDEX(Cálculo!$D$1:$D$1001,$A30)="","",INDEX(Cálculo!$D$1:$D$1001,$A30)))</f>
        <v>33</v>
      </c>
      <c r="G30" s="24">
        <f>IF($A30="","",IF(INDEX(Cálculo!$E$1:$E$1001,$A30)="","",INDEX(Cálculo!$E$1:$E$1001,$A30)))</f>
        <v>1710</v>
      </c>
      <c r="H30" s="22" t="str">
        <f>IF($A30="","",IF(INDEX(Registro!$F$1:$F$1001,$A30)="","",INDEX(Registro!$F$1:$F$1001,$A30)))</f>
        <v>Sin boleto</v>
      </c>
      <c r="I30" s="23" t="str">
        <f>IF($A30="","",IF(INDEX(Cálculo!$F$1:$F$1001,$A30)="","",INDEX(Cálculo!$F$1:$F$1001,$A30)))</f>
        <v>-</v>
      </c>
      <c r="J30" s="24">
        <f>IF($A30="","",IF(INDEX(Cálculo!$G$1:$G$1001,$A30)="","",INDEX(Cálculo!$G$1:$G$1001,$A30)))</f>
        <v>3760</v>
      </c>
      <c r="K30" s="21" t="str">
        <f>IF($A30="","",IF(INDEX(Cálculo!$H$1:$H$1001,$A30)="","",INDEX(Cálculo!$H$1:$H$1001,$A30)))</f>
        <v>CONFORME</v>
      </c>
      <c r="L30" s="24">
        <f>IF($A30="","",IF(INDEX(Registro!$G$1:$G$1001,$A30)="","",INDEX(Registro!$G$1:$G$1001,$A30)))</f>
        <v>3760</v>
      </c>
      <c r="M30" s="22" t="str">
        <f>IF($A30="","",IF(INDEX(Registro!$H$1:$H$1001,$A30)="","",INDEX(Registro!$H$1:$H$1001,$A30)))</f>
        <v>Peaje 50; Veatico 50; Engrase 30</v>
      </c>
      <c r="N30" s="24">
        <f>IF($A30="","",IF(INDEX(Cálculo!$I$1:$I$1001,$A30)="","",INDEX(Cálculo!$I$1:$I$1001,$A30)))</f>
        <v>130</v>
      </c>
      <c r="O30" s="24">
        <f>IF($A30="","",IF(INDEX(Cálculo!$K$1:$K$1001,$A30)="","",INDEX(Cálculo!$K$1:$K$1001,$A30)))</f>
        <v>3630</v>
      </c>
      <c r="P30" s="22" t="str">
        <f>IF($A30="","",IF(INDEX(Registro!$I$1:$I$1001,$A30)="","",INDEX(Registro!$I$1:$I$1001,$A30)))</f>
        <v/>
      </c>
      <c r="Q30" s="24" t="str">
        <f>IF($A30="","",IF(INDEX(Cálculo!$J$1:$J$1001,$A30)="","",INDEX(Cálculo!$J$1:$J$1001,$A30)))</f>
        <v/>
      </c>
      <c r="R30" s="24">
        <f>IF($A30="","",IF(INDEX(Cálculo!$L$1:$L$1001,$A30)="","",INDEX(Cálculo!$L$1:$L$1001,$A30)))</f>
        <v>3630</v>
      </c>
      <c r="S30" s="22" t="str">
        <f>IF($A30="","",IF(INDEX(Registro!$J$1:$J$1001,$A30)="","",INDEX(Registro!$J$1:$J$1001,$A30)))</f>
        <v/>
      </c>
    </row>
    <row r="31" spans="1:19" ht="18" customHeight="1" x14ac:dyDescent="0.25">
      <c r="A31" s="19">
        <f>IFERROR(MOD(SMALL(Cálculo!$M$2:$M$1001,ROWS(A$8:A31)),10000),"")</f>
        <v>25</v>
      </c>
      <c r="B31" s="20">
        <f>IF($A31="","",IF(INDEX(Registro!$B$1:$B$1001,$A31)="","",INDEX(Registro!$B$1:$B$1001,$A31)))</f>
        <v>46318</v>
      </c>
      <c r="C31" s="21" t="str">
        <f>IF($A31="","",IF(INDEX(Registro!$C$1:$C$1001,$A31)="","",INDEX(Registro!$C$1:$C$1001,$A31)))</f>
        <v>Lp</v>
      </c>
      <c r="D31" s="21" t="str">
        <f>IF($A31="","",IF(INDEX(Registro!$D$1:$D$1001,$A31)="","",INDEX(Registro!$D$1:$D$1001,$A31)))</f>
        <v>4:30-11:00</v>
      </c>
      <c r="E31" s="22" t="str">
        <f>IF($A31="","",IF(INDEX(Registro!$E$1:$E$1001,$A31)="","",INDEX(Registro!$E$1:$E$1001,$A31)))</f>
        <v>47x50; 12x70</v>
      </c>
      <c r="F31" s="23">
        <f>IF($A31="","",IF(INDEX(Cálculo!$D$1:$D$1001,$A31)="","",INDEX(Cálculo!$D$1:$D$1001,$A31)))</f>
        <v>59</v>
      </c>
      <c r="G31" s="24">
        <f>IF($A31="","",IF(INDEX(Cálculo!$E$1:$E$1001,$A31)="","",INDEX(Cálculo!$E$1:$E$1001,$A31)))</f>
        <v>3190</v>
      </c>
      <c r="H31" s="22" t="str">
        <f>IF($A31="","",IF(INDEX(Registro!$F$1:$F$1001,$A31)="","",INDEX(Registro!$F$1:$F$1001,$A31)))</f>
        <v>1x2335</v>
      </c>
      <c r="I31" s="23">
        <f>IF($A31="","",IF(INDEX(Cálculo!$F$1:$F$1001,$A31)="","",INDEX(Cálculo!$F$1:$F$1001,$A31)))</f>
        <v>1</v>
      </c>
      <c r="J31" s="24">
        <f>IF($A31="","",IF(INDEX(Cálculo!$G$1:$G$1001,$A31)="","",INDEX(Cálculo!$G$1:$G$1001,$A31)))</f>
        <v>2335</v>
      </c>
      <c r="K31" s="21" t="str">
        <f>IF($A31="","",IF(INDEX(Cálculo!$H$1:$H$1001,$A31)="","",INDEX(Cálculo!$H$1:$H$1001,$A31)))</f>
        <v>CONFORME</v>
      </c>
      <c r="L31" s="24">
        <f>IF($A31="","",IF(INDEX(Registro!$G$1:$G$1001,$A31)="","",INDEX(Registro!$G$1:$G$1001,$A31)))</f>
        <v>2335</v>
      </c>
      <c r="M31" s="22" t="str">
        <f>IF($A31="","",IF(INDEX(Registro!$H$1:$H$1001,$A31)="","",INDEX(Registro!$H$1:$H$1001,$A31)))</f>
        <v>Peaje 45; Veatico 50</v>
      </c>
      <c r="N31" s="24">
        <f>IF($A31="","",IF(INDEX(Cálculo!$I$1:$I$1001,$A31)="","",INDEX(Cálculo!$I$1:$I$1001,$A31)))</f>
        <v>95</v>
      </c>
      <c r="O31" s="24">
        <f>IF($A31="","",IF(INDEX(Cálculo!$K$1:$K$1001,$A31)="","",INDEX(Cálculo!$K$1:$K$1001,$A31)))</f>
        <v>2240</v>
      </c>
      <c r="P31" s="22" t="str">
        <f>IF($A31="","",IF(INDEX(Registro!$I$1:$I$1001,$A31)="","",INDEX(Registro!$I$1:$I$1001,$A31)))</f>
        <v>Diesel 8400</v>
      </c>
      <c r="Q31" s="24">
        <f>IF($A31="","",IF(INDEX(Cálculo!$J$1:$J$1001,$A31)="","",INDEX(Cálculo!$J$1:$J$1001,$A31)))</f>
        <v>8400</v>
      </c>
      <c r="R31" s="24">
        <f>IF($A31="","",IF(INDEX(Cálculo!$L$1:$L$1001,$A31)="","",INDEX(Cálculo!$L$1:$L$1001,$A31)))</f>
        <v>-6160</v>
      </c>
      <c r="S31" s="22" t="str">
        <f>IF($A31="","",IF(INDEX(Registro!$J$1:$J$1001,$A31)="","",INDEX(Registro!$J$1:$J$1001,$A31)))</f>
        <v/>
      </c>
    </row>
    <row r="32" spans="1:19" ht="18" customHeight="1" x14ac:dyDescent="0.25">
      <c r="A32" s="19">
        <f>IFERROR(MOD(SMALL(Cálculo!$M$2:$M$1001,ROWS(A$8:A32)),10000),"")</f>
        <v>47</v>
      </c>
      <c r="B32" s="20">
        <f>IF($A32="","",IF(INDEX(Registro!$B$1:$B$1001,$A32)="","",INDEX(Registro!$B$1:$B$1001,$A32)))</f>
        <v>46319</v>
      </c>
      <c r="C32" s="21" t="str">
        <f>IF($A32="","",IF(INDEX(Registro!$C$1:$C$1001,$A32)="","",INDEX(Registro!$C$1:$C$1001,$A32)))</f>
        <v>Lp</v>
      </c>
      <c r="D32" s="21" t="str">
        <f>IF($A32="","",IF(INDEX(Registro!$D$1:$D$1001,$A32)="","",INDEX(Registro!$D$1:$D$1001,$A32)))</f>
        <v>4:00-13:30</v>
      </c>
      <c r="E32" s="22" t="str">
        <f>IF($A32="","",IF(INDEX(Registro!$E$1:$E$1001,$A32)="","",INDEX(Registro!$E$1:$E$1001,$A32)))</f>
        <v>43x50; 6x70; 2x80; 1x60</v>
      </c>
      <c r="F32" s="23">
        <f>IF($A32="","",IF(INDEX(Cálculo!$D$1:$D$1001,$A32)="","",INDEX(Cálculo!$D$1:$D$1001,$A32)))</f>
        <v>52</v>
      </c>
      <c r="G32" s="24">
        <f>IF($A32="","",IF(INDEX(Cálculo!$E$1:$E$1001,$A32)="","",INDEX(Cálculo!$E$1:$E$1001,$A32)))</f>
        <v>2790</v>
      </c>
      <c r="H32" s="22" t="str">
        <f>IF($A32="","",IF(INDEX(Registro!$F$1:$F$1001,$A32)="","",INDEX(Registro!$F$1:$F$1001,$A32)))</f>
        <v>1x2815</v>
      </c>
      <c r="I32" s="23">
        <f>IF($A32="","",IF(INDEX(Cálculo!$F$1:$F$1001,$A32)="","",INDEX(Cálculo!$F$1:$F$1001,$A32)))</f>
        <v>1</v>
      </c>
      <c r="J32" s="24">
        <f>IF($A32="","",IF(INDEX(Cálculo!$G$1:$G$1001,$A32)="","",INDEX(Cálculo!$G$1:$G$1001,$A32)))</f>
        <v>2815</v>
      </c>
      <c r="K32" s="21" t="str">
        <f>IF($A32="","",IF(INDEX(Cálculo!$H$1:$H$1001,$A32)="","",INDEX(Cálculo!$H$1:$H$1001,$A32)))</f>
        <v>CONFORME</v>
      </c>
      <c r="L32" s="24">
        <f>IF($A32="","",IF(INDEX(Registro!$G$1:$G$1001,$A32)="","",INDEX(Registro!$G$1:$G$1001,$A32)))</f>
        <v>2815</v>
      </c>
      <c r="M32" s="22" t="str">
        <f>IF($A32="","",IF(INDEX(Registro!$H$1:$H$1001,$A32)="","",INDEX(Registro!$H$1:$H$1001,$A32)))</f>
        <v>Veatico 92</v>
      </c>
      <c r="N32" s="24">
        <f>IF($A32="","",IF(INDEX(Cálculo!$I$1:$I$1001,$A32)="","",INDEX(Cálculo!$I$1:$I$1001,$A32)))</f>
        <v>92</v>
      </c>
      <c r="O32" s="24">
        <f>IF($A32="","",IF(INDEX(Cálculo!$K$1:$K$1001,$A32)="","",INDEX(Cálculo!$K$1:$K$1001,$A32)))</f>
        <v>2723</v>
      </c>
      <c r="P32" s="22" t="str">
        <f>IF($A32="","",IF(INDEX(Registro!$I$1:$I$1001,$A32)="","",INDEX(Registro!$I$1:$I$1001,$A32)))</f>
        <v>Diesel 2700</v>
      </c>
      <c r="Q32" s="24">
        <f>IF($A32="","",IF(INDEX(Cálculo!$J$1:$J$1001,$A32)="","",INDEX(Cálculo!$J$1:$J$1001,$A32)))</f>
        <v>2700</v>
      </c>
      <c r="R32" s="24">
        <f>IF($A32="","",IF(INDEX(Cálculo!$L$1:$L$1001,$A32)="","",INDEX(Cálculo!$L$1:$L$1001,$A32)))</f>
        <v>23</v>
      </c>
      <c r="S32" s="22" t="str">
        <f>IF($A32="","",IF(INDEX(Registro!$J$1:$J$1001,$A32)="","",INDEX(Registro!$J$1:$J$1001,$A32)))</f>
        <v/>
      </c>
    </row>
    <row r="33" spans="1:19" ht="18" customHeight="1" x14ac:dyDescent="0.25">
      <c r="A33" s="19">
        <f>IFERROR(MOD(SMALL(Cálculo!$M$2:$M$1001,ROWS(A$8:A33)),10000),"")</f>
        <v>48</v>
      </c>
      <c r="B33" s="20">
        <f>IF($A33="","",IF(INDEX(Registro!$B$1:$B$1001,$A33)="","",INDEX(Registro!$B$1:$B$1001,$A33)))</f>
        <v>46320</v>
      </c>
      <c r="C33" s="21" t="str">
        <f>IF($A33="","",IF(INDEX(Registro!$C$1:$C$1001,$A33)="","",INDEX(Registro!$C$1:$C$1001,$A33)))</f>
        <v>Lp</v>
      </c>
      <c r="D33" s="21" t="str">
        <f>IF($A33="","",IF(INDEX(Registro!$D$1:$D$1001,$A33)="","",INDEX(Registro!$D$1:$D$1001,$A33)))</f>
        <v>4:30-13:30</v>
      </c>
      <c r="E33" s="22" t="str">
        <f>IF($A33="","",IF(INDEX(Registro!$E$1:$E$1001,$A33)="","",INDEX(Registro!$E$1:$E$1001,$A33)))</f>
        <v>13x50; 18x40; 2x60; 1x70</v>
      </c>
      <c r="F33" s="23">
        <f>IF($A33="","",IF(INDEX(Cálculo!$D$1:$D$1001,$A33)="","",INDEX(Cálculo!$D$1:$D$1001,$A33)))</f>
        <v>34</v>
      </c>
      <c r="G33" s="24">
        <f>IF($A33="","",IF(INDEX(Cálculo!$E$1:$E$1001,$A33)="","",INDEX(Cálculo!$E$1:$E$1001,$A33)))</f>
        <v>1560</v>
      </c>
      <c r="H33" s="22" t="str">
        <f>IF($A33="","",IF(INDEX(Registro!$F$1:$F$1001,$A33)="","",INDEX(Registro!$F$1:$F$1001,$A33)))</f>
        <v>1x200</v>
      </c>
      <c r="I33" s="23">
        <f>IF($A33="","",IF(INDEX(Cálculo!$F$1:$F$1001,$A33)="","",INDEX(Cálculo!$F$1:$F$1001,$A33)))</f>
        <v>1</v>
      </c>
      <c r="J33" s="24">
        <f>IF($A33="","",IF(INDEX(Cálculo!$G$1:$G$1001,$A33)="","",INDEX(Cálculo!$G$1:$G$1001,$A33)))</f>
        <v>200</v>
      </c>
      <c r="K33" s="21" t="str">
        <f>IF($A33="","",IF(INDEX(Cálculo!$H$1:$H$1001,$A33)="","",INDEX(Cálculo!$H$1:$H$1001,$A33)))</f>
        <v>CONFORME</v>
      </c>
      <c r="L33" s="24">
        <f>IF($A33="","",IF(INDEX(Registro!$G$1:$G$1001,$A33)="","",INDEX(Registro!$G$1:$G$1001,$A33)))</f>
        <v>200</v>
      </c>
      <c r="M33" s="22" t="str">
        <f>IF($A33="","",IF(INDEX(Registro!$H$1:$H$1001,$A33)="","",INDEX(Registro!$H$1:$H$1001,$A33)))</f>
        <v/>
      </c>
      <c r="N33" s="24" t="str">
        <f>IF($A33="","",IF(INDEX(Cálculo!$I$1:$I$1001,$A33)="","",INDEX(Cálculo!$I$1:$I$1001,$A33)))</f>
        <v/>
      </c>
      <c r="O33" s="24">
        <f>IF($A33="","",IF(INDEX(Cálculo!$K$1:$K$1001,$A33)="","",INDEX(Cálculo!$K$1:$K$1001,$A33)))</f>
        <v>200</v>
      </c>
      <c r="P33" s="22" t="str">
        <f>IF($A33="","",IF(INDEX(Registro!$I$1:$I$1001,$A33)="","",INDEX(Registro!$I$1:$I$1001,$A33)))</f>
        <v/>
      </c>
      <c r="Q33" s="24" t="str">
        <f>IF($A33="","",IF(INDEX(Cálculo!$J$1:$J$1001,$A33)="","",INDEX(Cálculo!$J$1:$J$1001,$A33)))</f>
        <v/>
      </c>
      <c r="R33" s="24">
        <f>IF($A33="","",IF(INDEX(Cálculo!$L$1:$L$1001,$A33)="","",INDEX(Cálculo!$L$1:$L$1001,$A33)))</f>
        <v>200</v>
      </c>
      <c r="S33" s="22" t="str">
        <f>IF($A33="","",IF(INDEX(Registro!$J$1:$J$1001,$A33)="","",INDEX(Registro!$J$1:$J$1001,$A33)))</f>
        <v/>
      </c>
    </row>
    <row r="34" spans="1:19" ht="18" customHeight="1" x14ac:dyDescent="0.25">
      <c r="A34" s="19" t="str">
        <f>IFERROR(MOD(SMALL(Cálculo!$M$2:$M$1001,ROWS(A$8:A34)),10000),"")</f>
        <v/>
      </c>
      <c r="B34" s="20" t="str">
        <f>IF($A34="","",IF(INDEX(Registro!$B$1:$B$1001,$A34)="","",INDEX(Registro!$B$1:$B$1001,$A34)))</f>
        <v/>
      </c>
      <c r="C34" s="21" t="str">
        <f>IF($A34="","",IF(INDEX(Registro!$C$1:$C$1001,$A34)="","",INDEX(Registro!$C$1:$C$1001,$A34)))</f>
        <v/>
      </c>
      <c r="D34" s="21" t="str">
        <f>IF($A34="","",IF(INDEX(Registro!$D$1:$D$1001,$A34)="","",INDEX(Registro!$D$1:$D$1001,$A34)))</f>
        <v/>
      </c>
      <c r="E34" s="22" t="str">
        <f>IF($A34="","",IF(INDEX(Registro!$E$1:$E$1001,$A34)="","",INDEX(Registro!$E$1:$E$1001,$A34)))</f>
        <v/>
      </c>
      <c r="F34" s="23" t="str">
        <f>IF($A34="","",IF(INDEX(Cálculo!$D$1:$D$1001,$A34)="","",INDEX(Cálculo!$D$1:$D$1001,$A34)))</f>
        <v/>
      </c>
      <c r="G34" s="24" t="str">
        <f>IF($A34="","",IF(INDEX(Cálculo!$E$1:$E$1001,$A34)="","",INDEX(Cálculo!$E$1:$E$1001,$A34)))</f>
        <v/>
      </c>
      <c r="H34" s="22" t="str">
        <f>IF($A34="","",IF(INDEX(Registro!$F$1:$F$1001,$A34)="","",INDEX(Registro!$F$1:$F$1001,$A34)))</f>
        <v/>
      </c>
      <c r="I34" s="23" t="str">
        <f>IF($A34="","",IF(INDEX(Cálculo!$F$1:$F$1001,$A34)="","",INDEX(Cálculo!$F$1:$F$1001,$A34)))</f>
        <v/>
      </c>
      <c r="J34" s="24" t="str">
        <f>IF($A34="","",IF(INDEX(Cálculo!$G$1:$G$1001,$A34)="","",INDEX(Cálculo!$G$1:$G$1001,$A34)))</f>
        <v/>
      </c>
      <c r="K34" s="21" t="str">
        <f>IF($A34="","",IF(INDEX(Cálculo!$H$1:$H$1001,$A34)="","",INDEX(Cálculo!$H$1:$H$1001,$A34)))</f>
        <v/>
      </c>
      <c r="L34" s="24" t="str">
        <f>IF($A34="","",IF(INDEX(Registro!$G$1:$G$1001,$A34)="","",INDEX(Registro!$G$1:$G$1001,$A34)))</f>
        <v/>
      </c>
      <c r="M34" s="22" t="str">
        <f>IF($A34="","",IF(INDEX(Registro!$H$1:$H$1001,$A34)="","",INDEX(Registro!$H$1:$H$1001,$A34)))</f>
        <v/>
      </c>
      <c r="N34" s="24" t="str">
        <f>IF($A34="","",IF(INDEX(Cálculo!$I$1:$I$1001,$A34)="","",INDEX(Cálculo!$I$1:$I$1001,$A34)))</f>
        <v/>
      </c>
      <c r="O34" s="24" t="str">
        <f>IF($A34="","",IF(INDEX(Cálculo!$K$1:$K$1001,$A34)="","",INDEX(Cálculo!$K$1:$K$1001,$A34)))</f>
        <v/>
      </c>
      <c r="P34" s="22" t="str">
        <f>IF($A34="","",IF(INDEX(Registro!$I$1:$I$1001,$A34)="","",INDEX(Registro!$I$1:$I$1001,$A34)))</f>
        <v/>
      </c>
      <c r="Q34" s="24" t="str">
        <f>IF($A34="","",IF(INDEX(Cálculo!$J$1:$J$1001,$A34)="","",INDEX(Cálculo!$J$1:$J$1001,$A34)))</f>
        <v/>
      </c>
      <c r="R34" s="24" t="str">
        <f>IF($A34="","",IF(INDEX(Cálculo!$L$1:$L$1001,$A34)="","",INDEX(Cálculo!$L$1:$L$1001,$A34)))</f>
        <v/>
      </c>
      <c r="S34" s="22" t="str">
        <f>IF($A34="","",IF(INDEX(Registro!$J$1:$J$1001,$A34)="","",INDEX(Registro!$J$1:$J$1001,$A34)))</f>
        <v/>
      </c>
    </row>
    <row r="35" spans="1:19" ht="18" customHeight="1" x14ac:dyDescent="0.25">
      <c r="A35" s="19" t="str">
        <f>IFERROR(MOD(SMALL(Cálculo!$M$2:$M$1001,ROWS(A$8:A35)),10000),"")</f>
        <v/>
      </c>
      <c r="B35" s="20" t="str">
        <f>IF($A35="","",IF(INDEX(Registro!$B$1:$B$1001,$A35)="","",INDEX(Registro!$B$1:$B$1001,$A35)))</f>
        <v/>
      </c>
      <c r="C35" s="21" t="str">
        <f>IF($A35="","",IF(INDEX(Registro!$C$1:$C$1001,$A35)="","",INDEX(Registro!$C$1:$C$1001,$A35)))</f>
        <v/>
      </c>
      <c r="D35" s="21" t="str">
        <f>IF($A35="","",IF(INDEX(Registro!$D$1:$D$1001,$A35)="","",INDEX(Registro!$D$1:$D$1001,$A35)))</f>
        <v/>
      </c>
      <c r="E35" s="22" t="str">
        <f>IF($A35="","",IF(INDEX(Registro!$E$1:$E$1001,$A35)="","",INDEX(Registro!$E$1:$E$1001,$A35)))</f>
        <v/>
      </c>
      <c r="F35" s="23" t="str">
        <f>IF($A35="","",IF(INDEX(Cálculo!$D$1:$D$1001,$A35)="","",INDEX(Cálculo!$D$1:$D$1001,$A35)))</f>
        <v/>
      </c>
      <c r="G35" s="24" t="str">
        <f>IF($A35="","",IF(INDEX(Cálculo!$E$1:$E$1001,$A35)="","",INDEX(Cálculo!$E$1:$E$1001,$A35)))</f>
        <v/>
      </c>
      <c r="H35" s="22" t="str">
        <f>IF($A35="","",IF(INDEX(Registro!$F$1:$F$1001,$A35)="","",INDEX(Registro!$F$1:$F$1001,$A35)))</f>
        <v/>
      </c>
      <c r="I35" s="23" t="str">
        <f>IF($A35="","",IF(INDEX(Cálculo!$F$1:$F$1001,$A35)="","",INDEX(Cálculo!$F$1:$F$1001,$A35)))</f>
        <v/>
      </c>
      <c r="J35" s="24" t="str">
        <f>IF($A35="","",IF(INDEX(Cálculo!$G$1:$G$1001,$A35)="","",INDEX(Cálculo!$G$1:$G$1001,$A35)))</f>
        <v/>
      </c>
      <c r="K35" s="21" t="str">
        <f>IF($A35="","",IF(INDEX(Cálculo!$H$1:$H$1001,$A35)="","",INDEX(Cálculo!$H$1:$H$1001,$A35)))</f>
        <v/>
      </c>
      <c r="L35" s="24" t="str">
        <f>IF($A35="","",IF(INDEX(Registro!$G$1:$G$1001,$A35)="","",INDEX(Registro!$G$1:$G$1001,$A35)))</f>
        <v/>
      </c>
      <c r="M35" s="22" t="str">
        <f>IF($A35="","",IF(INDEX(Registro!$H$1:$H$1001,$A35)="","",INDEX(Registro!$H$1:$H$1001,$A35)))</f>
        <v/>
      </c>
      <c r="N35" s="24" t="str">
        <f>IF($A35="","",IF(INDEX(Cálculo!$I$1:$I$1001,$A35)="","",INDEX(Cálculo!$I$1:$I$1001,$A35)))</f>
        <v/>
      </c>
      <c r="O35" s="24" t="str">
        <f>IF($A35="","",IF(INDEX(Cálculo!$K$1:$K$1001,$A35)="","",INDEX(Cálculo!$K$1:$K$1001,$A35)))</f>
        <v/>
      </c>
      <c r="P35" s="22" t="str">
        <f>IF($A35="","",IF(INDEX(Registro!$I$1:$I$1001,$A35)="","",INDEX(Registro!$I$1:$I$1001,$A35)))</f>
        <v/>
      </c>
      <c r="Q35" s="24" t="str">
        <f>IF($A35="","",IF(INDEX(Cálculo!$J$1:$J$1001,$A35)="","",INDEX(Cálculo!$J$1:$J$1001,$A35)))</f>
        <v/>
      </c>
      <c r="R35" s="24" t="str">
        <f>IF($A35="","",IF(INDEX(Cálculo!$L$1:$L$1001,$A35)="","",INDEX(Cálculo!$L$1:$L$1001,$A35)))</f>
        <v/>
      </c>
      <c r="S35" s="22" t="str">
        <f>IF($A35="","",IF(INDEX(Registro!$J$1:$J$1001,$A35)="","",INDEX(Registro!$J$1:$J$1001,$A35)))</f>
        <v/>
      </c>
    </row>
    <row r="36" spans="1:19" ht="18" customHeight="1" x14ac:dyDescent="0.25">
      <c r="A36" s="19" t="str">
        <f>IFERROR(MOD(SMALL(Cálculo!$M$2:$M$1001,ROWS(A$8:A36)),10000),"")</f>
        <v/>
      </c>
      <c r="B36" s="20" t="str">
        <f>IF($A36="","",IF(INDEX(Registro!$B$1:$B$1001,$A36)="","",INDEX(Registro!$B$1:$B$1001,$A36)))</f>
        <v/>
      </c>
      <c r="C36" s="21" t="str">
        <f>IF($A36="","",IF(INDEX(Registro!$C$1:$C$1001,$A36)="","",INDEX(Registro!$C$1:$C$1001,$A36)))</f>
        <v/>
      </c>
      <c r="D36" s="21" t="str">
        <f>IF($A36="","",IF(INDEX(Registro!$D$1:$D$1001,$A36)="","",INDEX(Registro!$D$1:$D$1001,$A36)))</f>
        <v/>
      </c>
      <c r="E36" s="22" t="str">
        <f>IF($A36="","",IF(INDEX(Registro!$E$1:$E$1001,$A36)="","",INDEX(Registro!$E$1:$E$1001,$A36)))</f>
        <v/>
      </c>
      <c r="F36" s="23" t="str">
        <f>IF($A36="","",IF(INDEX(Cálculo!$D$1:$D$1001,$A36)="","",INDEX(Cálculo!$D$1:$D$1001,$A36)))</f>
        <v/>
      </c>
      <c r="G36" s="24" t="str">
        <f>IF($A36="","",IF(INDEX(Cálculo!$E$1:$E$1001,$A36)="","",INDEX(Cálculo!$E$1:$E$1001,$A36)))</f>
        <v/>
      </c>
      <c r="H36" s="22" t="str">
        <f>IF($A36="","",IF(INDEX(Registro!$F$1:$F$1001,$A36)="","",INDEX(Registro!$F$1:$F$1001,$A36)))</f>
        <v/>
      </c>
      <c r="I36" s="23" t="str">
        <f>IF($A36="","",IF(INDEX(Cálculo!$F$1:$F$1001,$A36)="","",INDEX(Cálculo!$F$1:$F$1001,$A36)))</f>
        <v/>
      </c>
      <c r="J36" s="24" t="str">
        <f>IF($A36="","",IF(INDEX(Cálculo!$G$1:$G$1001,$A36)="","",INDEX(Cálculo!$G$1:$G$1001,$A36)))</f>
        <v/>
      </c>
      <c r="K36" s="21" t="str">
        <f>IF($A36="","",IF(INDEX(Cálculo!$H$1:$H$1001,$A36)="","",INDEX(Cálculo!$H$1:$H$1001,$A36)))</f>
        <v/>
      </c>
      <c r="L36" s="24" t="str">
        <f>IF($A36="","",IF(INDEX(Registro!$G$1:$G$1001,$A36)="","",INDEX(Registro!$G$1:$G$1001,$A36)))</f>
        <v/>
      </c>
      <c r="M36" s="22" t="str">
        <f>IF($A36="","",IF(INDEX(Registro!$H$1:$H$1001,$A36)="","",INDEX(Registro!$H$1:$H$1001,$A36)))</f>
        <v/>
      </c>
      <c r="N36" s="24" t="str">
        <f>IF($A36="","",IF(INDEX(Cálculo!$I$1:$I$1001,$A36)="","",INDEX(Cálculo!$I$1:$I$1001,$A36)))</f>
        <v/>
      </c>
      <c r="O36" s="24" t="str">
        <f>IF($A36="","",IF(INDEX(Cálculo!$K$1:$K$1001,$A36)="","",INDEX(Cálculo!$K$1:$K$1001,$A36)))</f>
        <v/>
      </c>
      <c r="P36" s="22" t="str">
        <f>IF($A36="","",IF(INDEX(Registro!$I$1:$I$1001,$A36)="","",INDEX(Registro!$I$1:$I$1001,$A36)))</f>
        <v/>
      </c>
      <c r="Q36" s="24" t="str">
        <f>IF($A36="","",IF(INDEX(Cálculo!$J$1:$J$1001,$A36)="","",INDEX(Cálculo!$J$1:$J$1001,$A36)))</f>
        <v/>
      </c>
      <c r="R36" s="24" t="str">
        <f>IF($A36="","",IF(INDEX(Cálculo!$L$1:$L$1001,$A36)="","",INDEX(Cálculo!$L$1:$L$1001,$A36)))</f>
        <v/>
      </c>
      <c r="S36" s="22" t="str">
        <f>IF($A36="","",IF(INDEX(Registro!$J$1:$J$1001,$A36)="","",INDEX(Registro!$J$1:$J$1001,$A36)))</f>
        <v/>
      </c>
    </row>
    <row r="37" spans="1:19" ht="18" customHeight="1" x14ac:dyDescent="0.25">
      <c r="A37" s="19" t="str">
        <f>IFERROR(MOD(SMALL(Cálculo!$M$2:$M$1001,ROWS(A$8:A37)),10000),"")</f>
        <v/>
      </c>
      <c r="B37" s="20" t="str">
        <f>IF($A37="","",IF(INDEX(Registro!$B$1:$B$1001,$A37)="","",INDEX(Registro!$B$1:$B$1001,$A37)))</f>
        <v/>
      </c>
      <c r="C37" s="21" t="str">
        <f>IF($A37="","",IF(INDEX(Registro!$C$1:$C$1001,$A37)="","",INDEX(Registro!$C$1:$C$1001,$A37)))</f>
        <v/>
      </c>
      <c r="D37" s="21" t="str">
        <f>IF($A37="","",IF(INDEX(Registro!$D$1:$D$1001,$A37)="","",INDEX(Registro!$D$1:$D$1001,$A37)))</f>
        <v/>
      </c>
      <c r="E37" s="22" t="str">
        <f>IF($A37="","",IF(INDEX(Registro!$E$1:$E$1001,$A37)="","",INDEX(Registro!$E$1:$E$1001,$A37)))</f>
        <v/>
      </c>
      <c r="F37" s="23" t="str">
        <f>IF($A37="","",IF(INDEX(Cálculo!$D$1:$D$1001,$A37)="","",INDEX(Cálculo!$D$1:$D$1001,$A37)))</f>
        <v/>
      </c>
      <c r="G37" s="24" t="str">
        <f>IF($A37="","",IF(INDEX(Cálculo!$E$1:$E$1001,$A37)="","",INDEX(Cálculo!$E$1:$E$1001,$A37)))</f>
        <v/>
      </c>
      <c r="H37" s="22" t="str">
        <f>IF($A37="","",IF(INDEX(Registro!$F$1:$F$1001,$A37)="","",INDEX(Registro!$F$1:$F$1001,$A37)))</f>
        <v/>
      </c>
      <c r="I37" s="23" t="str">
        <f>IF($A37="","",IF(INDEX(Cálculo!$F$1:$F$1001,$A37)="","",INDEX(Cálculo!$F$1:$F$1001,$A37)))</f>
        <v/>
      </c>
      <c r="J37" s="24" t="str">
        <f>IF($A37="","",IF(INDEX(Cálculo!$G$1:$G$1001,$A37)="","",INDEX(Cálculo!$G$1:$G$1001,$A37)))</f>
        <v/>
      </c>
      <c r="K37" s="21" t="str">
        <f>IF($A37="","",IF(INDEX(Cálculo!$H$1:$H$1001,$A37)="","",INDEX(Cálculo!$H$1:$H$1001,$A37)))</f>
        <v/>
      </c>
      <c r="L37" s="24" t="str">
        <f>IF($A37="","",IF(INDEX(Registro!$G$1:$G$1001,$A37)="","",INDEX(Registro!$G$1:$G$1001,$A37)))</f>
        <v/>
      </c>
      <c r="M37" s="22" t="str">
        <f>IF($A37="","",IF(INDEX(Registro!$H$1:$H$1001,$A37)="","",INDEX(Registro!$H$1:$H$1001,$A37)))</f>
        <v/>
      </c>
      <c r="N37" s="24" t="str">
        <f>IF($A37="","",IF(INDEX(Cálculo!$I$1:$I$1001,$A37)="","",INDEX(Cálculo!$I$1:$I$1001,$A37)))</f>
        <v/>
      </c>
      <c r="O37" s="24" t="str">
        <f>IF($A37="","",IF(INDEX(Cálculo!$K$1:$K$1001,$A37)="","",INDEX(Cálculo!$K$1:$K$1001,$A37)))</f>
        <v/>
      </c>
      <c r="P37" s="22" t="str">
        <f>IF($A37="","",IF(INDEX(Registro!$I$1:$I$1001,$A37)="","",INDEX(Registro!$I$1:$I$1001,$A37)))</f>
        <v/>
      </c>
      <c r="Q37" s="24" t="str">
        <f>IF($A37="","",IF(INDEX(Cálculo!$J$1:$J$1001,$A37)="","",INDEX(Cálculo!$J$1:$J$1001,$A37)))</f>
        <v/>
      </c>
      <c r="R37" s="24" t="str">
        <f>IF($A37="","",IF(INDEX(Cálculo!$L$1:$L$1001,$A37)="","",INDEX(Cálculo!$L$1:$L$1001,$A37)))</f>
        <v/>
      </c>
      <c r="S37" s="22" t="str">
        <f>IF($A37="","",IF(INDEX(Registro!$J$1:$J$1001,$A37)="","",INDEX(Registro!$J$1:$J$1001,$A37)))</f>
        <v/>
      </c>
    </row>
    <row r="38" spans="1:19" ht="18" customHeight="1" x14ac:dyDescent="0.25">
      <c r="A38" s="19" t="str">
        <f>IFERROR(MOD(SMALL(Cálculo!$M$2:$M$1001,ROWS(A$8:A38)),10000),"")</f>
        <v/>
      </c>
      <c r="B38" s="20" t="str">
        <f>IF($A38="","",IF(INDEX(Registro!$B$1:$B$1001,$A38)="","",INDEX(Registro!$B$1:$B$1001,$A38)))</f>
        <v/>
      </c>
      <c r="C38" s="21" t="str">
        <f>IF($A38="","",IF(INDEX(Registro!$C$1:$C$1001,$A38)="","",INDEX(Registro!$C$1:$C$1001,$A38)))</f>
        <v/>
      </c>
      <c r="D38" s="21" t="str">
        <f>IF($A38="","",IF(INDEX(Registro!$D$1:$D$1001,$A38)="","",INDEX(Registro!$D$1:$D$1001,$A38)))</f>
        <v/>
      </c>
      <c r="E38" s="22" t="str">
        <f>IF($A38="","",IF(INDEX(Registro!$E$1:$E$1001,$A38)="","",INDEX(Registro!$E$1:$E$1001,$A38)))</f>
        <v/>
      </c>
      <c r="F38" s="23" t="str">
        <f>IF($A38="","",IF(INDEX(Cálculo!$D$1:$D$1001,$A38)="","",INDEX(Cálculo!$D$1:$D$1001,$A38)))</f>
        <v/>
      </c>
      <c r="G38" s="24" t="str">
        <f>IF($A38="","",IF(INDEX(Cálculo!$E$1:$E$1001,$A38)="","",INDEX(Cálculo!$E$1:$E$1001,$A38)))</f>
        <v/>
      </c>
      <c r="H38" s="22" t="str">
        <f>IF($A38="","",IF(INDEX(Registro!$F$1:$F$1001,$A38)="","",INDEX(Registro!$F$1:$F$1001,$A38)))</f>
        <v/>
      </c>
      <c r="I38" s="23" t="str">
        <f>IF($A38="","",IF(INDEX(Cálculo!$F$1:$F$1001,$A38)="","",INDEX(Cálculo!$F$1:$F$1001,$A38)))</f>
        <v/>
      </c>
      <c r="J38" s="24" t="str">
        <f>IF($A38="","",IF(INDEX(Cálculo!$G$1:$G$1001,$A38)="","",INDEX(Cálculo!$G$1:$G$1001,$A38)))</f>
        <v/>
      </c>
      <c r="K38" s="21" t="str">
        <f>IF($A38="","",IF(INDEX(Cálculo!$H$1:$H$1001,$A38)="","",INDEX(Cálculo!$H$1:$H$1001,$A38)))</f>
        <v/>
      </c>
      <c r="L38" s="24" t="str">
        <f>IF($A38="","",IF(INDEX(Registro!$G$1:$G$1001,$A38)="","",INDEX(Registro!$G$1:$G$1001,$A38)))</f>
        <v/>
      </c>
      <c r="M38" s="22" t="str">
        <f>IF($A38="","",IF(INDEX(Registro!$H$1:$H$1001,$A38)="","",INDEX(Registro!$H$1:$H$1001,$A38)))</f>
        <v/>
      </c>
      <c r="N38" s="24" t="str">
        <f>IF($A38="","",IF(INDEX(Cálculo!$I$1:$I$1001,$A38)="","",INDEX(Cálculo!$I$1:$I$1001,$A38)))</f>
        <v/>
      </c>
      <c r="O38" s="24" t="str">
        <f>IF($A38="","",IF(INDEX(Cálculo!$K$1:$K$1001,$A38)="","",INDEX(Cálculo!$K$1:$K$1001,$A38)))</f>
        <v/>
      </c>
      <c r="P38" s="22" t="str">
        <f>IF($A38="","",IF(INDEX(Registro!$I$1:$I$1001,$A38)="","",INDEX(Registro!$I$1:$I$1001,$A38)))</f>
        <v/>
      </c>
      <c r="Q38" s="24" t="str">
        <f>IF($A38="","",IF(INDEX(Cálculo!$J$1:$J$1001,$A38)="","",INDEX(Cálculo!$J$1:$J$1001,$A38)))</f>
        <v/>
      </c>
      <c r="R38" s="24" t="str">
        <f>IF($A38="","",IF(INDEX(Cálculo!$L$1:$L$1001,$A38)="","",INDEX(Cálculo!$L$1:$L$1001,$A38)))</f>
        <v/>
      </c>
      <c r="S38" s="22" t="str">
        <f>IF($A38="","",IF(INDEX(Registro!$J$1:$J$1001,$A38)="","",INDEX(Registro!$J$1:$J$1001,$A38)))</f>
        <v/>
      </c>
    </row>
    <row r="39" spans="1:19" ht="18" customHeight="1" x14ac:dyDescent="0.25">
      <c r="A39" s="19" t="str">
        <f>IFERROR(MOD(SMALL(Cálculo!$M$2:$M$1001,ROWS(A$8:A39)),10000),"")</f>
        <v/>
      </c>
      <c r="B39" s="20" t="str">
        <f>IF($A39="","",IF(INDEX(Registro!$B$1:$B$1001,$A39)="","",INDEX(Registro!$B$1:$B$1001,$A39)))</f>
        <v/>
      </c>
      <c r="C39" s="21" t="str">
        <f>IF($A39="","",IF(INDEX(Registro!$C$1:$C$1001,$A39)="","",INDEX(Registro!$C$1:$C$1001,$A39)))</f>
        <v/>
      </c>
      <c r="D39" s="21" t="str">
        <f>IF($A39="","",IF(INDEX(Registro!$D$1:$D$1001,$A39)="","",INDEX(Registro!$D$1:$D$1001,$A39)))</f>
        <v/>
      </c>
      <c r="E39" s="22" t="str">
        <f>IF($A39="","",IF(INDEX(Registro!$E$1:$E$1001,$A39)="","",INDEX(Registro!$E$1:$E$1001,$A39)))</f>
        <v/>
      </c>
      <c r="F39" s="23" t="str">
        <f>IF($A39="","",IF(INDEX(Cálculo!$D$1:$D$1001,$A39)="","",INDEX(Cálculo!$D$1:$D$1001,$A39)))</f>
        <v/>
      </c>
      <c r="G39" s="24" t="str">
        <f>IF($A39="","",IF(INDEX(Cálculo!$E$1:$E$1001,$A39)="","",INDEX(Cálculo!$E$1:$E$1001,$A39)))</f>
        <v/>
      </c>
      <c r="H39" s="22" t="str">
        <f>IF($A39="","",IF(INDEX(Registro!$F$1:$F$1001,$A39)="","",INDEX(Registro!$F$1:$F$1001,$A39)))</f>
        <v/>
      </c>
      <c r="I39" s="23" t="str">
        <f>IF($A39="","",IF(INDEX(Cálculo!$F$1:$F$1001,$A39)="","",INDEX(Cálculo!$F$1:$F$1001,$A39)))</f>
        <v/>
      </c>
      <c r="J39" s="24" t="str">
        <f>IF($A39="","",IF(INDEX(Cálculo!$G$1:$G$1001,$A39)="","",INDEX(Cálculo!$G$1:$G$1001,$A39)))</f>
        <v/>
      </c>
      <c r="K39" s="21" t="str">
        <f>IF($A39="","",IF(INDEX(Cálculo!$H$1:$H$1001,$A39)="","",INDEX(Cálculo!$H$1:$H$1001,$A39)))</f>
        <v/>
      </c>
      <c r="L39" s="24" t="str">
        <f>IF($A39="","",IF(INDEX(Registro!$G$1:$G$1001,$A39)="","",INDEX(Registro!$G$1:$G$1001,$A39)))</f>
        <v/>
      </c>
      <c r="M39" s="22" t="str">
        <f>IF($A39="","",IF(INDEX(Registro!$H$1:$H$1001,$A39)="","",INDEX(Registro!$H$1:$H$1001,$A39)))</f>
        <v/>
      </c>
      <c r="N39" s="24" t="str">
        <f>IF($A39="","",IF(INDEX(Cálculo!$I$1:$I$1001,$A39)="","",INDEX(Cálculo!$I$1:$I$1001,$A39)))</f>
        <v/>
      </c>
      <c r="O39" s="24" t="str">
        <f>IF($A39="","",IF(INDEX(Cálculo!$K$1:$K$1001,$A39)="","",INDEX(Cálculo!$K$1:$K$1001,$A39)))</f>
        <v/>
      </c>
      <c r="P39" s="22" t="str">
        <f>IF($A39="","",IF(INDEX(Registro!$I$1:$I$1001,$A39)="","",INDEX(Registro!$I$1:$I$1001,$A39)))</f>
        <v/>
      </c>
      <c r="Q39" s="24" t="str">
        <f>IF($A39="","",IF(INDEX(Cálculo!$J$1:$J$1001,$A39)="","",INDEX(Cálculo!$J$1:$J$1001,$A39)))</f>
        <v/>
      </c>
      <c r="R39" s="24" t="str">
        <f>IF($A39="","",IF(INDEX(Cálculo!$L$1:$L$1001,$A39)="","",INDEX(Cálculo!$L$1:$L$1001,$A39)))</f>
        <v/>
      </c>
      <c r="S39" s="22" t="str">
        <f>IF($A39="","",IF(INDEX(Registro!$J$1:$J$1001,$A39)="","",INDEX(Registro!$J$1:$J$1001,$A39)))</f>
        <v/>
      </c>
    </row>
    <row r="40" spans="1:19" ht="18" customHeight="1" x14ac:dyDescent="0.25">
      <c r="A40" s="19" t="str">
        <f>IFERROR(MOD(SMALL(Cálculo!$M$2:$M$1001,ROWS(A$8:A40)),10000),"")</f>
        <v/>
      </c>
      <c r="B40" s="20" t="str">
        <f>IF($A40="","",IF(INDEX(Registro!$B$1:$B$1001,$A40)="","",INDEX(Registro!$B$1:$B$1001,$A40)))</f>
        <v/>
      </c>
      <c r="C40" s="21" t="str">
        <f>IF($A40="","",IF(INDEX(Registro!$C$1:$C$1001,$A40)="","",INDEX(Registro!$C$1:$C$1001,$A40)))</f>
        <v/>
      </c>
      <c r="D40" s="21" t="str">
        <f>IF($A40="","",IF(INDEX(Registro!$D$1:$D$1001,$A40)="","",INDEX(Registro!$D$1:$D$1001,$A40)))</f>
        <v/>
      </c>
      <c r="E40" s="22" t="str">
        <f>IF($A40="","",IF(INDEX(Registro!$E$1:$E$1001,$A40)="","",INDEX(Registro!$E$1:$E$1001,$A40)))</f>
        <v/>
      </c>
      <c r="F40" s="23" t="str">
        <f>IF($A40="","",IF(INDEX(Cálculo!$D$1:$D$1001,$A40)="","",INDEX(Cálculo!$D$1:$D$1001,$A40)))</f>
        <v/>
      </c>
      <c r="G40" s="24" t="str">
        <f>IF($A40="","",IF(INDEX(Cálculo!$E$1:$E$1001,$A40)="","",INDEX(Cálculo!$E$1:$E$1001,$A40)))</f>
        <v/>
      </c>
      <c r="H40" s="22" t="str">
        <f>IF($A40="","",IF(INDEX(Registro!$F$1:$F$1001,$A40)="","",INDEX(Registro!$F$1:$F$1001,$A40)))</f>
        <v/>
      </c>
      <c r="I40" s="23" t="str">
        <f>IF($A40="","",IF(INDEX(Cálculo!$F$1:$F$1001,$A40)="","",INDEX(Cálculo!$F$1:$F$1001,$A40)))</f>
        <v/>
      </c>
      <c r="J40" s="24" t="str">
        <f>IF($A40="","",IF(INDEX(Cálculo!$G$1:$G$1001,$A40)="","",INDEX(Cálculo!$G$1:$G$1001,$A40)))</f>
        <v/>
      </c>
      <c r="K40" s="21" t="str">
        <f>IF($A40="","",IF(INDEX(Cálculo!$H$1:$H$1001,$A40)="","",INDEX(Cálculo!$H$1:$H$1001,$A40)))</f>
        <v/>
      </c>
      <c r="L40" s="24" t="str">
        <f>IF($A40="","",IF(INDEX(Registro!$G$1:$G$1001,$A40)="","",INDEX(Registro!$G$1:$G$1001,$A40)))</f>
        <v/>
      </c>
      <c r="M40" s="22" t="str">
        <f>IF($A40="","",IF(INDEX(Registro!$H$1:$H$1001,$A40)="","",INDEX(Registro!$H$1:$H$1001,$A40)))</f>
        <v/>
      </c>
      <c r="N40" s="24" t="str">
        <f>IF($A40="","",IF(INDEX(Cálculo!$I$1:$I$1001,$A40)="","",INDEX(Cálculo!$I$1:$I$1001,$A40)))</f>
        <v/>
      </c>
      <c r="O40" s="24" t="str">
        <f>IF($A40="","",IF(INDEX(Cálculo!$K$1:$K$1001,$A40)="","",INDEX(Cálculo!$K$1:$K$1001,$A40)))</f>
        <v/>
      </c>
      <c r="P40" s="22" t="str">
        <f>IF($A40="","",IF(INDEX(Registro!$I$1:$I$1001,$A40)="","",INDEX(Registro!$I$1:$I$1001,$A40)))</f>
        <v/>
      </c>
      <c r="Q40" s="24" t="str">
        <f>IF($A40="","",IF(INDEX(Cálculo!$J$1:$J$1001,$A40)="","",INDEX(Cálculo!$J$1:$J$1001,$A40)))</f>
        <v/>
      </c>
      <c r="R40" s="24" t="str">
        <f>IF($A40="","",IF(INDEX(Cálculo!$L$1:$L$1001,$A40)="","",INDEX(Cálculo!$L$1:$L$1001,$A40)))</f>
        <v/>
      </c>
      <c r="S40" s="22" t="str">
        <f>IF($A40="","",IF(INDEX(Registro!$J$1:$J$1001,$A40)="","",INDEX(Registro!$J$1:$J$1001,$A40)))</f>
        <v/>
      </c>
    </row>
    <row r="41" spans="1:19" ht="18" customHeight="1" x14ac:dyDescent="0.25">
      <c r="A41" s="19" t="str">
        <f>IFERROR(MOD(SMALL(Cálculo!$M$2:$M$1001,ROWS(A$8:A41)),10000),"")</f>
        <v/>
      </c>
      <c r="B41" s="20" t="str">
        <f>IF($A41="","",IF(INDEX(Registro!$B$1:$B$1001,$A41)="","",INDEX(Registro!$B$1:$B$1001,$A41)))</f>
        <v/>
      </c>
      <c r="C41" s="21" t="str">
        <f>IF($A41="","",IF(INDEX(Registro!$C$1:$C$1001,$A41)="","",INDEX(Registro!$C$1:$C$1001,$A41)))</f>
        <v/>
      </c>
      <c r="D41" s="21" t="str">
        <f>IF($A41="","",IF(INDEX(Registro!$D$1:$D$1001,$A41)="","",INDEX(Registro!$D$1:$D$1001,$A41)))</f>
        <v/>
      </c>
      <c r="E41" s="22" t="str">
        <f>IF($A41="","",IF(INDEX(Registro!$E$1:$E$1001,$A41)="","",INDEX(Registro!$E$1:$E$1001,$A41)))</f>
        <v/>
      </c>
      <c r="F41" s="23" t="str">
        <f>IF($A41="","",IF(INDEX(Cálculo!$D$1:$D$1001,$A41)="","",INDEX(Cálculo!$D$1:$D$1001,$A41)))</f>
        <v/>
      </c>
      <c r="G41" s="24" t="str">
        <f>IF($A41="","",IF(INDEX(Cálculo!$E$1:$E$1001,$A41)="","",INDEX(Cálculo!$E$1:$E$1001,$A41)))</f>
        <v/>
      </c>
      <c r="H41" s="22" t="str">
        <f>IF($A41="","",IF(INDEX(Registro!$F$1:$F$1001,$A41)="","",INDEX(Registro!$F$1:$F$1001,$A41)))</f>
        <v/>
      </c>
      <c r="I41" s="23" t="str">
        <f>IF($A41="","",IF(INDEX(Cálculo!$F$1:$F$1001,$A41)="","",INDEX(Cálculo!$F$1:$F$1001,$A41)))</f>
        <v/>
      </c>
      <c r="J41" s="24" t="str">
        <f>IF($A41="","",IF(INDEX(Cálculo!$G$1:$G$1001,$A41)="","",INDEX(Cálculo!$G$1:$G$1001,$A41)))</f>
        <v/>
      </c>
      <c r="K41" s="21" t="str">
        <f>IF($A41="","",IF(INDEX(Cálculo!$H$1:$H$1001,$A41)="","",INDEX(Cálculo!$H$1:$H$1001,$A41)))</f>
        <v/>
      </c>
      <c r="L41" s="24" t="str">
        <f>IF($A41="","",IF(INDEX(Registro!$G$1:$G$1001,$A41)="","",INDEX(Registro!$G$1:$G$1001,$A41)))</f>
        <v/>
      </c>
      <c r="M41" s="22" t="str">
        <f>IF($A41="","",IF(INDEX(Registro!$H$1:$H$1001,$A41)="","",INDEX(Registro!$H$1:$H$1001,$A41)))</f>
        <v/>
      </c>
      <c r="N41" s="24" t="str">
        <f>IF($A41="","",IF(INDEX(Cálculo!$I$1:$I$1001,$A41)="","",INDEX(Cálculo!$I$1:$I$1001,$A41)))</f>
        <v/>
      </c>
      <c r="O41" s="24" t="str">
        <f>IF($A41="","",IF(INDEX(Cálculo!$K$1:$K$1001,$A41)="","",INDEX(Cálculo!$K$1:$K$1001,$A41)))</f>
        <v/>
      </c>
      <c r="P41" s="22" t="str">
        <f>IF($A41="","",IF(INDEX(Registro!$I$1:$I$1001,$A41)="","",INDEX(Registro!$I$1:$I$1001,$A41)))</f>
        <v/>
      </c>
      <c r="Q41" s="24" t="str">
        <f>IF($A41="","",IF(INDEX(Cálculo!$J$1:$J$1001,$A41)="","",INDEX(Cálculo!$J$1:$J$1001,$A41)))</f>
        <v/>
      </c>
      <c r="R41" s="24" t="str">
        <f>IF($A41="","",IF(INDEX(Cálculo!$L$1:$L$1001,$A41)="","",INDEX(Cálculo!$L$1:$L$1001,$A41)))</f>
        <v/>
      </c>
      <c r="S41" s="22" t="str">
        <f>IF($A41="","",IF(INDEX(Registro!$J$1:$J$1001,$A41)="","",INDEX(Registro!$J$1:$J$1001,$A41)))</f>
        <v/>
      </c>
    </row>
    <row r="42" spans="1:19" ht="18" customHeight="1" x14ac:dyDescent="0.25">
      <c r="A42" s="19" t="str">
        <f>IFERROR(MOD(SMALL(Cálculo!$M$2:$M$1001,ROWS(A$8:A42)),10000),"")</f>
        <v/>
      </c>
      <c r="B42" s="20" t="str">
        <f>IF($A42="","",IF(INDEX(Registro!$B$1:$B$1001,$A42)="","",INDEX(Registro!$B$1:$B$1001,$A42)))</f>
        <v/>
      </c>
      <c r="C42" s="21" t="str">
        <f>IF($A42="","",IF(INDEX(Registro!$C$1:$C$1001,$A42)="","",INDEX(Registro!$C$1:$C$1001,$A42)))</f>
        <v/>
      </c>
      <c r="D42" s="21" t="str">
        <f>IF($A42="","",IF(INDEX(Registro!$D$1:$D$1001,$A42)="","",INDEX(Registro!$D$1:$D$1001,$A42)))</f>
        <v/>
      </c>
      <c r="E42" s="22" t="str">
        <f>IF($A42="","",IF(INDEX(Registro!$E$1:$E$1001,$A42)="","",INDEX(Registro!$E$1:$E$1001,$A42)))</f>
        <v/>
      </c>
      <c r="F42" s="23" t="str">
        <f>IF($A42="","",IF(INDEX(Cálculo!$D$1:$D$1001,$A42)="","",INDEX(Cálculo!$D$1:$D$1001,$A42)))</f>
        <v/>
      </c>
      <c r="G42" s="24" t="str">
        <f>IF($A42="","",IF(INDEX(Cálculo!$E$1:$E$1001,$A42)="","",INDEX(Cálculo!$E$1:$E$1001,$A42)))</f>
        <v/>
      </c>
      <c r="H42" s="22" t="str">
        <f>IF($A42="","",IF(INDEX(Registro!$F$1:$F$1001,$A42)="","",INDEX(Registro!$F$1:$F$1001,$A42)))</f>
        <v/>
      </c>
      <c r="I42" s="23" t="str">
        <f>IF($A42="","",IF(INDEX(Cálculo!$F$1:$F$1001,$A42)="","",INDEX(Cálculo!$F$1:$F$1001,$A42)))</f>
        <v/>
      </c>
      <c r="J42" s="24" t="str">
        <f>IF($A42="","",IF(INDEX(Cálculo!$G$1:$G$1001,$A42)="","",INDEX(Cálculo!$G$1:$G$1001,$A42)))</f>
        <v/>
      </c>
      <c r="K42" s="21" t="str">
        <f>IF($A42="","",IF(INDEX(Cálculo!$H$1:$H$1001,$A42)="","",INDEX(Cálculo!$H$1:$H$1001,$A42)))</f>
        <v/>
      </c>
      <c r="L42" s="24" t="str">
        <f>IF($A42="","",IF(INDEX(Registro!$G$1:$G$1001,$A42)="","",INDEX(Registro!$G$1:$G$1001,$A42)))</f>
        <v/>
      </c>
      <c r="M42" s="22" t="str">
        <f>IF($A42="","",IF(INDEX(Registro!$H$1:$H$1001,$A42)="","",INDEX(Registro!$H$1:$H$1001,$A42)))</f>
        <v/>
      </c>
      <c r="N42" s="24" t="str">
        <f>IF($A42="","",IF(INDEX(Cálculo!$I$1:$I$1001,$A42)="","",INDEX(Cálculo!$I$1:$I$1001,$A42)))</f>
        <v/>
      </c>
      <c r="O42" s="24" t="str">
        <f>IF($A42="","",IF(INDEX(Cálculo!$K$1:$K$1001,$A42)="","",INDEX(Cálculo!$K$1:$K$1001,$A42)))</f>
        <v/>
      </c>
      <c r="P42" s="22" t="str">
        <f>IF($A42="","",IF(INDEX(Registro!$I$1:$I$1001,$A42)="","",INDEX(Registro!$I$1:$I$1001,$A42)))</f>
        <v/>
      </c>
      <c r="Q42" s="24" t="str">
        <f>IF($A42="","",IF(INDEX(Cálculo!$J$1:$J$1001,$A42)="","",INDEX(Cálculo!$J$1:$J$1001,$A42)))</f>
        <v/>
      </c>
      <c r="R42" s="24" t="str">
        <f>IF($A42="","",IF(INDEX(Cálculo!$L$1:$L$1001,$A42)="","",INDEX(Cálculo!$L$1:$L$1001,$A42)))</f>
        <v/>
      </c>
      <c r="S42" s="22" t="str">
        <f>IF($A42="","",IF(INDEX(Registro!$J$1:$J$1001,$A42)="","",INDEX(Registro!$J$1:$J$1001,$A42)))</f>
        <v/>
      </c>
    </row>
    <row r="43" spans="1:19" ht="18" customHeight="1" x14ac:dyDescent="0.25">
      <c r="A43" s="19" t="str">
        <f>IFERROR(MOD(SMALL(Cálculo!$M$2:$M$1001,ROWS(A$8:A43)),10000),"")</f>
        <v/>
      </c>
      <c r="B43" s="20" t="str">
        <f>IF($A43="","",IF(INDEX(Registro!$B$1:$B$1001,$A43)="","",INDEX(Registro!$B$1:$B$1001,$A43)))</f>
        <v/>
      </c>
      <c r="C43" s="21" t="str">
        <f>IF($A43="","",IF(INDEX(Registro!$C$1:$C$1001,$A43)="","",INDEX(Registro!$C$1:$C$1001,$A43)))</f>
        <v/>
      </c>
      <c r="D43" s="21" t="str">
        <f>IF($A43="","",IF(INDEX(Registro!$D$1:$D$1001,$A43)="","",INDEX(Registro!$D$1:$D$1001,$A43)))</f>
        <v/>
      </c>
      <c r="E43" s="22" t="str">
        <f>IF($A43="","",IF(INDEX(Registro!$E$1:$E$1001,$A43)="","",INDEX(Registro!$E$1:$E$1001,$A43)))</f>
        <v/>
      </c>
      <c r="F43" s="23" t="str">
        <f>IF($A43="","",IF(INDEX(Cálculo!$D$1:$D$1001,$A43)="","",INDEX(Cálculo!$D$1:$D$1001,$A43)))</f>
        <v/>
      </c>
      <c r="G43" s="24" t="str">
        <f>IF($A43="","",IF(INDEX(Cálculo!$E$1:$E$1001,$A43)="","",INDEX(Cálculo!$E$1:$E$1001,$A43)))</f>
        <v/>
      </c>
      <c r="H43" s="22" t="str">
        <f>IF($A43="","",IF(INDEX(Registro!$F$1:$F$1001,$A43)="","",INDEX(Registro!$F$1:$F$1001,$A43)))</f>
        <v/>
      </c>
      <c r="I43" s="23" t="str">
        <f>IF($A43="","",IF(INDEX(Cálculo!$F$1:$F$1001,$A43)="","",INDEX(Cálculo!$F$1:$F$1001,$A43)))</f>
        <v/>
      </c>
      <c r="J43" s="24" t="str">
        <f>IF($A43="","",IF(INDEX(Cálculo!$G$1:$G$1001,$A43)="","",INDEX(Cálculo!$G$1:$G$1001,$A43)))</f>
        <v/>
      </c>
      <c r="K43" s="21" t="str">
        <f>IF($A43="","",IF(INDEX(Cálculo!$H$1:$H$1001,$A43)="","",INDEX(Cálculo!$H$1:$H$1001,$A43)))</f>
        <v/>
      </c>
      <c r="L43" s="24" t="str">
        <f>IF($A43="","",IF(INDEX(Registro!$G$1:$G$1001,$A43)="","",INDEX(Registro!$G$1:$G$1001,$A43)))</f>
        <v/>
      </c>
      <c r="M43" s="22" t="str">
        <f>IF($A43="","",IF(INDEX(Registro!$H$1:$H$1001,$A43)="","",INDEX(Registro!$H$1:$H$1001,$A43)))</f>
        <v/>
      </c>
      <c r="N43" s="24" t="str">
        <f>IF($A43="","",IF(INDEX(Cálculo!$I$1:$I$1001,$A43)="","",INDEX(Cálculo!$I$1:$I$1001,$A43)))</f>
        <v/>
      </c>
      <c r="O43" s="24" t="str">
        <f>IF($A43="","",IF(INDEX(Cálculo!$K$1:$K$1001,$A43)="","",INDEX(Cálculo!$K$1:$K$1001,$A43)))</f>
        <v/>
      </c>
      <c r="P43" s="22" t="str">
        <f>IF($A43="","",IF(INDEX(Registro!$I$1:$I$1001,$A43)="","",INDEX(Registro!$I$1:$I$1001,$A43)))</f>
        <v/>
      </c>
      <c r="Q43" s="24" t="str">
        <f>IF($A43="","",IF(INDEX(Cálculo!$J$1:$J$1001,$A43)="","",INDEX(Cálculo!$J$1:$J$1001,$A43)))</f>
        <v/>
      </c>
      <c r="R43" s="24" t="str">
        <f>IF($A43="","",IF(INDEX(Cálculo!$L$1:$L$1001,$A43)="","",INDEX(Cálculo!$L$1:$L$1001,$A43)))</f>
        <v/>
      </c>
      <c r="S43" s="22" t="str">
        <f>IF($A43="","",IF(INDEX(Registro!$J$1:$J$1001,$A43)="","",INDEX(Registro!$J$1:$J$1001,$A43)))</f>
        <v/>
      </c>
    </row>
    <row r="44" spans="1:19" ht="18" customHeight="1" x14ac:dyDescent="0.25">
      <c r="A44" s="19" t="str">
        <f>IFERROR(MOD(SMALL(Cálculo!$M$2:$M$1001,ROWS(A$8:A44)),10000),"")</f>
        <v/>
      </c>
      <c r="B44" s="20" t="str">
        <f>IF($A44="","",IF(INDEX(Registro!$B$1:$B$1001,$A44)="","",INDEX(Registro!$B$1:$B$1001,$A44)))</f>
        <v/>
      </c>
      <c r="C44" s="21" t="str">
        <f>IF($A44="","",IF(INDEX(Registro!$C$1:$C$1001,$A44)="","",INDEX(Registro!$C$1:$C$1001,$A44)))</f>
        <v/>
      </c>
      <c r="D44" s="21" t="str">
        <f>IF($A44="","",IF(INDEX(Registro!$D$1:$D$1001,$A44)="","",INDEX(Registro!$D$1:$D$1001,$A44)))</f>
        <v/>
      </c>
      <c r="E44" s="22" t="str">
        <f>IF($A44="","",IF(INDEX(Registro!$E$1:$E$1001,$A44)="","",INDEX(Registro!$E$1:$E$1001,$A44)))</f>
        <v/>
      </c>
      <c r="F44" s="23" t="str">
        <f>IF($A44="","",IF(INDEX(Cálculo!$D$1:$D$1001,$A44)="","",INDEX(Cálculo!$D$1:$D$1001,$A44)))</f>
        <v/>
      </c>
      <c r="G44" s="24" t="str">
        <f>IF($A44="","",IF(INDEX(Cálculo!$E$1:$E$1001,$A44)="","",INDEX(Cálculo!$E$1:$E$1001,$A44)))</f>
        <v/>
      </c>
      <c r="H44" s="22" t="str">
        <f>IF($A44="","",IF(INDEX(Registro!$F$1:$F$1001,$A44)="","",INDEX(Registro!$F$1:$F$1001,$A44)))</f>
        <v/>
      </c>
      <c r="I44" s="23" t="str">
        <f>IF($A44="","",IF(INDEX(Cálculo!$F$1:$F$1001,$A44)="","",INDEX(Cálculo!$F$1:$F$1001,$A44)))</f>
        <v/>
      </c>
      <c r="J44" s="24" t="str">
        <f>IF($A44="","",IF(INDEX(Cálculo!$G$1:$G$1001,$A44)="","",INDEX(Cálculo!$G$1:$G$1001,$A44)))</f>
        <v/>
      </c>
      <c r="K44" s="21" t="str">
        <f>IF($A44="","",IF(INDEX(Cálculo!$H$1:$H$1001,$A44)="","",INDEX(Cálculo!$H$1:$H$1001,$A44)))</f>
        <v/>
      </c>
      <c r="L44" s="24" t="str">
        <f>IF($A44="","",IF(INDEX(Registro!$G$1:$G$1001,$A44)="","",INDEX(Registro!$G$1:$G$1001,$A44)))</f>
        <v/>
      </c>
      <c r="M44" s="22" t="str">
        <f>IF($A44="","",IF(INDEX(Registro!$H$1:$H$1001,$A44)="","",INDEX(Registro!$H$1:$H$1001,$A44)))</f>
        <v/>
      </c>
      <c r="N44" s="24" t="str">
        <f>IF($A44="","",IF(INDEX(Cálculo!$I$1:$I$1001,$A44)="","",INDEX(Cálculo!$I$1:$I$1001,$A44)))</f>
        <v/>
      </c>
      <c r="O44" s="24" t="str">
        <f>IF($A44="","",IF(INDEX(Cálculo!$K$1:$K$1001,$A44)="","",INDEX(Cálculo!$K$1:$K$1001,$A44)))</f>
        <v/>
      </c>
      <c r="P44" s="22" t="str">
        <f>IF($A44="","",IF(INDEX(Registro!$I$1:$I$1001,$A44)="","",INDEX(Registro!$I$1:$I$1001,$A44)))</f>
        <v/>
      </c>
      <c r="Q44" s="24" t="str">
        <f>IF($A44="","",IF(INDEX(Cálculo!$J$1:$J$1001,$A44)="","",INDEX(Cálculo!$J$1:$J$1001,$A44)))</f>
        <v/>
      </c>
      <c r="R44" s="24" t="str">
        <f>IF($A44="","",IF(INDEX(Cálculo!$L$1:$L$1001,$A44)="","",INDEX(Cálculo!$L$1:$L$1001,$A44)))</f>
        <v/>
      </c>
      <c r="S44" s="22" t="str">
        <f>IF($A44="","",IF(INDEX(Registro!$J$1:$J$1001,$A44)="","",INDEX(Registro!$J$1:$J$1001,$A44)))</f>
        <v/>
      </c>
    </row>
    <row r="45" spans="1:19" ht="18" customHeight="1" x14ac:dyDescent="0.25">
      <c r="A45" s="19" t="str">
        <f>IFERROR(MOD(SMALL(Cálculo!$M$2:$M$1001,ROWS(A$8:A45)),10000),"")</f>
        <v/>
      </c>
      <c r="B45" s="20" t="str">
        <f>IF($A45="","",IF(INDEX(Registro!$B$1:$B$1001,$A45)="","",INDEX(Registro!$B$1:$B$1001,$A45)))</f>
        <v/>
      </c>
      <c r="C45" s="21" t="str">
        <f>IF($A45="","",IF(INDEX(Registro!$C$1:$C$1001,$A45)="","",INDEX(Registro!$C$1:$C$1001,$A45)))</f>
        <v/>
      </c>
      <c r="D45" s="21" t="str">
        <f>IF($A45="","",IF(INDEX(Registro!$D$1:$D$1001,$A45)="","",INDEX(Registro!$D$1:$D$1001,$A45)))</f>
        <v/>
      </c>
      <c r="E45" s="22" t="str">
        <f>IF($A45="","",IF(INDEX(Registro!$E$1:$E$1001,$A45)="","",INDEX(Registro!$E$1:$E$1001,$A45)))</f>
        <v/>
      </c>
      <c r="F45" s="23" t="str">
        <f>IF($A45="","",IF(INDEX(Cálculo!$D$1:$D$1001,$A45)="","",INDEX(Cálculo!$D$1:$D$1001,$A45)))</f>
        <v/>
      </c>
      <c r="G45" s="24" t="str">
        <f>IF($A45="","",IF(INDEX(Cálculo!$E$1:$E$1001,$A45)="","",INDEX(Cálculo!$E$1:$E$1001,$A45)))</f>
        <v/>
      </c>
      <c r="H45" s="22" t="str">
        <f>IF($A45="","",IF(INDEX(Registro!$F$1:$F$1001,$A45)="","",INDEX(Registro!$F$1:$F$1001,$A45)))</f>
        <v/>
      </c>
      <c r="I45" s="23" t="str">
        <f>IF($A45="","",IF(INDEX(Cálculo!$F$1:$F$1001,$A45)="","",INDEX(Cálculo!$F$1:$F$1001,$A45)))</f>
        <v/>
      </c>
      <c r="J45" s="24" t="str">
        <f>IF($A45="","",IF(INDEX(Cálculo!$G$1:$G$1001,$A45)="","",INDEX(Cálculo!$G$1:$G$1001,$A45)))</f>
        <v/>
      </c>
      <c r="K45" s="21" t="str">
        <f>IF($A45="","",IF(INDEX(Cálculo!$H$1:$H$1001,$A45)="","",INDEX(Cálculo!$H$1:$H$1001,$A45)))</f>
        <v/>
      </c>
      <c r="L45" s="24" t="str">
        <f>IF($A45="","",IF(INDEX(Registro!$G$1:$G$1001,$A45)="","",INDEX(Registro!$G$1:$G$1001,$A45)))</f>
        <v/>
      </c>
      <c r="M45" s="22" t="str">
        <f>IF($A45="","",IF(INDEX(Registro!$H$1:$H$1001,$A45)="","",INDEX(Registro!$H$1:$H$1001,$A45)))</f>
        <v/>
      </c>
      <c r="N45" s="24" t="str">
        <f>IF($A45="","",IF(INDEX(Cálculo!$I$1:$I$1001,$A45)="","",INDEX(Cálculo!$I$1:$I$1001,$A45)))</f>
        <v/>
      </c>
      <c r="O45" s="24" t="str">
        <f>IF($A45="","",IF(INDEX(Cálculo!$K$1:$K$1001,$A45)="","",INDEX(Cálculo!$K$1:$K$1001,$A45)))</f>
        <v/>
      </c>
      <c r="P45" s="22" t="str">
        <f>IF($A45="","",IF(INDEX(Registro!$I$1:$I$1001,$A45)="","",INDEX(Registro!$I$1:$I$1001,$A45)))</f>
        <v/>
      </c>
      <c r="Q45" s="24" t="str">
        <f>IF($A45="","",IF(INDEX(Cálculo!$J$1:$J$1001,$A45)="","",INDEX(Cálculo!$J$1:$J$1001,$A45)))</f>
        <v/>
      </c>
      <c r="R45" s="24" t="str">
        <f>IF($A45="","",IF(INDEX(Cálculo!$L$1:$L$1001,$A45)="","",INDEX(Cálculo!$L$1:$L$1001,$A45)))</f>
        <v/>
      </c>
      <c r="S45" s="22" t="str">
        <f>IF($A45="","",IF(INDEX(Registro!$J$1:$J$1001,$A45)="","",INDEX(Registro!$J$1:$J$1001,$A45)))</f>
        <v/>
      </c>
    </row>
    <row r="46" spans="1:19" ht="18" customHeight="1" x14ac:dyDescent="0.25">
      <c r="A46" s="19" t="str">
        <f>IFERROR(MOD(SMALL(Cálculo!$M$2:$M$1001,ROWS(A$8:A46)),10000),"")</f>
        <v/>
      </c>
      <c r="B46" s="20" t="str">
        <f>IF($A46="","",IF(INDEX(Registro!$B$1:$B$1001,$A46)="","",INDEX(Registro!$B$1:$B$1001,$A46)))</f>
        <v/>
      </c>
      <c r="C46" s="21" t="str">
        <f>IF($A46="","",IF(INDEX(Registro!$C$1:$C$1001,$A46)="","",INDEX(Registro!$C$1:$C$1001,$A46)))</f>
        <v/>
      </c>
      <c r="D46" s="21" t="str">
        <f>IF($A46="","",IF(INDEX(Registro!$D$1:$D$1001,$A46)="","",INDEX(Registro!$D$1:$D$1001,$A46)))</f>
        <v/>
      </c>
      <c r="E46" s="22" t="str">
        <f>IF($A46="","",IF(INDEX(Registro!$E$1:$E$1001,$A46)="","",INDEX(Registro!$E$1:$E$1001,$A46)))</f>
        <v/>
      </c>
      <c r="F46" s="23" t="str">
        <f>IF($A46="","",IF(INDEX(Cálculo!$D$1:$D$1001,$A46)="","",INDEX(Cálculo!$D$1:$D$1001,$A46)))</f>
        <v/>
      </c>
      <c r="G46" s="24" t="str">
        <f>IF($A46="","",IF(INDEX(Cálculo!$E$1:$E$1001,$A46)="","",INDEX(Cálculo!$E$1:$E$1001,$A46)))</f>
        <v/>
      </c>
      <c r="H46" s="22" t="str">
        <f>IF($A46="","",IF(INDEX(Registro!$F$1:$F$1001,$A46)="","",INDEX(Registro!$F$1:$F$1001,$A46)))</f>
        <v/>
      </c>
      <c r="I46" s="23" t="str">
        <f>IF($A46="","",IF(INDEX(Cálculo!$F$1:$F$1001,$A46)="","",INDEX(Cálculo!$F$1:$F$1001,$A46)))</f>
        <v/>
      </c>
      <c r="J46" s="24" t="str">
        <f>IF($A46="","",IF(INDEX(Cálculo!$G$1:$G$1001,$A46)="","",INDEX(Cálculo!$G$1:$G$1001,$A46)))</f>
        <v/>
      </c>
      <c r="K46" s="21" t="str">
        <f>IF($A46="","",IF(INDEX(Cálculo!$H$1:$H$1001,$A46)="","",INDEX(Cálculo!$H$1:$H$1001,$A46)))</f>
        <v/>
      </c>
      <c r="L46" s="24" t="str">
        <f>IF($A46="","",IF(INDEX(Registro!$G$1:$G$1001,$A46)="","",INDEX(Registro!$G$1:$G$1001,$A46)))</f>
        <v/>
      </c>
      <c r="M46" s="22" t="str">
        <f>IF($A46="","",IF(INDEX(Registro!$H$1:$H$1001,$A46)="","",INDEX(Registro!$H$1:$H$1001,$A46)))</f>
        <v/>
      </c>
      <c r="N46" s="24" t="str">
        <f>IF($A46="","",IF(INDEX(Cálculo!$I$1:$I$1001,$A46)="","",INDEX(Cálculo!$I$1:$I$1001,$A46)))</f>
        <v/>
      </c>
      <c r="O46" s="24" t="str">
        <f>IF($A46="","",IF(INDEX(Cálculo!$K$1:$K$1001,$A46)="","",INDEX(Cálculo!$K$1:$K$1001,$A46)))</f>
        <v/>
      </c>
      <c r="P46" s="22" t="str">
        <f>IF($A46="","",IF(INDEX(Registro!$I$1:$I$1001,$A46)="","",INDEX(Registro!$I$1:$I$1001,$A46)))</f>
        <v/>
      </c>
      <c r="Q46" s="24" t="str">
        <f>IF($A46="","",IF(INDEX(Cálculo!$J$1:$J$1001,$A46)="","",INDEX(Cálculo!$J$1:$J$1001,$A46)))</f>
        <v/>
      </c>
      <c r="R46" s="24" t="str">
        <f>IF($A46="","",IF(INDEX(Cálculo!$L$1:$L$1001,$A46)="","",INDEX(Cálculo!$L$1:$L$1001,$A46)))</f>
        <v/>
      </c>
      <c r="S46" s="22" t="str">
        <f>IF($A46="","",IF(INDEX(Registro!$J$1:$J$1001,$A46)="","",INDEX(Registro!$J$1:$J$1001,$A46)))</f>
        <v/>
      </c>
    </row>
    <row r="47" spans="1:19" ht="18" customHeight="1" x14ac:dyDescent="0.25">
      <c r="A47" s="19" t="str">
        <f>IFERROR(MOD(SMALL(Cálculo!$M$2:$M$1001,ROWS(A$8:A47)),10000),"")</f>
        <v/>
      </c>
      <c r="B47" s="20" t="str">
        <f>IF($A47="","",IF(INDEX(Registro!$B$1:$B$1001,$A47)="","",INDEX(Registro!$B$1:$B$1001,$A47)))</f>
        <v/>
      </c>
      <c r="C47" s="21" t="str">
        <f>IF($A47="","",IF(INDEX(Registro!$C$1:$C$1001,$A47)="","",INDEX(Registro!$C$1:$C$1001,$A47)))</f>
        <v/>
      </c>
      <c r="D47" s="21" t="str">
        <f>IF($A47="","",IF(INDEX(Registro!$D$1:$D$1001,$A47)="","",INDEX(Registro!$D$1:$D$1001,$A47)))</f>
        <v/>
      </c>
      <c r="E47" s="22" t="str">
        <f>IF($A47="","",IF(INDEX(Registro!$E$1:$E$1001,$A47)="","",INDEX(Registro!$E$1:$E$1001,$A47)))</f>
        <v/>
      </c>
      <c r="F47" s="23" t="str">
        <f>IF($A47="","",IF(INDEX(Cálculo!$D$1:$D$1001,$A47)="","",INDEX(Cálculo!$D$1:$D$1001,$A47)))</f>
        <v/>
      </c>
      <c r="G47" s="24" t="str">
        <f>IF($A47="","",IF(INDEX(Cálculo!$E$1:$E$1001,$A47)="","",INDEX(Cálculo!$E$1:$E$1001,$A47)))</f>
        <v/>
      </c>
      <c r="H47" s="22" t="str">
        <f>IF($A47="","",IF(INDEX(Registro!$F$1:$F$1001,$A47)="","",INDEX(Registro!$F$1:$F$1001,$A47)))</f>
        <v/>
      </c>
      <c r="I47" s="23" t="str">
        <f>IF($A47="","",IF(INDEX(Cálculo!$F$1:$F$1001,$A47)="","",INDEX(Cálculo!$F$1:$F$1001,$A47)))</f>
        <v/>
      </c>
      <c r="J47" s="24" t="str">
        <f>IF($A47="","",IF(INDEX(Cálculo!$G$1:$G$1001,$A47)="","",INDEX(Cálculo!$G$1:$G$1001,$A47)))</f>
        <v/>
      </c>
      <c r="K47" s="21" t="str">
        <f>IF($A47="","",IF(INDEX(Cálculo!$H$1:$H$1001,$A47)="","",INDEX(Cálculo!$H$1:$H$1001,$A47)))</f>
        <v/>
      </c>
      <c r="L47" s="24" t="str">
        <f>IF($A47="","",IF(INDEX(Registro!$G$1:$G$1001,$A47)="","",INDEX(Registro!$G$1:$G$1001,$A47)))</f>
        <v/>
      </c>
      <c r="M47" s="22" t="str">
        <f>IF($A47="","",IF(INDEX(Registro!$H$1:$H$1001,$A47)="","",INDEX(Registro!$H$1:$H$1001,$A47)))</f>
        <v/>
      </c>
      <c r="N47" s="24" t="str">
        <f>IF($A47="","",IF(INDEX(Cálculo!$I$1:$I$1001,$A47)="","",INDEX(Cálculo!$I$1:$I$1001,$A47)))</f>
        <v/>
      </c>
      <c r="O47" s="24" t="str">
        <f>IF($A47="","",IF(INDEX(Cálculo!$K$1:$K$1001,$A47)="","",INDEX(Cálculo!$K$1:$K$1001,$A47)))</f>
        <v/>
      </c>
      <c r="P47" s="22" t="str">
        <f>IF($A47="","",IF(INDEX(Registro!$I$1:$I$1001,$A47)="","",INDEX(Registro!$I$1:$I$1001,$A47)))</f>
        <v/>
      </c>
      <c r="Q47" s="24" t="str">
        <f>IF($A47="","",IF(INDEX(Cálculo!$J$1:$J$1001,$A47)="","",INDEX(Cálculo!$J$1:$J$1001,$A47)))</f>
        <v/>
      </c>
      <c r="R47" s="24" t="str">
        <f>IF($A47="","",IF(INDEX(Cálculo!$L$1:$L$1001,$A47)="","",INDEX(Cálculo!$L$1:$L$1001,$A47)))</f>
        <v/>
      </c>
      <c r="S47" s="22" t="str">
        <f>IF($A47="","",IF(INDEX(Registro!$J$1:$J$1001,$A47)="","",INDEX(Registro!$J$1:$J$1001,$A47)))</f>
        <v/>
      </c>
    </row>
    <row r="48" spans="1:19" ht="18" customHeight="1" x14ac:dyDescent="0.25">
      <c r="A48" s="19" t="str">
        <f>IFERROR(MOD(SMALL(Cálculo!$M$2:$M$1001,ROWS(A$8:A48)),10000),"")</f>
        <v/>
      </c>
      <c r="B48" s="20" t="str">
        <f>IF($A48="","",IF(INDEX(Registro!$B$1:$B$1001,$A48)="","",INDEX(Registro!$B$1:$B$1001,$A48)))</f>
        <v/>
      </c>
      <c r="C48" s="21" t="str">
        <f>IF($A48="","",IF(INDEX(Registro!$C$1:$C$1001,$A48)="","",INDEX(Registro!$C$1:$C$1001,$A48)))</f>
        <v/>
      </c>
      <c r="D48" s="21" t="str">
        <f>IF($A48="","",IF(INDEX(Registro!$D$1:$D$1001,$A48)="","",INDEX(Registro!$D$1:$D$1001,$A48)))</f>
        <v/>
      </c>
      <c r="E48" s="22" t="str">
        <f>IF($A48="","",IF(INDEX(Registro!$E$1:$E$1001,$A48)="","",INDEX(Registro!$E$1:$E$1001,$A48)))</f>
        <v/>
      </c>
      <c r="F48" s="23" t="str">
        <f>IF($A48="","",IF(INDEX(Cálculo!$D$1:$D$1001,$A48)="","",INDEX(Cálculo!$D$1:$D$1001,$A48)))</f>
        <v/>
      </c>
      <c r="G48" s="24" t="str">
        <f>IF($A48="","",IF(INDEX(Cálculo!$E$1:$E$1001,$A48)="","",INDEX(Cálculo!$E$1:$E$1001,$A48)))</f>
        <v/>
      </c>
      <c r="H48" s="22" t="str">
        <f>IF($A48="","",IF(INDEX(Registro!$F$1:$F$1001,$A48)="","",INDEX(Registro!$F$1:$F$1001,$A48)))</f>
        <v/>
      </c>
      <c r="I48" s="23" t="str">
        <f>IF($A48="","",IF(INDEX(Cálculo!$F$1:$F$1001,$A48)="","",INDEX(Cálculo!$F$1:$F$1001,$A48)))</f>
        <v/>
      </c>
      <c r="J48" s="24" t="str">
        <f>IF($A48="","",IF(INDEX(Cálculo!$G$1:$G$1001,$A48)="","",INDEX(Cálculo!$G$1:$G$1001,$A48)))</f>
        <v/>
      </c>
      <c r="K48" s="21" t="str">
        <f>IF($A48="","",IF(INDEX(Cálculo!$H$1:$H$1001,$A48)="","",INDEX(Cálculo!$H$1:$H$1001,$A48)))</f>
        <v/>
      </c>
      <c r="L48" s="24" t="str">
        <f>IF($A48="","",IF(INDEX(Registro!$G$1:$G$1001,$A48)="","",INDEX(Registro!$G$1:$G$1001,$A48)))</f>
        <v/>
      </c>
      <c r="M48" s="22" t="str">
        <f>IF($A48="","",IF(INDEX(Registro!$H$1:$H$1001,$A48)="","",INDEX(Registro!$H$1:$H$1001,$A48)))</f>
        <v/>
      </c>
      <c r="N48" s="24" t="str">
        <f>IF($A48="","",IF(INDEX(Cálculo!$I$1:$I$1001,$A48)="","",INDEX(Cálculo!$I$1:$I$1001,$A48)))</f>
        <v/>
      </c>
      <c r="O48" s="24" t="str">
        <f>IF($A48="","",IF(INDEX(Cálculo!$K$1:$K$1001,$A48)="","",INDEX(Cálculo!$K$1:$K$1001,$A48)))</f>
        <v/>
      </c>
      <c r="P48" s="22" t="str">
        <f>IF($A48="","",IF(INDEX(Registro!$I$1:$I$1001,$A48)="","",INDEX(Registro!$I$1:$I$1001,$A48)))</f>
        <v/>
      </c>
      <c r="Q48" s="24" t="str">
        <f>IF($A48="","",IF(INDEX(Cálculo!$J$1:$J$1001,$A48)="","",INDEX(Cálculo!$J$1:$J$1001,$A48)))</f>
        <v/>
      </c>
      <c r="R48" s="24" t="str">
        <f>IF($A48="","",IF(INDEX(Cálculo!$L$1:$L$1001,$A48)="","",INDEX(Cálculo!$L$1:$L$1001,$A48)))</f>
        <v/>
      </c>
      <c r="S48" s="22" t="str">
        <f>IF($A48="","",IF(INDEX(Registro!$J$1:$J$1001,$A48)="","",INDEX(Registro!$J$1:$J$1001,$A48)))</f>
        <v/>
      </c>
    </row>
    <row r="49" spans="1:19" ht="18" customHeight="1" x14ac:dyDescent="0.25">
      <c r="A49" s="19" t="str">
        <f>IFERROR(MOD(SMALL(Cálculo!$M$2:$M$1001,ROWS(A$8:A49)),10000),"")</f>
        <v/>
      </c>
      <c r="B49" s="20" t="str">
        <f>IF($A49="","",IF(INDEX(Registro!$B$1:$B$1001,$A49)="","",INDEX(Registro!$B$1:$B$1001,$A49)))</f>
        <v/>
      </c>
      <c r="C49" s="21" t="str">
        <f>IF($A49="","",IF(INDEX(Registro!$C$1:$C$1001,$A49)="","",INDEX(Registro!$C$1:$C$1001,$A49)))</f>
        <v/>
      </c>
      <c r="D49" s="21" t="str">
        <f>IF($A49="","",IF(INDEX(Registro!$D$1:$D$1001,$A49)="","",INDEX(Registro!$D$1:$D$1001,$A49)))</f>
        <v/>
      </c>
      <c r="E49" s="22" t="str">
        <f>IF($A49="","",IF(INDEX(Registro!$E$1:$E$1001,$A49)="","",INDEX(Registro!$E$1:$E$1001,$A49)))</f>
        <v/>
      </c>
      <c r="F49" s="23" t="str">
        <f>IF($A49="","",IF(INDEX(Cálculo!$D$1:$D$1001,$A49)="","",INDEX(Cálculo!$D$1:$D$1001,$A49)))</f>
        <v/>
      </c>
      <c r="G49" s="24" t="str">
        <f>IF($A49="","",IF(INDEX(Cálculo!$E$1:$E$1001,$A49)="","",INDEX(Cálculo!$E$1:$E$1001,$A49)))</f>
        <v/>
      </c>
      <c r="H49" s="22" t="str">
        <f>IF($A49="","",IF(INDEX(Registro!$F$1:$F$1001,$A49)="","",INDEX(Registro!$F$1:$F$1001,$A49)))</f>
        <v/>
      </c>
      <c r="I49" s="23" t="str">
        <f>IF($A49="","",IF(INDEX(Cálculo!$F$1:$F$1001,$A49)="","",INDEX(Cálculo!$F$1:$F$1001,$A49)))</f>
        <v/>
      </c>
      <c r="J49" s="24" t="str">
        <f>IF($A49="","",IF(INDEX(Cálculo!$G$1:$G$1001,$A49)="","",INDEX(Cálculo!$G$1:$G$1001,$A49)))</f>
        <v/>
      </c>
      <c r="K49" s="21" t="str">
        <f>IF($A49="","",IF(INDEX(Cálculo!$H$1:$H$1001,$A49)="","",INDEX(Cálculo!$H$1:$H$1001,$A49)))</f>
        <v/>
      </c>
      <c r="L49" s="24" t="str">
        <f>IF($A49="","",IF(INDEX(Registro!$G$1:$G$1001,$A49)="","",INDEX(Registro!$G$1:$G$1001,$A49)))</f>
        <v/>
      </c>
      <c r="M49" s="22" t="str">
        <f>IF($A49="","",IF(INDEX(Registro!$H$1:$H$1001,$A49)="","",INDEX(Registro!$H$1:$H$1001,$A49)))</f>
        <v/>
      </c>
      <c r="N49" s="24" t="str">
        <f>IF($A49="","",IF(INDEX(Cálculo!$I$1:$I$1001,$A49)="","",INDEX(Cálculo!$I$1:$I$1001,$A49)))</f>
        <v/>
      </c>
      <c r="O49" s="24" t="str">
        <f>IF($A49="","",IF(INDEX(Cálculo!$K$1:$K$1001,$A49)="","",INDEX(Cálculo!$K$1:$K$1001,$A49)))</f>
        <v/>
      </c>
      <c r="P49" s="22" t="str">
        <f>IF($A49="","",IF(INDEX(Registro!$I$1:$I$1001,$A49)="","",INDEX(Registro!$I$1:$I$1001,$A49)))</f>
        <v/>
      </c>
      <c r="Q49" s="24" t="str">
        <f>IF($A49="","",IF(INDEX(Cálculo!$J$1:$J$1001,$A49)="","",INDEX(Cálculo!$J$1:$J$1001,$A49)))</f>
        <v/>
      </c>
      <c r="R49" s="24" t="str">
        <f>IF($A49="","",IF(INDEX(Cálculo!$L$1:$L$1001,$A49)="","",INDEX(Cálculo!$L$1:$L$1001,$A49)))</f>
        <v/>
      </c>
      <c r="S49" s="22" t="str">
        <f>IF($A49="","",IF(INDEX(Registro!$J$1:$J$1001,$A49)="","",INDEX(Registro!$J$1:$J$1001,$A49)))</f>
        <v/>
      </c>
    </row>
    <row r="50" spans="1:19" ht="18" customHeight="1" x14ac:dyDescent="0.25">
      <c r="A50" s="19" t="str">
        <f>IFERROR(MOD(SMALL(Cálculo!$M$2:$M$1001,ROWS(A$8:A50)),10000),"")</f>
        <v/>
      </c>
      <c r="B50" s="20" t="str">
        <f>IF($A50="","",IF(INDEX(Registro!$B$1:$B$1001,$A50)="","",INDEX(Registro!$B$1:$B$1001,$A50)))</f>
        <v/>
      </c>
      <c r="C50" s="21" t="str">
        <f>IF($A50="","",IF(INDEX(Registro!$C$1:$C$1001,$A50)="","",INDEX(Registro!$C$1:$C$1001,$A50)))</f>
        <v/>
      </c>
      <c r="D50" s="21" t="str">
        <f>IF($A50="","",IF(INDEX(Registro!$D$1:$D$1001,$A50)="","",INDEX(Registro!$D$1:$D$1001,$A50)))</f>
        <v/>
      </c>
      <c r="E50" s="22" t="str">
        <f>IF($A50="","",IF(INDEX(Registro!$E$1:$E$1001,$A50)="","",INDEX(Registro!$E$1:$E$1001,$A50)))</f>
        <v/>
      </c>
      <c r="F50" s="23" t="str">
        <f>IF($A50="","",IF(INDEX(Cálculo!$D$1:$D$1001,$A50)="","",INDEX(Cálculo!$D$1:$D$1001,$A50)))</f>
        <v/>
      </c>
      <c r="G50" s="24" t="str">
        <f>IF($A50="","",IF(INDEX(Cálculo!$E$1:$E$1001,$A50)="","",INDEX(Cálculo!$E$1:$E$1001,$A50)))</f>
        <v/>
      </c>
      <c r="H50" s="22" t="str">
        <f>IF($A50="","",IF(INDEX(Registro!$F$1:$F$1001,$A50)="","",INDEX(Registro!$F$1:$F$1001,$A50)))</f>
        <v/>
      </c>
      <c r="I50" s="23" t="str">
        <f>IF($A50="","",IF(INDEX(Cálculo!$F$1:$F$1001,$A50)="","",INDEX(Cálculo!$F$1:$F$1001,$A50)))</f>
        <v/>
      </c>
      <c r="J50" s="24" t="str">
        <f>IF($A50="","",IF(INDEX(Cálculo!$G$1:$G$1001,$A50)="","",INDEX(Cálculo!$G$1:$G$1001,$A50)))</f>
        <v/>
      </c>
      <c r="K50" s="21" t="str">
        <f>IF($A50="","",IF(INDEX(Cálculo!$H$1:$H$1001,$A50)="","",INDEX(Cálculo!$H$1:$H$1001,$A50)))</f>
        <v/>
      </c>
      <c r="L50" s="24" t="str">
        <f>IF($A50="","",IF(INDEX(Registro!$G$1:$G$1001,$A50)="","",INDEX(Registro!$G$1:$G$1001,$A50)))</f>
        <v/>
      </c>
      <c r="M50" s="22" t="str">
        <f>IF($A50="","",IF(INDEX(Registro!$H$1:$H$1001,$A50)="","",INDEX(Registro!$H$1:$H$1001,$A50)))</f>
        <v/>
      </c>
      <c r="N50" s="24" t="str">
        <f>IF($A50="","",IF(INDEX(Cálculo!$I$1:$I$1001,$A50)="","",INDEX(Cálculo!$I$1:$I$1001,$A50)))</f>
        <v/>
      </c>
      <c r="O50" s="24" t="str">
        <f>IF($A50="","",IF(INDEX(Cálculo!$K$1:$K$1001,$A50)="","",INDEX(Cálculo!$K$1:$K$1001,$A50)))</f>
        <v/>
      </c>
      <c r="P50" s="22" t="str">
        <f>IF($A50="","",IF(INDEX(Registro!$I$1:$I$1001,$A50)="","",INDEX(Registro!$I$1:$I$1001,$A50)))</f>
        <v/>
      </c>
      <c r="Q50" s="24" t="str">
        <f>IF($A50="","",IF(INDEX(Cálculo!$J$1:$J$1001,$A50)="","",INDEX(Cálculo!$J$1:$J$1001,$A50)))</f>
        <v/>
      </c>
      <c r="R50" s="24" t="str">
        <f>IF($A50="","",IF(INDEX(Cálculo!$L$1:$L$1001,$A50)="","",INDEX(Cálculo!$L$1:$L$1001,$A50)))</f>
        <v/>
      </c>
      <c r="S50" s="22" t="str">
        <f>IF($A50="","",IF(INDEX(Registro!$J$1:$J$1001,$A50)="","",INDEX(Registro!$J$1:$J$1001,$A50)))</f>
        <v/>
      </c>
    </row>
    <row r="51" spans="1:19" ht="18" customHeight="1" x14ac:dyDescent="0.25">
      <c r="A51" s="19" t="str">
        <f>IFERROR(MOD(SMALL(Cálculo!$M$2:$M$1001,ROWS(A$8:A51)),10000),"")</f>
        <v/>
      </c>
      <c r="B51" s="20" t="str">
        <f>IF($A51="","",IF(INDEX(Registro!$B$1:$B$1001,$A51)="","",INDEX(Registro!$B$1:$B$1001,$A51)))</f>
        <v/>
      </c>
      <c r="C51" s="21" t="str">
        <f>IF($A51="","",IF(INDEX(Registro!$C$1:$C$1001,$A51)="","",INDEX(Registro!$C$1:$C$1001,$A51)))</f>
        <v/>
      </c>
      <c r="D51" s="21" t="str">
        <f>IF($A51="","",IF(INDEX(Registro!$D$1:$D$1001,$A51)="","",INDEX(Registro!$D$1:$D$1001,$A51)))</f>
        <v/>
      </c>
      <c r="E51" s="22" t="str">
        <f>IF($A51="","",IF(INDEX(Registro!$E$1:$E$1001,$A51)="","",INDEX(Registro!$E$1:$E$1001,$A51)))</f>
        <v/>
      </c>
      <c r="F51" s="23" t="str">
        <f>IF($A51="","",IF(INDEX(Cálculo!$D$1:$D$1001,$A51)="","",INDEX(Cálculo!$D$1:$D$1001,$A51)))</f>
        <v/>
      </c>
      <c r="G51" s="24" t="str">
        <f>IF($A51="","",IF(INDEX(Cálculo!$E$1:$E$1001,$A51)="","",INDEX(Cálculo!$E$1:$E$1001,$A51)))</f>
        <v/>
      </c>
      <c r="H51" s="22" t="str">
        <f>IF($A51="","",IF(INDEX(Registro!$F$1:$F$1001,$A51)="","",INDEX(Registro!$F$1:$F$1001,$A51)))</f>
        <v/>
      </c>
      <c r="I51" s="23" t="str">
        <f>IF($A51="","",IF(INDEX(Cálculo!$F$1:$F$1001,$A51)="","",INDEX(Cálculo!$F$1:$F$1001,$A51)))</f>
        <v/>
      </c>
      <c r="J51" s="24" t="str">
        <f>IF($A51="","",IF(INDEX(Cálculo!$G$1:$G$1001,$A51)="","",INDEX(Cálculo!$G$1:$G$1001,$A51)))</f>
        <v/>
      </c>
      <c r="K51" s="21" t="str">
        <f>IF($A51="","",IF(INDEX(Cálculo!$H$1:$H$1001,$A51)="","",INDEX(Cálculo!$H$1:$H$1001,$A51)))</f>
        <v/>
      </c>
      <c r="L51" s="24" t="str">
        <f>IF($A51="","",IF(INDEX(Registro!$G$1:$G$1001,$A51)="","",INDEX(Registro!$G$1:$G$1001,$A51)))</f>
        <v/>
      </c>
      <c r="M51" s="22" t="str">
        <f>IF($A51="","",IF(INDEX(Registro!$H$1:$H$1001,$A51)="","",INDEX(Registro!$H$1:$H$1001,$A51)))</f>
        <v/>
      </c>
      <c r="N51" s="24" t="str">
        <f>IF($A51="","",IF(INDEX(Cálculo!$I$1:$I$1001,$A51)="","",INDEX(Cálculo!$I$1:$I$1001,$A51)))</f>
        <v/>
      </c>
      <c r="O51" s="24" t="str">
        <f>IF($A51="","",IF(INDEX(Cálculo!$K$1:$K$1001,$A51)="","",INDEX(Cálculo!$K$1:$K$1001,$A51)))</f>
        <v/>
      </c>
      <c r="P51" s="22" t="str">
        <f>IF($A51="","",IF(INDEX(Registro!$I$1:$I$1001,$A51)="","",INDEX(Registro!$I$1:$I$1001,$A51)))</f>
        <v/>
      </c>
      <c r="Q51" s="24" t="str">
        <f>IF($A51="","",IF(INDEX(Cálculo!$J$1:$J$1001,$A51)="","",INDEX(Cálculo!$J$1:$J$1001,$A51)))</f>
        <v/>
      </c>
      <c r="R51" s="24" t="str">
        <f>IF($A51="","",IF(INDEX(Cálculo!$L$1:$L$1001,$A51)="","",INDEX(Cálculo!$L$1:$L$1001,$A51)))</f>
        <v/>
      </c>
      <c r="S51" s="22" t="str">
        <f>IF($A51="","",IF(INDEX(Registro!$J$1:$J$1001,$A51)="","",INDEX(Registro!$J$1:$J$1001,$A51)))</f>
        <v/>
      </c>
    </row>
    <row r="52" spans="1:19" ht="18" customHeight="1" x14ac:dyDescent="0.25">
      <c r="A52" s="19" t="str">
        <f>IFERROR(MOD(SMALL(Cálculo!$M$2:$M$1001,ROWS(A$8:A52)),10000),"")</f>
        <v/>
      </c>
      <c r="B52" s="20" t="str">
        <f>IF($A52="","",IF(INDEX(Registro!$B$1:$B$1001,$A52)="","",INDEX(Registro!$B$1:$B$1001,$A52)))</f>
        <v/>
      </c>
      <c r="C52" s="21" t="str">
        <f>IF($A52="","",IF(INDEX(Registro!$C$1:$C$1001,$A52)="","",INDEX(Registro!$C$1:$C$1001,$A52)))</f>
        <v/>
      </c>
      <c r="D52" s="21" t="str">
        <f>IF($A52="","",IF(INDEX(Registro!$D$1:$D$1001,$A52)="","",INDEX(Registro!$D$1:$D$1001,$A52)))</f>
        <v/>
      </c>
      <c r="E52" s="22" t="str">
        <f>IF($A52="","",IF(INDEX(Registro!$E$1:$E$1001,$A52)="","",INDEX(Registro!$E$1:$E$1001,$A52)))</f>
        <v/>
      </c>
      <c r="F52" s="23" t="str">
        <f>IF($A52="","",IF(INDEX(Cálculo!$D$1:$D$1001,$A52)="","",INDEX(Cálculo!$D$1:$D$1001,$A52)))</f>
        <v/>
      </c>
      <c r="G52" s="24" t="str">
        <f>IF($A52="","",IF(INDEX(Cálculo!$E$1:$E$1001,$A52)="","",INDEX(Cálculo!$E$1:$E$1001,$A52)))</f>
        <v/>
      </c>
      <c r="H52" s="22" t="str">
        <f>IF($A52="","",IF(INDEX(Registro!$F$1:$F$1001,$A52)="","",INDEX(Registro!$F$1:$F$1001,$A52)))</f>
        <v/>
      </c>
      <c r="I52" s="23" t="str">
        <f>IF($A52="","",IF(INDEX(Cálculo!$F$1:$F$1001,$A52)="","",INDEX(Cálculo!$F$1:$F$1001,$A52)))</f>
        <v/>
      </c>
      <c r="J52" s="24" t="str">
        <f>IF($A52="","",IF(INDEX(Cálculo!$G$1:$G$1001,$A52)="","",INDEX(Cálculo!$G$1:$G$1001,$A52)))</f>
        <v/>
      </c>
      <c r="K52" s="21" t="str">
        <f>IF($A52="","",IF(INDEX(Cálculo!$H$1:$H$1001,$A52)="","",INDEX(Cálculo!$H$1:$H$1001,$A52)))</f>
        <v/>
      </c>
      <c r="L52" s="24" t="str">
        <f>IF($A52="","",IF(INDEX(Registro!$G$1:$G$1001,$A52)="","",INDEX(Registro!$G$1:$G$1001,$A52)))</f>
        <v/>
      </c>
      <c r="M52" s="22" t="str">
        <f>IF($A52="","",IF(INDEX(Registro!$H$1:$H$1001,$A52)="","",INDEX(Registro!$H$1:$H$1001,$A52)))</f>
        <v/>
      </c>
      <c r="N52" s="24" t="str">
        <f>IF($A52="","",IF(INDEX(Cálculo!$I$1:$I$1001,$A52)="","",INDEX(Cálculo!$I$1:$I$1001,$A52)))</f>
        <v/>
      </c>
      <c r="O52" s="24" t="str">
        <f>IF($A52="","",IF(INDEX(Cálculo!$K$1:$K$1001,$A52)="","",INDEX(Cálculo!$K$1:$K$1001,$A52)))</f>
        <v/>
      </c>
      <c r="P52" s="22" t="str">
        <f>IF($A52="","",IF(INDEX(Registro!$I$1:$I$1001,$A52)="","",INDEX(Registro!$I$1:$I$1001,$A52)))</f>
        <v/>
      </c>
      <c r="Q52" s="24" t="str">
        <f>IF($A52="","",IF(INDEX(Cálculo!$J$1:$J$1001,$A52)="","",INDEX(Cálculo!$J$1:$J$1001,$A52)))</f>
        <v/>
      </c>
      <c r="R52" s="24" t="str">
        <f>IF($A52="","",IF(INDEX(Cálculo!$L$1:$L$1001,$A52)="","",INDEX(Cálculo!$L$1:$L$1001,$A52)))</f>
        <v/>
      </c>
      <c r="S52" s="22" t="str">
        <f>IF($A52="","",IF(INDEX(Registro!$J$1:$J$1001,$A52)="","",INDEX(Registro!$J$1:$J$1001,$A52)))</f>
        <v/>
      </c>
    </row>
    <row r="53" spans="1:19" ht="18" customHeight="1" x14ac:dyDescent="0.25">
      <c r="A53" s="19" t="str">
        <f>IFERROR(MOD(SMALL(Cálculo!$M$2:$M$1001,ROWS(A$8:A53)),10000),"")</f>
        <v/>
      </c>
      <c r="B53" s="20" t="str">
        <f>IF($A53="","",IF(INDEX(Registro!$B$1:$B$1001,$A53)="","",INDEX(Registro!$B$1:$B$1001,$A53)))</f>
        <v/>
      </c>
      <c r="C53" s="21" t="str">
        <f>IF($A53="","",IF(INDEX(Registro!$C$1:$C$1001,$A53)="","",INDEX(Registro!$C$1:$C$1001,$A53)))</f>
        <v/>
      </c>
      <c r="D53" s="21" t="str">
        <f>IF($A53="","",IF(INDEX(Registro!$D$1:$D$1001,$A53)="","",INDEX(Registro!$D$1:$D$1001,$A53)))</f>
        <v/>
      </c>
      <c r="E53" s="22" t="str">
        <f>IF($A53="","",IF(INDEX(Registro!$E$1:$E$1001,$A53)="","",INDEX(Registro!$E$1:$E$1001,$A53)))</f>
        <v/>
      </c>
      <c r="F53" s="23" t="str">
        <f>IF($A53="","",IF(INDEX(Cálculo!$D$1:$D$1001,$A53)="","",INDEX(Cálculo!$D$1:$D$1001,$A53)))</f>
        <v/>
      </c>
      <c r="G53" s="24" t="str">
        <f>IF($A53="","",IF(INDEX(Cálculo!$E$1:$E$1001,$A53)="","",INDEX(Cálculo!$E$1:$E$1001,$A53)))</f>
        <v/>
      </c>
      <c r="H53" s="22" t="str">
        <f>IF($A53="","",IF(INDEX(Registro!$F$1:$F$1001,$A53)="","",INDEX(Registro!$F$1:$F$1001,$A53)))</f>
        <v/>
      </c>
      <c r="I53" s="23" t="str">
        <f>IF($A53="","",IF(INDEX(Cálculo!$F$1:$F$1001,$A53)="","",INDEX(Cálculo!$F$1:$F$1001,$A53)))</f>
        <v/>
      </c>
      <c r="J53" s="24" t="str">
        <f>IF($A53="","",IF(INDEX(Cálculo!$G$1:$G$1001,$A53)="","",INDEX(Cálculo!$G$1:$G$1001,$A53)))</f>
        <v/>
      </c>
      <c r="K53" s="21" t="str">
        <f>IF($A53="","",IF(INDEX(Cálculo!$H$1:$H$1001,$A53)="","",INDEX(Cálculo!$H$1:$H$1001,$A53)))</f>
        <v/>
      </c>
      <c r="L53" s="24" t="str">
        <f>IF($A53="","",IF(INDEX(Registro!$G$1:$G$1001,$A53)="","",INDEX(Registro!$G$1:$G$1001,$A53)))</f>
        <v/>
      </c>
      <c r="M53" s="22" t="str">
        <f>IF($A53="","",IF(INDEX(Registro!$H$1:$H$1001,$A53)="","",INDEX(Registro!$H$1:$H$1001,$A53)))</f>
        <v/>
      </c>
      <c r="N53" s="24" t="str">
        <f>IF($A53="","",IF(INDEX(Cálculo!$I$1:$I$1001,$A53)="","",INDEX(Cálculo!$I$1:$I$1001,$A53)))</f>
        <v/>
      </c>
      <c r="O53" s="24" t="str">
        <f>IF($A53="","",IF(INDEX(Cálculo!$K$1:$K$1001,$A53)="","",INDEX(Cálculo!$K$1:$K$1001,$A53)))</f>
        <v/>
      </c>
      <c r="P53" s="22" t="str">
        <f>IF($A53="","",IF(INDEX(Registro!$I$1:$I$1001,$A53)="","",INDEX(Registro!$I$1:$I$1001,$A53)))</f>
        <v/>
      </c>
      <c r="Q53" s="24" t="str">
        <f>IF($A53="","",IF(INDEX(Cálculo!$J$1:$J$1001,$A53)="","",INDEX(Cálculo!$J$1:$J$1001,$A53)))</f>
        <v/>
      </c>
      <c r="R53" s="24" t="str">
        <f>IF($A53="","",IF(INDEX(Cálculo!$L$1:$L$1001,$A53)="","",INDEX(Cálculo!$L$1:$L$1001,$A53)))</f>
        <v/>
      </c>
      <c r="S53" s="22" t="str">
        <f>IF($A53="","",IF(INDEX(Registro!$J$1:$J$1001,$A53)="","",INDEX(Registro!$J$1:$J$1001,$A53)))</f>
        <v/>
      </c>
    </row>
    <row r="54" spans="1:19" ht="18" customHeight="1" x14ac:dyDescent="0.25">
      <c r="A54" s="19" t="str">
        <f>IFERROR(MOD(SMALL(Cálculo!$M$2:$M$1001,ROWS(A$8:A54)),10000),"")</f>
        <v/>
      </c>
      <c r="B54" s="20" t="str">
        <f>IF($A54="","",IF(INDEX(Registro!$B$1:$B$1001,$A54)="","",INDEX(Registro!$B$1:$B$1001,$A54)))</f>
        <v/>
      </c>
      <c r="C54" s="21" t="str">
        <f>IF($A54="","",IF(INDEX(Registro!$C$1:$C$1001,$A54)="","",INDEX(Registro!$C$1:$C$1001,$A54)))</f>
        <v/>
      </c>
      <c r="D54" s="21" t="str">
        <f>IF($A54="","",IF(INDEX(Registro!$D$1:$D$1001,$A54)="","",INDEX(Registro!$D$1:$D$1001,$A54)))</f>
        <v/>
      </c>
      <c r="E54" s="22" t="str">
        <f>IF($A54="","",IF(INDEX(Registro!$E$1:$E$1001,$A54)="","",INDEX(Registro!$E$1:$E$1001,$A54)))</f>
        <v/>
      </c>
      <c r="F54" s="23" t="str">
        <f>IF($A54="","",IF(INDEX(Cálculo!$D$1:$D$1001,$A54)="","",INDEX(Cálculo!$D$1:$D$1001,$A54)))</f>
        <v/>
      </c>
      <c r="G54" s="24" t="str">
        <f>IF($A54="","",IF(INDEX(Cálculo!$E$1:$E$1001,$A54)="","",INDEX(Cálculo!$E$1:$E$1001,$A54)))</f>
        <v/>
      </c>
      <c r="H54" s="22" t="str">
        <f>IF($A54="","",IF(INDEX(Registro!$F$1:$F$1001,$A54)="","",INDEX(Registro!$F$1:$F$1001,$A54)))</f>
        <v/>
      </c>
      <c r="I54" s="23" t="str">
        <f>IF($A54="","",IF(INDEX(Cálculo!$F$1:$F$1001,$A54)="","",INDEX(Cálculo!$F$1:$F$1001,$A54)))</f>
        <v/>
      </c>
      <c r="J54" s="24" t="str">
        <f>IF($A54="","",IF(INDEX(Cálculo!$G$1:$G$1001,$A54)="","",INDEX(Cálculo!$G$1:$G$1001,$A54)))</f>
        <v/>
      </c>
      <c r="K54" s="21" t="str">
        <f>IF($A54="","",IF(INDEX(Cálculo!$H$1:$H$1001,$A54)="","",INDEX(Cálculo!$H$1:$H$1001,$A54)))</f>
        <v/>
      </c>
      <c r="L54" s="24" t="str">
        <f>IF($A54="","",IF(INDEX(Registro!$G$1:$G$1001,$A54)="","",INDEX(Registro!$G$1:$G$1001,$A54)))</f>
        <v/>
      </c>
      <c r="M54" s="22" t="str">
        <f>IF($A54="","",IF(INDEX(Registro!$H$1:$H$1001,$A54)="","",INDEX(Registro!$H$1:$H$1001,$A54)))</f>
        <v/>
      </c>
      <c r="N54" s="24" t="str">
        <f>IF($A54="","",IF(INDEX(Cálculo!$I$1:$I$1001,$A54)="","",INDEX(Cálculo!$I$1:$I$1001,$A54)))</f>
        <v/>
      </c>
      <c r="O54" s="24" t="str">
        <f>IF($A54="","",IF(INDEX(Cálculo!$K$1:$K$1001,$A54)="","",INDEX(Cálculo!$K$1:$K$1001,$A54)))</f>
        <v/>
      </c>
      <c r="P54" s="22" t="str">
        <f>IF($A54="","",IF(INDEX(Registro!$I$1:$I$1001,$A54)="","",INDEX(Registro!$I$1:$I$1001,$A54)))</f>
        <v/>
      </c>
      <c r="Q54" s="24" t="str">
        <f>IF($A54="","",IF(INDEX(Cálculo!$J$1:$J$1001,$A54)="","",INDEX(Cálculo!$J$1:$J$1001,$A54)))</f>
        <v/>
      </c>
      <c r="R54" s="24" t="str">
        <f>IF($A54="","",IF(INDEX(Cálculo!$L$1:$L$1001,$A54)="","",INDEX(Cálculo!$L$1:$L$1001,$A54)))</f>
        <v/>
      </c>
      <c r="S54" s="22" t="str">
        <f>IF($A54="","",IF(INDEX(Registro!$J$1:$J$1001,$A54)="","",INDEX(Registro!$J$1:$J$1001,$A54)))</f>
        <v/>
      </c>
    </row>
    <row r="55" spans="1:19" ht="18" customHeight="1" x14ac:dyDescent="0.25">
      <c r="A55" s="19" t="str">
        <f>IFERROR(MOD(SMALL(Cálculo!$M$2:$M$1001,ROWS(A$8:A55)),10000),"")</f>
        <v/>
      </c>
      <c r="B55" s="20" t="str">
        <f>IF($A55="","",IF(INDEX(Registro!$B$1:$B$1001,$A55)="","",INDEX(Registro!$B$1:$B$1001,$A55)))</f>
        <v/>
      </c>
      <c r="C55" s="21" t="str">
        <f>IF($A55="","",IF(INDEX(Registro!$C$1:$C$1001,$A55)="","",INDEX(Registro!$C$1:$C$1001,$A55)))</f>
        <v/>
      </c>
      <c r="D55" s="21" t="str">
        <f>IF($A55="","",IF(INDEX(Registro!$D$1:$D$1001,$A55)="","",INDEX(Registro!$D$1:$D$1001,$A55)))</f>
        <v/>
      </c>
      <c r="E55" s="22" t="str">
        <f>IF($A55="","",IF(INDEX(Registro!$E$1:$E$1001,$A55)="","",INDEX(Registro!$E$1:$E$1001,$A55)))</f>
        <v/>
      </c>
      <c r="F55" s="23" t="str">
        <f>IF($A55="","",IF(INDEX(Cálculo!$D$1:$D$1001,$A55)="","",INDEX(Cálculo!$D$1:$D$1001,$A55)))</f>
        <v/>
      </c>
      <c r="G55" s="24" t="str">
        <f>IF($A55="","",IF(INDEX(Cálculo!$E$1:$E$1001,$A55)="","",INDEX(Cálculo!$E$1:$E$1001,$A55)))</f>
        <v/>
      </c>
      <c r="H55" s="22" t="str">
        <f>IF($A55="","",IF(INDEX(Registro!$F$1:$F$1001,$A55)="","",INDEX(Registro!$F$1:$F$1001,$A55)))</f>
        <v/>
      </c>
      <c r="I55" s="23" t="str">
        <f>IF($A55="","",IF(INDEX(Cálculo!$F$1:$F$1001,$A55)="","",INDEX(Cálculo!$F$1:$F$1001,$A55)))</f>
        <v/>
      </c>
      <c r="J55" s="24" t="str">
        <f>IF($A55="","",IF(INDEX(Cálculo!$G$1:$G$1001,$A55)="","",INDEX(Cálculo!$G$1:$G$1001,$A55)))</f>
        <v/>
      </c>
      <c r="K55" s="21" t="str">
        <f>IF($A55="","",IF(INDEX(Cálculo!$H$1:$H$1001,$A55)="","",INDEX(Cálculo!$H$1:$H$1001,$A55)))</f>
        <v/>
      </c>
      <c r="L55" s="24" t="str">
        <f>IF($A55="","",IF(INDEX(Registro!$G$1:$G$1001,$A55)="","",INDEX(Registro!$G$1:$G$1001,$A55)))</f>
        <v/>
      </c>
      <c r="M55" s="22" t="str">
        <f>IF($A55="","",IF(INDEX(Registro!$H$1:$H$1001,$A55)="","",INDEX(Registro!$H$1:$H$1001,$A55)))</f>
        <v/>
      </c>
      <c r="N55" s="24" t="str">
        <f>IF($A55="","",IF(INDEX(Cálculo!$I$1:$I$1001,$A55)="","",INDEX(Cálculo!$I$1:$I$1001,$A55)))</f>
        <v/>
      </c>
      <c r="O55" s="24" t="str">
        <f>IF($A55="","",IF(INDEX(Cálculo!$K$1:$K$1001,$A55)="","",INDEX(Cálculo!$K$1:$K$1001,$A55)))</f>
        <v/>
      </c>
      <c r="P55" s="22" t="str">
        <f>IF($A55="","",IF(INDEX(Registro!$I$1:$I$1001,$A55)="","",INDEX(Registro!$I$1:$I$1001,$A55)))</f>
        <v/>
      </c>
      <c r="Q55" s="24" t="str">
        <f>IF($A55="","",IF(INDEX(Cálculo!$J$1:$J$1001,$A55)="","",INDEX(Cálculo!$J$1:$J$1001,$A55)))</f>
        <v/>
      </c>
      <c r="R55" s="24" t="str">
        <f>IF($A55="","",IF(INDEX(Cálculo!$L$1:$L$1001,$A55)="","",INDEX(Cálculo!$L$1:$L$1001,$A55)))</f>
        <v/>
      </c>
      <c r="S55" s="22" t="str">
        <f>IF($A55="","",IF(INDEX(Registro!$J$1:$J$1001,$A55)="","",INDEX(Registro!$J$1:$J$1001,$A55)))</f>
        <v/>
      </c>
    </row>
    <row r="56" spans="1:19" ht="18" customHeight="1" x14ac:dyDescent="0.25">
      <c r="A56" s="19" t="str">
        <f>IFERROR(MOD(SMALL(Cálculo!$M$2:$M$1001,ROWS(A$8:A56)),10000),"")</f>
        <v/>
      </c>
      <c r="B56" s="20" t="str">
        <f>IF($A56="","",IF(INDEX(Registro!$B$1:$B$1001,$A56)="","",INDEX(Registro!$B$1:$B$1001,$A56)))</f>
        <v/>
      </c>
      <c r="C56" s="21" t="str">
        <f>IF($A56="","",IF(INDEX(Registro!$C$1:$C$1001,$A56)="","",INDEX(Registro!$C$1:$C$1001,$A56)))</f>
        <v/>
      </c>
      <c r="D56" s="21" t="str">
        <f>IF($A56="","",IF(INDEX(Registro!$D$1:$D$1001,$A56)="","",INDEX(Registro!$D$1:$D$1001,$A56)))</f>
        <v/>
      </c>
      <c r="E56" s="22" t="str">
        <f>IF($A56="","",IF(INDEX(Registro!$E$1:$E$1001,$A56)="","",INDEX(Registro!$E$1:$E$1001,$A56)))</f>
        <v/>
      </c>
      <c r="F56" s="23" t="str">
        <f>IF($A56="","",IF(INDEX(Cálculo!$D$1:$D$1001,$A56)="","",INDEX(Cálculo!$D$1:$D$1001,$A56)))</f>
        <v/>
      </c>
      <c r="G56" s="24" t="str">
        <f>IF($A56="","",IF(INDEX(Cálculo!$E$1:$E$1001,$A56)="","",INDEX(Cálculo!$E$1:$E$1001,$A56)))</f>
        <v/>
      </c>
      <c r="H56" s="22" t="str">
        <f>IF($A56="","",IF(INDEX(Registro!$F$1:$F$1001,$A56)="","",INDEX(Registro!$F$1:$F$1001,$A56)))</f>
        <v/>
      </c>
      <c r="I56" s="23" t="str">
        <f>IF($A56="","",IF(INDEX(Cálculo!$F$1:$F$1001,$A56)="","",INDEX(Cálculo!$F$1:$F$1001,$A56)))</f>
        <v/>
      </c>
      <c r="J56" s="24" t="str">
        <f>IF($A56="","",IF(INDEX(Cálculo!$G$1:$G$1001,$A56)="","",INDEX(Cálculo!$G$1:$G$1001,$A56)))</f>
        <v/>
      </c>
      <c r="K56" s="21" t="str">
        <f>IF($A56="","",IF(INDEX(Cálculo!$H$1:$H$1001,$A56)="","",INDEX(Cálculo!$H$1:$H$1001,$A56)))</f>
        <v/>
      </c>
      <c r="L56" s="24" t="str">
        <f>IF($A56="","",IF(INDEX(Registro!$G$1:$G$1001,$A56)="","",INDEX(Registro!$G$1:$G$1001,$A56)))</f>
        <v/>
      </c>
      <c r="M56" s="22" t="str">
        <f>IF($A56="","",IF(INDEX(Registro!$H$1:$H$1001,$A56)="","",INDEX(Registro!$H$1:$H$1001,$A56)))</f>
        <v/>
      </c>
      <c r="N56" s="24" t="str">
        <f>IF($A56="","",IF(INDEX(Cálculo!$I$1:$I$1001,$A56)="","",INDEX(Cálculo!$I$1:$I$1001,$A56)))</f>
        <v/>
      </c>
      <c r="O56" s="24" t="str">
        <f>IF($A56="","",IF(INDEX(Cálculo!$K$1:$K$1001,$A56)="","",INDEX(Cálculo!$K$1:$K$1001,$A56)))</f>
        <v/>
      </c>
      <c r="P56" s="22" t="str">
        <f>IF($A56="","",IF(INDEX(Registro!$I$1:$I$1001,$A56)="","",INDEX(Registro!$I$1:$I$1001,$A56)))</f>
        <v/>
      </c>
      <c r="Q56" s="24" t="str">
        <f>IF($A56="","",IF(INDEX(Cálculo!$J$1:$J$1001,$A56)="","",INDEX(Cálculo!$J$1:$J$1001,$A56)))</f>
        <v/>
      </c>
      <c r="R56" s="24" t="str">
        <f>IF($A56="","",IF(INDEX(Cálculo!$L$1:$L$1001,$A56)="","",INDEX(Cálculo!$L$1:$L$1001,$A56)))</f>
        <v/>
      </c>
      <c r="S56" s="22" t="str">
        <f>IF($A56="","",IF(INDEX(Registro!$J$1:$J$1001,$A56)="","",INDEX(Registro!$J$1:$J$1001,$A56)))</f>
        <v/>
      </c>
    </row>
    <row r="57" spans="1:19" ht="18" customHeight="1" x14ac:dyDescent="0.25">
      <c r="A57" s="19" t="str">
        <f>IFERROR(MOD(SMALL(Cálculo!$M$2:$M$1001,ROWS(A$8:A57)),10000),"")</f>
        <v/>
      </c>
      <c r="B57" s="20" t="str">
        <f>IF($A57="","",IF(INDEX(Registro!$B$1:$B$1001,$A57)="","",INDEX(Registro!$B$1:$B$1001,$A57)))</f>
        <v/>
      </c>
      <c r="C57" s="21" t="str">
        <f>IF($A57="","",IF(INDEX(Registro!$C$1:$C$1001,$A57)="","",INDEX(Registro!$C$1:$C$1001,$A57)))</f>
        <v/>
      </c>
      <c r="D57" s="21" t="str">
        <f>IF($A57="","",IF(INDEX(Registro!$D$1:$D$1001,$A57)="","",INDEX(Registro!$D$1:$D$1001,$A57)))</f>
        <v/>
      </c>
      <c r="E57" s="22" t="str">
        <f>IF($A57="","",IF(INDEX(Registro!$E$1:$E$1001,$A57)="","",INDEX(Registro!$E$1:$E$1001,$A57)))</f>
        <v/>
      </c>
      <c r="F57" s="23" t="str">
        <f>IF($A57="","",IF(INDEX(Cálculo!$D$1:$D$1001,$A57)="","",INDEX(Cálculo!$D$1:$D$1001,$A57)))</f>
        <v/>
      </c>
      <c r="G57" s="24" t="str">
        <f>IF($A57="","",IF(INDEX(Cálculo!$E$1:$E$1001,$A57)="","",INDEX(Cálculo!$E$1:$E$1001,$A57)))</f>
        <v/>
      </c>
      <c r="H57" s="22" t="str">
        <f>IF($A57="","",IF(INDEX(Registro!$F$1:$F$1001,$A57)="","",INDEX(Registro!$F$1:$F$1001,$A57)))</f>
        <v/>
      </c>
      <c r="I57" s="23" t="str">
        <f>IF($A57="","",IF(INDEX(Cálculo!$F$1:$F$1001,$A57)="","",INDEX(Cálculo!$F$1:$F$1001,$A57)))</f>
        <v/>
      </c>
      <c r="J57" s="24" t="str">
        <f>IF($A57="","",IF(INDEX(Cálculo!$G$1:$G$1001,$A57)="","",INDEX(Cálculo!$G$1:$G$1001,$A57)))</f>
        <v/>
      </c>
      <c r="K57" s="21" t="str">
        <f>IF($A57="","",IF(INDEX(Cálculo!$H$1:$H$1001,$A57)="","",INDEX(Cálculo!$H$1:$H$1001,$A57)))</f>
        <v/>
      </c>
      <c r="L57" s="24" t="str">
        <f>IF($A57="","",IF(INDEX(Registro!$G$1:$G$1001,$A57)="","",INDEX(Registro!$G$1:$G$1001,$A57)))</f>
        <v/>
      </c>
      <c r="M57" s="22" t="str">
        <f>IF($A57="","",IF(INDEX(Registro!$H$1:$H$1001,$A57)="","",INDEX(Registro!$H$1:$H$1001,$A57)))</f>
        <v/>
      </c>
      <c r="N57" s="24" t="str">
        <f>IF($A57="","",IF(INDEX(Cálculo!$I$1:$I$1001,$A57)="","",INDEX(Cálculo!$I$1:$I$1001,$A57)))</f>
        <v/>
      </c>
      <c r="O57" s="24" t="str">
        <f>IF($A57="","",IF(INDEX(Cálculo!$K$1:$K$1001,$A57)="","",INDEX(Cálculo!$K$1:$K$1001,$A57)))</f>
        <v/>
      </c>
      <c r="P57" s="22" t="str">
        <f>IF($A57="","",IF(INDEX(Registro!$I$1:$I$1001,$A57)="","",INDEX(Registro!$I$1:$I$1001,$A57)))</f>
        <v/>
      </c>
      <c r="Q57" s="24" t="str">
        <f>IF($A57="","",IF(INDEX(Cálculo!$J$1:$J$1001,$A57)="","",INDEX(Cálculo!$J$1:$J$1001,$A57)))</f>
        <v/>
      </c>
      <c r="R57" s="24" t="str">
        <f>IF($A57="","",IF(INDEX(Cálculo!$L$1:$L$1001,$A57)="","",INDEX(Cálculo!$L$1:$L$1001,$A57)))</f>
        <v/>
      </c>
      <c r="S57" s="22" t="str">
        <f>IF($A57="","",IF(INDEX(Registro!$J$1:$J$1001,$A57)="","",INDEX(Registro!$J$1:$J$1001,$A57)))</f>
        <v/>
      </c>
    </row>
    <row r="58" spans="1:19" ht="18" customHeight="1" x14ac:dyDescent="0.25">
      <c r="A58" s="19" t="str">
        <f>IFERROR(MOD(SMALL(Cálculo!$M$2:$M$1001,ROWS(A$8:A58)),10000),"")</f>
        <v/>
      </c>
      <c r="B58" s="20" t="str">
        <f>IF($A58="","",IF(INDEX(Registro!$B$1:$B$1001,$A58)="","",INDEX(Registro!$B$1:$B$1001,$A58)))</f>
        <v/>
      </c>
      <c r="C58" s="21" t="str">
        <f>IF($A58="","",IF(INDEX(Registro!$C$1:$C$1001,$A58)="","",INDEX(Registro!$C$1:$C$1001,$A58)))</f>
        <v/>
      </c>
      <c r="D58" s="21" t="str">
        <f>IF($A58="","",IF(INDEX(Registro!$D$1:$D$1001,$A58)="","",INDEX(Registro!$D$1:$D$1001,$A58)))</f>
        <v/>
      </c>
      <c r="E58" s="22" t="str">
        <f>IF($A58="","",IF(INDEX(Registro!$E$1:$E$1001,$A58)="","",INDEX(Registro!$E$1:$E$1001,$A58)))</f>
        <v/>
      </c>
      <c r="F58" s="23" t="str">
        <f>IF($A58="","",IF(INDEX(Cálculo!$D$1:$D$1001,$A58)="","",INDEX(Cálculo!$D$1:$D$1001,$A58)))</f>
        <v/>
      </c>
      <c r="G58" s="24" t="str">
        <f>IF($A58="","",IF(INDEX(Cálculo!$E$1:$E$1001,$A58)="","",INDEX(Cálculo!$E$1:$E$1001,$A58)))</f>
        <v/>
      </c>
      <c r="H58" s="22" t="str">
        <f>IF($A58="","",IF(INDEX(Registro!$F$1:$F$1001,$A58)="","",INDEX(Registro!$F$1:$F$1001,$A58)))</f>
        <v/>
      </c>
      <c r="I58" s="23" t="str">
        <f>IF($A58="","",IF(INDEX(Cálculo!$F$1:$F$1001,$A58)="","",INDEX(Cálculo!$F$1:$F$1001,$A58)))</f>
        <v/>
      </c>
      <c r="J58" s="24" t="str">
        <f>IF($A58="","",IF(INDEX(Cálculo!$G$1:$G$1001,$A58)="","",INDEX(Cálculo!$G$1:$G$1001,$A58)))</f>
        <v/>
      </c>
      <c r="K58" s="21" t="str">
        <f>IF($A58="","",IF(INDEX(Cálculo!$H$1:$H$1001,$A58)="","",INDEX(Cálculo!$H$1:$H$1001,$A58)))</f>
        <v/>
      </c>
      <c r="L58" s="24" t="str">
        <f>IF($A58="","",IF(INDEX(Registro!$G$1:$G$1001,$A58)="","",INDEX(Registro!$G$1:$G$1001,$A58)))</f>
        <v/>
      </c>
      <c r="M58" s="22" t="str">
        <f>IF($A58="","",IF(INDEX(Registro!$H$1:$H$1001,$A58)="","",INDEX(Registro!$H$1:$H$1001,$A58)))</f>
        <v/>
      </c>
      <c r="N58" s="24" t="str">
        <f>IF($A58="","",IF(INDEX(Cálculo!$I$1:$I$1001,$A58)="","",INDEX(Cálculo!$I$1:$I$1001,$A58)))</f>
        <v/>
      </c>
      <c r="O58" s="24" t="str">
        <f>IF($A58="","",IF(INDEX(Cálculo!$K$1:$K$1001,$A58)="","",INDEX(Cálculo!$K$1:$K$1001,$A58)))</f>
        <v/>
      </c>
      <c r="P58" s="22" t="str">
        <f>IF($A58="","",IF(INDEX(Registro!$I$1:$I$1001,$A58)="","",INDEX(Registro!$I$1:$I$1001,$A58)))</f>
        <v/>
      </c>
      <c r="Q58" s="24" t="str">
        <f>IF($A58="","",IF(INDEX(Cálculo!$J$1:$J$1001,$A58)="","",INDEX(Cálculo!$J$1:$J$1001,$A58)))</f>
        <v/>
      </c>
      <c r="R58" s="24" t="str">
        <f>IF($A58="","",IF(INDEX(Cálculo!$L$1:$L$1001,$A58)="","",INDEX(Cálculo!$L$1:$L$1001,$A58)))</f>
        <v/>
      </c>
      <c r="S58" s="22" t="str">
        <f>IF($A58="","",IF(INDEX(Registro!$J$1:$J$1001,$A58)="","",INDEX(Registro!$J$1:$J$1001,$A58)))</f>
        <v/>
      </c>
    </row>
    <row r="59" spans="1:19" ht="18" customHeight="1" x14ac:dyDescent="0.25">
      <c r="A59" s="19" t="str">
        <f>IFERROR(MOD(SMALL(Cálculo!$M$2:$M$1001,ROWS(A$8:A59)),10000),"")</f>
        <v/>
      </c>
      <c r="B59" s="20" t="str">
        <f>IF($A59="","",IF(INDEX(Registro!$B$1:$B$1001,$A59)="","",INDEX(Registro!$B$1:$B$1001,$A59)))</f>
        <v/>
      </c>
      <c r="C59" s="21" t="str">
        <f>IF($A59="","",IF(INDEX(Registro!$C$1:$C$1001,$A59)="","",INDEX(Registro!$C$1:$C$1001,$A59)))</f>
        <v/>
      </c>
      <c r="D59" s="21" t="str">
        <f>IF($A59="","",IF(INDEX(Registro!$D$1:$D$1001,$A59)="","",INDEX(Registro!$D$1:$D$1001,$A59)))</f>
        <v/>
      </c>
      <c r="E59" s="22" t="str">
        <f>IF($A59="","",IF(INDEX(Registro!$E$1:$E$1001,$A59)="","",INDEX(Registro!$E$1:$E$1001,$A59)))</f>
        <v/>
      </c>
      <c r="F59" s="23" t="str">
        <f>IF($A59="","",IF(INDEX(Cálculo!$D$1:$D$1001,$A59)="","",INDEX(Cálculo!$D$1:$D$1001,$A59)))</f>
        <v/>
      </c>
      <c r="G59" s="24" t="str">
        <f>IF($A59="","",IF(INDEX(Cálculo!$E$1:$E$1001,$A59)="","",INDEX(Cálculo!$E$1:$E$1001,$A59)))</f>
        <v/>
      </c>
      <c r="H59" s="22" t="str">
        <f>IF($A59="","",IF(INDEX(Registro!$F$1:$F$1001,$A59)="","",INDEX(Registro!$F$1:$F$1001,$A59)))</f>
        <v/>
      </c>
      <c r="I59" s="23" t="str">
        <f>IF($A59="","",IF(INDEX(Cálculo!$F$1:$F$1001,$A59)="","",INDEX(Cálculo!$F$1:$F$1001,$A59)))</f>
        <v/>
      </c>
      <c r="J59" s="24" t="str">
        <f>IF($A59="","",IF(INDEX(Cálculo!$G$1:$G$1001,$A59)="","",INDEX(Cálculo!$G$1:$G$1001,$A59)))</f>
        <v/>
      </c>
      <c r="K59" s="21" t="str">
        <f>IF($A59="","",IF(INDEX(Cálculo!$H$1:$H$1001,$A59)="","",INDEX(Cálculo!$H$1:$H$1001,$A59)))</f>
        <v/>
      </c>
      <c r="L59" s="24" t="str">
        <f>IF($A59="","",IF(INDEX(Registro!$G$1:$G$1001,$A59)="","",INDEX(Registro!$G$1:$G$1001,$A59)))</f>
        <v/>
      </c>
      <c r="M59" s="22" t="str">
        <f>IF($A59="","",IF(INDEX(Registro!$H$1:$H$1001,$A59)="","",INDEX(Registro!$H$1:$H$1001,$A59)))</f>
        <v/>
      </c>
      <c r="N59" s="24" t="str">
        <f>IF($A59="","",IF(INDEX(Cálculo!$I$1:$I$1001,$A59)="","",INDEX(Cálculo!$I$1:$I$1001,$A59)))</f>
        <v/>
      </c>
      <c r="O59" s="24" t="str">
        <f>IF($A59="","",IF(INDEX(Cálculo!$K$1:$K$1001,$A59)="","",INDEX(Cálculo!$K$1:$K$1001,$A59)))</f>
        <v/>
      </c>
      <c r="P59" s="22" t="str">
        <f>IF($A59="","",IF(INDEX(Registro!$I$1:$I$1001,$A59)="","",INDEX(Registro!$I$1:$I$1001,$A59)))</f>
        <v/>
      </c>
      <c r="Q59" s="24" t="str">
        <f>IF($A59="","",IF(INDEX(Cálculo!$J$1:$J$1001,$A59)="","",INDEX(Cálculo!$J$1:$J$1001,$A59)))</f>
        <v/>
      </c>
      <c r="R59" s="24" t="str">
        <f>IF($A59="","",IF(INDEX(Cálculo!$L$1:$L$1001,$A59)="","",INDEX(Cálculo!$L$1:$L$1001,$A59)))</f>
        <v/>
      </c>
      <c r="S59" s="22" t="str">
        <f>IF($A59="","",IF(INDEX(Registro!$J$1:$J$1001,$A59)="","",INDEX(Registro!$J$1:$J$1001,$A59)))</f>
        <v/>
      </c>
    </row>
    <row r="60" spans="1:19" ht="18" customHeight="1" x14ac:dyDescent="0.25">
      <c r="A60" s="19" t="str">
        <f>IFERROR(MOD(SMALL(Cálculo!$M$2:$M$1001,ROWS(A$8:A60)),10000),"")</f>
        <v/>
      </c>
      <c r="B60" s="20" t="str">
        <f>IF($A60="","",IF(INDEX(Registro!$B$1:$B$1001,$A60)="","",INDEX(Registro!$B$1:$B$1001,$A60)))</f>
        <v/>
      </c>
      <c r="C60" s="21" t="str">
        <f>IF($A60="","",IF(INDEX(Registro!$C$1:$C$1001,$A60)="","",INDEX(Registro!$C$1:$C$1001,$A60)))</f>
        <v/>
      </c>
      <c r="D60" s="21" t="str">
        <f>IF($A60="","",IF(INDEX(Registro!$D$1:$D$1001,$A60)="","",INDEX(Registro!$D$1:$D$1001,$A60)))</f>
        <v/>
      </c>
      <c r="E60" s="22" t="str">
        <f>IF($A60="","",IF(INDEX(Registro!$E$1:$E$1001,$A60)="","",INDEX(Registro!$E$1:$E$1001,$A60)))</f>
        <v/>
      </c>
      <c r="F60" s="23" t="str">
        <f>IF($A60="","",IF(INDEX(Cálculo!$D$1:$D$1001,$A60)="","",INDEX(Cálculo!$D$1:$D$1001,$A60)))</f>
        <v/>
      </c>
      <c r="G60" s="24" t="str">
        <f>IF($A60="","",IF(INDEX(Cálculo!$E$1:$E$1001,$A60)="","",INDEX(Cálculo!$E$1:$E$1001,$A60)))</f>
        <v/>
      </c>
      <c r="H60" s="22" t="str">
        <f>IF($A60="","",IF(INDEX(Registro!$F$1:$F$1001,$A60)="","",INDEX(Registro!$F$1:$F$1001,$A60)))</f>
        <v/>
      </c>
      <c r="I60" s="23" t="str">
        <f>IF($A60="","",IF(INDEX(Cálculo!$F$1:$F$1001,$A60)="","",INDEX(Cálculo!$F$1:$F$1001,$A60)))</f>
        <v/>
      </c>
      <c r="J60" s="24" t="str">
        <f>IF($A60="","",IF(INDEX(Cálculo!$G$1:$G$1001,$A60)="","",INDEX(Cálculo!$G$1:$G$1001,$A60)))</f>
        <v/>
      </c>
      <c r="K60" s="21" t="str">
        <f>IF($A60="","",IF(INDEX(Cálculo!$H$1:$H$1001,$A60)="","",INDEX(Cálculo!$H$1:$H$1001,$A60)))</f>
        <v/>
      </c>
      <c r="L60" s="24" t="str">
        <f>IF($A60="","",IF(INDEX(Registro!$G$1:$G$1001,$A60)="","",INDEX(Registro!$G$1:$G$1001,$A60)))</f>
        <v/>
      </c>
      <c r="M60" s="22" t="str">
        <f>IF($A60="","",IF(INDEX(Registro!$H$1:$H$1001,$A60)="","",INDEX(Registro!$H$1:$H$1001,$A60)))</f>
        <v/>
      </c>
      <c r="N60" s="24" t="str">
        <f>IF($A60="","",IF(INDEX(Cálculo!$I$1:$I$1001,$A60)="","",INDEX(Cálculo!$I$1:$I$1001,$A60)))</f>
        <v/>
      </c>
      <c r="O60" s="24" t="str">
        <f>IF($A60="","",IF(INDEX(Cálculo!$K$1:$K$1001,$A60)="","",INDEX(Cálculo!$K$1:$K$1001,$A60)))</f>
        <v/>
      </c>
      <c r="P60" s="22" t="str">
        <f>IF($A60="","",IF(INDEX(Registro!$I$1:$I$1001,$A60)="","",INDEX(Registro!$I$1:$I$1001,$A60)))</f>
        <v/>
      </c>
      <c r="Q60" s="24" t="str">
        <f>IF($A60="","",IF(INDEX(Cálculo!$J$1:$J$1001,$A60)="","",INDEX(Cálculo!$J$1:$J$1001,$A60)))</f>
        <v/>
      </c>
      <c r="R60" s="24" t="str">
        <f>IF($A60="","",IF(INDEX(Cálculo!$L$1:$L$1001,$A60)="","",INDEX(Cálculo!$L$1:$L$1001,$A60)))</f>
        <v/>
      </c>
      <c r="S60" s="22" t="str">
        <f>IF($A60="","",IF(INDEX(Registro!$J$1:$J$1001,$A60)="","",INDEX(Registro!$J$1:$J$1001,$A60)))</f>
        <v/>
      </c>
    </row>
    <row r="61" spans="1:19" ht="18" customHeight="1" x14ac:dyDescent="0.25">
      <c r="A61" s="19" t="str">
        <f>IFERROR(MOD(SMALL(Cálculo!$M$2:$M$1001,ROWS(A$8:A61)),10000),"")</f>
        <v/>
      </c>
      <c r="B61" s="20" t="str">
        <f>IF($A61="","",IF(INDEX(Registro!$B$1:$B$1001,$A61)="","",INDEX(Registro!$B$1:$B$1001,$A61)))</f>
        <v/>
      </c>
      <c r="C61" s="21" t="str">
        <f>IF($A61="","",IF(INDEX(Registro!$C$1:$C$1001,$A61)="","",INDEX(Registro!$C$1:$C$1001,$A61)))</f>
        <v/>
      </c>
      <c r="D61" s="21" t="str">
        <f>IF($A61="","",IF(INDEX(Registro!$D$1:$D$1001,$A61)="","",INDEX(Registro!$D$1:$D$1001,$A61)))</f>
        <v/>
      </c>
      <c r="E61" s="22" t="str">
        <f>IF($A61="","",IF(INDEX(Registro!$E$1:$E$1001,$A61)="","",INDEX(Registro!$E$1:$E$1001,$A61)))</f>
        <v/>
      </c>
      <c r="F61" s="23" t="str">
        <f>IF($A61="","",IF(INDEX(Cálculo!$D$1:$D$1001,$A61)="","",INDEX(Cálculo!$D$1:$D$1001,$A61)))</f>
        <v/>
      </c>
      <c r="G61" s="24" t="str">
        <f>IF($A61="","",IF(INDEX(Cálculo!$E$1:$E$1001,$A61)="","",INDEX(Cálculo!$E$1:$E$1001,$A61)))</f>
        <v/>
      </c>
      <c r="H61" s="22" t="str">
        <f>IF($A61="","",IF(INDEX(Registro!$F$1:$F$1001,$A61)="","",INDEX(Registro!$F$1:$F$1001,$A61)))</f>
        <v/>
      </c>
      <c r="I61" s="23" t="str">
        <f>IF($A61="","",IF(INDEX(Cálculo!$F$1:$F$1001,$A61)="","",INDEX(Cálculo!$F$1:$F$1001,$A61)))</f>
        <v/>
      </c>
      <c r="J61" s="24" t="str">
        <f>IF($A61="","",IF(INDEX(Cálculo!$G$1:$G$1001,$A61)="","",INDEX(Cálculo!$G$1:$G$1001,$A61)))</f>
        <v/>
      </c>
      <c r="K61" s="21" t="str">
        <f>IF($A61="","",IF(INDEX(Cálculo!$H$1:$H$1001,$A61)="","",INDEX(Cálculo!$H$1:$H$1001,$A61)))</f>
        <v/>
      </c>
      <c r="L61" s="24" t="str">
        <f>IF($A61="","",IF(INDEX(Registro!$G$1:$G$1001,$A61)="","",INDEX(Registro!$G$1:$G$1001,$A61)))</f>
        <v/>
      </c>
      <c r="M61" s="22" t="str">
        <f>IF($A61="","",IF(INDEX(Registro!$H$1:$H$1001,$A61)="","",INDEX(Registro!$H$1:$H$1001,$A61)))</f>
        <v/>
      </c>
      <c r="N61" s="24" t="str">
        <f>IF($A61="","",IF(INDEX(Cálculo!$I$1:$I$1001,$A61)="","",INDEX(Cálculo!$I$1:$I$1001,$A61)))</f>
        <v/>
      </c>
      <c r="O61" s="24" t="str">
        <f>IF($A61="","",IF(INDEX(Cálculo!$K$1:$K$1001,$A61)="","",INDEX(Cálculo!$K$1:$K$1001,$A61)))</f>
        <v/>
      </c>
      <c r="P61" s="22" t="str">
        <f>IF($A61="","",IF(INDEX(Registro!$I$1:$I$1001,$A61)="","",INDEX(Registro!$I$1:$I$1001,$A61)))</f>
        <v/>
      </c>
      <c r="Q61" s="24" t="str">
        <f>IF($A61="","",IF(INDEX(Cálculo!$J$1:$J$1001,$A61)="","",INDEX(Cálculo!$J$1:$J$1001,$A61)))</f>
        <v/>
      </c>
      <c r="R61" s="24" t="str">
        <f>IF($A61="","",IF(INDEX(Cálculo!$L$1:$L$1001,$A61)="","",INDEX(Cálculo!$L$1:$L$1001,$A61)))</f>
        <v/>
      </c>
      <c r="S61" s="22" t="str">
        <f>IF($A61="","",IF(INDEX(Registro!$J$1:$J$1001,$A61)="","",INDEX(Registro!$J$1:$J$1001,$A61)))</f>
        <v/>
      </c>
    </row>
    <row r="62" spans="1:19" ht="18" customHeight="1" x14ac:dyDescent="0.25">
      <c r="A62" s="19" t="str">
        <f>IFERROR(MOD(SMALL(Cálculo!$M$2:$M$1001,ROWS(A$8:A62)),10000),"")</f>
        <v/>
      </c>
      <c r="B62" s="20" t="str">
        <f>IF($A62="","",IF(INDEX(Registro!$B$1:$B$1001,$A62)="","",INDEX(Registro!$B$1:$B$1001,$A62)))</f>
        <v/>
      </c>
      <c r="C62" s="21" t="str">
        <f>IF($A62="","",IF(INDEX(Registro!$C$1:$C$1001,$A62)="","",INDEX(Registro!$C$1:$C$1001,$A62)))</f>
        <v/>
      </c>
      <c r="D62" s="21" t="str">
        <f>IF($A62="","",IF(INDEX(Registro!$D$1:$D$1001,$A62)="","",INDEX(Registro!$D$1:$D$1001,$A62)))</f>
        <v/>
      </c>
      <c r="E62" s="22" t="str">
        <f>IF($A62="","",IF(INDEX(Registro!$E$1:$E$1001,$A62)="","",INDEX(Registro!$E$1:$E$1001,$A62)))</f>
        <v/>
      </c>
      <c r="F62" s="23" t="str">
        <f>IF($A62="","",IF(INDEX(Cálculo!$D$1:$D$1001,$A62)="","",INDEX(Cálculo!$D$1:$D$1001,$A62)))</f>
        <v/>
      </c>
      <c r="G62" s="24" t="str">
        <f>IF($A62="","",IF(INDEX(Cálculo!$E$1:$E$1001,$A62)="","",INDEX(Cálculo!$E$1:$E$1001,$A62)))</f>
        <v/>
      </c>
      <c r="H62" s="22" t="str">
        <f>IF($A62="","",IF(INDEX(Registro!$F$1:$F$1001,$A62)="","",INDEX(Registro!$F$1:$F$1001,$A62)))</f>
        <v/>
      </c>
      <c r="I62" s="23" t="str">
        <f>IF($A62="","",IF(INDEX(Cálculo!$F$1:$F$1001,$A62)="","",INDEX(Cálculo!$F$1:$F$1001,$A62)))</f>
        <v/>
      </c>
      <c r="J62" s="24" t="str">
        <f>IF($A62="","",IF(INDEX(Cálculo!$G$1:$G$1001,$A62)="","",INDEX(Cálculo!$G$1:$G$1001,$A62)))</f>
        <v/>
      </c>
      <c r="K62" s="21" t="str">
        <f>IF($A62="","",IF(INDEX(Cálculo!$H$1:$H$1001,$A62)="","",INDEX(Cálculo!$H$1:$H$1001,$A62)))</f>
        <v/>
      </c>
      <c r="L62" s="24" t="str">
        <f>IF($A62="","",IF(INDEX(Registro!$G$1:$G$1001,$A62)="","",INDEX(Registro!$G$1:$G$1001,$A62)))</f>
        <v/>
      </c>
      <c r="M62" s="22" t="str">
        <f>IF($A62="","",IF(INDEX(Registro!$H$1:$H$1001,$A62)="","",INDEX(Registro!$H$1:$H$1001,$A62)))</f>
        <v/>
      </c>
      <c r="N62" s="24" t="str">
        <f>IF($A62="","",IF(INDEX(Cálculo!$I$1:$I$1001,$A62)="","",INDEX(Cálculo!$I$1:$I$1001,$A62)))</f>
        <v/>
      </c>
      <c r="O62" s="24" t="str">
        <f>IF($A62="","",IF(INDEX(Cálculo!$K$1:$K$1001,$A62)="","",INDEX(Cálculo!$K$1:$K$1001,$A62)))</f>
        <v/>
      </c>
      <c r="P62" s="22" t="str">
        <f>IF($A62="","",IF(INDEX(Registro!$I$1:$I$1001,$A62)="","",INDEX(Registro!$I$1:$I$1001,$A62)))</f>
        <v/>
      </c>
      <c r="Q62" s="24" t="str">
        <f>IF($A62="","",IF(INDEX(Cálculo!$J$1:$J$1001,$A62)="","",INDEX(Cálculo!$J$1:$J$1001,$A62)))</f>
        <v/>
      </c>
      <c r="R62" s="24" t="str">
        <f>IF($A62="","",IF(INDEX(Cálculo!$L$1:$L$1001,$A62)="","",INDEX(Cálculo!$L$1:$L$1001,$A62)))</f>
        <v/>
      </c>
      <c r="S62" s="22" t="str">
        <f>IF($A62="","",IF(INDEX(Registro!$J$1:$J$1001,$A62)="","",INDEX(Registro!$J$1:$J$1001,$A62)))</f>
        <v/>
      </c>
    </row>
    <row r="63" spans="1:19" ht="18" customHeight="1" x14ac:dyDescent="0.25">
      <c r="A63" s="19" t="str">
        <f>IFERROR(MOD(SMALL(Cálculo!$M$2:$M$1001,ROWS(A$8:A63)),10000),"")</f>
        <v/>
      </c>
      <c r="B63" s="20" t="str">
        <f>IF($A63="","",IF(INDEX(Registro!$B$1:$B$1001,$A63)="","",INDEX(Registro!$B$1:$B$1001,$A63)))</f>
        <v/>
      </c>
      <c r="C63" s="21" t="str">
        <f>IF($A63="","",IF(INDEX(Registro!$C$1:$C$1001,$A63)="","",INDEX(Registro!$C$1:$C$1001,$A63)))</f>
        <v/>
      </c>
      <c r="D63" s="21" t="str">
        <f>IF($A63="","",IF(INDEX(Registro!$D$1:$D$1001,$A63)="","",INDEX(Registro!$D$1:$D$1001,$A63)))</f>
        <v/>
      </c>
      <c r="E63" s="22" t="str">
        <f>IF($A63="","",IF(INDEX(Registro!$E$1:$E$1001,$A63)="","",INDEX(Registro!$E$1:$E$1001,$A63)))</f>
        <v/>
      </c>
      <c r="F63" s="23" t="str">
        <f>IF($A63="","",IF(INDEX(Cálculo!$D$1:$D$1001,$A63)="","",INDEX(Cálculo!$D$1:$D$1001,$A63)))</f>
        <v/>
      </c>
      <c r="G63" s="24" t="str">
        <f>IF($A63="","",IF(INDEX(Cálculo!$E$1:$E$1001,$A63)="","",INDEX(Cálculo!$E$1:$E$1001,$A63)))</f>
        <v/>
      </c>
      <c r="H63" s="22" t="str">
        <f>IF($A63="","",IF(INDEX(Registro!$F$1:$F$1001,$A63)="","",INDEX(Registro!$F$1:$F$1001,$A63)))</f>
        <v/>
      </c>
      <c r="I63" s="23" t="str">
        <f>IF($A63="","",IF(INDEX(Cálculo!$F$1:$F$1001,$A63)="","",INDEX(Cálculo!$F$1:$F$1001,$A63)))</f>
        <v/>
      </c>
      <c r="J63" s="24" t="str">
        <f>IF($A63="","",IF(INDEX(Cálculo!$G$1:$G$1001,$A63)="","",INDEX(Cálculo!$G$1:$G$1001,$A63)))</f>
        <v/>
      </c>
      <c r="K63" s="21" t="str">
        <f>IF($A63="","",IF(INDEX(Cálculo!$H$1:$H$1001,$A63)="","",INDEX(Cálculo!$H$1:$H$1001,$A63)))</f>
        <v/>
      </c>
      <c r="L63" s="24" t="str">
        <f>IF($A63="","",IF(INDEX(Registro!$G$1:$G$1001,$A63)="","",INDEX(Registro!$G$1:$G$1001,$A63)))</f>
        <v/>
      </c>
      <c r="M63" s="22" t="str">
        <f>IF($A63="","",IF(INDEX(Registro!$H$1:$H$1001,$A63)="","",INDEX(Registro!$H$1:$H$1001,$A63)))</f>
        <v/>
      </c>
      <c r="N63" s="24" t="str">
        <f>IF($A63="","",IF(INDEX(Cálculo!$I$1:$I$1001,$A63)="","",INDEX(Cálculo!$I$1:$I$1001,$A63)))</f>
        <v/>
      </c>
      <c r="O63" s="24" t="str">
        <f>IF($A63="","",IF(INDEX(Cálculo!$K$1:$K$1001,$A63)="","",INDEX(Cálculo!$K$1:$K$1001,$A63)))</f>
        <v/>
      </c>
      <c r="P63" s="22" t="str">
        <f>IF($A63="","",IF(INDEX(Registro!$I$1:$I$1001,$A63)="","",INDEX(Registro!$I$1:$I$1001,$A63)))</f>
        <v/>
      </c>
      <c r="Q63" s="24" t="str">
        <f>IF($A63="","",IF(INDEX(Cálculo!$J$1:$J$1001,$A63)="","",INDEX(Cálculo!$J$1:$J$1001,$A63)))</f>
        <v/>
      </c>
      <c r="R63" s="24" t="str">
        <f>IF($A63="","",IF(INDEX(Cálculo!$L$1:$L$1001,$A63)="","",INDEX(Cálculo!$L$1:$L$1001,$A63)))</f>
        <v/>
      </c>
      <c r="S63" s="22" t="str">
        <f>IF($A63="","",IF(INDEX(Registro!$J$1:$J$1001,$A63)="","",INDEX(Registro!$J$1:$J$1001,$A63)))</f>
        <v/>
      </c>
    </row>
    <row r="64" spans="1:19" ht="18" customHeight="1" x14ac:dyDescent="0.25">
      <c r="A64" s="19" t="str">
        <f>IFERROR(MOD(SMALL(Cálculo!$M$2:$M$1001,ROWS(A$8:A64)),10000),"")</f>
        <v/>
      </c>
      <c r="B64" s="20" t="str">
        <f>IF($A64="","",IF(INDEX(Registro!$B$1:$B$1001,$A64)="","",INDEX(Registro!$B$1:$B$1001,$A64)))</f>
        <v/>
      </c>
      <c r="C64" s="21" t="str">
        <f>IF($A64="","",IF(INDEX(Registro!$C$1:$C$1001,$A64)="","",INDEX(Registro!$C$1:$C$1001,$A64)))</f>
        <v/>
      </c>
      <c r="D64" s="21" t="str">
        <f>IF($A64="","",IF(INDEX(Registro!$D$1:$D$1001,$A64)="","",INDEX(Registro!$D$1:$D$1001,$A64)))</f>
        <v/>
      </c>
      <c r="E64" s="22" t="str">
        <f>IF($A64="","",IF(INDEX(Registro!$E$1:$E$1001,$A64)="","",INDEX(Registro!$E$1:$E$1001,$A64)))</f>
        <v/>
      </c>
      <c r="F64" s="23" t="str">
        <f>IF($A64="","",IF(INDEX(Cálculo!$D$1:$D$1001,$A64)="","",INDEX(Cálculo!$D$1:$D$1001,$A64)))</f>
        <v/>
      </c>
      <c r="G64" s="24" t="str">
        <f>IF($A64="","",IF(INDEX(Cálculo!$E$1:$E$1001,$A64)="","",INDEX(Cálculo!$E$1:$E$1001,$A64)))</f>
        <v/>
      </c>
      <c r="H64" s="22" t="str">
        <f>IF($A64="","",IF(INDEX(Registro!$F$1:$F$1001,$A64)="","",INDEX(Registro!$F$1:$F$1001,$A64)))</f>
        <v/>
      </c>
      <c r="I64" s="23" t="str">
        <f>IF($A64="","",IF(INDEX(Cálculo!$F$1:$F$1001,$A64)="","",INDEX(Cálculo!$F$1:$F$1001,$A64)))</f>
        <v/>
      </c>
      <c r="J64" s="24" t="str">
        <f>IF($A64="","",IF(INDEX(Cálculo!$G$1:$G$1001,$A64)="","",INDEX(Cálculo!$G$1:$G$1001,$A64)))</f>
        <v/>
      </c>
      <c r="K64" s="21" t="str">
        <f>IF($A64="","",IF(INDEX(Cálculo!$H$1:$H$1001,$A64)="","",INDEX(Cálculo!$H$1:$H$1001,$A64)))</f>
        <v/>
      </c>
      <c r="L64" s="24" t="str">
        <f>IF($A64="","",IF(INDEX(Registro!$G$1:$G$1001,$A64)="","",INDEX(Registro!$G$1:$G$1001,$A64)))</f>
        <v/>
      </c>
      <c r="M64" s="22" t="str">
        <f>IF($A64="","",IF(INDEX(Registro!$H$1:$H$1001,$A64)="","",INDEX(Registro!$H$1:$H$1001,$A64)))</f>
        <v/>
      </c>
      <c r="N64" s="24" t="str">
        <f>IF($A64="","",IF(INDEX(Cálculo!$I$1:$I$1001,$A64)="","",INDEX(Cálculo!$I$1:$I$1001,$A64)))</f>
        <v/>
      </c>
      <c r="O64" s="24" t="str">
        <f>IF($A64="","",IF(INDEX(Cálculo!$K$1:$K$1001,$A64)="","",INDEX(Cálculo!$K$1:$K$1001,$A64)))</f>
        <v/>
      </c>
      <c r="P64" s="22" t="str">
        <f>IF($A64="","",IF(INDEX(Registro!$I$1:$I$1001,$A64)="","",INDEX(Registro!$I$1:$I$1001,$A64)))</f>
        <v/>
      </c>
      <c r="Q64" s="24" t="str">
        <f>IF($A64="","",IF(INDEX(Cálculo!$J$1:$J$1001,$A64)="","",INDEX(Cálculo!$J$1:$J$1001,$A64)))</f>
        <v/>
      </c>
      <c r="R64" s="24" t="str">
        <f>IF($A64="","",IF(INDEX(Cálculo!$L$1:$L$1001,$A64)="","",INDEX(Cálculo!$L$1:$L$1001,$A64)))</f>
        <v/>
      </c>
      <c r="S64" s="22" t="str">
        <f>IF($A64="","",IF(INDEX(Registro!$J$1:$J$1001,$A64)="","",INDEX(Registro!$J$1:$J$1001,$A64)))</f>
        <v/>
      </c>
    </row>
    <row r="65" spans="1:19" ht="18" customHeight="1" x14ac:dyDescent="0.25">
      <c r="A65" s="19" t="str">
        <f>IFERROR(MOD(SMALL(Cálculo!$M$2:$M$1001,ROWS(A$8:A65)),10000),"")</f>
        <v/>
      </c>
      <c r="B65" s="20" t="str">
        <f>IF($A65="","",IF(INDEX(Registro!$B$1:$B$1001,$A65)="","",INDEX(Registro!$B$1:$B$1001,$A65)))</f>
        <v/>
      </c>
      <c r="C65" s="21" t="str">
        <f>IF($A65="","",IF(INDEX(Registro!$C$1:$C$1001,$A65)="","",INDEX(Registro!$C$1:$C$1001,$A65)))</f>
        <v/>
      </c>
      <c r="D65" s="21" t="str">
        <f>IF($A65="","",IF(INDEX(Registro!$D$1:$D$1001,$A65)="","",INDEX(Registro!$D$1:$D$1001,$A65)))</f>
        <v/>
      </c>
      <c r="E65" s="22" t="str">
        <f>IF($A65="","",IF(INDEX(Registro!$E$1:$E$1001,$A65)="","",INDEX(Registro!$E$1:$E$1001,$A65)))</f>
        <v/>
      </c>
      <c r="F65" s="23" t="str">
        <f>IF($A65="","",IF(INDEX(Cálculo!$D$1:$D$1001,$A65)="","",INDEX(Cálculo!$D$1:$D$1001,$A65)))</f>
        <v/>
      </c>
      <c r="G65" s="24" t="str">
        <f>IF($A65="","",IF(INDEX(Cálculo!$E$1:$E$1001,$A65)="","",INDEX(Cálculo!$E$1:$E$1001,$A65)))</f>
        <v/>
      </c>
      <c r="H65" s="22" t="str">
        <f>IF($A65="","",IF(INDEX(Registro!$F$1:$F$1001,$A65)="","",INDEX(Registro!$F$1:$F$1001,$A65)))</f>
        <v/>
      </c>
      <c r="I65" s="23" t="str">
        <f>IF($A65="","",IF(INDEX(Cálculo!$F$1:$F$1001,$A65)="","",INDEX(Cálculo!$F$1:$F$1001,$A65)))</f>
        <v/>
      </c>
      <c r="J65" s="24" t="str">
        <f>IF($A65="","",IF(INDEX(Cálculo!$G$1:$G$1001,$A65)="","",INDEX(Cálculo!$G$1:$G$1001,$A65)))</f>
        <v/>
      </c>
      <c r="K65" s="21" t="str">
        <f>IF($A65="","",IF(INDEX(Cálculo!$H$1:$H$1001,$A65)="","",INDEX(Cálculo!$H$1:$H$1001,$A65)))</f>
        <v/>
      </c>
      <c r="L65" s="24" t="str">
        <f>IF($A65="","",IF(INDEX(Registro!$G$1:$G$1001,$A65)="","",INDEX(Registro!$G$1:$G$1001,$A65)))</f>
        <v/>
      </c>
      <c r="M65" s="22" t="str">
        <f>IF($A65="","",IF(INDEX(Registro!$H$1:$H$1001,$A65)="","",INDEX(Registro!$H$1:$H$1001,$A65)))</f>
        <v/>
      </c>
      <c r="N65" s="24" t="str">
        <f>IF($A65="","",IF(INDEX(Cálculo!$I$1:$I$1001,$A65)="","",INDEX(Cálculo!$I$1:$I$1001,$A65)))</f>
        <v/>
      </c>
      <c r="O65" s="24" t="str">
        <f>IF($A65="","",IF(INDEX(Cálculo!$K$1:$K$1001,$A65)="","",INDEX(Cálculo!$K$1:$K$1001,$A65)))</f>
        <v/>
      </c>
      <c r="P65" s="22" t="str">
        <f>IF($A65="","",IF(INDEX(Registro!$I$1:$I$1001,$A65)="","",INDEX(Registro!$I$1:$I$1001,$A65)))</f>
        <v/>
      </c>
      <c r="Q65" s="24" t="str">
        <f>IF($A65="","",IF(INDEX(Cálculo!$J$1:$J$1001,$A65)="","",INDEX(Cálculo!$J$1:$J$1001,$A65)))</f>
        <v/>
      </c>
      <c r="R65" s="24" t="str">
        <f>IF($A65="","",IF(INDEX(Cálculo!$L$1:$L$1001,$A65)="","",INDEX(Cálculo!$L$1:$L$1001,$A65)))</f>
        <v/>
      </c>
      <c r="S65" s="22" t="str">
        <f>IF($A65="","",IF(INDEX(Registro!$J$1:$J$1001,$A65)="","",INDEX(Registro!$J$1:$J$1001,$A65)))</f>
        <v/>
      </c>
    </row>
    <row r="66" spans="1:19" ht="18" customHeight="1" x14ac:dyDescent="0.25">
      <c r="A66" s="19" t="str">
        <f>IFERROR(MOD(SMALL(Cálculo!$M$2:$M$1001,ROWS(A$8:A66)),10000),"")</f>
        <v/>
      </c>
      <c r="B66" s="20" t="str">
        <f>IF($A66="","",IF(INDEX(Registro!$B$1:$B$1001,$A66)="","",INDEX(Registro!$B$1:$B$1001,$A66)))</f>
        <v/>
      </c>
      <c r="C66" s="21" t="str">
        <f>IF($A66="","",IF(INDEX(Registro!$C$1:$C$1001,$A66)="","",INDEX(Registro!$C$1:$C$1001,$A66)))</f>
        <v/>
      </c>
      <c r="D66" s="21" t="str">
        <f>IF($A66="","",IF(INDEX(Registro!$D$1:$D$1001,$A66)="","",INDEX(Registro!$D$1:$D$1001,$A66)))</f>
        <v/>
      </c>
      <c r="E66" s="22" t="str">
        <f>IF($A66="","",IF(INDEX(Registro!$E$1:$E$1001,$A66)="","",INDEX(Registro!$E$1:$E$1001,$A66)))</f>
        <v/>
      </c>
      <c r="F66" s="23" t="str">
        <f>IF($A66="","",IF(INDEX(Cálculo!$D$1:$D$1001,$A66)="","",INDEX(Cálculo!$D$1:$D$1001,$A66)))</f>
        <v/>
      </c>
      <c r="G66" s="24" t="str">
        <f>IF($A66="","",IF(INDEX(Cálculo!$E$1:$E$1001,$A66)="","",INDEX(Cálculo!$E$1:$E$1001,$A66)))</f>
        <v/>
      </c>
      <c r="H66" s="22" t="str">
        <f>IF($A66="","",IF(INDEX(Registro!$F$1:$F$1001,$A66)="","",INDEX(Registro!$F$1:$F$1001,$A66)))</f>
        <v/>
      </c>
      <c r="I66" s="23" t="str">
        <f>IF($A66="","",IF(INDEX(Cálculo!$F$1:$F$1001,$A66)="","",INDEX(Cálculo!$F$1:$F$1001,$A66)))</f>
        <v/>
      </c>
      <c r="J66" s="24" t="str">
        <f>IF($A66="","",IF(INDEX(Cálculo!$G$1:$G$1001,$A66)="","",INDEX(Cálculo!$G$1:$G$1001,$A66)))</f>
        <v/>
      </c>
      <c r="K66" s="21" t="str">
        <f>IF($A66="","",IF(INDEX(Cálculo!$H$1:$H$1001,$A66)="","",INDEX(Cálculo!$H$1:$H$1001,$A66)))</f>
        <v/>
      </c>
      <c r="L66" s="24" t="str">
        <f>IF($A66="","",IF(INDEX(Registro!$G$1:$G$1001,$A66)="","",INDEX(Registro!$G$1:$G$1001,$A66)))</f>
        <v/>
      </c>
      <c r="M66" s="22" t="str">
        <f>IF($A66="","",IF(INDEX(Registro!$H$1:$H$1001,$A66)="","",INDEX(Registro!$H$1:$H$1001,$A66)))</f>
        <v/>
      </c>
      <c r="N66" s="24" t="str">
        <f>IF($A66="","",IF(INDEX(Cálculo!$I$1:$I$1001,$A66)="","",INDEX(Cálculo!$I$1:$I$1001,$A66)))</f>
        <v/>
      </c>
      <c r="O66" s="24" t="str">
        <f>IF($A66="","",IF(INDEX(Cálculo!$K$1:$K$1001,$A66)="","",INDEX(Cálculo!$K$1:$K$1001,$A66)))</f>
        <v/>
      </c>
      <c r="P66" s="22" t="str">
        <f>IF($A66="","",IF(INDEX(Registro!$I$1:$I$1001,$A66)="","",INDEX(Registro!$I$1:$I$1001,$A66)))</f>
        <v/>
      </c>
      <c r="Q66" s="24" t="str">
        <f>IF($A66="","",IF(INDEX(Cálculo!$J$1:$J$1001,$A66)="","",INDEX(Cálculo!$J$1:$J$1001,$A66)))</f>
        <v/>
      </c>
      <c r="R66" s="24" t="str">
        <f>IF($A66="","",IF(INDEX(Cálculo!$L$1:$L$1001,$A66)="","",INDEX(Cálculo!$L$1:$L$1001,$A66)))</f>
        <v/>
      </c>
      <c r="S66" s="22" t="str">
        <f>IF($A66="","",IF(INDEX(Registro!$J$1:$J$1001,$A66)="","",INDEX(Registro!$J$1:$J$1001,$A66)))</f>
        <v/>
      </c>
    </row>
    <row r="67" spans="1:19" ht="18" customHeight="1" x14ac:dyDescent="0.25">
      <c r="A67" s="19" t="str">
        <f>IFERROR(MOD(SMALL(Cálculo!$M$2:$M$1001,ROWS(A$8:A67)),10000),"")</f>
        <v/>
      </c>
      <c r="B67" s="20" t="str">
        <f>IF($A67="","",IF(INDEX(Registro!$B$1:$B$1001,$A67)="","",INDEX(Registro!$B$1:$B$1001,$A67)))</f>
        <v/>
      </c>
      <c r="C67" s="21" t="str">
        <f>IF($A67="","",IF(INDEX(Registro!$C$1:$C$1001,$A67)="","",INDEX(Registro!$C$1:$C$1001,$A67)))</f>
        <v/>
      </c>
      <c r="D67" s="21" t="str">
        <f>IF($A67="","",IF(INDEX(Registro!$D$1:$D$1001,$A67)="","",INDEX(Registro!$D$1:$D$1001,$A67)))</f>
        <v/>
      </c>
      <c r="E67" s="22" t="str">
        <f>IF($A67="","",IF(INDEX(Registro!$E$1:$E$1001,$A67)="","",INDEX(Registro!$E$1:$E$1001,$A67)))</f>
        <v/>
      </c>
      <c r="F67" s="23" t="str">
        <f>IF($A67="","",IF(INDEX(Cálculo!$D$1:$D$1001,$A67)="","",INDEX(Cálculo!$D$1:$D$1001,$A67)))</f>
        <v/>
      </c>
      <c r="G67" s="24" t="str">
        <f>IF($A67="","",IF(INDEX(Cálculo!$E$1:$E$1001,$A67)="","",INDEX(Cálculo!$E$1:$E$1001,$A67)))</f>
        <v/>
      </c>
      <c r="H67" s="22" t="str">
        <f>IF($A67="","",IF(INDEX(Registro!$F$1:$F$1001,$A67)="","",INDEX(Registro!$F$1:$F$1001,$A67)))</f>
        <v/>
      </c>
      <c r="I67" s="23" t="str">
        <f>IF($A67="","",IF(INDEX(Cálculo!$F$1:$F$1001,$A67)="","",INDEX(Cálculo!$F$1:$F$1001,$A67)))</f>
        <v/>
      </c>
      <c r="J67" s="24" t="str">
        <f>IF($A67="","",IF(INDEX(Cálculo!$G$1:$G$1001,$A67)="","",INDEX(Cálculo!$G$1:$G$1001,$A67)))</f>
        <v/>
      </c>
      <c r="K67" s="21" t="str">
        <f>IF($A67="","",IF(INDEX(Cálculo!$H$1:$H$1001,$A67)="","",INDEX(Cálculo!$H$1:$H$1001,$A67)))</f>
        <v/>
      </c>
      <c r="L67" s="24" t="str">
        <f>IF($A67="","",IF(INDEX(Registro!$G$1:$G$1001,$A67)="","",INDEX(Registro!$G$1:$G$1001,$A67)))</f>
        <v/>
      </c>
      <c r="M67" s="22" t="str">
        <f>IF($A67="","",IF(INDEX(Registro!$H$1:$H$1001,$A67)="","",INDEX(Registro!$H$1:$H$1001,$A67)))</f>
        <v/>
      </c>
      <c r="N67" s="24" t="str">
        <f>IF($A67="","",IF(INDEX(Cálculo!$I$1:$I$1001,$A67)="","",INDEX(Cálculo!$I$1:$I$1001,$A67)))</f>
        <v/>
      </c>
      <c r="O67" s="24" t="str">
        <f>IF($A67="","",IF(INDEX(Cálculo!$K$1:$K$1001,$A67)="","",INDEX(Cálculo!$K$1:$K$1001,$A67)))</f>
        <v/>
      </c>
      <c r="P67" s="22" t="str">
        <f>IF($A67="","",IF(INDEX(Registro!$I$1:$I$1001,$A67)="","",INDEX(Registro!$I$1:$I$1001,$A67)))</f>
        <v/>
      </c>
      <c r="Q67" s="24" t="str">
        <f>IF($A67="","",IF(INDEX(Cálculo!$J$1:$J$1001,$A67)="","",INDEX(Cálculo!$J$1:$J$1001,$A67)))</f>
        <v/>
      </c>
      <c r="R67" s="24" t="str">
        <f>IF($A67="","",IF(INDEX(Cálculo!$L$1:$L$1001,$A67)="","",INDEX(Cálculo!$L$1:$L$1001,$A67)))</f>
        <v/>
      </c>
      <c r="S67" s="22" t="str">
        <f>IF($A67="","",IF(INDEX(Registro!$J$1:$J$1001,$A67)="","",INDEX(Registro!$J$1:$J$1001,$A67)))</f>
        <v/>
      </c>
    </row>
    <row r="68" spans="1:19" ht="18" customHeight="1" x14ac:dyDescent="0.25">
      <c r="A68" s="19" t="str">
        <f>IFERROR(MOD(SMALL(Cálculo!$M$2:$M$1001,ROWS(A$8:A68)),10000),"")</f>
        <v/>
      </c>
      <c r="B68" s="20" t="str">
        <f>IF($A68="","",IF(INDEX(Registro!$B$1:$B$1001,$A68)="","",INDEX(Registro!$B$1:$B$1001,$A68)))</f>
        <v/>
      </c>
      <c r="C68" s="21" t="str">
        <f>IF($A68="","",IF(INDEX(Registro!$C$1:$C$1001,$A68)="","",INDEX(Registro!$C$1:$C$1001,$A68)))</f>
        <v/>
      </c>
      <c r="D68" s="21" t="str">
        <f>IF($A68="","",IF(INDEX(Registro!$D$1:$D$1001,$A68)="","",INDEX(Registro!$D$1:$D$1001,$A68)))</f>
        <v/>
      </c>
      <c r="E68" s="22" t="str">
        <f>IF($A68="","",IF(INDEX(Registro!$E$1:$E$1001,$A68)="","",INDEX(Registro!$E$1:$E$1001,$A68)))</f>
        <v/>
      </c>
      <c r="F68" s="23" t="str">
        <f>IF($A68="","",IF(INDEX(Cálculo!$D$1:$D$1001,$A68)="","",INDEX(Cálculo!$D$1:$D$1001,$A68)))</f>
        <v/>
      </c>
      <c r="G68" s="24" t="str">
        <f>IF($A68="","",IF(INDEX(Cálculo!$E$1:$E$1001,$A68)="","",INDEX(Cálculo!$E$1:$E$1001,$A68)))</f>
        <v/>
      </c>
      <c r="H68" s="22" t="str">
        <f>IF($A68="","",IF(INDEX(Registro!$F$1:$F$1001,$A68)="","",INDEX(Registro!$F$1:$F$1001,$A68)))</f>
        <v/>
      </c>
      <c r="I68" s="23" t="str">
        <f>IF($A68="","",IF(INDEX(Cálculo!$F$1:$F$1001,$A68)="","",INDEX(Cálculo!$F$1:$F$1001,$A68)))</f>
        <v/>
      </c>
      <c r="J68" s="24" t="str">
        <f>IF($A68="","",IF(INDEX(Cálculo!$G$1:$G$1001,$A68)="","",INDEX(Cálculo!$G$1:$G$1001,$A68)))</f>
        <v/>
      </c>
      <c r="K68" s="21" t="str">
        <f>IF($A68="","",IF(INDEX(Cálculo!$H$1:$H$1001,$A68)="","",INDEX(Cálculo!$H$1:$H$1001,$A68)))</f>
        <v/>
      </c>
      <c r="L68" s="24" t="str">
        <f>IF($A68="","",IF(INDEX(Registro!$G$1:$G$1001,$A68)="","",INDEX(Registro!$G$1:$G$1001,$A68)))</f>
        <v/>
      </c>
      <c r="M68" s="22" t="str">
        <f>IF($A68="","",IF(INDEX(Registro!$H$1:$H$1001,$A68)="","",INDEX(Registro!$H$1:$H$1001,$A68)))</f>
        <v/>
      </c>
      <c r="N68" s="24" t="str">
        <f>IF($A68="","",IF(INDEX(Cálculo!$I$1:$I$1001,$A68)="","",INDEX(Cálculo!$I$1:$I$1001,$A68)))</f>
        <v/>
      </c>
      <c r="O68" s="24" t="str">
        <f>IF($A68="","",IF(INDEX(Cálculo!$K$1:$K$1001,$A68)="","",INDEX(Cálculo!$K$1:$K$1001,$A68)))</f>
        <v/>
      </c>
      <c r="P68" s="22" t="str">
        <f>IF($A68="","",IF(INDEX(Registro!$I$1:$I$1001,$A68)="","",INDEX(Registro!$I$1:$I$1001,$A68)))</f>
        <v/>
      </c>
      <c r="Q68" s="24" t="str">
        <f>IF($A68="","",IF(INDEX(Cálculo!$J$1:$J$1001,$A68)="","",INDEX(Cálculo!$J$1:$J$1001,$A68)))</f>
        <v/>
      </c>
      <c r="R68" s="24" t="str">
        <f>IF($A68="","",IF(INDEX(Cálculo!$L$1:$L$1001,$A68)="","",INDEX(Cálculo!$L$1:$L$1001,$A68)))</f>
        <v/>
      </c>
      <c r="S68" s="22" t="str">
        <f>IF($A68="","",IF(INDEX(Registro!$J$1:$J$1001,$A68)="","",INDEX(Registro!$J$1:$J$1001,$A68)))</f>
        <v/>
      </c>
    </row>
    <row r="69" spans="1:19" ht="18" customHeight="1" x14ac:dyDescent="0.25">
      <c r="A69" s="19" t="str">
        <f>IFERROR(MOD(SMALL(Cálculo!$M$2:$M$1001,ROWS(A$8:A69)),10000),"")</f>
        <v/>
      </c>
      <c r="B69" s="20" t="str">
        <f>IF($A69="","",IF(INDEX(Registro!$B$1:$B$1001,$A69)="","",INDEX(Registro!$B$1:$B$1001,$A69)))</f>
        <v/>
      </c>
      <c r="C69" s="21" t="str">
        <f>IF($A69="","",IF(INDEX(Registro!$C$1:$C$1001,$A69)="","",INDEX(Registro!$C$1:$C$1001,$A69)))</f>
        <v/>
      </c>
      <c r="D69" s="21" t="str">
        <f>IF($A69="","",IF(INDEX(Registro!$D$1:$D$1001,$A69)="","",INDEX(Registro!$D$1:$D$1001,$A69)))</f>
        <v/>
      </c>
      <c r="E69" s="22" t="str">
        <f>IF($A69="","",IF(INDEX(Registro!$E$1:$E$1001,$A69)="","",INDEX(Registro!$E$1:$E$1001,$A69)))</f>
        <v/>
      </c>
      <c r="F69" s="23" t="str">
        <f>IF($A69="","",IF(INDEX(Cálculo!$D$1:$D$1001,$A69)="","",INDEX(Cálculo!$D$1:$D$1001,$A69)))</f>
        <v/>
      </c>
      <c r="G69" s="24" t="str">
        <f>IF($A69="","",IF(INDEX(Cálculo!$E$1:$E$1001,$A69)="","",INDEX(Cálculo!$E$1:$E$1001,$A69)))</f>
        <v/>
      </c>
      <c r="H69" s="22" t="str">
        <f>IF($A69="","",IF(INDEX(Registro!$F$1:$F$1001,$A69)="","",INDEX(Registro!$F$1:$F$1001,$A69)))</f>
        <v/>
      </c>
      <c r="I69" s="23" t="str">
        <f>IF($A69="","",IF(INDEX(Cálculo!$F$1:$F$1001,$A69)="","",INDEX(Cálculo!$F$1:$F$1001,$A69)))</f>
        <v/>
      </c>
      <c r="J69" s="24" t="str">
        <f>IF($A69="","",IF(INDEX(Cálculo!$G$1:$G$1001,$A69)="","",INDEX(Cálculo!$G$1:$G$1001,$A69)))</f>
        <v/>
      </c>
      <c r="K69" s="21" t="str">
        <f>IF($A69="","",IF(INDEX(Cálculo!$H$1:$H$1001,$A69)="","",INDEX(Cálculo!$H$1:$H$1001,$A69)))</f>
        <v/>
      </c>
      <c r="L69" s="24" t="str">
        <f>IF($A69="","",IF(INDEX(Registro!$G$1:$G$1001,$A69)="","",INDEX(Registro!$G$1:$G$1001,$A69)))</f>
        <v/>
      </c>
      <c r="M69" s="22" t="str">
        <f>IF($A69="","",IF(INDEX(Registro!$H$1:$H$1001,$A69)="","",INDEX(Registro!$H$1:$H$1001,$A69)))</f>
        <v/>
      </c>
      <c r="N69" s="24" t="str">
        <f>IF($A69="","",IF(INDEX(Cálculo!$I$1:$I$1001,$A69)="","",INDEX(Cálculo!$I$1:$I$1001,$A69)))</f>
        <v/>
      </c>
      <c r="O69" s="24" t="str">
        <f>IF($A69="","",IF(INDEX(Cálculo!$K$1:$K$1001,$A69)="","",INDEX(Cálculo!$K$1:$K$1001,$A69)))</f>
        <v/>
      </c>
      <c r="P69" s="22" t="str">
        <f>IF($A69="","",IF(INDEX(Registro!$I$1:$I$1001,$A69)="","",INDEX(Registro!$I$1:$I$1001,$A69)))</f>
        <v/>
      </c>
      <c r="Q69" s="24" t="str">
        <f>IF($A69="","",IF(INDEX(Cálculo!$J$1:$J$1001,$A69)="","",INDEX(Cálculo!$J$1:$J$1001,$A69)))</f>
        <v/>
      </c>
      <c r="R69" s="24" t="str">
        <f>IF($A69="","",IF(INDEX(Cálculo!$L$1:$L$1001,$A69)="","",INDEX(Cálculo!$L$1:$L$1001,$A69)))</f>
        <v/>
      </c>
      <c r="S69" s="22" t="str">
        <f>IF($A69="","",IF(INDEX(Registro!$J$1:$J$1001,$A69)="","",INDEX(Registro!$J$1:$J$1001,$A69)))</f>
        <v/>
      </c>
    </row>
  </sheetData>
  <mergeCells count="5">
    <mergeCell ref="A5:D5"/>
    <mergeCell ref="E5:G5"/>
    <mergeCell ref="H5:L5"/>
    <mergeCell ref="M5:O5"/>
    <mergeCell ref="P5:R5"/>
  </mergeCells>
  <conditionalFormatting sqref="K8:K69">
    <cfRule type="cellIs" dxfId="2" priority="2" operator="equal">
      <formula>"CONFORME"</formula>
    </cfRule>
    <cfRule type="cellIs" dxfId="1" priority="3" operator="equal">
      <formula>"DIFERENCIA"</formula>
    </cfRule>
    <cfRule type="cellIs" dxfId="0" priority="4" operator="equal">
      <formula>"FALTA BOLETOS"</formula>
    </cfRule>
  </conditionalFormatting>
  <dataValidations count="3">
    <dataValidation type="whole" showErrorMessage="1" error="Escribe un año (ej. 2026)." sqref="D3" xr:uid="{00000000-0002-0000-0200-000000000000}">
      <formula1>2000</formula1>
      <formula2>2100</formula2>
    </dataValidation>
    <dataValidation type="list" showErrorMessage="1" error="Elige TDS, PIN o PKS." sqref="B3" xr:uid="{00000000-0002-0000-0200-000001000000}">
      <formula1>"TDS,PIN,PKS"</formula1>
      <formula2>0</formula2>
    </dataValidation>
    <dataValidation type="list" showErrorMessage="1" error="Elige un mes de la lista." sqref="F3" xr:uid="{00000000-0002-0000-0200-000002000000}">
      <formula1>"Enero,Febrero,Marzo,Abril,Mayo,Junio,Julio,Agosto,Septiembre,Octubre,Noviembre,Diciembre"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9"/>
  <sheetViews>
    <sheetView tabSelected="1" zoomScaleNormal="100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H22" sqref="H22"/>
    </sheetView>
  </sheetViews>
  <sheetFormatPr baseColWidth="10" defaultColWidth="8.7109375" defaultRowHeight="15" x14ac:dyDescent="0.25"/>
  <cols>
    <col min="1" max="1" width="5" customWidth="1"/>
    <col min="2" max="2" width="14" customWidth="1"/>
    <col min="3" max="3" width="8" customWidth="1"/>
    <col min="4" max="4" width="10" customWidth="1"/>
    <col min="5" max="5" width="13" customWidth="1"/>
    <col min="6" max="6" width="14" customWidth="1"/>
    <col min="7" max="7" width="12" customWidth="1"/>
    <col min="8" max="8" width="14" customWidth="1"/>
    <col min="9" max="9" width="8" customWidth="1"/>
    <col min="10" max="10" width="10" customWidth="1"/>
    <col min="11" max="11" width="13" customWidth="1"/>
    <col min="12" max="12" width="14" customWidth="1"/>
    <col min="13" max="13" width="12" customWidth="1"/>
    <col min="14" max="14" width="14" customWidth="1"/>
    <col min="15" max="15" width="8" customWidth="1"/>
    <col min="16" max="16" width="10" customWidth="1"/>
    <col min="17" max="17" width="13" customWidth="1"/>
    <col min="18" max="18" width="14" customWidth="1"/>
    <col min="19" max="19" width="12" customWidth="1"/>
    <col min="20" max="20" width="14" customWidth="1"/>
    <col min="21" max="21" width="9" customWidth="1"/>
    <col min="22" max="22" width="13" customWidth="1"/>
    <col min="23" max="24" width="14" customWidth="1"/>
  </cols>
  <sheetData>
    <row r="1" spans="1:24" ht="18" customHeight="1" x14ac:dyDescent="0.25">
      <c r="A1" s="9" t="s">
        <v>206</v>
      </c>
    </row>
    <row r="2" spans="1:24" x14ac:dyDescent="0.25">
      <c r="A2" s="10" t="s">
        <v>207</v>
      </c>
    </row>
    <row r="3" spans="1:24" x14ac:dyDescent="0.25">
      <c r="A3" s="25" t="s">
        <v>183</v>
      </c>
      <c r="B3" s="26">
        <v>2026</v>
      </c>
    </row>
    <row r="5" spans="1:24" ht="15" customHeight="1" x14ac:dyDescent="0.25">
      <c r="C5" s="37" t="s">
        <v>26</v>
      </c>
      <c r="D5" s="37"/>
      <c r="E5" s="37"/>
      <c r="F5" s="37"/>
      <c r="G5" s="37"/>
      <c r="H5" s="37"/>
      <c r="I5" s="37" t="s">
        <v>115</v>
      </c>
      <c r="J5" s="37"/>
      <c r="K5" s="37"/>
      <c r="L5" s="37"/>
      <c r="M5" s="37"/>
      <c r="N5" s="37"/>
      <c r="O5" s="37" t="s">
        <v>208</v>
      </c>
      <c r="P5" s="37"/>
      <c r="Q5" s="37"/>
      <c r="R5" s="37"/>
      <c r="S5" s="37"/>
      <c r="T5" s="37"/>
      <c r="U5" s="38" t="s">
        <v>209</v>
      </c>
      <c r="V5" s="38"/>
      <c r="W5" s="38"/>
      <c r="X5" s="38"/>
    </row>
    <row r="6" spans="1:24" x14ac:dyDescent="0.25">
      <c r="A6" s="4" t="s">
        <v>210</v>
      </c>
      <c r="B6" s="4" t="s">
        <v>211</v>
      </c>
      <c r="C6" s="4" t="s">
        <v>212</v>
      </c>
      <c r="D6" s="4" t="s">
        <v>213</v>
      </c>
      <c r="E6" s="4" t="s">
        <v>214</v>
      </c>
      <c r="F6" s="4" t="s">
        <v>215</v>
      </c>
      <c r="G6" s="4" t="s">
        <v>216</v>
      </c>
      <c r="H6" s="4" t="s">
        <v>204</v>
      </c>
      <c r="I6" s="4" t="s">
        <v>212</v>
      </c>
      <c r="J6" s="4" t="s">
        <v>213</v>
      </c>
      <c r="K6" s="4" t="s">
        <v>214</v>
      </c>
      <c r="L6" s="4" t="s">
        <v>215</v>
      </c>
      <c r="M6" s="4" t="s">
        <v>216</v>
      </c>
      <c r="N6" s="4" t="s">
        <v>204</v>
      </c>
      <c r="O6" s="4" t="s">
        <v>212</v>
      </c>
      <c r="P6" s="4" t="s">
        <v>213</v>
      </c>
      <c r="Q6" s="4" t="s">
        <v>214</v>
      </c>
      <c r="R6" s="4" t="s">
        <v>215</v>
      </c>
      <c r="S6" s="4" t="s">
        <v>216</v>
      </c>
      <c r="T6" s="4" t="s">
        <v>204</v>
      </c>
      <c r="U6" s="4" t="s">
        <v>212</v>
      </c>
      <c r="V6" s="4" t="s">
        <v>214</v>
      </c>
      <c r="W6" s="4" t="s">
        <v>215</v>
      </c>
      <c r="X6" s="4" t="s">
        <v>204</v>
      </c>
    </row>
    <row r="7" spans="1:24" x14ac:dyDescent="0.25">
      <c r="A7" s="27">
        <v>1</v>
      </c>
      <c r="B7" s="28" t="s">
        <v>217</v>
      </c>
      <c r="C7" s="29">
        <f>COUNTIFS(Cálculo!$A$2:$A$1001,C$5,Cálculo!$C$2:$C$1001,$B$3*100+$A7)</f>
        <v>0</v>
      </c>
      <c r="D7" s="30">
        <f>SUMIFS(Cálculo!$D$2:$D$1001,Cálculo!$A$2:$A$1001,C$5,Cálculo!$C$2:$C$1001,$B$3*100+$A7)+SUMIFS(Cálculo!$F$2:$F$1001,Cálculo!$A$2:$A$1001,C$5,Cálculo!$C$2:$C$1001,$B$3*100+$A7)</f>
        <v>0</v>
      </c>
      <c r="E7" s="31">
        <f>SUMIFS(Cálculo!$E$2:$E$1001,Cálculo!$A$2:$A$1001,C$5,Cálculo!$C$2:$C$1001,$B$3*100+$A7)</f>
        <v>0</v>
      </c>
      <c r="F7" s="31">
        <f>SUMIFS(Registro!$G$2:$G$1001,Cálculo!$A$2:$A$1001,C$5,Cálculo!$C$2:$C$1001,$B$3*100+$A7)</f>
        <v>0</v>
      </c>
      <c r="G7" s="31">
        <f>SUMIFS(Cálculo!$I$2:$I$1001,Cálculo!$A$2:$A$1001,C$5,Cálculo!$C$2:$C$1001,$B$3*100+$A7)+SUMIFS(Cálculo!$J$2:$J$1001,Cálculo!$A$2:$A$1001,C$5,Cálculo!$C$2:$C$1001,$B$3*100+$A7)</f>
        <v>0</v>
      </c>
      <c r="H7" s="31">
        <f>SUMIFS(Cálculo!$L$2:$L$1001,Cálculo!$A$2:$A$1001,C$5,Cálculo!$C$2:$C$1001,$B$3*100+$A7)</f>
        <v>0</v>
      </c>
      <c r="I7" s="29">
        <f>COUNTIFS(Cálculo!$A$2:$A$1001,I$5,Cálculo!$C$2:$C$1001,$B$3*100+$A7)</f>
        <v>0</v>
      </c>
      <c r="J7" s="30">
        <f>SUMIFS(Cálculo!$D$2:$D$1001,Cálculo!$A$2:$A$1001,I$5,Cálculo!$C$2:$C$1001,$B$3*100+$A7)+SUMIFS(Cálculo!$F$2:$F$1001,Cálculo!$A$2:$A$1001,I$5,Cálculo!$C$2:$C$1001,$B$3*100+$A7)</f>
        <v>0</v>
      </c>
      <c r="K7" s="31">
        <f>SUMIFS(Cálculo!$E$2:$E$1001,Cálculo!$A$2:$A$1001,I$5,Cálculo!$C$2:$C$1001,$B$3*100+$A7)</f>
        <v>0</v>
      </c>
      <c r="L7" s="31">
        <f>SUMIFS(Registro!$G$2:$G$1001,Cálculo!$A$2:$A$1001,I$5,Cálculo!$C$2:$C$1001,$B$3*100+$A7)</f>
        <v>0</v>
      </c>
      <c r="M7" s="31">
        <f>SUMIFS(Cálculo!$I$2:$I$1001,Cálculo!$A$2:$A$1001,I$5,Cálculo!$C$2:$C$1001,$B$3*100+$A7)+SUMIFS(Cálculo!$J$2:$J$1001,Cálculo!$A$2:$A$1001,I$5,Cálculo!$C$2:$C$1001,$B$3*100+$A7)</f>
        <v>0</v>
      </c>
      <c r="N7" s="31">
        <f>SUMIFS(Cálculo!$L$2:$L$1001,Cálculo!$A$2:$A$1001,I$5,Cálculo!$C$2:$C$1001,$B$3*100+$A7)</f>
        <v>0</v>
      </c>
      <c r="O7" s="29">
        <f>COUNTIFS(Cálculo!$A$2:$A$1001,O$5,Cálculo!$C$2:$C$1001,$B$3*100+$A7)</f>
        <v>0</v>
      </c>
      <c r="P7" s="30">
        <f>SUMIFS(Cálculo!$D$2:$D$1001,Cálculo!$A$2:$A$1001,O$5,Cálculo!$C$2:$C$1001,$B$3*100+$A7)+SUMIFS(Cálculo!$F$2:$F$1001,Cálculo!$A$2:$A$1001,O$5,Cálculo!$C$2:$C$1001,$B$3*100+$A7)</f>
        <v>0</v>
      </c>
      <c r="Q7" s="31">
        <f>SUMIFS(Cálculo!$E$2:$E$1001,Cálculo!$A$2:$A$1001,O$5,Cálculo!$C$2:$C$1001,$B$3*100+$A7)</f>
        <v>0</v>
      </c>
      <c r="R7" s="31">
        <f>SUMIFS(Registro!$G$2:$G$1001,Cálculo!$A$2:$A$1001,O$5,Cálculo!$C$2:$C$1001,$B$3*100+$A7)</f>
        <v>0</v>
      </c>
      <c r="S7" s="31">
        <f>SUMIFS(Cálculo!$I$2:$I$1001,Cálculo!$A$2:$A$1001,O$5,Cálculo!$C$2:$C$1001,$B$3*100+$A7)+SUMIFS(Cálculo!$J$2:$J$1001,Cálculo!$A$2:$A$1001,O$5,Cálculo!$C$2:$C$1001,$B$3*100+$A7)</f>
        <v>0</v>
      </c>
      <c r="T7" s="31">
        <f>SUMIFS(Cálculo!$L$2:$L$1001,Cálculo!$A$2:$A$1001,O$5,Cálculo!$C$2:$C$1001,$B$3*100+$A7)</f>
        <v>0</v>
      </c>
      <c r="U7" s="29">
        <f t="shared" ref="U7:U18" si="0">C7+I7+O7</f>
        <v>0</v>
      </c>
      <c r="V7" s="31">
        <f t="shared" ref="V7:V18" si="1">E7+K7+Q7</f>
        <v>0</v>
      </c>
      <c r="W7" s="31">
        <f t="shared" ref="W7:W18" si="2">F7+L7+R7</f>
        <v>0</v>
      </c>
      <c r="X7" s="31">
        <f t="shared" ref="X7:X18" si="3">H7+N7+T7</f>
        <v>0</v>
      </c>
    </row>
    <row r="8" spans="1:24" x14ac:dyDescent="0.25">
      <c r="A8" s="27">
        <v>2</v>
      </c>
      <c r="B8" s="28" t="s">
        <v>218</v>
      </c>
      <c r="C8" s="29">
        <f>COUNTIFS(Cálculo!$A$2:$A$1001,C$5,Cálculo!$C$2:$C$1001,$B$3*100+$A8)</f>
        <v>0</v>
      </c>
      <c r="D8" s="30">
        <f>SUMIFS(Cálculo!$D$2:$D$1001,Cálculo!$A$2:$A$1001,C$5,Cálculo!$C$2:$C$1001,$B$3*100+$A8)+SUMIFS(Cálculo!$F$2:$F$1001,Cálculo!$A$2:$A$1001,C$5,Cálculo!$C$2:$C$1001,$B$3*100+$A8)</f>
        <v>0</v>
      </c>
      <c r="E8" s="31">
        <f>SUMIFS(Cálculo!$E$2:$E$1001,Cálculo!$A$2:$A$1001,C$5,Cálculo!$C$2:$C$1001,$B$3*100+$A8)</f>
        <v>0</v>
      </c>
      <c r="F8" s="31">
        <f>SUMIFS(Registro!$G$2:$G$1001,Cálculo!$A$2:$A$1001,C$5,Cálculo!$C$2:$C$1001,$B$3*100+$A8)</f>
        <v>0</v>
      </c>
      <c r="G8" s="31">
        <f>SUMIFS(Cálculo!$I$2:$I$1001,Cálculo!$A$2:$A$1001,C$5,Cálculo!$C$2:$C$1001,$B$3*100+$A8)+SUMIFS(Cálculo!$J$2:$J$1001,Cálculo!$A$2:$A$1001,C$5,Cálculo!$C$2:$C$1001,$B$3*100+$A8)</f>
        <v>0</v>
      </c>
      <c r="H8" s="31">
        <f>SUMIFS(Cálculo!$L$2:$L$1001,Cálculo!$A$2:$A$1001,C$5,Cálculo!$C$2:$C$1001,$B$3*100+$A8)</f>
        <v>0</v>
      </c>
      <c r="I8" s="29">
        <f>COUNTIFS(Cálculo!$A$2:$A$1001,I$5,Cálculo!$C$2:$C$1001,$B$3*100+$A8)</f>
        <v>0</v>
      </c>
      <c r="J8" s="30">
        <f>SUMIFS(Cálculo!$D$2:$D$1001,Cálculo!$A$2:$A$1001,I$5,Cálculo!$C$2:$C$1001,$B$3*100+$A8)+SUMIFS(Cálculo!$F$2:$F$1001,Cálculo!$A$2:$A$1001,I$5,Cálculo!$C$2:$C$1001,$B$3*100+$A8)</f>
        <v>0</v>
      </c>
      <c r="K8" s="31">
        <f>SUMIFS(Cálculo!$E$2:$E$1001,Cálculo!$A$2:$A$1001,I$5,Cálculo!$C$2:$C$1001,$B$3*100+$A8)</f>
        <v>0</v>
      </c>
      <c r="L8" s="31">
        <f>SUMIFS(Registro!$G$2:$G$1001,Cálculo!$A$2:$A$1001,I$5,Cálculo!$C$2:$C$1001,$B$3*100+$A8)</f>
        <v>0</v>
      </c>
      <c r="M8" s="31">
        <f>SUMIFS(Cálculo!$I$2:$I$1001,Cálculo!$A$2:$A$1001,I$5,Cálculo!$C$2:$C$1001,$B$3*100+$A8)+SUMIFS(Cálculo!$J$2:$J$1001,Cálculo!$A$2:$A$1001,I$5,Cálculo!$C$2:$C$1001,$B$3*100+$A8)</f>
        <v>0</v>
      </c>
      <c r="N8" s="31">
        <f>SUMIFS(Cálculo!$L$2:$L$1001,Cálculo!$A$2:$A$1001,I$5,Cálculo!$C$2:$C$1001,$B$3*100+$A8)</f>
        <v>0</v>
      </c>
      <c r="O8" s="29">
        <f>COUNTIFS(Cálculo!$A$2:$A$1001,O$5,Cálculo!$C$2:$C$1001,$B$3*100+$A8)</f>
        <v>0</v>
      </c>
      <c r="P8" s="30">
        <f>SUMIFS(Cálculo!$D$2:$D$1001,Cálculo!$A$2:$A$1001,O$5,Cálculo!$C$2:$C$1001,$B$3*100+$A8)+SUMIFS(Cálculo!$F$2:$F$1001,Cálculo!$A$2:$A$1001,O$5,Cálculo!$C$2:$C$1001,$B$3*100+$A8)</f>
        <v>0</v>
      </c>
      <c r="Q8" s="31">
        <f>SUMIFS(Cálculo!$E$2:$E$1001,Cálculo!$A$2:$A$1001,O$5,Cálculo!$C$2:$C$1001,$B$3*100+$A8)</f>
        <v>0</v>
      </c>
      <c r="R8" s="31">
        <f>SUMIFS(Registro!$G$2:$G$1001,Cálculo!$A$2:$A$1001,O$5,Cálculo!$C$2:$C$1001,$B$3*100+$A8)</f>
        <v>0</v>
      </c>
      <c r="S8" s="31">
        <f>SUMIFS(Cálculo!$I$2:$I$1001,Cálculo!$A$2:$A$1001,O$5,Cálculo!$C$2:$C$1001,$B$3*100+$A8)+SUMIFS(Cálculo!$J$2:$J$1001,Cálculo!$A$2:$A$1001,O$5,Cálculo!$C$2:$C$1001,$B$3*100+$A8)</f>
        <v>0</v>
      </c>
      <c r="T8" s="31">
        <f>SUMIFS(Cálculo!$L$2:$L$1001,Cálculo!$A$2:$A$1001,O$5,Cálculo!$C$2:$C$1001,$B$3*100+$A8)</f>
        <v>0</v>
      </c>
      <c r="U8" s="29">
        <f t="shared" si="0"/>
        <v>0</v>
      </c>
      <c r="V8" s="31">
        <f t="shared" si="1"/>
        <v>0</v>
      </c>
      <c r="W8" s="31">
        <f t="shared" si="2"/>
        <v>0</v>
      </c>
      <c r="X8" s="31">
        <f t="shared" si="3"/>
        <v>0</v>
      </c>
    </row>
    <row r="9" spans="1:24" x14ac:dyDescent="0.25">
      <c r="A9" s="27">
        <v>3</v>
      </c>
      <c r="B9" s="28" t="s">
        <v>219</v>
      </c>
      <c r="C9" s="29">
        <f>COUNTIFS(Cálculo!$A$2:$A$1001,C$5,Cálculo!$C$2:$C$1001,$B$3*100+$A9)</f>
        <v>0</v>
      </c>
      <c r="D9" s="30">
        <f>SUMIFS(Cálculo!$D$2:$D$1001,Cálculo!$A$2:$A$1001,C$5,Cálculo!$C$2:$C$1001,$B$3*100+$A9)+SUMIFS(Cálculo!$F$2:$F$1001,Cálculo!$A$2:$A$1001,C$5,Cálculo!$C$2:$C$1001,$B$3*100+$A9)</f>
        <v>0</v>
      </c>
      <c r="E9" s="31">
        <f>SUMIFS(Cálculo!$E$2:$E$1001,Cálculo!$A$2:$A$1001,C$5,Cálculo!$C$2:$C$1001,$B$3*100+$A9)</f>
        <v>0</v>
      </c>
      <c r="F9" s="31">
        <f>SUMIFS(Registro!$G$2:$G$1001,Cálculo!$A$2:$A$1001,C$5,Cálculo!$C$2:$C$1001,$B$3*100+$A9)</f>
        <v>0</v>
      </c>
      <c r="G9" s="31">
        <f>SUMIFS(Cálculo!$I$2:$I$1001,Cálculo!$A$2:$A$1001,C$5,Cálculo!$C$2:$C$1001,$B$3*100+$A9)+SUMIFS(Cálculo!$J$2:$J$1001,Cálculo!$A$2:$A$1001,C$5,Cálculo!$C$2:$C$1001,$B$3*100+$A9)</f>
        <v>0</v>
      </c>
      <c r="H9" s="31">
        <f>SUMIFS(Cálculo!$L$2:$L$1001,Cálculo!$A$2:$A$1001,C$5,Cálculo!$C$2:$C$1001,$B$3*100+$A9)</f>
        <v>0</v>
      </c>
      <c r="I9" s="29">
        <f>COUNTIFS(Cálculo!$A$2:$A$1001,I$5,Cálculo!$C$2:$C$1001,$B$3*100+$A9)</f>
        <v>0</v>
      </c>
      <c r="J9" s="30">
        <f>SUMIFS(Cálculo!$D$2:$D$1001,Cálculo!$A$2:$A$1001,I$5,Cálculo!$C$2:$C$1001,$B$3*100+$A9)+SUMIFS(Cálculo!$F$2:$F$1001,Cálculo!$A$2:$A$1001,I$5,Cálculo!$C$2:$C$1001,$B$3*100+$A9)</f>
        <v>0</v>
      </c>
      <c r="K9" s="31">
        <f>SUMIFS(Cálculo!$E$2:$E$1001,Cálculo!$A$2:$A$1001,I$5,Cálculo!$C$2:$C$1001,$B$3*100+$A9)</f>
        <v>0</v>
      </c>
      <c r="L9" s="31">
        <f>SUMIFS(Registro!$G$2:$G$1001,Cálculo!$A$2:$A$1001,I$5,Cálculo!$C$2:$C$1001,$B$3*100+$A9)</f>
        <v>0</v>
      </c>
      <c r="M9" s="31">
        <f>SUMIFS(Cálculo!$I$2:$I$1001,Cálculo!$A$2:$A$1001,I$5,Cálculo!$C$2:$C$1001,$B$3*100+$A9)+SUMIFS(Cálculo!$J$2:$J$1001,Cálculo!$A$2:$A$1001,I$5,Cálculo!$C$2:$C$1001,$B$3*100+$A9)</f>
        <v>0</v>
      </c>
      <c r="N9" s="31">
        <f>SUMIFS(Cálculo!$L$2:$L$1001,Cálculo!$A$2:$A$1001,I$5,Cálculo!$C$2:$C$1001,$B$3*100+$A9)</f>
        <v>0</v>
      </c>
      <c r="O9" s="29">
        <f>COUNTIFS(Cálculo!$A$2:$A$1001,O$5,Cálculo!$C$2:$C$1001,$B$3*100+$A9)</f>
        <v>0</v>
      </c>
      <c r="P9" s="30">
        <f>SUMIFS(Cálculo!$D$2:$D$1001,Cálculo!$A$2:$A$1001,O$5,Cálculo!$C$2:$C$1001,$B$3*100+$A9)+SUMIFS(Cálculo!$F$2:$F$1001,Cálculo!$A$2:$A$1001,O$5,Cálculo!$C$2:$C$1001,$B$3*100+$A9)</f>
        <v>0</v>
      </c>
      <c r="Q9" s="31">
        <f>SUMIFS(Cálculo!$E$2:$E$1001,Cálculo!$A$2:$A$1001,O$5,Cálculo!$C$2:$C$1001,$B$3*100+$A9)</f>
        <v>0</v>
      </c>
      <c r="R9" s="31">
        <f>SUMIFS(Registro!$G$2:$G$1001,Cálculo!$A$2:$A$1001,O$5,Cálculo!$C$2:$C$1001,$B$3*100+$A9)</f>
        <v>0</v>
      </c>
      <c r="S9" s="31">
        <f>SUMIFS(Cálculo!$I$2:$I$1001,Cálculo!$A$2:$A$1001,O$5,Cálculo!$C$2:$C$1001,$B$3*100+$A9)+SUMIFS(Cálculo!$J$2:$J$1001,Cálculo!$A$2:$A$1001,O$5,Cálculo!$C$2:$C$1001,$B$3*100+$A9)</f>
        <v>0</v>
      </c>
      <c r="T9" s="31">
        <f>SUMIFS(Cálculo!$L$2:$L$1001,Cálculo!$A$2:$A$1001,O$5,Cálculo!$C$2:$C$1001,$B$3*100+$A9)</f>
        <v>0</v>
      </c>
      <c r="U9" s="29">
        <f t="shared" si="0"/>
        <v>0</v>
      </c>
      <c r="V9" s="31">
        <f t="shared" si="1"/>
        <v>0</v>
      </c>
      <c r="W9" s="31">
        <f t="shared" si="2"/>
        <v>0</v>
      </c>
      <c r="X9" s="31">
        <f t="shared" si="3"/>
        <v>0</v>
      </c>
    </row>
    <row r="10" spans="1:24" x14ac:dyDescent="0.25">
      <c r="A10" s="27">
        <v>4</v>
      </c>
      <c r="B10" s="28" t="s">
        <v>220</v>
      </c>
      <c r="C10" s="29">
        <f>COUNTIFS(Cálculo!$A$2:$A$1001,C$5,Cálculo!$C$2:$C$1001,$B$3*100+$A10)</f>
        <v>0</v>
      </c>
      <c r="D10" s="30">
        <f>SUMIFS(Cálculo!$D$2:$D$1001,Cálculo!$A$2:$A$1001,C$5,Cálculo!$C$2:$C$1001,$B$3*100+$A10)+SUMIFS(Cálculo!$F$2:$F$1001,Cálculo!$A$2:$A$1001,C$5,Cálculo!$C$2:$C$1001,$B$3*100+$A10)</f>
        <v>0</v>
      </c>
      <c r="E10" s="31">
        <f>SUMIFS(Cálculo!$E$2:$E$1001,Cálculo!$A$2:$A$1001,C$5,Cálculo!$C$2:$C$1001,$B$3*100+$A10)</f>
        <v>0</v>
      </c>
      <c r="F10" s="31">
        <f>SUMIFS(Registro!$G$2:$G$1001,Cálculo!$A$2:$A$1001,C$5,Cálculo!$C$2:$C$1001,$B$3*100+$A10)</f>
        <v>0</v>
      </c>
      <c r="G10" s="31">
        <f>SUMIFS(Cálculo!$I$2:$I$1001,Cálculo!$A$2:$A$1001,C$5,Cálculo!$C$2:$C$1001,$B$3*100+$A10)+SUMIFS(Cálculo!$J$2:$J$1001,Cálculo!$A$2:$A$1001,C$5,Cálculo!$C$2:$C$1001,$B$3*100+$A10)</f>
        <v>0</v>
      </c>
      <c r="H10" s="31">
        <f>SUMIFS(Cálculo!$L$2:$L$1001,Cálculo!$A$2:$A$1001,C$5,Cálculo!$C$2:$C$1001,$B$3*100+$A10)</f>
        <v>0</v>
      </c>
      <c r="I10" s="29">
        <f>COUNTIFS(Cálculo!$A$2:$A$1001,I$5,Cálculo!$C$2:$C$1001,$B$3*100+$A10)</f>
        <v>0</v>
      </c>
      <c r="J10" s="30">
        <f>SUMIFS(Cálculo!$D$2:$D$1001,Cálculo!$A$2:$A$1001,I$5,Cálculo!$C$2:$C$1001,$B$3*100+$A10)+SUMIFS(Cálculo!$F$2:$F$1001,Cálculo!$A$2:$A$1001,I$5,Cálculo!$C$2:$C$1001,$B$3*100+$A10)</f>
        <v>0</v>
      </c>
      <c r="K10" s="31">
        <f>SUMIFS(Cálculo!$E$2:$E$1001,Cálculo!$A$2:$A$1001,I$5,Cálculo!$C$2:$C$1001,$B$3*100+$A10)</f>
        <v>0</v>
      </c>
      <c r="L10" s="31">
        <f>SUMIFS(Registro!$G$2:$G$1001,Cálculo!$A$2:$A$1001,I$5,Cálculo!$C$2:$C$1001,$B$3*100+$A10)</f>
        <v>0</v>
      </c>
      <c r="M10" s="31">
        <f>SUMIFS(Cálculo!$I$2:$I$1001,Cálculo!$A$2:$A$1001,I$5,Cálculo!$C$2:$C$1001,$B$3*100+$A10)+SUMIFS(Cálculo!$J$2:$J$1001,Cálculo!$A$2:$A$1001,I$5,Cálculo!$C$2:$C$1001,$B$3*100+$A10)</f>
        <v>0</v>
      </c>
      <c r="N10" s="31">
        <f>SUMIFS(Cálculo!$L$2:$L$1001,Cálculo!$A$2:$A$1001,I$5,Cálculo!$C$2:$C$1001,$B$3*100+$A10)</f>
        <v>0</v>
      </c>
      <c r="O10" s="29">
        <f>COUNTIFS(Cálculo!$A$2:$A$1001,O$5,Cálculo!$C$2:$C$1001,$B$3*100+$A10)</f>
        <v>0</v>
      </c>
      <c r="P10" s="30">
        <f>SUMIFS(Cálculo!$D$2:$D$1001,Cálculo!$A$2:$A$1001,O$5,Cálculo!$C$2:$C$1001,$B$3*100+$A10)+SUMIFS(Cálculo!$F$2:$F$1001,Cálculo!$A$2:$A$1001,O$5,Cálculo!$C$2:$C$1001,$B$3*100+$A10)</f>
        <v>0</v>
      </c>
      <c r="Q10" s="31">
        <f>SUMIFS(Cálculo!$E$2:$E$1001,Cálculo!$A$2:$A$1001,O$5,Cálculo!$C$2:$C$1001,$B$3*100+$A10)</f>
        <v>0</v>
      </c>
      <c r="R10" s="31">
        <f>SUMIFS(Registro!$G$2:$G$1001,Cálculo!$A$2:$A$1001,O$5,Cálculo!$C$2:$C$1001,$B$3*100+$A10)</f>
        <v>0</v>
      </c>
      <c r="S10" s="31">
        <f>SUMIFS(Cálculo!$I$2:$I$1001,Cálculo!$A$2:$A$1001,O$5,Cálculo!$C$2:$C$1001,$B$3*100+$A10)+SUMIFS(Cálculo!$J$2:$J$1001,Cálculo!$A$2:$A$1001,O$5,Cálculo!$C$2:$C$1001,$B$3*100+$A10)</f>
        <v>0</v>
      </c>
      <c r="T10" s="31">
        <f>SUMIFS(Cálculo!$L$2:$L$1001,Cálculo!$A$2:$A$1001,O$5,Cálculo!$C$2:$C$1001,$B$3*100+$A10)</f>
        <v>0</v>
      </c>
      <c r="U10" s="29">
        <f t="shared" si="0"/>
        <v>0</v>
      </c>
      <c r="V10" s="31">
        <f t="shared" si="1"/>
        <v>0</v>
      </c>
      <c r="W10" s="31">
        <f t="shared" si="2"/>
        <v>0</v>
      </c>
      <c r="X10" s="31">
        <f t="shared" si="3"/>
        <v>0</v>
      </c>
    </row>
    <row r="11" spans="1:24" x14ac:dyDescent="0.25">
      <c r="A11" s="27">
        <v>5</v>
      </c>
      <c r="B11" s="28" t="s">
        <v>221</v>
      </c>
      <c r="C11" s="29">
        <f>COUNTIFS(Cálculo!$A$2:$A$1001,C$5,Cálculo!$C$2:$C$1001,$B$3*100+$A11)</f>
        <v>0</v>
      </c>
      <c r="D11" s="30">
        <f>SUMIFS(Cálculo!$D$2:$D$1001,Cálculo!$A$2:$A$1001,C$5,Cálculo!$C$2:$C$1001,$B$3*100+$A11)+SUMIFS(Cálculo!$F$2:$F$1001,Cálculo!$A$2:$A$1001,C$5,Cálculo!$C$2:$C$1001,$B$3*100+$A11)</f>
        <v>0</v>
      </c>
      <c r="E11" s="31">
        <f>SUMIFS(Cálculo!$E$2:$E$1001,Cálculo!$A$2:$A$1001,C$5,Cálculo!$C$2:$C$1001,$B$3*100+$A11)</f>
        <v>0</v>
      </c>
      <c r="F11" s="31">
        <f>SUMIFS(Registro!$G$2:$G$1001,Cálculo!$A$2:$A$1001,C$5,Cálculo!$C$2:$C$1001,$B$3*100+$A11)</f>
        <v>0</v>
      </c>
      <c r="G11" s="31">
        <f>SUMIFS(Cálculo!$I$2:$I$1001,Cálculo!$A$2:$A$1001,C$5,Cálculo!$C$2:$C$1001,$B$3*100+$A11)+SUMIFS(Cálculo!$J$2:$J$1001,Cálculo!$A$2:$A$1001,C$5,Cálculo!$C$2:$C$1001,$B$3*100+$A11)</f>
        <v>0</v>
      </c>
      <c r="H11" s="31">
        <f>SUMIFS(Cálculo!$L$2:$L$1001,Cálculo!$A$2:$A$1001,C$5,Cálculo!$C$2:$C$1001,$B$3*100+$A11)</f>
        <v>0</v>
      </c>
      <c r="I11" s="29">
        <f>COUNTIFS(Cálculo!$A$2:$A$1001,I$5,Cálculo!$C$2:$C$1001,$B$3*100+$A11)</f>
        <v>0</v>
      </c>
      <c r="J11" s="30">
        <f>SUMIFS(Cálculo!$D$2:$D$1001,Cálculo!$A$2:$A$1001,I$5,Cálculo!$C$2:$C$1001,$B$3*100+$A11)+SUMIFS(Cálculo!$F$2:$F$1001,Cálculo!$A$2:$A$1001,I$5,Cálculo!$C$2:$C$1001,$B$3*100+$A11)</f>
        <v>0</v>
      </c>
      <c r="K11" s="31">
        <f>SUMIFS(Cálculo!$E$2:$E$1001,Cálculo!$A$2:$A$1001,I$5,Cálculo!$C$2:$C$1001,$B$3*100+$A11)</f>
        <v>0</v>
      </c>
      <c r="L11" s="31">
        <f>SUMIFS(Registro!$G$2:$G$1001,Cálculo!$A$2:$A$1001,I$5,Cálculo!$C$2:$C$1001,$B$3*100+$A11)</f>
        <v>0</v>
      </c>
      <c r="M11" s="31">
        <f>SUMIFS(Cálculo!$I$2:$I$1001,Cálculo!$A$2:$A$1001,I$5,Cálculo!$C$2:$C$1001,$B$3*100+$A11)+SUMIFS(Cálculo!$J$2:$J$1001,Cálculo!$A$2:$A$1001,I$5,Cálculo!$C$2:$C$1001,$B$3*100+$A11)</f>
        <v>0</v>
      </c>
      <c r="N11" s="31">
        <f>SUMIFS(Cálculo!$L$2:$L$1001,Cálculo!$A$2:$A$1001,I$5,Cálculo!$C$2:$C$1001,$B$3*100+$A11)</f>
        <v>0</v>
      </c>
      <c r="O11" s="29">
        <f>COUNTIFS(Cálculo!$A$2:$A$1001,O$5,Cálculo!$C$2:$C$1001,$B$3*100+$A11)</f>
        <v>0</v>
      </c>
      <c r="P11" s="30">
        <f>SUMIFS(Cálculo!$D$2:$D$1001,Cálculo!$A$2:$A$1001,O$5,Cálculo!$C$2:$C$1001,$B$3*100+$A11)+SUMIFS(Cálculo!$F$2:$F$1001,Cálculo!$A$2:$A$1001,O$5,Cálculo!$C$2:$C$1001,$B$3*100+$A11)</f>
        <v>0</v>
      </c>
      <c r="Q11" s="31">
        <f>SUMIFS(Cálculo!$E$2:$E$1001,Cálculo!$A$2:$A$1001,O$5,Cálculo!$C$2:$C$1001,$B$3*100+$A11)</f>
        <v>0</v>
      </c>
      <c r="R11" s="31">
        <f>SUMIFS(Registro!$G$2:$G$1001,Cálculo!$A$2:$A$1001,O$5,Cálculo!$C$2:$C$1001,$B$3*100+$A11)</f>
        <v>0</v>
      </c>
      <c r="S11" s="31">
        <f>SUMIFS(Cálculo!$I$2:$I$1001,Cálculo!$A$2:$A$1001,O$5,Cálculo!$C$2:$C$1001,$B$3*100+$A11)+SUMIFS(Cálculo!$J$2:$J$1001,Cálculo!$A$2:$A$1001,O$5,Cálculo!$C$2:$C$1001,$B$3*100+$A11)</f>
        <v>0</v>
      </c>
      <c r="T11" s="31">
        <f>SUMIFS(Cálculo!$L$2:$L$1001,Cálculo!$A$2:$A$1001,O$5,Cálculo!$C$2:$C$1001,$B$3*100+$A11)</f>
        <v>0</v>
      </c>
      <c r="U11" s="29">
        <f t="shared" si="0"/>
        <v>0</v>
      </c>
      <c r="V11" s="31">
        <f t="shared" si="1"/>
        <v>0</v>
      </c>
      <c r="W11" s="31">
        <f t="shared" si="2"/>
        <v>0</v>
      </c>
      <c r="X11" s="31">
        <f t="shared" si="3"/>
        <v>0</v>
      </c>
    </row>
    <row r="12" spans="1:24" x14ac:dyDescent="0.25">
      <c r="A12" s="27">
        <v>6</v>
      </c>
      <c r="B12" s="28" t="s">
        <v>222</v>
      </c>
      <c r="C12" s="29">
        <f>COUNTIFS(Cálculo!$A$2:$A$1001,C$5,Cálculo!$C$2:$C$1001,$B$3*100+$A12)</f>
        <v>0</v>
      </c>
      <c r="D12" s="30">
        <f>SUMIFS(Cálculo!$D$2:$D$1001,Cálculo!$A$2:$A$1001,C$5,Cálculo!$C$2:$C$1001,$B$3*100+$A12)+SUMIFS(Cálculo!$F$2:$F$1001,Cálculo!$A$2:$A$1001,C$5,Cálculo!$C$2:$C$1001,$B$3*100+$A12)</f>
        <v>0</v>
      </c>
      <c r="E12" s="31">
        <f>SUMIFS(Cálculo!$E$2:$E$1001,Cálculo!$A$2:$A$1001,C$5,Cálculo!$C$2:$C$1001,$B$3*100+$A12)</f>
        <v>0</v>
      </c>
      <c r="F12" s="31">
        <f>SUMIFS(Registro!$G$2:$G$1001,Cálculo!$A$2:$A$1001,C$5,Cálculo!$C$2:$C$1001,$B$3*100+$A12)</f>
        <v>0</v>
      </c>
      <c r="G12" s="31">
        <f>SUMIFS(Cálculo!$I$2:$I$1001,Cálculo!$A$2:$A$1001,C$5,Cálculo!$C$2:$C$1001,$B$3*100+$A12)+SUMIFS(Cálculo!$J$2:$J$1001,Cálculo!$A$2:$A$1001,C$5,Cálculo!$C$2:$C$1001,$B$3*100+$A12)</f>
        <v>0</v>
      </c>
      <c r="H12" s="31">
        <f>SUMIFS(Cálculo!$L$2:$L$1001,Cálculo!$A$2:$A$1001,C$5,Cálculo!$C$2:$C$1001,$B$3*100+$A12)</f>
        <v>0</v>
      </c>
      <c r="I12" s="29">
        <f>COUNTIFS(Cálculo!$A$2:$A$1001,I$5,Cálculo!$C$2:$C$1001,$B$3*100+$A12)</f>
        <v>0</v>
      </c>
      <c r="J12" s="30">
        <f>SUMIFS(Cálculo!$D$2:$D$1001,Cálculo!$A$2:$A$1001,I$5,Cálculo!$C$2:$C$1001,$B$3*100+$A12)+SUMIFS(Cálculo!$F$2:$F$1001,Cálculo!$A$2:$A$1001,I$5,Cálculo!$C$2:$C$1001,$B$3*100+$A12)</f>
        <v>0</v>
      </c>
      <c r="K12" s="31">
        <f>SUMIFS(Cálculo!$E$2:$E$1001,Cálculo!$A$2:$A$1001,I$5,Cálculo!$C$2:$C$1001,$B$3*100+$A12)</f>
        <v>0</v>
      </c>
      <c r="L12" s="31">
        <f>SUMIFS(Registro!$G$2:$G$1001,Cálculo!$A$2:$A$1001,I$5,Cálculo!$C$2:$C$1001,$B$3*100+$A12)</f>
        <v>0</v>
      </c>
      <c r="M12" s="31">
        <f>SUMIFS(Cálculo!$I$2:$I$1001,Cálculo!$A$2:$A$1001,I$5,Cálculo!$C$2:$C$1001,$B$3*100+$A12)+SUMIFS(Cálculo!$J$2:$J$1001,Cálculo!$A$2:$A$1001,I$5,Cálculo!$C$2:$C$1001,$B$3*100+$A12)</f>
        <v>0</v>
      </c>
      <c r="N12" s="31">
        <f>SUMIFS(Cálculo!$L$2:$L$1001,Cálculo!$A$2:$A$1001,I$5,Cálculo!$C$2:$C$1001,$B$3*100+$A12)</f>
        <v>0</v>
      </c>
      <c r="O12" s="29">
        <f>COUNTIFS(Cálculo!$A$2:$A$1001,O$5,Cálculo!$C$2:$C$1001,$B$3*100+$A12)</f>
        <v>0</v>
      </c>
      <c r="P12" s="30">
        <f>SUMIFS(Cálculo!$D$2:$D$1001,Cálculo!$A$2:$A$1001,O$5,Cálculo!$C$2:$C$1001,$B$3*100+$A12)+SUMIFS(Cálculo!$F$2:$F$1001,Cálculo!$A$2:$A$1001,O$5,Cálculo!$C$2:$C$1001,$B$3*100+$A12)</f>
        <v>0</v>
      </c>
      <c r="Q12" s="31">
        <f>SUMIFS(Cálculo!$E$2:$E$1001,Cálculo!$A$2:$A$1001,O$5,Cálculo!$C$2:$C$1001,$B$3*100+$A12)</f>
        <v>0</v>
      </c>
      <c r="R12" s="31">
        <f>SUMIFS(Registro!$G$2:$G$1001,Cálculo!$A$2:$A$1001,O$5,Cálculo!$C$2:$C$1001,$B$3*100+$A12)</f>
        <v>0</v>
      </c>
      <c r="S12" s="31">
        <f>SUMIFS(Cálculo!$I$2:$I$1001,Cálculo!$A$2:$A$1001,O$5,Cálculo!$C$2:$C$1001,$B$3*100+$A12)+SUMIFS(Cálculo!$J$2:$J$1001,Cálculo!$A$2:$A$1001,O$5,Cálculo!$C$2:$C$1001,$B$3*100+$A12)</f>
        <v>0</v>
      </c>
      <c r="T12" s="31">
        <f>SUMIFS(Cálculo!$L$2:$L$1001,Cálculo!$A$2:$A$1001,O$5,Cálculo!$C$2:$C$1001,$B$3*100+$A12)</f>
        <v>0</v>
      </c>
      <c r="U12" s="29">
        <f t="shared" si="0"/>
        <v>0</v>
      </c>
      <c r="V12" s="31">
        <f t="shared" si="1"/>
        <v>0</v>
      </c>
      <c r="W12" s="31">
        <f t="shared" si="2"/>
        <v>0</v>
      </c>
      <c r="X12" s="31">
        <f t="shared" si="3"/>
        <v>0</v>
      </c>
    </row>
    <row r="13" spans="1:24" x14ac:dyDescent="0.25">
      <c r="A13" s="27">
        <v>7</v>
      </c>
      <c r="B13" s="28" t="s">
        <v>223</v>
      </c>
      <c r="C13" s="29">
        <f>COUNTIFS(Cálculo!$A$2:$A$1001,C$5,Cálculo!$C$2:$C$1001,$B$3*100+$A13)</f>
        <v>0</v>
      </c>
      <c r="D13" s="30">
        <f>SUMIFS(Cálculo!$D$2:$D$1001,Cálculo!$A$2:$A$1001,C$5,Cálculo!$C$2:$C$1001,$B$3*100+$A13)+SUMIFS(Cálculo!$F$2:$F$1001,Cálculo!$A$2:$A$1001,C$5,Cálculo!$C$2:$C$1001,$B$3*100+$A13)</f>
        <v>0</v>
      </c>
      <c r="E13" s="31">
        <f>SUMIFS(Cálculo!$E$2:$E$1001,Cálculo!$A$2:$A$1001,C$5,Cálculo!$C$2:$C$1001,$B$3*100+$A13)</f>
        <v>0</v>
      </c>
      <c r="F13" s="31">
        <f>SUMIFS(Registro!$G$2:$G$1001,Cálculo!$A$2:$A$1001,C$5,Cálculo!$C$2:$C$1001,$B$3*100+$A13)</f>
        <v>0</v>
      </c>
      <c r="G13" s="31">
        <f>SUMIFS(Cálculo!$I$2:$I$1001,Cálculo!$A$2:$A$1001,C$5,Cálculo!$C$2:$C$1001,$B$3*100+$A13)+SUMIFS(Cálculo!$J$2:$J$1001,Cálculo!$A$2:$A$1001,C$5,Cálculo!$C$2:$C$1001,$B$3*100+$A13)</f>
        <v>0</v>
      </c>
      <c r="H13" s="31">
        <f>SUMIFS(Cálculo!$L$2:$L$1001,Cálculo!$A$2:$A$1001,C$5,Cálculo!$C$2:$C$1001,$B$3*100+$A13)</f>
        <v>0</v>
      </c>
      <c r="I13" s="29">
        <f>COUNTIFS(Cálculo!$A$2:$A$1001,I$5,Cálculo!$C$2:$C$1001,$B$3*100+$A13)</f>
        <v>0</v>
      </c>
      <c r="J13" s="30">
        <f>SUMIFS(Cálculo!$D$2:$D$1001,Cálculo!$A$2:$A$1001,I$5,Cálculo!$C$2:$C$1001,$B$3*100+$A13)+SUMIFS(Cálculo!$F$2:$F$1001,Cálculo!$A$2:$A$1001,I$5,Cálculo!$C$2:$C$1001,$B$3*100+$A13)</f>
        <v>0</v>
      </c>
      <c r="K13" s="31">
        <f>SUMIFS(Cálculo!$E$2:$E$1001,Cálculo!$A$2:$A$1001,I$5,Cálculo!$C$2:$C$1001,$B$3*100+$A13)</f>
        <v>0</v>
      </c>
      <c r="L13" s="31">
        <f>SUMIFS(Registro!$G$2:$G$1001,Cálculo!$A$2:$A$1001,I$5,Cálculo!$C$2:$C$1001,$B$3*100+$A13)</f>
        <v>0</v>
      </c>
      <c r="M13" s="31">
        <f>SUMIFS(Cálculo!$I$2:$I$1001,Cálculo!$A$2:$A$1001,I$5,Cálculo!$C$2:$C$1001,$B$3*100+$A13)+SUMIFS(Cálculo!$J$2:$J$1001,Cálculo!$A$2:$A$1001,I$5,Cálculo!$C$2:$C$1001,$B$3*100+$A13)</f>
        <v>0</v>
      </c>
      <c r="N13" s="31">
        <f>SUMIFS(Cálculo!$L$2:$L$1001,Cálculo!$A$2:$A$1001,I$5,Cálculo!$C$2:$C$1001,$B$3*100+$A13)</f>
        <v>0</v>
      </c>
      <c r="O13" s="29">
        <f>COUNTIFS(Cálculo!$A$2:$A$1001,O$5,Cálculo!$C$2:$C$1001,$B$3*100+$A13)</f>
        <v>0</v>
      </c>
      <c r="P13" s="30">
        <f>SUMIFS(Cálculo!$D$2:$D$1001,Cálculo!$A$2:$A$1001,O$5,Cálculo!$C$2:$C$1001,$B$3*100+$A13)+SUMIFS(Cálculo!$F$2:$F$1001,Cálculo!$A$2:$A$1001,O$5,Cálculo!$C$2:$C$1001,$B$3*100+$A13)</f>
        <v>0</v>
      </c>
      <c r="Q13" s="31">
        <f>SUMIFS(Cálculo!$E$2:$E$1001,Cálculo!$A$2:$A$1001,O$5,Cálculo!$C$2:$C$1001,$B$3*100+$A13)</f>
        <v>0</v>
      </c>
      <c r="R13" s="31">
        <f>SUMIFS(Registro!$G$2:$G$1001,Cálculo!$A$2:$A$1001,O$5,Cálculo!$C$2:$C$1001,$B$3*100+$A13)</f>
        <v>0</v>
      </c>
      <c r="S13" s="31">
        <f>SUMIFS(Cálculo!$I$2:$I$1001,Cálculo!$A$2:$A$1001,O$5,Cálculo!$C$2:$C$1001,$B$3*100+$A13)+SUMIFS(Cálculo!$J$2:$J$1001,Cálculo!$A$2:$A$1001,O$5,Cálculo!$C$2:$C$1001,$B$3*100+$A13)</f>
        <v>0</v>
      </c>
      <c r="T13" s="31">
        <f>SUMIFS(Cálculo!$L$2:$L$1001,Cálculo!$A$2:$A$1001,O$5,Cálculo!$C$2:$C$1001,$B$3*100+$A13)</f>
        <v>0</v>
      </c>
      <c r="U13" s="29">
        <f t="shared" si="0"/>
        <v>0</v>
      </c>
      <c r="V13" s="31">
        <f t="shared" si="1"/>
        <v>0</v>
      </c>
      <c r="W13" s="31">
        <f t="shared" si="2"/>
        <v>0</v>
      </c>
      <c r="X13" s="31">
        <f t="shared" si="3"/>
        <v>0</v>
      </c>
    </row>
    <row r="14" spans="1:24" x14ac:dyDescent="0.25">
      <c r="A14" s="27">
        <v>8</v>
      </c>
      <c r="B14" s="28" t="s">
        <v>224</v>
      </c>
      <c r="C14" s="29">
        <f>COUNTIFS(Cálculo!$A$2:$A$1001,C$5,Cálculo!$C$2:$C$1001,$B$3*100+$A14)</f>
        <v>0</v>
      </c>
      <c r="D14" s="30">
        <f>SUMIFS(Cálculo!$D$2:$D$1001,Cálculo!$A$2:$A$1001,C$5,Cálculo!$C$2:$C$1001,$B$3*100+$A14)+SUMIFS(Cálculo!$F$2:$F$1001,Cálculo!$A$2:$A$1001,C$5,Cálculo!$C$2:$C$1001,$B$3*100+$A14)</f>
        <v>0</v>
      </c>
      <c r="E14" s="31">
        <f>SUMIFS(Cálculo!$E$2:$E$1001,Cálculo!$A$2:$A$1001,C$5,Cálculo!$C$2:$C$1001,$B$3*100+$A14)</f>
        <v>0</v>
      </c>
      <c r="F14" s="31">
        <f>SUMIFS(Registro!$G$2:$G$1001,Cálculo!$A$2:$A$1001,C$5,Cálculo!$C$2:$C$1001,$B$3*100+$A14)</f>
        <v>0</v>
      </c>
      <c r="G14" s="31">
        <f>SUMIFS(Cálculo!$I$2:$I$1001,Cálculo!$A$2:$A$1001,C$5,Cálculo!$C$2:$C$1001,$B$3*100+$A14)+SUMIFS(Cálculo!$J$2:$J$1001,Cálculo!$A$2:$A$1001,C$5,Cálculo!$C$2:$C$1001,$B$3*100+$A14)</f>
        <v>0</v>
      </c>
      <c r="H14" s="31">
        <f>SUMIFS(Cálculo!$L$2:$L$1001,Cálculo!$A$2:$A$1001,C$5,Cálculo!$C$2:$C$1001,$B$3*100+$A14)</f>
        <v>0</v>
      </c>
      <c r="I14" s="29">
        <f>COUNTIFS(Cálculo!$A$2:$A$1001,I$5,Cálculo!$C$2:$C$1001,$B$3*100+$A14)</f>
        <v>0</v>
      </c>
      <c r="J14" s="30">
        <f>SUMIFS(Cálculo!$D$2:$D$1001,Cálculo!$A$2:$A$1001,I$5,Cálculo!$C$2:$C$1001,$B$3*100+$A14)+SUMIFS(Cálculo!$F$2:$F$1001,Cálculo!$A$2:$A$1001,I$5,Cálculo!$C$2:$C$1001,$B$3*100+$A14)</f>
        <v>0</v>
      </c>
      <c r="K14" s="31">
        <f>SUMIFS(Cálculo!$E$2:$E$1001,Cálculo!$A$2:$A$1001,I$5,Cálculo!$C$2:$C$1001,$B$3*100+$A14)</f>
        <v>0</v>
      </c>
      <c r="L14" s="31">
        <f>SUMIFS(Registro!$G$2:$G$1001,Cálculo!$A$2:$A$1001,I$5,Cálculo!$C$2:$C$1001,$B$3*100+$A14)</f>
        <v>0</v>
      </c>
      <c r="M14" s="31">
        <f>SUMIFS(Cálculo!$I$2:$I$1001,Cálculo!$A$2:$A$1001,I$5,Cálculo!$C$2:$C$1001,$B$3*100+$A14)+SUMIFS(Cálculo!$J$2:$J$1001,Cálculo!$A$2:$A$1001,I$5,Cálculo!$C$2:$C$1001,$B$3*100+$A14)</f>
        <v>0</v>
      </c>
      <c r="N14" s="31">
        <f>SUMIFS(Cálculo!$L$2:$L$1001,Cálculo!$A$2:$A$1001,I$5,Cálculo!$C$2:$C$1001,$B$3*100+$A14)</f>
        <v>0</v>
      </c>
      <c r="O14" s="29">
        <f>COUNTIFS(Cálculo!$A$2:$A$1001,O$5,Cálculo!$C$2:$C$1001,$B$3*100+$A14)</f>
        <v>0</v>
      </c>
      <c r="P14" s="30">
        <f>SUMIFS(Cálculo!$D$2:$D$1001,Cálculo!$A$2:$A$1001,O$5,Cálculo!$C$2:$C$1001,$B$3*100+$A14)+SUMIFS(Cálculo!$F$2:$F$1001,Cálculo!$A$2:$A$1001,O$5,Cálculo!$C$2:$C$1001,$B$3*100+$A14)</f>
        <v>0</v>
      </c>
      <c r="Q14" s="31">
        <f>SUMIFS(Cálculo!$E$2:$E$1001,Cálculo!$A$2:$A$1001,O$5,Cálculo!$C$2:$C$1001,$B$3*100+$A14)</f>
        <v>0</v>
      </c>
      <c r="R14" s="31">
        <f>SUMIFS(Registro!$G$2:$G$1001,Cálculo!$A$2:$A$1001,O$5,Cálculo!$C$2:$C$1001,$B$3*100+$A14)</f>
        <v>0</v>
      </c>
      <c r="S14" s="31">
        <f>SUMIFS(Cálculo!$I$2:$I$1001,Cálculo!$A$2:$A$1001,O$5,Cálculo!$C$2:$C$1001,$B$3*100+$A14)+SUMIFS(Cálculo!$J$2:$J$1001,Cálculo!$A$2:$A$1001,O$5,Cálculo!$C$2:$C$1001,$B$3*100+$A14)</f>
        <v>0</v>
      </c>
      <c r="T14" s="31">
        <f>SUMIFS(Cálculo!$L$2:$L$1001,Cálculo!$A$2:$A$1001,O$5,Cálculo!$C$2:$C$1001,$B$3*100+$A14)</f>
        <v>0</v>
      </c>
      <c r="U14" s="29">
        <f t="shared" si="0"/>
        <v>0</v>
      </c>
      <c r="V14" s="31">
        <f t="shared" si="1"/>
        <v>0</v>
      </c>
      <c r="W14" s="31">
        <f t="shared" si="2"/>
        <v>0</v>
      </c>
      <c r="X14" s="31">
        <f t="shared" si="3"/>
        <v>0</v>
      </c>
    </row>
    <row r="15" spans="1:24" x14ac:dyDescent="0.25">
      <c r="A15" s="27">
        <v>9</v>
      </c>
      <c r="B15" s="28" t="s">
        <v>225</v>
      </c>
      <c r="C15" s="29">
        <f>COUNTIFS(Cálculo!$A$2:$A$1001,C$5,Cálculo!$C$2:$C$1001,$B$3*100+$A15)</f>
        <v>0</v>
      </c>
      <c r="D15" s="30">
        <f>SUMIFS(Cálculo!$D$2:$D$1001,Cálculo!$A$2:$A$1001,C$5,Cálculo!$C$2:$C$1001,$B$3*100+$A15)+SUMIFS(Cálculo!$F$2:$F$1001,Cálculo!$A$2:$A$1001,C$5,Cálculo!$C$2:$C$1001,$B$3*100+$A15)</f>
        <v>0</v>
      </c>
      <c r="E15" s="31">
        <f>SUMIFS(Cálculo!$E$2:$E$1001,Cálculo!$A$2:$A$1001,C$5,Cálculo!$C$2:$C$1001,$B$3*100+$A15)</f>
        <v>0</v>
      </c>
      <c r="F15" s="31">
        <f>SUMIFS(Registro!$G$2:$G$1001,Cálculo!$A$2:$A$1001,C$5,Cálculo!$C$2:$C$1001,$B$3*100+$A15)</f>
        <v>0</v>
      </c>
      <c r="G15" s="31">
        <f>SUMIFS(Cálculo!$I$2:$I$1001,Cálculo!$A$2:$A$1001,C$5,Cálculo!$C$2:$C$1001,$B$3*100+$A15)+SUMIFS(Cálculo!$J$2:$J$1001,Cálculo!$A$2:$A$1001,C$5,Cálculo!$C$2:$C$1001,$B$3*100+$A15)</f>
        <v>0</v>
      </c>
      <c r="H15" s="31">
        <f>SUMIFS(Cálculo!$L$2:$L$1001,Cálculo!$A$2:$A$1001,C$5,Cálculo!$C$2:$C$1001,$B$3*100+$A15)</f>
        <v>0</v>
      </c>
      <c r="I15" s="29">
        <f>COUNTIFS(Cálculo!$A$2:$A$1001,I$5,Cálculo!$C$2:$C$1001,$B$3*100+$A15)</f>
        <v>0</v>
      </c>
      <c r="J15" s="30">
        <f>SUMIFS(Cálculo!$D$2:$D$1001,Cálculo!$A$2:$A$1001,I$5,Cálculo!$C$2:$C$1001,$B$3*100+$A15)+SUMIFS(Cálculo!$F$2:$F$1001,Cálculo!$A$2:$A$1001,I$5,Cálculo!$C$2:$C$1001,$B$3*100+$A15)</f>
        <v>0</v>
      </c>
      <c r="K15" s="31">
        <f>SUMIFS(Cálculo!$E$2:$E$1001,Cálculo!$A$2:$A$1001,I$5,Cálculo!$C$2:$C$1001,$B$3*100+$A15)</f>
        <v>0</v>
      </c>
      <c r="L15" s="31">
        <f>SUMIFS(Registro!$G$2:$G$1001,Cálculo!$A$2:$A$1001,I$5,Cálculo!$C$2:$C$1001,$B$3*100+$A15)</f>
        <v>0</v>
      </c>
      <c r="M15" s="31">
        <f>SUMIFS(Cálculo!$I$2:$I$1001,Cálculo!$A$2:$A$1001,I$5,Cálculo!$C$2:$C$1001,$B$3*100+$A15)+SUMIFS(Cálculo!$J$2:$J$1001,Cálculo!$A$2:$A$1001,I$5,Cálculo!$C$2:$C$1001,$B$3*100+$A15)</f>
        <v>0</v>
      </c>
      <c r="N15" s="31">
        <f>SUMIFS(Cálculo!$L$2:$L$1001,Cálculo!$A$2:$A$1001,I$5,Cálculo!$C$2:$C$1001,$B$3*100+$A15)</f>
        <v>0</v>
      </c>
      <c r="O15" s="29">
        <f>COUNTIFS(Cálculo!$A$2:$A$1001,O$5,Cálculo!$C$2:$C$1001,$B$3*100+$A15)</f>
        <v>0</v>
      </c>
      <c r="P15" s="30">
        <f>SUMIFS(Cálculo!$D$2:$D$1001,Cálculo!$A$2:$A$1001,O$5,Cálculo!$C$2:$C$1001,$B$3*100+$A15)+SUMIFS(Cálculo!$F$2:$F$1001,Cálculo!$A$2:$A$1001,O$5,Cálculo!$C$2:$C$1001,$B$3*100+$A15)</f>
        <v>0</v>
      </c>
      <c r="Q15" s="31">
        <f>SUMIFS(Cálculo!$E$2:$E$1001,Cálculo!$A$2:$A$1001,O$5,Cálculo!$C$2:$C$1001,$B$3*100+$A15)</f>
        <v>0</v>
      </c>
      <c r="R15" s="31">
        <f>SUMIFS(Registro!$G$2:$G$1001,Cálculo!$A$2:$A$1001,O$5,Cálculo!$C$2:$C$1001,$B$3*100+$A15)</f>
        <v>0</v>
      </c>
      <c r="S15" s="31">
        <f>SUMIFS(Cálculo!$I$2:$I$1001,Cálculo!$A$2:$A$1001,O$5,Cálculo!$C$2:$C$1001,$B$3*100+$A15)+SUMIFS(Cálculo!$J$2:$J$1001,Cálculo!$A$2:$A$1001,O$5,Cálculo!$C$2:$C$1001,$B$3*100+$A15)</f>
        <v>0</v>
      </c>
      <c r="T15" s="31">
        <f>SUMIFS(Cálculo!$L$2:$L$1001,Cálculo!$A$2:$A$1001,O$5,Cálculo!$C$2:$C$1001,$B$3*100+$A15)</f>
        <v>0</v>
      </c>
      <c r="U15" s="29">
        <f t="shared" si="0"/>
        <v>0</v>
      </c>
      <c r="V15" s="31">
        <f t="shared" si="1"/>
        <v>0</v>
      </c>
      <c r="W15" s="31">
        <f t="shared" si="2"/>
        <v>0</v>
      </c>
      <c r="X15" s="31">
        <f t="shared" si="3"/>
        <v>0</v>
      </c>
    </row>
    <row r="16" spans="1:24" x14ac:dyDescent="0.25">
      <c r="A16" s="27">
        <v>10</v>
      </c>
      <c r="B16" s="28" t="s">
        <v>185</v>
      </c>
      <c r="C16" s="29">
        <f>COUNTIFS(Cálculo!$A$2:$A$1001,C$5,Cálculo!$C$2:$C$1001,$B$3*100+$A16)</f>
        <v>26</v>
      </c>
      <c r="D16" s="30">
        <f>SUMIFS(Cálculo!$D$2:$D$1001,Cálculo!$A$2:$A$1001,C$5,Cálculo!$C$2:$C$1001,$B$3*100+$A16)+SUMIFS(Cálculo!$F$2:$F$1001,Cálculo!$A$2:$A$1001,C$5,Cálculo!$C$2:$C$1001,$B$3*100+$A16)</f>
        <v>1129</v>
      </c>
      <c r="E16" s="31">
        <f>SUMIFS(Cálculo!$E$2:$E$1001,Cálculo!$A$2:$A$1001,C$5,Cálculo!$C$2:$C$1001,$B$3*100+$A16)</f>
        <v>53675</v>
      </c>
      <c r="F16" s="31">
        <f>SUMIFS(Registro!$G$2:$G$1001,Cálculo!$A$2:$A$1001,C$5,Cálculo!$C$2:$C$1001,$B$3*100+$A16)</f>
        <v>72319</v>
      </c>
      <c r="G16" s="31">
        <f>SUMIFS(Cálculo!$I$2:$I$1001,Cálculo!$A$2:$A$1001,C$5,Cálculo!$C$2:$C$1001,$B$3*100+$A16)+SUMIFS(Cálculo!$J$2:$J$1001,Cálculo!$A$2:$A$1001,C$5,Cálculo!$C$2:$C$1001,$B$3*100+$A16)</f>
        <v>69567</v>
      </c>
      <c r="H16" s="31">
        <f>SUMIFS(Cálculo!$L$2:$L$1001,Cálculo!$A$2:$A$1001,C$5,Cálculo!$C$2:$C$1001,$B$3*100+$A16)</f>
        <v>2752</v>
      </c>
      <c r="I16" s="29">
        <f>COUNTIFS(Cálculo!$A$2:$A$1001,I$5,Cálculo!$C$2:$C$1001,$B$3*100+$A16)</f>
        <v>23</v>
      </c>
      <c r="J16" s="30">
        <f>SUMIFS(Cálculo!$D$2:$D$1001,Cálculo!$A$2:$A$1001,I$5,Cálculo!$C$2:$C$1001,$B$3*100+$A16)+SUMIFS(Cálculo!$F$2:$F$1001,Cálculo!$A$2:$A$1001,I$5,Cálculo!$C$2:$C$1001,$B$3*100+$A16)</f>
        <v>1253</v>
      </c>
      <c r="K16" s="31">
        <f>SUMIFS(Cálculo!$E$2:$E$1001,Cálculo!$A$2:$A$1001,I$5,Cálculo!$C$2:$C$1001,$B$3*100+$A16)</f>
        <v>52980</v>
      </c>
      <c r="L16" s="31">
        <f>SUMIFS(Registro!$G$2:$G$1001,Cálculo!$A$2:$A$1001,I$5,Cálculo!$C$2:$C$1001,$B$3*100+$A16)</f>
        <v>58695</v>
      </c>
      <c r="M16" s="31">
        <f>SUMIFS(Cálculo!$I$2:$I$1001,Cálculo!$A$2:$A$1001,I$5,Cálculo!$C$2:$C$1001,$B$3*100+$A16)+SUMIFS(Cálculo!$J$2:$J$1001,Cálculo!$A$2:$A$1001,I$5,Cálculo!$C$2:$C$1001,$B$3*100+$A16)</f>
        <v>8647</v>
      </c>
      <c r="N16" s="31">
        <f>SUMIFS(Cálculo!$L$2:$L$1001,Cálculo!$A$2:$A$1001,I$5,Cálculo!$C$2:$C$1001,$B$3*100+$A16)</f>
        <v>50048</v>
      </c>
      <c r="O16" s="29">
        <f>COUNTIFS(Cálculo!$A$2:$A$1001,O$5,Cálculo!$C$2:$C$1001,$B$3*100+$A16)</f>
        <v>0</v>
      </c>
      <c r="P16" s="30">
        <f>SUMIFS(Cálculo!$D$2:$D$1001,Cálculo!$A$2:$A$1001,O$5,Cálculo!$C$2:$C$1001,$B$3*100+$A16)+SUMIFS(Cálculo!$F$2:$F$1001,Cálculo!$A$2:$A$1001,O$5,Cálculo!$C$2:$C$1001,$B$3*100+$A16)</f>
        <v>0</v>
      </c>
      <c r="Q16" s="31">
        <f>SUMIFS(Cálculo!$E$2:$E$1001,Cálculo!$A$2:$A$1001,O$5,Cálculo!$C$2:$C$1001,$B$3*100+$A16)</f>
        <v>0</v>
      </c>
      <c r="R16" s="31">
        <f>SUMIFS(Registro!$G$2:$G$1001,Cálculo!$A$2:$A$1001,O$5,Cálculo!$C$2:$C$1001,$B$3*100+$A16)</f>
        <v>0</v>
      </c>
      <c r="S16" s="31">
        <f>SUMIFS(Cálculo!$I$2:$I$1001,Cálculo!$A$2:$A$1001,O$5,Cálculo!$C$2:$C$1001,$B$3*100+$A16)+SUMIFS(Cálculo!$J$2:$J$1001,Cálculo!$A$2:$A$1001,O$5,Cálculo!$C$2:$C$1001,$B$3*100+$A16)</f>
        <v>0</v>
      </c>
      <c r="T16" s="31">
        <f>SUMIFS(Cálculo!$L$2:$L$1001,Cálculo!$A$2:$A$1001,O$5,Cálculo!$C$2:$C$1001,$B$3*100+$A16)</f>
        <v>0</v>
      </c>
      <c r="U16" s="29">
        <f t="shared" si="0"/>
        <v>49</v>
      </c>
      <c r="V16" s="31">
        <f t="shared" si="1"/>
        <v>106655</v>
      </c>
      <c r="W16" s="31">
        <f t="shared" si="2"/>
        <v>131014</v>
      </c>
      <c r="X16" s="31">
        <f t="shared" si="3"/>
        <v>52800</v>
      </c>
    </row>
    <row r="17" spans="1:24" x14ac:dyDescent="0.25">
      <c r="A17" s="27">
        <v>11</v>
      </c>
      <c r="B17" s="28" t="s">
        <v>226</v>
      </c>
      <c r="C17" s="29">
        <f>COUNTIFS(Cálculo!$A$2:$A$1001,C$5,Cálculo!$C$2:$C$1001,$B$3*100+$A17)</f>
        <v>0</v>
      </c>
      <c r="D17" s="30">
        <f>SUMIFS(Cálculo!$D$2:$D$1001,Cálculo!$A$2:$A$1001,C$5,Cálculo!$C$2:$C$1001,$B$3*100+$A17)+SUMIFS(Cálculo!$F$2:$F$1001,Cálculo!$A$2:$A$1001,C$5,Cálculo!$C$2:$C$1001,$B$3*100+$A17)</f>
        <v>0</v>
      </c>
      <c r="E17" s="31">
        <f>SUMIFS(Cálculo!$E$2:$E$1001,Cálculo!$A$2:$A$1001,C$5,Cálculo!$C$2:$C$1001,$B$3*100+$A17)</f>
        <v>0</v>
      </c>
      <c r="F17" s="31">
        <f>SUMIFS(Registro!$G$2:$G$1001,Cálculo!$A$2:$A$1001,C$5,Cálculo!$C$2:$C$1001,$B$3*100+$A17)</f>
        <v>0</v>
      </c>
      <c r="G17" s="31">
        <f>SUMIFS(Cálculo!$I$2:$I$1001,Cálculo!$A$2:$A$1001,C$5,Cálculo!$C$2:$C$1001,$B$3*100+$A17)+SUMIFS(Cálculo!$J$2:$J$1001,Cálculo!$A$2:$A$1001,C$5,Cálculo!$C$2:$C$1001,$B$3*100+$A17)</f>
        <v>0</v>
      </c>
      <c r="H17" s="31">
        <f>SUMIFS(Cálculo!$L$2:$L$1001,Cálculo!$A$2:$A$1001,C$5,Cálculo!$C$2:$C$1001,$B$3*100+$A17)</f>
        <v>0</v>
      </c>
      <c r="I17" s="29">
        <f>COUNTIFS(Cálculo!$A$2:$A$1001,I$5,Cálculo!$C$2:$C$1001,$B$3*100+$A17)</f>
        <v>0</v>
      </c>
      <c r="J17" s="30">
        <f>SUMIFS(Cálculo!$D$2:$D$1001,Cálculo!$A$2:$A$1001,I$5,Cálculo!$C$2:$C$1001,$B$3*100+$A17)+SUMIFS(Cálculo!$F$2:$F$1001,Cálculo!$A$2:$A$1001,I$5,Cálculo!$C$2:$C$1001,$B$3*100+$A17)</f>
        <v>0</v>
      </c>
      <c r="K17" s="31">
        <f>SUMIFS(Cálculo!$E$2:$E$1001,Cálculo!$A$2:$A$1001,I$5,Cálculo!$C$2:$C$1001,$B$3*100+$A17)</f>
        <v>0</v>
      </c>
      <c r="L17" s="31">
        <f>SUMIFS(Registro!$G$2:$G$1001,Cálculo!$A$2:$A$1001,I$5,Cálculo!$C$2:$C$1001,$B$3*100+$A17)</f>
        <v>0</v>
      </c>
      <c r="M17" s="31">
        <f>SUMIFS(Cálculo!$I$2:$I$1001,Cálculo!$A$2:$A$1001,I$5,Cálculo!$C$2:$C$1001,$B$3*100+$A17)+SUMIFS(Cálculo!$J$2:$J$1001,Cálculo!$A$2:$A$1001,I$5,Cálculo!$C$2:$C$1001,$B$3*100+$A17)</f>
        <v>0</v>
      </c>
      <c r="N17" s="31">
        <f>SUMIFS(Cálculo!$L$2:$L$1001,Cálculo!$A$2:$A$1001,I$5,Cálculo!$C$2:$C$1001,$B$3*100+$A17)</f>
        <v>0</v>
      </c>
      <c r="O17" s="29">
        <f>COUNTIFS(Cálculo!$A$2:$A$1001,O$5,Cálculo!$C$2:$C$1001,$B$3*100+$A17)</f>
        <v>0</v>
      </c>
      <c r="P17" s="30">
        <f>SUMIFS(Cálculo!$D$2:$D$1001,Cálculo!$A$2:$A$1001,O$5,Cálculo!$C$2:$C$1001,$B$3*100+$A17)+SUMIFS(Cálculo!$F$2:$F$1001,Cálculo!$A$2:$A$1001,O$5,Cálculo!$C$2:$C$1001,$B$3*100+$A17)</f>
        <v>0</v>
      </c>
      <c r="Q17" s="31">
        <f>SUMIFS(Cálculo!$E$2:$E$1001,Cálculo!$A$2:$A$1001,O$5,Cálculo!$C$2:$C$1001,$B$3*100+$A17)</f>
        <v>0</v>
      </c>
      <c r="R17" s="31">
        <f>SUMIFS(Registro!$G$2:$G$1001,Cálculo!$A$2:$A$1001,O$5,Cálculo!$C$2:$C$1001,$B$3*100+$A17)</f>
        <v>0</v>
      </c>
      <c r="S17" s="31">
        <f>SUMIFS(Cálculo!$I$2:$I$1001,Cálculo!$A$2:$A$1001,O$5,Cálculo!$C$2:$C$1001,$B$3*100+$A17)+SUMIFS(Cálculo!$J$2:$J$1001,Cálculo!$A$2:$A$1001,O$5,Cálculo!$C$2:$C$1001,$B$3*100+$A17)</f>
        <v>0</v>
      </c>
      <c r="T17" s="31">
        <f>SUMIFS(Cálculo!$L$2:$L$1001,Cálculo!$A$2:$A$1001,O$5,Cálculo!$C$2:$C$1001,$B$3*100+$A17)</f>
        <v>0</v>
      </c>
      <c r="U17" s="29">
        <f t="shared" si="0"/>
        <v>0</v>
      </c>
      <c r="V17" s="31">
        <f t="shared" si="1"/>
        <v>0</v>
      </c>
      <c r="W17" s="31">
        <f t="shared" si="2"/>
        <v>0</v>
      </c>
      <c r="X17" s="31">
        <f t="shared" si="3"/>
        <v>0</v>
      </c>
    </row>
    <row r="18" spans="1:24" x14ac:dyDescent="0.25">
      <c r="A18" s="27">
        <v>12</v>
      </c>
      <c r="B18" s="28" t="s">
        <v>227</v>
      </c>
      <c r="C18" s="29">
        <f>COUNTIFS(Cálculo!$A$2:$A$1001,C$5,Cálculo!$C$2:$C$1001,$B$3*100+$A18)</f>
        <v>0</v>
      </c>
      <c r="D18" s="30">
        <f>SUMIFS(Cálculo!$D$2:$D$1001,Cálculo!$A$2:$A$1001,C$5,Cálculo!$C$2:$C$1001,$B$3*100+$A18)+SUMIFS(Cálculo!$F$2:$F$1001,Cálculo!$A$2:$A$1001,C$5,Cálculo!$C$2:$C$1001,$B$3*100+$A18)</f>
        <v>0</v>
      </c>
      <c r="E18" s="31">
        <f>SUMIFS(Cálculo!$E$2:$E$1001,Cálculo!$A$2:$A$1001,C$5,Cálculo!$C$2:$C$1001,$B$3*100+$A18)</f>
        <v>0</v>
      </c>
      <c r="F18" s="31">
        <f>SUMIFS(Registro!$G$2:$G$1001,Cálculo!$A$2:$A$1001,C$5,Cálculo!$C$2:$C$1001,$B$3*100+$A18)</f>
        <v>0</v>
      </c>
      <c r="G18" s="31">
        <f>SUMIFS(Cálculo!$I$2:$I$1001,Cálculo!$A$2:$A$1001,C$5,Cálculo!$C$2:$C$1001,$B$3*100+$A18)+SUMIFS(Cálculo!$J$2:$J$1001,Cálculo!$A$2:$A$1001,C$5,Cálculo!$C$2:$C$1001,$B$3*100+$A18)</f>
        <v>0</v>
      </c>
      <c r="H18" s="31">
        <f>SUMIFS(Cálculo!$L$2:$L$1001,Cálculo!$A$2:$A$1001,C$5,Cálculo!$C$2:$C$1001,$B$3*100+$A18)</f>
        <v>0</v>
      </c>
      <c r="I18" s="29">
        <f>COUNTIFS(Cálculo!$A$2:$A$1001,I$5,Cálculo!$C$2:$C$1001,$B$3*100+$A18)</f>
        <v>0</v>
      </c>
      <c r="J18" s="30">
        <f>SUMIFS(Cálculo!$D$2:$D$1001,Cálculo!$A$2:$A$1001,I$5,Cálculo!$C$2:$C$1001,$B$3*100+$A18)+SUMIFS(Cálculo!$F$2:$F$1001,Cálculo!$A$2:$A$1001,I$5,Cálculo!$C$2:$C$1001,$B$3*100+$A18)</f>
        <v>0</v>
      </c>
      <c r="K18" s="31">
        <f>SUMIFS(Cálculo!$E$2:$E$1001,Cálculo!$A$2:$A$1001,I$5,Cálculo!$C$2:$C$1001,$B$3*100+$A18)</f>
        <v>0</v>
      </c>
      <c r="L18" s="31">
        <f>SUMIFS(Registro!$G$2:$G$1001,Cálculo!$A$2:$A$1001,I$5,Cálculo!$C$2:$C$1001,$B$3*100+$A18)</f>
        <v>0</v>
      </c>
      <c r="M18" s="31">
        <f>SUMIFS(Cálculo!$I$2:$I$1001,Cálculo!$A$2:$A$1001,I$5,Cálculo!$C$2:$C$1001,$B$3*100+$A18)+SUMIFS(Cálculo!$J$2:$J$1001,Cálculo!$A$2:$A$1001,I$5,Cálculo!$C$2:$C$1001,$B$3*100+$A18)</f>
        <v>0</v>
      </c>
      <c r="N18" s="31">
        <f>SUMIFS(Cálculo!$L$2:$L$1001,Cálculo!$A$2:$A$1001,I$5,Cálculo!$C$2:$C$1001,$B$3*100+$A18)</f>
        <v>0</v>
      </c>
      <c r="O18" s="29">
        <f>COUNTIFS(Cálculo!$A$2:$A$1001,O$5,Cálculo!$C$2:$C$1001,$B$3*100+$A18)</f>
        <v>0</v>
      </c>
      <c r="P18" s="30">
        <f>SUMIFS(Cálculo!$D$2:$D$1001,Cálculo!$A$2:$A$1001,O$5,Cálculo!$C$2:$C$1001,$B$3*100+$A18)+SUMIFS(Cálculo!$F$2:$F$1001,Cálculo!$A$2:$A$1001,O$5,Cálculo!$C$2:$C$1001,$B$3*100+$A18)</f>
        <v>0</v>
      </c>
      <c r="Q18" s="31">
        <f>SUMIFS(Cálculo!$E$2:$E$1001,Cálculo!$A$2:$A$1001,O$5,Cálculo!$C$2:$C$1001,$B$3*100+$A18)</f>
        <v>0</v>
      </c>
      <c r="R18" s="31">
        <f>SUMIFS(Registro!$G$2:$G$1001,Cálculo!$A$2:$A$1001,O$5,Cálculo!$C$2:$C$1001,$B$3*100+$A18)</f>
        <v>0</v>
      </c>
      <c r="S18" s="31">
        <f>SUMIFS(Cálculo!$I$2:$I$1001,Cálculo!$A$2:$A$1001,O$5,Cálculo!$C$2:$C$1001,$B$3*100+$A18)+SUMIFS(Cálculo!$J$2:$J$1001,Cálculo!$A$2:$A$1001,O$5,Cálculo!$C$2:$C$1001,$B$3*100+$A18)</f>
        <v>0</v>
      </c>
      <c r="T18" s="31">
        <f>SUMIFS(Cálculo!$L$2:$L$1001,Cálculo!$A$2:$A$1001,O$5,Cálculo!$C$2:$C$1001,$B$3*100+$A18)</f>
        <v>0</v>
      </c>
      <c r="U18" s="29">
        <f t="shared" si="0"/>
        <v>0</v>
      </c>
      <c r="V18" s="31">
        <f t="shared" si="1"/>
        <v>0</v>
      </c>
      <c r="W18" s="31">
        <f t="shared" si="2"/>
        <v>0</v>
      </c>
      <c r="X18" s="31">
        <f t="shared" si="3"/>
        <v>0</v>
      </c>
    </row>
    <row r="19" spans="1:24" x14ac:dyDescent="0.25">
      <c r="A19" s="15"/>
      <c r="B19" s="15" t="s">
        <v>228</v>
      </c>
      <c r="C19" s="32">
        <f t="shared" ref="C19:X19" si="4">SUM(C7:C18)</f>
        <v>26</v>
      </c>
      <c r="D19" s="33">
        <f t="shared" si="4"/>
        <v>1129</v>
      </c>
      <c r="E19" s="34">
        <f t="shared" si="4"/>
        <v>53675</v>
      </c>
      <c r="F19" s="34">
        <f t="shared" si="4"/>
        <v>72319</v>
      </c>
      <c r="G19" s="34">
        <f t="shared" si="4"/>
        <v>69567</v>
      </c>
      <c r="H19" s="34">
        <f t="shared" si="4"/>
        <v>2752</v>
      </c>
      <c r="I19" s="32">
        <f t="shared" si="4"/>
        <v>23</v>
      </c>
      <c r="J19" s="33">
        <f t="shared" si="4"/>
        <v>1253</v>
      </c>
      <c r="K19" s="34">
        <f t="shared" si="4"/>
        <v>52980</v>
      </c>
      <c r="L19" s="34">
        <f t="shared" si="4"/>
        <v>58695</v>
      </c>
      <c r="M19" s="34">
        <f t="shared" si="4"/>
        <v>8647</v>
      </c>
      <c r="N19" s="34">
        <f t="shared" si="4"/>
        <v>50048</v>
      </c>
      <c r="O19" s="32">
        <f t="shared" si="4"/>
        <v>0</v>
      </c>
      <c r="P19" s="33">
        <f t="shared" si="4"/>
        <v>0</v>
      </c>
      <c r="Q19" s="34">
        <f t="shared" si="4"/>
        <v>0</v>
      </c>
      <c r="R19" s="34">
        <f t="shared" si="4"/>
        <v>0</v>
      </c>
      <c r="S19" s="34">
        <f t="shared" si="4"/>
        <v>0</v>
      </c>
      <c r="T19" s="34">
        <f t="shared" si="4"/>
        <v>0</v>
      </c>
      <c r="U19" s="32">
        <f t="shared" si="4"/>
        <v>49</v>
      </c>
      <c r="V19" s="34">
        <f t="shared" si="4"/>
        <v>106655</v>
      </c>
      <c r="W19" s="34">
        <f t="shared" si="4"/>
        <v>131014</v>
      </c>
      <c r="X19" s="34">
        <f t="shared" si="4"/>
        <v>52800</v>
      </c>
    </row>
  </sheetData>
  <mergeCells count="4">
    <mergeCell ref="C5:H5"/>
    <mergeCell ref="I5:N5"/>
    <mergeCell ref="O5:T5"/>
    <mergeCell ref="U5:X5"/>
  </mergeCells>
  <dataValidations disablePrompts="1" count="1">
    <dataValidation type="whole" showErrorMessage="1" error="Escribe un año (ej. 2026)." sqref="B3" xr:uid="{00000000-0002-0000-0300-000000000000}">
      <formula1>2000</formula1>
      <formula2>2100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F7F"/>
  </sheetPr>
  <dimension ref="A1:M1001"/>
  <sheetViews>
    <sheetView zoomScaleNormal="100" workbookViewId="0">
      <pane ySplit="1" topLeftCell="A2" activePane="bottomLeft" state="frozen"/>
      <selection pane="bottomLeft" activeCell="H2" sqref="H2"/>
    </sheetView>
  </sheetViews>
  <sheetFormatPr baseColWidth="10" defaultColWidth="8.7109375" defaultRowHeight="15" x14ac:dyDescent="0.25"/>
  <cols>
    <col min="1" max="1" width="8" customWidth="1"/>
    <col min="2" max="2" width="12" customWidth="1"/>
    <col min="3" max="6" width="14" customWidth="1"/>
    <col min="7" max="8" width="16" customWidth="1"/>
    <col min="9" max="10" width="14" customWidth="1"/>
    <col min="11" max="11" width="16" customWidth="1"/>
    <col min="12" max="13" width="14" customWidth="1"/>
  </cols>
  <sheetData>
    <row r="1" spans="1:13" ht="31.5" customHeight="1" x14ac:dyDescent="0.25">
      <c r="A1" s="4" t="s">
        <v>16</v>
      </c>
      <c r="B1" s="4" t="s">
        <v>17</v>
      </c>
      <c r="C1" s="4" t="s">
        <v>229</v>
      </c>
      <c r="D1" s="4" t="s">
        <v>230</v>
      </c>
      <c r="E1" s="4" t="s">
        <v>214</v>
      </c>
      <c r="F1" s="4" t="s">
        <v>231</v>
      </c>
      <c r="G1" s="4" t="s">
        <v>232</v>
      </c>
      <c r="H1" s="4" t="s">
        <v>198</v>
      </c>
      <c r="I1" s="4" t="s">
        <v>200</v>
      </c>
      <c r="J1" s="4" t="s">
        <v>203</v>
      </c>
      <c r="K1" s="4" t="s">
        <v>201</v>
      </c>
      <c r="L1" s="4" t="s">
        <v>204</v>
      </c>
      <c r="M1" s="4" t="s">
        <v>233</v>
      </c>
    </row>
    <row r="2" spans="1:13" x14ac:dyDescent="0.25">
      <c r="A2" s="21" t="str">
        <f>IF(Registro!$A2="","",Registro!$A2)</f>
        <v>TDS</v>
      </c>
      <c r="B2" s="20">
        <f>IF(Registro!$B2="","",Registro!$B2)</f>
        <v>46296</v>
      </c>
      <c r="C2" s="35">
        <f t="shared" ref="C2:C65" si="0">IF(ISNUMBER(B2),YEAR(B2)*100+MONTH(B2),"")</f>
        <v>202610</v>
      </c>
      <c r="D2" s="23">
        <f>IF(Registro!$E2="","",IF(ISERROR(FIND("x",LOWER(Registro!$E2))),"-",IFERROR(SUMPRODUCT(--("0"&amp;LEFT(TRIM(MID(SUBSTITUTE(SUBSTITUTE(SUBSTITUTE(SUBSTITUTE(SUBSTITUTE(LOWER(Registro!$E2),"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",LEN(Registro!$E2))),({1,2,3,4,5,6,7,8,9,10,11,12,13,14,15,16,17,18,19,20,21,22,23,24,25,26,27,28,29,30}-1)*LEN(Registro!$E2)+1,LEN(Registro!$E2))),FIND("x",TRIM(MID(SUBSTITUTE(SUBSTITUTE(SUBSTITUTE(SUBSTITUTE(SUBSTITUTE(LOWER(Registro!$E2),"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",LEN(Registro!$E2))),({1,2,3,4,5,6,7,8,9,10,11,12,13,14,15,16,17,18,19,20,21,22,23,24,25,26,27,28,29,30}-1)*LEN(Registro!$E2)+1,LEN(Registro!$E2)))&amp;"x")-1))),"Revisar formato")))</f>
        <v>28</v>
      </c>
      <c r="E2" s="24">
        <f>IF(Registro!$E2="","",IF(ISERROR(FIND("x",LOWER(Registro!$E2))),"-",IFERROR(SUMPRODUCT(--("0"&amp;LEFT(TRIM(MID(SUBSTITUTE(SUBSTITUTE(SUBSTITUTE(SUBSTITUTE(SUBSTITUTE(LOWER(Registro!$E2),"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",LEN(Registro!$E2))),({1,2,3,4,5,6,7,8,9,10,11,12,13,14,15,16,17,18,19,20,21,22,23,24,25,26,27,28,29,30}-1)*LEN(Registro!$E2)+1,LEN(Registro!$E2))),FIND("x",TRIM(MID(SUBSTITUTE(SUBSTITUTE(SUBSTITUTE(SUBSTITUTE(SUBSTITUTE(LOWER(Registro!$E2),"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",LEN(Registro!$E2))),({1,2,3,4,5,6,7,8,9,10,11,12,13,14,15,16,17,18,19,20,21,22,23,24,25,26,27,28,29,30}-1)*LEN(Registro!$E2)+1,LEN(Registro!$E2)))&amp;"x")-1)),--("0"&amp;MID(TRIM(MID(SUBSTITUTE(SUBSTITUTE(SUBSTITUTE(SUBSTITUTE(SUBSTITUTE(LOWER(Registro!$E2),"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",LEN(Registro!$E2))),({1,2,3,4,5,6,7,8,9,10,11,12,13,14,15,16,17,18,19,20,21,22,23,24,25,26,27,28,29,30}-1)*LEN(Registro!$E2)+1,LEN(Registro!$E2))),FIND("x",TRIM(MID(SUBSTITUTE(SUBSTITUTE(SUBSTITUTE(SUBSTITUTE(SUBSTITUTE(LOWER(Registro!$E2),"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",LEN(Registro!$E2))),({1,2,3,4,5,6,7,8,9,10,11,12,13,14,15,16,17,18,19,20,21,22,23,24,25,26,27,28,29,30}-1)*LEN(Registro!$E2)+1,LEN(Registro!$E2)))&amp;"x")+1,20))),"Revisar formato")))</f>
        <v>1150</v>
      </c>
      <c r="F2" s="23">
        <f>IF(Registro!$F2="","",IF(ISERROR(FIND("x",LOWER(Registro!$F2))),"-",IFERROR(SUMPRODUCT(--("0"&amp;LEFT(TRIM(MID(SUBSTITUTE(SUBSTITUTE(SUBSTITUTE(SUBSTITUTE(SUBSTITUTE(LOWER(Registro!$F2)," ",""),CHAR(10),"|"),";","|"),"+","|"),"|",REPT(" ",LEN(Registro!$F2))),({1,2,3,4,5,6,7,8,9,10,11,12,13,14,15,16,17,18,19,20,21,22,23,24,25,26,27,28,29,30}-1)*LEN(Registro!$F2)+1,LEN(Registro!$F2))),FIND("x",TRIM(MID(SUBSTITUTE(SUBSTITUTE(SUBSTITUTE(SUBSTITUTE(SUBSTITUTE(LOWER(Registro!$F2)," ",""),CHAR(10),"|"),";","|"),"+","|"),"|",REPT(" ",LEN(Registro!$F2))),({1,2,3,4,5,6,7,8,9,10,11,12,13,14,15,16,17,18,19,20,21,22,23,24,25,26,27,28,29,30}-1)*LEN(Registro!$F2)+1,LEN(Registro!$F2)))&amp;"x")-1))),"Revisar formato")))</f>
        <v>1</v>
      </c>
      <c r="G2" s="24">
        <f>IF(Registro!$F2="","",IF(ISERROR(FIND("x",LOWER(Registro!$F2))),N(Registro!$G2),IFERROR(SUMPRODUCT(--("0"&amp;LEFT(TRIM(MID(SUBSTITUTE(SUBSTITUTE(SUBSTITUTE(SUBSTITUTE(SUBSTITUTE(LOWER(Registro!$F2)," ",""),CHAR(10),"|"),";","|"),"+","|"),"|",REPT(" ",LEN(Registro!$F2))),({1,2,3,4,5,6,7,8,9,10,11,12,13,14,15,16,17,18,19,20,21,22,23,24,25,26,27,28,29,30}-1)*LEN(Registro!$F2)+1,LEN(Registro!$F2))),FIND("x",TRIM(MID(SUBSTITUTE(SUBSTITUTE(SUBSTITUTE(SUBSTITUTE(SUBSTITUTE(LOWER(Registro!$F2)," ",""),CHAR(10),"|"),";","|"),"+","|"),"|",REPT(" ",LEN(Registro!$F2))),({1,2,3,4,5,6,7,8,9,10,11,12,13,14,15,16,17,18,19,20,21,22,23,24,25,26,27,28,29,30}-1)*LEN(Registro!$F2)+1,LEN(Registro!$F2)))&amp;"x")-1)),--("0"&amp;MID(TRIM(MID(SUBSTITUTE(SUBSTITUTE(SUBSTITUTE(SUBSTITUTE(SUBSTITUTE(LOWER(Registro!$F2)," ",""),CHAR(10),"|"),";","|"),"+","|"),"|",REPT(" ",LEN(Registro!$F2))),({1,2,3,4,5,6,7,8,9,10,11,12,13,14,15,16,17,18,19,20,21,22,23,24,25,26,27,28,29,30}-1)*LEN(Registro!$F2)+1,LEN(Registro!$F2))),FIND("x",TRIM(MID(SUBSTITUTE(SUBSTITUTE(SUBSTITUTE(SUBSTITUTE(SUBSTITUTE(LOWER(Registro!$F2)," ",""),CHAR(10),"|"),";","|"),"+","|"),"|",REPT(" ",LEN(Registro!$F2))),({1,2,3,4,5,6,7,8,9,10,11,12,13,14,15,16,17,18,19,20,21,22,23,24,25,26,27,28,29,30}-1)*LEN(Registro!$F2)+1,LEN(Registro!$F2)))&amp;"x")+1,20))),"Revisar formato")))</f>
        <v>3300</v>
      </c>
      <c r="H2" s="21" t="str">
        <f>IF(AND(Registro!$E2="",Registro!$F2=""),"",IF(NOT(AND(ISNUMBER(G2),ISNUMBER(Registro!$G2))),"",IF(G2&lt;Registro!$G2,"FALTA BOLETOS",IF(G2=Registro!$G2,"CONFORME","DIFERENCIA"))))</f>
        <v>CONFORME</v>
      </c>
      <c r="I2" s="24">
        <f>IF(Registro!$H2="","",IFERROR(SUMPRODUCT(--("0"&amp;TRIM(RIGHT(SUBSTITUTE(TRIM(MID(SUBSTITUTE(SUBSTITUTE(Registro!$H2,";",CHAR(10)),CHAR(10),REPT(" ",LEN(Registro!$H2))),({1,2,3,4,5,6,7,8,9,10,11,12,13,14,15,16,17,18,19,20,21,22,23,24,25,26,27,28,29,30}-1)*LEN(Registro!$H2)+1,LEN(Registro!$H2)))," ",REPT(" ",50)),50)))),"Revisar formato"))</f>
        <v>100</v>
      </c>
      <c r="J2" s="24" t="str">
        <f>IF(Registro!$I2="","",IFERROR(SUMPRODUCT(--("0"&amp;TRIM(RIGHT(SUBSTITUTE(TRIM(MID(SUBSTITUTE(SUBSTITUTE(Registro!$I2,";",CHAR(10)),CHAR(10),REPT(" ",LEN(Registro!$I2))),({1,2,3,4,5,6,7,8,9,10,11,12,13,14,15,16,17,18,19,20,21,22,23,24,25,26,27,28,29,30}-1)*LEN(Registro!$I2)+1,LEN(Registro!$I2)))," ",REPT(" ",50)),50)))),"Revisar formato"))</f>
        <v/>
      </c>
      <c r="K2" s="24">
        <f>IF(AND(Registro!$G2="",Registro!$H2=""),"",IF(AND(ISTEXT(I2),I2&lt;&gt;""),"Revisar formato",N(Registro!$G2)-N(I2)))</f>
        <v>3200</v>
      </c>
      <c r="L2" s="24">
        <f t="shared" ref="L2:L65" si="1">IF(K2="","",IF(OR(K2="Revisar formato",AND(ISTEXT(J2),J2&lt;&gt;"")),"Revisar formato",K2-N(J2)))</f>
        <v>3200</v>
      </c>
      <c r="M2" s="36">
        <f>IF(AND(A2=Consulta!$B$3,C2=Consulta!$H$3),B2*10000+ROW(),"")</f>
        <v>462960002</v>
      </c>
    </row>
    <row r="3" spans="1:13" x14ac:dyDescent="0.25">
      <c r="A3" s="21" t="str">
        <f>IF(Registro!$A3="","",Registro!$A3)</f>
        <v>TDS</v>
      </c>
      <c r="B3" s="20">
        <f>IF(Registro!$B3="","",Registro!$B3)</f>
        <v>46297</v>
      </c>
      <c r="C3" s="35">
        <f t="shared" si="0"/>
        <v>202610</v>
      </c>
      <c r="D3" s="23">
        <f>IF(Registro!$E3="","",IF(ISERROR(FIND("x",LOWER(Registro!$E3))),"-",IFERROR(SUMPRODUCT(--("0"&amp;LEFT(TRIM(MID(SUBSTITUTE(SUBSTITUTE(SUBSTITUTE(SUBSTITUTE(SUBSTITUTE(LOWER(Registro!$E3),"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",LEN(Registro!$E3))),({1,2,3,4,5,6,7,8,9,10,11,12,13,14,15,16,17,18,19,20,21,22,23,24,25,26,27,28,29,30}-1)*LEN(Registro!$E3)+1,LEN(Registro!$E3))),FIND("x",TRIM(MID(SUBSTITUTE(SUBSTITUTE(SUBSTITUTE(SUBSTITUTE(SUBSTITUTE(LOWER(Registro!$E3),"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",LEN(Registro!$E3))),({1,2,3,4,5,6,7,8,9,10,11,12,13,14,15,16,17,18,19,20,21,22,23,24,25,26,27,28,29,30}-1)*LEN(Registro!$E3)+1,LEN(Registro!$E3)))&amp;"x")-1))),"Revisar formato")))</f>
        <v>35</v>
      </c>
      <c r="E3" s="24">
        <f>IF(Registro!$E3="","",IF(ISERROR(FIND("x",LOWER(Registro!$E3))),"-",IFERROR(SUMPRODUCT(--("0"&amp;LEFT(TRIM(MID(SUBSTITUTE(SUBSTITUTE(SUBSTITUTE(SUBSTITUTE(SUBSTITUTE(LOWER(Registro!$E3),"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",LEN(Registro!$E3))),({1,2,3,4,5,6,7,8,9,10,11,12,13,14,15,16,17,18,19,20,21,22,23,24,25,26,27,28,29,30}-1)*LEN(Registro!$E3)+1,LEN(Registro!$E3))),FIND("x",TRIM(MID(SUBSTITUTE(SUBSTITUTE(SUBSTITUTE(SUBSTITUTE(SUBSTITUTE(LOWER(Registro!$E3),"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",LEN(Registro!$E3))),({1,2,3,4,5,6,7,8,9,10,11,12,13,14,15,16,17,18,19,20,21,22,23,24,25,26,27,28,29,30}-1)*LEN(Registro!$E3)+1,LEN(Registro!$E3)))&amp;"x")-1)),--("0"&amp;MID(TRIM(MID(SUBSTITUTE(SUBSTITUTE(SUBSTITUTE(SUBSTITUTE(SUBSTITUTE(LOWER(Registro!$E3),"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",LEN(Registro!$E3))),({1,2,3,4,5,6,7,8,9,10,11,12,13,14,15,16,17,18,19,20,21,22,23,24,25,26,27,28,29,30}-1)*LEN(Registro!$E3)+1,LEN(Registro!$E3))),FIND("x",TRIM(MID(SUBSTITUTE(SUBSTITUTE(SUBSTITUTE(SUBSTITUTE(SUBSTITUTE(LOWER(Registro!$E3),"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",LEN(Registro!$E3))),({1,2,3,4,5,6,7,8,9,10,11,12,13,14,15,16,17,18,19,20,21,22,23,24,25,26,27,28,29,30}-1)*LEN(Registro!$E3)+1,LEN(Registro!$E3)))&amp;"x")+1,20))),"Revisar formato")))</f>
        <v>1650</v>
      </c>
      <c r="F3" s="23">
        <f>IF(Registro!$F3="","",IF(ISERROR(FIND("x",LOWER(Registro!$F3))),"-",IFERROR(SUMPRODUCT(--("0"&amp;LEFT(TRIM(MID(SUBSTITUTE(SUBSTITUTE(SUBSTITUTE(SUBSTITUTE(SUBSTITUTE(LOWER(Registro!$F3)," ",""),CHAR(10),"|"),";","|"),"+","|"),"|",REPT(" ",LEN(Registro!$F3))),({1,2,3,4,5,6,7,8,9,10,11,12,13,14,15,16,17,18,19,20,21,22,23,24,25,26,27,28,29,30}-1)*LEN(Registro!$F3)+1,LEN(Registro!$F3))),FIND("x",TRIM(MID(SUBSTITUTE(SUBSTITUTE(SUBSTITUTE(SUBSTITUTE(SUBSTITUTE(LOWER(Registro!$F3)," ",""),CHAR(10),"|"),";","|"),"+","|"),"|",REPT(" ",LEN(Registro!$F3))),({1,2,3,4,5,6,7,8,9,10,11,12,13,14,15,16,17,18,19,20,21,22,23,24,25,26,27,28,29,30}-1)*LEN(Registro!$F3)+1,LEN(Registro!$F3)))&amp;"x")-1))),"Revisar formato")))</f>
        <v>1</v>
      </c>
      <c r="G3" s="24">
        <f>IF(Registro!$F3="","",IF(ISERROR(FIND("x",LOWER(Registro!$F3))),N(Registro!$G3),IFERROR(SUMPRODUCT(--("0"&amp;LEFT(TRIM(MID(SUBSTITUTE(SUBSTITUTE(SUBSTITUTE(SUBSTITUTE(SUBSTITUTE(LOWER(Registro!$F3)," ",""),CHAR(10),"|"),";","|"),"+","|"),"|",REPT(" ",LEN(Registro!$F3))),({1,2,3,4,5,6,7,8,9,10,11,12,13,14,15,16,17,18,19,20,21,22,23,24,25,26,27,28,29,30}-1)*LEN(Registro!$F3)+1,LEN(Registro!$F3))),FIND("x",TRIM(MID(SUBSTITUTE(SUBSTITUTE(SUBSTITUTE(SUBSTITUTE(SUBSTITUTE(LOWER(Registro!$F3)," ",""),CHAR(10),"|"),";","|"),"+","|"),"|",REPT(" ",LEN(Registro!$F3))),({1,2,3,4,5,6,7,8,9,10,11,12,13,14,15,16,17,18,19,20,21,22,23,24,25,26,27,28,29,30}-1)*LEN(Registro!$F3)+1,LEN(Registro!$F3)))&amp;"x")-1)),--("0"&amp;MID(TRIM(MID(SUBSTITUTE(SUBSTITUTE(SUBSTITUTE(SUBSTITUTE(SUBSTITUTE(LOWER(Registro!$F3)," ",""),CHAR(10),"|"),";","|"),"+","|"),"|",REPT(" ",LEN(Registro!$F3))),({1,2,3,4,5,6,7,8,9,10,11,12,13,14,15,16,17,18,19,20,21,22,23,24,25,26,27,28,29,30}-1)*LEN(Registro!$F3)+1,LEN(Registro!$F3))),FIND("x",TRIM(MID(SUBSTITUTE(SUBSTITUTE(SUBSTITUTE(SUBSTITUTE(SUBSTITUTE(LOWER(Registro!$F3)," ",""),CHAR(10),"|"),";","|"),"+","|"),"|",REPT(" ",LEN(Registro!$F3))),({1,2,3,4,5,6,7,8,9,10,11,12,13,14,15,16,17,18,19,20,21,22,23,24,25,26,27,28,29,30}-1)*LEN(Registro!$F3)+1,LEN(Registro!$F3)))&amp;"x")+1,20))),"Revisar formato")))</f>
        <v>4060</v>
      </c>
      <c r="H3" s="21" t="str">
        <f>IF(AND(Registro!$E3="",Registro!$F3=""),"",IF(NOT(AND(ISNUMBER(G3),ISNUMBER(Registro!$G3))),"",IF(G3&lt;Registro!$G3,"FALTA BOLETOS",IF(G3=Registro!$G3,"CONFORME","DIFERENCIA"))))</f>
        <v>CONFORME</v>
      </c>
      <c r="I3" s="24">
        <f>IF(Registro!$H3="","",IFERROR(SUMPRODUCT(--("0"&amp;TRIM(RIGHT(SUBSTITUTE(TRIM(MID(SUBSTITUTE(SUBSTITUTE(Registro!$H3,";",CHAR(10)),CHAR(10),REPT(" ",LEN(Registro!$H3))),({1,2,3,4,5,6,7,8,9,10,11,12,13,14,15,16,17,18,19,20,21,22,23,24,25,26,27,28,29,30}-1)*LEN(Registro!$H3)+1,LEN(Registro!$H3)))," ",REPT(" ",50)),50)))),"Revisar formato"))</f>
        <v>200</v>
      </c>
      <c r="J3" s="24" t="str">
        <f>IF(Registro!$I3="","",IFERROR(SUMPRODUCT(--("0"&amp;TRIM(RIGHT(SUBSTITUTE(TRIM(MID(SUBSTITUTE(SUBSTITUTE(Registro!$I3,";",CHAR(10)),CHAR(10),REPT(" ",LEN(Registro!$I3))),({1,2,3,4,5,6,7,8,9,10,11,12,13,14,15,16,17,18,19,20,21,22,23,24,25,26,27,28,29,30}-1)*LEN(Registro!$I3)+1,LEN(Registro!$I3)))," ",REPT(" ",50)),50)))),"Revisar formato"))</f>
        <v/>
      </c>
      <c r="K3" s="24">
        <f>IF(AND(Registro!$G3="",Registro!$H3=""),"",IF(AND(ISTEXT(I3),I3&lt;&gt;""),"Revisar formato",N(Registro!$G3)-N(I3)))</f>
        <v>3860</v>
      </c>
      <c r="L3" s="24">
        <f t="shared" si="1"/>
        <v>3860</v>
      </c>
      <c r="M3" s="36">
        <f>IF(AND(A3=Consulta!$B$3,C3=Consulta!$H$3),B3*10000+ROW(),"")</f>
        <v>462970003</v>
      </c>
    </row>
    <row r="4" spans="1:13" x14ac:dyDescent="0.25">
      <c r="A4" s="21" t="str">
        <f>IF(Registro!$A4="","",Registro!$A4)</f>
        <v>TDS</v>
      </c>
      <c r="B4" s="20">
        <f>IF(Registro!$B4="","",Registro!$B4)</f>
        <v>46298</v>
      </c>
      <c r="C4" s="35">
        <f t="shared" si="0"/>
        <v>202610</v>
      </c>
      <c r="D4" s="23">
        <f>IF(Registro!$E4="","",IF(ISERROR(FIND("x",LOWER(Registro!$E4))),"-",IFERROR(SUMPRODUCT(--("0"&amp;LEFT(TRIM(MID(SUBSTITUTE(SUBSTITUTE(SUBSTITUTE(SUBSTITUTE(SUBSTITUTE(LOWER(Registro!$E4),"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",LEN(Registro!$E4))),({1,2,3,4,5,6,7,8,9,10,11,12,13,14,15,16,17,18,19,20,21,22,23,24,25,26,27,28,29,30}-1)*LEN(Registro!$E4)+1,LEN(Registro!$E4))),FIND("x",TRIM(MID(SUBSTITUTE(SUBSTITUTE(SUBSTITUTE(SUBSTITUTE(SUBSTITUTE(LOWER(Registro!$E4),"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",LEN(Registro!$E4))),({1,2,3,4,5,6,7,8,9,10,11,12,13,14,15,16,17,18,19,20,21,22,23,24,25,26,27,28,29,30}-1)*LEN(Registro!$E4)+1,LEN(Registro!$E4)))&amp;"x")-1))),"Revisar formato")))</f>
        <v>55</v>
      </c>
      <c r="E4" s="24">
        <f>IF(Registro!$E4="","",IF(ISERROR(FIND("x",LOWER(Registro!$E4))),"-",IFERROR(SUMPRODUCT(--("0"&amp;LEFT(TRIM(MID(SUBSTITUTE(SUBSTITUTE(SUBSTITUTE(SUBSTITUTE(SUBSTITUTE(LOWER(Registro!$E4),"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",LEN(Registro!$E4))),({1,2,3,4,5,6,7,8,9,10,11,12,13,14,15,16,17,18,19,20,21,22,23,24,25,26,27,28,29,30}-1)*LEN(Registro!$E4)+1,LEN(Registro!$E4))),FIND("x",TRIM(MID(SUBSTITUTE(SUBSTITUTE(SUBSTITUTE(SUBSTITUTE(SUBSTITUTE(LOWER(Registro!$E4),"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",LEN(Registro!$E4))),({1,2,3,4,5,6,7,8,9,10,11,12,13,14,15,16,17,18,19,20,21,22,23,24,25,26,27,28,29,30}-1)*LEN(Registro!$E4)+1,LEN(Registro!$E4)))&amp;"x")-1)),--("0"&amp;MID(TRIM(MID(SUBSTITUTE(SUBSTITUTE(SUBSTITUTE(SUBSTITUTE(SUBSTITUTE(LOWER(Registro!$E4),"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",LEN(Registro!$E4))),({1,2,3,4,5,6,7,8,9,10,11,12,13,14,15,16,17,18,19,20,21,22,23,24,25,26,27,28,29,30}-1)*LEN(Registro!$E4)+1,LEN(Registro!$E4))),FIND("x",TRIM(MID(SUBSTITUTE(SUBSTITUTE(SUBSTITUTE(SUBSTITUTE(SUBSTITUTE(LOWER(Registro!$E4),"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",LEN(Registro!$E4))),({1,2,3,4,5,6,7,8,9,10,11,12,13,14,15,16,17,18,19,20,21,22,23,24,25,26,27,28,29,30}-1)*LEN(Registro!$E4)+1,LEN(Registro!$E4)))&amp;"x")+1,20))),"Revisar formato")))</f>
        <v>3010</v>
      </c>
      <c r="F4" s="23">
        <f>IF(Registro!$F4="","",IF(ISERROR(FIND("x",LOWER(Registro!$F4))),"-",IFERROR(SUMPRODUCT(--("0"&amp;LEFT(TRIM(MID(SUBSTITUTE(SUBSTITUTE(SUBSTITUTE(SUBSTITUTE(SUBSTITUTE(LOWER(Registro!$F4)," ",""),CHAR(10),"|"),";","|"),"+","|"),"|",REPT(" ",LEN(Registro!$F4))),({1,2,3,4,5,6,7,8,9,10,11,12,13,14,15,16,17,18,19,20,21,22,23,24,25,26,27,28,29,30}-1)*LEN(Registro!$F4)+1,LEN(Registro!$F4))),FIND("x",TRIM(MID(SUBSTITUTE(SUBSTITUTE(SUBSTITUTE(SUBSTITUTE(SUBSTITUTE(LOWER(Registro!$F4)," ",""),CHAR(10),"|"),";","|"),"+","|"),"|",REPT(" ",LEN(Registro!$F4))),({1,2,3,4,5,6,7,8,9,10,11,12,13,14,15,16,17,18,19,20,21,22,23,24,25,26,27,28,29,30}-1)*LEN(Registro!$F4)+1,LEN(Registro!$F4)))&amp;"x")-1))),"Revisar formato")))</f>
        <v>1</v>
      </c>
      <c r="G4" s="24">
        <f>IF(Registro!$F4="","",IF(ISERROR(FIND("x",LOWER(Registro!$F4))),N(Registro!$G4),IFERROR(SUMPRODUCT(--("0"&amp;LEFT(TRIM(MID(SUBSTITUTE(SUBSTITUTE(SUBSTITUTE(SUBSTITUTE(SUBSTITUTE(LOWER(Registro!$F4)," ",""),CHAR(10),"|"),";","|"),"+","|"),"|",REPT(" ",LEN(Registro!$F4))),({1,2,3,4,5,6,7,8,9,10,11,12,13,14,15,16,17,18,19,20,21,22,23,24,25,26,27,28,29,30}-1)*LEN(Registro!$F4)+1,LEN(Registro!$F4))),FIND("x",TRIM(MID(SUBSTITUTE(SUBSTITUTE(SUBSTITUTE(SUBSTITUTE(SUBSTITUTE(LOWER(Registro!$F4)," ",""),CHAR(10),"|"),";","|"),"+","|"),"|",REPT(" ",LEN(Registro!$F4))),({1,2,3,4,5,6,7,8,9,10,11,12,13,14,15,16,17,18,19,20,21,22,23,24,25,26,27,28,29,30}-1)*LEN(Registro!$F4)+1,LEN(Registro!$F4)))&amp;"x")-1)),--("0"&amp;MID(TRIM(MID(SUBSTITUTE(SUBSTITUTE(SUBSTITUTE(SUBSTITUTE(SUBSTITUTE(LOWER(Registro!$F4)," ",""),CHAR(10),"|"),";","|"),"+","|"),"|",REPT(" ",LEN(Registro!$F4))),({1,2,3,4,5,6,7,8,9,10,11,12,13,14,15,16,17,18,19,20,21,22,23,24,25,26,27,28,29,30}-1)*LEN(Registro!$F4)+1,LEN(Registro!$F4))),FIND("x",TRIM(MID(SUBSTITUTE(SUBSTITUTE(SUBSTITUTE(SUBSTITUTE(SUBSTITUTE(LOWER(Registro!$F4)," ",""),CHAR(10),"|"),";","|"),"+","|"),"|",REPT(" ",LEN(Registro!$F4))),({1,2,3,4,5,6,7,8,9,10,11,12,13,14,15,16,17,18,19,20,21,22,23,24,25,26,27,28,29,30}-1)*LEN(Registro!$F4)+1,LEN(Registro!$F4)))&amp;"x")+1,20))),"Revisar formato")))</f>
        <v>3599</v>
      </c>
      <c r="H4" s="21" t="str">
        <f>IF(AND(Registro!$E4="",Registro!$F4=""),"",IF(NOT(AND(ISNUMBER(G4),ISNUMBER(Registro!$G4))),"",IF(G4&lt;Registro!$G4,"FALTA BOLETOS",IF(G4=Registro!$G4,"CONFORME","DIFERENCIA"))))</f>
        <v>CONFORME</v>
      </c>
      <c r="I4" s="24">
        <f>IF(Registro!$H4="","",IFERROR(SUMPRODUCT(--("0"&amp;TRIM(RIGHT(SUBSTITUTE(TRIM(MID(SUBSTITUTE(SUBSTITUTE(Registro!$H4,";",CHAR(10)),CHAR(10),REPT(" ",LEN(Registro!$H4))),({1,2,3,4,5,6,7,8,9,10,11,12,13,14,15,16,17,18,19,20,21,22,23,24,25,26,27,28,29,30}-1)*LEN(Registro!$H4)+1,LEN(Registro!$H4)))," ",REPT(" ",50)),50)))),"Revisar formato"))</f>
        <v>100</v>
      </c>
      <c r="J4" s="24">
        <f>IF(Registro!$I4="","",IFERROR(SUMPRODUCT(--("0"&amp;TRIM(RIGHT(SUBSTITUTE(TRIM(MID(SUBSTITUTE(SUBSTITUTE(Registro!$I4,";",CHAR(10)),CHAR(10),REPT(" ",LEN(Registro!$I4))),({1,2,3,4,5,6,7,8,9,10,11,12,13,14,15,16,17,18,19,20,21,22,23,24,25,26,27,28,29,30}-1)*LEN(Registro!$I4)+1,LEN(Registro!$I4)))," ",REPT(" ",50)),50)))),"Revisar formato"))</f>
        <v>8400</v>
      </c>
      <c r="K4" s="24">
        <f>IF(AND(Registro!$G4="",Registro!$H4=""),"",IF(AND(ISTEXT(I4),I4&lt;&gt;""),"Revisar formato",N(Registro!$G4)-N(I4)))</f>
        <v>3499</v>
      </c>
      <c r="L4" s="24">
        <f t="shared" si="1"/>
        <v>-4901</v>
      </c>
      <c r="M4" s="36">
        <f>IF(AND(A4=Consulta!$B$3,C4=Consulta!$H$3),B4*10000+ROW(),"")</f>
        <v>462980004</v>
      </c>
    </row>
    <row r="5" spans="1:13" x14ac:dyDescent="0.25">
      <c r="A5" s="21" t="str">
        <f>IF(Registro!$A5="","",Registro!$A5)</f>
        <v>TDS</v>
      </c>
      <c r="B5" s="20">
        <f>IF(Registro!$B5="","",Registro!$B5)</f>
        <v>46299</v>
      </c>
      <c r="C5" s="35">
        <f t="shared" si="0"/>
        <v>202610</v>
      </c>
      <c r="D5" s="23">
        <f>IF(Registro!$E5="","",IF(ISERROR(FIND("x",LOWER(Registro!$E5))),"-",IFERROR(SUMPRODUCT(--("0"&amp;LEFT(TRIM(MID(SUBSTITUTE(SUBSTITUTE(SUBSTITUTE(SUBSTITUTE(SUBSTITUTE(LOWER(Registro!$E5),"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",LEN(Registro!$E5))),({1,2,3,4,5,6,7,8,9,10,11,12,13,14,15,16,17,18,19,20,21,22,23,24,25,26,27,28,29,30}-1)*LEN(Registro!$E5)+1,LEN(Registro!$E5))),FIND("x",TRIM(MID(SUBSTITUTE(SUBSTITUTE(SUBSTITUTE(SUBSTITUTE(SUBSTITUTE(LOWER(Registro!$E5),"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",LEN(Registro!$E5))),({1,2,3,4,5,6,7,8,9,10,11,12,13,14,15,16,17,18,19,20,21,22,23,24,25,26,27,28,29,30}-1)*LEN(Registro!$E5)+1,LEN(Registro!$E5)))&amp;"x")-1))),"Revisar formato")))</f>
        <v>54</v>
      </c>
      <c r="E5" s="24">
        <f>IF(Registro!$E5="","",IF(ISERROR(FIND("x",LOWER(Registro!$E5))),"-",IFERROR(SUMPRODUCT(--("0"&amp;LEFT(TRIM(MID(SUBSTITUTE(SUBSTITUTE(SUBSTITUTE(SUBSTITUTE(SUBSTITUTE(LOWER(Registro!$E5),"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",LEN(Registro!$E5))),({1,2,3,4,5,6,7,8,9,10,11,12,13,14,15,16,17,18,19,20,21,22,23,24,25,26,27,28,29,30}-1)*LEN(Registro!$E5)+1,LEN(Registro!$E5))),FIND("x",TRIM(MID(SUBSTITUTE(SUBSTITUTE(SUBSTITUTE(SUBSTITUTE(SUBSTITUTE(LOWER(Registro!$E5),"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",LEN(Registro!$E5))),({1,2,3,4,5,6,7,8,9,10,11,12,13,14,15,16,17,18,19,20,21,22,23,24,25,26,27,28,29,30}-1)*LEN(Registro!$E5)+1,LEN(Registro!$E5)))&amp;"x")-1)),--("0"&amp;MID(TRIM(MID(SUBSTITUTE(SUBSTITUTE(SUBSTITUTE(SUBSTITUTE(SUBSTITUTE(LOWER(Registro!$E5),"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",LEN(Registro!$E5))),({1,2,3,4,5,6,7,8,9,10,11,12,13,14,15,16,17,18,19,20,21,22,23,24,25,26,27,28,29,30}-1)*LEN(Registro!$E5)+1,LEN(Registro!$E5))),FIND("x",TRIM(MID(SUBSTITUTE(SUBSTITUTE(SUBSTITUTE(SUBSTITUTE(SUBSTITUTE(LOWER(Registro!$E5),"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",LEN(Registro!$E5))),({1,2,3,4,5,6,7,8,9,10,11,12,13,14,15,16,17,18,19,20,21,22,23,24,25,26,27,28,29,30}-1)*LEN(Registro!$E5)+1,LEN(Registro!$E5)))&amp;"x")+1,20))),"Revisar formato")))</f>
        <v>2340</v>
      </c>
      <c r="F5" s="23">
        <f>IF(Registro!$F5="","",IF(ISERROR(FIND("x",LOWER(Registro!$F5))),"-",IFERROR(SUMPRODUCT(--("0"&amp;LEFT(TRIM(MID(SUBSTITUTE(SUBSTITUTE(SUBSTITUTE(SUBSTITUTE(SUBSTITUTE(LOWER(Registro!$F5)," ",""),CHAR(10),"|"),";","|"),"+","|"),"|",REPT(" ",LEN(Registro!$F5))),({1,2,3,4,5,6,7,8,9,10,11,12,13,14,15,16,17,18,19,20,21,22,23,24,25,26,27,28,29,30}-1)*LEN(Registro!$F5)+1,LEN(Registro!$F5))),FIND("x",TRIM(MID(SUBSTITUTE(SUBSTITUTE(SUBSTITUTE(SUBSTITUTE(SUBSTITUTE(LOWER(Registro!$F5)," ",""),CHAR(10),"|"),";","|"),"+","|"),"|",REPT(" ",LEN(Registro!$F5))),({1,2,3,4,5,6,7,8,9,10,11,12,13,14,15,16,17,18,19,20,21,22,23,24,25,26,27,28,29,30}-1)*LEN(Registro!$F5)+1,LEN(Registro!$F5)))&amp;"x")-1))),"Revisar formato")))</f>
        <v>1</v>
      </c>
      <c r="G5" s="24">
        <f>IF(Registro!$F5="","",IF(ISERROR(FIND("x",LOWER(Registro!$F5))),N(Registro!$G5),IFERROR(SUMPRODUCT(--("0"&amp;LEFT(TRIM(MID(SUBSTITUTE(SUBSTITUTE(SUBSTITUTE(SUBSTITUTE(SUBSTITUTE(LOWER(Registro!$F5)," ",""),CHAR(10),"|"),";","|"),"+","|"),"|",REPT(" ",LEN(Registro!$F5))),({1,2,3,4,5,6,7,8,9,10,11,12,13,14,15,16,17,18,19,20,21,22,23,24,25,26,27,28,29,30}-1)*LEN(Registro!$F5)+1,LEN(Registro!$F5))),FIND("x",TRIM(MID(SUBSTITUTE(SUBSTITUTE(SUBSTITUTE(SUBSTITUTE(SUBSTITUTE(LOWER(Registro!$F5)," ",""),CHAR(10),"|"),";","|"),"+","|"),"|",REPT(" ",LEN(Registro!$F5))),({1,2,3,4,5,6,7,8,9,10,11,12,13,14,15,16,17,18,19,20,21,22,23,24,25,26,27,28,29,30}-1)*LEN(Registro!$F5)+1,LEN(Registro!$F5)))&amp;"x")-1)),--("0"&amp;MID(TRIM(MID(SUBSTITUTE(SUBSTITUTE(SUBSTITUTE(SUBSTITUTE(SUBSTITUTE(LOWER(Registro!$F5)," ",""),CHAR(10),"|"),";","|"),"+","|"),"|",REPT(" ",LEN(Registro!$F5))),({1,2,3,4,5,6,7,8,9,10,11,12,13,14,15,16,17,18,19,20,21,22,23,24,25,26,27,28,29,30}-1)*LEN(Registro!$F5)+1,LEN(Registro!$F5))),FIND("x",TRIM(MID(SUBSTITUTE(SUBSTITUTE(SUBSTITUTE(SUBSTITUTE(SUBSTITUTE(LOWER(Registro!$F5)," ",""),CHAR(10),"|"),";","|"),"+","|"),"|",REPT(" ",LEN(Registro!$F5))),({1,2,3,4,5,6,7,8,9,10,11,12,13,14,15,16,17,18,19,20,21,22,23,24,25,26,27,28,29,30}-1)*LEN(Registro!$F5)+1,LEN(Registro!$F5)))&amp;"x")+1,20))),"Revisar formato")))</f>
        <v>2080</v>
      </c>
      <c r="H5" s="21" t="str">
        <f>IF(AND(Registro!$E5="",Registro!$F5=""),"",IF(NOT(AND(ISNUMBER(G5),ISNUMBER(Registro!$G5))),"",IF(G5&lt;Registro!$G5,"FALTA BOLETOS",IF(G5=Registro!$G5,"CONFORME","DIFERENCIA"))))</f>
        <v>CONFORME</v>
      </c>
      <c r="I5" s="24">
        <f>IF(Registro!$H5="","",IFERROR(SUMPRODUCT(--("0"&amp;TRIM(RIGHT(SUBSTITUTE(TRIM(MID(SUBSTITUTE(SUBSTITUTE(Registro!$H5,";",CHAR(10)),CHAR(10),REPT(" ",LEN(Registro!$H5))),({1,2,3,4,5,6,7,8,9,10,11,12,13,14,15,16,17,18,19,20,21,22,23,24,25,26,27,28,29,30}-1)*LEN(Registro!$H5)+1,LEN(Registro!$H5)))," ",REPT(" ",50)),50)))),"Revisar formato"))</f>
        <v>140</v>
      </c>
      <c r="J5" s="24" t="str">
        <f>IF(Registro!$I5="","",IFERROR(SUMPRODUCT(--("0"&amp;TRIM(RIGHT(SUBSTITUTE(TRIM(MID(SUBSTITUTE(SUBSTITUTE(Registro!$I5,";",CHAR(10)),CHAR(10),REPT(" ",LEN(Registro!$I5))),({1,2,3,4,5,6,7,8,9,10,11,12,13,14,15,16,17,18,19,20,21,22,23,24,25,26,27,28,29,30}-1)*LEN(Registro!$I5)+1,LEN(Registro!$I5)))," ",REPT(" ",50)),50)))),"Revisar formato"))</f>
        <v/>
      </c>
      <c r="K5" s="24">
        <f>IF(AND(Registro!$G5="",Registro!$H5=""),"",IF(AND(ISTEXT(I5),I5&lt;&gt;""),"Revisar formato",N(Registro!$G5)-N(I5)))</f>
        <v>1940</v>
      </c>
      <c r="L5" s="24">
        <f t="shared" si="1"/>
        <v>1940</v>
      </c>
      <c r="M5" s="36">
        <f>IF(AND(A5=Consulta!$B$3,C5=Consulta!$H$3),B5*10000+ROW(),"")</f>
        <v>462990005</v>
      </c>
    </row>
    <row r="6" spans="1:13" x14ac:dyDescent="0.25">
      <c r="A6" s="21" t="str">
        <f>IF(Registro!$A6="","",Registro!$A6)</f>
        <v>TDS</v>
      </c>
      <c r="B6" s="20">
        <f>IF(Registro!$B6="","",Registro!$B6)</f>
        <v>46300</v>
      </c>
      <c r="C6" s="35">
        <f t="shared" si="0"/>
        <v>202610</v>
      </c>
      <c r="D6" s="23">
        <f>IF(Registro!$E6="","",IF(ISERROR(FIND("x",LOWER(Registro!$E6))),"-",IFERROR(SUMPRODUCT(--("0"&amp;LEFT(TRIM(MID(SUBSTITUTE(SUBSTITUTE(SUBSTITUTE(SUBSTITUTE(SUBSTITUTE(LOWER(Registro!$E6),"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",LEN(Registro!$E6))),({1,2,3,4,5,6,7,8,9,10,11,12,13,14,15,16,17,18,19,20,21,22,23,24,25,26,27,28,29,30}-1)*LEN(Registro!$E6)+1,LEN(Registro!$E6))),FIND("x",TRIM(MID(SUBSTITUTE(SUBSTITUTE(SUBSTITUTE(SUBSTITUTE(SUBSTITUTE(LOWER(Registro!$E6),"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",LEN(Registro!$E6))),({1,2,3,4,5,6,7,8,9,10,11,12,13,14,15,16,17,18,19,20,21,22,23,24,25,26,27,28,29,30}-1)*LEN(Registro!$E6)+1,LEN(Registro!$E6)))&amp;"x")-1))),"Revisar formato")))</f>
        <v>49</v>
      </c>
      <c r="E6" s="24">
        <f>IF(Registro!$E6="","",IF(ISERROR(FIND("x",LOWER(Registro!$E6))),"-",IFERROR(SUMPRODUCT(--("0"&amp;LEFT(TRIM(MID(SUBSTITUTE(SUBSTITUTE(SUBSTITUTE(SUBSTITUTE(SUBSTITUTE(LOWER(Registro!$E6),"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",LEN(Registro!$E6))),({1,2,3,4,5,6,7,8,9,10,11,12,13,14,15,16,17,18,19,20,21,22,23,24,25,26,27,28,29,30}-1)*LEN(Registro!$E6)+1,LEN(Registro!$E6))),FIND("x",TRIM(MID(SUBSTITUTE(SUBSTITUTE(SUBSTITUTE(SUBSTITUTE(SUBSTITUTE(LOWER(Registro!$E6),"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",LEN(Registro!$E6))),({1,2,3,4,5,6,7,8,9,10,11,12,13,14,15,16,17,18,19,20,21,22,23,24,25,26,27,28,29,30}-1)*LEN(Registro!$E6)+1,LEN(Registro!$E6)))&amp;"x")-1)),--("0"&amp;MID(TRIM(MID(SUBSTITUTE(SUBSTITUTE(SUBSTITUTE(SUBSTITUTE(SUBSTITUTE(LOWER(Registro!$E6),"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",LEN(Registro!$E6))),({1,2,3,4,5,6,7,8,9,10,11,12,13,14,15,16,17,18,19,20,21,22,23,24,25,26,27,28,29,30}-1)*LEN(Registro!$E6)+1,LEN(Registro!$E6))),FIND("x",TRIM(MID(SUBSTITUTE(SUBSTITUTE(SUBSTITUTE(SUBSTITUTE(SUBSTITUTE(LOWER(Registro!$E6),"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",LEN(Registro!$E6))),({1,2,3,4,5,6,7,8,9,10,11,12,13,14,15,16,17,18,19,20,21,22,23,24,25,26,27,28,29,30}-1)*LEN(Registro!$E6)+1,LEN(Registro!$E6)))&amp;"x")+1,20))),"Revisar formato")))</f>
        <v>2200</v>
      </c>
      <c r="F6" s="23">
        <f>IF(Registro!$F6="","",IF(ISERROR(FIND("x",LOWER(Registro!$F6))),"-",IFERROR(SUMPRODUCT(--("0"&amp;LEFT(TRIM(MID(SUBSTITUTE(SUBSTITUTE(SUBSTITUTE(SUBSTITUTE(SUBSTITUTE(LOWER(Registro!$F6)," ",""),CHAR(10),"|"),";","|"),"+","|"),"|",REPT(" ",LEN(Registro!$F6))),({1,2,3,4,5,6,7,8,9,10,11,12,13,14,15,16,17,18,19,20,21,22,23,24,25,26,27,28,29,30}-1)*LEN(Registro!$F6)+1,LEN(Registro!$F6))),FIND("x",TRIM(MID(SUBSTITUTE(SUBSTITUTE(SUBSTITUTE(SUBSTITUTE(SUBSTITUTE(LOWER(Registro!$F6)," ",""),CHAR(10),"|"),";","|"),"+","|"),"|",REPT(" ",LEN(Registro!$F6))),({1,2,3,4,5,6,7,8,9,10,11,12,13,14,15,16,17,18,19,20,21,22,23,24,25,26,27,28,29,30}-1)*LEN(Registro!$F6)+1,LEN(Registro!$F6)))&amp;"x")-1))),"Revisar formato")))</f>
        <v>1</v>
      </c>
      <c r="G6" s="24">
        <f>IF(Registro!$F6="","",IF(ISERROR(FIND("x",LOWER(Registro!$F6))),N(Registro!$G6),IFERROR(SUMPRODUCT(--("0"&amp;LEFT(TRIM(MID(SUBSTITUTE(SUBSTITUTE(SUBSTITUTE(SUBSTITUTE(SUBSTITUTE(LOWER(Registro!$F6)," ",""),CHAR(10),"|"),";","|"),"+","|"),"|",REPT(" ",LEN(Registro!$F6))),({1,2,3,4,5,6,7,8,9,10,11,12,13,14,15,16,17,18,19,20,21,22,23,24,25,26,27,28,29,30}-1)*LEN(Registro!$F6)+1,LEN(Registro!$F6))),FIND("x",TRIM(MID(SUBSTITUTE(SUBSTITUTE(SUBSTITUTE(SUBSTITUTE(SUBSTITUTE(LOWER(Registro!$F6)," ",""),CHAR(10),"|"),";","|"),"+","|"),"|",REPT(" ",LEN(Registro!$F6))),({1,2,3,4,5,6,7,8,9,10,11,12,13,14,15,16,17,18,19,20,21,22,23,24,25,26,27,28,29,30}-1)*LEN(Registro!$F6)+1,LEN(Registro!$F6)))&amp;"x")-1)),--("0"&amp;MID(TRIM(MID(SUBSTITUTE(SUBSTITUTE(SUBSTITUTE(SUBSTITUTE(SUBSTITUTE(LOWER(Registro!$F6)," ",""),CHAR(10),"|"),";","|"),"+","|"),"|",REPT(" ",LEN(Registro!$F6))),({1,2,3,4,5,6,7,8,9,10,11,12,13,14,15,16,17,18,19,20,21,22,23,24,25,26,27,28,29,30}-1)*LEN(Registro!$F6)+1,LEN(Registro!$F6))),FIND("x",TRIM(MID(SUBSTITUTE(SUBSTITUTE(SUBSTITUTE(SUBSTITUTE(SUBSTITUTE(LOWER(Registro!$F6)," ",""),CHAR(10),"|"),";","|"),"+","|"),"|",REPT(" ",LEN(Registro!$F6))),({1,2,3,4,5,6,7,8,9,10,11,12,13,14,15,16,17,18,19,20,21,22,23,24,25,26,27,28,29,30}-1)*LEN(Registro!$F6)+1,LEN(Registro!$F6)))&amp;"x")+1,20))),"Revisar formato")))</f>
        <v>3300</v>
      </c>
      <c r="H6" s="21" t="str">
        <f>IF(AND(Registro!$E6="",Registro!$F6=""),"",IF(NOT(AND(ISNUMBER(G6),ISNUMBER(Registro!$G6))),"",IF(G6&lt;Registro!$G6,"FALTA BOLETOS",IF(G6=Registro!$G6,"CONFORME","DIFERENCIA"))))</f>
        <v>CONFORME</v>
      </c>
      <c r="I6" s="24">
        <f>IF(Registro!$H6="","",IFERROR(SUMPRODUCT(--("0"&amp;TRIM(RIGHT(SUBSTITUTE(TRIM(MID(SUBSTITUTE(SUBSTITUTE(Registro!$H6,";",CHAR(10)),CHAR(10),REPT(" ",LEN(Registro!$H6))),({1,2,3,4,5,6,7,8,9,10,11,12,13,14,15,16,17,18,19,20,21,22,23,24,25,26,27,28,29,30}-1)*LEN(Registro!$H6)+1,LEN(Registro!$H6)))," ",REPT(" ",50)),50)))),"Revisar formato"))</f>
        <v>500</v>
      </c>
      <c r="J6" s="24">
        <f>IF(Registro!$I6="","",IFERROR(SUMPRODUCT(--("0"&amp;TRIM(RIGHT(SUBSTITUTE(TRIM(MID(SUBSTITUTE(SUBSTITUTE(Registro!$I6,";",CHAR(10)),CHAR(10),REPT(" ",LEN(Registro!$I6))),({1,2,3,4,5,6,7,8,9,10,11,12,13,14,15,16,17,18,19,20,21,22,23,24,25,26,27,28,29,30}-1)*LEN(Registro!$I6)+1,LEN(Registro!$I6)))," ",REPT(" ",50)),50)))),"Revisar formato"))</f>
        <v>7500</v>
      </c>
      <c r="K6" s="24">
        <f>IF(AND(Registro!$G6="",Registro!$H6=""),"",IF(AND(ISTEXT(I6),I6&lt;&gt;""),"Revisar formato",N(Registro!$G6)-N(I6)))</f>
        <v>2800</v>
      </c>
      <c r="L6" s="24">
        <f t="shared" si="1"/>
        <v>-4700</v>
      </c>
      <c r="M6" s="36">
        <f>IF(AND(A6=Consulta!$B$3,C6=Consulta!$H$3),B6*10000+ROW(),"")</f>
        <v>463000006</v>
      </c>
    </row>
    <row r="7" spans="1:13" x14ac:dyDescent="0.25">
      <c r="A7" s="21" t="str">
        <f>IF(Registro!$A7="","",Registro!$A7)</f>
        <v>TDS</v>
      </c>
      <c r="B7" s="20">
        <f>IF(Registro!$B7="","",Registro!$B7)</f>
        <v>46301</v>
      </c>
      <c r="C7" s="35">
        <f t="shared" si="0"/>
        <v>202610</v>
      </c>
      <c r="D7" s="23">
        <f>IF(Registro!$E7="","",IF(ISERROR(FIND("x",LOWER(Registro!$E7))),"-",IFERROR(SUMPRODUCT(--("0"&amp;LEFT(TRIM(MID(SUBSTITUTE(SUBSTITUTE(SUBSTITUTE(SUBSTITUTE(SUBSTITUTE(LOWER(Registro!$E7),"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",LEN(Registro!$E7))),({1,2,3,4,5,6,7,8,9,10,11,12,13,14,15,16,17,18,19,20,21,22,23,24,25,26,27,28,29,30}-1)*LEN(Registro!$E7)+1,LEN(Registro!$E7))),FIND("x",TRIM(MID(SUBSTITUTE(SUBSTITUTE(SUBSTITUTE(SUBSTITUTE(SUBSTITUTE(LOWER(Registro!$E7),"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",LEN(Registro!$E7))),({1,2,3,4,5,6,7,8,9,10,11,12,13,14,15,16,17,18,19,20,21,22,23,24,25,26,27,28,29,30}-1)*LEN(Registro!$E7)+1,LEN(Registro!$E7)))&amp;"x")-1))),"Revisar formato")))</f>
        <v>56</v>
      </c>
      <c r="E7" s="24">
        <f>IF(Registro!$E7="","",IF(ISERROR(FIND("x",LOWER(Registro!$E7))),"-",IFERROR(SUMPRODUCT(--("0"&amp;LEFT(TRIM(MID(SUBSTITUTE(SUBSTITUTE(SUBSTITUTE(SUBSTITUTE(SUBSTITUTE(LOWER(Registro!$E7),"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",LEN(Registro!$E7))),({1,2,3,4,5,6,7,8,9,10,11,12,13,14,15,16,17,18,19,20,21,22,23,24,25,26,27,28,29,30}-1)*LEN(Registro!$E7)+1,LEN(Registro!$E7))),FIND("x",TRIM(MID(SUBSTITUTE(SUBSTITUTE(SUBSTITUTE(SUBSTITUTE(SUBSTITUTE(LOWER(Registro!$E7),"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",LEN(Registro!$E7))),({1,2,3,4,5,6,7,8,9,10,11,12,13,14,15,16,17,18,19,20,21,22,23,24,25,26,27,28,29,30}-1)*LEN(Registro!$E7)+1,LEN(Registro!$E7)))&amp;"x")-1)),--("0"&amp;MID(TRIM(MID(SUBSTITUTE(SUBSTITUTE(SUBSTITUTE(SUBSTITUTE(SUBSTITUTE(LOWER(Registro!$E7),"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",LEN(Registro!$E7))),({1,2,3,4,5,6,7,8,9,10,11,12,13,14,15,16,17,18,19,20,21,22,23,24,25,26,27,28,29,30}-1)*LEN(Registro!$E7)+1,LEN(Registro!$E7))),FIND("x",TRIM(MID(SUBSTITUTE(SUBSTITUTE(SUBSTITUTE(SUBSTITUTE(SUBSTITUTE(LOWER(Registro!$E7),"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",LEN(Registro!$E7))),({1,2,3,4,5,6,7,8,9,10,11,12,13,14,15,16,17,18,19,20,21,22,23,24,25,26,27,28,29,30}-1)*LEN(Registro!$E7)+1,LEN(Registro!$E7)))&amp;"x")+1,20))),"Revisar formato")))</f>
        <v>2930</v>
      </c>
      <c r="F7" s="23">
        <f>IF(Registro!$F7="","",IF(ISERROR(FIND("x",LOWER(Registro!$F7))),"-",IFERROR(SUMPRODUCT(--("0"&amp;LEFT(TRIM(MID(SUBSTITUTE(SUBSTITUTE(SUBSTITUTE(SUBSTITUTE(SUBSTITUTE(LOWER(Registro!$F7)," ",""),CHAR(10),"|"),";","|"),"+","|"),"|",REPT(" ",LEN(Registro!$F7))),({1,2,3,4,5,6,7,8,9,10,11,12,13,14,15,16,17,18,19,20,21,22,23,24,25,26,27,28,29,30}-1)*LEN(Registro!$F7)+1,LEN(Registro!$F7))),FIND("x",TRIM(MID(SUBSTITUTE(SUBSTITUTE(SUBSTITUTE(SUBSTITUTE(SUBSTITUTE(LOWER(Registro!$F7)," ",""),CHAR(10),"|"),";","|"),"+","|"),"|",REPT(" ",LEN(Registro!$F7))),({1,2,3,4,5,6,7,8,9,10,11,12,13,14,15,16,17,18,19,20,21,22,23,24,25,26,27,28,29,30}-1)*LEN(Registro!$F7)+1,LEN(Registro!$F7)))&amp;"x")-1))),"Revisar formato")))</f>
        <v>1</v>
      </c>
      <c r="G7" s="24">
        <f>IF(Registro!$F7="","",IF(ISERROR(FIND("x",LOWER(Registro!$F7))),N(Registro!$G7),IFERROR(SUMPRODUCT(--("0"&amp;LEFT(TRIM(MID(SUBSTITUTE(SUBSTITUTE(SUBSTITUTE(SUBSTITUTE(SUBSTITUTE(LOWER(Registro!$F7)," ",""),CHAR(10),"|"),";","|"),"+","|"),"|",REPT(" ",LEN(Registro!$F7))),({1,2,3,4,5,6,7,8,9,10,11,12,13,14,15,16,17,18,19,20,21,22,23,24,25,26,27,28,29,30}-1)*LEN(Registro!$F7)+1,LEN(Registro!$F7))),FIND("x",TRIM(MID(SUBSTITUTE(SUBSTITUTE(SUBSTITUTE(SUBSTITUTE(SUBSTITUTE(LOWER(Registro!$F7)," ",""),CHAR(10),"|"),";","|"),"+","|"),"|",REPT(" ",LEN(Registro!$F7))),({1,2,3,4,5,6,7,8,9,10,11,12,13,14,15,16,17,18,19,20,21,22,23,24,25,26,27,28,29,30}-1)*LEN(Registro!$F7)+1,LEN(Registro!$F7)))&amp;"x")-1)),--("0"&amp;MID(TRIM(MID(SUBSTITUTE(SUBSTITUTE(SUBSTITUTE(SUBSTITUTE(SUBSTITUTE(LOWER(Registro!$F7)," ",""),CHAR(10),"|"),";","|"),"+","|"),"|",REPT(" ",LEN(Registro!$F7))),({1,2,3,4,5,6,7,8,9,10,11,12,13,14,15,16,17,18,19,20,21,22,23,24,25,26,27,28,29,30}-1)*LEN(Registro!$F7)+1,LEN(Registro!$F7))),FIND("x",TRIM(MID(SUBSTITUTE(SUBSTITUTE(SUBSTITUTE(SUBSTITUTE(SUBSTITUTE(LOWER(Registro!$F7)," ",""),CHAR(10),"|"),";","|"),"+","|"),"|",REPT(" ",LEN(Registro!$F7))),({1,2,3,4,5,6,7,8,9,10,11,12,13,14,15,16,17,18,19,20,21,22,23,24,25,26,27,28,29,30}-1)*LEN(Registro!$F7)+1,LEN(Registro!$F7)))&amp;"x")+1,20))),"Revisar formato")))</f>
        <v>2350</v>
      </c>
      <c r="H7" s="21" t="str">
        <f>IF(AND(Registro!$E7="",Registro!$F7=""),"",IF(NOT(AND(ISNUMBER(G7),ISNUMBER(Registro!$G7))),"",IF(G7&lt;Registro!$G7,"FALTA BOLETOS",IF(G7=Registro!$G7,"CONFORME","DIFERENCIA"))))</f>
        <v>CONFORME</v>
      </c>
      <c r="I7" s="24">
        <f>IF(Registro!$H7="","",IFERROR(SUMPRODUCT(--("0"&amp;TRIM(RIGHT(SUBSTITUTE(TRIM(MID(SUBSTITUTE(SUBSTITUTE(Registro!$H7,";",CHAR(10)),CHAR(10),REPT(" ",LEN(Registro!$H7))),({1,2,3,4,5,6,7,8,9,10,11,12,13,14,15,16,17,18,19,20,21,22,23,24,25,26,27,28,29,30}-1)*LEN(Registro!$H7)+1,LEN(Registro!$H7)))," ",REPT(" ",50)),50)))),"Revisar formato"))</f>
        <v>100</v>
      </c>
      <c r="J7" s="24" t="str">
        <f>IF(Registro!$I7="","",IFERROR(SUMPRODUCT(--("0"&amp;TRIM(RIGHT(SUBSTITUTE(TRIM(MID(SUBSTITUTE(SUBSTITUTE(Registro!$I7,";",CHAR(10)),CHAR(10),REPT(" ",LEN(Registro!$I7))),({1,2,3,4,5,6,7,8,9,10,11,12,13,14,15,16,17,18,19,20,21,22,23,24,25,26,27,28,29,30}-1)*LEN(Registro!$I7)+1,LEN(Registro!$I7)))," ",REPT(" ",50)),50)))),"Revisar formato"))</f>
        <v/>
      </c>
      <c r="K7" s="24">
        <f>IF(AND(Registro!$G7="",Registro!$H7=""),"",IF(AND(ISTEXT(I7),I7&lt;&gt;""),"Revisar formato",N(Registro!$G7)-N(I7)))</f>
        <v>2250</v>
      </c>
      <c r="L7" s="24">
        <f t="shared" si="1"/>
        <v>2250</v>
      </c>
      <c r="M7" s="36">
        <f>IF(AND(A7=Consulta!$B$3,C7=Consulta!$H$3),B7*10000+ROW(),"")</f>
        <v>463010007</v>
      </c>
    </row>
    <row r="8" spans="1:13" x14ac:dyDescent="0.25">
      <c r="A8" s="21" t="str">
        <f>IF(Registro!$A8="","",Registro!$A8)</f>
        <v>TDS</v>
      </c>
      <c r="B8" s="20">
        <f>IF(Registro!$B8="","",Registro!$B8)</f>
        <v>46302</v>
      </c>
      <c r="C8" s="35">
        <f t="shared" si="0"/>
        <v>202610</v>
      </c>
      <c r="D8" s="23">
        <f>IF(Registro!$E8="","",IF(ISERROR(FIND("x",LOWER(Registro!$E8))),"-",IFERROR(SUMPRODUCT(--("0"&amp;LEFT(TRIM(MID(SUBSTITUTE(SUBSTITUTE(SUBSTITUTE(SUBSTITUTE(SUBSTITUTE(LOWER(Registro!$E8),"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",LEN(Registro!$E8))),({1,2,3,4,5,6,7,8,9,10,11,12,13,14,15,16,17,18,19,20,21,22,23,24,25,26,27,28,29,30}-1)*LEN(Registro!$E8)+1,LEN(Registro!$E8))),FIND("x",TRIM(MID(SUBSTITUTE(SUBSTITUTE(SUBSTITUTE(SUBSTITUTE(SUBSTITUTE(LOWER(Registro!$E8),"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",LEN(Registro!$E8))),({1,2,3,4,5,6,7,8,9,10,11,12,13,14,15,16,17,18,19,20,21,22,23,24,25,26,27,28,29,30}-1)*LEN(Registro!$E8)+1,LEN(Registro!$E8)))&amp;"x")-1))),"Revisar formato")))</f>
        <v>33</v>
      </c>
      <c r="E8" s="24">
        <f>IF(Registro!$E8="","",IF(ISERROR(FIND("x",LOWER(Registro!$E8))),"-",IFERROR(SUMPRODUCT(--("0"&amp;LEFT(TRIM(MID(SUBSTITUTE(SUBSTITUTE(SUBSTITUTE(SUBSTITUTE(SUBSTITUTE(LOWER(Registro!$E8),"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",LEN(Registro!$E8))),({1,2,3,4,5,6,7,8,9,10,11,12,13,14,15,16,17,18,19,20,21,22,23,24,25,26,27,28,29,30}-1)*LEN(Registro!$E8)+1,LEN(Registro!$E8))),FIND("x",TRIM(MID(SUBSTITUTE(SUBSTITUTE(SUBSTITUTE(SUBSTITUTE(SUBSTITUTE(LOWER(Registro!$E8),"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",LEN(Registro!$E8))),({1,2,3,4,5,6,7,8,9,10,11,12,13,14,15,16,17,18,19,20,21,22,23,24,25,26,27,28,29,30}-1)*LEN(Registro!$E8)+1,LEN(Registro!$E8)))&amp;"x")-1)),--("0"&amp;MID(TRIM(MID(SUBSTITUTE(SUBSTITUTE(SUBSTITUTE(SUBSTITUTE(SUBSTITUTE(LOWER(Registro!$E8),"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",LEN(Registro!$E8))),({1,2,3,4,5,6,7,8,9,10,11,12,13,14,15,16,17,18,19,20,21,22,23,24,25,26,27,28,29,30}-1)*LEN(Registro!$E8)+1,LEN(Registro!$E8))),FIND("x",TRIM(MID(SUBSTITUTE(SUBSTITUTE(SUBSTITUTE(SUBSTITUTE(SUBSTITUTE(LOWER(Registro!$E8),"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",LEN(Registro!$E8))),({1,2,3,4,5,6,7,8,9,10,11,12,13,14,15,16,17,18,19,20,21,22,23,24,25,26,27,28,29,30}-1)*LEN(Registro!$E8)+1,LEN(Registro!$E8)))&amp;"x")+1,20))),"Revisar formato")))</f>
        <v>1450</v>
      </c>
      <c r="F8" s="23">
        <f>IF(Registro!$F8="","",IF(ISERROR(FIND("x",LOWER(Registro!$F8))),"-",IFERROR(SUMPRODUCT(--("0"&amp;LEFT(TRIM(MID(SUBSTITUTE(SUBSTITUTE(SUBSTITUTE(SUBSTITUTE(SUBSTITUTE(LOWER(Registro!$F8)," ",""),CHAR(10),"|"),";","|"),"+","|"),"|",REPT(" ",LEN(Registro!$F8))),({1,2,3,4,5,6,7,8,9,10,11,12,13,14,15,16,17,18,19,20,21,22,23,24,25,26,27,28,29,30}-1)*LEN(Registro!$F8)+1,LEN(Registro!$F8))),FIND("x",TRIM(MID(SUBSTITUTE(SUBSTITUTE(SUBSTITUTE(SUBSTITUTE(SUBSTITUTE(LOWER(Registro!$F8)," ",""),CHAR(10),"|"),";","|"),"+","|"),"|",REPT(" ",LEN(Registro!$F8))),({1,2,3,4,5,6,7,8,9,10,11,12,13,14,15,16,17,18,19,20,21,22,23,24,25,26,27,28,29,30}-1)*LEN(Registro!$F8)+1,LEN(Registro!$F8)))&amp;"x")-1))),"Revisar formato")))</f>
        <v>1</v>
      </c>
      <c r="G8" s="24">
        <f>IF(Registro!$F8="","",IF(ISERROR(FIND("x",LOWER(Registro!$F8))),N(Registro!$G8),IFERROR(SUMPRODUCT(--("0"&amp;LEFT(TRIM(MID(SUBSTITUTE(SUBSTITUTE(SUBSTITUTE(SUBSTITUTE(SUBSTITUTE(LOWER(Registro!$F8)," ",""),CHAR(10),"|"),";","|"),"+","|"),"|",REPT(" ",LEN(Registro!$F8))),({1,2,3,4,5,6,7,8,9,10,11,12,13,14,15,16,17,18,19,20,21,22,23,24,25,26,27,28,29,30}-1)*LEN(Registro!$F8)+1,LEN(Registro!$F8))),FIND("x",TRIM(MID(SUBSTITUTE(SUBSTITUTE(SUBSTITUTE(SUBSTITUTE(SUBSTITUTE(LOWER(Registro!$F8)," ",""),CHAR(10),"|"),";","|"),"+","|"),"|",REPT(" ",LEN(Registro!$F8))),({1,2,3,4,5,6,7,8,9,10,11,12,13,14,15,16,17,18,19,20,21,22,23,24,25,26,27,28,29,30}-1)*LEN(Registro!$F8)+1,LEN(Registro!$F8)))&amp;"x")-1)),--("0"&amp;MID(TRIM(MID(SUBSTITUTE(SUBSTITUTE(SUBSTITUTE(SUBSTITUTE(SUBSTITUTE(LOWER(Registro!$F8)," ",""),CHAR(10),"|"),";","|"),"+","|"),"|",REPT(" ",LEN(Registro!$F8))),({1,2,3,4,5,6,7,8,9,10,11,12,13,14,15,16,17,18,19,20,21,22,23,24,25,26,27,28,29,30}-1)*LEN(Registro!$F8)+1,LEN(Registro!$F8))),FIND("x",TRIM(MID(SUBSTITUTE(SUBSTITUTE(SUBSTITUTE(SUBSTITUTE(SUBSTITUTE(LOWER(Registro!$F8)," ",""),CHAR(10),"|"),";","|"),"+","|"),"|",REPT(" ",LEN(Registro!$F8))),({1,2,3,4,5,6,7,8,9,10,11,12,13,14,15,16,17,18,19,20,21,22,23,24,25,26,27,28,29,30}-1)*LEN(Registro!$F8)+1,LEN(Registro!$F8)))&amp;"x")+1,20))),"Revisar formato")))</f>
        <v>2455</v>
      </c>
      <c r="H8" s="21" t="str">
        <f>IF(AND(Registro!$E8="",Registro!$F8=""),"",IF(NOT(AND(ISNUMBER(G8),ISNUMBER(Registro!$G8))),"",IF(G8&lt;Registro!$G8,"FALTA BOLETOS",IF(G8=Registro!$G8,"CONFORME","DIFERENCIA"))))</f>
        <v>CONFORME</v>
      </c>
      <c r="I8" s="24">
        <f>IF(Registro!$H8="","",IFERROR(SUMPRODUCT(--("0"&amp;TRIM(RIGHT(SUBSTITUTE(TRIM(MID(SUBSTITUTE(SUBSTITUTE(Registro!$H8,";",CHAR(10)),CHAR(10),REPT(" ",LEN(Registro!$H8))),({1,2,3,4,5,6,7,8,9,10,11,12,13,14,15,16,17,18,19,20,21,22,23,24,25,26,27,28,29,30}-1)*LEN(Registro!$H8)+1,LEN(Registro!$H8)))," ",REPT(" ",50)),50)))),"Revisar formato"))</f>
        <v>100</v>
      </c>
      <c r="J8" s="24" t="str">
        <f>IF(Registro!$I8="","",IFERROR(SUMPRODUCT(--("0"&amp;TRIM(RIGHT(SUBSTITUTE(TRIM(MID(SUBSTITUTE(SUBSTITUTE(Registro!$I8,";",CHAR(10)),CHAR(10),REPT(" ",LEN(Registro!$I8))),({1,2,3,4,5,6,7,8,9,10,11,12,13,14,15,16,17,18,19,20,21,22,23,24,25,26,27,28,29,30}-1)*LEN(Registro!$I8)+1,LEN(Registro!$I8)))," ",REPT(" ",50)),50)))),"Revisar formato"))</f>
        <v/>
      </c>
      <c r="K8" s="24">
        <f>IF(AND(Registro!$G8="",Registro!$H8=""),"",IF(AND(ISTEXT(I8),I8&lt;&gt;""),"Revisar formato",N(Registro!$G8)-N(I8)))</f>
        <v>2355</v>
      </c>
      <c r="L8" s="24">
        <f t="shared" si="1"/>
        <v>2355</v>
      </c>
      <c r="M8" s="36">
        <f>IF(AND(A8=Consulta!$B$3,C8=Consulta!$H$3),B8*10000+ROW(),"")</f>
        <v>463020008</v>
      </c>
    </row>
    <row r="9" spans="1:13" x14ac:dyDescent="0.25">
      <c r="A9" s="21" t="str">
        <f>IF(Registro!$A9="","",Registro!$A9)</f>
        <v>TDS</v>
      </c>
      <c r="B9" s="20">
        <f>IF(Registro!$B9="","",Registro!$B9)</f>
        <v>46303</v>
      </c>
      <c r="C9" s="35">
        <f t="shared" si="0"/>
        <v>202610</v>
      </c>
      <c r="D9" s="23">
        <f>IF(Registro!$E9="","",IF(ISERROR(FIND("x",LOWER(Registro!$E9))),"-",IFERROR(SUMPRODUCT(--("0"&amp;LEFT(TRIM(MID(SUBSTITUTE(SUBSTITUTE(SUBSTITUTE(SUBSTITUTE(SUBSTITUTE(LOWER(Registro!$E9),"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",LEN(Registro!$E9))),({1,2,3,4,5,6,7,8,9,10,11,12,13,14,15,16,17,18,19,20,21,22,23,24,25,26,27,28,29,30}-1)*LEN(Registro!$E9)+1,LEN(Registro!$E9))),FIND("x",TRIM(MID(SUBSTITUTE(SUBSTITUTE(SUBSTITUTE(SUBSTITUTE(SUBSTITUTE(LOWER(Registro!$E9),"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",LEN(Registro!$E9))),({1,2,3,4,5,6,7,8,9,10,11,12,13,14,15,16,17,18,19,20,21,22,23,24,25,26,27,28,29,30}-1)*LEN(Registro!$E9)+1,LEN(Registro!$E9)))&amp;"x")-1))),"Revisar formato")))</f>
        <v>46</v>
      </c>
      <c r="E9" s="24">
        <f>IF(Registro!$E9="","",IF(ISERROR(FIND("x",LOWER(Registro!$E9))),"-",IFERROR(SUMPRODUCT(--("0"&amp;LEFT(TRIM(MID(SUBSTITUTE(SUBSTITUTE(SUBSTITUTE(SUBSTITUTE(SUBSTITUTE(LOWER(Registro!$E9),"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",LEN(Registro!$E9))),({1,2,3,4,5,6,7,8,9,10,11,12,13,14,15,16,17,18,19,20,21,22,23,24,25,26,27,28,29,30}-1)*LEN(Registro!$E9)+1,LEN(Registro!$E9))),FIND("x",TRIM(MID(SUBSTITUTE(SUBSTITUTE(SUBSTITUTE(SUBSTITUTE(SUBSTITUTE(LOWER(Registro!$E9),"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",LEN(Registro!$E9))),({1,2,3,4,5,6,7,8,9,10,11,12,13,14,15,16,17,18,19,20,21,22,23,24,25,26,27,28,29,30}-1)*LEN(Registro!$E9)+1,LEN(Registro!$E9)))&amp;"x")-1)),--("0"&amp;MID(TRIM(MID(SUBSTITUTE(SUBSTITUTE(SUBSTITUTE(SUBSTITUTE(SUBSTITUTE(LOWER(Registro!$E9),"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",LEN(Registro!$E9))),({1,2,3,4,5,6,7,8,9,10,11,12,13,14,15,16,17,18,19,20,21,22,23,24,25,26,27,28,29,30}-1)*LEN(Registro!$E9)+1,LEN(Registro!$E9))),FIND("x",TRIM(MID(SUBSTITUTE(SUBSTITUTE(SUBSTITUTE(SUBSTITUTE(SUBSTITUTE(LOWER(Registro!$E9),"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",LEN(Registro!$E9))),({1,2,3,4,5,6,7,8,9,10,11,12,13,14,15,16,17,18,19,20,21,22,23,24,25,26,27,28,29,30}-1)*LEN(Registro!$E9)+1,LEN(Registro!$E9)))&amp;"x")+1,20))),"Revisar formato")))</f>
        <v>2060</v>
      </c>
      <c r="F9" s="23">
        <f>IF(Registro!$F9="","",IF(ISERROR(FIND("x",LOWER(Registro!$F9))),"-",IFERROR(SUMPRODUCT(--("0"&amp;LEFT(TRIM(MID(SUBSTITUTE(SUBSTITUTE(SUBSTITUTE(SUBSTITUTE(SUBSTITUTE(LOWER(Registro!$F9)," ",""),CHAR(10),"|"),";","|"),"+","|"),"|",REPT(" ",LEN(Registro!$F9))),({1,2,3,4,5,6,7,8,9,10,11,12,13,14,15,16,17,18,19,20,21,22,23,24,25,26,27,28,29,30}-1)*LEN(Registro!$F9)+1,LEN(Registro!$F9))),FIND("x",TRIM(MID(SUBSTITUTE(SUBSTITUTE(SUBSTITUTE(SUBSTITUTE(SUBSTITUTE(LOWER(Registro!$F9)," ",""),CHAR(10),"|"),";","|"),"+","|"),"|",REPT(" ",LEN(Registro!$F9))),({1,2,3,4,5,6,7,8,9,10,11,12,13,14,15,16,17,18,19,20,21,22,23,24,25,26,27,28,29,30}-1)*LEN(Registro!$F9)+1,LEN(Registro!$F9)))&amp;"x")-1))),"Revisar formato")))</f>
        <v>1</v>
      </c>
      <c r="G9" s="24">
        <f>IF(Registro!$F9="","",IF(ISERROR(FIND("x",LOWER(Registro!$F9))),N(Registro!$G9),IFERROR(SUMPRODUCT(--("0"&amp;LEFT(TRIM(MID(SUBSTITUTE(SUBSTITUTE(SUBSTITUTE(SUBSTITUTE(SUBSTITUTE(LOWER(Registro!$F9)," ",""),CHAR(10),"|"),";","|"),"+","|"),"|",REPT(" ",LEN(Registro!$F9))),({1,2,3,4,5,6,7,8,9,10,11,12,13,14,15,16,17,18,19,20,21,22,23,24,25,26,27,28,29,30}-1)*LEN(Registro!$F9)+1,LEN(Registro!$F9))),FIND("x",TRIM(MID(SUBSTITUTE(SUBSTITUTE(SUBSTITUTE(SUBSTITUTE(SUBSTITUTE(LOWER(Registro!$F9)," ",""),CHAR(10),"|"),";","|"),"+","|"),"|",REPT(" ",LEN(Registro!$F9))),({1,2,3,4,5,6,7,8,9,10,11,12,13,14,15,16,17,18,19,20,21,22,23,24,25,26,27,28,29,30}-1)*LEN(Registro!$F9)+1,LEN(Registro!$F9)))&amp;"x")-1)),--("0"&amp;MID(TRIM(MID(SUBSTITUTE(SUBSTITUTE(SUBSTITUTE(SUBSTITUTE(SUBSTITUTE(LOWER(Registro!$F9)," ",""),CHAR(10),"|"),";","|"),"+","|"),"|",REPT(" ",LEN(Registro!$F9))),({1,2,3,4,5,6,7,8,9,10,11,12,13,14,15,16,17,18,19,20,21,22,23,24,25,26,27,28,29,30}-1)*LEN(Registro!$F9)+1,LEN(Registro!$F9))),FIND("x",TRIM(MID(SUBSTITUTE(SUBSTITUTE(SUBSTITUTE(SUBSTITUTE(SUBSTITUTE(LOWER(Registro!$F9)," ",""),CHAR(10),"|"),";","|"),"+","|"),"|",REPT(" ",LEN(Registro!$F9))),({1,2,3,4,5,6,7,8,9,10,11,12,13,14,15,16,17,18,19,20,21,22,23,24,25,26,27,28,29,30}-1)*LEN(Registro!$F9)+1,LEN(Registro!$F9)))&amp;"x")+1,20))),"Revisar formato")))</f>
        <v>2365</v>
      </c>
      <c r="H9" s="21" t="str">
        <f>IF(AND(Registro!$E9="",Registro!$F9=""),"",IF(NOT(AND(ISNUMBER(G9),ISNUMBER(Registro!$G9))),"",IF(G9&lt;Registro!$G9,"FALTA BOLETOS",IF(G9=Registro!$G9,"CONFORME","DIFERENCIA"))))</f>
        <v>CONFORME</v>
      </c>
      <c r="I9" s="24">
        <f>IF(Registro!$H9="","",IFERROR(SUMPRODUCT(--("0"&amp;TRIM(RIGHT(SUBSTITUTE(TRIM(MID(SUBSTITUTE(SUBSTITUTE(Registro!$H9,";",CHAR(10)),CHAR(10),REPT(" ",LEN(Registro!$H9))),({1,2,3,4,5,6,7,8,9,10,11,12,13,14,15,16,17,18,19,20,21,22,23,24,25,26,27,28,29,30}-1)*LEN(Registro!$H9)+1,LEN(Registro!$H9)))," ",REPT(" ",50)),50)))),"Revisar formato"))</f>
        <v>50</v>
      </c>
      <c r="J9" s="24" t="str">
        <f>IF(Registro!$I9="","",IFERROR(SUMPRODUCT(--("0"&amp;TRIM(RIGHT(SUBSTITUTE(TRIM(MID(SUBSTITUTE(SUBSTITUTE(Registro!$I9,";",CHAR(10)),CHAR(10),REPT(" ",LEN(Registro!$I9))),({1,2,3,4,5,6,7,8,9,10,11,12,13,14,15,16,17,18,19,20,21,22,23,24,25,26,27,28,29,30}-1)*LEN(Registro!$I9)+1,LEN(Registro!$I9)))," ",REPT(" ",50)),50)))),"Revisar formato"))</f>
        <v/>
      </c>
      <c r="K9" s="24">
        <f>IF(AND(Registro!$G9="",Registro!$H9=""),"",IF(AND(ISTEXT(I9),I9&lt;&gt;""),"Revisar formato",N(Registro!$G9)-N(I9)))</f>
        <v>2315</v>
      </c>
      <c r="L9" s="24">
        <f t="shared" si="1"/>
        <v>2315</v>
      </c>
      <c r="M9" s="36">
        <f>IF(AND(A9=Consulta!$B$3,C9=Consulta!$H$3),B9*10000+ROW(),"")</f>
        <v>463030009</v>
      </c>
    </row>
    <row r="10" spans="1:13" x14ac:dyDescent="0.25">
      <c r="A10" s="21" t="str">
        <f>IF(Registro!$A10="","",Registro!$A10)</f>
        <v>TDS</v>
      </c>
      <c r="B10" s="20">
        <f>IF(Registro!$B10="","",Registro!$B10)</f>
        <v>46304</v>
      </c>
      <c r="C10" s="35">
        <f t="shared" si="0"/>
        <v>202610</v>
      </c>
      <c r="D10" s="23">
        <f>IF(Registro!$E10="","",IF(ISERROR(FIND("x",LOWER(Registro!$E10))),"-",IFERROR(SUMPRODUCT(--("0"&amp;LEFT(TRIM(MID(SUBSTITUTE(SUBSTITUTE(SUBSTITUTE(SUBSTITUTE(SUBSTITUTE(LOWER(Registro!$E10),"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",LEN(Registro!$E10))),({1,2,3,4,5,6,7,8,9,10,11,12,13,14,15,16,17,18,19,20,21,22,23,24,25,26,27,28,29,30}-1)*LEN(Registro!$E10)+1,LEN(Registro!$E10))),FIND("x",TRIM(MID(SUBSTITUTE(SUBSTITUTE(SUBSTITUTE(SUBSTITUTE(SUBSTITUTE(LOWER(Registro!$E10),"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",LEN(Registro!$E10))),({1,2,3,4,5,6,7,8,9,10,11,12,13,14,15,16,17,18,19,20,21,22,23,24,25,26,27,28,29,30}-1)*LEN(Registro!$E10)+1,LEN(Registro!$E10)))&amp;"x")-1))),"Revisar formato")))</f>
        <v>57</v>
      </c>
      <c r="E10" s="24">
        <f>IF(Registro!$E10="","",IF(ISERROR(FIND("x",LOWER(Registro!$E10))),"-",IFERROR(SUMPRODUCT(--("0"&amp;LEFT(TRIM(MID(SUBSTITUTE(SUBSTITUTE(SUBSTITUTE(SUBSTITUTE(SUBSTITUTE(LOWER(Registro!$E10),"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",LEN(Registro!$E10))),({1,2,3,4,5,6,7,8,9,10,11,12,13,14,15,16,17,18,19,20,21,22,23,24,25,26,27,28,29,30}-1)*LEN(Registro!$E10)+1,LEN(Registro!$E10))),FIND("x",TRIM(MID(SUBSTITUTE(SUBSTITUTE(SUBSTITUTE(SUBSTITUTE(SUBSTITUTE(LOWER(Registro!$E10),"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",LEN(Registro!$E10))),({1,2,3,4,5,6,7,8,9,10,11,12,13,14,15,16,17,18,19,20,21,22,23,24,25,26,27,28,29,30}-1)*LEN(Registro!$E10)+1,LEN(Registro!$E10)))&amp;"x")-1)),--("0"&amp;MID(TRIM(MID(SUBSTITUTE(SUBSTITUTE(SUBSTITUTE(SUBSTITUTE(SUBSTITUTE(LOWER(Registro!$E10),"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",LEN(Registro!$E10))),({1,2,3,4,5,6,7,8,9,10,11,12,13,14,15,16,17,18,19,20,21,22,23,24,25,26,27,28,29,30}-1)*LEN(Registro!$E10)+1,LEN(Registro!$E10))),FIND("x",TRIM(MID(SUBSTITUTE(SUBSTITUTE(SUBSTITUTE(SUBSTITUTE(SUBSTITUTE(LOWER(Registro!$E10),"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",LEN(Registro!$E10))),({1,2,3,4,5,6,7,8,9,10,11,12,13,14,15,16,17,18,19,20,21,22,23,24,25,26,27,28,29,30}-1)*LEN(Registro!$E10)+1,LEN(Registro!$E10)))&amp;"x")+1,20))),"Revisar formato")))</f>
        <v>2870</v>
      </c>
      <c r="F10" s="23">
        <f>IF(Registro!$F10="","",IF(ISERROR(FIND("x",LOWER(Registro!$F10))),"-",IFERROR(SUMPRODUCT(--("0"&amp;LEFT(TRIM(MID(SUBSTITUTE(SUBSTITUTE(SUBSTITUTE(SUBSTITUTE(SUBSTITUTE(LOWER(Registro!$F10)," ",""),CHAR(10),"|"),";","|"),"+","|"),"|",REPT(" ",LEN(Registro!$F10))),({1,2,3,4,5,6,7,8,9,10,11,12,13,14,15,16,17,18,19,20,21,22,23,24,25,26,27,28,29,30}-1)*LEN(Registro!$F10)+1,LEN(Registro!$F10))),FIND("x",TRIM(MID(SUBSTITUTE(SUBSTITUTE(SUBSTITUTE(SUBSTITUTE(SUBSTITUTE(LOWER(Registro!$F10)," ",""),CHAR(10),"|"),";","|"),"+","|"),"|",REPT(" ",LEN(Registro!$F10))),({1,2,3,4,5,6,7,8,9,10,11,12,13,14,15,16,17,18,19,20,21,22,23,24,25,26,27,28,29,30}-1)*LEN(Registro!$F10)+1,LEN(Registro!$F10)))&amp;"x")-1))),"Revisar formato")))</f>
        <v>1</v>
      </c>
      <c r="G10" s="24">
        <f>IF(Registro!$F10="","",IF(ISERROR(FIND("x",LOWER(Registro!$F10))),N(Registro!$G10),IFERROR(SUMPRODUCT(--("0"&amp;LEFT(TRIM(MID(SUBSTITUTE(SUBSTITUTE(SUBSTITUTE(SUBSTITUTE(SUBSTITUTE(LOWER(Registro!$F10)," ",""),CHAR(10),"|"),";","|"),"+","|"),"|",REPT(" ",LEN(Registro!$F10))),({1,2,3,4,5,6,7,8,9,10,11,12,13,14,15,16,17,18,19,20,21,22,23,24,25,26,27,28,29,30}-1)*LEN(Registro!$F10)+1,LEN(Registro!$F10))),FIND("x",TRIM(MID(SUBSTITUTE(SUBSTITUTE(SUBSTITUTE(SUBSTITUTE(SUBSTITUTE(LOWER(Registro!$F10)," ",""),CHAR(10),"|"),";","|"),"+","|"),"|",REPT(" ",LEN(Registro!$F10))),({1,2,3,4,5,6,7,8,9,10,11,12,13,14,15,16,17,18,19,20,21,22,23,24,25,26,27,28,29,30}-1)*LEN(Registro!$F10)+1,LEN(Registro!$F10)))&amp;"x")-1)),--("0"&amp;MID(TRIM(MID(SUBSTITUTE(SUBSTITUTE(SUBSTITUTE(SUBSTITUTE(SUBSTITUTE(LOWER(Registro!$F10)," ",""),CHAR(10),"|"),";","|"),"+","|"),"|",REPT(" ",LEN(Registro!$F10))),({1,2,3,4,5,6,7,8,9,10,11,12,13,14,15,16,17,18,19,20,21,22,23,24,25,26,27,28,29,30}-1)*LEN(Registro!$F10)+1,LEN(Registro!$F10))),FIND("x",TRIM(MID(SUBSTITUTE(SUBSTITUTE(SUBSTITUTE(SUBSTITUTE(SUBSTITUTE(LOWER(Registro!$F10)," ",""),CHAR(10),"|"),";","|"),"+","|"),"|",REPT(" ",LEN(Registro!$F10))),({1,2,3,4,5,6,7,8,9,10,11,12,13,14,15,16,17,18,19,20,21,22,23,24,25,26,27,28,29,30}-1)*LEN(Registro!$F10)+1,LEN(Registro!$F10)))&amp;"x")+1,20))),"Revisar formato")))</f>
        <v>2395</v>
      </c>
      <c r="H10" s="21" t="str">
        <f>IF(AND(Registro!$E10="",Registro!$F10=""),"",IF(NOT(AND(ISNUMBER(G10),ISNUMBER(Registro!$G10))),"",IF(G10&lt;Registro!$G10,"FALTA BOLETOS",IF(G10=Registro!$G10,"CONFORME","DIFERENCIA"))))</f>
        <v>CONFORME</v>
      </c>
      <c r="I10" s="24" t="str">
        <f>IF(Registro!$H10="","",IFERROR(SUMPRODUCT(--("0"&amp;TRIM(RIGHT(SUBSTITUTE(TRIM(MID(SUBSTITUTE(SUBSTITUTE(Registro!$H10,";",CHAR(10)),CHAR(10),REPT(" ",LEN(Registro!$H10))),({1,2,3,4,5,6,7,8,9,10,11,12,13,14,15,16,17,18,19,20,21,22,23,24,25,26,27,28,29,30}-1)*LEN(Registro!$H10)+1,LEN(Registro!$H10)))," ",REPT(" ",50)),50)))),"Revisar formato"))</f>
        <v/>
      </c>
      <c r="J10" s="24" t="str">
        <f>IF(Registro!$I10="","",IFERROR(SUMPRODUCT(--("0"&amp;TRIM(RIGHT(SUBSTITUTE(TRIM(MID(SUBSTITUTE(SUBSTITUTE(Registro!$I10,";",CHAR(10)),CHAR(10),REPT(" ",LEN(Registro!$I10))),({1,2,3,4,5,6,7,8,9,10,11,12,13,14,15,16,17,18,19,20,21,22,23,24,25,26,27,28,29,30}-1)*LEN(Registro!$I10)+1,LEN(Registro!$I10)))," ",REPT(" ",50)),50)))),"Revisar formato"))</f>
        <v/>
      </c>
      <c r="K10" s="24">
        <f>IF(AND(Registro!$G10="",Registro!$H10=""),"",IF(AND(ISTEXT(I10),I10&lt;&gt;""),"Revisar formato",N(Registro!$G10)-N(I10)))</f>
        <v>2395</v>
      </c>
      <c r="L10" s="24">
        <f t="shared" si="1"/>
        <v>2395</v>
      </c>
      <c r="M10" s="36">
        <f>IF(AND(A10=Consulta!$B$3,C10=Consulta!$H$3),B10*10000+ROW(),"")</f>
        <v>463040010</v>
      </c>
    </row>
    <row r="11" spans="1:13" x14ac:dyDescent="0.25">
      <c r="A11" s="21" t="str">
        <f>IF(Registro!$A11="","",Registro!$A11)</f>
        <v>TDS</v>
      </c>
      <c r="B11" s="20">
        <f>IF(Registro!$B11="","",Registro!$B11)</f>
        <v>46305</v>
      </c>
      <c r="C11" s="35">
        <f t="shared" si="0"/>
        <v>202610</v>
      </c>
      <c r="D11" s="23">
        <f>IF(Registro!$E11="","",IF(ISERROR(FIND("x",LOWER(Registro!$E11))),"-",IFERROR(SUMPRODUCT(--("0"&amp;LEFT(TRIM(MID(SUBSTITUTE(SUBSTITUTE(SUBSTITUTE(SUBSTITUTE(SUBSTITUTE(LOWER(Registro!$E11),"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",LEN(Registro!$E11))),({1,2,3,4,5,6,7,8,9,10,11,12,13,14,15,16,17,18,19,20,21,22,23,24,25,26,27,28,29,30}-1)*LEN(Registro!$E11)+1,LEN(Registro!$E11))),FIND("x",TRIM(MID(SUBSTITUTE(SUBSTITUTE(SUBSTITUTE(SUBSTITUTE(SUBSTITUTE(LOWER(Registro!$E11),"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",LEN(Registro!$E11))),({1,2,3,4,5,6,7,8,9,10,11,12,13,14,15,16,17,18,19,20,21,22,23,24,25,26,27,28,29,30}-1)*LEN(Registro!$E11)+1,LEN(Registro!$E11)))&amp;"x")-1))),"Revisar formato")))</f>
        <v>43</v>
      </c>
      <c r="E11" s="24">
        <f>IF(Registro!$E11="","",IF(ISERROR(FIND("x",LOWER(Registro!$E11))),"-",IFERROR(SUMPRODUCT(--("0"&amp;LEFT(TRIM(MID(SUBSTITUTE(SUBSTITUTE(SUBSTITUTE(SUBSTITUTE(SUBSTITUTE(LOWER(Registro!$E11),"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",LEN(Registro!$E11))),({1,2,3,4,5,6,7,8,9,10,11,12,13,14,15,16,17,18,19,20,21,22,23,24,25,26,27,28,29,30}-1)*LEN(Registro!$E11)+1,LEN(Registro!$E11))),FIND("x",TRIM(MID(SUBSTITUTE(SUBSTITUTE(SUBSTITUTE(SUBSTITUTE(SUBSTITUTE(LOWER(Registro!$E11),"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",LEN(Registro!$E11))),({1,2,3,4,5,6,7,8,9,10,11,12,13,14,15,16,17,18,19,20,21,22,23,24,25,26,27,28,29,30}-1)*LEN(Registro!$E11)+1,LEN(Registro!$E11)))&amp;"x")-1)),--("0"&amp;MID(TRIM(MID(SUBSTITUTE(SUBSTITUTE(SUBSTITUTE(SUBSTITUTE(SUBSTITUTE(LOWER(Registro!$E11),"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",LEN(Registro!$E11))),({1,2,3,4,5,6,7,8,9,10,11,12,13,14,15,16,17,18,19,20,21,22,23,24,25,26,27,28,29,30}-1)*LEN(Registro!$E11)+1,LEN(Registro!$E11))),FIND("x",TRIM(MID(SUBSTITUTE(SUBSTITUTE(SUBSTITUTE(SUBSTITUTE(SUBSTITUTE(LOWER(Registro!$E11),"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",LEN(Registro!$E11))),({1,2,3,4,5,6,7,8,9,10,11,12,13,14,15,16,17,18,19,20,21,22,23,24,25,26,27,28,29,30}-1)*LEN(Registro!$E11)+1,LEN(Registro!$E11)))&amp;"x")+1,20))),"Revisar formato")))</f>
        <v>1690</v>
      </c>
      <c r="F11" s="23">
        <f>IF(Registro!$F11="","",IF(ISERROR(FIND("x",LOWER(Registro!$F11))),"-",IFERROR(SUMPRODUCT(--("0"&amp;LEFT(TRIM(MID(SUBSTITUTE(SUBSTITUTE(SUBSTITUTE(SUBSTITUTE(SUBSTITUTE(LOWER(Registro!$F11)," ",""),CHAR(10),"|"),";","|"),"+","|"),"|",REPT(" ",LEN(Registro!$F11))),({1,2,3,4,5,6,7,8,9,10,11,12,13,14,15,16,17,18,19,20,21,22,23,24,25,26,27,28,29,30}-1)*LEN(Registro!$F11)+1,LEN(Registro!$F11))),FIND("x",TRIM(MID(SUBSTITUTE(SUBSTITUTE(SUBSTITUTE(SUBSTITUTE(SUBSTITUTE(LOWER(Registro!$F11)," ",""),CHAR(10),"|"),";","|"),"+","|"),"|",REPT(" ",LEN(Registro!$F11))),({1,2,3,4,5,6,7,8,9,10,11,12,13,14,15,16,17,18,19,20,21,22,23,24,25,26,27,28,29,30}-1)*LEN(Registro!$F11)+1,LEN(Registro!$F11)))&amp;"x")-1))),"Revisar formato")))</f>
        <v>1</v>
      </c>
      <c r="G11" s="24">
        <f>IF(Registro!$F11="","",IF(ISERROR(FIND("x",LOWER(Registro!$F11))),N(Registro!$G11),IFERROR(SUMPRODUCT(--("0"&amp;LEFT(TRIM(MID(SUBSTITUTE(SUBSTITUTE(SUBSTITUTE(SUBSTITUTE(SUBSTITUTE(LOWER(Registro!$F11)," ",""),CHAR(10),"|"),";","|"),"+","|"),"|",REPT(" ",LEN(Registro!$F11))),({1,2,3,4,5,6,7,8,9,10,11,12,13,14,15,16,17,18,19,20,21,22,23,24,25,26,27,28,29,30}-1)*LEN(Registro!$F11)+1,LEN(Registro!$F11))),FIND("x",TRIM(MID(SUBSTITUTE(SUBSTITUTE(SUBSTITUTE(SUBSTITUTE(SUBSTITUTE(LOWER(Registro!$F11)," ",""),CHAR(10),"|"),";","|"),"+","|"),"|",REPT(" ",LEN(Registro!$F11))),({1,2,3,4,5,6,7,8,9,10,11,12,13,14,15,16,17,18,19,20,21,22,23,24,25,26,27,28,29,30}-1)*LEN(Registro!$F11)+1,LEN(Registro!$F11)))&amp;"x")-1)),--("0"&amp;MID(TRIM(MID(SUBSTITUTE(SUBSTITUTE(SUBSTITUTE(SUBSTITUTE(SUBSTITUTE(LOWER(Registro!$F11)," ",""),CHAR(10),"|"),";","|"),"+","|"),"|",REPT(" ",LEN(Registro!$F11))),({1,2,3,4,5,6,7,8,9,10,11,12,13,14,15,16,17,18,19,20,21,22,23,24,25,26,27,28,29,30}-1)*LEN(Registro!$F11)+1,LEN(Registro!$F11))),FIND("x",TRIM(MID(SUBSTITUTE(SUBSTITUTE(SUBSTITUTE(SUBSTITUTE(SUBSTITUTE(LOWER(Registro!$F11)," ",""),CHAR(10),"|"),";","|"),"+","|"),"|",REPT(" ",LEN(Registro!$F11))),({1,2,3,4,5,6,7,8,9,10,11,12,13,14,15,16,17,18,19,20,21,22,23,24,25,26,27,28,29,30}-1)*LEN(Registro!$F11)+1,LEN(Registro!$F11)))&amp;"x")+1,20))),"Revisar formato")))</f>
        <v>3670</v>
      </c>
      <c r="H11" s="21" t="str">
        <f>IF(AND(Registro!$E11="",Registro!$F11=""),"",IF(NOT(AND(ISNUMBER(G11),ISNUMBER(Registro!$G11))),"",IF(G11&lt;Registro!$G11,"FALTA BOLETOS",IF(G11=Registro!$G11,"CONFORME","DIFERENCIA"))))</f>
        <v>CONFORME</v>
      </c>
      <c r="I11" s="24">
        <f>IF(Registro!$H11="","",IFERROR(SUMPRODUCT(--("0"&amp;TRIM(RIGHT(SUBSTITUTE(TRIM(MID(SUBSTITUTE(SUBSTITUTE(Registro!$H11,";",CHAR(10)),CHAR(10),REPT(" ",LEN(Registro!$H11))),({1,2,3,4,5,6,7,8,9,10,11,12,13,14,15,16,17,18,19,20,21,22,23,24,25,26,27,28,29,30}-1)*LEN(Registro!$H11)+1,LEN(Registro!$H11)))," ",REPT(" ",50)),50)))),"Revisar formato"))</f>
        <v>100</v>
      </c>
      <c r="J11" s="24">
        <f>IF(Registro!$I11="","",IFERROR(SUMPRODUCT(--("0"&amp;TRIM(RIGHT(SUBSTITUTE(TRIM(MID(SUBSTITUTE(SUBSTITUTE(Registro!$I11,";",CHAR(10)),CHAR(10),REPT(" ",LEN(Registro!$I11))),({1,2,3,4,5,6,7,8,9,10,11,12,13,14,15,16,17,18,19,20,21,22,23,24,25,26,27,28,29,30}-1)*LEN(Registro!$I11)+1,LEN(Registro!$I11)))," ",REPT(" ",50)),50)))),"Revisar formato"))</f>
        <v>8380</v>
      </c>
      <c r="K11" s="24">
        <f>IF(AND(Registro!$G11="",Registro!$H11=""),"",IF(AND(ISTEXT(I11),I11&lt;&gt;""),"Revisar formato",N(Registro!$G11)-N(I11)))</f>
        <v>3570</v>
      </c>
      <c r="L11" s="24">
        <f t="shared" si="1"/>
        <v>-4810</v>
      </c>
      <c r="M11" s="36">
        <f>IF(AND(A11=Consulta!$B$3,C11=Consulta!$H$3),B11*10000+ROW(),"")</f>
        <v>463050011</v>
      </c>
    </row>
    <row r="12" spans="1:13" x14ac:dyDescent="0.25">
      <c r="A12" s="21" t="str">
        <f>IF(Registro!$A12="","",Registro!$A12)</f>
        <v>TDS</v>
      </c>
      <c r="B12" s="20">
        <f>IF(Registro!$B12="","",Registro!$B12)</f>
        <v>46305</v>
      </c>
      <c r="C12" s="35">
        <f t="shared" si="0"/>
        <v>202610</v>
      </c>
      <c r="D12" s="23">
        <f>IF(Registro!$E12="","",IF(ISERROR(FIND("x",LOWER(Registro!$E12))),"-",IFERROR(SUMPRODUCT(--("0"&amp;LEFT(TRIM(MID(SUBSTITUTE(SUBSTITUTE(SUBSTITUTE(SUBSTITUTE(SUBSTITUTE(LOWER(Registro!$E12),"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",LEN(Registro!$E12))),({1,2,3,4,5,6,7,8,9,10,11,12,13,14,15,16,17,18,19,20,21,22,23,24,25,26,27,28,29,30}-1)*LEN(Registro!$E12)+1,LEN(Registro!$E12))),FIND("x",TRIM(MID(SUBSTITUTE(SUBSTITUTE(SUBSTITUTE(SUBSTITUTE(SUBSTITUTE(LOWER(Registro!$E12),"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",LEN(Registro!$E12))),({1,2,3,4,5,6,7,8,9,10,11,12,13,14,15,16,17,18,19,20,21,22,23,24,25,26,27,28,29,30}-1)*LEN(Registro!$E12)+1,LEN(Registro!$E12)))&amp;"x")-1))),"Revisar formato")))</f>
        <v>45</v>
      </c>
      <c r="E12" s="24">
        <f>IF(Registro!$E12="","",IF(ISERROR(FIND("x",LOWER(Registro!$E12))),"-",IFERROR(SUMPRODUCT(--("0"&amp;LEFT(TRIM(MID(SUBSTITUTE(SUBSTITUTE(SUBSTITUTE(SUBSTITUTE(SUBSTITUTE(LOWER(Registro!$E12),"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",LEN(Registro!$E12))),({1,2,3,4,5,6,7,8,9,10,11,12,13,14,15,16,17,18,19,20,21,22,23,24,25,26,27,28,29,30}-1)*LEN(Registro!$E12)+1,LEN(Registro!$E12))),FIND("x",TRIM(MID(SUBSTITUTE(SUBSTITUTE(SUBSTITUTE(SUBSTITUTE(SUBSTITUTE(LOWER(Registro!$E12),"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",LEN(Registro!$E12))),({1,2,3,4,5,6,7,8,9,10,11,12,13,14,15,16,17,18,19,20,21,22,23,24,25,26,27,28,29,30}-1)*LEN(Registro!$E12)+1,LEN(Registro!$E12)))&amp;"x")-1)),--("0"&amp;MID(TRIM(MID(SUBSTITUTE(SUBSTITUTE(SUBSTITUTE(SUBSTITUTE(SUBSTITUTE(LOWER(Registro!$E12),"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",LEN(Registro!$E12))),({1,2,3,4,5,6,7,8,9,10,11,12,13,14,15,16,17,18,19,20,21,22,23,24,25,26,27,28,29,30}-1)*LEN(Registro!$E12)+1,LEN(Registro!$E12))),FIND("x",TRIM(MID(SUBSTITUTE(SUBSTITUTE(SUBSTITUTE(SUBSTITUTE(SUBSTITUTE(LOWER(Registro!$E12),"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",LEN(Registro!$E12))),({1,2,3,4,5,6,7,8,9,10,11,12,13,14,15,16,17,18,19,20,21,22,23,24,25,26,27,28,29,30}-1)*LEN(Registro!$E12)+1,LEN(Registro!$E12)))&amp;"x")+1,20))),"Revisar formato")))</f>
        <v>1995</v>
      </c>
      <c r="F12" s="23">
        <f>IF(Registro!$F12="","",IF(ISERROR(FIND("x",LOWER(Registro!$F12))),"-",IFERROR(SUMPRODUCT(--("0"&amp;LEFT(TRIM(MID(SUBSTITUTE(SUBSTITUTE(SUBSTITUTE(SUBSTITUTE(SUBSTITUTE(LOWER(Registro!$F12)," ",""),CHAR(10),"|"),";","|"),"+","|"),"|",REPT(" ",LEN(Registro!$F12))),({1,2,3,4,5,6,7,8,9,10,11,12,13,14,15,16,17,18,19,20,21,22,23,24,25,26,27,28,29,30}-1)*LEN(Registro!$F12)+1,LEN(Registro!$F12))),FIND("x",TRIM(MID(SUBSTITUTE(SUBSTITUTE(SUBSTITUTE(SUBSTITUTE(SUBSTITUTE(LOWER(Registro!$F12)," ",""),CHAR(10),"|"),";","|"),"+","|"),"|",REPT(" ",LEN(Registro!$F12))),({1,2,3,4,5,6,7,8,9,10,11,12,13,14,15,16,17,18,19,20,21,22,23,24,25,26,27,28,29,30}-1)*LEN(Registro!$F12)+1,LEN(Registro!$F12)))&amp;"x")-1))),"Revisar formato")))</f>
        <v>1</v>
      </c>
      <c r="G12" s="24">
        <f>IF(Registro!$F12="","",IF(ISERROR(FIND("x",LOWER(Registro!$F12))),N(Registro!$G12),IFERROR(SUMPRODUCT(--("0"&amp;LEFT(TRIM(MID(SUBSTITUTE(SUBSTITUTE(SUBSTITUTE(SUBSTITUTE(SUBSTITUTE(LOWER(Registro!$F12)," ",""),CHAR(10),"|"),";","|"),"+","|"),"|",REPT(" ",LEN(Registro!$F12))),({1,2,3,4,5,6,7,8,9,10,11,12,13,14,15,16,17,18,19,20,21,22,23,24,25,26,27,28,29,30}-1)*LEN(Registro!$F12)+1,LEN(Registro!$F12))),FIND("x",TRIM(MID(SUBSTITUTE(SUBSTITUTE(SUBSTITUTE(SUBSTITUTE(SUBSTITUTE(LOWER(Registro!$F12)," ",""),CHAR(10),"|"),";","|"),"+","|"),"|",REPT(" ",LEN(Registro!$F12))),({1,2,3,4,5,6,7,8,9,10,11,12,13,14,15,16,17,18,19,20,21,22,23,24,25,26,27,28,29,30}-1)*LEN(Registro!$F12)+1,LEN(Registro!$F12)))&amp;"x")-1)),--("0"&amp;MID(TRIM(MID(SUBSTITUTE(SUBSTITUTE(SUBSTITUTE(SUBSTITUTE(SUBSTITUTE(LOWER(Registro!$F12)," ",""),CHAR(10),"|"),";","|"),"+","|"),"|",REPT(" ",LEN(Registro!$F12))),({1,2,3,4,5,6,7,8,9,10,11,12,13,14,15,16,17,18,19,20,21,22,23,24,25,26,27,28,29,30}-1)*LEN(Registro!$F12)+1,LEN(Registro!$F12))),FIND("x",TRIM(MID(SUBSTITUTE(SUBSTITUTE(SUBSTITUTE(SUBSTITUTE(SUBSTITUTE(LOWER(Registro!$F12)," ",""),CHAR(10),"|"),";","|"),"+","|"),"|",REPT(" ",LEN(Registro!$F12))),({1,2,3,4,5,6,7,8,9,10,11,12,13,14,15,16,17,18,19,20,21,22,23,24,25,26,27,28,29,30}-1)*LEN(Registro!$F12)+1,LEN(Registro!$F12)))&amp;"x")+1,20))),"Revisar formato")))</f>
        <v>2100</v>
      </c>
      <c r="H12" s="21" t="str">
        <f>IF(AND(Registro!$E12="",Registro!$F12=""),"",IF(NOT(AND(ISNUMBER(G12),ISNUMBER(Registro!$G12))),"",IF(G12&lt;Registro!$G12,"FALTA BOLETOS",IF(G12=Registro!$G12,"CONFORME","DIFERENCIA"))))</f>
        <v>CONFORME</v>
      </c>
      <c r="I12" s="24" t="str">
        <f>IF(Registro!$H12="","",IFERROR(SUMPRODUCT(--("0"&amp;TRIM(RIGHT(SUBSTITUTE(TRIM(MID(SUBSTITUTE(SUBSTITUTE(Registro!$H12,";",CHAR(10)),CHAR(10),REPT(" ",LEN(Registro!$H12))),({1,2,3,4,5,6,7,8,9,10,11,12,13,14,15,16,17,18,19,20,21,22,23,24,25,26,27,28,29,30}-1)*LEN(Registro!$H12)+1,LEN(Registro!$H12)))," ",REPT(" ",50)),50)))),"Revisar formato"))</f>
        <v/>
      </c>
      <c r="J12" s="24" t="str">
        <f>IF(Registro!$I12="","",IFERROR(SUMPRODUCT(--("0"&amp;TRIM(RIGHT(SUBSTITUTE(TRIM(MID(SUBSTITUTE(SUBSTITUTE(Registro!$I12,";",CHAR(10)),CHAR(10),REPT(" ",LEN(Registro!$I12))),({1,2,3,4,5,6,7,8,9,10,11,12,13,14,15,16,17,18,19,20,21,22,23,24,25,26,27,28,29,30}-1)*LEN(Registro!$I12)+1,LEN(Registro!$I12)))," ",REPT(" ",50)),50)))),"Revisar formato"))</f>
        <v/>
      </c>
      <c r="K12" s="24">
        <f>IF(AND(Registro!$G12="",Registro!$H12=""),"",IF(AND(ISTEXT(I12),I12&lt;&gt;""),"Revisar formato",N(Registro!$G12)-N(I12)))</f>
        <v>2100</v>
      </c>
      <c r="L12" s="24">
        <f t="shared" si="1"/>
        <v>2100</v>
      </c>
      <c r="M12" s="36">
        <f>IF(AND(A12=Consulta!$B$3,C12=Consulta!$H$3),B12*10000+ROW(),"")</f>
        <v>463050012</v>
      </c>
    </row>
    <row r="13" spans="1:13" x14ac:dyDescent="0.25">
      <c r="A13" s="21" t="str">
        <f>IF(Registro!$A13="","",Registro!$A13)</f>
        <v>TDS</v>
      </c>
      <c r="B13" s="20">
        <f>IF(Registro!$B13="","",Registro!$B13)</f>
        <v>46306</v>
      </c>
      <c r="C13" s="35">
        <f t="shared" si="0"/>
        <v>202610</v>
      </c>
      <c r="D13" s="23">
        <f>IF(Registro!$E13="","",IF(ISERROR(FIND("x",LOWER(Registro!$E13))),"-",IFERROR(SUMPRODUCT(--("0"&amp;LEFT(TRIM(MID(SUBSTITUTE(SUBSTITUTE(SUBSTITUTE(SUBSTITUTE(SUBSTITUTE(LOWER(Registro!$E13),"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",LEN(Registro!$E13))),({1,2,3,4,5,6,7,8,9,10,11,12,13,14,15,16,17,18,19,20,21,22,23,24,25,26,27,28,29,30}-1)*LEN(Registro!$E13)+1,LEN(Registro!$E13))),FIND("x",TRIM(MID(SUBSTITUTE(SUBSTITUTE(SUBSTITUTE(SUBSTITUTE(SUBSTITUTE(LOWER(Registro!$E13),"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",LEN(Registro!$E13))),({1,2,3,4,5,6,7,8,9,10,11,12,13,14,15,16,17,18,19,20,21,22,23,24,25,26,27,28,29,30}-1)*LEN(Registro!$E13)+1,LEN(Registro!$E13)))&amp;"x")-1))),"Revisar formato")))</f>
        <v>50</v>
      </c>
      <c r="E13" s="24">
        <f>IF(Registro!$E13="","",IF(ISERROR(FIND("x",LOWER(Registro!$E13))),"-",IFERROR(SUMPRODUCT(--("0"&amp;LEFT(TRIM(MID(SUBSTITUTE(SUBSTITUTE(SUBSTITUTE(SUBSTITUTE(SUBSTITUTE(LOWER(Registro!$E13),"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",LEN(Registro!$E13))),({1,2,3,4,5,6,7,8,9,10,11,12,13,14,15,16,17,18,19,20,21,22,23,24,25,26,27,28,29,30}-1)*LEN(Registro!$E13)+1,LEN(Registro!$E13))),FIND("x",TRIM(MID(SUBSTITUTE(SUBSTITUTE(SUBSTITUTE(SUBSTITUTE(SUBSTITUTE(LOWER(Registro!$E13),"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",LEN(Registro!$E13))),({1,2,3,4,5,6,7,8,9,10,11,12,13,14,15,16,17,18,19,20,21,22,23,24,25,26,27,28,29,30}-1)*LEN(Registro!$E13)+1,LEN(Registro!$E13)))&amp;"x")-1)),--("0"&amp;MID(TRIM(MID(SUBSTITUTE(SUBSTITUTE(SUBSTITUTE(SUBSTITUTE(SUBSTITUTE(LOWER(Registro!$E13),"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",LEN(Registro!$E13))),({1,2,3,4,5,6,7,8,9,10,11,12,13,14,15,16,17,18,19,20,21,22,23,24,25,26,27,28,29,30}-1)*LEN(Registro!$E13)+1,LEN(Registro!$E13))),FIND("x",TRIM(MID(SUBSTITUTE(SUBSTITUTE(SUBSTITUTE(SUBSTITUTE(SUBSTITUTE(LOWER(Registro!$E13),"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",LEN(Registro!$E13))),({1,2,3,4,5,6,7,8,9,10,11,12,13,14,15,16,17,18,19,20,21,22,23,24,25,26,27,28,29,30}-1)*LEN(Registro!$E13)+1,LEN(Registro!$E13)))&amp;"x")+1,20))),"Revisar formato")))</f>
        <v>2580</v>
      </c>
      <c r="F13" s="23">
        <f>IF(Registro!$F13="","",IF(ISERROR(FIND("x",LOWER(Registro!$F13))),"-",IFERROR(SUMPRODUCT(--("0"&amp;LEFT(TRIM(MID(SUBSTITUTE(SUBSTITUTE(SUBSTITUTE(SUBSTITUTE(SUBSTITUTE(LOWER(Registro!$F13)," ",""),CHAR(10),"|"),";","|"),"+","|"),"|",REPT(" ",LEN(Registro!$F13))),({1,2,3,4,5,6,7,8,9,10,11,12,13,14,15,16,17,18,19,20,21,22,23,24,25,26,27,28,29,30}-1)*LEN(Registro!$F13)+1,LEN(Registro!$F13))),FIND("x",TRIM(MID(SUBSTITUTE(SUBSTITUTE(SUBSTITUTE(SUBSTITUTE(SUBSTITUTE(LOWER(Registro!$F13)," ",""),CHAR(10),"|"),";","|"),"+","|"),"|",REPT(" ",LEN(Registro!$F13))),({1,2,3,4,5,6,7,8,9,10,11,12,13,14,15,16,17,18,19,20,21,22,23,24,25,26,27,28,29,30}-1)*LEN(Registro!$F13)+1,LEN(Registro!$F13)))&amp;"x")-1))),"Revisar formato")))</f>
        <v>1</v>
      </c>
      <c r="G13" s="24">
        <f>IF(Registro!$F13="","",IF(ISERROR(FIND("x",LOWER(Registro!$F13))),N(Registro!$G13),IFERROR(SUMPRODUCT(--("0"&amp;LEFT(TRIM(MID(SUBSTITUTE(SUBSTITUTE(SUBSTITUTE(SUBSTITUTE(SUBSTITUTE(LOWER(Registro!$F13)," ",""),CHAR(10),"|"),";","|"),"+","|"),"|",REPT(" ",LEN(Registro!$F13))),({1,2,3,4,5,6,7,8,9,10,11,12,13,14,15,16,17,18,19,20,21,22,23,24,25,26,27,28,29,30}-1)*LEN(Registro!$F13)+1,LEN(Registro!$F13))),FIND("x",TRIM(MID(SUBSTITUTE(SUBSTITUTE(SUBSTITUTE(SUBSTITUTE(SUBSTITUTE(LOWER(Registro!$F13)," ",""),CHAR(10),"|"),";","|"),"+","|"),"|",REPT(" ",LEN(Registro!$F13))),({1,2,3,4,5,6,7,8,9,10,11,12,13,14,15,16,17,18,19,20,21,22,23,24,25,26,27,28,29,30}-1)*LEN(Registro!$F13)+1,LEN(Registro!$F13)))&amp;"x")-1)),--("0"&amp;MID(TRIM(MID(SUBSTITUTE(SUBSTITUTE(SUBSTITUTE(SUBSTITUTE(SUBSTITUTE(LOWER(Registro!$F13)," ",""),CHAR(10),"|"),";","|"),"+","|"),"|",REPT(" ",LEN(Registro!$F13))),({1,2,3,4,5,6,7,8,9,10,11,12,13,14,15,16,17,18,19,20,21,22,23,24,25,26,27,28,29,30}-1)*LEN(Registro!$F13)+1,LEN(Registro!$F13))),FIND("x",TRIM(MID(SUBSTITUTE(SUBSTITUTE(SUBSTITUTE(SUBSTITUTE(SUBSTITUTE(LOWER(Registro!$F13)," ",""),CHAR(10),"|"),";","|"),"+","|"),"|",REPT(" ",LEN(Registro!$F13))),({1,2,3,4,5,6,7,8,9,10,11,12,13,14,15,16,17,18,19,20,21,22,23,24,25,26,27,28,29,30}-1)*LEN(Registro!$F13)+1,LEN(Registro!$F13)))&amp;"x")+1,20))),"Revisar formato")))</f>
        <v>5280</v>
      </c>
      <c r="H13" s="21" t="str">
        <f>IF(AND(Registro!$E13="",Registro!$F13=""),"",IF(NOT(AND(ISNUMBER(G13),ISNUMBER(Registro!$G13))),"",IF(G13&lt;Registro!$G13,"FALTA BOLETOS",IF(G13=Registro!$G13,"CONFORME","DIFERENCIA"))))</f>
        <v>CONFORME</v>
      </c>
      <c r="I13" s="24">
        <f>IF(Registro!$H13="","",IFERROR(SUMPRODUCT(--("0"&amp;TRIM(RIGHT(SUBSTITUTE(TRIM(MID(SUBSTITUTE(SUBSTITUTE(Registro!$H13,";",CHAR(10)),CHAR(10),REPT(" ",LEN(Registro!$H13))),({1,2,3,4,5,6,7,8,9,10,11,12,13,14,15,16,17,18,19,20,21,22,23,24,25,26,27,28,29,30}-1)*LEN(Registro!$H13)+1,LEN(Registro!$H13)))," ",REPT(" ",50)),50)))),"Revisar formato"))</f>
        <v>130</v>
      </c>
      <c r="J13" s="24" t="str">
        <f>IF(Registro!$I13="","",IFERROR(SUMPRODUCT(--("0"&amp;TRIM(RIGHT(SUBSTITUTE(TRIM(MID(SUBSTITUTE(SUBSTITUTE(Registro!$I13,";",CHAR(10)),CHAR(10),REPT(" ",LEN(Registro!$I13))),({1,2,3,4,5,6,7,8,9,10,11,12,13,14,15,16,17,18,19,20,21,22,23,24,25,26,27,28,29,30}-1)*LEN(Registro!$I13)+1,LEN(Registro!$I13)))," ",REPT(" ",50)),50)))),"Revisar formato"))</f>
        <v/>
      </c>
      <c r="K13" s="24">
        <f>IF(AND(Registro!$G13="",Registro!$H13=""),"",IF(AND(ISTEXT(I13),I13&lt;&gt;""),"Revisar formato",N(Registro!$G13)-N(I13)))</f>
        <v>5150</v>
      </c>
      <c r="L13" s="24">
        <f t="shared" si="1"/>
        <v>5150</v>
      </c>
      <c r="M13" s="36">
        <f>IF(AND(A13=Consulta!$B$3,C13=Consulta!$H$3),B13*10000+ROW(),"")</f>
        <v>463060013</v>
      </c>
    </row>
    <row r="14" spans="1:13" x14ac:dyDescent="0.25">
      <c r="A14" s="21" t="str">
        <f>IF(Registro!$A14="","",Registro!$A14)</f>
        <v>TDS</v>
      </c>
      <c r="B14" s="20">
        <f>IF(Registro!$B14="","",Registro!$B14)</f>
        <v>46307</v>
      </c>
      <c r="C14" s="35">
        <f t="shared" si="0"/>
        <v>202610</v>
      </c>
      <c r="D14" s="23">
        <f>IF(Registro!$E14="","",IF(ISERROR(FIND("x",LOWER(Registro!$E14))),"-",IFERROR(SUMPRODUCT(--("0"&amp;LEFT(TRIM(MID(SUBSTITUTE(SUBSTITUTE(SUBSTITUTE(SUBSTITUTE(SUBSTITUTE(LOWER(Registro!$E14),"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",LEN(Registro!$E14))),({1,2,3,4,5,6,7,8,9,10,11,12,13,14,15,16,17,18,19,20,21,22,23,24,25,26,27,28,29,30}-1)*LEN(Registro!$E14)+1,LEN(Registro!$E14))),FIND("x",TRIM(MID(SUBSTITUTE(SUBSTITUTE(SUBSTITUTE(SUBSTITUTE(SUBSTITUTE(LOWER(Registro!$E14),"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",LEN(Registro!$E14))),({1,2,3,4,5,6,7,8,9,10,11,12,13,14,15,16,17,18,19,20,21,22,23,24,25,26,27,28,29,30}-1)*LEN(Registro!$E14)+1,LEN(Registro!$E14)))&amp;"x")-1))),"Revisar formato")))</f>
        <v>51</v>
      </c>
      <c r="E14" s="24">
        <f>IF(Registro!$E14="","",IF(ISERROR(FIND("x",LOWER(Registro!$E14))),"-",IFERROR(SUMPRODUCT(--("0"&amp;LEFT(TRIM(MID(SUBSTITUTE(SUBSTITUTE(SUBSTITUTE(SUBSTITUTE(SUBSTITUTE(LOWER(Registro!$E14),"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",LEN(Registro!$E14))),({1,2,3,4,5,6,7,8,9,10,11,12,13,14,15,16,17,18,19,20,21,22,23,24,25,26,27,28,29,30}-1)*LEN(Registro!$E14)+1,LEN(Registro!$E14))),FIND("x",TRIM(MID(SUBSTITUTE(SUBSTITUTE(SUBSTITUTE(SUBSTITUTE(SUBSTITUTE(LOWER(Registro!$E14),"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",LEN(Registro!$E14))),({1,2,3,4,5,6,7,8,9,10,11,12,13,14,15,16,17,18,19,20,21,22,23,24,25,26,27,28,29,30}-1)*LEN(Registro!$E14)+1,LEN(Registro!$E14)))&amp;"x")-1)),--("0"&amp;MID(TRIM(MID(SUBSTITUTE(SUBSTITUTE(SUBSTITUTE(SUBSTITUTE(SUBSTITUTE(LOWER(Registro!$E14),"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",LEN(Registro!$E14))),({1,2,3,4,5,6,7,8,9,10,11,12,13,14,15,16,17,18,19,20,21,22,23,24,25,26,27,28,29,30}-1)*LEN(Registro!$E14)+1,LEN(Registro!$E14))),FIND("x",TRIM(MID(SUBSTITUTE(SUBSTITUTE(SUBSTITUTE(SUBSTITUTE(SUBSTITUTE(LOWER(Registro!$E14),"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",LEN(Registro!$E14))),({1,2,3,4,5,6,7,8,9,10,11,12,13,14,15,16,17,18,19,20,21,22,23,24,25,26,27,28,29,30}-1)*LEN(Registro!$E14)+1,LEN(Registro!$E14)))&amp;"x")+1,20))),"Revisar formato")))</f>
        <v>2220</v>
      </c>
      <c r="F14" s="23">
        <f>IF(Registro!$F14="","",IF(ISERROR(FIND("x",LOWER(Registro!$F14))),"-",IFERROR(SUMPRODUCT(--("0"&amp;LEFT(TRIM(MID(SUBSTITUTE(SUBSTITUTE(SUBSTITUTE(SUBSTITUTE(SUBSTITUTE(LOWER(Registro!$F14)," ",""),CHAR(10),"|"),";","|"),"+","|"),"|",REPT(" ",LEN(Registro!$F14))),({1,2,3,4,5,6,7,8,9,10,11,12,13,14,15,16,17,18,19,20,21,22,23,24,25,26,27,28,29,30}-1)*LEN(Registro!$F14)+1,LEN(Registro!$F14))),FIND("x",TRIM(MID(SUBSTITUTE(SUBSTITUTE(SUBSTITUTE(SUBSTITUTE(SUBSTITUTE(LOWER(Registro!$F14)," ",""),CHAR(10),"|"),";","|"),"+","|"),"|",REPT(" ",LEN(Registro!$F14))),({1,2,3,4,5,6,7,8,9,10,11,12,13,14,15,16,17,18,19,20,21,22,23,24,25,26,27,28,29,30}-1)*LEN(Registro!$F14)+1,LEN(Registro!$F14)))&amp;"x")-1))),"Revisar formato")))</f>
        <v>1</v>
      </c>
      <c r="G14" s="24">
        <f>IF(Registro!$F14="","",IF(ISERROR(FIND("x",LOWER(Registro!$F14))),N(Registro!$G14),IFERROR(SUMPRODUCT(--("0"&amp;LEFT(TRIM(MID(SUBSTITUTE(SUBSTITUTE(SUBSTITUTE(SUBSTITUTE(SUBSTITUTE(LOWER(Registro!$F14)," ",""),CHAR(10),"|"),";","|"),"+","|"),"|",REPT(" ",LEN(Registro!$F14))),({1,2,3,4,5,6,7,8,9,10,11,12,13,14,15,16,17,18,19,20,21,22,23,24,25,26,27,28,29,30}-1)*LEN(Registro!$F14)+1,LEN(Registro!$F14))),FIND("x",TRIM(MID(SUBSTITUTE(SUBSTITUTE(SUBSTITUTE(SUBSTITUTE(SUBSTITUTE(LOWER(Registro!$F14)," ",""),CHAR(10),"|"),";","|"),"+","|"),"|",REPT(" ",LEN(Registro!$F14))),({1,2,3,4,5,6,7,8,9,10,11,12,13,14,15,16,17,18,19,20,21,22,23,24,25,26,27,28,29,30}-1)*LEN(Registro!$F14)+1,LEN(Registro!$F14)))&amp;"x")-1)),--("0"&amp;MID(TRIM(MID(SUBSTITUTE(SUBSTITUTE(SUBSTITUTE(SUBSTITUTE(SUBSTITUTE(LOWER(Registro!$F14)," ",""),CHAR(10),"|"),";","|"),"+","|"),"|",REPT(" ",LEN(Registro!$F14))),({1,2,3,4,5,6,7,8,9,10,11,12,13,14,15,16,17,18,19,20,21,22,23,24,25,26,27,28,29,30}-1)*LEN(Registro!$F14)+1,LEN(Registro!$F14))),FIND("x",TRIM(MID(SUBSTITUTE(SUBSTITUTE(SUBSTITUTE(SUBSTITUTE(SUBSTITUTE(LOWER(Registro!$F14)," ",""),CHAR(10),"|"),";","|"),"+","|"),"|",REPT(" ",LEN(Registro!$F14))),({1,2,3,4,5,6,7,8,9,10,11,12,13,14,15,16,17,18,19,20,21,22,23,24,25,26,27,28,29,30}-1)*LEN(Registro!$F14)+1,LEN(Registro!$F14)))&amp;"x")+1,20))),"Revisar formato")))</f>
        <v>2855</v>
      </c>
      <c r="H14" s="21" t="str">
        <f>IF(AND(Registro!$E14="",Registro!$F14=""),"",IF(NOT(AND(ISNUMBER(G14),ISNUMBER(Registro!$G14))),"",IF(G14&lt;Registro!$G14,"FALTA BOLETOS",IF(G14=Registro!$G14,"CONFORME","DIFERENCIA"))))</f>
        <v>CONFORME</v>
      </c>
      <c r="I14" s="24">
        <f>IF(Registro!$H14="","",IFERROR(SUMPRODUCT(--("0"&amp;TRIM(RIGHT(SUBSTITUTE(TRIM(MID(SUBSTITUTE(SUBSTITUTE(Registro!$H14,";",CHAR(10)),CHAR(10),REPT(" ",LEN(Registro!$H14))),({1,2,3,4,5,6,7,8,9,10,11,12,13,14,15,16,17,18,19,20,21,22,23,24,25,26,27,28,29,30}-1)*LEN(Registro!$H14)+1,LEN(Registro!$H14)))," ",REPT(" ",50)),50)))),"Revisar formato"))</f>
        <v>220</v>
      </c>
      <c r="J14" s="24">
        <f>IF(Registro!$I14="","",IFERROR(SUMPRODUCT(--("0"&amp;TRIM(RIGHT(SUBSTITUTE(TRIM(MID(SUBSTITUTE(SUBSTITUTE(Registro!$I14,";",CHAR(10)),CHAR(10),REPT(" ",LEN(Registro!$I14))),({1,2,3,4,5,6,7,8,9,10,11,12,13,14,15,16,17,18,19,20,21,22,23,24,25,26,27,28,29,30}-1)*LEN(Registro!$I14)+1,LEN(Registro!$I14)))," ",REPT(" ",50)),50)))),"Revisar formato"))</f>
        <v>8190</v>
      </c>
      <c r="K14" s="24">
        <f>IF(AND(Registro!$G14="",Registro!$H14=""),"",IF(AND(ISTEXT(I14),I14&lt;&gt;""),"Revisar formato",N(Registro!$G14)-N(I14)))</f>
        <v>2635</v>
      </c>
      <c r="L14" s="24">
        <f t="shared" si="1"/>
        <v>-5555</v>
      </c>
      <c r="M14" s="36">
        <f>IF(AND(A14=Consulta!$B$3,C14=Consulta!$H$3),B14*10000+ROW(),"")</f>
        <v>463070014</v>
      </c>
    </row>
    <row r="15" spans="1:13" x14ac:dyDescent="0.25">
      <c r="A15" s="21" t="str">
        <f>IF(Registro!$A15="","",Registro!$A15)</f>
        <v>TDS</v>
      </c>
      <c r="B15" s="20">
        <f>IF(Registro!$B15="","",Registro!$B15)</f>
        <v>46308</v>
      </c>
      <c r="C15" s="35">
        <f t="shared" si="0"/>
        <v>202610</v>
      </c>
      <c r="D15" s="23">
        <f>IF(Registro!$E15="","",IF(ISERROR(FIND("x",LOWER(Registro!$E15))),"-",IFERROR(SUMPRODUCT(--("0"&amp;LEFT(TRIM(MID(SUBSTITUTE(SUBSTITUTE(SUBSTITUTE(SUBSTITUTE(SUBSTITUTE(LOWER(Registro!$E15),"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",LEN(Registro!$E15))),({1,2,3,4,5,6,7,8,9,10,11,12,13,14,15,16,17,18,19,20,21,22,23,24,25,26,27,28,29,30}-1)*LEN(Registro!$E15)+1,LEN(Registro!$E15))),FIND("x",TRIM(MID(SUBSTITUTE(SUBSTITUTE(SUBSTITUTE(SUBSTITUTE(SUBSTITUTE(LOWER(Registro!$E15),"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",LEN(Registro!$E15))),({1,2,3,4,5,6,7,8,9,10,11,12,13,14,15,16,17,18,19,20,21,22,23,24,25,26,27,28,29,30}-1)*LEN(Registro!$E15)+1,LEN(Registro!$E15)))&amp;"x")-1))),"Revisar formato")))</f>
        <v>41</v>
      </c>
      <c r="E15" s="24">
        <f>IF(Registro!$E15="","",IF(ISERROR(FIND("x",LOWER(Registro!$E15))),"-",IFERROR(SUMPRODUCT(--("0"&amp;LEFT(TRIM(MID(SUBSTITUTE(SUBSTITUTE(SUBSTITUTE(SUBSTITUTE(SUBSTITUTE(LOWER(Registro!$E15),"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",LEN(Registro!$E15))),({1,2,3,4,5,6,7,8,9,10,11,12,13,14,15,16,17,18,19,20,21,22,23,24,25,26,27,28,29,30}-1)*LEN(Registro!$E15)+1,LEN(Registro!$E15))),FIND("x",TRIM(MID(SUBSTITUTE(SUBSTITUTE(SUBSTITUTE(SUBSTITUTE(SUBSTITUTE(LOWER(Registro!$E15),"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",LEN(Registro!$E15))),({1,2,3,4,5,6,7,8,9,10,11,12,13,14,15,16,17,18,19,20,21,22,23,24,25,26,27,28,29,30}-1)*LEN(Registro!$E15)+1,LEN(Registro!$E15)))&amp;"x")-1)),--("0"&amp;MID(TRIM(MID(SUBSTITUTE(SUBSTITUTE(SUBSTITUTE(SUBSTITUTE(SUBSTITUTE(LOWER(Registro!$E15),"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",LEN(Registro!$E15))),({1,2,3,4,5,6,7,8,9,10,11,12,13,14,15,16,17,18,19,20,21,22,23,24,25,26,27,28,29,30}-1)*LEN(Registro!$E15)+1,LEN(Registro!$E15))),FIND("x",TRIM(MID(SUBSTITUTE(SUBSTITUTE(SUBSTITUTE(SUBSTITUTE(SUBSTITUTE(LOWER(Registro!$E15),"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",LEN(Registro!$E15))),({1,2,3,4,5,6,7,8,9,10,11,12,13,14,15,16,17,18,19,20,21,22,23,24,25,26,27,28,29,30}-1)*LEN(Registro!$E15)+1,LEN(Registro!$E15)))&amp;"x")+1,20))),"Revisar formato")))</f>
        <v>1720</v>
      </c>
      <c r="F15" s="23">
        <f>IF(Registro!$F15="","",IF(ISERROR(FIND("x",LOWER(Registro!$F15))),"-",IFERROR(SUMPRODUCT(--("0"&amp;LEFT(TRIM(MID(SUBSTITUTE(SUBSTITUTE(SUBSTITUTE(SUBSTITUTE(SUBSTITUTE(LOWER(Registro!$F15)," ",""),CHAR(10),"|"),";","|"),"+","|"),"|",REPT(" ",LEN(Registro!$F15))),({1,2,3,4,5,6,7,8,9,10,11,12,13,14,15,16,17,18,19,20,21,22,23,24,25,26,27,28,29,30}-1)*LEN(Registro!$F15)+1,LEN(Registro!$F15))),FIND("x",TRIM(MID(SUBSTITUTE(SUBSTITUTE(SUBSTITUTE(SUBSTITUTE(SUBSTITUTE(LOWER(Registro!$F15)," ",""),CHAR(10),"|"),";","|"),"+","|"),"|",REPT(" ",LEN(Registro!$F15))),({1,2,3,4,5,6,7,8,9,10,11,12,13,14,15,16,17,18,19,20,21,22,23,24,25,26,27,28,29,30}-1)*LEN(Registro!$F15)+1,LEN(Registro!$F15)))&amp;"x")-1))),"Revisar formato")))</f>
        <v>1</v>
      </c>
      <c r="G15" s="24">
        <f>IF(Registro!$F15="","",IF(ISERROR(FIND("x",LOWER(Registro!$F15))),N(Registro!$G15),IFERROR(SUMPRODUCT(--("0"&amp;LEFT(TRIM(MID(SUBSTITUTE(SUBSTITUTE(SUBSTITUTE(SUBSTITUTE(SUBSTITUTE(LOWER(Registro!$F15)," ",""),CHAR(10),"|"),";","|"),"+","|"),"|",REPT(" ",LEN(Registro!$F15))),({1,2,3,4,5,6,7,8,9,10,11,12,13,14,15,16,17,18,19,20,21,22,23,24,25,26,27,28,29,30}-1)*LEN(Registro!$F15)+1,LEN(Registro!$F15))),FIND("x",TRIM(MID(SUBSTITUTE(SUBSTITUTE(SUBSTITUTE(SUBSTITUTE(SUBSTITUTE(LOWER(Registro!$F15)," ",""),CHAR(10),"|"),";","|"),"+","|"),"|",REPT(" ",LEN(Registro!$F15))),({1,2,3,4,5,6,7,8,9,10,11,12,13,14,15,16,17,18,19,20,21,22,23,24,25,26,27,28,29,30}-1)*LEN(Registro!$F15)+1,LEN(Registro!$F15)))&amp;"x")-1)),--("0"&amp;MID(TRIM(MID(SUBSTITUTE(SUBSTITUTE(SUBSTITUTE(SUBSTITUTE(SUBSTITUTE(LOWER(Registro!$F15)," ",""),CHAR(10),"|"),";","|"),"+","|"),"|",REPT(" ",LEN(Registro!$F15))),({1,2,3,4,5,6,7,8,9,10,11,12,13,14,15,16,17,18,19,20,21,22,23,24,25,26,27,28,29,30}-1)*LEN(Registro!$F15)+1,LEN(Registro!$F15))),FIND("x",TRIM(MID(SUBSTITUTE(SUBSTITUTE(SUBSTITUTE(SUBSTITUTE(SUBSTITUTE(LOWER(Registro!$F15)," ",""),CHAR(10),"|"),";","|"),"+","|"),"|",REPT(" ",LEN(Registro!$F15))),({1,2,3,4,5,6,7,8,9,10,11,12,13,14,15,16,17,18,19,20,21,22,23,24,25,26,27,28,29,30}-1)*LEN(Registro!$F15)+1,LEN(Registro!$F15)))&amp;"x")+1,20))),"Revisar formato")))</f>
        <v>2960</v>
      </c>
      <c r="H15" s="21" t="str">
        <f>IF(AND(Registro!$E15="",Registro!$F15=""),"",IF(NOT(AND(ISNUMBER(G15),ISNUMBER(Registro!$G15))),"",IF(G15&lt;Registro!$G15,"FALTA BOLETOS",IF(G15=Registro!$G15,"CONFORME","DIFERENCIA"))))</f>
        <v>CONFORME</v>
      </c>
      <c r="I15" s="24">
        <f>IF(Registro!$H15="","",IFERROR(SUMPRODUCT(--("0"&amp;TRIM(RIGHT(SUBSTITUTE(TRIM(MID(SUBSTITUTE(SUBSTITUTE(Registro!$H15,";",CHAR(10)),CHAR(10),REPT(" ",LEN(Registro!$H15))),({1,2,3,4,5,6,7,8,9,10,11,12,13,14,15,16,17,18,19,20,21,22,23,24,25,26,27,28,29,30}-1)*LEN(Registro!$H15)+1,LEN(Registro!$H15)))," ",REPT(" ",50)),50)))),"Revisar formato"))</f>
        <v>120</v>
      </c>
      <c r="J15" s="24" t="str">
        <f>IF(Registro!$I15="","",IFERROR(SUMPRODUCT(--("0"&amp;TRIM(RIGHT(SUBSTITUTE(TRIM(MID(SUBSTITUTE(SUBSTITUTE(Registro!$I15,";",CHAR(10)),CHAR(10),REPT(" ",LEN(Registro!$I15))),({1,2,3,4,5,6,7,8,9,10,11,12,13,14,15,16,17,18,19,20,21,22,23,24,25,26,27,28,29,30}-1)*LEN(Registro!$I15)+1,LEN(Registro!$I15)))," ",REPT(" ",50)),50)))),"Revisar formato"))</f>
        <v/>
      </c>
      <c r="K15" s="24">
        <f>IF(AND(Registro!$G15="",Registro!$H15=""),"",IF(AND(ISTEXT(I15),I15&lt;&gt;""),"Revisar formato",N(Registro!$G15)-N(I15)))</f>
        <v>2840</v>
      </c>
      <c r="L15" s="24">
        <f t="shared" si="1"/>
        <v>2840</v>
      </c>
      <c r="M15" s="36">
        <f>IF(AND(A15=Consulta!$B$3,C15=Consulta!$H$3),B15*10000+ROW(),"")</f>
        <v>463080015</v>
      </c>
    </row>
    <row r="16" spans="1:13" x14ac:dyDescent="0.25">
      <c r="A16" s="21" t="str">
        <f>IF(Registro!$A16="","",Registro!$A16)</f>
        <v>TDS</v>
      </c>
      <c r="B16" s="20">
        <f>IF(Registro!$B16="","",Registro!$B16)</f>
        <v>46309</v>
      </c>
      <c r="C16" s="35">
        <f t="shared" si="0"/>
        <v>202610</v>
      </c>
      <c r="D16" s="23">
        <f>IF(Registro!$E16="","",IF(ISERROR(FIND("x",LOWER(Registro!$E16))),"-",IFERROR(SUMPRODUCT(--("0"&amp;LEFT(TRIM(MID(SUBSTITUTE(SUBSTITUTE(SUBSTITUTE(SUBSTITUTE(SUBSTITUTE(LOWER(Registro!$E16),"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",LEN(Registro!$E16))),({1,2,3,4,5,6,7,8,9,10,11,12,13,14,15,16,17,18,19,20,21,22,23,24,25,26,27,28,29,30}-1)*LEN(Registro!$E16)+1,LEN(Registro!$E16))),FIND("x",TRIM(MID(SUBSTITUTE(SUBSTITUTE(SUBSTITUTE(SUBSTITUTE(SUBSTITUTE(LOWER(Registro!$E16),"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",LEN(Registro!$E16))),({1,2,3,4,5,6,7,8,9,10,11,12,13,14,15,16,17,18,19,20,21,22,23,24,25,26,27,28,29,30}-1)*LEN(Registro!$E16)+1,LEN(Registro!$E16)))&amp;"x")-1))),"Revisar formato")))</f>
        <v>42</v>
      </c>
      <c r="E16" s="24">
        <f>IF(Registro!$E16="","",IF(ISERROR(FIND("x",LOWER(Registro!$E16))),"-",IFERROR(SUMPRODUCT(--("0"&amp;LEFT(TRIM(MID(SUBSTITUTE(SUBSTITUTE(SUBSTITUTE(SUBSTITUTE(SUBSTITUTE(LOWER(Registro!$E16),"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",LEN(Registro!$E16))),({1,2,3,4,5,6,7,8,9,10,11,12,13,14,15,16,17,18,19,20,21,22,23,24,25,26,27,28,29,30}-1)*LEN(Registro!$E16)+1,LEN(Registro!$E16))),FIND("x",TRIM(MID(SUBSTITUTE(SUBSTITUTE(SUBSTITUTE(SUBSTITUTE(SUBSTITUTE(LOWER(Registro!$E16),"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",LEN(Registro!$E16))),({1,2,3,4,5,6,7,8,9,10,11,12,13,14,15,16,17,18,19,20,21,22,23,24,25,26,27,28,29,30}-1)*LEN(Registro!$E16)+1,LEN(Registro!$E16)))&amp;"x")-1)),--("0"&amp;MID(TRIM(MID(SUBSTITUTE(SUBSTITUTE(SUBSTITUTE(SUBSTITUTE(SUBSTITUTE(LOWER(Registro!$E16),"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",LEN(Registro!$E16))),({1,2,3,4,5,6,7,8,9,10,11,12,13,14,15,16,17,18,19,20,21,22,23,24,25,26,27,28,29,30}-1)*LEN(Registro!$E16)+1,LEN(Registro!$E16))),FIND("x",TRIM(MID(SUBSTITUTE(SUBSTITUTE(SUBSTITUTE(SUBSTITUTE(SUBSTITUTE(LOWER(Registro!$E16),"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",LEN(Registro!$E16))),({1,2,3,4,5,6,7,8,9,10,11,12,13,14,15,16,17,18,19,20,21,22,23,24,25,26,27,28,29,30}-1)*LEN(Registro!$E16)+1,LEN(Registro!$E16)))&amp;"x")+1,20))),"Revisar formato")))</f>
        <v>1910</v>
      </c>
      <c r="F16" s="23">
        <f>IF(Registro!$F16="","",IF(ISERROR(FIND("x",LOWER(Registro!$F16))),"-",IFERROR(SUMPRODUCT(--("0"&amp;LEFT(TRIM(MID(SUBSTITUTE(SUBSTITUTE(SUBSTITUTE(SUBSTITUTE(SUBSTITUTE(LOWER(Registro!$F16)," ",""),CHAR(10),"|"),";","|"),"+","|"),"|",REPT(" ",LEN(Registro!$F16))),({1,2,3,4,5,6,7,8,9,10,11,12,13,14,15,16,17,18,19,20,21,22,23,24,25,26,27,28,29,30}-1)*LEN(Registro!$F16)+1,LEN(Registro!$F16))),FIND("x",TRIM(MID(SUBSTITUTE(SUBSTITUTE(SUBSTITUTE(SUBSTITUTE(SUBSTITUTE(LOWER(Registro!$F16)," ",""),CHAR(10),"|"),";","|"),"+","|"),"|",REPT(" ",LEN(Registro!$F16))),({1,2,3,4,5,6,7,8,9,10,11,12,13,14,15,16,17,18,19,20,21,22,23,24,25,26,27,28,29,30}-1)*LEN(Registro!$F16)+1,LEN(Registro!$F16)))&amp;"x")-1))),"Revisar formato")))</f>
        <v>1</v>
      </c>
      <c r="G16" s="24">
        <f>IF(Registro!$F16="","",IF(ISERROR(FIND("x",LOWER(Registro!$F16))),N(Registro!$G16),IFERROR(SUMPRODUCT(--("0"&amp;LEFT(TRIM(MID(SUBSTITUTE(SUBSTITUTE(SUBSTITUTE(SUBSTITUTE(SUBSTITUTE(LOWER(Registro!$F16)," ",""),CHAR(10),"|"),";","|"),"+","|"),"|",REPT(" ",LEN(Registro!$F16))),({1,2,3,4,5,6,7,8,9,10,11,12,13,14,15,16,17,18,19,20,21,22,23,24,25,26,27,28,29,30}-1)*LEN(Registro!$F16)+1,LEN(Registro!$F16))),FIND("x",TRIM(MID(SUBSTITUTE(SUBSTITUTE(SUBSTITUTE(SUBSTITUTE(SUBSTITUTE(LOWER(Registro!$F16)," ",""),CHAR(10),"|"),";","|"),"+","|"),"|",REPT(" ",LEN(Registro!$F16))),({1,2,3,4,5,6,7,8,9,10,11,12,13,14,15,16,17,18,19,20,21,22,23,24,25,26,27,28,29,30}-1)*LEN(Registro!$F16)+1,LEN(Registro!$F16)))&amp;"x")-1)),--("0"&amp;MID(TRIM(MID(SUBSTITUTE(SUBSTITUTE(SUBSTITUTE(SUBSTITUTE(SUBSTITUTE(LOWER(Registro!$F16)," ",""),CHAR(10),"|"),";","|"),"+","|"),"|",REPT(" ",LEN(Registro!$F16))),({1,2,3,4,5,6,7,8,9,10,11,12,13,14,15,16,17,18,19,20,21,22,23,24,25,26,27,28,29,30}-1)*LEN(Registro!$F16)+1,LEN(Registro!$F16))),FIND("x",TRIM(MID(SUBSTITUTE(SUBSTITUTE(SUBSTITUTE(SUBSTITUTE(SUBSTITUTE(LOWER(Registro!$F16)," ",""),CHAR(10),"|"),";","|"),"+","|"),"|",REPT(" ",LEN(Registro!$F16))),({1,2,3,4,5,6,7,8,9,10,11,12,13,14,15,16,17,18,19,20,21,22,23,24,25,26,27,28,29,30}-1)*LEN(Registro!$F16)+1,LEN(Registro!$F16)))&amp;"x")+1,20))),"Revisar formato")))</f>
        <v>2070</v>
      </c>
      <c r="H16" s="21" t="str">
        <f>IF(AND(Registro!$E16="",Registro!$F16=""),"",IF(NOT(AND(ISNUMBER(G16),ISNUMBER(Registro!$G16))),"",IF(G16&lt;Registro!$G16,"FALTA BOLETOS",IF(G16=Registro!$G16,"CONFORME","DIFERENCIA"))))</f>
        <v>CONFORME</v>
      </c>
      <c r="I16" s="24">
        <f>IF(Registro!$H16="","",IFERROR(SUMPRODUCT(--("0"&amp;TRIM(RIGHT(SUBSTITUTE(TRIM(MID(SUBSTITUTE(SUBSTITUTE(Registro!$H16,";",CHAR(10)),CHAR(10),REPT(" ",LEN(Registro!$H16))),({1,2,3,4,5,6,7,8,9,10,11,12,13,14,15,16,17,18,19,20,21,22,23,24,25,26,27,28,29,30}-1)*LEN(Registro!$H16)+1,LEN(Registro!$H16)))," ",REPT(" ",50)),50)))),"Revisar formato"))</f>
        <v>600</v>
      </c>
      <c r="J16" s="24" t="str">
        <f>IF(Registro!$I16="","",IFERROR(SUMPRODUCT(--("0"&amp;TRIM(RIGHT(SUBSTITUTE(TRIM(MID(SUBSTITUTE(SUBSTITUTE(Registro!$I16,";",CHAR(10)),CHAR(10),REPT(" ",LEN(Registro!$I16))),({1,2,3,4,5,6,7,8,9,10,11,12,13,14,15,16,17,18,19,20,21,22,23,24,25,26,27,28,29,30}-1)*LEN(Registro!$I16)+1,LEN(Registro!$I16)))," ",REPT(" ",50)),50)))),"Revisar formato"))</f>
        <v/>
      </c>
      <c r="K16" s="24">
        <f>IF(AND(Registro!$G16="",Registro!$H16=""),"",IF(AND(ISTEXT(I16),I16&lt;&gt;""),"Revisar formato",N(Registro!$G16)-N(I16)))</f>
        <v>1470</v>
      </c>
      <c r="L16" s="24">
        <f t="shared" si="1"/>
        <v>1470</v>
      </c>
      <c r="M16" s="36">
        <f>IF(AND(A16=Consulta!$B$3,C16=Consulta!$H$3),B16*10000+ROW(),"")</f>
        <v>463090016</v>
      </c>
    </row>
    <row r="17" spans="1:13" x14ac:dyDescent="0.25">
      <c r="A17" s="21" t="str">
        <f>IF(Registro!$A17="","",Registro!$A17)</f>
        <v>TDS</v>
      </c>
      <c r="B17" s="20">
        <f>IF(Registro!$B17="","",Registro!$B17)</f>
        <v>46310</v>
      </c>
      <c r="C17" s="35">
        <f t="shared" si="0"/>
        <v>202610</v>
      </c>
      <c r="D17" s="23" t="str">
        <f>IF(Registro!$E17="","",IF(ISERROR(FIND("x",LOWER(Registro!$E17))),"-",IFERROR(SUMPRODUCT(--("0"&amp;LEFT(TRIM(MID(SUBSTITUTE(SUBSTITUTE(SUBSTITUTE(SUBSTITUTE(SUBSTITUTE(LOWER(Registro!$E17),"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",LEN(Registro!$E17))),({1,2,3,4,5,6,7,8,9,10,11,12,13,14,15,16,17,18,19,20,21,22,23,24,25,26,27,28,29,30}-1)*LEN(Registro!$E17)+1,LEN(Registro!$E17))),FIND("x",TRIM(MID(SUBSTITUTE(SUBSTITUTE(SUBSTITUTE(SUBSTITUTE(SUBSTITUTE(LOWER(Registro!$E17),"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",LEN(Registro!$E17))),({1,2,3,4,5,6,7,8,9,10,11,12,13,14,15,16,17,18,19,20,21,22,23,24,25,26,27,28,29,30}-1)*LEN(Registro!$E17)+1,LEN(Registro!$E17)))&amp;"x")-1))),"Revisar formato")))</f>
        <v>-</v>
      </c>
      <c r="E17" s="24" t="str">
        <f>IF(Registro!$E17="","",IF(ISERROR(FIND("x",LOWER(Registro!$E17))),"-",IFERROR(SUMPRODUCT(--("0"&amp;LEFT(TRIM(MID(SUBSTITUTE(SUBSTITUTE(SUBSTITUTE(SUBSTITUTE(SUBSTITUTE(LOWER(Registro!$E17),"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",LEN(Registro!$E17))),({1,2,3,4,5,6,7,8,9,10,11,12,13,14,15,16,17,18,19,20,21,22,23,24,25,26,27,28,29,30}-1)*LEN(Registro!$E17)+1,LEN(Registro!$E17))),FIND("x",TRIM(MID(SUBSTITUTE(SUBSTITUTE(SUBSTITUTE(SUBSTITUTE(SUBSTITUTE(LOWER(Registro!$E17),"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",LEN(Registro!$E17))),({1,2,3,4,5,6,7,8,9,10,11,12,13,14,15,16,17,18,19,20,21,22,23,24,25,26,27,28,29,30}-1)*LEN(Registro!$E17)+1,LEN(Registro!$E17)))&amp;"x")-1)),--("0"&amp;MID(TRIM(MID(SUBSTITUTE(SUBSTITUTE(SUBSTITUTE(SUBSTITUTE(SUBSTITUTE(LOWER(Registro!$E17),"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",LEN(Registro!$E17))),({1,2,3,4,5,6,7,8,9,10,11,12,13,14,15,16,17,18,19,20,21,22,23,24,25,26,27,28,29,30}-1)*LEN(Registro!$E17)+1,LEN(Registro!$E17))),FIND("x",TRIM(MID(SUBSTITUTE(SUBSTITUTE(SUBSTITUTE(SUBSTITUTE(SUBSTITUTE(LOWER(Registro!$E17),"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",LEN(Registro!$E17))),({1,2,3,4,5,6,7,8,9,10,11,12,13,14,15,16,17,18,19,20,21,22,23,24,25,26,27,28,29,30}-1)*LEN(Registro!$E17)+1,LEN(Registro!$E17)))&amp;"x")+1,20))),"Revisar formato")))</f>
        <v>-</v>
      </c>
      <c r="F17" s="23" t="str">
        <f>IF(Registro!$F17="","",IF(ISERROR(FIND("x",LOWER(Registro!$F17))),"-",IFERROR(SUMPRODUCT(--("0"&amp;LEFT(TRIM(MID(SUBSTITUTE(SUBSTITUTE(SUBSTITUTE(SUBSTITUTE(SUBSTITUTE(LOWER(Registro!$F17)," ",""),CHAR(10),"|"),";","|"),"+","|"),"|",REPT(" ",LEN(Registro!$F17))),({1,2,3,4,5,6,7,8,9,10,11,12,13,14,15,16,17,18,19,20,21,22,23,24,25,26,27,28,29,30}-1)*LEN(Registro!$F17)+1,LEN(Registro!$F17))),FIND("x",TRIM(MID(SUBSTITUTE(SUBSTITUTE(SUBSTITUTE(SUBSTITUTE(SUBSTITUTE(LOWER(Registro!$F17)," ",""),CHAR(10),"|"),";","|"),"+","|"),"|",REPT(" ",LEN(Registro!$F17))),({1,2,3,4,5,6,7,8,9,10,11,12,13,14,15,16,17,18,19,20,21,22,23,24,25,26,27,28,29,30}-1)*LEN(Registro!$F17)+1,LEN(Registro!$F17)))&amp;"x")-1))),"Revisar formato")))</f>
        <v>-</v>
      </c>
      <c r="G17" s="24">
        <f>IF(Registro!$F17="","",IF(ISERROR(FIND("x",LOWER(Registro!$F17))),N(Registro!$G17),IFERROR(SUMPRODUCT(--("0"&amp;LEFT(TRIM(MID(SUBSTITUTE(SUBSTITUTE(SUBSTITUTE(SUBSTITUTE(SUBSTITUTE(LOWER(Registro!$F17)," ",""),CHAR(10),"|"),";","|"),"+","|"),"|",REPT(" ",LEN(Registro!$F17))),({1,2,3,4,5,6,7,8,9,10,11,12,13,14,15,16,17,18,19,20,21,22,23,24,25,26,27,28,29,30}-1)*LEN(Registro!$F17)+1,LEN(Registro!$F17))),FIND("x",TRIM(MID(SUBSTITUTE(SUBSTITUTE(SUBSTITUTE(SUBSTITUTE(SUBSTITUTE(LOWER(Registro!$F17)," ",""),CHAR(10),"|"),";","|"),"+","|"),"|",REPT(" ",LEN(Registro!$F17))),({1,2,3,4,5,6,7,8,9,10,11,12,13,14,15,16,17,18,19,20,21,22,23,24,25,26,27,28,29,30}-1)*LEN(Registro!$F17)+1,LEN(Registro!$F17)))&amp;"x")-1)),--("0"&amp;MID(TRIM(MID(SUBSTITUTE(SUBSTITUTE(SUBSTITUTE(SUBSTITUTE(SUBSTITUTE(LOWER(Registro!$F17)," ",""),CHAR(10),"|"),";","|"),"+","|"),"|",REPT(" ",LEN(Registro!$F17))),({1,2,3,4,5,6,7,8,9,10,11,12,13,14,15,16,17,18,19,20,21,22,23,24,25,26,27,28,29,30}-1)*LEN(Registro!$F17)+1,LEN(Registro!$F17))),FIND("x",TRIM(MID(SUBSTITUTE(SUBSTITUTE(SUBSTITUTE(SUBSTITUTE(SUBSTITUTE(LOWER(Registro!$F17)," ",""),CHAR(10),"|"),";","|"),"+","|"),"|",REPT(" ",LEN(Registro!$F17))),({1,2,3,4,5,6,7,8,9,10,11,12,13,14,15,16,17,18,19,20,21,22,23,24,25,26,27,28,29,30}-1)*LEN(Registro!$F17)+1,LEN(Registro!$F17)))&amp;"x")+1,20))),"Revisar formato")))</f>
        <v>2870</v>
      </c>
      <c r="H17" s="21" t="str">
        <f>IF(AND(Registro!$E17="",Registro!$F17=""),"",IF(NOT(AND(ISNUMBER(G17),ISNUMBER(Registro!$G17))),"",IF(G17&lt;Registro!$G17,"FALTA BOLETOS",IF(G17=Registro!$G17,"CONFORME","DIFERENCIA"))))</f>
        <v>CONFORME</v>
      </c>
      <c r="I17" s="24">
        <f>IF(Registro!$H17="","",IFERROR(SUMPRODUCT(--("0"&amp;TRIM(RIGHT(SUBSTITUTE(TRIM(MID(SUBSTITUTE(SUBSTITUTE(Registro!$H17,";",CHAR(10)),CHAR(10),REPT(" ",LEN(Registro!$H17))),({1,2,3,4,5,6,7,8,9,10,11,12,13,14,15,16,17,18,19,20,21,22,23,24,25,26,27,28,29,30}-1)*LEN(Registro!$H17)+1,LEN(Registro!$H17)))," ",REPT(" ",50)),50)))),"Revisar formato"))</f>
        <v>120</v>
      </c>
      <c r="J17" s="24">
        <f>IF(Registro!$I17="","",IFERROR(SUMPRODUCT(--("0"&amp;TRIM(RIGHT(SUBSTITUTE(TRIM(MID(SUBSTITUTE(SUBSTITUTE(Registro!$I17,";",CHAR(10)),CHAR(10),REPT(" ",LEN(Registro!$I17))),({1,2,3,4,5,6,7,8,9,10,11,12,13,14,15,16,17,18,19,20,21,22,23,24,25,26,27,28,29,30}-1)*LEN(Registro!$I17)+1,LEN(Registro!$I17)))," ",REPT(" ",50)),50)))),"Revisar formato"))</f>
        <v>8370</v>
      </c>
      <c r="K17" s="24">
        <f>IF(AND(Registro!$G17="",Registro!$H17=""),"",IF(AND(ISTEXT(I17),I17&lt;&gt;""),"Revisar formato",N(Registro!$G17)-N(I17)))</f>
        <v>2750</v>
      </c>
      <c r="L17" s="24">
        <f t="shared" si="1"/>
        <v>-5620</v>
      </c>
      <c r="M17" s="36">
        <f>IF(AND(A17=Consulta!$B$3,C17=Consulta!$H$3),B17*10000+ROW(),"")</f>
        <v>463100017</v>
      </c>
    </row>
    <row r="18" spans="1:13" x14ac:dyDescent="0.25">
      <c r="A18" s="21" t="str">
        <f>IF(Registro!$A18="","",Registro!$A18)</f>
        <v>TDS</v>
      </c>
      <c r="B18" s="20">
        <f>IF(Registro!$B18="","",Registro!$B18)</f>
        <v>46311</v>
      </c>
      <c r="C18" s="35">
        <f t="shared" si="0"/>
        <v>202610</v>
      </c>
      <c r="D18" s="23" t="str">
        <f>IF(Registro!$E18="","",IF(ISERROR(FIND("x",LOWER(Registro!$E18))),"-",IFERROR(SUMPRODUCT(--("0"&amp;LEFT(TRIM(MID(SUBSTITUTE(SUBSTITUTE(SUBSTITUTE(SUBSTITUTE(SUBSTITUTE(LOWER(Registro!$E18),"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",LEN(Registro!$E18))),({1,2,3,4,5,6,7,8,9,10,11,12,13,14,15,16,17,18,19,20,21,22,23,24,25,26,27,28,29,30}-1)*LEN(Registro!$E18)+1,LEN(Registro!$E18))),FIND("x",TRIM(MID(SUBSTITUTE(SUBSTITUTE(SUBSTITUTE(SUBSTITUTE(SUBSTITUTE(LOWER(Registro!$E18),"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",LEN(Registro!$E18))),({1,2,3,4,5,6,7,8,9,10,11,12,13,14,15,16,17,18,19,20,21,22,23,24,25,26,27,28,29,30}-1)*LEN(Registro!$E18)+1,LEN(Registro!$E18)))&amp;"x")-1))),"Revisar formato")))</f>
        <v>-</v>
      </c>
      <c r="E18" s="24" t="str">
        <f>IF(Registro!$E18="","",IF(ISERROR(FIND("x",LOWER(Registro!$E18))),"-",IFERROR(SUMPRODUCT(--("0"&amp;LEFT(TRIM(MID(SUBSTITUTE(SUBSTITUTE(SUBSTITUTE(SUBSTITUTE(SUBSTITUTE(LOWER(Registro!$E18),"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",LEN(Registro!$E18))),({1,2,3,4,5,6,7,8,9,10,11,12,13,14,15,16,17,18,19,20,21,22,23,24,25,26,27,28,29,30}-1)*LEN(Registro!$E18)+1,LEN(Registro!$E18))),FIND("x",TRIM(MID(SUBSTITUTE(SUBSTITUTE(SUBSTITUTE(SUBSTITUTE(SUBSTITUTE(LOWER(Registro!$E18),"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",LEN(Registro!$E18))),({1,2,3,4,5,6,7,8,9,10,11,12,13,14,15,16,17,18,19,20,21,22,23,24,25,26,27,28,29,30}-1)*LEN(Registro!$E18)+1,LEN(Registro!$E18)))&amp;"x")-1)),--("0"&amp;MID(TRIM(MID(SUBSTITUTE(SUBSTITUTE(SUBSTITUTE(SUBSTITUTE(SUBSTITUTE(LOWER(Registro!$E18),"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",LEN(Registro!$E18))),({1,2,3,4,5,6,7,8,9,10,11,12,13,14,15,16,17,18,19,20,21,22,23,24,25,26,27,28,29,30}-1)*LEN(Registro!$E18)+1,LEN(Registro!$E18))),FIND("x",TRIM(MID(SUBSTITUTE(SUBSTITUTE(SUBSTITUTE(SUBSTITUTE(SUBSTITUTE(LOWER(Registro!$E18),"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",LEN(Registro!$E18))),({1,2,3,4,5,6,7,8,9,10,11,12,13,14,15,16,17,18,19,20,21,22,23,24,25,26,27,28,29,30}-1)*LEN(Registro!$E18)+1,LEN(Registro!$E18)))&amp;"x")+1,20))),"Revisar formato")))</f>
        <v>-</v>
      </c>
      <c r="F18" s="23">
        <f>IF(Registro!$F18="","",IF(ISERROR(FIND("x",LOWER(Registro!$F18))),"-",IFERROR(SUMPRODUCT(--("0"&amp;LEFT(TRIM(MID(SUBSTITUTE(SUBSTITUTE(SUBSTITUTE(SUBSTITUTE(SUBSTITUTE(LOWER(Registro!$F18)," ",""),CHAR(10),"|"),";","|"),"+","|"),"|",REPT(" ",LEN(Registro!$F18))),({1,2,3,4,5,6,7,8,9,10,11,12,13,14,15,16,17,18,19,20,21,22,23,24,25,26,27,28,29,30}-1)*LEN(Registro!$F18)+1,LEN(Registro!$F18))),FIND("x",TRIM(MID(SUBSTITUTE(SUBSTITUTE(SUBSTITUTE(SUBSTITUTE(SUBSTITUTE(LOWER(Registro!$F18)," ",""),CHAR(10),"|"),";","|"),"+","|"),"|",REPT(" ",LEN(Registro!$F18))),({1,2,3,4,5,6,7,8,9,10,11,12,13,14,15,16,17,18,19,20,21,22,23,24,25,26,27,28,29,30}-1)*LEN(Registro!$F18)+1,LEN(Registro!$F18)))&amp;"x")-1))),"Revisar formato")))</f>
        <v>1</v>
      </c>
      <c r="G18" s="24">
        <f>IF(Registro!$F18="","",IF(ISERROR(FIND("x",LOWER(Registro!$F18))),N(Registro!$G18),IFERROR(SUMPRODUCT(--("0"&amp;LEFT(TRIM(MID(SUBSTITUTE(SUBSTITUTE(SUBSTITUTE(SUBSTITUTE(SUBSTITUTE(LOWER(Registro!$F18)," ",""),CHAR(10),"|"),";","|"),"+","|"),"|",REPT(" ",LEN(Registro!$F18))),({1,2,3,4,5,6,7,8,9,10,11,12,13,14,15,16,17,18,19,20,21,22,23,24,25,26,27,28,29,30}-1)*LEN(Registro!$F18)+1,LEN(Registro!$F18))),FIND("x",TRIM(MID(SUBSTITUTE(SUBSTITUTE(SUBSTITUTE(SUBSTITUTE(SUBSTITUTE(LOWER(Registro!$F18)," ",""),CHAR(10),"|"),";","|"),"+","|"),"|",REPT(" ",LEN(Registro!$F18))),({1,2,3,4,5,6,7,8,9,10,11,12,13,14,15,16,17,18,19,20,21,22,23,24,25,26,27,28,29,30}-1)*LEN(Registro!$F18)+1,LEN(Registro!$F18)))&amp;"x")-1)),--("0"&amp;MID(TRIM(MID(SUBSTITUTE(SUBSTITUTE(SUBSTITUTE(SUBSTITUTE(SUBSTITUTE(LOWER(Registro!$F18)," ",""),CHAR(10),"|"),";","|"),"+","|"),"|",REPT(" ",LEN(Registro!$F18))),({1,2,3,4,5,6,7,8,9,10,11,12,13,14,15,16,17,18,19,20,21,22,23,24,25,26,27,28,29,30}-1)*LEN(Registro!$F18)+1,LEN(Registro!$F18))),FIND("x",TRIM(MID(SUBSTITUTE(SUBSTITUTE(SUBSTITUTE(SUBSTITUTE(SUBSTITUTE(LOWER(Registro!$F18)," ",""),CHAR(10),"|"),";","|"),"+","|"),"|",REPT(" ",LEN(Registro!$F18))),({1,2,3,4,5,6,7,8,9,10,11,12,13,14,15,16,17,18,19,20,21,22,23,24,25,26,27,28,29,30}-1)*LEN(Registro!$F18)+1,LEN(Registro!$F18)))&amp;"x")+1,20))),"Revisar formato")))</f>
        <v>3250</v>
      </c>
      <c r="H18" s="21" t="str">
        <f>IF(AND(Registro!$E18="",Registro!$F18=""),"",IF(NOT(AND(ISNUMBER(G18),ISNUMBER(Registro!$G18))),"",IF(G18&lt;Registro!$G18,"FALTA BOLETOS",IF(G18=Registro!$G18,"CONFORME","DIFERENCIA"))))</f>
        <v>CONFORME</v>
      </c>
      <c r="I18" s="24">
        <f>IF(Registro!$H18="","",IFERROR(SUMPRODUCT(--("0"&amp;TRIM(RIGHT(SUBSTITUTE(TRIM(MID(SUBSTITUTE(SUBSTITUTE(Registro!$H18,";",CHAR(10)),CHAR(10),REPT(" ",LEN(Registro!$H18))),({1,2,3,4,5,6,7,8,9,10,11,12,13,14,15,16,17,18,19,20,21,22,23,24,25,26,27,28,29,30}-1)*LEN(Registro!$H18)+1,LEN(Registro!$H18)))," ",REPT(" ",50)),50)))),"Revisar formato"))</f>
        <v>140</v>
      </c>
      <c r="J18" s="24" t="str">
        <f>IF(Registro!$I18="","",IFERROR(SUMPRODUCT(--("0"&amp;TRIM(RIGHT(SUBSTITUTE(TRIM(MID(SUBSTITUTE(SUBSTITUTE(Registro!$I18,";",CHAR(10)),CHAR(10),REPT(" ",LEN(Registro!$I18))),({1,2,3,4,5,6,7,8,9,10,11,12,13,14,15,16,17,18,19,20,21,22,23,24,25,26,27,28,29,30}-1)*LEN(Registro!$I18)+1,LEN(Registro!$I18)))," ",REPT(" ",50)),50)))),"Revisar formato"))</f>
        <v/>
      </c>
      <c r="K18" s="24">
        <f>IF(AND(Registro!$G18="",Registro!$H18=""),"",IF(AND(ISTEXT(I18),I18&lt;&gt;""),"Revisar formato",N(Registro!$G18)-N(I18)))</f>
        <v>3110</v>
      </c>
      <c r="L18" s="24">
        <f t="shared" si="1"/>
        <v>3110</v>
      </c>
      <c r="M18" s="36">
        <f>IF(AND(A18=Consulta!$B$3,C18=Consulta!$H$3),B18*10000+ROW(),"")</f>
        <v>463110018</v>
      </c>
    </row>
    <row r="19" spans="1:13" x14ac:dyDescent="0.25">
      <c r="A19" s="21" t="str">
        <f>IF(Registro!$A19="","",Registro!$A19)</f>
        <v>TDS</v>
      </c>
      <c r="B19" s="20">
        <f>IF(Registro!$B19="","",Registro!$B19)</f>
        <v>46312</v>
      </c>
      <c r="C19" s="35">
        <f t="shared" si="0"/>
        <v>202610</v>
      </c>
      <c r="D19" s="23">
        <f>IF(Registro!$E19="","",IF(ISERROR(FIND("x",LOWER(Registro!$E19))),"-",IFERROR(SUMPRODUCT(--("0"&amp;LEFT(TRIM(MID(SUBSTITUTE(SUBSTITUTE(SUBSTITUTE(SUBSTITUTE(SUBSTITUTE(LOWER(Registro!$E19),"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",LEN(Registro!$E19))),({1,2,3,4,5,6,7,8,9,10,11,12,13,14,15,16,17,18,19,20,21,22,23,24,25,26,27,28,29,30}-1)*LEN(Registro!$E19)+1,LEN(Registro!$E19))),FIND("x",TRIM(MID(SUBSTITUTE(SUBSTITUTE(SUBSTITUTE(SUBSTITUTE(SUBSTITUTE(LOWER(Registro!$E19),"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",LEN(Registro!$E19))),({1,2,3,4,5,6,7,8,9,10,11,12,13,14,15,16,17,18,19,20,21,22,23,24,25,26,27,28,29,30}-1)*LEN(Registro!$E19)+1,LEN(Registro!$E19)))&amp;"x")-1))),"Revisar formato")))</f>
        <v>58</v>
      </c>
      <c r="E19" s="24">
        <f>IF(Registro!$E19="","",IF(ISERROR(FIND("x",LOWER(Registro!$E19))),"-",IFERROR(SUMPRODUCT(--("0"&amp;LEFT(TRIM(MID(SUBSTITUTE(SUBSTITUTE(SUBSTITUTE(SUBSTITUTE(SUBSTITUTE(LOWER(Registro!$E19),"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",LEN(Registro!$E19))),({1,2,3,4,5,6,7,8,9,10,11,12,13,14,15,16,17,18,19,20,21,22,23,24,25,26,27,28,29,30}-1)*LEN(Registro!$E19)+1,LEN(Registro!$E19))),FIND("x",TRIM(MID(SUBSTITUTE(SUBSTITUTE(SUBSTITUTE(SUBSTITUTE(SUBSTITUTE(LOWER(Registro!$E19),"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",LEN(Registro!$E19))),({1,2,3,4,5,6,7,8,9,10,11,12,13,14,15,16,17,18,19,20,21,22,23,24,25,26,27,28,29,30}-1)*LEN(Registro!$E19)+1,LEN(Registro!$E19)))&amp;"x")-1)),--("0"&amp;MID(TRIM(MID(SUBSTITUTE(SUBSTITUTE(SUBSTITUTE(SUBSTITUTE(SUBSTITUTE(LOWER(Registro!$E19),"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",LEN(Registro!$E19))),({1,2,3,4,5,6,7,8,9,10,11,12,13,14,15,16,17,18,19,20,21,22,23,24,25,26,27,28,29,30}-1)*LEN(Registro!$E19)+1,LEN(Registro!$E19))),FIND("x",TRIM(MID(SUBSTITUTE(SUBSTITUTE(SUBSTITUTE(SUBSTITUTE(SUBSTITUTE(LOWER(Registro!$E19),"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",LEN(Registro!$E19))),({1,2,3,4,5,6,7,8,9,10,11,12,13,14,15,16,17,18,19,20,21,22,23,24,25,26,27,28,29,30}-1)*LEN(Registro!$E19)+1,LEN(Registro!$E19)))&amp;"x")+1,20))),"Revisar formato")))</f>
        <v>3410</v>
      </c>
      <c r="F19" s="23">
        <f>IF(Registro!$F19="","",IF(ISERROR(FIND("x",LOWER(Registro!$F19))),"-",IFERROR(SUMPRODUCT(--("0"&amp;LEFT(TRIM(MID(SUBSTITUTE(SUBSTITUTE(SUBSTITUTE(SUBSTITUTE(SUBSTITUTE(LOWER(Registro!$F19)," ",""),CHAR(10),"|"),";","|"),"+","|"),"|",REPT(" ",LEN(Registro!$F19))),({1,2,3,4,5,6,7,8,9,10,11,12,13,14,15,16,17,18,19,20,21,22,23,24,25,26,27,28,29,30}-1)*LEN(Registro!$F19)+1,LEN(Registro!$F19))),FIND("x",TRIM(MID(SUBSTITUTE(SUBSTITUTE(SUBSTITUTE(SUBSTITUTE(SUBSTITUTE(LOWER(Registro!$F19)," ",""),CHAR(10),"|"),";","|"),"+","|"),"|",REPT(" ",LEN(Registro!$F19))),({1,2,3,4,5,6,7,8,9,10,11,12,13,14,15,16,17,18,19,20,21,22,23,24,25,26,27,28,29,30}-1)*LEN(Registro!$F19)+1,LEN(Registro!$F19)))&amp;"x")-1))),"Revisar formato")))</f>
        <v>1</v>
      </c>
      <c r="G19" s="24">
        <f>IF(Registro!$F19="","",IF(ISERROR(FIND("x",LOWER(Registro!$F19))),N(Registro!$G19),IFERROR(SUMPRODUCT(--("0"&amp;LEFT(TRIM(MID(SUBSTITUTE(SUBSTITUTE(SUBSTITUTE(SUBSTITUTE(SUBSTITUTE(LOWER(Registro!$F19)," ",""),CHAR(10),"|"),";","|"),"+","|"),"|",REPT(" ",LEN(Registro!$F19))),({1,2,3,4,5,6,7,8,9,10,11,12,13,14,15,16,17,18,19,20,21,22,23,24,25,26,27,28,29,30}-1)*LEN(Registro!$F19)+1,LEN(Registro!$F19))),FIND("x",TRIM(MID(SUBSTITUTE(SUBSTITUTE(SUBSTITUTE(SUBSTITUTE(SUBSTITUTE(LOWER(Registro!$F19)," ",""),CHAR(10),"|"),";","|"),"+","|"),"|",REPT(" ",LEN(Registro!$F19))),({1,2,3,4,5,6,7,8,9,10,11,12,13,14,15,16,17,18,19,20,21,22,23,24,25,26,27,28,29,30}-1)*LEN(Registro!$F19)+1,LEN(Registro!$F19)))&amp;"x")-1)),--("0"&amp;MID(TRIM(MID(SUBSTITUTE(SUBSTITUTE(SUBSTITUTE(SUBSTITUTE(SUBSTITUTE(LOWER(Registro!$F19)," ",""),CHAR(10),"|"),";","|"),"+","|"),"|",REPT(" ",LEN(Registro!$F19))),({1,2,3,4,5,6,7,8,9,10,11,12,13,14,15,16,17,18,19,20,21,22,23,24,25,26,27,28,29,30}-1)*LEN(Registro!$F19)+1,LEN(Registro!$F19))),FIND("x",TRIM(MID(SUBSTITUTE(SUBSTITUTE(SUBSTITUTE(SUBSTITUTE(SUBSTITUTE(LOWER(Registro!$F19)," ",""),CHAR(10),"|"),";","|"),"+","|"),"|",REPT(" ",LEN(Registro!$F19))),({1,2,3,4,5,6,7,8,9,10,11,12,13,14,15,16,17,18,19,20,21,22,23,24,25,26,27,28,29,30}-1)*LEN(Registro!$F19)+1,LEN(Registro!$F19)))&amp;"x")+1,20))),"Revisar formato")))</f>
        <v>3360</v>
      </c>
      <c r="H19" s="21" t="str">
        <f>IF(AND(Registro!$E19="",Registro!$F19=""),"",IF(NOT(AND(ISNUMBER(G19),ISNUMBER(Registro!$G19))),"",IF(G19&lt;Registro!$G19,"FALTA BOLETOS",IF(G19=Registro!$G19,"CONFORME","DIFERENCIA"))))</f>
        <v>CONFORME</v>
      </c>
      <c r="I19" s="24">
        <f>IF(Registro!$H19="","",IFERROR(SUMPRODUCT(--("0"&amp;TRIM(RIGHT(SUBSTITUTE(TRIM(MID(SUBSTITUTE(SUBSTITUTE(Registro!$H19,";",CHAR(10)),CHAR(10),REPT(" ",LEN(Registro!$H19))),({1,2,3,4,5,6,7,8,9,10,11,12,13,14,15,16,17,18,19,20,21,22,23,24,25,26,27,28,29,30}-1)*LEN(Registro!$H19)+1,LEN(Registro!$H19)))," ",REPT(" ",50)),50)))),"Revisar formato"))</f>
        <v>130</v>
      </c>
      <c r="J19" s="24">
        <f>IF(Registro!$I19="","",IFERROR(SUMPRODUCT(--("0"&amp;TRIM(RIGHT(SUBSTITUTE(TRIM(MID(SUBSTITUTE(SUBSTITUTE(Registro!$I19,";",CHAR(10)),CHAR(10),REPT(" ",LEN(Registro!$I19))),({1,2,3,4,5,6,7,8,9,10,11,12,13,14,15,16,17,18,19,20,21,22,23,24,25,26,27,28,29,30}-1)*LEN(Registro!$I19)+1,LEN(Registro!$I19)))," ",REPT(" ",50)),50)))),"Revisar formato"))</f>
        <v>5550</v>
      </c>
      <c r="K19" s="24">
        <f>IF(AND(Registro!$G19="",Registro!$H19=""),"",IF(AND(ISTEXT(I19),I19&lt;&gt;""),"Revisar formato",N(Registro!$G19)-N(I19)))</f>
        <v>3230</v>
      </c>
      <c r="L19" s="24">
        <f t="shared" si="1"/>
        <v>-2320</v>
      </c>
      <c r="M19" s="36">
        <f>IF(AND(A19=Consulta!$B$3,C19=Consulta!$H$3),B19*10000+ROW(),"")</f>
        <v>463120019</v>
      </c>
    </row>
    <row r="20" spans="1:13" x14ac:dyDescent="0.25">
      <c r="A20" s="21" t="str">
        <f>IF(Registro!$A20="","",Registro!$A20)</f>
        <v>TDS</v>
      </c>
      <c r="B20" s="20">
        <f>IF(Registro!$B20="","",Registro!$B20)</f>
        <v>46313</v>
      </c>
      <c r="C20" s="35">
        <f t="shared" si="0"/>
        <v>202610</v>
      </c>
      <c r="D20" s="23">
        <f>IF(Registro!$E20="","",IF(ISERROR(FIND("x",LOWER(Registro!$E20))),"-",IFERROR(SUMPRODUCT(--("0"&amp;LEFT(TRIM(MID(SUBSTITUTE(SUBSTITUTE(SUBSTITUTE(SUBSTITUTE(SUBSTITUTE(LOWER(Registro!$E20),"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",LEN(Registro!$E20))),({1,2,3,4,5,6,7,8,9,10,11,12,13,14,15,16,17,18,19,20,21,22,23,24,25,26,27,28,29,30}-1)*LEN(Registro!$E20)+1,LEN(Registro!$E20))),FIND("x",TRIM(MID(SUBSTITUTE(SUBSTITUTE(SUBSTITUTE(SUBSTITUTE(SUBSTITUTE(LOWER(Registro!$E20),"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",LEN(Registro!$E20))),({1,2,3,4,5,6,7,8,9,10,11,12,13,14,15,16,17,18,19,20,21,22,23,24,25,26,27,28,29,30}-1)*LEN(Registro!$E20)+1,LEN(Registro!$E20)))&amp;"x")-1))),"Revisar formato")))</f>
        <v>42</v>
      </c>
      <c r="E20" s="24">
        <f>IF(Registro!$E20="","",IF(ISERROR(FIND("x",LOWER(Registro!$E20))),"-",IFERROR(SUMPRODUCT(--("0"&amp;LEFT(TRIM(MID(SUBSTITUTE(SUBSTITUTE(SUBSTITUTE(SUBSTITUTE(SUBSTITUTE(LOWER(Registro!$E20),"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",LEN(Registro!$E20))),({1,2,3,4,5,6,7,8,9,10,11,12,13,14,15,16,17,18,19,20,21,22,23,24,25,26,27,28,29,30}-1)*LEN(Registro!$E20)+1,LEN(Registro!$E20))),FIND("x",TRIM(MID(SUBSTITUTE(SUBSTITUTE(SUBSTITUTE(SUBSTITUTE(SUBSTITUTE(LOWER(Registro!$E20),"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",LEN(Registro!$E20))),({1,2,3,4,5,6,7,8,9,10,11,12,13,14,15,16,17,18,19,20,21,22,23,24,25,26,27,28,29,30}-1)*LEN(Registro!$E20)+1,LEN(Registro!$E20)))&amp;"x")-1)),--("0"&amp;MID(TRIM(MID(SUBSTITUTE(SUBSTITUTE(SUBSTITUTE(SUBSTITUTE(SUBSTITUTE(LOWER(Registro!$E20),"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",LEN(Registro!$E20))),({1,2,3,4,5,6,7,8,9,10,11,12,13,14,15,16,17,18,19,20,21,22,23,24,25,26,27,28,29,30}-1)*LEN(Registro!$E20)+1,LEN(Registro!$E20))),FIND("x",TRIM(MID(SUBSTITUTE(SUBSTITUTE(SUBSTITUTE(SUBSTITUTE(SUBSTITUTE(LOWER(Registro!$E20),"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",LEN(Registro!$E20))),({1,2,3,4,5,6,7,8,9,10,11,12,13,14,15,16,17,18,19,20,21,22,23,24,25,26,27,28,29,30}-1)*LEN(Registro!$E20)+1,LEN(Registro!$E20)))&amp;"x")+1,20))),"Revisar formato")))</f>
        <v>1780</v>
      </c>
      <c r="F20" s="23">
        <f>IF(Registro!$F20="","",IF(ISERROR(FIND("x",LOWER(Registro!$F20))),"-",IFERROR(SUMPRODUCT(--("0"&amp;LEFT(TRIM(MID(SUBSTITUTE(SUBSTITUTE(SUBSTITUTE(SUBSTITUTE(SUBSTITUTE(LOWER(Registro!$F20)," ",""),CHAR(10),"|"),";","|"),"+","|"),"|",REPT(" ",LEN(Registro!$F20))),({1,2,3,4,5,6,7,8,9,10,11,12,13,14,15,16,17,18,19,20,21,22,23,24,25,26,27,28,29,30}-1)*LEN(Registro!$F20)+1,LEN(Registro!$F20))),FIND("x",TRIM(MID(SUBSTITUTE(SUBSTITUTE(SUBSTITUTE(SUBSTITUTE(SUBSTITUTE(LOWER(Registro!$F20)," ",""),CHAR(10),"|"),";","|"),"+","|"),"|",REPT(" ",LEN(Registro!$F20))),({1,2,3,4,5,6,7,8,9,10,11,12,13,14,15,16,17,18,19,20,21,22,23,24,25,26,27,28,29,30}-1)*LEN(Registro!$F20)+1,LEN(Registro!$F20)))&amp;"x")-1))),"Revisar formato")))</f>
        <v>1</v>
      </c>
      <c r="G20" s="24">
        <f>IF(Registro!$F20="","",IF(ISERROR(FIND("x",LOWER(Registro!$F20))),N(Registro!$G20),IFERROR(SUMPRODUCT(--("0"&amp;LEFT(TRIM(MID(SUBSTITUTE(SUBSTITUTE(SUBSTITUTE(SUBSTITUTE(SUBSTITUTE(LOWER(Registro!$F20)," ",""),CHAR(10),"|"),";","|"),"+","|"),"|",REPT(" ",LEN(Registro!$F20))),({1,2,3,4,5,6,7,8,9,10,11,12,13,14,15,16,17,18,19,20,21,22,23,24,25,26,27,28,29,30}-1)*LEN(Registro!$F20)+1,LEN(Registro!$F20))),FIND("x",TRIM(MID(SUBSTITUTE(SUBSTITUTE(SUBSTITUTE(SUBSTITUTE(SUBSTITUTE(LOWER(Registro!$F20)," ",""),CHAR(10),"|"),";","|"),"+","|"),"|",REPT(" ",LEN(Registro!$F20))),({1,2,3,4,5,6,7,8,9,10,11,12,13,14,15,16,17,18,19,20,21,22,23,24,25,26,27,28,29,30}-1)*LEN(Registro!$F20)+1,LEN(Registro!$F20)))&amp;"x")-1)),--("0"&amp;MID(TRIM(MID(SUBSTITUTE(SUBSTITUTE(SUBSTITUTE(SUBSTITUTE(SUBSTITUTE(LOWER(Registro!$F20)," ",""),CHAR(10),"|"),";","|"),"+","|"),"|",REPT(" ",LEN(Registro!$F20))),({1,2,3,4,5,6,7,8,9,10,11,12,13,14,15,16,17,18,19,20,21,22,23,24,25,26,27,28,29,30}-1)*LEN(Registro!$F20)+1,LEN(Registro!$F20))),FIND("x",TRIM(MID(SUBSTITUTE(SUBSTITUTE(SUBSTITUTE(SUBSTITUTE(SUBSTITUTE(LOWER(Registro!$F20)," ",""),CHAR(10),"|"),";","|"),"+","|"),"|",REPT(" ",LEN(Registro!$F20))),({1,2,3,4,5,6,7,8,9,10,11,12,13,14,15,16,17,18,19,20,21,22,23,24,25,26,27,28,29,30}-1)*LEN(Registro!$F20)+1,LEN(Registro!$F20)))&amp;"x")+1,20))),"Revisar formato")))</f>
        <v>3275</v>
      </c>
      <c r="H20" s="21" t="str">
        <f>IF(AND(Registro!$E20="",Registro!$F20=""),"",IF(NOT(AND(ISNUMBER(G20),ISNUMBER(Registro!$G20))),"",IF(G20&lt;Registro!$G20,"FALTA BOLETOS",IF(G20=Registro!$G20,"CONFORME","DIFERENCIA"))))</f>
        <v>CONFORME</v>
      </c>
      <c r="I20" s="24">
        <f>IF(Registro!$H20="","",IFERROR(SUMPRODUCT(--("0"&amp;TRIM(RIGHT(SUBSTITUTE(TRIM(MID(SUBSTITUTE(SUBSTITUTE(Registro!$H20,";",CHAR(10)),CHAR(10),REPT(" ",LEN(Registro!$H20))),({1,2,3,4,5,6,7,8,9,10,11,12,13,14,15,16,17,18,19,20,21,22,23,24,25,26,27,28,29,30}-1)*LEN(Registro!$H20)+1,LEN(Registro!$H20)))," ",REPT(" ",50)),50)))),"Revisar formato"))</f>
        <v>95</v>
      </c>
      <c r="J20" s="24" t="str">
        <f>IF(Registro!$I20="","",IFERROR(SUMPRODUCT(--("0"&amp;TRIM(RIGHT(SUBSTITUTE(TRIM(MID(SUBSTITUTE(SUBSTITUTE(Registro!$I20,";",CHAR(10)),CHAR(10),REPT(" ",LEN(Registro!$I20))),({1,2,3,4,5,6,7,8,9,10,11,12,13,14,15,16,17,18,19,20,21,22,23,24,25,26,27,28,29,30}-1)*LEN(Registro!$I20)+1,LEN(Registro!$I20)))," ",REPT(" ",50)),50)))),"Revisar formato"))</f>
        <v/>
      </c>
      <c r="K20" s="24">
        <f>IF(AND(Registro!$G20="",Registro!$H20=""),"",IF(AND(ISTEXT(I20),I20&lt;&gt;""),"Revisar formato",N(Registro!$G20)-N(I20)))</f>
        <v>3180</v>
      </c>
      <c r="L20" s="24">
        <f t="shared" si="1"/>
        <v>3180</v>
      </c>
      <c r="M20" s="36">
        <f>IF(AND(A20=Consulta!$B$3,C20=Consulta!$H$3),B20*10000+ROW(),"")</f>
        <v>463130020</v>
      </c>
    </row>
    <row r="21" spans="1:13" x14ac:dyDescent="0.25">
      <c r="A21" s="21" t="str">
        <f>IF(Registro!$A21="","",Registro!$A21)</f>
        <v>TDS</v>
      </c>
      <c r="B21" s="20">
        <f>IF(Registro!$B21="","",Registro!$B21)</f>
        <v>46314</v>
      </c>
      <c r="C21" s="35">
        <f t="shared" si="0"/>
        <v>202610</v>
      </c>
      <c r="D21" s="23">
        <f>IF(Registro!$E21="","",IF(ISERROR(FIND("x",LOWER(Registro!$E21))),"-",IFERROR(SUMPRODUCT(--("0"&amp;LEFT(TRIM(MID(SUBSTITUTE(SUBSTITUTE(SUBSTITUTE(SUBSTITUTE(SUBSTITUTE(LOWER(Registro!$E21),"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",LEN(Registro!$E21))),({1,2,3,4,5,6,7,8,9,10,11,12,13,14,15,16,17,18,19,20,21,22,23,24,25,26,27,28,29,30}-1)*LEN(Registro!$E21)+1,LEN(Registro!$E21))),FIND("x",TRIM(MID(SUBSTITUTE(SUBSTITUTE(SUBSTITUTE(SUBSTITUTE(SUBSTITUTE(LOWER(Registro!$E21),"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",LEN(Registro!$E21))),({1,2,3,4,5,6,7,8,9,10,11,12,13,14,15,16,17,18,19,20,21,22,23,24,25,26,27,28,29,30}-1)*LEN(Registro!$E21)+1,LEN(Registro!$E21)))&amp;"x")-1))),"Revisar formato")))</f>
        <v>52</v>
      </c>
      <c r="E21" s="24">
        <f>IF(Registro!$E21="","",IF(ISERROR(FIND("x",LOWER(Registro!$E21))),"-",IFERROR(SUMPRODUCT(--("0"&amp;LEFT(TRIM(MID(SUBSTITUTE(SUBSTITUTE(SUBSTITUTE(SUBSTITUTE(SUBSTITUTE(LOWER(Registro!$E21),"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",LEN(Registro!$E21))),({1,2,3,4,5,6,7,8,9,10,11,12,13,14,15,16,17,18,19,20,21,22,23,24,25,26,27,28,29,30}-1)*LEN(Registro!$E21)+1,LEN(Registro!$E21))),FIND("x",TRIM(MID(SUBSTITUTE(SUBSTITUTE(SUBSTITUTE(SUBSTITUTE(SUBSTITUTE(LOWER(Registro!$E21),"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",LEN(Registro!$E21))),({1,2,3,4,5,6,7,8,9,10,11,12,13,14,15,16,17,18,19,20,21,22,23,24,25,26,27,28,29,30}-1)*LEN(Registro!$E21)+1,LEN(Registro!$E21)))&amp;"x")-1)),--("0"&amp;MID(TRIM(MID(SUBSTITUTE(SUBSTITUTE(SUBSTITUTE(SUBSTITUTE(SUBSTITUTE(LOWER(Registro!$E21),"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",LEN(Registro!$E21))),({1,2,3,4,5,6,7,8,9,10,11,12,13,14,15,16,17,18,19,20,21,22,23,24,25,26,27,28,29,30}-1)*LEN(Registro!$E21)+1,LEN(Registro!$E21))),FIND("x",TRIM(MID(SUBSTITUTE(SUBSTITUTE(SUBSTITUTE(SUBSTITUTE(SUBSTITUTE(LOWER(Registro!$E21),"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",LEN(Registro!$E21))),({1,2,3,4,5,6,7,8,9,10,11,12,13,14,15,16,17,18,19,20,21,22,23,24,25,26,27,28,29,30}-1)*LEN(Registro!$E21)+1,LEN(Registro!$E21)))&amp;"x")+1,20))),"Revisar formato")))</f>
        <v>2650</v>
      </c>
      <c r="F21" s="23">
        <f>IF(Registro!$F21="","",IF(ISERROR(FIND("x",LOWER(Registro!$F21))),"-",IFERROR(SUMPRODUCT(--("0"&amp;LEFT(TRIM(MID(SUBSTITUTE(SUBSTITUTE(SUBSTITUTE(SUBSTITUTE(SUBSTITUTE(LOWER(Registro!$F21)," ",""),CHAR(10),"|"),";","|"),"+","|"),"|",REPT(" ",LEN(Registro!$F21))),({1,2,3,4,5,6,7,8,9,10,11,12,13,14,15,16,17,18,19,20,21,22,23,24,25,26,27,28,29,30}-1)*LEN(Registro!$F21)+1,LEN(Registro!$F21))),FIND("x",TRIM(MID(SUBSTITUTE(SUBSTITUTE(SUBSTITUTE(SUBSTITUTE(SUBSTITUTE(LOWER(Registro!$F21)," ",""),CHAR(10),"|"),";","|"),"+","|"),"|",REPT(" ",LEN(Registro!$F21))),({1,2,3,4,5,6,7,8,9,10,11,12,13,14,15,16,17,18,19,20,21,22,23,24,25,26,27,28,29,30}-1)*LEN(Registro!$F21)+1,LEN(Registro!$F21)))&amp;"x")-1))),"Revisar formato")))</f>
        <v>1</v>
      </c>
      <c r="G21" s="24">
        <f>IF(Registro!$F21="","",IF(ISERROR(FIND("x",LOWER(Registro!$F21))),N(Registro!$G21),IFERROR(SUMPRODUCT(--("0"&amp;LEFT(TRIM(MID(SUBSTITUTE(SUBSTITUTE(SUBSTITUTE(SUBSTITUTE(SUBSTITUTE(LOWER(Registro!$F21)," ",""),CHAR(10),"|"),";","|"),"+","|"),"|",REPT(" ",LEN(Registro!$F21))),({1,2,3,4,5,6,7,8,9,10,11,12,13,14,15,16,17,18,19,20,21,22,23,24,25,26,27,28,29,30}-1)*LEN(Registro!$F21)+1,LEN(Registro!$F21))),FIND("x",TRIM(MID(SUBSTITUTE(SUBSTITUTE(SUBSTITUTE(SUBSTITUTE(SUBSTITUTE(LOWER(Registro!$F21)," ",""),CHAR(10),"|"),";","|"),"+","|"),"|",REPT(" ",LEN(Registro!$F21))),({1,2,3,4,5,6,7,8,9,10,11,12,13,14,15,16,17,18,19,20,21,22,23,24,25,26,27,28,29,30}-1)*LEN(Registro!$F21)+1,LEN(Registro!$F21)))&amp;"x")-1)),--("0"&amp;MID(TRIM(MID(SUBSTITUTE(SUBSTITUTE(SUBSTITUTE(SUBSTITUTE(SUBSTITUTE(LOWER(Registro!$F21)," ",""),CHAR(10),"|"),";","|"),"+","|"),"|",REPT(" ",LEN(Registro!$F21))),({1,2,3,4,5,6,7,8,9,10,11,12,13,14,15,16,17,18,19,20,21,22,23,24,25,26,27,28,29,30}-1)*LEN(Registro!$F21)+1,LEN(Registro!$F21))),FIND("x",TRIM(MID(SUBSTITUTE(SUBSTITUTE(SUBSTITUTE(SUBSTITUTE(SUBSTITUTE(LOWER(Registro!$F21)," ",""),CHAR(10),"|"),";","|"),"+","|"),"|",REPT(" ",LEN(Registro!$F21))),({1,2,3,4,5,6,7,8,9,10,11,12,13,14,15,16,17,18,19,20,21,22,23,24,25,26,27,28,29,30}-1)*LEN(Registro!$F21)+1,LEN(Registro!$F21)))&amp;"x")+1,20))),"Revisar formato")))</f>
        <v>3275</v>
      </c>
      <c r="H21" s="21" t="str">
        <f>IF(AND(Registro!$E21="",Registro!$F21=""),"",IF(NOT(AND(ISNUMBER(G21),ISNUMBER(Registro!$G21))),"",IF(G21&lt;Registro!$G21,"FALTA BOLETOS",IF(G21=Registro!$G21,"CONFORME","DIFERENCIA"))))</f>
        <v>CONFORME</v>
      </c>
      <c r="I21" s="24">
        <f>IF(Registro!$H21="","",IFERROR(SUMPRODUCT(--("0"&amp;TRIM(RIGHT(SUBSTITUTE(TRIM(MID(SUBSTITUTE(SUBSTITUTE(Registro!$H21,";",CHAR(10)),CHAR(10),REPT(" ",LEN(Registro!$H21))),({1,2,3,4,5,6,7,8,9,10,11,12,13,14,15,16,17,18,19,20,21,22,23,24,25,26,27,28,29,30}-1)*LEN(Registro!$H21)+1,LEN(Registro!$H21)))," ",REPT(" ",50)),50)))),"Revisar formato"))</f>
        <v>215</v>
      </c>
      <c r="J21" s="24" t="str">
        <f>IF(Registro!$I21="","",IFERROR(SUMPRODUCT(--("0"&amp;TRIM(RIGHT(SUBSTITUTE(TRIM(MID(SUBSTITUTE(SUBSTITUTE(Registro!$I21,";",CHAR(10)),CHAR(10),REPT(" ",LEN(Registro!$I21))),({1,2,3,4,5,6,7,8,9,10,11,12,13,14,15,16,17,18,19,20,21,22,23,24,25,26,27,28,29,30}-1)*LEN(Registro!$I21)+1,LEN(Registro!$I21)))," ",REPT(" ",50)),50)))),"Revisar formato"))</f>
        <v/>
      </c>
      <c r="K21" s="24">
        <f>IF(AND(Registro!$G21="",Registro!$H21=""),"",IF(AND(ISTEXT(I21),I21&lt;&gt;""),"Revisar formato",N(Registro!$G21)-N(I21)))</f>
        <v>3060</v>
      </c>
      <c r="L21" s="24">
        <f t="shared" si="1"/>
        <v>3060</v>
      </c>
      <c r="M21" s="36">
        <f>IF(AND(A21=Consulta!$B$3,C21=Consulta!$H$3),B21*10000+ROW(),"")</f>
        <v>463140021</v>
      </c>
    </row>
    <row r="22" spans="1:13" x14ac:dyDescent="0.25">
      <c r="A22" s="21" t="str">
        <f>IF(Registro!$A22="","",Registro!$A22)</f>
        <v>TDS</v>
      </c>
      <c r="B22" s="20">
        <f>IF(Registro!$B22="","",Registro!$B22)</f>
        <v>46315</v>
      </c>
      <c r="C22" s="35">
        <f t="shared" si="0"/>
        <v>202610</v>
      </c>
      <c r="D22" s="23">
        <f>IF(Registro!$E22="","",IF(ISERROR(FIND("x",LOWER(Registro!$E22))),"-",IFERROR(SUMPRODUCT(--("0"&amp;LEFT(TRIM(MID(SUBSTITUTE(SUBSTITUTE(SUBSTITUTE(SUBSTITUTE(SUBSTITUTE(LOWER(Registro!$E22),"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",LEN(Registro!$E22))),({1,2,3,4,5,6,7,8,9,10,11,12,13,14,15,16,17,18,19,20,21,22,23,24,25,26,27,28,29,30}-1)*LEN(Registro!$E22)+1,LEN(Registro!$E22))),FIND("x",TRIM(MID(SUBSTITUTE(SUBSTITUTE(SUBSTITUTE(SUBSTITUTE(SUBSTITUTE(LOWER(Registro!$E22),"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",LEN(Registro!$E22))),({1,2,3,4,5,6,7,8,9,10,11,12,13,14,15,16,17,18,19,20,21,22,23,24,25,26,27,28,29,30}-1)*LEN(Registro!$E22)+1,LEN(Registro!$E22)))&amp;"x")-1))),"Revisar formato")))</f>
        <v>49</v>
      </c>
      <c r="E22" s="24">
        <f>IF(Registro!$E22="","",IF(ISERROR(FIND("x",LOWER(Registro!$E22))),"-",IFERROR(SUMPRODUCT(--("0"&amp;LEFT(TRIM(MID(SUBSTITUTE(SUBSTITUTE(SUBSTITUTE(SUBSTITUTE(SUBSTITUTE(LOWER(Registro!$E22),"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",LEN(Registro!$E22))),({1,2,3,4,5,6,7,8,9,10,11,12,13,14,15,16,17,18,19,20,21,22,23,24,25,26,27,28,29,30}-1)*LEN(Registro!$E22)+1,LEN(Registro!$E22))),FIND("x",TRIM(MID(SUBSTITUTE(SUBSTITUTE(SUBSTITUTE(SUBSTITUTE(SUBSTITUTE(LOWER(Registro!$E22),"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",LEN(Registro!$E22))),({1,2,3,4,5,6,7,8,9,10,11,12,13,14,15,16,17,18,19,20,21,22,23,24,25,26,27,28,29,30}-1)*LEN(Registro!$E22)+1,LEN(Registro!$E22)))&amp;"x")-1)),--("0"&amp;MID(TRIM(MID(SUBSTITUTE(SUBSTITUTE(SUBSTITUTE(SUBSTITUTE(SUBSTITUTE(LOWER(Registro!$E22),"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",LEN(Registro!$E22))),({1,2,3,4,5,6,7,8,9,10,11,12,13,14,15,16,17,18,19,20,21,22,23,24,25,26,27,28,29,30}-1)*LEN(Registro!$E22)+1,LEN(Registro!$E22))),FIND("x",TRIM(MID(SUBSTITUTE(SUBSTITUTE(SUBSTITUTE(SUBSTITUTE(SUBSTITUTE(LOWER(Registro!$E22),"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",LEN(Registro!$E22))),({1,2,3,4,5,6,7,8,9,10,11,12,13,14,15,16,17,18,19,20,21,22,23,24,25,26,27,28,29,30}-1)*LEN(Registro!$E22)+1,LEN(Registro!$E22)))&amp;"x")+1,20))),"Revisar formato")))</f>
        <v>2570</v>
      </c>
      <c r="F22" s="23">
        <f>IF(Registro!$F22="","",IF(ISERROR(FIND("x",LOWER(Registro!$F22))),"-",IFERROR(SUMPRODUCT(--("0"&amp;LEFT(TRIM(MID(SUBSTITUTE(SUBSTITUTE(SUBSTITUTE(SUBSTITUTE(SUBSTITUTE(LOWER(Registro!$F22)," ",""),CHAR(10),"|"),";","|"),"+","|"),"|",REPT(" ",LEN(Registro!$F22))),({1,2,3,4,5,6,7,8,9,10,11,12,13,14,15,16,17,18,19,20,21,22,23,24,25,26,27,28,29,30}-1)*LEN(Registro!$F22)+1,LEN(Registro!$F22))),FIND("x",TRIM(MID(SUBSTITUTE(SUBSTITUTE(SUBSTITUTE(SUBSTITUTE(SUBSTITUTE(LOWER(Registro!$F22)," ",""),CHAR(10),"|"),";","|"),"+","|"),"|",REPT(" ",LEN(Registro!$F22))),({1,2,3,4,5,6,7,8,9,10,11,12,13,14,15,16,17,18,19,20,21,22,23,24,25,26,27,28,29,30}-1)*LEN(Registro!$F22)+1,LEN(Registro!$F22)))&amp;"x")-1))),"Revisar formato")))</f>
        <v>1</v>
      </c>
      <c r="G22" s="24">
        <f>IF(Registro!$F22="","",IF(ISERROR(FIND("x",LOWER(Registro!$F22))),N(Registro!$G22),IFERROR(SUMPRODUCT(--("0"&amp;LEFT(TRIM(MID(SUBSTITUTE(SUBSTITUTE(SUBSTITUTE(SUBSTITUTE(SUBSTITUTE(LOWER(Registro!$F22)," ",""),CHAR(10),"|"),";","|"),"+","|"),"|",REPT(" ",LEN(Registro!$F22))),({1,2,3,4,5,6,7,8,9,10,11,12,13,14,15,16,17,18,19,20,21,22,23,24,25,26,27,28,29,30}-1)*LEN(Registro!$F22)+1,LEN(Registro!$F22))),FIND("x",TRIM(MID(SUBSTITUTE(SUBSTITUTE(SUBSTITUTE(SUBSTITUTE(SUBSTITUTE(LOWER(Registro!$F22)," ",""),CHAR(10),"|"),";","|"),"+","|"),"|",REPT(" ",LEN(Registro!$F22))),({1,2,3,4,5,6,7,8,9,10,11,12,13,14,15,16,17,18,19,20,21,22,23,24,25,26,27,28,29,30}-1)*LEN(Registro!$F22)+1,LEN(Registro!$F22)))&amp;"x")-1)),--("0"&amp;MID(TRIM(MID(SUBSTITUTE(SUBSTITUTE(SUBSTITUTE(SUBSTITUTE(SUBSTITUTE(LOWER(Registro!$F22)," ",""),CHAR(10),"|"),";","|"),"+","|"),"|",REPT(" ",LEN(Registro!$F22))),({1,2,3,4,5,6,7,8,9,10,11,12,13,14,15,16,17,18,19,20,21,22,23,24,25,26,27,28,29,30}-1)*LEN(Registro!$F22)+1,LEN(Registro!$F22))),FIND("x",TRIM(MID(SUBSTITUTE(SUBSTITUTE(SUBSTITUTE(SUBSTITUTE(SUBSTITUTE(LOWER(Registro!$F22)," ",""),CHAR(10),"|"),";","|"),"+","|"),"|",REPT(" ",LEN(Registro!$F22))),({1,2,3,4,5,6,7,8,9,10,11,12,13,14,15,16,17,18,19,20,21,22,23,24,25,26,27,28,29,30}-1)*LEN(Registro!$F22)+1,LEN(Registro!$F22)))&amp;"x")+1,20))),"Revisar formato")))</f>
        <v>2340</v>
      </c>
      <c r="H22" s="21" t="str">
        <f>IF(AND(Registro!$E22="",Registro!$F22=""),"",IF(NOT(AND(ISNUMBER(G22),ISNUMBER(Registro!$G22))),"",IF(G22&lt;Registro!$G22,"FALTA BOLETOS",IF(G22=Registro!$G22,"CONFORME","DIFERENCIA"))))</f>
        <v>CONFORME</v>
      </c>
      <c r="I22" s="24">
        <f>IF(Registro!$H22="","",IFERROR(SUMPRODUCT(--("0"&amp;TRIM(RIGHT(SUBSTITUTE(TRIM(MID(SUBSTITUTE(SUBSTITUTE(Registro!$H22,";",CHAR(10)),CHAR(10),REPT(" ",LEN(Registro!$H22))),({1,2,3,4,5,6,7,8,9,10,11,12,13,14,15,16,17,18,19,20,21,22,23,24,25,26,27,28,29,30}-1)*LEN(Registro!$H22)+1,LEN(Registro!$H22)))," ",REPT(" ",50)),50)))),"Revisar formato"))</f>
        <v>100</v>
      </c>
      <c r="J22" s="24">
        <f>IF(Registro!$I22="","",IFERROR(SUMPRODUCT(--("0"&amp;TRIM(RIGHT(SUBSTITUTE(TRIM(MID(SUBSTITUTE(SUBSTITUTE(Registro!$I22,";",CHAR(10)),CHAR(10),REPT(" ",LEN(Registro!$I22))),({1,2,3,4,5,6,7,8,9,10,11,12,13,14,15,16,17,18,19,20,21,22,23,24,25,26,27,28,29,30}-1)*LEN(Registro!$I22)+1,LEN(Registro!$I22)))," ",REPT(" ",50)),50)))),"Revisar formato"))</f>
        <v>8500</v>
      </c>
      <c r="K22" s="24">
        <f>IF(AND(Registro!$G22="",Registro!$H22=""),"",IF(AND(ISTEXT(I22),I22&lt;&gt;""),"Revisar formato",N(Registro!$G22)-N(I22)))</f>
        <v>2240</v>
      </c>
      <c r="L22" s="24">
        <f t="shared" si="1"/>
        <v>-6260</v>
      </c>
      <c r="M22" s="36">
        <f>IF(AND(A22=Consulta!$B$3,C22=Consulta!$H$3),B22*10000+ROW(),"")</f>
        <v>463150022</v>
      </c>
    </row>
    <row r="23" spans="1:13" x14ac:dyDescent="0.25">
      <c r="A23" s="21" t="str">
        <f>IF(Registro!$A23="","",Registro!$A23)</f>
        <v>TDS</v>
      </c>
      <c r="B23" s="20">
        <f>IF(Registro!$B23="","",Registro!$B23)</f>
        <v>46316</v>
      </c>
      <c r="C23" s="35">
        <f t="shared" si="0"/>
        <v>202610</v>
      </c>
      <c r="D23" s="23">
        <f>IF(Registro!$E23="","",IF(ISERROR(FIND("x",LOWER(Registro!$E23))),"-",IFERROR(SUMPRODUCT(--("0"&amp;LEFT(TRIM(MID(SUBSTITUTE(SUBSTITUTE(SUBSTITUTE(SUBSTITUTE(SUBSTITUTE(LOWER(Registro!$E23),"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",LEN(Registro!$E23))),({1,2,3,4,5,6,7,8,9,10,11,12,13,14,15,16,17,18,19,20,21,22,23,24,25,26,27,28,29,30}-1)*LEN(Registro!$E23)+1,LEN(Registro!$E23))),FIND("x",TRIM(MID(SUBSTITUTE(SUBSTITUTE(SUBSTITUTE(SUBSTITUTE(SUBSTITUTE(LOWER(Registro!$E23),"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",LEN(Registro!$E23))),({1,2,3,4,5,6,7,8,9,10,11,12,13,14,15,16,17,18,19,20,21,22,23,24,25,26,27,28,29,30}-1)*LEN(Registro!$E23)+1,LEN(Registro!$E23)))&amp;"x")-1))),"Revisar formato")))</f>
        <v>42</v>
      </c>
      <c r="E23" s="24">
        <f>IF(Registro!$E23="","",IF(ISERROR(FIND("x",LOWER(Registro!$E23))),"-",IFERROR(SUMPRODUCT(--("0"&amp;LEFT(TRIM(MID(SUBSTITUTE(SUBSTITUTE(SUBSTITUTE(SUBSTITUTE(SUBSTITUTE(LOWER(Registro!$E23),"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",LEN(Registro!$E23))),({1,2,3,4,5,6,7,8,9,10,11,12,13,14,15,16,17,18,19,20,21,22,23,24,25,26,27,28,29,30}-1)*LEN(Registro!$E23)+1,LEN(Registro!$E23))),FIND("x",TRIM(MID(SUBSTITUTE(SUBSTITUTE(SUBSTITUTE(SUBSTITUTE(SUBSTITUTE(LOWER(Registro!$E23),"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",LEN(Registro!$E23))),({1,2,3,4,5,6,7,8,9,10,11,12,13,14,15,16,17,18,19,20,21,22,23,24,25,26,27,28,29,30}-1)*LEN(Registro!$E23)+1,LEN(Registro!$E23)))&amp;"x")-1)),--("0"&amp;MID(TRIM(MID(SUBSTITUTE(SUBSTITUTE(SUBSTITUTE(SUBSTITUTE(SUBSTITUTE(LOWER(Registro!$E23),"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",LEN(Registro!$E23))),({1,2,3,4,5,6,7,8,9,10,11,12,13,14,15,16,17,18,19,20,21,22,23,24,25,26,27,28,29,30}-1)*LEN(Registro!$E23)+1,LEN(Registro!$E23))),FIND("x",TRIM(MID(SUBSTITUTE(SUBSTITUTE(SUBSTITUTE(SUBSTITUTE(SUBSTITUTE(LOWER(Registro!$E23),"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",LEN(Registro!$E23))),({1,2,3,4,5,6,7,8,9,10,11,12,13,14,15,16,17,18,19,20,21,22,23,24,25,26,27,28,29,30}-1)*LEN(Registro!$E23)+1,LEN(Registro!$E23)))&amp;"x")+1,20))),"Revisar formato")))</f>
        <v>2240</v>
      </c>
      <c r="F23" s="23" t="str">
        <f>IF(Registro!$F23="","",IF(ISERROR(FIND("x",LOWER(Registro!$F23))),"-",IFERROR(SUMPRODUCT(--("0"&amp;LEFT(TRIM(MID(SUBSTITUTE(SUBSTITUTE(SUBSTITUTE(SUBSTITUTE(SUBSTITUTE(LOWER(Registro!$F23)," ",""),CHAR(10),"|"),";","|"),"+","|"),"|",REPT(" ",LEN(Registro!$F23))),({1,2,3,4,5,6,7,8,9,10,11,12,13,14,15,16,17,18,19,20,21,22,23,24,25,26,27,28,29,30}-1)*LEN(Registro!$F23)+1,LEN(Registro!$F23))),FIND("x",TRIM(MID(SUBSTITUTE(SUBSTITUTE(SUBSTITUTE(SUBSTITUTE(SUBSTITUTE(LOWER(Registro!$F23)," ",""),CHAR(10),"|"),";","|"),"+","|"),"|",REPT(" ",LEN(Registro!$F23))),({1,2,3,4,5,6,7,8,9,10,11,12,13,14,15,16,17,18,19,20,21,22,23,24,25,26,27,28,29,30}-1)*LEN(Registro!$F23)+1,LEN(Registro!$F23)))&amp;"x")-1))),"Revisar formato")))</f>
        <v>-</v>
      </c>
      <c r="G23" s="24">
        <f>IF(Registro!$F23="","",IF(ISERROR(FIND("x",LOWER(Registro!$F23))),N(Registro!$G23),IFERROR(SUMPRODUCT(--("0"&amp;LEFT(TRIM(MID(SUBSTITUTE(SUBSTITUTE(SUBSTITUTE(SUBSTITUTE(SUBSTITUTE(LOWER(Registro!$F23)," ",""),CHAR(10),"|"),";","|"),"+","|"),"|",REPT(" ",LEN(Registro!$F23))),({1,2,3,4,5,6,7,8,9,10,11,12,13,14,15,16,17,18,19,20,21,22,23,24,25,26,27,28,29,30}-1)*LEN(Registro!$F23)+1,LEN(Registro!$F23))),FIND("x",TRIM(MID(SUBSTITUTE(SUBSTITUTE(SUBSTITUTE(SUBSTITUTE(SUBSTITUTE(LOWER(Registro!$F23)," ",""),CHAR(10),"|"),";","|"),"+","|"),"|",REPT(" ",LEN(Registro!$F23))),({1,2,3,4,5,6,7,8,9,10,11,12,13,14,15,16,17,18,19,20,21,22,23,24,25,26,27,28,29,30}-1)*LEN(Registro!$F23)+1,LEN(Registro!$F23)))&amp;"x")-1)),--("0"&amp;MID(TRIM(MID(SUBSTITUTE(SUBSTITUTE(SUBSTITUTE(SUBSTITUTE(SUBSTITUTE(LOWER(Registro!$F23)," ",""),CHAR(10),"|"),";","|"),"+","|"),"|",REPT(" ",LEN(Registro!$F23))),({1,2,3,4,5,6,7,8,9,10,11,12,13,14,15,16,17,18,19,20,21,22,23,24,25,26,27,28,29,30}-1)*LEN(Registro!$F23)+1,LEN(Registro!$F23))),FIND("x",TRIM(MID(SUBSTITUTE(SUBSTITUTE(SUBSTITUTE(SUBSTITUTE(SUBSTITUTE(LOWER(Registro!$F23)," ",""),CHAR(10),"|"),";","|"),"+","|"),"|",REPT(" ",LEN(Registro!$F23))),({1,2,3,4,5,6,7,8,9,10,11,12,13,14,15,16,17,18,19,20,21,22,23,24,25,26,27,28,29,30}-1)*LEN(Registro!$F23)+1,LEN(Registro!$F23)))&amp;"x")+1,20))),"Revisar formato")))</f>
        <v>0</v>
      </c>
      <c r="H23" s="21" t="str">
        <f>IF(AND(Registro!$E23="",Registro!$F23=""),"",IF(NOT(AND(ISNUMBER(G23),ISNUMBER(Registro!$G23))),"",IF(G23&lt;Registro!$G23,"FALTA BOLETOS",IF(G23=Registro!$G23,"CONFORME","DIFERENCIA"))))</f>
        <v>CONFORME</v>
      </c>
      <c r="I23" s="24" t="str">
        <f>IF(Registro!$H23="","",IFERROR(SUMPRODUCT(--("0"&amp;TRIM(RIGHT(SUBSTITUTE(TRIM(MID(SUBSTITUTE(SUBSTITUTE(Registro!$H23,";",CHAR(10)),CHAR(10),REPT(" ",LEN(Registro!$H23))),({1,2,3,4,5,6,7,8,9,10,11,12,13,14,15,16,17,18,19,20,21,22,23,24,25,26,27,28,29,30}-1)*LEN(Registro!$H23)+1,LEN(Registro!$H23)))," ",REPT(" ",50)),50)))),"Revisar formato"))</f>
        <v/>
      </c>
      <c r="J23" s="24" t="str">
        <f>IF(Registro!$I23="","",IFERROR(SUMPRODUCT(--("0"&amp;TRIM(RIGHT(SUBSTITUTE(TRIM(MID(SUBSTITUTE(SUBSTITUTE(Registro!$I23,";",CHAR(10)),CHAR(10),REPT(" ",LEN(Registro!$I23))),({1,2,3,4,5,6,7,8,9,10,11,12,13,14,15,16,17,18,19,20,21,22,23,24,25,26,27,28,29,30}-1)*LEN(Registro!$I23)+1,LEN(Registro!$I23)))," ",REPT(" ",50)),50)))),"Revisar formato"))</f>
        <v/>
      </c>
      <c r="K23" s="24">
        <f>IF(AND(Registro!$G23="",Registro!$H23=""),"",IF(AND(ISTEXT(I23),I23&lt;&gt;""),"Revisar formato",N(Registro!$G23)-N(I23)))</f>
        <v>0</v>
      </c>
      <c r="L23" s="24">
        <f t="shared" si="1"/>
        <v>0</v>
      </c>
      <c r="M23" s="36">
        <f>IF(AND(A23=Consulta!$B$3,C23=Consulta!$H$3),B23*10000+ROW(),"")</f>
        <v>463160023</v>
      </c>
    </row>
    <row r="24" spans="1:13" x14ac:dyDescent="0.25">
      <c r="A24" s="21" t="str">
        <f>IF(Registro!$A24="","",Registro!$A24)</f>
        <v>TDS</v>
      </c>
      <c r="B24" s="20">
        <f>IF(Registro!$B24="","",Registro!$B24)</f>
        <v>46317</v>
      </c>
      <c r="C24" s="35">
        <f t="shared" si="0"/>
        <v>202610</v>
      </c>
      <c r="D24" s="23">
        <f>IF(Registro!$E24="","",IF(ISERROR(FIND("x",LOWER(Registro!$E24))),"-",IFERROR(SUMPRODUCT(--("0"&amp;LEFT(TRIM(MID(SUBSTITUTE(SUBSTITUTE(SUBSTITUTE(SUBSTITUTE(SUBSTITUTE(LOWER(Registro!$E24),"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",LEN(Registro!$E24))),({1,2,3,4,5,6,7,8,9,10,11,12,13,14,15,16,17,18,19,20,21,22,23,24,25,26,27,28,29,30}-1)*LEN(Registro!$E24)+1,LEN(Registro!$E24))),FIND("x",TRIM(MID(SUBSTITUTE(SUBSTITUTE(SUBSTITUTE(SUBSTITUTE(SUBSTITUTE(LOWER(Registro!$E24),"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",LEN(Registro!$E24))),({1,2,3,4,5,6,7,8,9,10,11,12,13,14,15,16,17,18,19,20,21,22,23,24,25,26,27,28,29,30}-1)*LEN(Registro!$E24)+1,LEN(Registro!$E24)))&amp;"x")-1))),"Revisar formato")))</f>
        <v>33</v>
      </c>
      <c r="E24" s="24">
        <f>IF(Registro!$E24="","",IF(ISERROR(FIND("x",LOWER(Registro!$E24))),"-",IFERROR(SUMPRODUCT(--("0"&amp;LEFT(TRIM(MID(SUBSTITUTE(SUBSTITUTE(SUBSTITUTE(SUBSTITUTE(SUBSTITUTE(LOWER(Registro!$E24),"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",LEN(Registro!$E24))),({1,2,3,4,5,6,7,8,9,10,11,12,13,14,15,16,17,18,19,20,21,22,23,24,25,26,27,28,29,30}-1)*LEN(Registro!$E24)+1,LEN(Registro!$E24))),FIND("x",TRIM(MID(SUBSTITUTE(SUBSTITUTE(SUBSTITUTE(SUBSTITUTE(SUBSTITUTE(LOWER(Registro!$E24),"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",LEN(Registro!$E24))),({1,2,3,4,5,6,7,8,9,10,11,12,13,14,15,16,17,18,19,20,21,22,23,24,25,26,27,28,29,30}-1)*LEN(Registro!$E24)+1,LEN(Registro!$E24)))&amp;"x")-1)),--("0"&amp;MID(TRIM(MID(SUBSTITUTE(SUBSTITUTE(SUBSTITUTE(SUBSTITUTE(SUBSTITUTE(LOWER(Registro!$E24),"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",LEN(Registro!$E24))),({1,2,3,4,5,6,7,8,9,10,11,12,13,14,15,16,17,18,19,20,21,22,23,24,25,26,27,28,29,30}-1)*LEN(Registro!$E24)+1,LEN(Registro!$E24))),FIND("x",TRIM(MID(SUBSTITUTE(SUBSTITUTE(SUBSTITUTE(SUBSTITUTE(SUBSTITUTE(LOWER(Registro!$E24),"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",LEN(Registro!$E24))),({1,2,3,4,5,6,7,8,9,10,11,12,13,14,15,16,17,18,19,20,21,22,23,24,25,26,27,28,29,30}-1)*LEN(Registro!$E24)+1,LEN(Registro!$E24)))&amp;"x")+1,20))),"Revisar formato")))</f>
        <v>1710</v>
      </c>
      <c r="F24" s="23" t="str">
        <f>IF(Registro!$F24="","",IF(ISERROR(FIND("x",LOWER(Registro!$F24))),"-",IFERROR(SUMPRODUCT(--("0"&amp;LEFT(TRIM(MID(SUBSTITUTE(SUBSTITUTE(SUBSTITUTE(SUBSTITUTE(SUBSTITUTE(LOWER(Registro!$F24)," ",""),CHAR(10),"|"),";","|"),"+","|"),"|",REPT(" ",LEN(Registro!$F24))),({1,2,3,4,5,6,7,8,9,10,11,12,13,14,15,16,17,18,19,20,21,22,23,24,25,26,27,28,29,30}-1)*LEN(Registro!$F24)+1,LEN(Registro!$F24))),FIND("x",TRIM(MID(SUBSTITUTE(SUBSTITUTE(SUBSTITUTE(SUBSTITUTE(SUBSTITUTE(LOWER(Registro!$F24)," ",""),CHAR(10),"|"),";","|"),"+","|"),"|",REPT(" ",LEN(Registro!$F24))),({1,2,3,4,5,6,7,8,9,10,11,12,13,14,15,16,17,18,19,20,21,22,23,24,25,26,27,28,29,30}-1)*LEN(Registro!$F24)+1,LEN(Registro!$F24)))&amp;"x")-1))),"Revisar formato")))</f>
        <v>-</v>
      </c>
      <c r="G24" s="24">
        <f>IF(Registro!$F24="","",IF(ISERROR(FIND("x",LOWER(Registro!$F24))),N(Registro!$G24),IFERROR(SUMPRODUCT(--("0"&amp;LEFT(TRIM(MID(SUBSTITUTE(SUBSTITUTE(SUBSTITUTE(SUBSTITUTE(SUBSTITUTE(LOWER(Registro!$F24)," ",""),CHAR(10),"|"),";","|"),"+","|"),"|",REPT(" ",LEN(Registro!$F24))),({1,2,3,4,5,6,7,8,9,10,11,12,13,14,15,16,17,18,19,20,21,22,23,24,25,26,27,28,29,30}-1)*LEN(Registro!$F24)+1,LEN(Registro!$F24))),FIND("x",TRIM(MID(SUBSTITUTE(SUBSTITUTE(SUBSTITUTE(SUBSTITUTE(SUBSTITUTE(LOWER(Registro!$F24)," ",""),CHAR(10),"|"),";","|"),"+","|"),"|",REPT(" ",LEN(Registro!$F24))),({1,2,3,4,5,6,7,8,9,10,11,12,13,14,15,16,17,18,19,20,21,22,23,24,25,26,27,28,29,30}-1)*LEN(Registro!$F24)+1,LEN(Registro!$F24)))&amp;"x")-1)),--("0"&amp;MID(TRIM(MID(SUBSTITUTE(SUBSTITUTE(SUBSTITUTE(SUBSTITUTE(SUBSTITUTE(LOWER(Registro!$F24)," ",""),CHAR(10),"|"),";","|"),"+","|"),"|",REPT(" ",LEN(Registro!$F24))),({1,2,3,4,5,6,7,8,9,10,11,12,13,14,15,16,17,18,19,20,21,22,23,24,25,26,27,28,29,30}-1)*LEN(Registro!$F24)+1,LEN(Registro!$F24))),FIND("x",TRIM(MID(SUBSTITUTE(SUBSTITUTE(SUBSTITUTE(SUBSTITUTE(SUBSTITUTE(LOWER(Registro!$F24)," ",""),CHAR(10),"|"),";","|"),"+","|"),"|",REPT(" ",LEN(Registro!$F24))),({1,2,3,4,5,6,7,8,9,10,11,12,13,14,15,16,17,18,19,20,21,22,23,24,25,26,27,28,29,30}-1)*LEN(Registro!$F24)+1,LEN(Registro!$F24)))&amp;"x")+1,20))),"Revisar formato")))</f>
        <v>3760</v>
      </c>
      <c r="H24" s="21" t="str">
        <f>IF(AND(Registro!$E24="",Registro!$F24=""),"",IF(NOT(AND(ISNUMBER(G24),ISNUMBER(Registro!$G24))),"",IF(G24&lt;Registro!$G24,"FALTA BOLETOS",IF(G24=Registro!$G24,"CONFORME","DIFERENCIA"))))</f>
        <v>CONFORME</v>
      </c>
      <c r="I24" s="24">
        <f>IF(Registro!$H24="","",IFERROR(SUMPRODUCT(--("0"&amp;TRIM(RIGHT(SUBSTITUTE(TRIM(MID(SUBSTITUTE(SUBSTITUTE(Registro!$H24,";",CHAR(10)),CHAR(10),REPT(" ",LEN(Registro!$H24))),({1,2,3,4,5,6,7,8,9,10,11,12,13,14,15,16,17,18,19,20,21,22,23,24,25,26,27,28,29,30}-1)*LEN(Registro!$H24)+1,LEN(Registro!$H24)))," ",REPT(" ",50)),50)))),"Revisar formato"))</f>
        <v>130</v>
      </c>
      <c r="J24" s="24" t="str">
        <f>IF(Registro!$I24="","",IFERROR(SUMPRODUCT(--("0"&amp;TRIM(RIGHT(SUBSTITUTE(TRIM(MID(SUBSTITUTE(SUBSTITUTE(Registro!$I24,";",CHAR(10)),CHAR(10),REPT(" ",LEN(Registro!$I24))),({1,2,3,4,5,6,7,8,9,10,11,12,13,14,15,16,17,18,19,20,21,22,23,24,25,26,27,28,29,30}-1)*LEN(Registro!$I24)+1,LEN(Registro!$I24)))," ",REPT(" ",50)),50)))),"Revisar formato"))</f>
        <v/>
      </c>
      <c r="K24" s="24">
        <f>IF(AND(Registro!$G24="",Registro!$H24=""),"",IF(AND(ISTEXT(I24),I24&lt;&gt;""),"Revisar formato",N(Registro!$G24)-N(I24)))</f>
        <v>3630</v>
      </c>
      <c r="L24" s="24">
        <f t="shared" si="1"/>
        <v>3630</v>
      </c>
      <c r="M24" s="36">
        <f>IF(AND(A24=Consulta!$B$3,C24=Consulta!$H$3),B24*10000+ROW(),"")</f>
        <v>463170024</v>
      </c>
    </row>
    <row r="25" spans="1:13" x14ac:dyDescent="0.25">
      <c r="A25" s="21" t="str">
        <f>IF(Registro!$A25="","",Registro!$A25)</f>
        <v>TDS</v>
      </c>
      <c r="B25" s="20">
        <f>IF(Registro!$B25="","",Registro!$B25)</f>
        <v>46318</v>
      </c>
      <c r="C25" s="35">
        <f t="shared" si="0"/>
        <v>202610</v>
      </c>
      <c r="D25" s="23">
        <f>IF(Registro!$E25="","",IF(ISERROR(FIND("x",LOWER(Registro!$E25))),"-",IFERROR(SUMPRODUCT(--("0"&amp;LEFT(TRIM(MID(SUBSTITUTE(SUBSTITUTE(SUBSTITUTE(SUBSTITUTE(SUBSTITUTE(LOWER(Registro!$E25),"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",LEN(Registro!$E25))),({1,2,3,4,5,6,7,8,9,10,11,12,13,14,15,16,17,18,19,20,21,22,23,24,25,26,27,28,29,30}-1)*LEN(Registro!$E25)+1,LEN(Registro!$E25))),FIND("x",TRIM(MID(SUBSTITUTE(SUBSTITUTE(SUBSTITUTE(SUBSTITUTE(SUBSTITUTE(LOWER(Registro!$E25),"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",LEN(Registro!$E25))),({1,2,3,4,5,6,7,8,9,10,11,12,13,14,15,16,17,18,19,20,21,22,23,24,25,26,27,28,29,30}-1)*LEN(Registro!$E25)+1,LEN(Registro!$E25)))&amp;"x")-1))),"Revisar formato")))</f>
        <v>59</v>
      </c>
      <c r="E25" s="24">
        <f>IF(Registro!$E25="","",IF(ISERROR(FIND("x",LOWER(Registro!$E25))),"-",IFERROR(SUMPRODUCT(--("0"&amp;LEFT(TRIM(MID(SUBSTITUTE(SUBSTITUTE(SUBSTITUTE(SUBSTITUTE(SUBSTITUTE(LOWER(Registro!$E25),"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",LEN(Registro!$E25))),({1,2,3,4,5,6,7,8,9,10,11,12,13,14,15,16,17,18,19,20,21,22,23,24,25,26,27,28,29,30}-1)*LEN(Registro!$E25)+1,LEN(Registro!$E25))),FIND("x",TRIM(MID(SUBSTITUTE(SUBSTITUTE(SUBSTITUTE(SUBSTITUTE(SUBSTITUTE(LOWER(Registro!$E25),"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",LEN(Registro!$E25))),({1,2,3,4,5,6,7,8,9,10,11,12,13,14,15,16,17,18,19,20,21,22,23,24,25,26,27,28,29,30}-1)*LEN(Registro!$E25)+1,LEN(Registro!$E25)))&amp;"x")-1)),--("0"&amp;MID(TRIM(MID(SUBSTITUTE(SUBSTITUTE(SUBSTITUTE(SUBSTITUTE(SUBSTITUTE(LOWER(Registro!$E25),"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",LEN(Registro!$E25))),({1,2,3,4,5,6,7,8,9,10,11,12,13,14,15,16,17,18,19,20,21,22,23,24,25,26,27,28,29,30}-1)*LEN(Registro!$E25)+1,LEN(Registro!$E25))),FIND("x",TRIM(MID(SUBSTITUTE(SUBSTITUTE(SUBSTITUTE(SUBSTITUTE(SUBSTITUTE(LOWER(Registro!$E25),"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",LEN(Registro!$E25))),({1,2,3,4,5,6,7,8,9,10,11,12,13,14,15,16,17,18,19,20,21,22,23,24,25,26,27,28,29,30}-1)*LEN(Registro!$E25)+1,LEN(Registro!$E25)))&amp;"x")+1,20))),"Revisar formato")))</f>
        <v>3190</v>
      </c>
      <c r="F25" s="23">
        <f>IF(Registro!$F25="","",IF(ISERROR(FIND("x",LOWER(Registro!$F25))),"-",IFERROR(SUMPRODUCT(--("0"&amp;LEFT(TRIM(MID(SUBSTITUTE(SUBSTITUTE(SUBSTITUTE(SUBSTITUTE(SUBSTITUTE(LOWER(Registro!$F25)," ",""),CHAR(10),"|"),";","|"),"+","|"),"|",REPT(" ",LEN(Registro!$F25))),({1,2,3,4,5,6,7,8,9,10,11,12,13,14,15,16,17,18,19,20,21,22,23,24,25,26,27,28,29,30}-1)*LEN(Registro!$F25)+1,LEN(Registro!$F25))),FIND("x",TRIM(MID(SUBSTITUTE(SUBSTITUTE(SUBSTITUTE(SUBSTITUTE(SUBSTITUTE(LOWER(Registro!$F25)," ",""),CHAR(10),"|"),";","|"),"+","|"),"|",REPT(" ",LEN(Registro!$F25))),({1,2,3,4,5,6,7,8,9,10,11,12,13,14,15,16,17,18,19,20,21,22,23,24,25,26,27,28,29,30}-1)*LEN(Registro!$F25)+1,LEN(Registro!$F25)))&amp;"x")-1))),"Revisar formato")))</f>
        <v>1</v>
      </c>
      <c r="G25" s="24">
        <f>IF(Registro!$F25="","",IF(ISERROR(FIND("x",LOWER(Registro!$F25))),N(Registro!$G25),IFERROR(SUMPRODUCT(--("0"&amp;LEFT(TRIM(MID(SUBSTITUTE(SUBSTITUTE(SUBSTITUTE(SUBSTITUTE(SUBSTITUTE(LOWER(Registro!$F25)," ",""),CHAR(10),"|"),";","|"),"+","|"),"|",REPT(" ",LEN(Registro!$F25))),({1,2,3,4,5,6,7,8,9,10,11,12,13,14,15,16,17,18,19,20,21,22,23,24,25,26,27,28,29,30}-1)*LEN(Registro!$F25)+1,LEN(Registro!$F25))),FIND("x",TRIM(MID(SUBSTITUTE(SUBSTITUTE(SUBSTITUTE(SUBSTITUTE(SUBSTITUTE(LOWER(Registro!$F25)," ",""),CHAR(10),"|"),";","|"),"+","|"),"|",REPT(" ",LEN(Registro!$F25))),({1,2,3,4,5,6,7,8,9,10,11,12,13,14,15,16,17,18,19,20,21,22,23,24,25,26,27,28,29,30}-1)*LEN(Registro!$F25)+1,LEN(Registro!$F25)))&amp;"x")-1)),--("0"&amp;MID(TRIM(MID(SUBSTITUTE(SUBSTITUTE(SUBSTITUTE(SUBSTITUTE(SUBSTITUTE(LOWER(Registro!$F25)," ",""),CHAR(10),"|"),";","|"),"+","|"),"|",REPT(" ",LEN(Registro!$F25))),({1,2,3,4,5,6,7,8,9,10,11,12,13,14,15,16,17,18,19,20,21,22,23,24,25,26,27,28,29,30}-1)*LEN(Registro!$F25)+1,LEN(Registro!$F25))),FIND("x",TRIM(MID(SUBSTITUTE(SUBSTITUTE(SUBSTITUTE(SUBSTITUTE(SUBSTITUTE(LOWER(Registro!$F25)," ",""),CHAR(10),"|"),";","|"),"+","|"),"|",REPT(" ",LEN(Registro!$F25))),({1,2,3,4,5,6,7,8,9,10,11,12,13,14,15,16,17,18,19,20,21,22,23,24,25,26,27,28,29,30}-1)*LEN(Registro!$F25)+1,LEN(Registro!$F25)))&amp;"x")+1,20))),"Revisar formato")))</f>
        <v>2335</v>
      </c>
      <c r="H25" s="21" t="str">
        <f>IF(AND(Registro!$E25="",Registro!$F25=""),"",IF(NOT(AND(ISNUMBER(G25),ISNUMBER(Registro!$G25))),"",IF(G25&lt;Registro!$G25,"FALTA BOLETOS",IF(G25=Registro!$G25,"CONFORME","DIFERENCIA"))))</f>
        <v>CONFORME</v>
      </c>
      <c r="I25" s="24">
        <f>IF(Registro!$H25="","",IFERROR(SUMPRODUCT(--("0"&amp;TRIM(RIGHT(SUBSTITUTE(TRIM(MID(SUBSTITUTE(SUBSTITUTE(Registro!$H25,";",CHAR(10)),CHAR(10),REPT(" ",LEN(Registro!$H25))),({1,2,3,4,5,6,7,8,9,10,11,12,13,14,15,16,17,18,19,20,21,22,23,24,25,26,27,28,29,30}-1)*LEN(Registro!$H25)+1,LEN(Registro!$H25)))," ",REPT(" ",50)),50)))),"Revisar formato"))</f>
        <v>95</v>
      </c>
      <c r="J25" s="24">
        <f>IF(Registro!$I25="","",IFERROR(SUMPRODUCT(--("0"&amp;TRIM(RIGHT(SUBSTITUTE(TRIM(MID(SUBSTITUTE(SUBSTITUTE(Registro!$I25,";",CHAR(10)),CHAR(10),REPT(" ",LEN(Registro!$I25))),({1,2,3,4,5,6,7,8,9,10,11,12,13,14,15,16,17,18,19,20,21,22,23,24,25,26,27,28,29,30}-1)*LEN(Registro!$I25)+1,LEN(Registro!$I25)))," ",REPT(" ",50)),50)))),"Revisar formato"))</f>
        <v>8400</v>
      </c>
      <c r="K25" s="24">
        <f>IF(AND(Registro!$G25="",Registro!$H25=""),"",IF(AND(ISTEXT(I25),I25&lt;&gt;""),"Revisar formato",N(Registro!$G25)-N(I25)))</f>
        <v>2240</v>
      </c>
      <c r="L25" s="24">
        <f t="shared" si="1"/>
        <v>-6160</v>
      </c>
      <c r="M25" s="36">
        <f>IF(AND(A25=Consulta!$B$3,C25=Consulta!$H$3),B25*10000+ROW(),"")</f>
        <v>463180025</v>
      </c>
    </row>
    <row r="26" spans="1:13" x14ac:dyDescent="0.25">
      <c r="A26" s="21" t="str">
        <f>IF(Registro!$A26="","",Registro!$A26)</f>
        <v>PIN</v>
      </c>
      <c r="B26" s="20">
        <f>IF(Registro!$B26="","",Registro!$B26)</f>
        <v>46296</v>
      </c>
      <c r="C26" s="35">
        <f t="shared" si="0"/>
        <v>202610</v>
      </c>
      <c r="D26" s="23">
        <f>IF(Registro!$E26="","",IF(ISERROR(FIND("x",LOWER(Registro!$E26))),"-",IFERROR(SUMPRODUCT(--("0"&amp;LEFT(TRIM(MID(SUBSTITUTE(SUBSTITUTE(SUBSTITUTE(SUBSTITUTE(SUBSTITUTE(LOWER(Registro!$E26),"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",LEN(Registro!$E26))),({1,2,3,4,5,6,7,8,9,10,11,12,13,14,15,16,17,18,19,20,21,22,23,24,25,26,27,28,29,30}-1)*LEN(Registro!$E26)+1,LEN(Registro!$E26))),FIND("x",TRIM(MID(SUBSTITUTE(SUBSTITUTE(SUBSTITUTE(SUBSTITUTE(SUBSTITUTE(LOWER(Registro!$E26),"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",LEN(Registro!$E26))),({1,2,3,4,5,6,7,8,9,10,11,12,13,14,15,16,17,18,19,20,21,22,23,24,25,26,27,28,29,30}-1)*LEN(Registro!$E26)+1,LEN(Registro!$E26)))&amp;"x")-1))),"Revisar formato")))</f>
        <v>43</v>
      </c>
      <c r="E26" s="24">
        <f>IF(Registro!$E26="","",IF(ISERROR(FIND("x",LOWER(Registro!$E26))),"-",IFERROR(SUMPRODUCT(--("0"&amp;LEFT(TRIM(MID(SUBSTITUTE(SUBSTITUTE(SUBSTITUTE(SUBSTITUTE(SUBSTITUTE(LOWER(Registro!$E26),"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",LEN(Registro!$E26))),({1,2,3,4,5,6,7,8,9,10,11,12,13,14,15,16,17,18,19,20,21,22,23,24,25,26,27,28,29,30}-1)*LEN(Registro!$E26)+1,LEN(Registro!$E26))),FIND("x",TRIM(MID(SUBSTITUTE(SUBSTITUTE(SUBSTITUTE(SUBSTITUTE(SUBSTITUTE(LOWER(Registro!$E26),"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",LEN(Registro!$E26))),({1,2,3,4,5,6,7,8,9,10,11,12,13,14,15,16,17,18,19,20,21,22,23,24,25,26,27,28,29,30}-1)*LEN(Registro!$E26)+1,LEN(Registro!$E26)))&amp;"x")-1)),--("0"&amp;MID(TRIM(MID(SUBSTITUTE(SUBSTITUTE(SUBSTITUTE(SUBSTITUTE(SUBSTITUTE(LOWER(Registro!$E26),"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",LEN(Registro!$E26))),({1,2,3,4,5,6,7,8,9,10,11,12,13,14,15,16,17,18,19,20,21,22,23,24,25,26,27,28,29,30}-1)*LEN(Registro!$E26)+1,LEN(Registro!$E26))),FIND("x",TRIM(MID(SUBSTITUTE(SUBSTITUTE(SUBSTITUTE(SUBSTITUTE(SUBSTITUTE(LOWER(Registro!$E26),"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",LEN(Registro!$E26))),({1,2,3,4,5,6,7,8,9,10,11,12,13,14,15,16,17,18,19,20,21,22,23,24,25,26,27,28,29,30}-1)*LEN(Registro!$E26)+1,LEN(Registro!$E26)))&amp;"x")+1,20))),"Revisar formato")))</f>
        <v>1910</v>
      </c>
      <c r="F26" s="23">
        <f>IF(Registro!$F26="","",IF(ISERROR(FIND("x",LOWER(Registro!$F26))),"-",IFERROR(SUMPRODUCT(--("0"&amp;LEFT(TRIM(MID(SUBSTITUTE(SUBSTITUTE(SUBSTITUTE(SUBSTITUTE(SUBSTITUTE(LOWER(Registro!$F26)," ",""),CHAR(10),"|"),";","|"),"+","|"),"|",REPT(" ",LEN(Registro!$F26))),({1,2,3,4,5,6,7,8,9,10,11,12,13,14,15,16,17,18,19,20,21,22,23,24,25,26,27,28,29,30}-1)*LEN(Registro!$F26)+1,LEN(Registro!$F26))),FIND("x",TRIM(MID(SUBSTITUTE(SUBSTITUTE(SUBSTITUTE(SUBSTITUTE(SUBSTITUTE(LOWER(Registro!$F26)," ",""),CHAR(10),"|"),";","|"),"+","|"),"|",REPT(" ",LEN(Registro!$F26))),({1,2,3,4,5,6,7,8,9,10,11,12,13,14,15,16,17,18,19,20,21,22,23,24,25,26,27,28,29,30}-1)*LEN(Registro!$F26)+1,LEN(Registro!$F26)))&amp;"x")-1))),"Revisar formato")))</f>
        <v>1</v>
      </c>
      <c r="G26" s="24">
        <f>IF(Registro!$F26="","",IF(ISERROR(FIND("x",LOWER(Registro!$F26))),N(Registro!$G26),IFERROR(SUMPRODUCT(--("0"&amp;LEFT(TRIM(MID(SUBSTITUTE(SUBSTITUTE(SUBSTITUTE(SUBSTITUTE(SUBSTITUTE(LOWER(Registro!$F26)," ",""),CHAR(10),"|"),";","|"),"+","|"),"|",REPT(" ",LEN(Registro!$F26))),({1,2,3,4,5,6,7,8,9,10,11,12,13,14,15,16,17,18,19,20,21,22,23,24,25,26,27,28,29,30}-1)*LEN(Registro!$F26)+1,LEN(Registro!$F26))),FIND("x",TRIM(MID(SUBSTITUTE(SUBSTITUTE(SUBSTITUTE(SUBSTITUTE(SUBSTITUTE(LOWER(Registro!$F26)," ",""),CHAR(10),"|"),";","|"),"+","|"),"|",REPT(" ",LEN(Registro!$F26))),({1,2,3,4,5,6,7,8,9,10,11,12,13,14,15,16,17,18,19,20,21,22,23,24,25,26,27,28,29,30}-1)*LEN(Registro!$F26)+1,LEN(Registro!$F26)))&amp;"x")-1)),--("0"&amp;MID(TRIM(MID(SUBSTITUTE(SUBSTITUTE(SUBSTITUTE(SUBSTITUTE(SUBSTITUTE(LOWER(Registro!$F26)," ",""),CHAR(10),"|"),";","|"),"+","|"),"|",REPT(" ",LEN(Registro!$F26))),({1,2,3,4,5,6,7,8,9,10,11,12,13,14,15,16,17,18,19,20,21,22,23,24,25,26,27,28,29,30}-1)*LEN(Registro!$F26)+1,LEN(Registro!$F26))),FIND("x",TRIM(MID(SUBSTITUTE(SUBSTITUTE(SUBSTITUTE(SUBSTITUTE(SUBSTITUTE(LOWER(Registro!$F26)," ",""),CHAR(10),"|"),";","|"),"+","|"),"|",REPT(" ",LEN(Registro!$F26))),({1,2,3,4,5,6,7,8,9,10,11,12,13,14,15,16,17,18,19,20,21,22,23,24,25,26,27,28,29,30}-1)*LEN(Registro!$F26)+1,LEN(Registro!$F26)))&amp;"x")+1,20))),"Revisar formato")))</f>
        <v>1925</v>
      </c>
      <c r="H26" s="21" t="str">
        <f>IF(AND(Registro!$E26="",Registro!$F26=""),"",IF(NOT(AND(ISNUMBER(G26),ISNUMBER(Registro!$G26))),"",IF(G26&lt;Registro!$G26,"FALTA BOLETOS",IF(G26=Registro!$G26,"CONFORME","DIFERENCIA"))))</f>
        <v>CONFORME</v>
      </c>
      <c r="I26" s="24">
        <f>IF(Registro!$H26="","",IFERROR(SUMPRODUCT(--("0"&amp;TRIM(RIGHT(SUBSTITUTE(TRIM(MID(SUBSTITUTE(SUBSTITUTE(Registro!$H26,";",CHAR(10)),CHAR(10),REPT(" ",LEN(Registro!$H26))),({1,2,3,4,5,6,7,8,9,10,11,12,13,14,15,16,17,18,19,20,21,22,23,24,25,26,27,28,29,30}-1)*LEN(Registro!$H26)+1,LEN(Registro!$H26)))," ",REPT(" ",50)),50)))),"Revisar formato"))</f>
        <v>100</v>
      </c>
      <c r="J26" s="24" t="str">
        <f>IF(Registro!$I26="","",IFERROR(SUMPRODUCT(--("0"&amp;TRIM(RIGHT(SUBSTITUTE(TRIM(MID(SUBSTITUTE(SUBSTITUTE(Registro!$I26,";",CHAR(10)),CHAR(10),REPT(" ",LEN(Registro!$I26))),({1,2,3,4,5,6,7,8,9,10,11,12,13,14,15,16,17,18,19,20,21,22,23,24,25,26,27,28,29,30}-1)*LEN(Registro!$I26)+1,LEN(Registro!$I26)))," ",REPT(" ",50)),50)))),"Revisar formato"))</f>
        <v/>
      </c>
      <c r="K26" s="24">
        <f>IF(AND(Registro!$G26="",Registro!$H26=""),"",IF(AND(ISTEXT(I26),I26&lt;&gt;""),"Revisar formato",N(Registro!$G26)-N(I26)))</f>
        <v>1825</v>
      </c>
      <c r="L26" s="24">
        <f t="shared" si="1"/>
        <v>1825</v>
      </c>
      <c r="M26" s="36" t="str">
        <f>IF(AND(A26=Consulta!$B$3,C26=Consulta!$H$3),B26*10000+ROW(),"")</f>
        <v/>
      </c>
    </row>
    <row r="27" spans="1:13" x14ac:dyDescent="0.25">
      <c r="A27" s="21" t="str">
        <f>IF(Registro!$A27="","",Registro!$A27)</f>
        <v>PIN</v>
      </c>
      <c r="B27" s="20">
        <f>IF(Registro!$B27="","",Registro!$B27)</f>
        <v>46297</v>
      </c>
      <c r="C27" s="35">
        <f t="shared" si="0"/>
        <v>202610</v>
      </c>
      <c r="D27" s="23">
        <f>IF(Registro!$E27="","",IF(ISERROR(FIND("x",LOWER(Registro!$E27))),"-",IFERROR(SUMPRODUCT(--("0"&amp;LEFT(TRIM(MID(SUBSTITUTE(SUBSTITUTE(SUBSTITUTE(SUBSTITUTE(SUBSTITUTE(LOWER(Registro!$E27),"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",LEN(Registro!$E27))),({1,2,3,4,5,6,7,8,9,10,11,12,13,14,15,16,17,18,19,20,21,22,23,24,25,26,27,28,29,30}-1)*LEN(Registro!$E27)+1,LEN(Registro!$E27))),FIND("x",TRIM(MID(SUBSTITUTE(SUBSTITUTE(SUBSTITUTE(SUBSTITUTE(SUBSTITUTE(LOWER(Registro!$E27),"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",LEN(Registro!$E27))),({1,2,3,4,5,6,7,8,9,10,11,12,13,14,15,16,17,18,19,20,21,22,23,24,25,26,27,28,29,30}-1)*LEN(Registro!$E27)+1,LEN(Registro!$E27)))&amp;"x")-1))),"Revisar formato")))</f>
        <v>52</v>
      </c>
      <c r="E27" s="24">
        <f>IF(Registro!$E27="","",IF(ISERROR(FIND("x",LOWER(Registro!$E27))),"-",IFERROR(SUMPRODUCT(--("0"&amp;LEFT(TRIM(MID(SUBSTITUTE(SUBSTITUTE(SUBSTITUTE(SUBSTITUTE(SUBSTITUTE(LOWER(Registro!$E27),"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",LEN(Registro!$E27))),({1,2,3,4,5,6,7,8,9,10,11,12,13,14,15,16,17,18,19,20,21,22,23,24,25,26,27,28,29,30}-1)*LEN(Registro!$E27)+1,LEN(Registro!$E27))),FIND("x",TRIM(MID(SUBSTITUTE(SUBSTITUTE(SUBSTITUTE(SUBSTITUTE(SUBSTITUTE(LOWER(Registro!$E27),"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",LEN(Registro!$E27))),({1,2,3,4,5,6,7,8,9,10,11,12,13,14,15,16,17,18,19,20,21,22,23,24,25,26,27,28,29,30}-1)*LEN(Registro!$E27)+1,LEN(Registro!$E27)))&amp;"x")-1)),--("0"&amp;MID(TRIM(MID(SUBSTITUTE(SUBSTITUTE(SUBSTITUTE(SUBSTITUTE(SUBSTITUTE(LOWER(Registro!$E27),"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",LEN(Registro!$E27))),({1,2,3,4,5,6,7,8,9,10,11,12,13,14,15,16,17,18,19,20,21,22,23,24,25,26,27,28,29,30}-1)*LEN(Registro!$E27)+1,LEN(Registro!$E27))),FIND("x",TRIM(MID(SUBSTITUTE(SUBSTITUTE(SUBSTITUTE(SUBSTITUTE(SUBSTITUTE(LOWER(Registro!$E27),"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",LEN(Registro!$E27))),({1,2,3,4,5,6,7,8,9,10,11,12,13,14,15,16,17,18,19,20,21,22,23,24,25,26,27,28,29,30}-1)*LEN(Registro!$E27)+1,LEN(Registro!$E27)))&amp;"x")+1,20))),"Revisar formato")))</f>
        <v>2450</v>
      </c>
      <c r="F27" s="23">
        <f>IF(Registro!$F27="","",IF(ISERROR(FIND("x",LOWER(Registro!$F27))),"-",IFERROR(SUMPRODUCT(--("0"&amp;LEFT(TRIM(MID(SUBSTITUTE(SUBSTITUTE(SUBSTITUTE(SUBSTITUTE(SUBSTITUTE(LOWER(Registro!$F27)," ",""),CHAR(10),"|"),";","|"),"+","|"),"|",REPT(" ",LEN(Registro!$F27))),({1,2,3,4,5,6,7,8,9,10,11,12,13,14,15,16,17,18,19,20,21,22,23,24,25,26,27,28,29,30}-1)*LEN(Registro!$F27)+1,LEN(Registro!$F27))),FIND("x",TRIM(MID(SUBSTITUTE(SUBSTITUTE(SUBSTITUTE(SUBSTITUTE(SUBSTITUTE(LOWER(Registro!$F27)," ",""),CHAR(10),"|"),";","|"),"+","|"),"|",REPT(" ",LEN(Registro!$F27))),({1,2,3,4,5,6,7,8,9,10,11,12,13,14,15,16,17,18,19,20,21,22,23,24,25,26,27,28,29,30}-1)*LEN(Registro!$F27)+1,LEN(Registro!$F27)))&amp;"x")-1))),"Revisar formato")))</f>
        <v>1</v>
      </c>
      <c r="G27" s="24">
        <f>IF(Registro!$F27="","",IF(ISERROR(FIND("x",LOWER(Registro!$F27))),N(Registro!$G27),IFERROR(SUMPRODUCT(--("0"&amp;LEFT(TRIM(MID(SUBSTITUTE(SUBSTITUTE(SUBSTITUTE(SUBSTITUTE(SUBSTITUTE(LOWER(Registro!$F27)," ",""),CHAR(10),"|"),";","|"),"+","|"),"|",REPT(" ",LEN(Registro!$F27))),({1,2,3,4,5,6,7,8,9,10,11,12,13,14,15,16,17,18,19,20,21,22,23,24,25,26,27,28,29,30}-1)*LEN(Registro!$F27)+1,LEN(Registro!$F27))),FIND("x",TRIM(MID(SUBSTITUTE(SUBSTITUTE(SUBSTITUTE(SUBSTITUTE(SUBSTITUTE(LOWER(Registro!$F27)," ",""),CHAR(10),"|"),";","|"),"+","|"),"|",REPT(" ",LEN(Registro!$F27))),({1,2,3,4,5,6,7,8,9,10,11,12,13,14,15,16,17,18,19,20,21,22,23,24,25,26,27,28,29,30}-1)*LEN(Registro!$F27)+1,LEN(Registro!$F27)))&amp;"x")-1)),--("0"&amp;MID(TRIM(MID(SUBSTITUTE(SUBSTITUTE(SUBSTITUTE(SUBSTITUTE(SUBSTITUTE(LOWER(Registro!$F27)," ",""),CHAR(10),"|"),";","|"),"+","|"),"|",REPT(" ",LEN(Registro!$F27))),({1,2,3,4,5,6,7,8,9,10,11,12,13,14,15,16,17,18,19,20,21,22,23,24,25,26,27,28,29,30}-1)*LEN(Registro!$F27)+1,LEN(Registro!$F27))),FIND("x",TRIM(MID(SUBSTITUTE(SUBSTITUTE(SUBSTITUTE(SUBSTITUTE(SUBSTITUTE(LOWER(Registro!$F27)," ",""),CHAR(10),"|"),";","|"),"+","|"),"|",REPT(" ",LEN(Registro!$F27))),({1,2,3,4,5,6,7,8,9,10,11,12,13,14,15,16,17,18,19,20,21,22,23,24,25,26,27,28,29,30}-1)*LEN(Registro!$F27)+1,LEN(Registro!$F27)))&amp;"x")+1,20))),"Revisar formato")))</f>
        <v>2520</v>
      </c>
      <c r="H27" s="21" t="str">
        <f>IF(AND(Registro!$E27="",Registro!$F27=""),"",IF(NOT(AND(ISNUMBER(G27),ISNUMBER(Registro!$G27))),"",IF(G27&lt;Registro!$G27,"FALTA BOLETOS",IF(G27=Registro!$G27,"CONFORME","DIFERENCIA"))))</f>
        <v>CONFORME</v>
      </c>
      <c r="I27" s="24" t="str">
        <f>IF(Registro!$H27="","",IFERROR(SUMPRODUCT(--("0"&amp;TRIM(RIGHT(SUBSTITUTE(TRIM(MID(SUBSTITUTE(SUBSTITUTE(Registro!$H27,";",CHAR(10)),CHAR(10),REPT(" ",LEN(Registro!$H27))),({1,2,3,4,5,6,7,8,9,10,11,12,13,14,15,16,17,18,19,20,21,22,23,24,25,26,27,28,29,30}-1)*LEN(Registro!$H27)+1,LEN(Registro!$H27)))," ",REPT(" ",50)),50)))),"Revisar formato"))</f>
        <v/>
      </c>
      <c r="J27" s="24" t="str">
        <f>IF(Registro!$I27="","",IFERROR(SUMPRODUCT(--("0"&amp;TRIM(RIGHT(SUBSTITUTE(TRIM(MID(SUBSTITUTE(SUBSTITUTE(Registro!$I27,";",CHAR(10)),CHAR(10),REPT(" ",LEN(Registro!$I27))),({1,2,3,4,5,6,7,8,9,10,11,12,13,14,15,16,17,18,19,20,21,22,23,24,25,26,27,28,29,30}-1)*LEN(Registro!$I27)+1,LEN(Registro!$I27)))," ",REPT(" ",50)),50)))),"Revisar formato"))</f>
        <v/>
      </c>
      <c r="K27" s="24">
        <f>IF(AND(Registro!$G27="",Registro!$H27=""),"",IF(AND(ISTEXT(I27),I27&lt;&gt;""),"Revisar formato",N(Registro!$G27)-N(I27)))</f>
        <v>2520</v>
      </c>
      <c r="L27" s="24">
        <f t="shared" si="1"/>
        <v>2520</v>
      </c>
      <c r="M27" s="36" t="str">
        <f>IF(AND(A27=Consulta!$B$3,C27=Consulta!$H$3),B27*10000+ROW(),"")</f>
        <v/>
      </c>
    </row>
    <row r="28" spans="1:13" x14ac:dyDescent="0.25">
      <c r="A28" s="21" t="str">
        <f>IF(Registro!$A28="","",Registro!$A28)</f>
        <v>PIN</v>
      </c>
      <c r="B28" s="20">
        <f>IF(Registro!$B28="","",Registro!$B28)</f>
        <v>46298</v>
      </c>
      <c r="C28" s="35">
        <f t="shared" si="0"/>
        <v>202610</v>
      </c>
      <c r="D28" s="23">
        <f>IF(Registro!$E28="","",IF(ISERROR(FIND("x",LOWER(Registro!$E28))),"-",IFERROR(SUMPRODUCT(--("0"&amp;LEFT(TRIM(MID(SUBSTITUTE(SUBSTITUTE(SUBSTITUTE(SUBSTITUTE(SUBSTITUTE(LOWER(Registro!$E28),"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",LEN(Registro!$E28))),({1,2,3,4,5,6,7,8,9,10,11,12,13,14,15,16,17,18,19,20,21,22,23,24,25,26,27,28,29,30}-1)*LEN(Registro!$E28)+1,LEN(Registro!$E28))),FIND("x",TRIM(MID(SUBSTITUTE(SUBSTITUTE(SUBSTITUTE(SUBSTITUTE(SUBSTITUTE(LOWER(Registro!$E28),"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",LEN(Registro!$E28))),({1,2,3,4,5,6,7,8,9,10,11,12,13,14,15,16,17,18,19,20,21,22,23,24,25,26,27,28,29,30}-1)*LEN(Registro!$E28)+1,LEN(Registro!$E28)))&amp;"x")-1))),"Revisar formato")))</f>
        <v>44</v>
      </c>
      <c r="E28" s="24">
        <f>IF(Registro!$E28="","",IF(ISERROR(FIND("x",LOWER(Registro!$E28))),"-",IFERROR(SUMPRODUCT(--("0"&amp;LEFT(TRIM(MID(SUBSTITUTE(SUBSTITUTE(SUBSTITUTE(SUBSTITUTE(SUBSTITUTE(LOWER(Registro!$E28),"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",LEN(Registro!$E28))),({1,2,3,4,5,6,7,8,9,10,11,12,13,14,15,16,17,18,19,20,21,22,23,24,25,26,27,28,29,30}-1)*LEN(Registro!$E28)+1,LEN(Registro!$E28))),FIND("x",TRIM(MID(SUBSTITUTE(SUBSTITUTE(SUBSTITUTE(SUBSTITUTE(SUBSTITUTE(LOWER(Registro!$E28),"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",LEN(Registro!$E28))),({1,2,3,4,5,6,7,8,9,10,11,12,13,14,15,16,17,18,19,20,21,22,23,24,25,26,27,28,29,30}-1)*LEN(Registro!$E28)+1,LEN(Registro!$E28)))&amp;"x")-1)),--("0"&amp;MID(TRIM(MID(SUBSTITUTE(SUBSTITUTE(SUBSTITUTE(SUBSTITUTE(SUBSTITUTE(LOWER(Registro!$E28),"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",LEN(Registro!$E28))),({1,2,3,4,5,6,7,8,9,10,11,12,13,14,15,16,17,18,19,20,21,22,23,24,25,26,27,28,29,30}-1)*LEN(Registro!$E28)+1,LEN(Registro!$E28))),FIND("x",TRIM(MID(SUBSTITUTE(SUBSTITUTE(SUBSTITUTE(SUBSTITUTE(SUBSTITUTE(LOWER(Registro!$E28),"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",LEN(Registro!$E28))),({1,2,3,4,5,6,7,8,9,10,11,12,13,14,15,16,17,18,19,20,21,22,23,24,25,26,27,28,29,30}-1)*LEN(Registro!$E28)+1,LEN(Registro!$E28)))&amp;"x")+1,20))),"Revisar formato")))</f>
        <v>2080</v>
      </c>
      <c r="F28" s="23">
        <f>IF(Registro!$F28="","",IF(ISERROR(FIND("x",LOWER(Registro!$F28))),"-",IFERROR(SUMPRODUCT(--("0"&amp;LEFT(TRIM(MID(SUBSTITUTE(SUBSTITUTE(SUBSTITUTE(SUBSTITUTE(SUBSTITUTE(LOWER(Registro!$F28)," ",""),CHAR(10),"|"),";","|"),"+","|"),"|",REPT(" ",LEN(Registro!$F28))),({1,2,3,4,5,6,7,8,9,10,11,12,13,14,15,16,17,18,19,20,21,22,23,24,25,26,27,28,29,30}-1)*LEN(Registro!$F28)+1,LEN(Registro!$F28))),FIND("x",TRIM(MID(SUBSTITUTE(SUBSTITUTE(SUBSTITUTE(SUBSTITUTE(SUBSTITUTE(LOWER(Registro!$F28)," ",""),CHAR(10),"|"),";","|"),"+","|"),"|",REPT(" ",LEN(Registro!$F28))),({1,2,3,4,5,6,7,8,9,10,11,12,13,14,15,16,17,18,19,20,21,22,23,24,25,26,27,28,29,30}-1)*LEN(Registro!$F28)+1,LEN(Registro!$F28)))&amp;"x")-1))),"Revisar formato")))</f>
        <v>1</v>
      </c>
      <c r="G28" s="24">
        <f>IF(Registro!$F28="","",IF(ISERROR(FIND("x",LOWER(Registro!$F28))),N(Registro!$G28),IFERROR(SUMPRODUCT(--("0"&amp;LEFT(TRIM(MID(SUBSTITUTE(SUBSTITUTE(SUBSTITUTE(SUBSTITUTE(SUBSTITUTE(LOWER(Registro!$F28)," ",""),CHAR(10),"|"),";","|"),"+","|"),"|",REPT(" ",LEN(Registro!$F28))),({1,2,3,4,5,6,7,8,9,10,11,12,13,14,15,16,17,18,19,20,21,22,23,24,25,26,27,28,29,30}-1)*LEN(Registro!$F28)+1,LEN(Registro!$F28))),FIND("x",TRIM(MID(SUBSTITUTE(SUBSTITUTE(SUBSTITUTE(SUBSTITUTE(SUBSTITUTE(LOWER(Registro!$F28)," ",""),CHAR(10),"|"),";","|"),"+","|"),"|",REPT(" ",LEN(Registro!$F28))),({1,2,3,4,5,6,7,8,9,10,11,12,13,14,15,16,17,18,19,20,21,22,23,24,25,26,27,28,29,30}-1)*LEN(Registro!$F28)+1,LEN(Registro!$F28)))&amp;"x")-1)),--("0"&amp;MID(TRIM(MID(SUBSTITUTE(SUBSTITUTE(SUBSTITUTE(SUBSTITUTE(SUBSTITUTE(LOWER(Registro!$F28)," ",""),CHAR(10),"|"),";","|"),"+","|"),"|",REPT(" ",LEN(Registro!$F28))),({1,2,3,4,5,6,7,8,9,10,11,12,13,14,15,16,17,18,19,20,21,22,23,24,25,26,27,28,29,30}-1)*LEN(Registro!$F28)+1,LEN(Registro!$F28))),FIND("x",TRIM(MID(SUBSTITUTE(SUBSTITUTE(SUBSTITUTE(SUBSTITUTE(SUBSTITUTE(LOWER(Registro!$F28)," ",""),CHAR(10),"|"),";","|"),"+","|"),"|",REPT(" ",LEN(Registro!$F28))),({1,2,3,4,5,6,7,8,9,10,11,12,13,14,15,16,17,18,19,20,21,22,23,24,25,26,27,28,29,30}-1)*LEN(Registro!$F28)+1,LEN(Registro!$F28)))&amp;"x")+1,20))),"Revisar formato")))</f>
        <v>2215</v>
      </c>
      <c r="H28" s="21" t="str">
        <f>IF(AND(Registro!$E28="",Registro!$F28=""),"",IF(NOT(AND(ISNUMBER(G28),ISNUMBER(Registro!$G28))),"",IF(G28&lt;Registro!$G28,"FALTA BOLETOS",IF(G28=Registro!$G28,"CONFORME","DIFERENCIA"))))</f>
        <v>CONFORME</v>
      </c>
      <c r="I28" s="24" t="str">
        <f>IF(Registro!$H28="","",IFERROR(SUMPRODUCT(--("0"&amp;TRIM(RIGHT(SUBSTITUTE(TRIM(MID(SUBSTITUTE(SUBSTITUTE(Registro!$H28,";",CHAR(10)),CHAR(10),REPT(" ",LEN(Registro!$H28))),({1,2,3,4,5,6,7,8,9,10,11,12,13,14,15,16,17,18,19,20,21,22,23,24,25,26,27,28,29,30}-1)*LEN(Registro!$H28)+1,LEN(Registro!$H28)))," ",REPT(" ",50)),50)))),"Revisar formato"))</f>
        <v/>
      </c>
      <c r="J28" s="24" t="str">
        <f>IF(Registro!$I28="","",IFERROR(SUMPRODUCT(--("0"&amp;TRIM(RIGHT(SUBSTITUTE(TRIM(MID(SUBSTITUTE(SUBSTITUTE(Registro!$I28,";",CHAR(10)),CHAR(10),REPT(" ",LEN(Registro!$I28))),({1,2,3,4,5,6,7,8,9,10,11,12,13,14,15,16,17,18,19,20,21,22,23,24,25,26,27,28,29,30}-1)*LEN(Registro!$I28)+1,LEN(Registro!$I28)))," ",REPT(" ",50)),50)))),"Revisar formato"))</f>
        <v/>
      </c>
      <c r="K28" s="24">
        <f>IF(AND(Registro!$G28="",Registro!$H28=""),"",IF(AND(ISTEXT(I28),I28&lt;&gt;""),"Revisar formato",N(Registro!$G28)-N(I28)))</f>
        <v>2215</v>
      </c>
      <c r="L28" s="24">
        <f t="shared" si="1"/>
        <v>2215</v>
      </c>
      <c r="M28" s="36" t="str">
        <f>IF(AND(A28=Consulta!$B$3,C28=Consulta!$H$3),B28*10000+ROW(),"")</f>
        <v/>
      </c>
    </row>
    <row r="29" spans="1:13" x14ac:dyDescent="0.25">
      <c r="A29" s="21" t="str">
        <f>IF(Registro!$A29="","",Registro!$A29)</f>
        <v>PIN</v>
      </c>
      <c r="B29" s="20">
        <f>IF(Registro!$B29="","",Registro!$B29)</f>
        <v>46299</v>
      </c>
      <c r="C29" s="35">
        <f t="shared" si="0"/>
        <v>202610</v>
      </c>
      <c r="D29" s="23">
        <f>IF(Registro!$E29="","",IF(ISERROR(FIND("x",LOWER(Registro!$E29))),"-",IFERROR(SUMPRODUCT(--("0"&amp;LEFT(TRIM(MID(SUBSTITUTE(SUBSTITUTE(SUBSTITUTE(SUBSTITUTE(SUBSTITUTE(LOWER(Registro!$E29),"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",LEN(Registro!$E29))),({1,2,3,4,5,6,7,8,9,10,11,12,13,14,15,16,17,18,19,20,21,22,23,24,25,26,27,28,29,30}-1)*LEN(Registro!$E29)+1,LEN(Registro!$E29))),FIND("x",TRIM(MID(SUBSTITUTE(SUBSTITUTE(SUBSTITUTE(SUBSTITUTE(SUBSTITUTE(LOWER(Registro!$E29),"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",LEN(Registro!$E29))),({1,2,3,4,5,6,7,8,9,10,11,12,13,14,15,16,17,18,19,20,21,22,23,24,25,26,27,28,29,30}-1)*LEN(Registro!$E29)+1,LEN(Registro!$E29)))&amp;"x")-1))),"Revisar formato")))</f>
        <v>45</v>
      </c>
      <c r="E29" s="24">
        <f>IF(Registro!$E29="","",IF(ISERROR(FIND("x",LOWER(Registro!$E29))),"-",IFERROR(SUMPRODUCT(--("0"&amp;LEFT(TRIM(MID(SUBSTITUTE(SUBSTITUTE(SUBSTITUTE(SUBSTITUTE(SUBSTITUTE(LOWER(Registro!$E29),"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",LEN(Registro!$E29))),({1,2,3,4,5,6,7,8,9,10,11,12,13,14,15,16,17,18,19,20,21,22,23,24,25,26,27,28,29,30}-1)*LEN(Registro!$E29)+1,LEN(Registro!$E29))),FIND("x",TRIM(MID(SUBSTITUTE(SUBSTITUTE(SUBSTITUTE(SUBSTITUTE(SUBSTITUTE(LOWER(Registro!$E29),"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",LEN(Registro!$E29))),({1,2,3,4,5,6,7,8,9,10,11,12,13,14,15,16,17,18,19,20,21,22,23,24,25,26,27,28,29,30}-1)*LEN(Registro!$E29)+1,LEN(Registro!$E29)))&amp;"x")-1)),--("0"&amp;MID(TRIM(MID(SUBSTITUTE(SUBSTITUTE(SUBSTITUTE(SUBSTITUTE(SUBSTITUTE(LOWER(Registro!$E29),"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",LEN(Registro!$E29))),({1,2,3,4,5,6,7,8,9,10,11,12,13,14,15,16,17,18,19,20,21,22,23,24,25,26,27,28,29,30}-1)*LEN(Registro!$E29)+1,LEN(Registro!$E29))),FIND("x",TRIM(MID(SUBSTITUTE(SUBSTITUTE(SUBSTITUTE(SUBSTITUTE(SUBSTITUTE(LOWER(Registro!$E29),"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",LEN(Registro!$E29))),({1,2,3,4,5,6,7,8,9,10,11,12,13,14,15,16,17,18,19,20,21,22,23,24,25,26,27,28,29,30}-1)*LEN(Registro!$E29)+1,LEN(Registro!$E29)))&amp;"x")+1,20))),"Revisar formato")))</f>
        <v>2230</v>
      </c>
      <c r="F29" s="23">
        <f>IF(Registro!$F29="","",IF(ISERROR(FIND("x",LOWER(Registro!$F29))),"-",IFERROR(SUMPRODUCT(--("0"&amp;LEFT(TRIM(MID(SUBSTITUTE(SUBSTITUTE(SUBSTITUTE(SUBSTITUTE(SUBSTITUTE(LOWER(Registro!$F29)," ",""),CHAR(10),"|"),";","|"),"+","|"),"|",REPT(" ",LEN(Registro!$F29))),({1,2,3,4,5,6,7,8,9,10,11,12,13,14,15,16,17,18,19,20,21,22,23,24,25,26,27,28,29,30}-1)*LEN(Registro!$F29)+1,LEN(Registro!$F29))),FIND("x",TRIM(MID(SUBSTITUTE(SUBSTITUTE(SUBSTITUTE(SUBSTITUTE(SUBSTITUTE(LOWER(Registro!$F29)," ",""),CHAR(10),"|"),";","|"),"+","|"),"|",REPT(" ",LEN(Registro!$F29))),({1,2,3,4,5,6,7,8,9,10,11,12,13,14,15,16,17,18,19,20,21,22,23,24,25,26,27,28,29,30}-1)*LEN(Registro!$F29)+1,LEN(Registro!$F29)))&amp;"x")-1))),"Revisar formato")))</f>
        <v>1</v>
      </c>
      <c r="G29" s="24">
        <f>IF(Registro!$F29="","",IF(ISERROR(FIND("x",LOWER(Registro!$F29))),N(Registro!$G29),IFERROR(SUMPRODUCT(--("0"&amp;LEFT(TRIM(MID(SUBSTITUTE(SUBSTITUTE(SUBSTITUTE(SUBSTITUTE(SUBSTITUTE(LOWER(Registro!$F29)," ",""),CHAR(10),"|"),";","|"),"+","|"),"|",REPT(" ",LEN(Registro!$F29))),({1,2,3,4,5,6,7,8,9,10,11,12,13,14,15,16,17,18,19,20,21,22,23,24,25,26,27,28,29,30}-1)*LEN(Registro!$F29)+1,LEN(Registro!$F29))),FIND("x",TRIM(MID(SUBSTITUTE(SUBSTITUTE(SUBSTITUTE(SUBSTITUTE(SUBSTITUTE(LOWER(Registro!$F29)," ",""),CHAR(10),"|"),";","|"),"+","|"),"|",REPT(" ",LEN(Registro!$F29))),({1,2,3,4,5,6,7,8,9,10,11,12,13,14,15,16,17,18,19,20,21,22,23,24,25,26,27,28,29,30}-1)*LEN(Registro!$F29)+1,LEN(Registro!$F29)))&amp;"x")-1)),--("0"&amp;MID(TRIM(MID(SUBSTITUTE(SUBSTITUTE(SUBSTITUTE(SUBSTITUTE(SUBSTITUTE(LOWER(Registro!$F29)," ",""),CHAR(10),"|"),";","|"),"+","|"),"|",REPT(" ",LEN(Registro!$F29))),({1,2,3,4,5,6,7,8,9,10,11,12,13,14,15,16,17,18,19,20,21,22,23,24,25,26,27,28,29,30}-1)*LEN(Registro!$F29)+1,LEN(Registro!$F29))),FIND("x",TRIM(MID(SUBSTITUTE(SUBSTITUTE(SUBSTITUTE(SUBSTITUTE(SUBSTITUTE(LOWER(Registro!$F29)," ",""),CHAR(10),"|"),";","|"),"+","|"),"|",REPT(" ",LEN(Registro!$F29))),({1,2,3,4,5,6,7,8,9,10,11,12,13,14,15,16,17,18,19,20,21,22,23,24,25,26,27,28,29,30}-1)*LEN(Registro!$F29)+1,LEN(Registro!$F29)))&amp;"x")+1,20))),"Revisar formato")))</f>
        <v>3860</v>
      </c>
      <c r="H29" s="21" t="str">
        <f>IF(AND(Registro!$E29="",Registro!$F29=""),"",IF(NOT(AND(ISNUMBER(G29),ISNUMBER(Registro!$G29))),"",IF(G29&lt;Registro!$G29,"FALTA BOLETOS",IF(G29=Registro!$G29,"CONFORME","DIFERENCIA"))))</f>
        <v>CONFORME</v>
      </c>
      <c r="I29" s="24">
        <f>IF(Registro!$H29="","",IFERROR(SUMPRODUCT(--("0"&amp;TRIM(RIGHT(SUBSTITUTE(TRIM(MID(SUBSTITUTE(SUBSTITUTE(Registro!$H29,";",CHAR(10)),CHAR(10),REPT(" ",LEN(Registro!$H29))),({1,2,3,4,5,6,7,8,9,10,11,12,13,14,15,16,17,18,19,20,21,22,23,24,25,26,27,28,29,30}-1)*LEN(Registro!$H29)+1,LEN(Registro!$H29)))," ",REPT(" ",50)),50)))),"Revisar formato"))</f>
        <v>100</v>
      </c>
      <c r="J29" s="24" t="str">
        <f>IF(Registro!$I29="","",IFERROR(SUMPRODUCT(--("0"&amp;TRIM(RIGHT(SUBSTITUTE(TRIM(MID(SUBSTITUTE(SUBSTITUTE(Registro!$I29,";",CHAR(10)),CHAR(10),REPT(" ",LEN(Registro!$I29))),({1,2,3,4,5,6,7,8,9,10,11,12,13,14,15,16,17,18,19,20,21,22,23,24,25,26,27,28,29,30}-1)*LEN(Registro!$I29)+1,LEN(Registro!$I29)))," ",REPT(" ",50)),50)))),"Revisar formato"))</f>
        <v/>
      </c>
      <c r="K29" s="24">
        <f>IF(AND(Registro!$G29="",Registro!$H29=""),"",IF(AND(ISTEXT(I29),I29&lt;&gt;""),"Revisar formato",N(Registro!$G29)-N(I29)))</f>
        <v>3760</v>
      </c>
      <c r="L29" s="24">
        <f t="shared" si="1"/>
        <v>3760</v>
      </c>
      <c r="M29" s="36" t="str">
        <f>IF(AND(A29=Consulta!$B$3,C29=Consulta!$H$3),B29*10000+ROW(),"")</f>
        <v/>
      </c>
    </row>
    <row r="30" spans="1:13" x14ac:dyDescent="0.25">
      <c r="A30" s="21" t="str">
        <f>IF(Registro!$A30="","",Registro!$A30)</f>
        <v>PIN</v>
      </c>
      <c r="B30" s="20">
        <f>IF(Registro!$B30="","",Registro!$B30)</f>
        <v>46300</v>
      </c>
      <c r="C30" s="35">
        <f t="shared" si="0"/>
        <v>202610</v>
      </c>
      <c r="D30" s="23">
        <f>IF(Registro!$E30="","",IF(ISERROR(FIND("x",LOWER(Registro!$E30))),"-",IFERROR(SUMPRODUCT(--("0"&amp;LEFT(TRIM(MID(SUBSTITUTE(SUBSTITUTE(SUBSTITUTE(SUBSTITUTE(SUBSTITUTE(LOWER(Registro!$E30),"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",LEN(Registro!$E30))),({1,2,3,4,5,6,7,8,9,10,11,12,13,14,15,16,17,18,19,20,21,22,23,24,25,26,27,28,29,30}-1)*LEN(Registro!$E30)+1,LEN(Registro!$E30))),FIND("x",TRIM(MID(SUBSTITUTE(SUBSTITUTE(SUBSTITUTE(SUBSTITUTE(SUBSTITUTE(LOWER(Registro!$E30),"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",LEN(Registro!$E30))),({1,2,3,4,5,6,7,8,9,10,11,12,13,14,15,16,17,18,19,20,21,22,23,24,25,26,27,28,29,30}-1)*LEN(Registro!$E30)+1,LEN(Registro!$E30)))&amp;"x")-1))),"Revisar formato")))</f>
        <v>49</v>
      </c>
      <c r="E30" s="24">
        <f>IF(Registro!$E30="","",IF(ISERROR(FIND("x",LOWER(Registro!$E30))),"-",IFERROR(SUMPRODUCT(--("0"&amp;LEFT(TRIM(MID(SUBSTITUTE(SUBSTITUTE(SUBSTITUTE(SUBSTITUTE(SUBSTITUTE(LOWER(Registro!$E30),"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",LEN(Registro!$E30))),({1,2,3,4,5,6,7,8,9,10,11,12,13,14,15,16,17,18,19,20,21,22,23,24,25,26,27,28,29,30}-1)*LEN(Registro!$E30)+1,LEN(Registro!$E30))),FIND("x",TRIM(MID(SUBSTITUTE(SUBSTITUTE(SUBSTITUTE(SUBSTITUTE(SUBSTITUTE(LOWER(Registro!$E30),"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",LEN(Registro!$E30))),({1,2,3,4,5,6,7,8,9,10,11,12,13,14,15,16,17,18,19,20,21,22,23,24,25,26,27,28,29,30}-1)*LEN(Registro!$E30)+1,LEN(Registro!$E30)))&amp;"x")-1)),--("0"&amp;MID(TRIM(MID(SUBSTITUTE(SUBSTITUTE(SUBSTITUTE(SUBSTITUTE(SUBSTITUTE(LOWER(Registro!$E30),"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",LEN(Registro!$E30))),({1,2,3,4,5,6,7,8,9,10,11,12,13,14,15,16,17,18,19,20,21,22,23,24,25,26,27,28,29,30}-1)*LEN(Registro!$E30)+1,LEN(Registro!$E30))),FIND("x",TRIM(MID(SUBSTITUTE(SUBSTITUTE(SUBSTITUTE(SUBSTITUTE(SUBSTITUTE(LOWER(Registro!$E30),"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",LEN(Registro!$E30))),({1,2,3,4,5,6,7,8,9,10,11,12,13,14,15,16,17,18,19,20,21,22,23,24,25,26,27,28,29,30}-1)*LEN(Registro!$E30)+1,LEN(Registro!$E30)))&amp;"x")+1,20))),"Revisar formato")))</f>
        <v>2190</v>
      </c>
      <c r="F30" s="23">
        <f>IF(Registro!$F30="","",IF(ISERROR(FIND("x",LOWER(Registro!$F30))),"-",IFERROR(SUMPRODUCT(--("0"&amp;LEFT(TRIM(MID(SUBSTITUTE(SUBSTITUTE(SUBSTITUTE(SUBSTITUTE(SUBSTITUTE(LOWER(Registro!$F30)," ",""),CHAR(10),"|"),";","|"),"+","|"),"|",REPT(" ",LEN(Registro!$F30))),({1,2,3,4,5,6,7,8,9,10,11,12,13,14,15,16,17,18,19,20,21,22,23,24,25,26,27,28,29,30}-1)*LEN(Registro!$F30)+1,LEN(Registro!$F30))),FIND("x",TRIM(MID(SUBSTITUTE(SUBSTITUTE(SUBSTITUTE(SUBSTITUTE(SUBSTITUTE(LOWER(Registro!$F30)," ",""),CHAR(10),"|"),";","|"),"+","|"),"|",REPT(" ",LEN(Registro!$F30))),({1,2,3,4,5,6,7,8,9,10,11,12,13,14,15,16,17,18,19,20,21,22,23,24,25,26,27,28,29,30}-1)*LEN(Registro!$F30)+1,LEN(Registro!$F30)))&amp;"x")-1))),"Revisar formato")))</f>
        <v>1</v>
      </c>
      <c r="G30" s="24">
        <f>IF(Registro!$F30="","",IF(ISERROR(FIND("x",LOWER(Registro!$F30))),N(Registro!$G30),IFERROR(SUMPRODUCT(--("0"&amp;LEFT(TRIM(MID(SUBSTITUTE(SUBSTITUTE(SUBSTITUTE(SUBSTITUTE(SUBSTITUTE(LOWER(Registro!$F30)," ",""),CHAR(10),"|"),";","|"),"+","|"),"|",REPT(" ",LEN(Registro!$F30))),({1,2,3,4,5,6,7,8,9,10,11,12,13,14,15,16,17,18,19,20,21,22,23,24,25,26,27,28,29,30}-1)*LEN(Registro!$F30)+1,LEN(Registro!$F30))),FIND("x",TRIM(MID(SUBSTITUTE(SUBSTITUTE(SUBSTITUTE(SUBSTITUTE(SUBSTITUTE(LOWER(Registro!$F30)," ",""),CHAR(10),"|"),";","|"),"+","|"),"|",REPT(" ",LEN(Registro!$F30))),({1,2,3,4,5,6,7,8,9,10,11,12,13,14,15,16,17,18,19,20,21,22,23,24,25,26,27,28,29,30}-1)*LEN(Registro!$F30)+1,LEN(Registro!$F30)))&amp;"x")-1)),--("0"&amp;MID(TRIM(MID(SUBSTITUTE(SUBSTITUTE(SUBSTITUTE(SUBSTITUTE(SUBSTITUTE(LOWER(Registro!$F30)," ",""),CHAR(10),"|"),";","|"),"+","|"),"|",REPT(" ",LEN(Registro!$F30))),({1,2,3,4,5,6,7,8,9,10,11,12,13,14,15,16,17,18,19,20,21,22,23,24,25,26,27,28,29,30}-1)*LEN(Registro!$F30)+1,LEN(Registro!$F30))),FIND("x",TRIM(MID(SUBSTITUTE(SUBSTITUTE(SUBSTITUTE(SUBSTITUTE(SUBSTITUTE(LOWER(Registro!$F30)," ",""),CHAR(10),"|"),";","|"),"+","|"),"|",REPT(" ",LEN(Registro!$F30))),({1,2,3,4,5,6,7,8,9,10,11,12,13,14,15,16,17,18,19,20,21,22,23,24,25,26,27,28,29,30}-1)*LEN(Registro!$F30)+1,LEN(Registro!$F30)))&amp;"x")+1,20))),"Revisar formato")))</f>
        <v>2685</v>
      </c>
      <c r="H30" s="21" t="str">
        <f>IF(AND(Registro!$E30="",Registro!$F30=""),"",IF(NOT(AND(ISNUMBER(G30),ISNUMBER(Registro!$G30))),"",IF(G30&lt;Registro!$G30,"FALTA BOLETOS",IF(G30=Registro!$G30,"CONFORME","DIFERENCIA"))))</f>
        <v>CONFORME</v>
      </c>
      <c r="I30" s="24">
        <f>IF(Registro!$H30="","",IFERROR(SUMPRODUCT(--("0"&amp;TRIM(RIGHT(SUBSTITUTE(TRIM(MID(SUBSTITUTE(SUBSTITUTE(Registro!$H30,";",CHAR(10)),CHAR(10),REPT(" ",LEN(Registro!$H30))),({1,2,3,4,5,6,7,8,9,10,11,12,13,14,15,16,17,18,19,20,21,22,23,24,25,26,27,28,29,30}-1)*LEN(Registro!$H30)+1,LEN(Registro!$H30)))," ",REPT(" ",50)),50)))),"Revisar formato"))</f>
        <v>265</v>
      </c>
      <c r="J30" s="24" t="str">
        <f>IF(Registro!$I30="","",IFERROR(SUMPRODUCT(--("0"&amp;TRIM(RIGHT(SUBSTITUTE(TRIM(MID(SUBSTITUTE(SUBSTITUTE(Registro!$I30,";",CHAR(10)),CHAR(10),REPT(" ",LEN(Registro!$I30))),({1,2,3,4,5,6,7,8,9,10,11,12,13,14,15,16,17,18,19,20,21,22,23,24,25,26,27,28,29,30}-1)*LEN(Registro!$I30)+1,LEN(Registro!$I30)))," ",REPT(" ",50)),50)))),"Revisar formato"))</f>
        <v/>
      </c>
      <c r="K30" s="24">
        <f>IF(AND(Registro!$G30="",Registro!$H30=""),"",IF(AND(ISTEXT(I30),I30&lt;&gt;""),"Revisar formato",N(Registro!$G30)-N(I30)))</f>
        <v>2420</v>
      </c>
      <c r="L30" s="24">
        <f t="shared" si="1"/>
        <v>2420</v>
      </c>
      <c r="M30" s="36" t="str">
        <f>IF(AND(A30=Consulta!$B$3,C30=Consulta!$H$3),B30*10000+ROW(),"")</f>
        <v/>
      </c>
    </row>
    <row r="31" spans="1:13" x14ac:dyDescent="0.25">
      <c r="A31" s="21" t="str">
        <f>IF(Registro!$A31="","",Registro!$A31)</f>
        <v>PIN</v>
      </c>
      <c r="B31" s="20">
        <f>IF(Registro!$B31="","",Registro!$B31)</f>
        <v>46302</v>
      </c>
      <c r="C31" s="35">
        <f t="shared" si="0"/>
        <v>202610</v>
      </c>
      <c r="D31" s="23">
        <f>IF(Registro!$E31="","",IF(ISERROR(FIND("x",LOWER(Registro!$E31))),"-",IFERROR(SUMPRODUCT(--("0"&amp;LEFT(TRIM(MID(SUBSTITUTE(SUBSTITUTE(SUBSTITUTE(SUBSTITUTE(SUBSTITUTE(LOWER(Registro!$E31),"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",LEN(Registro!$E31))),({1,2,3,4,5,6,7,8,9,10,11,12,13,14,15,16,17,18,19,20,21,22,23,24,25,26,27,28,29,30}-1)*LEN(Registro!$E31)+1,LEN(Registro!$E31))),FIND("x",TRIM(MID(SUBSTITUTE(SUBSTITUTE(SUBSTITUTE(SUBSTITUTE(SUBSTITUTE(LOWER(Registro!$E31),"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",LEN(Registro!$E31))),({1,2,3,4,5,6,7,8,9,10,11,12,13,14,15,16,17,18,19,20,21,22,23,24,25,26,27,28,29,30}-1)*LEN(Registro!$E31)+1,LEN(Registro!$E31)))&amp;"x")-1))),"Revisar formato")))</f>
        <v>50</v>
      </c>
      <c r="E31" s="24">
        <f>IF(Registro!$E31="","",IF(ISERROR(FIND("x",LOWER(Registro!$E31))),"-",IFERROR(SUMPRODUCT(--("0"&amp;LEFT(TRIM(MID(SUBSTITUTE(SUBSTITUTE(SUBSTITUTE(SUBSTITUTE(SUBSTITUTE(LOWER(Registro!$E31),"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",LEN(Registro!$E31))),({1,2,3,4,5,6,7,8,9,10,11,12,13,14,15,16,17,18,19,20,21,22,23,24,25,26,27,28,29,30}-1)*LEN(Registro!$E31)+1,LEN(Registro!$E31))),FIND("x",TRIM(MID(SUBSTITUTE(SUBSTITUTE(SUBSTITUTE(SUBSTITUTE(SUBSTITUTE(LOWER(Registro!$E31),"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",LEN(Registro!$E31))),({1,2,3,4,5,6,7,8,9,10,11,12,13,14,15,16,17,18,19,20,21,22,23,24,25,26,27,28,29,30}-1)*LEN(Registro!$E31)+1,LEN(Registro!$E31)))&amp;"x")-1)),--("0"&amp;MID(TRIM(MID(SUBSTITUTE(SUBSTITUTE(SUBSTITUTE(SUBSTITUTE(SUBSTITUTE(LOWER(Registro!$E31),"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",LEN(Registro!$E31))),({1,2,3,4,5,6,7,8,9,10,11,12,13,14,15,16,17,18,19,20,21,22,23,24,25,26,27,28,29,30}-1)*LEN(Registro!$E31)+1,LEN(Registro!$E31))),FIND("x",TRIM(MID(SUBSTITUTE(SUBSTITUTE(SUBSTITUTE(SUBSTITUTE(SUBSTITUTE(LOWER(Registro!$E31),"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",LEN(Registro!$E31))),({1,2,3,4,5,6,7,8,9,10,11,12,13,14,15,16,17,18,19,20,21,22,23,24,25,26,27,28,29,30}-1)*LEN(Registro!$E31)+1,LEN(Registro!$E31)))&amp;"x")+1,20))),"Revisar formato")))</f>
        <v>2610</v>
      </c>
      <c r="F31" s="23">
        <f>IF(Registro!$F31="","",IF(ISERROR(FIND("x",LOWER(Registro!$F31))),"-",IFERROR(SUMPRODUCT(--("0"&amp;LEFT(TRIM(MID(SUBSTITUTE(SUBSTITUTE(SUBSTITUTE(SUBSTITUTE(SUBSTITUTE(LOWER(Registro!$F31)," ",""),CHAR(10),"|"),";","|"),"+","|"),"|",REPT(" ",LEN(Registro!$F31))),({1,2,3,4,5,6,7,8,9,10,11,12,13,14,15,16,17,18,19,20,21,22,23,24,25,26,27,28,29,30}-1)*LEN(Registro!$F31)+1,LEN(Registro!$F31))),FIND("x",TRIM(MID(SUBSTITUTE(SUBSTITUTE(SUBSTITUTE(SUBSTITUTE(SUBSTITUTE(LOWER(Registro!$F31)," ",""),CHAR(10),"|"),";","|"),"+","|"),"|",REPT(" ",LEN(Registro!$F31))),({1,2,3,4,5,6,7,8,9,10,11,12,13,14,15,16,17,18,19,20,21,22,23,24,25,26,27,28,29,30}-1)*LEN(Registro!$F31)+1,LEN(Registro!$F31)))&amp;"x")-1))),"Revisar formato")))</f>
        <v>1</v>
      </c>
      <c r="G31" s="24">
        <f>IF(Registro!$F31="","",IF(ISERROR(FIND("x",LOWER(Registro!$F31))),N(Registro!$G31),IFERROR(SUMPRODUCT(--("0"&amp;LEFT(TRIM(MID(SUBSTITUTE(SUBSTITUTE(SUBSTITUTE(SUBSTITUTE(SUBSTITUTE(LOWER(Registro!$F31)," ",""),CHAR(10),"|"),";","|"),"+","|"),"|",REPT(" ",LEN(Registro!$F31))),({1,2,3,4,5,6,7,8,9,10,11,12,13,14,15,16,17,18,19,20,21,22,23,24,25,26,27,28,29,30}-1)*LEN(Registro!$F31)+1,LEN(Registro!$F31))),FIND("x",TRIM(MID(SUBSTITUTE(SUBSTITUTE(SUBSTITUTE(SUBSTITUTE(SUBSTITUTE(LOWER(Registro!$F31)," ",""),CHAR(10),"|"),";","|"),"+","|"),"|",REPT(" ",LEN(Registro!$F31))),({1,2,3,4,5,6,7,8,9,10,11,12,13,14,15,16,17,18,19,20,21,22,23,24,25,26,27,28,29,30}-1)*LEN(Registro!$F31)+1,LEN(Registro!$F31)))&amp;"x")-1)),--("0"&amp;MID(TRIM(MID(SUBSTITUTE(SUBSTITUTE(SUBSTITUTE(SUBSTITUTE(SUBSTITUTE(LOWER(Registro!$F31)," ",""),CHAR(10),"|"),";","|"),"+","|"),"|",REPT(" ",LEN(Registro!$F31))),({1,2,3,4,5,6,7,8,9,10,11,12,13,14,15,16,17,18,19,20,21,22,23,24,25,26,27,28,29,30}-1)*LEN(Registro!$F31)+1,LEN(Registro!$F31))),FIND("x",TRIM(MID(SUBSTITUTE(SUBSTITUTE(SUBSTITUTE(SUBSTITUTE(SUBSTITUTE(LOWER(Registro!$F31)," ",""),CHAR(10),"|"),";","|"),"+","|"),"|",REPT(" ",LEN(Registro!$F31))),({1,2,3,4,5,6,7,8,9,10,11,12,13,14,15,16,17,18,19,20,21,22,23,24,25,26,27,28,29,30}-1)*LEN(Registro!$F31)+1,LEN(Registro!$F31)))&amp;"x")+1,20))),"Revisar formato")))</f>
        <v>2235</v>
      </c>
      <c r="H31" s="21" t="str">
        <f>IF(AND(Registro!$E31="",Registro!$F31=""),"",IF(NOT(AND(ISNUMBER(G31),ISNUMBER(Registro!$G31))),"",IF(G31&lt;Registro!$G31,"FALTA BOLETOS",IF(G31=Registro!$G31,"CONFORME","DIFERENCIA"))))</f>
        <v>CONFORME</v>
      </c>
      <c r="I31" s="24">
        <f>IF(Registro!$H31="","",IFERROR(SUMPRODUCT(--("0"&amp;TRIM(RIGHT(SUBSTITUTE(TRIM(MID(SUBSTITUTE(SUBSTITUTE(Registro!$H31,";",CHAR(10)),CHAR(10),REPT(" ",LEN(Registro!$H31))),({1,2,3,4,5,6,7,8,9,10,11,12,13,14,15,16,17,18,19,20,21,22,23,24,25,26,27,28,29,30}-1)*LEN(Registro!$H31)+1,LEN(Registro!$H31)))," ",REPT(" ",50)),50)))),"Revisar formato"))</f>
        <v>172</v>
      </c>
      <c r="J31" s="24" t="str">
        <f>IF(Registro!$I31="","",IFERROR(SUMPRODUCT(--("0"&amp;TRIM(RIGHT(SUBSTITUTE(TRIM(MID(SUBSTITUTE(SUBSTITUTE(Registro!$I31,";",CHAR(10)),CHAR(10),REPT(" ",LEN(Registro!$I31))),({1,2,3,4,5,6,7,8,9,10,11,12,13,14,15,16,17,18,19,20,21,22,23,24,25,26,27,28,29,30}-1)*LEN(Registro!$I31)+1,LEN(Registro!$I31)))," ",REPT(" ",50)),50)))),"Revisar formato"))</f>
        <v/>
      </c>
      <c r="K31" s="24">
        <f>IF(AND(Registro!$G31="",Registro!$H31=""),"",IF(AND(ISTEXT(I31),I31&lt;&gt;""),"Revisar formato",N(Registro!$G31)-N(I31)))</f>
        <v>2063</v>
      </c>
      <c r="L31" s="24">
        <f t="shared" si="1"/>
        <v>2063</v>
      </c>
      <c r="M31" s="36" t="str">
        <f>IF(AND(A31=Consulta!$B$3,C31=Consulta!$H$3),B31*10000+ROW(),"")</f>
        <v/>
      </c>
    </row>
    <row r="32" spans="1:13" x14ac:dyDescent="0.25">
      <c r="A32" s="21" t="str">
        <f>IF(Registro!$A32="","",Registro!$A32)</f>
        <v>PIN</v>
      </c>
      <c r="B32" s="20">
        <f>IF(Registro!$B32="","",Registro!$B32)</f>
        <v>46303</v>
      </c>
      <c r="C32" s="35">
        <f t="shared" si="0"/>
        <v>202610</v>
      </c>
      <c r="D32" s="23">
        <f>IF(Registro!$E32="","",IF(ISERROR(FIND("x",LOWER(Registro!$E32))),"-",IFERROR(SUMPRODUCT(--("0"&amp;LEFT(TRIM(MID(SUBSTITUTE(SUBSTITUTE(SUBSTITUTE(SUBSTITUTE(SUBSTITUTE(LOWER(Registro!$E32),"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",LEN(Registro!$E32))),({1,2,3,4,5,6,7,8,9,10,11,12,13,14,15,16,17,18,19,20,21,22,23,24,25,26,27,28,29,30}-1)*LEN(Registro!$E32)+1,LEN(Registro!$E32))),FIND("x",TRIM(MID(SUBSTITUTE(SUBSTITUTE(SUBSTITUTE(SUBSTITUTE(SUBSTITUTE(LOWER(Registro!$E32),"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",LEN(Registro!$E32))),({1,2,3,4,5,6,7,8,9,10,11,12,13,14,15,16,17,18,19,20,21,22,23,24,25,26,27,28,29,30}-1)*LEN(Registro!$E32)+1,LEN(Registro!$E32)))&amp;"x")-1))),"Revisar formato")))</f>
        <v>32</v>
      </c>
      <c r="E32" s="24">
        <f>IF(Registro!$E32="","",IF(ISERROR(FIND("x",LOWER(Registro!$E32))),"-",IFERROR(SUMPRODUCT(--("0"&amp;LEFT(TRIM(MID(SUBSTITUTE(SUBSTITUTE(SUBSTITUTE(SUBSTITUTE(SUBSTITUTE(LOWER(Registro!$E32),"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",LEN(Registro!$E32))),({1,2,3,4,5,6,7,8,9,10,11,12,13,14,15,16,17,18,19,20,21,22,23,24,25,26,27,28,29,30}-1)*LEN(Registro!$E32)+1,LEN(Registro!$E32))),FIND("x",TRIM(MID(SUBSTITUTE(SUBSTITUTE(SUBSTITUTE(SUBSTITUTE(SUBSTITUTE(LOWER(Registro!$E32),"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",LEN(Registro!$E32))),({1,2,3,4,5,6,7,8,9,10,11,12,13,14,15,16,17,18,19,20,21,22,23,24,25,26,27,28,29,30}-1)*LEN(Registro!$E32)+1,LEN(Registro!$E32)))&amp;"x")-1)),--("0"&amp;MID(TRIM(MID(SUBSTITUTE(SUBSTITUTE(SUBSTITUTE(SUBSTITUTE(SUBSTITUTE(LOWER(Registro!$E32),"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",LEN(Registro!$E32))),({1,2,3,4,5,6,7,8,9,10,11,12,13,14,15,16,17,18,19,20,21,22,23,24,25,26,27,28,29,30}-1)*LEN(Registro!$E32)+1,LEN(Registro!$E32))),FIND("x",TRIM(MID(SUBSTITUTE(SUBSTITUTE(SUBSTITUTE(SUBSTITUTE(SUBSTITUTE(LOWER(Registro!$E32),"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",LEN(Registro!$E32))),({1,2,3,4,5,6,7,8,9,10,11,12,13,14,15,16,17,18,19,20,21,22,23,24,25,26,27,28,29,30}-1)*LEN(Registro!$E32)+1,LEN(Registro!$E32)))&amp;"x")+1,20))),"Revisar formato")))</f>
        <v>1780</v>
      </c>
      <c r="F32" s="23">
        <f>IF(Registro!$F32="","",IF(ISERROR(FIND("x",LOWER(Registro!$F32))),"-",IFERROR(SUMPRODUCT(--("0"&amp;LEFT(TRIM(MID(SUBSTITUTE(SUBSTITUTE(SUBSTITUTE(SUBSTITUTE(SUBSTITUTE(LOWER(Registro!$F32)," ",""),CHAR(10),"|"),";","|"),"+","|"),"|",REPT(" ",LEN(Registro!$F32))),({1,2,3,4,5,6,7,8,9,10,11,12,13,14,15,16,17,18,19,20,21,22,23,24,25,26,27,28,29,30}-1)*LEN(Registro!$F32)+1,LEN(Registro!$F32))),FIND("x",TRIM(MID(SUBSTITUTE(SUBSTITUTE(SUBSTITUTE(SUBSTITUTE(SUBSTITUTE(LOWER(Registro!$F32)," ",""),CHAR(10),"|"),";","|"),"+","|"),"|",REPT(" ",LEN(Registro!$F32))),({1,2,3,4,5,6,7,8,9,10,11,12,13,14,15,16,17,18,19,20,21,22,23,24,25,26,27,28,29,30}-1)*LEN(Registro!$F32)+1,LEN(Registro!$F32)))&amp;"x")-1))),"Revisar formato")))</f>
        <v>1</v>
      </c>
      <c r="G32" s="24">
        <f>IF(Registro!$F32="","",IF(ISERROR(FIND("x",LOWER(Registro!$F32))),N(Registro!$G32),IFERROR(SUMPRODUCT(--("0"&amp;LEFT(TRIM(MID(SUBSTITUTE(SUBSTITUTE(SUBSTITUTE(SUBSTITUTE(SUBSTITUTE(LOWER(Registro!$F32)," ",""),CHAR(10),"|"),";","|"),"+","|"),"|",REPT(" ",LEN(Registro!$F32))),({1,2,3,4,5,6,7,8,9,10,11,12,13,14,15,16,17,18,19,20,21,22,23,24,25,26,27,28,29,30}-1)*LEN(Registro!$F32)+1,LEN(Registro!$F32))),FIND("x",TRIM(MID(SUBSTITUTE(SUBSTITUTE(SUBSTITUTE(SUBSTITUTE(SUBSTITUTE(LOWER(Registro!$F32)," ",""),CHAR(10),"|"),";","|"),"+","|"),"|",REPT(" ",LEN(Registro!$F32))),({1,2,3,4,5,6,7,8,9,10,11,12,13,14,15,16,17,18,19,20,21,22,23,24,25,26,27,28,29,30}-1)*LEN(Registro!$F32)+1,LEN(Registro!$F32)))&amp;"x")-1)),--("0"&amp;MID(TRIM(MID(SUBSTITUTE(SUBSTITUTE(SUBSTITUTE(SUBSTITUTE(SUBSTITUTE(LOWER(Registro!$F32)," ",""),CHAR(10),"|"),";","|"),"+","|"),"|",REPT(" ",LEN(Registro!$F32))),({1,2,3,4,5,6,7,8,9,10,11,12,13,14,15,16,17,18,19,20,21,22,23,24,25,26,27,28,29,30}-1)*LEN(Registro!$F32)+1,LEN(Registro!$F32))),FIND("x",TRIM(MID(SUBSTITUTE(SUBSTITUTE(SUBSTITUTE(SUBSTITUTE(SUBSTITUTE(LOWER(Registro!$F32)," ",""),CHAR(10),"|"),";","|"),"+","|"),"|",REPT(" ",LEN(Registro!$F32))),({1,2,3,4,5,6,7,8,9,10,11,12,13,14,15,16,17,18,19,20,21,22,23,24,25,26,27,28,29,30}-1)*LEN(Registro!$F32)+1,LEN(Registro!$F32)))&amp;"x")+1,20))),"Revisar formato")))</f>
        <v>3300</v>
      </c>
      <c r="H32" s="21" t="str">
        <f>IF(AND(Registro!$E32="",Registro!$F32=""),"",IF(NOT(AND(ISNUMBER(G32),ISNUMBER(Registro!$G32))),"",IF(G32&lt;Registro!$G32,"FALTA BOLETOS",IF(G32=Registro!$G32,"CONFORME","DIFERENCIA"))))</f>
        <v>CONFORME</v>
      </c>
      <c r="I32" s="24">
        <f>IF(Registro!$H32="","",IFERROR(SUMPRODUCT(--("0"&amp;TRIM(RIGHT(SUBSTITUTE(TRIM(MID(SUBSTITUTE(SUBSTITUTE(Registro!$H32,";",CHAR(10)),CHAR(10),REPT(" ",LEN(Registro!$H32))),({1,2,3,4,5,6,7,8,9,10,11,12,13,14,15,16,17,18,19,20,21,22,23,24,25,26,27,28,29,30}-1)*LEN(Registro!$H32)+1,LEN(Registro!$H32)))," ",REPT(" ",50)),50)))),"Revisar formato"))</f>
        <v>180</v>
      </c>
      <c r="J32" s="24" t="str">
        <f>IF(Registro!$I32="","",IFERROR(SUMPRODUCT(--("0"&amp;TRIM(RIGHT(SUBSTITUTE(TRIM(MID(SUBSTITUTE(SUBSTITUTE(Registro!$I32,";",CHAR(10)),CHAR(10),REPT(" ",LEN(Registro!$I32))),({1,2,3,4,5,6,7,8,9,10,11,12,13,14,15,16,17,18,19,20,21,22,23,24,25,26,27,28,29,30}-1)*LEN(Registro!$I32)+1,LEN(Registro!$I32)))," ",REPT(" ",50)),50)))),"Revisar formato"))</f>
        <v/>
      </c>
      <c r="K32" s="24">
        <f>IF(AND(Registro!$G32="",Registro!$H32=""),"",IF(AND(ISTEXT(I32),I32&lt;&gt;""),"Revisar formato",N(Registro!$G32)-N(I32)))</f>
        <v>3120</v>
      </c>
      <c r="L32" s="24">
        <f t="shared" si="1"/>
        <v>3120</v>
      </c>
      <c r="M32" s="36" t="str">
        <f>IF(AND(A32=Consulta!$B$3,C32=Consulta!$H$3),B32*10000+ROW(),"")</f>
        <v/>
      </c>
    </row>
    <row r="33" spans="1:13" x14ac:dyDescent="0.25">
      <c r="A33" s="21" t="str">
        <f>IF(Registro!$A33="","",Registro!$A33)</f>
        <v>PIN</v>
      </c>
      <c r="B33" s="20">
        <f>IF(Registro!$B33="","",Registro!$B33)</f>
        <v>46304</v>
      </c>
      <c r="C33" s="35">
        <f t="shared" si="0"/>
        <v>202610</v>
      </c>
      <c r="D33" s="23">
        <f>IF(Registro!$E33="","",IF(ISERROR(FIND("x",LOWER(Registro!$E33))),"-",IFERROR(SUMPRODUCT(--("0"&amp;LEFT(TRIM(MID(SUBSTITUTE(SUBSTITUTE(SUBSTITUTE(SUBSTITUTE(SUBSTITUTE(LOWER(Registro!$E33),"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",LEN(Registro!$E33))),({1,2,3,4,5,6,7,8,9,10,11,12,13,14,15,16,17,18,19,20,21,22,23,24,25,26,27,28,29,30}-1)*LEN(Registro!$E33)+1,LEN(Registro!$E33))),FIND("x",TRIM(MID(SUBSTITUTE(SUBSTITUTE(SUBSTITUTE(SUBSTITUTE(SUBSTITUTE(LOWER(Registro!$E33),"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",LEN(Registro!$E33))),({1,2,3,4,5,6,7,8,9,10,11,12,13,14,15,16,17,18,19,20,21,22,23,24,25,26,27,28,29,30}-1)*LEN(Registro!$E33)+1,LEN(Registro!$E33)))&amp;"x")-1))),"Revisar formato")))</f>
        <v>58</v>
      </c>
      <c r="E33" s="24">
        <f>IF(Registro!$E33="","",IF(ISERROR(FIND("x",LOWER(Registro!$E33))),"-",IFERROR(SUMPRODUCT(--("0"&amp;LEFT(TRIM(MID(SUBSTITUTE(SUBSTITUTE(SUBSTITUTE(SUBSTITUTE(SUBSTITUTE(LOWER(Registro!$E33),"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",LEN(Registro!$E33))),({1,2,3,4,5,6,7,8,9,10,11,12,13,14,15,16,17,18,19,20,21,22,23,24,25,26,27,28,29,30}-1)*LEN(Registro!$E33)+1,LEN(Registro!$E33))),FIND("x",TRIM(MID(SUBSTITUTE(SUBSTITUTE(SUBSTITUTE(SUBSTITUTE(SUBSTITUTE(LOWER(Registro!$E33),"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",LEN(Registro!$E33))),({1,2,3,4,5,6,7,8,9,10,11,12,13,14,15,16,17,18,19,20,21,22,23,24,25,26,27,28,29,30}-1)*LEN(Registro!$E33)+1,LEN(Registro!$E33)))&amp;"x")-1)),--("0"&amp;MID(TRIM(MID(SUBSTITUTE(SUBSTITUTE(SUBSTITUTE(SUBSTITUTE(SUBSTITUTE(LOWER(Registro!$E33),"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",LEN(Registro!$E33))),({1,2,3,4,5,6,7,8,9,10,11,12,13,14,15,16,17,18,19,20,21,22,23,24,25,26,27,28,29,30}-1)*LEN(Registro!$E33)+1,LEN(Registro!$E33))),FIND("x",TRIM(MID(SUBSTITUTE(SUBSTITUTE(SUBSTITUTE(SUBSTITUTE(SUBSTITUTE(LOWER(Registro!$E33),"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",LEN(Registro!$E33))),({1,2,3,4,5,6,7,8,9,10,11,12,13,14,15,16,17,18,19,20,21,22,23,24,25,26,27,28,29,30}-1)*LEN(Registro!$E33)+1,LEN(Registro!$E33)))&amp;"x")+1,20))),"Revisar formato")))</f>
        <v>2750</v>
      </c>
      <c r="F33" s="23">
        <f>IF(Registro!$F33="","",IF(ISERROR(FIND("x",LOWER(Registro!$F33))),"-",IFERROR(SUMPRODUCT(--("0"&amp;LEFT(TRIM(MID(SUBSTITUTE(SUBSTITUTE(SUBSTITUTE(SUBSTITUTE(SUBSTITUTE(LOWER(Registro!$F33)," ",""),CHAR(10),"|"),";","|"),"+","|"),"|",REPT(" ",LEN(Registro!$F33))),({1,2,3,4,5,6,7,8,9,10,11,12,13,14,15,16,17,18,19,20,21,22,23,24,25,26,27,28,29,30}-1)*LEN(Registro!$F33)+1,LEN(Registro!$F33))),FIND("x",TRIM(MID(SUBSTITUTE(SUBSTITUTE(SUBSTITUTE(SUBSTITUTE(SUBSTITUTE(LOWER(Registro!$F33)," ",""),CHAR(10),"|"),";","|"),"+","|"),"|",REPT(" ",LEN(Registro!$F33))),({1,2,3,4,5,6,7,8,9,10,11,12,13,14,15,16,17,18,19,20,21,22,23,24,25,26,27,28,29,30}-1)*LEN(Registro!$F33)+1,LEN(Registro!$F33)))&amp;"x")-1))),"Revisar formato")))</f>
        <v>1</v>
      </c>
      <c r="G33" s="24">
        <f>IF(Registro!$F33="","",IF(ISERROR(FIND("x",LOWER(Registro!$F33))),N(Registro!$G33),IFERROR(SUMPRODUCT(--("0"&amp;LEFT(TRIM(MID(SUBSTITUTE(SUBSTITUTE(SUBSTITUTE(SUBSTITUTE(SUBSTITUTE(LOWER(Registro!$F33)," ",""),CHAR(10),"|"),";","|"),"+","|"),"|",REPT(" ",LEN(Registro!$F33))),({1,2,3,4,5,6,7,8,9,10,11,12,13,14,15,16,17,18,19,20,21,22,23,24,25,26,27,28,29,30}-1)*LEN(Registro!$F33)+1,LEN(Registro!$F33))),FIND("x",TRIM(MID(SUBSTITUTE(SUBSTITUTE(SUBSTITUTE(SUBSTITUTE(SUBSTITUTE(LOWER(Registro!$F33)," ",""),CHAR(10),"|"),";","|"),"+","|"),"|",REPT(" ",LEN(Registro!$F33))),({1,2,3,4,5,6,7,8,9,10,11,12,13,14,15,16,17,18,19,20,21,22,23,24,25,26,27,28,29,30}-1)*LEN(Registro!$F33)+1,LEN(Registro!$F33)))&amp;"x")-1)),--("0"&amp;MID(TRIM(MID(SUBSTITUTE(SUBSTITUTE(SUBSTITUTE(SUBSTITUTE(SUBSTITUTE(LOWER(Registro!$F33)," ",""),CHAR(10),"|"),";","|"),"+","|"),"|",REPT(" ",LEN(Registro!$F33))),({1,2,3,4,5,6,7,8,9,10,11,12,13,14,15,16,17,18,19,20,21,22,23,24,25,26,27,28,29,30}-1)*LEN(Registro!$F33)+1,LEN(Registro!$F33))),FIND("x",TRIM(MID(SUBSTITUTE(SUBSTITUTE(SUBSTITUTE(SUBSTITUTE(SUBSTITUTE(LOWER(Registro!$F33)," ",""),CHAR(10),"|"),";","|"),"+","|"),"|",REPT(" ",LEN(Registro!$F33))),({1,2,3,4,5,6,7,8,9,10,11,12,13,14,15,16,17,18,19,20,21,22,23,24,25,26,27,28,29,30}-1)*LEN(Registro!$F33)+1,LEN(Registro!$F33)))&amp;"x")+1,20))),"Revisar formato")))</f>
        <v>2855</v>
      </c>
      <c r="H33" s="21" t="str">
        <f>IF(AND(Registro!$E33="",Registro!$F33=""),"",IF(NOT(AND(ISNUMBER(G33),ISNUMBER(Registro!$G33))),"",IF(G33&lt;Registro!$G33,"FALTA BOLETOS",IF(G33=Registro!$G33,"CONFORME","DIFERENCIA"))))</f>
        <v>CONFORME</v>
      </c>
      <c r="I33" s="24">
        <f>IF(Registro!$H33="","",IFERROR(SUMPRODUCT(--("0"&amp;TRIM(RIGHT(SUBSTITUTE(TRIM(MID(SUBSTITUTE(SUBSTITUTE(Registro!$H33,";",CHAR(10)),CHAR(10),REPT(" ",LEN(Registro!$H33))),({1,2,3,4,5,6,7,8,9,10,11,12,13,14,15,16,17,18,19,20,21,22,23,24,25,26,27,28,29,30}-1)*LEN(Registro!$H33)+1,LEN(Registro!$H33)))," ",REPT(" ",50)),50)))),"Revisar formato"))</f>
        <v>145</v>
      </c>
      <c r="J33" s="24" t="str">
        <f>IF(Registro!$I33="","",IFERROR(SUMPRODUCT(--("0"&amp;TRIM(RIGHT(SUBSTITUTE(TRIM(MID(SUBSTITUTE(SUBSTITUTE(Registro!$I33,";",CHAR(10)),CHAR(10),REPT(" ",LEN(Registro!$I33))),({1,2,3,4,5,6,7,8,9,10,11,12,13,14,15,16,17,18,19,20,21,22,23,24,25,26,27,28,29,30}-1)*LEN(Registro!$I33)+1,LEN(Registro!$I33)))," ",REPT(" ",50)),50)))),"Revisar formato"))</f>
        <v/>
      </c>
      <c r="K33" s="24">
        <f>IF(AND(Registro!$G33="",Registro!$H33=""),"",IF(AND(ISTEXT(I33),I33&lt;&gt;""),"Revisar formato",N(Registro!$G33)-N(I33)))</f>
        <v>2710</v>
      </c>
      <c r="L33" s="24">
        <f t="shared" si="1"/>
        <v>2710</v>
      </c>
      <c r="M33" s="36" t="str">
        <f>IF(AND(A33=Consulta!$B$3,C33=Consulta!$H$3),B33*10000+ROW(),"")</f>
        <v/>
      </c>
    </row>
    <row r="34" spans="1:13" x14ac:dyDescent="0.25">
      <c r="A34" s="21" t="str">
        <f>IF(Registro!$A34="","",Registro!$A34)</f>
        <v>PIN</v>
      </c>
      <c r="B34" s="20">
        <f>IF(Registro!$B34="","",Registro!$B34)</f>
        <v>46305</v>
      </c>
      <c r="C34" s="35">
        <f t="shared" si="0"/>
        <v>202610</v>
      </c>
      <c r="D34" s="23">
        <f>IF(Registro!$E34="","",IF(ISERROR(FIND("x",LOWER(Registro!$E34))),"-",IFERROR(SUMPRODUCT(--("0"&amp;LEFT(TRIM(MID(SUBSTITUTE(SUBSTITUTE(SUBSTITUTE(SUBSTITUTE(SUBSTITUTE(LOWER(Registro!$E34),"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",LEN(Registro!$E34))),({1,2,3,4,5,6,7,8,9,10,11,12,13,14,15,16,17,18,19,20,21,22,23,24,25,26,27,28,29,30}-1)*LEN(Registro!$E34)+1,LEN(Registro!$E34))),FIND("x",TRIM(MID(SUBSTITUTE(SUBSTITUTE(SUBSTITUTE(SUBSTITUTE(SUBSTITUTE(LOWER(Registro!$E34),"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",LEN(Registro!$E34))),({1,2,3,4,5,6,7,8,9,10,11,12,13,14,15,16,17,18,19,20,21,22,23,24,25,26,27,28,29,30}-1)*LEN(Registro!$E34)+1,LEN(Registro!$E34)))&amp;"x")-1))),"Revisar formato")))</f>
        <v>47</v>
      </c>
      <c r="E34" s="24">
        <f>IF(Registro!$E34="","",IF(ISERROR(FIND("x",LOWER(Registro!$E34))),"-",IFERROR(SUMPRODUCT(--("0"&amp;LEFT(TRIM(MID(SUBSTITUTE(SUBSTITUTE(SUBSTITUTE(SUBSTITUTE(SUBSTITUTE(LOWER(Registro!$E34),"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",LEN(Registro!$E34))),({1,2,3,4,5,6,7,8,9,10,11,12,13,14,15,16,17,18,19,20,21,22,23,24,25,26,27,28,29,30}-1)*LEN(Registro!$E34)+1,LEN(Registro!$E34))),FIND("x",TRIM(MID(SUBSTITUTE(SUBSTITUTE(SUBSTITUTE(SUBSTITUTE(SUBSTITUTE(LOWER(Registro!$E34),"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",LEN(Registro!$E34))),({1,2,3,4,5,6,7,8,9,10,11,12,13,14,15,16,17,18,19,20,21,22,23,24,25,26,27,28,29,30}-1)*LEN(Registro!$E34)+1,LEN(Registro!$E34)))&amp;"x")-1)),--("0"&amp;MID(TRIM(MID(SUBSTITUTE(SUBSTITUTE(SUBSTITUTE(SUBSTITUTE(SUBSTITUTE(LOWER(Registro!$E34),"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",LEN(Registro!$E34))),({1,2,3,4,5,6,7,8,9,10,11,12,13,14,15,16,17,18,19,20,21,22,23,24,25,26,27,28,29,30}-1)*LEN(Registro!$E34)+1,LEN(Registro!$E34))),FIND("x",TRIM(MID(SUBSTITUTE(SUBSTITUTE(SUBSTITUTE(SUBSTITUTE(SUBSTITUTE(LOWER(Registro!$E34),"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",LEN(Registro!$E34))),({1,2,3,4,5,6,7,8,9,10,11,12,13,14,15,16,17,18,19,20,21,22,23,24,25,26,27,28,29,30}-1)*LEN(Registro!$E34)+1,LEN(Registro!$E34)))&amp;"x")+1,20))),"Revisar formato")))</f>
        <v>2080</v>
      </c>
      <c r="F34" s="23">
        <f>IF(Registro!$F34="","",IF(ISERROR(FIND("x",LOWER(Registro!$F34))),"-",IFERROR(SUMPRODUCT(--("0"&amp;LEFT(TRIM(MID(SUBSTITUTE(SUBSTITUTE(SUBSTITUTE(SUBSTITUTE(SUBSTITUTE(LOWER(Registro!$F34)," ",""),CHAR(10),"|"),";","|"),"+","|"),"|",REPT(" ",LEN(Registro!$F34))),({1,2,3,4,5,6,7,8,9,10,11,12,13,14,15,16,17,18,19,20,21,22,23,24,25,26,27,28,29,30}-1)*LEN(Registro!$F34)+1,LEN(Registro!$F34))),FIND("x",TRIM(MID(SUBSTITUTE(SUBSTITUTE(SUBSTITUTE(SUBSTITUTE(SUBSTITUTE(LOWER(Registro!$F34)," ",""),CHAR(10),"|"),";","|"),"+","|"),"|",REPT(" ",LEN(Registro!$F34))),({1,2,3,4,5,6,7,8,9,10,11,12,13,14,15,16,17,18,19,20,21,22,23,24,25,26,27,28,29,30}-1)*LEN(Registro!$F34)+1,LEN(Registro!$F34)))&amp;"x")-1))),"Revisar formato")))</f>
        <v>1</v>
      </c>
      <c r="G34" s="24">
        <f>IF(Registro!$F34="","",IF(ISERROR(FIND("x",LOWER(Registro!$F34))),N(Registro!$G34),IFERROR(SUMPRODUCT(--("0"&amp;LEFT(TRIM(MID(SUBSTITUTE(SUBSTITUTE(SUBSTITUTE(SUBSTITUTE(SUBSTITUTE(LOWER(Registro!$F34)," ",""),CHAR(10),"|"),";","|"),"+","|"),"|",REPT(" ",LEN(Registro!$F34))),({1,2,3,4,5,6,7,8,9,10,11,12,13,14,15,16,17,18,19,20,21,22,23,24,25,26,27,28,29,30}-1)*LEN(Registro!$F34)+1,LEN(Registro!$F34))),FIND("x",TRIM(MID(SUBSTITUTE(SUBSTITUTE(SUBSTITUTE(SUBSTITUTE(SUBSTITUTE(LOWER(Registro!$F34)," ",""),CHAR(10),"|"),";","|"),"+","|"),"|",REPT(" ",LEN(Registro!$F34))),({1,2,3,4,5,6,7,8,9,10,11,12,13,14,15,16,17,18,19,20,21,22,23,24,25,26,27,28,29,30}-1)*LEN(Registro!$F34)+1,LEN(Registro!$F34)))&amp;"x")-1)),--("0"&amp;MID(TRIM(MID(SUBSTITUTE(SUBSTITUTE(SUBSTITUTE(SUBSTITUTE(SUBSTITUTE(LOWER(Registro!$F34)," ",""),CHAR(10),"|"),";","|"),"+","|"),"|",REPT(" ",LEN(Registro!$F34))),({1,2,3,4,5,6,7,8,9,10,11,12,13,14,15,16,17,18,19,20,21,22,23,24,25,26,27,28,29,30}-1)*LEN(Registro!$F34)+1,LEN(Registro!$F34))),FIND("x",TRIM(MID(SUBSTITUTE(SUBSTITUTE(SUBSTITUTE(SUBSTITUTE(SUBSTITUTE(LOWER(Registro!$F34)," ",""),CHAR(10),"|"),";","|"),"+","|"),"|",REPT(" ",LEN(Registro!$F34))),({1,2,3,4,5,6,7,8,9,10,11,12,13,14,15,16,17,18,19,20,21,22,23,24,25,26,27,28,29,30}-1)*LEN(Registro!$F34)+1,LEN(Registro!$F34)))&amp;"x")+1,20))),"Revisar formato")))</f>
        <v>3015</v>
      </c>
      <c r="H34" s="21" t="str">
        <f>IF(AND(Registro!$E34="",Registro!$F34=""),"",IF(NOT(AND(ISNUMBER(G34),ISNUMBER(Registro!$G34))),"",IF(G34&lt;Registro!$G34,"FALTA BOLETOS",IF(G34=Registro!$G34,"CONFORME","DIFERENCIA"))))</f>
        <v>CONFORME</v>
      </c>
      <c r="I34" s="24">
        <f>IF(Registro!$H34="","",IFERROR(SUMPRODUCT(--("0"&amp;TRIM(RIGHT(SUBSTITUTE(TRIM(MID(SUBSTITUTE(SUBSTITUTE(Registro!$H34,";",CHAR(10)),CHAR(10),REPT(" ",LEN(Registro!$H34))),({1,2,3,4,5,6,7,8,9,10,11,12,13,14,15,16,17,18,19,20,21,22,23,24,25,26,27,28,29,30}-1)*LEN(Registro!$H34)+1,LEN(Registro!$H34)))," ",REPT(" ",50)),50)))),"Revisar formato"))</f>
        <v>105</v>
      </c>
      <c r="J34" s="24" t="str">
        <f>IF(Registro!$I34="","",IFERROR(SUMPRODUCT(--("0"&amp;TRIM(RIGHT(SUBSTITUTE(TRIM(MID(SUBSTITUTE(SUBSTITUTE(Registro!$I34,";",CHAR(10)),CHAR(10),REPT(" ",LEN(Registro!$I34))),({1,2,3,4,5,6,7,8,9,10,11,12,13,14,15,16,17,18,19,20,21,22,23,24,25,26,27,28,29,30}-1)*LEN(Registro!$I34)+1,LEN(Registro!$I34)))," ",REPT(" ",50)),50)))),"Revisar formato"))</f>
        <v/>
      </c>
      <c r="K34" s="24">
        <f>IF(AND(Registro!$G34="",Registro!$H34=""),"",IF(AND(ISTEXT(I34),I34&lt;&gt;""),"Revisar formato",N(Registro!$G34)-N(I34)))</f>
        <v>2910</v>
      </c>
      <c r="L34" s="24">
        <f t="shared" si="1"/>
        <v>2910</v>
      </c>
      <c r="M34" s="36" t="str">
        <f>IF(AND(A34=Consulta!$B$3,C34=Consulta!$H$3),B34*10000+ROW(),"")</f>
        <v/>
      </c>
    </row>
    <row r="35" spans="1:13" x14ac:dyDescent="0.25">
      <c r="A35" s="21" t="str">
        <f>IF(Registro!$A35="","",Registro!$A35)</f>
        <v>PIN</v>
      </c>
      <c r="B35" s="20">
        <f>IF(Registro!$B35="","",Registro!$B35)</f>
        <v>46306</v>
      </c>
      <c r="C35" s="35">
        <f t="shared" si="0"/>
        <v>202610</v>
      </c>
      <c r="D35" s="23">
        <f>IF(Registro!$E35="","",IF(ISERROR(FIND("x",LOWER(Registro!$E35))),"-",IFERROR(SUMPRODUCT(--("0"&amp;LEFT(TRIM(MID(SUBSTITUTE(SUBSTITUTE(SUBSTITUTE(SUBSTITUTE(SUBSTITUTE(LOWER(Registro!$E35),"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",LEN(Registro!$E35))),({1,2,3,4,5,6,7,8,9,10,11,12,13,14,15,16,17,18,19,20,21,22,23,24,25,26,27,28,29,30}-1)*LEN(Registro!$E35)+1,LEN(Registro!$E35))),FIND("x",TRIM(MID(SUBSTITUTE(SUBSTITUTE(SUBSTITUTE(SUBSTITUTE(SUBSTITUTE(LOWER(Registro!$E35),"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",LEN(Registro!$E35))),({1,2,3,4,5,6,7,8,9,10,11,12,13,14,15,16,17,18,19,20,21,22,23,24,25,26,27,28,29,30}-1)*LEN(Registro!$E35)+1,LEN(Registro!$E35)))&amp;"x")-1))),"Revisar formato")))</f>
        <v>49</v>
      </c>
      <c r="E35" s="24">
        <f>IF(Registro!$E35="","",IF(ISERROR(FIND("x",LOWER(Registro!$E35))),"-",IFERROR(SUMPRODUCT(--("0"&amp;LEFT(TRIM(MID(SUBSTITUTE(SUBSTITUTE(SUBSTITUTE(SUBSTITUTE(SUBSTITUTE(LOWER(Registro!$E35),"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",LEN(Registro!$E35))),({1,2,3,4,5,6,7,8,9,10,11,12,13,14,15,16,17,18,19,20,21,22,23,24,25,26,27,28,29,30}-1)*LEN(Registro!$E35)+1,LEN(Registro!$E35))),FIND("x",TRIM(MID(SUBSTITUTE(SUBSTITUTE(SUBSTITUTE(SUBSTITUTE(SUBSTITUTE(LOWER(Registro!$E35),"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",LEN(Registro!$E35))),({1,2,3,4,5,6,7,8,9,10,11,12,13,14,15,16,17,18,19,20,21,22,23,24,25,26,27,28,29,30}-1)*LEN(Registro!$E35)+1,LEN(Registro!$E35)))&amp;"x")-1)),--("0"&amp;MID(TRIM(MID(SUBSTITUTE(SUBSTITUTE(SUBSTITUTE(SUBSTITUTE(SUBSTITUTE(LOWER(Registro!$E35),"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",LEN(Registro!$E35))),({1,2,3,4,5,6,7,8,9,10,11,12,13,14,15,16,17,18,19,20,21,22,23,24,25,26,27,28,29,30}-1)*LEN(Registro!$E35)+1,LEN(Registro!$E35))),FIND("x",TRIM(MID(SUBSTITUTE(SUBSTITUTE(SUBSTITUTE(SUBSTITUTE(SUBSTITUTE(LOWER(Registro!$E35),"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",LEN(Registro!$E35))),({1,2,3,4,5,6,7,8,9,10,11,12,13,14,15,16,17,18,19,20,21,22,23,24,25,26,27,28,29,30}-1)*LEN(Registro!$E35)+1,LEN(Registro!$E35)))&amp;"x")+1,20))),"Revisar formato")))</f>
        <v>2490</v>
      </c>
      <c r="F35" s="23">
        <f>IF(Registro!$F35="","",IF(ISERROR(FIND("x",LOWER(Registro!$F35))),"-",IFERROR(SUMPRODUCT(--("0"&amp;LEFT(TRIM(MID(SUBSTITUTE(SUBSTITUTE(SUBSTITUTE(SUBSTITUTE(SUBSTITUTE(LOWER(Registro!$F35)," ",""),CHAR(10),"|"),";","|"),"+","|"),"|",REPT(" ",LEN(Registro!$F35))),({1,2,3,4,5,6,7,8,9,10,11,12,13,14,15,16,17,18,19,20,21,22,23,24,25,26,27,28,29,30}-1)*LEN(Registro!$F35)+1,LEN(Registro!$F35))),FIND("x",TRIM(MID(SUBSTITUTE(SUBSTITUTE(SUBSTITUTE(SUBSTITUTE(SUBSTITUTE(LOWER(Registro!$F35)," ",""),CHAR(10),"|"),";","|"),"+","|"),"|",REPT(" ",LEN(Registro!$F35))),({1,2,3,4,5,6,7,8,9,10,11,12,13,14,15,16,17,18,19,20,21,22,23,24,25,26,27,28,29,30}-1)*LEN(Registro!$F35)+1,LEN(Registro!$F35)))&amp;"x")-1))),"Revisar formato")))</f>
        <v>1</v>
      </c>
      <c r="G35" s="24">
        <f>IF(Registro!$F35="","",IF(ISERROR(FIND("x",LOWER(Registro!$F35))),N(Registro!$G35),IFERROR(SUMPRODUCT(--("0"&amp;LEFT(TRIM(MID(SUBSTITUTE(SUBSTITUTE(SUBSTITUTE(SUBSTITUTE(SUBSTITUTE(LOWER(Registro!$F35)," ",""),CHAR(10),"|"),";","|"),"+","|"),"|",REPT(" ",LEN(Registro!$F35))),({1,2,3,4,5,6,7,8,9,10,11,12,13,14,15,16,17,18,19,20,21,22,23,24,25,26,27,28,29,30}-1)*LEN(Registro!$F35)+1,LEN(Registro!$F35))),FIND("x",TRIM(MID(SUBSTITUTE(SUBSTITUTE(SUBSTITUTE(SUBSTITUTE(SUBSTITUTE(LOWER(Registro!$F35)," ",""),CHAR(10),"|"),";","|"),"+","|"),"|",REPT(" ",LEN(Registro!$F35))),({1,2,3,4,5,6,7,8,9,10,11,12,13,14,15,16,17,18,19,20,21,22,23,24,25,26,27,28,29,30}-1)*LEN(Registro!$F35)+1,LEN(Registro!$F35)))&amp;"x")-1)),--("0"&amp;MID(TRIM(MID(SUBSTITUTE(SUBSTITUTE(SUBSTITUTE(SUBSTITUTE(SUBSTITUTE(LOWER(Registro!$F35)," ",""),CHAR(10),"|"),";","|"),"+","|"),"|",REPT(" ",LEN(Registro!$F35))),({1,2,3,4,5,6,7,8,9,10,11,12,13,14,15,16,17,18,19,20,21,22,23,24,25,26,27,28,29,30}-1)*LEN(Registro!$F35)+1,LEN(Registro!$F35))),FIND("x",TRIM(MID(SUBSTITUTE(SUBSTITUTE(SUBSTITUTE(SUBSTITUTE(SUBSTITUTE(LOWER(Registro!$F35)," ",""),CHAR(10),"|"),";","|"),"+","|"),"|",REPT(" ",LEN(Registro!$F35))),({1,2,3,4,5,6,7,8,9,10,11,12,13,14,15,16,17,18,19,20,21,22,23,24,25,26,27,28,29,30}-1)*LEN(Registro!$F35)+1,LEN(Registro!$F35)))&amp;"x")+1,20))),"Revisar formato")))</f>
        <v>2825</v>
      </c>
      <c r="H35" s="21" t="str">
        <f>IF(AND(Registro!$E35="",Registro!$F35=""),"",IF(NOT(AND(ISNUMBER(G35),ISNUMBER(Registro!$G35))),"",IF(G35&lt;Registro!$G35,"FALTA BOLETOS",IF(G35=Registro!$G35,"CONFORME","DIFERENCIA"))))</f>
        <v>CONFORME</v>
      </c>
      <c r="I35" s="24">
        <f>IF(Registro!$H35="","",IFERROR(SUMPRODUCT(--("0"&amp;TRIM(RIGHT(SUBSTITUTE(TRIM(MID(SUBSTITUTE(SUBSTITUTE(Registro!$H35,";",CHAR(10)),CHAR(10),REPT(" ",LEN(Registro!$H35))),({1,2,3,4,5,6,7,8,9,10,11,12,13,14,15,16,17,18,19,20,21,22,23,24,25,26,27,28,29,30}-1)*LEN(Registro!$H35)+1,LEN(Registro!$H35)))," ",REPT(" ",50)),50)))),"Revisar formato"))</f>
        <v>105</v>
      </c>
      <c r="J35" s="24" t="str">
        <f>IF(Registro!$I35="","",IFERROR(SUMPRODUCT(--("0"&amp;TRIM(RIGHT(SUBSTITUTE(TRIM(MID(SUBSTITUTE(SUBSTITUTE(Registro!$I35,";",CHAR(10)),CHAR(10),REPT(" ",LEN(Registro!$I35))),({1,2,3,4,5,6,7,8,9,10,11,12,13,14,15,16,17,18,19,20,21,22,23,24,25,26,27,28,29,30}-1)*LEN(Registro!$I35)+1,LEN(Registro!$I35)))," ",REPT(" ",50)),50)))),"Revisar formato"))</f>
        <v/>
      </c>
      <c r="K35" s="24">
        <f>IF(AND(Registro!$G35="",Registro!$H35=""),"",IF(AND(ISTEXT(I35),I35&lt;&gt;""),"Revisar formato",N(Registro!$G35)-N(I35)))</f>
        <v>2720</v>
      </c>
      <c r="L35" s="24">
        <f t="shared" si="1"/>
        <v>2720</v>
      </c>
      <c r="M35" s="36" t="str">
        <f>IF(AND(A35=Consulta!$B$3,C35=Consulta!$H$3),B35*10000+ROW(),"")</f>
        <v/>
      </c>
    </row>
    <row r="36" spans="1:13" x14ac:dyDescent="0.25">
      <c r="A36" s="21" t="str">
        <f>IF(Registro!$A36="","",Registro!$A36)</f>
        <v>PIN</v>
      </c>
      <c r="B36" s="20">
        <f>IF(Registro!$B36="","",Registro!$B36)</f>
        <v>46306</v>
      </c>
      <c r="C36" s="35">
        <f t="shared" si="0"/>
        <v>202610</v>
      </c>
      <c r="D36" s="23">
        <f>IF(Registro!$E36="","",IF(ISERROR(FIND("x",LOWER(Registro!$E36))),"-",IFERROR(SUMPRODUCT(--("0"&amp;LEFT(TRIM(MID(SUBSTITUTE(SUBSTITUTE(SUBSTITUTE(SUBSTITUTE(SUBSTITUTE(LOWER(Registro!$E36),"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",LEN(Registro!$E36))),({1,2,3,4,5,6,7,8,9,10,11,12,13,14,15,16,17,18,19,20,21,22,23,24,25,26,27,28,29,30}-1)*LEN(Registro!$E36)+1,LEN(Registro!$E36))),FIND("x",TRIM(MID(SUBSTITUTE(SUBSTITUTE(SUBSTITUTE(SUBSTITUTE(SUBSTITUTE(LOWER(Registro!$E36),"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",LEN(Registro!$E36))),({1,2,3,4,5,6,7,8,9,10,11,12,13,14,15,16,17,18,19,20,21,22,23,24,25,26,27,28,29,30}-1)*LEN(Registro!$E36)+1,LEN(Registro!$E36)))&amp;"x")-1))),"Revisar formato")))</f>
        <v>48</v>
      </c>
      <c r="E36" s="24">
        <f>IF(Registro!$E36="","",IF(ISERROR(FIND("x",LOWER(Registro!$E36))),"-",IFERROR(SUMPRODUCT(--("0"&amp;LEFT(TRIM(MID(SUBSTITUTE(SUBSTITUTE(SUBSTITUTE(SUBSTITUTE(SUBSTITUTE(LOWER(Registro!$E36),"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",LEN(Registro!$E36))),({1,2,3,4,5,6,7,8,9,10,11,12,13,14,15,16,17,18,19,20,21,22,23,24,25,26,27,28,29,30}-1)*LEN(Registro!$E36)+1,LEN(Registro!$E36))),FIND("x",TRIM(MID(SUBSTITUTE(SUBSTITUTE(SUBSTITUTE(SUBSTITUTE(SUBSTITUTE(LOWER(Registro!$E36),"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",LEN(Registro!$E36))),({1,2,3,4,5,6,7,8,9,10,11,12,13,14,15,16,17,18,19,20,21,22,23,24,25,26,27,28,29,30}-1)*LEN(Registro!$E36)+1,LEN(Registro!$E36)))&amp;"x")-1)),--("0"&amp;MID(TRIM(MID(SUBSTITUTE(SUBSTITUTE(SUBSTITUTE(SUBSTITUTE(SUBSTITUTE(LOWER(Registro!$E36),"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",LEN(Registro!$E36))),({1,2,3,4,5,6,7,8,9,10,11,12,13,14,15,16,17,18,19,20,21,22,23,24,25,26,27,28,29,30}-1)*LEN(Registro!$E36)+1,LEN(Registro!$E36))),FIND("x",TRIM(MID(SUBSTITUTE(SUBSTITUTE(SUBSTITUTE(SUBSTITUTE(SUBSTITUTE(LOWER(Registro!$E36),"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",LEN(Registro!$E36))),({1,2,3,4,5,6,7,8,9,10,11,12,13,14,15,16,17,18,19,20,21,22,23,24,25,26,27,28,29,30}-1)*LEN(Registro!$E36)+1,LEN(Registro!$E36)))&amp;"x")+1,20))),"Revisar formato")))</f>
        <v>2450</v>
      </c>
      <c r="F36" s="23">
        <f>IF(Registro!$F36="","",IF(ISERROR(FIND("x",LOWER(Registro!$F36))),"-",IFERROR(SUMPRODUCT(--("0"&amp;LEFT(TRIM(MID(SUBSTITUTE(SUBSTITUTE(SUBSTITUTE(SUBSTITUTE(SUBSTITUTE(LOWER(Registro!$F36)," ",""),CHAR(10),"|"),";","|"),"+","|"),"|",REPT(" ",LEN(Registro!$F36))),({1,2,3,4,5,6,7,8,9,10,11,12,13,14,15,16,17,18,19,20,21,22,23,24,25,26,27,28,29,30}-1)*LEN(Registro!$F36)+1,LEN(Registro!$F36))),FIND("x",TRIM(MID(SUBSTITUTE(SUBSTITUTE(SUBSTITUTE(SUBSTITUTE(SUBSTITUTE(LOWER(Registro!$F36)," ",""),CHAR(10),"|"),";","|"),"+","|"),"|",REPT(" ",LEN(Registro!$F36))),({1,2,3,4,5,6,7,8,9,10,11,12,13,14,15,16,17,18,19,20,21,22,23,24,25,26,27,28,29,30}-1)*LEN(Registro!$F36)+1,LEN(Registro!$F36)))&amp;"x")-1))),"Revisar formato")))</f>
        <v>1</v>
      </c>
      <c r="G36" s="24">
        <f>IF(Registro!$F36="","",IF(ISERROR(FIND("x",LOWER(Registro!$F36))),N(Registro!$G36),IFERROR(SUMPRODUCT(--("0"&amp;LEFT(TRIM(MID(SUBSTITUTE(SUBSTITUTE(SUBSTITUTE(SUBSTITUTE(SUBSTITUTE(LOWER(Registro!$F36)," ",""),CHAR(10),"|"),";","|"),"+","|"),"|",REPT(" ",LEN(Registro!$F36))),({1,2,3,4,5,6,7,8,9,10,11,12,13,14,15,16,17,18,19,20,21,22,23,24,25,26,27,28,29,30}-1)*LEN(Registro!$F36)+1,LEN(Registro!$F36))),FIND("x",TRIM(MID(SUBSTITUTE(SUBSTITUTE(SUBSTITUTE(SUBSTITUTE(SUBSTITUTE(LOWER(Registro!$F36)," ",""),CHAR(10),"|"),";","|"),"+","|"),"|",REPT(" ",LEN(Registro!$F36))),({1,2,3,4,5,6,7,8,9,10,11,12,13,14,15,16,17,18,19,20,21,22,23,24,25,26,27,28,29,30}-1)*LEN(Registro!$F36)+1,LEN(Registro!$F36)))&amp;"x")-1)),--("0"&amp;MID(TRIM(MID(SUBSTITUTE(SUBSTITUTE(SUBSTITUTE(SUBSTITUTE(SUBSTITUTE(LOWER(Registro!$F36)," ",""),CHAR(10),"|"),";","|"),"+","|"),"|",REPT(" ",LEN(Registro!$F36))),({1,2,3,4,5,6,7,8,9,10,11,12,13,14,15,16,17,18,19,20,21,22,23,24,25,26,27,28,29,30}-1)*LEN(Registro!$F36)+1,LEN(Registro!$F36))),FIND("x",TRIM(MID(SUBSTITUTE(SUBSTITUTE(SUBSTITUTE(SUBSTITUTE(SUBSTITUTE(LOWER(Registro!$F36)," ",""),CHAR(10),"|"),";","|"),"+","|"),"|",REPT(" ",LEN(Registro!$F36))),({1,2,3,4,5,6,7,8,9,10,11,12,13,14,15,16,17,18,19,20,21,22,23,24,25,26,27,28,29,30}-1)*LEN(Registro!$F36)+1,LEN(Registro!$F36)))&amp;"x")+1,20))),"Revisar formato")))</f>
        <v>1425</v>
      </c>
      <c r="H36" s="21" t="str">
        <f>IF(AND(Registro!$E36="",Registro!$F36=""),"",IF(NOT(AND(ISNUMBER(G36),ISNUMBER(Registro!$G36))),"",IF(G36&lt;Registro!$G36,"FALTA BOLETOS",IF(G36=Registro!$G36,"CONFORME","DIFERENCIA"))))</f>
        <v>CONFORME</v>
      </c>
      <c r="I36" s="24">
        <f>IF(Registro!$H36="","",IFERROR(SUMPRODUCT(--("0"&amp;TRIM(RIGHT(SUBSTITUTE(TRIM(MID(SUBSTITUTE(SUBSTITUTE(Registro!$H36,";",CHAR(10)),CHAR(10),REPT(" ",LEN(Registro!$H36))),({1,2,3,4,5,6,7,8,9,10,11,12,13,14,15,16,17,18,19,20,21,22,23,24,25,26,27,28,29,30}-1)*LEN(Registro!$H36)+1,LEN(Registro!$H36)))," ",REPT(" ",50)),50)))),"Revisar formato"))</f>
        <v>105</v>
      </c>
      <c r="J36" s="24" t="str">
        <f>IF(Registro!$I36="","",IFERROR(SUMPRODUCT(--("0"&amp;TRIM(RIGHT(SUBSTITUTE(TRIM(MID(SUBSTITUTE(SUBSTITUTE(Registro!$I36,";",CHAR(10)),CHAR(10),REPT(" ",LEN(Registro!$I36))),({1,2,3,4,5,6,7,8,9,10,11,12,13,14,15,16,17,18,19,20,21,22,23,24,25,26,27,28,29,30}-1)*LEN(Registro!$I36)+1,LEN(Registro!$I36)))," ",REPT(" ",50)),50)))),"Revisar formato"))</f>
        <v/>
      </c>
      <c r="K36" s="24">
        <f>IF(AND(Registro!$G36="",Registro!$H36=""),"",IF(AND(ISTEXT(I36),I36&lt;&gt;""),"Revisar formato",N(Registro!$G36)-N(I36)))</f>
        <v>1320</v>
      </c>
      <c r="L36" s="24">
        <f t="shared" si="1"/>
        <v>1320</v>
      </c>
      <c r="M36" s="36" t="str">
        <f>IF(AND(A36=Consulta!$B$3,C36=Consulta!$H$3),B36*10000+ROW(),"")</f>
        <v/>
      </c>
    </row>
    <row r="37" spans="1:13" x14ac:dyDescent="0.25">
      <c r="A37" s="21" t="str">
        <f>IF(Registro!$A37="","",Registro!$A37)</f>
        <v>PIN</v>
      </c>
      <c r="B37" s="20">
        <f>IF(Registro!$B37="","",Registro!$B37)</f>
        <v>46307</v>
      </c>
      <c r="C37" s="35">
        <f t="shared" si="0"/>
        <v>202610</v>
      </c>
      <c r="D37" s="23">
        <f>IF(Registro!$E37="","",IF(ISERROR(FIND("x",LOWER(Registro!$E37))),"-",IFERROR(SUMPRODUCT(--("0"&amp;LEFT(TRIM(MID(SUBSTITUTE(SUBSTITUTE(SUBSTITUTE(SUBSTITUTE(SUBSTITUTE(LOWER(Registro!$E37),"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",LEN(Registro!$E37))),({1,2,3,4,5,6,7,8,9,10,11,12,13,14,15,16,17,18,19,20,21,22,23,24,25,26,27,28,29,30}-1)*LEN(Registro!$E37)+1,LEN(Registro!$E37))),FIND("x",TRIM(MID(SUBSTITUTE(SUBSTITUTE(SUBSTITUTE(SUBSTITUTE(SUBSTITUTE(LOWER(Registro!$E37),"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",LEN(Registro!$E37))),({1,2,3,4,5,6,7,8,9,10,11,12,13,14,15,16,17,18,19,20,21,22,23,24,25,26,27,28,29,30}-1)*LEN(Registro!$E37)+1,LEN(Registro!$E37)))&amp;"x")-1))),"Revisar formato")))</f>
        <v>61</v>
      </c>
      <c r="E37" s="24">
        <f>IF(Registro!$E37="","",IF(ISERROR(FIND("x",LOWER(Registro!$E37))),"-",IFERROR(SUMPRODUCT(--("0"&amp;LEFT(TRIM(MID(SUBSTITUTE(SUBSTITUTE(SUBSTITUTE(SUBSTITUTE(SUBSTITUTE(LOWER(Registro!$E37),"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",LEN(Registro!$E37))),({1,2,3,4,5,6,7,8,9,10,11,12,13,14,15,16,17,18,19,20,21,22,23,24,25,26,27,28,29,30}-1)*LEN(Registro!$E37)+1,LEN(Registro!$E37))),FIND("x",TRIM(MID(SUBSTITUTE(SUBSTITUTE(SUBSTITUTE(SUBSTITUTE(SUBSTITUTE(LOWER(Registro!$E37),"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",LEN(Registro!$E37))),({1,2,3,4,5,6,7,8,9,10,11,12,13,14,15,16,17,18,19,20,21,22,23,24,25,26,27,28,29,30}-1)*LEN(Registro!$E37)+1,LEN(Registro!$E37)))&amp;"x")-1)),--("0"&amp;MID(TRIM(MID(SUBSTITUTE(SUBSTITUTE(SUBSTITUTE(SUBSTITUTE(SUBSTITUTE(LOWER(Registro!$E37),"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",LEN(Registro!$E37))),({1,2,3,4,5,6,7,8,9,10,11,12,13,14,15,16,17,18,19,20,21,22,23,24,25,26,27,28,29,30}-1)*LEN(Registro!$E37)+1,LEN(Registro!$E37))),FIND("x",TRIM(MID(SUBSTITUTE(SUBSTITUTE(SUBSTITUTE(SUBSTITUTE(SUBSTITUTE(LOWER(Registro!$E37),"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",LEN(Registro!$E37))),({1,2,3,4,5,6,7,8,9,10,11,12,13,14,15,16,17,18,19,20,21,22,23,24,25,26,27,28,29,30}-1)*LEN(Registro!$E37)+1,LEN(Registro!$E37)))&amp;"x")+1,20))),"Revisar formato")))</f>
        <v>3290</v>
      </c>
      <c r="F37" s="23">
        <f>IF(Registro!$F37="","",IF(ISERROR(FIND("x",LOWER(Registro!$F37))),"-",IFERROR(SUMPRODUCT(--("0"&amp;LEFT(TRIM(MID(SUBSTITUTE(SUBSTITUTE(SUBSTITUTE(SUBSTITUTE(SUBSTITUTE(LOWER(Registro!$F37)," ",""),CHAR(10),"|"),";","|"),"+","|"),"|",REPT(" ",LEN(Registro!$F37))),({1,2,3,4,5,6,7,8,9,10,11,12,13,14,15,16,17,18,19,20,21,22,23,24,25,26,27,28,29,30}-1)*LEN(Registro!$F37)+1,LEN(Registro!$F37))),FIND("x",TRIM(MID(SUBSTITUTE(SUBSTITUTE(SUBSTITUTE(SUBSTITUTE(SUBSTITUTE(LOWER(Registro!$F37)," ",""),CHAR(10),"|"),";","|"),"+","|"),"|",REPT(" ",LEN(Registro!$F37))),({1,2,3,4,5,6,7,8,9,10,11,12,13,14,15,16,17,18,19,20,21,22,23,24,25,26,27,28,29,30}-1)*LEN(Registro!$F37)+1,LEN(Registro!$F37)))&amp;"x")-1))),"Revisar formato")))</f>
        <v>1</v>
      </c>
      <c r="G37" s="24">
        <f>IF(Registro!$F37="","",IF(ISERROR(FIND("x",LOWER(Registro!$F37))),N(Registro!$G37),IFERROR(SUMPRODUCT(--("0"&amp;LEFT(TRIM(MID(SUBSTITUTE(SUBSTITUTE(SUBSTITUTE(SUBSTITUTE(SUBSTITUTE(LOWER(Registro!$F37)," ",""),CHAR(10),"|"),";","|"),"+","|"),"|",REPT(" ",LEN(Registro!$F37))),({1,2,3,4,5,6,7,8,9,10,11,12,13,14,15,16,17,18,19,20,21,22,23,24,25,26,27,28,29,30}-1)*LEN(Registro!$F37)+1,LEN(Registro!$F37))),FIND("x",TRIM(MID(SUBSTITUTE(SUBSTITUTE(SUBSTITUTE(SUBSTITUTE(SUBSTITUTE(LOWER(Registro!$F37)," ",""),CHAR(10),"|"),";","|"),"+","|"),"|",REPT(" ",LEN(Registro!$F37))),({1,2,3,4,5,6,7,8,9,10,11,12,13,14,15,16,17,18,19,20,21,22,23,24,25,26,27,28,29,30}-1)*LEN(Registro!$F37)+1,LEN(Registro!$F37)))&amp;"x")-1)),--("0"&amp;MID(TRIM(MID(SUBSTITUTE(SUBSTITUTE(SUBSTITUTE(SUBSTITUTE(SUBSTITUTE(LOWER(Registro!$F37)," ",""),CHAR(10),"|"),";","|"),"+","|"),"|",REPT(" ",LEN(Registro!$F37))),({1,2,3,4,5,6,7,8,9,10,11,12,13,14,15,16,17,18,19,20,21,22,23,24,25,26,27,28,29,30}-1)*LEN(Registro!$F37)+1,LEN(Registro!$F37))),FIND("x",TRIM(MID(SUBSTITUTE(SUBSTITUTE(SUBSTITUTE(SUBSTITUTE(SUBSTITUTE(LOWER(Registro!$F37)," ",""),CHAR(10),"|"),";","|"),"+","|"),"|",REPT(" ",LEN(Registro!$F37))),({1,2,3,4,5,6,7,8,9,10,11,12,13,14,15,16,17,18,19,20,21,22,23,24,25,26,27,28,29,30}-1)*LEN(Registro!$F37)+1,LEN(Registro!$F37)))&amp;"x")+1,20))),"Revisar formato")))</f>
        <v>2795</v>
      </c>
      <c r="H37" s="21" t="str">
        <f>IF(AND(Registro!$E37="",Registro!$F37=""),"",IF(NOT(AND(ISNUMBER(G37),ISNUMBER(Registro!$G37))),"",IF(G37&lt;Registro!$G37,"FALTA BOLETOS",IF(G37=Registro!$G37,"CONFORME","DIFERENCIA"))))</f>
        <v>CONFORME</v>
      </c>
      <c r="I37" s="24">
        <f>IF(Registro!$H37="","",IFERROR(SUMPRODUCT(--("0"&amp;TRIM(RIGHT(SUBSTITUTE(TRIM(MID(SUBSTITUTE(SUBSTITUTE(Registro!$H37,";",CHAR(10)),CHAR(10),REPT(" ",LEN(Registro!$H37))),({1,2,3,4,5,6,7,8,9,10,11,12,13,14,15,16,17,18,19,20,21,22,23,24,25,26,27,28,29,30}-1)*LEN(Registro!$H37)+1,LEN(Registro!$H37)))," ",REPT(" ",50)),50)))),"Revisar formato"))</f>
        <v>105</v>
      </c>
      <c r="J37" s="24" t="str">
        <f>IF(Registro!$I37="","",IFERROR(SUMPRODUCT(--("0"&amp;TRIM(RIGHT(SUBSTITUTE(TRIM(MID(SUBSTITUTE(SUBSTITUTE(Registro!$I37,";",CHAR(10)),CHAR(10),REPT(" ",LEN(Registro!$I37))),({1,2,3,4,5,6,7,8,9,10,11,12,13,14,15,16,17,18,19,20,21,22,23,24,25,26,27,28,29,30}-1)*LEN(Registro!$I37)+1,LEN(Registro!$I37)))," ",REPT(" ",50)),50)))),"Revisar formato"))</f>
        <v/>
      </c>
      <c r="K37" s="24">
        <f>IF(AND(Registro!$G37="",Registro!$H37=""),"",IF(AND(ISTEXT(I37),I37&lt;&gt;""),"Revisar formato",N(Registro!$G37)-N(I37)))</f>
        <v>2690</v>
      </c>
      <c r="L37" s="24">
        <f t="shared" si="1"/>
        <v>2690</v>
      </c>
      <c r="M37" s="36" t="str">
        <f>IF(AND(A37=Consulta!$B$3,C37=Consulta!$H$3),B37*10000+ROW(),"")</f>
        <v/>
      </c>
    </row>
    <row r="38" spans="1:13" x14ac:dyDescent="0.25">
      <c r="A38" s="21" t="str">
        <f>IF(Registro!$A38="","",Registro!$A38)</f>
        <v>PIN</v>
      </c>
      <c r="B38" s="20">
        <f>IF(Registro!$B38="","",Registro!$B38)</f>
        <v>46308</v>
      </c>
      <c r="C38" s="35">
        <f t="shared" si="0"/>
        <v>202610</v>
      </c>
      <c r="D38" s="23">
        <f>IF(Registro!$E38="","",IF(ISERROR(FIND("x",LOWER(Registro!$E38))),"-",IFERROR(SUMPRODUCT(--("0"&amp;LEFT(TRIM(MID(SUBSTITUTE(SUBSTITUTE(SUBSTITUTE(SUBSTITUTE(SUBSTITUTE(LOWER(Registro!$E38),"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",LEN(Registro!$E38))),({1,2,3,4,5,6,7,8,9,10,11,12,13,14,15,16,17,18,19,20,21,22,23,24,25,26,27,28,29,30}-1)*LEN(Registro!$E38)+1,LEN(Registro!$E38))),FIND("x",TRIM(MID(SUBSTITUTE(SUBSTITUTE(SUBSTITUTE(SUBSTITUTE(SUBSTITUTE(LOWER(Registro!$E38),"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",LEN(Registro!$E38))),({1,2,3,4,5,6,7,8,9,10,11,12,13,14,15,16,17,18,19,20,21,22,23,24,25,26,27,28,29,30}-1)*LEN(Registro!$E38)+1,LEN(Registro!$E38)))&amp;"x")-1))),"Revisar formato")))</f>
        <v>35</v>
      </c>
      <c r="E38" s="24">
        <f>IF(Registro!$E38="","",IF(ISERROR(FIND("x",LOWER(Registro!$E38))),"-",IFERROR(SUMPRODUCT(--("0"&amp;LEFT(TRIM(MID(SUBSTITUTE(SUBSTITUTE(SUBSTITUTE(SUBSTITUTE(SUBSTITUTE(LOWER(Registro!$E38),"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",LEN(Registro!$E38))),({1,2,3,4,5,6,7,8,9,10,11,12,13,14,15,16,17,18,19,20,21,22,23,24,25,26,27,28,29,30}-1)*LEN(Registro!$E38)+1,LEN(Registro!$E38))),FIND("x",TRIM(MID(SUBSTITUTE(SUBSTITUTE(SUBSTITUTE(SUBSTITUTE(SUBSTITUTE(LOWER(Registro!$E38),"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",LEN(Registro!$E38))),({1,2,3,4,5,6,7,8,9,10,11,12,13,14,15,16,17,18,19,20,21,22,23,24,25,26,27,28,29,30}-1)*LEN(Registro!$E38)+1,LEN(Registro!$E38)))&amp;"x")-1)),--("0"&amp;MID(TRIM(MID(SUBSTITUTE(SUBSTITUTE(SUBSTITUTE(SUBSTITUTE(SUBSTITUTE(LOWER(Registro!$E38),"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",LEN(Registro!$E38))),({1,2,3,4,5,6,7,8,9,10,11,12,13,14,15,16,17,18,19,20,21,22,23,24,25,26,27,28,29,30}-1)*LEN(Registro!$E38)+1,LEN(Registro!$E38))),FIND("x",TRIM(MID(SUBSTITUTE(SUBSTITUTE(SUBSTITUTE(SUBSTITUTE(SUBSTITUTE(LOWER(Registro!$E38),"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",LEN(Registro!$E38))),({1,2,3,4,5,6,7,8,9,10,11,12,13,14,15,16,17,18,19,20,21,22,23,24,25,26,27,28,29,30}-1)*LEN(Registro!$E38)+1,LEN(Registro!$E38)))&amp;"x")+1,20))),"Revisar formato")))</f>
        <v>1880</v>
      </c>
      <c r="F38" s="23">
        <f>IF(Registro!$F38="","",IF(ISERROR(FIND("x",LOWER(Registro!$F38))),"-",IFERROR(SUMPRODUCT(--("0"&amp;LEFT(TRIM(MID(SUBSTITUTE(SUBSTITUTE(SUBSTITUTE(SUBSTITUTE(SUBSTITUTE(LOWER(Registro!$F38)," ",""),CHAR(10),"|"),";","|"),"+","|"),"|",REPT(" ",LEN(Registro!$F38))),({1,2,3,4,5,6,7,8,9,10,11,12,13,14,15,16,17,18,19,20,21,22,23,24,25,26,27,28,29,30}-1)*LEN(Registro!$F38)+1,LEN(Registro!$F38))),FIND("x",TRIM(MID(SUBSTITUTE(SUBSTITUTE(SUBSTITUTE(SUBSTITUTE(SUBSTITUTE(LOWER(Registro!$F38)," ",""),CHAR(10),"|"),";","|"),"+","|"),"|",REPT(" ",LEN(Registro!$F38))),({1,2,3,4,5,6,7,8,9,10,11,12,13,14,15,16,17,18,19,20,21,22,23,24,25,26,27,28,29,30}-1)*LEN(Registro!$F38)+1,LEN(Registro!$F38)))&amp;"x")-1))),"Revisar formato")))</f>
        <v>1</v>
      </c>
      <c r="G38" s="24">
        <f>IF(Registro!$F38="","",IF(ISERROR(FIND("x",LOWER(Registro!$F38))),N(Registro!$G38),IFERROR(SUMPRODUCT(--("0"&amp;LEFT(TRIM(MID(SUBSTITUTE(SUBSTITUTE(SUBSTITUTE(SUBSTITUTE(SUBSTITUTE(LOWER(Registro!$F38)," ",""),CHAR(10),"|"),";","|"),"+","|"),"|",REPT(" ",LEN(Registro!$F38))),({1,2,3,4,5,6,7,8,9,10,11,12,13,14,15,16,17,18,19,20,21,22,23,24,25,26,27,28,29,30}-1)*LEN(Registro!$F38)+1,LEN(Registro!$F38))),FIND("x",TRIM(MID(SUBSTITUTE(SUBSTITUTE(SUBSTITUTE(SUBSTITUTE(SUBSTITUTE(LOWER(Registro!$F38)," ",""),CHAR(10),"|"),";","|"),"+","|"),"|",REPT(" ",LEN(Registro!$F38))),({1,2,3,4,5,6,7,8,9,10,11,12,13,14,15,16,17,18,19,20,21,22,23,24,25,26,27,28,29,30}-1)*LEN(Registro!$F38)+1,LEN(Registro!$F38)))&amp;"x")-1)),--("0"&amp;MID(TRIM(MID(SUBSTITUTE(SUBSTITUTE(SUBSTITUTE(SUBSTITUTE(SUBSTITUTE(LOWER(Registro!$F38)," ",""),CHAR(10),"|"),";","|"),"+","|"),"|",REPT(" ",LEN(Registro!$F38))),({1,2,3,4,5,6,7,8,9,10,11,12,13,14,15,16,17,18,19,20,21,22,23,24,25,26,27,28,29,30}-1)*LEN(Registro!$F38)+1,LEN(Registro!$F38))),FIND("x",TRIM(MID(SUBSTITUTE(SUBSTITUTE(SUBSTITUTE(SUBSTITUTE(SUBSTITUTE(LOWER(Registro!$F38)," ",""),CHAR(10),"|"),";","|"),"+","|"),"|",REPT(" ",LEN(Registro!$F38))),({1,2,3,4,5,6,7,8,9,10,11,12,13,14,15,16,17,18,19,20,21,22,23,24,25,26,27,28,29,30}-1)*LEN(Registro!$F38)+1,LEN(Registro!$F38)))&amp;"x")+1,20))),"Revisar formato")))</f>
        <v>1415</v>
      </c>
      <c r="H38" s="21" t="str">
        <f>IF(AND(Registro!$E38="",Registro!$F38=""),"",IF(NOT(AND(ISNUMBER(G38),ISNUMBER(Registro!$G38))),"",IF(G38&lt;Registro!$G38,"FALTA BOLETOS",IF(G38=Registro!$G38,"CONFORME","DIFERENCIA"))))</f>
        <v>CONFORME</v>
      </c>
      <c r="I38" s="24">
        <f>IF(Registro!$H38="","",IFERROR(SUMPRODUCT(--("0"&amp;TRIM(RIGHT(SUBSTITUTE(TRIM(MID(SUBSTITUTE(SUBSTITUTE(Registro!$H38,";",CHAR(10)),CHAR(10),REPT(" ",LEN(Registro!$H38))),({1,2,3,4,5,6,7,8,9,10,11,12,13,14,15,16,17,18,19,20,21,22,23,24,25,26,27,28,29,30}-1)*LEN(Registro!$H38)+1,LEN(Registro!$H38)))," ",REPT(" ",50)),50)))),"Revisar formato"))</f>
        <v>105</v>
      </c>
      <c r="J38" s="24" t="str">
        <f>IF(Registro!$I38="","",IFERROR(SUMPRODUCT(--("0"&amp;TRIM(RIGHT(SUBSTITUTE(TRIM(MID(SUBSTITUTE(SUBSTITUTE(Registro!$I38,";",CHAR(10)),CHAR(10),REPT(" ",LEN(Registro!$I38))),({1,2,3,4,5,6,7,8,9,10,11,12,13,14,15,16,17,18,19,20,21,22,23,24,25,26,27,28,29,30}-1)*LEN(Registro!$I38)+1,LEN(Registro!$I38)))," ",REPT(" ",50)),50)))),"Revisar formato"))</f>
        <v/>
      </c>
      <c r="K38" s="24">
        <f>IF(AND(Registro!$G38="",Registro!$H38=""),"",IF(AND(ISTEXT(I38),I38&lt;&gt;""),"Revisar formato",N(Registro!$G38)-N(I38)))</f>
        <v>1310</v>
      </c>
      <c r="L38" s="24">
        <f t="shared" si="1"/>
        <v>1310</v>
      </c>
      <c r="M38" s="36" t="str">
        <f>IF(AND(A38=Consulta!$B$3,C38=Consulta!$H$3),B38*10000+ROW(),"")</f>
        <v/>
      </c>
    </row>
    <row r="39" spans="1:13" x14ac:dyDescent="0.25">
      <c r="A39" s="21" t="str">
        <f>IF(Registro!$A39="","",Registro!$A39)</f>
        <v>PIN</v>
      </c>
      <c r="B39" s="20">
        <f>IF(Registro!$B39="","",Registro!$B39)</f>
        <v>46309</v>
      </c>
      <c r="C39" s="35">
        <f t="shared" si="0"/>
        <v>202610</v>
      </c>
      <c r="D39" s="23">
        <f>IF(Registro!$E39="","",IF(ISERROR(FIND("x",LOWER(Registro!$E39))),"-",IFERROR(SUMPRODUCT(--("0"&amp;LEFT(TRIM(MID(SUBSTITUTE(SUBSTITUTE(SUBSTITUTE(SUBSTITUTE(SUBSTITUTE(LOWER(Registro!$E39),"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",LEN(Registro!$E39))),({1,2,3,4,5,6,7,8,9,10,11,12,13,14,15,16,17,18,19,20,21,22,23,24,25,26,27,28,29,30}-1)*LEN(Registro!$E39)+1,LEN(Registro!$E39))),FIND("x",TRIM(MID(SUBSTITUTE(SUBSTITUTE(SUBSTITUTE(SUBSTITUTE(SUBSTITUTE(LOWER(Registro!$E39),"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",LEN(Registro!$E39))),({1,2,3,4,5,6,7,8,9,10,11,12,13,14,15,16,17,18,19,20,21,22,23,24,25,26,27,28,29,30}-1)*LEN(Registro!$E39)+1,LEN(Registro!$E39)))&amp;"x")-1))),"Revisar formato")))</f>
        <v>55</v>
      </c>
      <c r="E39" s="24">
        <f>IF(Registro!$E39="","",IF(ISERROR(FIND("x",LOWER(Registro!$E39))),"-",IFERROR(SUMPRODUCT(--("0"&amp;LEFT(TRIM(MID(SUBSTITUTE(SUBSTITUTE(SUBSTITUTE(SUBSTITUTE(SUBSTITUTE(LOWER(Registro!$E39),"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",LEN(Registro!$E39))),({1,2,3,4,5,6,7,8,9,10,11,12,13,14,15,16,17,18,19,20,21,22,23,24,25,26,27,28,29,30}-1)*LEN(Registro!$E39)+1,LEN(Registro!$E39))),FIND("x",TRIM(MID(SUBSTITUTE(SUBSTITUTE(SUBSTITUTE(SUBSTITUTE(SUBSTITUTE(LOWER(Registro!$E39),"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",LEN(Registro!$E39))),({1,2,3,4,5,6,7,8,9,10,11,12,13,14,15,16,17,18,19,20,21,22,23,24,25,26,27,28,29,30}-1)*LEN(Registro!$E39)+1,LEN(Registro!$E39)))&amp;"x")-1)),--("0"&amp;MID(TRIM(MID(SUBSTITUTE(SUBSTITUTE(SUBSTITUTE(SUBSTITUTE(SUBSTITUTE(LOWER(Registro!$E39),"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",LEN(Registro!$E39))),({1,2,3,4,5,6,7,8,9,10,11,12,13,14,15,16,17,18,19,20,21,22,23,24,25,26,27,28,29,30}-1)*LEN(Registro!$E39)+1,LEN(Registro!$E39))),FIND("x",TRIM(MID(SUBSTITUTE(SUBSTITUTE(SUBSTITUTE(SUBSTITUTE(SUBSTITUTE(LOWER(Registro!$E39),"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",LEN(Registro!$E39))),({1,2,3,4,5,6,7,8,9,10,11,12,13,14,15,16,17,18,19,20,21,22,23,24,25,26,27,28,29,30}-1)*LEN(Registro!$E39)+1,LEN(Registro!$E39)))&amp;"x")+1,20))),"Revisar formato")))</f>
        <v>2420</v>
      </c>
      <c r="F39" s="23">
        <f>IF(Registro!$F39="","",IF(ISERROR(FIND("x",LOWER(Registro!$F39))),"-",IFERROR(SUMPRODUCT(--("0"&amp;LEFT(TRIM(MID(SUBSTITUTE(SUBSTITUTE(SUBSTITUTE(SUBSTITUTE(SUBSTITUTE(LOWER(Registro!$F39)," ",""),CHAR(10),"|"),";","|"),"+","|"),"|",REPT(" ",LEN(Registro!$F39))),({1,2,3,4,5,6,7,8,9,10,11,12,13,14,15,16,17,18,19,20,21,22,23,24,25,26,27,28,29,30}-1)*LEN(Registro!$F39)+1,LEN(Registro!$F39))),FIND("x",TRIM(MID(SUBSTITUTE(SUBSTITUTE(SUBSTITUTE(SUBSTITUTE(SUBSTITUTE(LOWER(Registro!$F39)," ",""),CHAR(10),"|"),";","|"),"+","|"),"|",REPT(" ",LEN(Registro!$F39))),({1,2,3,4,5,6,7,8,9,10,11,12,13,14,15,16,17,18,19,20,21,22,23,24,25,26,27,28,29,30}-1)*LEN(Registro!$F39)+1,LEN(Registro!$F39)))&amp;"x")-1))),"Revisar formato")))</f>
        <v>1</v>
      </c>
      <c r="G39" s="24">
        <f>IF(Registro!$F39="","",IF(ISERROR(FIND("x",LOWER(Registro!$F39))),N(Registro!$G39),IFERROR(SUMPRODUCT(--("0"&amp;LEFT(TRIM(MID(SUBSTITUTE(SUBSTITUTE(SUBSTITUTE(SUBSTITUTE(SUBSTITUTE(LOWER(Registro!$F39)," ",""),CHAR(10),"|"),";","|"),"+","|"),"|",REPT(" ",LEN(Registro!$F39))),({1,2,3,4,5,6,7,8,9,10,11,12,13,14,15,16,17,18,19,20,21,22,23,24,25,26,27,28,29,30}-1)*LEN(Registro!$F39)+1,LEN(Registro!$F39))),FIND("x",TRIM(MID(SUBSTITUTE(SUBSTITUTE(SUBSTITUTE(SUBSTITUTE(SUBSTITUTE(LOWER(Registro!$F39)," ",""),CHAR(10),"|"),";","|"),"+","|"),"|",REPT(" ",LEN(Registro!$F39))),({1,2,3,4,5,6,7,8,9,10,11,12,13,14,15,16,17,18,19,20,21,22,23,24,25,26,27,28,29,30}-1)*LEN(Registro!$F39)+1,LEN(Registro!$F39)))&amp;"x")-1)),--("0"&amp;MID(TRIM(MID(SUBSTITUTE(SUBSTITUTE(SUBSTITUTE(SUBSTITUTE(SUBSTITUTE(LOWER(Registro!$F39)," ",""),CHAR(10),"|"),";","|"),"+","|"),"|",REPT(" ",LEN(Registro!$F39))),({1,2,3,4,5,6,7,8,9,10,11,12,13,14,15,16,17,18,19,20,21,22,23,24,25,26,27,28,29,30}-1)*LEN(Registro!$F39)+1,LEN(Registro!$F39))),FIND("x",TRIM(MID(SUBSTITUTE(SUBSTITUTE(SUBSTITUTE(SUBSTITUTE(SUBSTITUTE(LOWER(Registro!$F39)," ",""),CHAR(10),"|"),";","|"),"+","|"),"|",REPT(" ",LEN(Registro!$F39))),({1,2,3,4,5,6,7,8,9,10,11,12,13,14,15,16,17,18,19,20,21,22,23,24,25,26,27,28,29,30}-1)*LEN(Registro!$F39)+1,LEN(Registro!$F39)))&amp;"x")+1,20))),"Revisar formato")))</f>
        <v>2115</v>
      </c>
      <c r="H39" s="21" t="str">
        <f>IF(AND(Registro!$E39="",Registro!$F39=""),"",IF(NOT(AND(ISNUMBER(G39),ISNUMBER(Registro!$G39))),"",IF(G39&lt;Registro!$G39,"FALTA BOLETOS",IF(G39=Registro!$G39,"CONFORME","DIFERENCIA"))))</f>
        <v>CONFORME</v>
      </c>
      <c r="I39" s="24">
        <f>IF(Registro!$H39="","",IFERROR(SUMPRODUCT(--("0"&amp;TRIM(RIGHT(SUBSTITUTE(TRIM(MID(SUBSTITUTE(SUBSTITUTE(Registro!$H39,";",CHAR(10)),CHAR(10),REPT(" ",LEN(Registro!$H39))),({1,2,3,4,5,6,7,8,9,10,11,12,13,14,15,16,17,18,19,20,21,22,23,24,25,26,27,28,29,30}-1)*LEN(Registro!$H39)+1,LEN(Registro!$H39)))," ",REPT(" ",50)),50)))),"Revisar formato"))</f>
        <v>105</v>
      </c>
      <c r="J39" s="24" t="str">
        <f>IF(Registro!$I39="","",IFERROR(SUMPRODUCT(--("0"&amp;TRIM(RIGHT(SUBSTITUTE(TRIM(MID(SUBSTITUTE(SUBSTITUTE(Registro!$I39,";",CHAR(10)),CHAR(10),REPT(" ",LEN(Registro!$I39))),({1,2,3,4,5,6,7,8,9,10,11,12,13,14,15,16,17,18,19,20,21,22,23,24,25,26,27,28,29,30}-1)*LEN(Registro!$I39)+1,LEN(Registro!$I39)))," ",REPT(" ",50)),50)))),"Revisar formato"))</f>
        <v/>
      </c>
      <c r="K39" s="24">
        <f>IF(AND(Registro!$G39="",Registro!$H39=""),"",IF(AND(ISTEXT(I39),I39&lt;&gt;""),"Revisar formato",N(Registro!$G39)-N(I39)))</f>
        <v>2010</v>
      </c>
      <c r="L39" s="24">
        <f t="shared" si="1"/>
        <v>2010</v>
      </c>
      <c r="M39" s="36" t="str">
        <f>IF(AND(A39=Consulta!$B$3,C39=Consulta!$H$3),B39*10000+ROW(),"")</f>
        <v/>
      </c>
    </row>
    <row r="40" spans="1:13" x14ac:dyDescent="0.25">
      <c r="A40" s="21" t="str">
        <f>IF(Registro!$A40="","",Registro!$A40)</f>
        <v>PIN</v>
      </c>
      <c r="B40" s="20">
        <f>IF(Registro!$B40="","",Registro!$B40)</f>
        <v>46310</v>
      </c>
      <c r="C40" s="35">
        <f t="shared" si="0"/>
        <v>202610</v>
      </c>
      <c r="D40" s="23">
        <f>IF(Registro!$E40="","",IF(ISERROR(FIND("x",LOWER(Registro!$E40))),"-",IFERROR(SUMPRODUCT(--("0"&amp;LEFT(TRIM(MID(SUBSTITUTE(SUBSTITUTE(SUBSTITUTE(SUBSTITUTE(SUBSTITUTE(LOWER(Registro!$E40),"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",LEN(Registro!$E40))),({1,2,3,4,5,6,7,8,9,10,11,12,13,14,15,16,17,18,19,20,21,22,23,24,25,26,27,28,29,30}-1)*LEN(Registro!$E40)+1,LEN(Registro!$E40))),FIND("x",TRIM(MID(SUBSTITUTE(SUBSTITUTE(SUBSTITUTE(SUBSTITUTE(SUBSTITUTE(LOWER(Registro!$E40),"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",LEN(Registro!$E40))),({1,2,3,4,5,6,7,8,9,10,11,12,13,14,15,16,17,18,19,20,21,22,23,24,25,26,27,28,29,30}-1)*LEN(Registro!$E40)+1,LEN(Registro!$E40)))&amp;"x")-1))),"Revisar formato")))</f>
        <v>61</v>
      </c>
      <c r="E40" s="24">
        <f>IF(Registro!$E40="","",IF(ISERROR(FIND("x",LOWER(Registro!$E40))),"-",IFERROR(SUMPRODUCT(--("0"&amp;LEFT(TRIM(MID(SUBSTITUTE(SUBSTITUTE(SUBSTITUTE(SUBSTITUTE(SUBSTITUTE(LOWER(Registro!$E40),"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",LEN(Registro!$E40))),({1,2,3,4,5,6,7,8,9,10,11,12,13,14,15,16,17,18,19,20,21,22,23,24,25,26,27,28,29,30}-1)*LEN(Registro!$E40)+1,LEN(Registro!$E40))),FIND("x",TRIM(MID(SUBSTITUTE(SUBSTITUTE(SUBSTITUTE(SUBSTITUTE(SUBSTITUTE(LOWER(Registro!$E40),"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",LEN(Registro!$E40))),({1,2,3,4,5,6,7,8,9,10,11,12,13,14,15,16,17,18,19,20,21,22,23,24,25,26,27,28,29,30}-1)*LEN(Registro!$E40)+1,LEN(Registro!$E40)))&amp;"x")-1)),--("0"&amp;MID(TRIM(MID(SUBSTITUTE(SUBSTITUTE(SUBSTITUTE(SUBSTITUTE(SUBSTITUTE(LOWER(Registro!$E40),"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",LEN(Registro!$E40))),({1,2,3,4,5,6,7,8,9,10,11,12,13,14,15,16,17,18,19,20,21,22,23,24,25,26,27,28,29,30}-1)*LEN(Registro!$E40)+1,LEN(Registro!$E40))),FIND("x",TRIM(MID(SUBSTITUTE(SUBSTITUTE(SUBSTITUTE(SUBSTITUTE(SUBSTITUTE(LOWER(Registro!$E40),"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",LEN(Registro!$E40))),({1,2,3,4,5,6,7,8,9,10,11,12,13,14,15,16,17,18,19,20,21,22,23,24,25,26,27,28,29,30}-1)*LEN(Registro!$E40)+1,LEN(Registro!$E40)))&amp;"x")+1,20))),"Revisar formato")))</f>
        <v>2670</v>
      </c>
      <c r="F40" s="23">
        <f>IF(Registro!$F40="","",IF(ISERROR(FIND("x",LOWER(Registro!$F40))),"-",IFERROR(SUMPRODUCT(--("0"&amp;LEFT(TRIM(MID(SUBSTITUTE(SUBSTITUTE(SUBSTITUTE(SUBSTITUTE(SUBSTITUTE(LOWER(Registro!$F40)," ",""),CHAR(10),"|"),";","|"),"+","|"),"|",REPT(" ",LEN(Registro!$F40))),({1,2,3,4,5,6,7,8,9,10,11,12,13,14,15,16,17,18,19,20,21,22,23,24,25,26,27,28,29,30}-1)*LEN(Registro!$F40)+1,LEN(Registro!$F40))),FIND("x",TRIM(MID(SUBSTITUTE(SUBSTITUTE(SUBSTITUTE(SUBSTITUTE(SUBSTITUTE(LOWER(Registro!$F40)," ",""),CHAR(10),"|"),";","|"),"+","|"),"|",REPT(" ",LEN(Registro!$F40))),({1,2,3,4,5,6,7,8,9,10,11,12,13,14,15,16,17,18,19,20,21,22,23,24,25,26,27,28,29,30}-1)*LEN(Registro!$F40)+1,LEN(Registro!$F40)))&amp;"x")-1))),"Revisar formato")))</f>
        <v>1</v>
      </c>
      <c r="G40" s="24">
        <f>IF(Registro!$F40="","",IF(ISERROR(FIND("x",LOWER(Registro!$F40))),N(Registro!$G40),IFERROR(SUMPRODUCT(--("0"&amp;LEFT(TRIM(MID(SUBSTITUTE(SUBSTITUTE(SUBSTITUTE(SUBSTITUTE(SUBSTITUTE(LOWER(Registro!$F40)," ",""),CHAR(10),"|"),";","|"),"+","|"),"|",REPT(" ",LEN(Registro!$F40))),({1,2,3,4,5,6,7,8,9,10,11,12,13,14,15,16,17,18,19,20,21,22,23,24,25,26,27,28,29,30}-1)*LEN(Registro!$F40)+1,LEN(Registro!$F40))),FIND("x",TRIM(MID(SUBSTITUTE(SUBSTITUTE(SUBSTITUTE(SUBSTITUTE(SUBSTITUTE(LOWER(Registro!$F40)," ",""),CHAR(10),"|"),";","|"),"+","|"),"|",REPT(" ",LEN(Registro!$F40))),({1,2,3,4,5,6,7,8,9,10,11,12,13,14,15,16,17,18,19,20,21,22,23,24,25,26,27,28,29,30}-1)*LEN(Registro!$F40)+1,LEN(Registro!$F40)))&amp;"x")-1)),--("0"&amp;MID(TRIM(MID(SUBSTITUTE(SUBSTITUTE(SUBSTITUTE(SUBSTITUTE(SUBSTITUTE(LOWER(Registro!$F40)," ",""),CHAR(10),"|"),";","|"),"+","|"),"|",REPT(" ",LEN(Registro!$F40))),({1,2,3,4,5,6,7,8,9,10,11,12,13,14,15,16,17,18,19,20,21,22,23,24,25,26,27,28,29,30}-1)*LEN(Registro!$F40)+1,LEN(Registro!$F40))),FIND("x",TRIM(MID(SUBSTITUTE(SUBSTITUTE(SUBSTITUTE(SUBSTITUTE(SUBSTITUTE(LOWER(Registro!$F40)," ",""),CHAR(10),"|"),";","|"),"+","|"),"|",REPT(" ",LEN(Registro!$F40))),({1,2,3,4,5,6,7,8,9,10,11,12,13,14,15,16,17,18,19,20,21,22,23,24,25,26,27,28,29,30}-1)*LEN(Registro!$F40)+1,LEN(Registro!$F40)))&amp;"x")+1,20))),"Revisar formato")))</f>
        <v>1905</v>
      </c>
      <c r="H40" s="21" t="str">
        <f>IF(AND(Registro!$E40="",Registro!$F40=""),"",IF(NOT(AND(ISNUMBER(G40),ISNUMBER(Registro!$G40))),"",IF(G40&lt;Registro!$G40,"FALTA BOLETOS",IF(G40=Registro!$G40,"CONFORME","DIFERENCIA"))))</f>
        <v>CONFORME</v>
      </c>
      <c r="I40" s="24">
        <f>IF(Registro!$H40="","",IFERROR(SUMPRODUCT(--("0"&amp;TRIM(RIGHT(SUBSTITUTE(TRIM(MID(SUBSTITUTE(SUBSTITUTE(Registro!$H40,";",CHAR(10)),CHAR(10),REPT(" ",LEN(Registro!$H40))),({1,2,3,4,5,6,7,8,9,10,11,12,13,14,15,16,17,18,19,20,21,22,23,24,25,26,27,28,29,30}-1)*LEN(Registro!$H40)+1,LEN(Registro!$H40)))," ",REPT(" ",50)),50)))),"Revisar formato"))</f>
        <v>105</v>
      </c>
      <c r="J40" s="24" t="str">
        <f>IF(Registro!$I40="","",IFERROR(SUMPRODUCT(--("0"&amp;TRIM(RIGHT(SUBSTITUTE(TRIM(MID(SUBSTITUTE(SUBSTITUTE(Registro!$I40,";",CHAR(10)),CHAR(10),REPT(" ",LEN(Registro!$I40))),({1,2,3,4,5,6,7,8,9,10,11,12,13,14,15,16,17,18,19,20,21,22,23,24,25,26,27,28,29,30}-1)*LEN(Registro!$I40)+1,LEN(Registro!$I40)))," ",REPT(" ",50)),50)))),"Revisar formato"))</f>
        <v/>
      </c>
      <c r="K40" s="24">
        <f>IF(AND(Registro!$G40="",Registro!$H40=""),"",IF(AND(ISTEXT(I40),I40&lt;&gt;""),"Revisar formato",N(Registro!$G40)-N(I40)))</f>
        <v>1800</v>
      </c>
      <c r="L40" s="24">
        <f t="shared" si="1"/>
        <v>1800</v>
      </c>
      <c r="M40" s="36" t="str">
        <f>IF(AND(A40=Consulta!$B$3,C40=Consulta!$H$3),B40*10000+ROW(),"")</f>
        <v/>
      </c>
    </row>
    <row r="41" spans="1:13" x14ac:dyDescent="0.25">
      <c r="A41" s="21" t="str">
        <f>IF(Registro!$A41="","",Registro!$A41)</f>
        <v>PIN</v>
      </c>
      <c r="B41" s="20">
        <f>IF(Registro!$B41="","",Registro!$B41)</f>
        <v>46311</v>
      </c>
      <c r="C41" s="35">
        <f t="shared" si="0"/>
        <v>202610</v>
      </c>
      <c r="D41" s="23" t="str">
        <f>IF(Registro!$E41="","",IF(ISERROR(FIND("x",LOWER(Registro!$E41))),"-",IFERROR(SUMPRODUCT(--("0"&amp;LEFT(TRIM(MID(SUBSTITUTE(SUBSTITUTE(SUBSTITUTE(SUBSTITUTE(SUBSTITUTE(LOWER(Registro!$E41),"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",LEN(Registro!$E41))),({1,2,3,4,5,6,7,8,9,10,11,12,13,14,15,16,17,18,19,20,21,22,23,24,25,26,27,28,29,30}-1)*LEN(Registro!$E41)+1,LEN(Registro!$E41))),FIND("x",TRIM(MID(SUBSTITUTE(SUBSTITUTE(SUBSTITUTE(SUBSTITUTE(SUBSTITUTE(LOWER(Registro!$E41),"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",LEN(Registro!$E41))),({1,2,3,4,5,6,7,8,9,10,11,12,13,14,15,16,17,18,19,20,21,22,23,24,25,26,27,28,29,30}-1)*LEN(Registro!$E41)+1,LEN(Registro!$E41)))&amp;"x")-1))),"Revisar formato")))</f>
        <v>-</v>
      </c>
      <c r="E41" s="24" t="str">
        <f>IF(Registro!$E41="","",IF(ISERROR(FIND("x",LOWER(Registro!$E41))),"-",IFERROR(SUMPRODUCT(--("0"&amp;LEFT(TRIM(MID(SUBSTITUTE(SUBSTITUTE(SUBSTITUTE(SUBSTITUTE(SUBSTITUTE(LOWER(Registro!$E41),"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",LEN(Registro!$E41))),({1,2,3,4,5,6,7,8,9,10,11,12,13,14,15,16,17,18,19,20,21,22,23,24,25,26,27,28,29,30}-1)*LEN(Registro!$E41)+1,LEN(Registro!$E41))),FIND("x",TRIM(MID(SUBSTITUTE(SUBSTITUTE(SUBSTITUTE(SUBSTITUTE(SUBSTITUTE(LOWER(Registro!$E41),"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",LEN(Registro!$E41))),({1,2,3,4,5,6,7,8,9,10,11,12,13,14,15,16,17,18,19,20,21,22,23,24,25,26,27,28,29,30}-1)*LEN(Registro!$E41)+1,LEN(Registro!$E41)))&amp;"x")-1)),--("0"&amp;MID(TRIM(MID(SUBSTITUTE(SUBSTITUTE(SUBSTITUTE(SUBSTITUTE(SUBSTITUTE(LOWER(Registro!$E41),"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",LEN(Registro!$E41))),({1,2,3,4,5,6,7,8,9,10,11,12,13,14,15,16,17,18,19,20,21,22,23,24,25,26,27,28,29,30}-1)*LEN(Registro!$E41)+1,LEN(Registro!$E41))),FIND("x",TRIM(MID(SUBSTITUTE(SUBSTITUTE(SUBSTITUTE(SUBSTITUTE(SUBSTITUTE(LOWER(Registro!$E41),"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",LEN(Registro!$E41))),({1,2,3,4,5,6,7,8,9,10,11,12,13,14,15,16,17,18,19,20,21,22,23,24,25,26,27,28,29,30}-1)*LEN(Registro!$E41)+1,LEN(Registro!$E41)))&amp;"x")+1,20))),"Revisar formato")))</f>
        <v>-</v>
      </c>
      <c r="F41" s="23" t="str">
        <f>IF(Registro!$F41="","",IF(ISERROR(FIND("x",LOWER(Registro!$F41))),"-",IFERROR(SUMPRODUCT(--("0"&amp;LEFT(TRIM(MID(SUBSTITUTE(SUBSTITUTE(SUBSTITUTE(SUBSTITUTE(SUBSTITUTE(LOWER(Registro!$F41)," ",""),CHAR(10),"|"),";","|"),"+","|"),"|",REPT(" ",LEN(Registro!$F41))),({1,2,3,4,5,6,7,8,9,10,11,12,13,14,15,16,17,18,19,20,21,22,23,24,25,26,27,28,29,30}-1)*LEN(Registro!$F41)+1,LEN(Registro!$F41))),FIND("x",TRIM(MID(SUBSTITUTE(SUBSTITUTE(SUBSTITUTE(SUBSTITUTE(SUBSTITUTE(LOWER(Registro!$F41)," ",""),CHAR(10),"|"),";","|"),"+","|"),"|",REPT(" ",LEN(Registro!$F41))),({1,2,3,4,5,6,7,8,9,10,11,12,13,14,15,16,17,18,19,20,21,22,23,24,25,26,27,28,29,30}-1)*LEN(Registro!$F41)+1,LEN(Registro!$F41)))&amp;"x")-1))),"Revisar formato")))</f>
        <v>-</v>
      </c>
      <c r="G41" s="24">
        <f>IF(Registro!$F41="","",IF(ISERROR(FIND("x",LOWER(Registro!$F41))),N(Registro!$G41),IFERROR(SUMPRODUCT(--("0"&amp;LEFT(TRIM(MID(SUBSTITUTE(SUBSTITUTE(SUBSTITUTE(SUBSTITUTE(SUBSTITUTE(LOWER(Registro!$F41)," ",""),CHAR(10),"|"),";","|"),"+","|"),"|",REPT(" ",LEN(Registro!$F41))),({1,2,3,4,5,6,7,8,9,10,11,12,13,14,15,16,17,18,19,20,21,22,23,24,25,26,27,28,29,30}-1)*LEN(Registro!$F41)+1,LEN(Registro!$F41))),FIND("x",TRIM(MID(SUBSTITUTE(SUBSTITUTE(SUBSTITUTE(SUBSTITUTE(SUBSTITUTE(LOWER(Registro!$F41)," ",""),CHAR(10),"|"),";","|"),"+","|"),"|",REPT(" ",LEN(Registro!$F41))),({1,2,3,4,5,6,7,8,9,10,11,12,13,14,15,16,17,18,19,20,21,22,23,24,25,26,27,28,29,30}-1)*LEN(Registro!$F41)+1,LEN(Registro!$F41)))&amp;"x")-1)),--("0"&amp;MID(TRIM(MID(SUBSTITUTE(SUBSTITUTE(SUBSTITUTE(SUBSTITUTE(SUBSTITUTE(LOWER(Registro!$F41)," ",""),CHAR(10),"|"),";","|"),"+","|"),"|",REPT(" ",LEN(Registro!$F41))),({1,2,3,4,5,6,7,8,9,10,11,12,13,14,15,16,17,18,19,20,21,22,23,24,25,26,27,28,29,30}-1)*LEN(Registro!$F41)+1,LEN(Registro!$F41))),FIND("x",TRIM(MID(SUBSTITUTE(SUBSTITUTE(SUBSTITUTE(SUBSTITUTE(SUBSTITUTE(LOWER(Registro!$F41)," ",""),CHAR(10),"|"),";","|"),"+","|"),"|",REPT(" ",LEN(Registro!$F41))),({1,2,3,4,5,6,7,8,9,10,11,12,13,14,15,16,17,18,19,20,21,22,23,24,25,26,27,28,29,30}-1)*LEN(Registro!$F41)+1,LEN(Registro!$F41)))&amp;"x")+1,20))),"Revisar formato")))</f>
        <v>2775</v>
      </c>
      <c r="H41" s="21" t="str">
        <f>IF(AND(Registro!$E41="",Registro!$F41=""),"",IF(NOT(AND(ISNUMBER(G41),ISNUMBER(Registro!$G41))),"",IF(G41&lt;Registro!$G41,"FALTA BOLETOS",IF(G41=Registro!$G41,"CONFORME","DIFERENCIA"))))</f>
        <v>CONFORME</v>
      </c>
      <c r="I41" s="24">
        <f>IF(Registro!$H41="","",IFERROR(SUMPRODUCT(--("0"&amp;TRIM(RIGHT(SUBSTITUTE(TRIM(MID(SUBSTITUTE(SUBSTITUTE(Registro!$H41,";",CHAR(10)),CHAR(10),REPT(" ",LEN(Registro!$H41))),({1,2,3,4,5,6,7,8,9,10,11,12,13,14,15,16,17,18,19,20,21,22,23,24,25,26,27,28,29,30}-1)*LEN(Registro!$H41)+1,LEN(Registro!$H41)))," ",REPT(" ",50)),50)))),"Revisar formato"))</f>
        <v>185</v>
      </c>
      <c r="J41" s="24" t="str">
        <f>IF(Registro!$I41="","",IFERROR(SUMPRODUCT(--("0"&amp;TRIM(RIGHT(SUBSTITUTE(TRIM(MID(SUBSTITUTE(SUBSTITUTE(Registro!$I41,";",CHAR(10)),CHAR(10),REPT(" ",LEN(Registro!$I41))),({1,2,3,4,5,6,7,8,9,10,11,12,13,14,15,16,17,18,19,20,21,22,23,24,25,26,27,28,29,30}-1)*LEN(Registro!$I41)+1,LEN(Registro!$I41)))," ",REPT(" ",50)),50)))),"Revisar formato"))</f>
        <v/>
      </c>
      <c r="K41" s="24">
        <f>IF(AND(Registro!$G41="",Registro!$H41=""),"",IF(AND(ISTEXT(I41),I41&lt;&gt;""),"Revisar formato",N(Registro!$G41)-N(I41)))</f>
        <v>2590</v>
      </c>
      <c r="L41" s="24">
        <f t="shared" si="1"/>
        <v>2590</v>
      </c>
      <c r="M41" s="36" t="str">
        <f>IF(AND(A41=Consulta!$B$3,C41=Consulta!$H$3),B41*10000+ROW(),"")</f>
        <v/>
      </c>
    </row>
    <row r="42" spans="1:13" x14ac:dyDescent="0.25">
      <c r="A42" s="21" t="str">
        <f>IF(Registro!$A42="","",Registro!$A42)</f>
        <v>PIN</v>
      </c>
      <c r="B42" s="20">
        <f>IF(Registro!$B42="","",Registro!$B42)</f>
        <v>46312</v>
      </c>
      <c r="C42" s="35">
        <f t="shared" si="0"/>
        <v>202610</v>
      </c>
      <c r="D42" s="23">
        <f>IF(Registro!$E42="","",IF(ISERROR(FIND("x",LOWER(Registro!$E42))),"-",IFERROR(SUMPRODUCT(--("0"&amp;LEFT(TRIM(MID(SUBSTITUTE(SUBSTITUTE(SUBSTITUTE(SUBSTITUTE(SUBSTITUTE(LOWER(Registro!$E42),"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",LEN(Registro!$E42))),({1,2,3,4,5,6,7,8,9,10,11,12,13,14,15,16,17,18,19,20,21,22,23,24,25,26,27,28,29,30}-1)*LEN(Registro!$E42)+1,LEN(Registro!$E42))),FIND("x",TRIM(MID(SUBSTITUTE(SUBSTITUTE(SUBSTITUTE(SUBSTITUTE(SUBSTITUTE(LOWER(Registro!$E42),"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",LEN(Registro!$E42))),({1,2,3,4,5,6,7,8,9,10,11,12,13,14,15,16,17,18,19,20,21,22,23,24,25,26,27,28,29,30}-1)*LEN(Registro!$E42)+1,LEN(Registro!$E42)))&amp;"x")-1))),"Revisar formato")))</f>
        <v>55</v>
      </c>
      <c r="E42" s="24">
        <f>IF(Registro!$E42="","",IF(ISERROR(FIND("x",LOWER(Registro!$E42))),"-",IFERROR(SUMPRODUCT(--("0"&amp;LEFT(TRIM(MID(SUBSTITUTE(SUBSTITUTE(SUBSTITUTE(SUBSTITUTE(SUBSTITUTE(LOWER(Registro!$E42),"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",LEN(Registro!$E42))),({1,2,3,4,5,6,7,8,9,10,11,12,13,14,15,16,17,18,19,20,21,22,23,24,25,26,27,28,29,30}-1)*LEN(Registro!$E42)+1,LEN(Registro!$E42))),FIND("x",TRIM(MID(SUBSTITUTE(SUBSTITUTE(SUBSTITUTE(SUBSTITUTE(SUBSTITUTE(LOWER(Registro!$E42),"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",LEN(Registro!$E42))),({1,2,3,4,5,6,7,8,9,10,11,12,13,14,15,16,17,18,19,20,21,22,23,24,25,26,27,28,29,30}-1)*LEN(Registro!$E42)+1,LEN(Registro!$E42)))&amp;"x")-1)),--("0"&amp;MID(TRIM(MID(SUBSTITUTE(SUBSTITUTE(SUBSTITUTE(SUBSTITUTE(SUBSTITUTE(LOWER(Registro!$E42),"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",LEN(Registro!$E42))),({1,2,3,4,5,6,7,8,9,10,11,12,13,14,15,16,17,18,19,20,21,22,23,24,25,26,27,28,29,30}-1)*LEN(Registro!$E42)+1,LEN(Registro!$E42))),FIND("x",TRIM(MID(SUBSTITUTE(SUBSTITUTE(SUBSTITUTE(SUBSTITUTE(SUBSTITUTE(LOWER(Registro!$E42),"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",LEN(Registro!$E42))),({1,2,3,4,5,6,7,8,9,10,11,12,13,14,15,16,17,18,19,20,21,22,23,24,25,26,27,28,29,30}-1)*LEN(Registro!$E42)+1,LEN(Registro!$E42)))&amp;"x")+1,20))),"Revisar formato")))</f>
        <v>2710</v>
      </c>
      <c r="F42" s="23">
        <f>IF(Registro!$F42="","",IF(ISERROR(FIND("x",LOWER(Registro!$F42))),"-",IFERROR(SUMPRODUCT(--("0"&amp;LEFT(TRIM(MID(SUBSTITUTE(SUBSTITUTE(SUBSTITUTE(SUBSTITUTE(SUBSTITUTE(LOWER(Registro!$F42)," ",""),CHAR(10),"|"),";","|"),"+","|"),"|",REPT(" ",LEN(Registro!$F42))),({1,2,3,4,5,6,7,8,9,10,11,12,13,14,15,16,17,18,19,20,21,22,23,24,25,26,27,28,29,30}-1)*LEN(Registro!$F42)+1,LEN(Registro!$F42))),FIND("x",TRIM(MID(SUBSTITUTE(SUBSTITUTE(SUBSTITUTE(SUBSTITUTE(SUBSTITUTE(LOWER(Registro!$F42)," ",""),CHAR(10),"|"),";","|"),"+","|"),"|",REPT(" ",LEN(Registro!$F42))),({1,2,3,4,5,6,7,8,9,10,11,12,13,14,15,16,17,18,19,20,21,22,23,24,25,26,27,28,29,30}-1)*LEN(Registro!$F42)+1,LEN(Registro!$F42)))&amp;"x")-1))),"Revisar formato")))</f>
        <v>1</v>
      </c>
      <c r="G42" s="24">
        <f>IF(Registro!$F42="","",IF(ISERROR(FIND("x",LOWER(Registro!$F42))),N(Registro!$G42),IFERROR(SUMPRODUCT(--("0"&amp;LEFT(TRIM(MID(SUBSTITUTE(SUBSTITUTE(SUBSTITUTE(SUBSTITUTE(SUBSTITUTE(LOWER(Registro!$F42)," ",""),CHAR(10),"|"),";","|"),"+","|"),"|",REPT(" ",LEN(Registro!$F42))),({1,2,3,4,5,6,7,8,9,10,11,12,13,14,15,16,17,18,19,20,21,22,23,24,25,26,27,28,29,30}-1)*LEN(Registro!$F42)+1,LEN(Registro!$F42))),FIND("x",TRIM(MID(SUBSTITUTE(SUBSTITUTE(SUBSTITUTE(SUBSTITUTE(SUBSTITUTE(LOWER(Registro!$F42)," ",""),CHAR(10),"|"),";","|"),"+","|"),"|",REPT(" ",LEN(Registro!$F42))),({1,2,3,4,5,6,7,8,9,10,11,12,13,14,15,16,17,18,19,20,21,22,23,24,25,26,27,28,29,30}-1)*LEN(Registro!$F42)+1,LEN(Registro!$F42)))&amp;"x")-1)),--("0"&amp;MID(TRIM(MID(SUBSTITUTE(SUBSTITUTE(SUBSTITUTE(SUBSTITUTE(SUBSTITUTE(LOWER(Registro!$F42)," ",""),CHAR(10),"|"),";","|"),"+","|"),"|",REPT(" ",LEN(Registro!$F42))),({1,2,3,4,5,6,7,8,9,10,11,12,13,14,15,16,17,18,19,20,21,22,23,24,25,26,27,28,29,30}-1)*LEN(Registro!$F42)+1,LEN(Registro!$F42))),FIND("x",TRIM(MID(SUBSTITUTE(SUBSTITUTE(SUBSTITUTE(SUBSTITUTE(SUBSTITUTE(LOWER(Registro!$F42)," ",""),CHAR(10),"|"),";","|"),"+","|"),"|",REPT(" ",LEN(Registro!$F42))),({1,2,3,4,5,6,7,8,9,10,11,12,13,14,15,16,17,18,19,20,21,22,23,24,25,26,27,28,29,30}-1)*LEN(Registro!$F42)+1,LEN(Registro!$F42)))&amp;"x")+1,20))),"Revisar formato")))</f>
        <v>1925</v>
      </c>
      <c r="H42" s="21" t="str">
        <f>IF(AND(Registro!$E42="",Registro!$F42=""),"",IF(NOT(AND(ISNUMBER(G42),ISNUMBER(Registro!$G42))),"",IF(G42&lt;Registro!$G42,"FALTA BOLETOS",IF(G42=Registro!$G42,"CONFORME","DIFERENCIA"))))</f>
        <v>CONFORME</v>
      </c>
      <c r="I42" s="24">
        <f>IF(Registro!$H42="","",IFERROR(SUMPRODUCT(--("0"&amp;TRIM(RIGHT(SUBSTITUTE(TRIM(MID(SUBSTITUTE(SUBSTITUTE(Registro!$H42,";",CHAR(10)),CHAR(10),REPT(" ",LEN(Registro!$H42))),({1,2,3,4,5,6,7,8,9,10,11,12,13,14,15,16,17,18,19,20,21,22,23,24,25,26,27,28,29,30}-1)*LEN(Registro!$H42)+1,LEN(Registro!$H42)))," ",REPT(" ",50)),50)))),"Revisar formato"))</f>
        <v>105</v>
      </c>
      <c r="J42" s="24" t="str">
        <f>IF(Registro!$I42="","",IFERROR(SUMPRODUCT(--("0"&amp;TRIM(RIGHT(SUBSTITUTE(TRIM(MID(SUBSTITUTE(SUBSTITUTE(Registro!$I42,";",CHAR(10)),CHAR(10),REPT(" ",LEN(Registro!$I42))),({1,2,3,4,5,6,7,8,9,10,11,12,13,14,15,16,17,18,19,20,21,22,23,24,25,26,27,28,29,30}-1)*LEN(Registro!$I42)+1,LEN(Registro!$I42)))," ",REPT(" ",50)),50)))),"Revisar formato"))</f>
        <v/>
      </c>
      <c r="K42" s="24">
        <f>IF(AND(Registro!$G42="",Registro!$H42=""),"",IF(AND(ISTEXT(I42),I42&lt;&gt;""),"Revisar formato",N(Registro!$G42)-N(I42)))</f>
        <v>1820</v>
      </c>
      <c r="L42" s="24">
        <f t="shared" si="1"/>
        <v>1820</v>
      </c>
      <c r="M42" s="36" t="str">
        <f>IF(AND(A42=Consulta!$B$3,C42=Consulta!$H$3),B42*10000+ROW(),"")</f>
        <v/>
      </c>
    </row>
    <row r="43" spans="1:13" x14ac:dyDescent="0.25">
      <c r="A43" s="21" t="str">
        <f>IF(Registro!$A43="","",Registro!$A43)</f>
        <v>PIN</v>
      </c>
      <c r="B43" s="20">
        <f>IF(Registro!$B43="","",Registro!$B43)</f>
        <v>46314</v>
      </c>
      <c r="C43" s="35">
        <f t="shared" si="0"/>
        <v>202610</v>
      </c>
      <c r="D43" s="23">
        <f>IF(Registro!$E43="","",IF(ISERROR(FIND("x",LOWER(Registro!$E43))),"-",IFERROR(SUMPRODUCT(--("0"&amp;LEFT(TRIM(MID(SUBSTITUTE(SUBSTITUTE(SUBSTITUTE(SUBSTITUTE(SUBSTITUTE(LOWER(Registro!$E43),"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",LEN(Registro!$E43))),({1,2,3,4,5,6,7,8,9,10,11,12,13,14,15,16,17,18,19,20,21,22,23,24,25,26,27,28,29,30}-1)*LEN(Registro!$E43)+1,LEN(Registro!$E43))),FIND("x",TRIM(MID(SUBSTITUTE(SUBSTITUTE(SUBSTITUTE(SUBSTITUTE(SUBSTITUTE(LOWER(Registro!$E43),"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",LEN(Registro!$E43))),({1,2,3,4,5,6,7,8,9,10,11,12,13,14,15,16,17,18,19,20,21,22,23,24,25,26,27,28,29,30}-1)*LEN(Registro!$E43)+1,LEN(Registro!$E43)))&amp;"x")-1))),"Revisar formato")))</f>
        <v>57</v>
      </c>
      <c r="E43" s="24">
        <f>IF(Registro!$E43="","",IF(ISERROR(FIND("x",LOWER(Registro!$E43))),"-",IFERROR(SUMPRODUCT(--("0"&amp;LEFT(TRIM(MID(SUBSTITUTE(SUBSTITUTE(SUBSTITUTE(SUBSTITUTE(SUBSTITUTE(LOWER(Registro!$E43),"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",LEN(Registro!$E43))),({1,2,3,4,5,6,7,8,9,10,11,12,13,14,15,16,17,18,19,20,21,22,23,24,25,26,27,28,29,30}-1)*LEN(Registro!$E43)+1,LEN(Registro!$E43))),FIND("x",TRIM(MID(SUBSTITUTE(SUBSTITUTE(SUBSTITUTE(SUBSTITUTE(SUBSTITUTE(LOWER(Registro!$E43),"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",LEN(Registro!$E43))),({1,2,3,4,5,6,7,8,9,10,11,12,13,14,15,16,17,18,19,20,21,22,23,24,25,26,27,28,29,30}-1)*LEN(Registro!$E43)+1,LEN(Registro!$E43)))&amp;"x")-1)),--("0"&amp;MID(TRIM(MID(SUBSTITUTE(SUBSTITUTE(SUBSTITUTE(SUBSTITUTE(SUBSTITUTE(LOWER(Registro!$E43),"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",LEN(Registro!$E43))),({1,2,3,4,5,6,7,8,9,10,11,12,13,14,15,16,17,18,19,20,21,22,23,24,25,26,27,28,29,30}-1)*LEN(Registro!$E43)+1,LEN(Registro!$E43))),FIND("x",TRIM(MID(SUBSTITUTE(SUBSTITUTE(SUBSTITUTE(SUBSTITUTE(SUBSTITUTE(LOWER(Registro!$E43),"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",LEN(Registro!$E43))),({1,2,3,4,5,6,7,8,9,10,11,12,13,14,15,16,17,18,19,20,21,22,23,24,25,26,27,28,29,30}-1)*LEN(Registro!$E43)+1,LEN(Registro!$E43)))&amp;"x")+1,20))),"Revisar formato")))</f>
        <v>2680</v>
      </c>
      <c r="F43" s="23">
        <f>IF(Registro!$F43="","",IF(ISERROR(FIND("x",LOWER(Registro!$F43))),"-",IFERROR(SUMPRODUCT(--("0"&amp;LEFT(TRIM(MID(SUBSTITUTE(SUBSTITUTE(SUBSTITUTE(SUBSTITUTE(SUBSTITUTE(LOWER(Registro!$F43)," ",""),CHAR(10),"|"),";","|"),"+","|"),"|",REPT(" ",LEN(Registro!$F43))),({1,2,3,4,5,6,7,8,9,10,11,12,13,14,15,16,17,18,19,20,21,22,23,24,25,26,27,28,29,30}-1)*LEN(Registro!$F43)+1,LEN(Registro!$F43))),FIND("x",TRIM(MID(SUBSTITUTE(SUBSTITUTE(SUBSTITUTE(SUBSTITUTE(SUBSTITUTE(LOWER(Registro!$F43)," ",""),CHAR(10),"|"),";","|"),"+","|"),"|",REPT(" ",LEN(Registro!$F43))),({1,2,3,4,5,6,7,8,9,10,11,12,13,14,15,16,17,18,19,20,21,22,23,24,25,26,27,28,29,30}-1)*LEN(Registro!$F43)+1,LEN(Registro!$F43)))&amp;"x")-1))),"Revisar formato")))</f>
        <v>1</v>
      </c>
      <c r="G43" s="24">
        <f>IF(Registro!$F43="","",IF(ISERROR(FIND("x",LOWER(Registro!$F43))),N(Registro!$G43),IFERROR(SUMPRODUCT(--("0"&amp;LEFT(TRIM(MID(SUBSTITUTE(SUBSTITUTE(SUBSTITUTE(SUBSTITUTE(SUBSTITUTE(LOWER(Registro!$F43)," ",""),CHAR(10),"|"),";","|"),"+","|"),"|",REPT(" ",LEN(Registro!$F43))),({1,2,3,4,5,6,7,8,9,10,11,12,13,14,15,16,17,18,19,20,21,22,23,24,25,26,27,28,29,30}-1)*LEN(Registro!$F43)+1,LEN(Registro!$F43))),FIND("x",TRIM(MID(SUBSTITUTE(SUBSTITUTE(SUBSTITUTE(SUBSTITUTE(SUBSTITUTE(LOWER(Registro!$F43)," ",""),CHAR(10),"|"),";","|"),"+","|"),"|",REPT(" ",LEN(Registro!$F43))),({1,2,3,4,5,6,7,8,9,10,11,12,13,14,15,16,17,18,19,20,21,22,23,24,25,26,27,28,29,30}-1)*LEN(Registro!$F43)+1,LEN(Registro!$F43)))&amp;"x")-1)),--("0"&amp;MID(TRIM(MID(SUBSTITUTE(SUBSTITUTE(SUBSTITUTE(SUBSTITUTE(SUBSTITUTE(LOWER(Registro!$F43)," ",""),CHAR(10),"|"),";","|"),"+","|"),"|",REPT(" ",LEN(Registro!$F43))),({1,2,3,4,5,6,7,8,9,10,11,12,13,14,15,16,17,18,19,20,21,22,23,24,25,26,27,28,29,30}-1)*LEN(Registro!$F43)+1,LEN(Registro!$F43))),FIND("x",TRIM(MID(SUBSTITUTE(SUBSTITUTE(SUBSTITUTE(SUBSTITUTE(SUBSTITUTE(LOWER(Registro!$F43)," ",""),CHAR(10),"|"),";","|"),"+","|"),"|",REPT(" ",LEN(Registro!$F43))),({1,2,3,4,5,6,7,8,9,10,11,12,13,14,15,16,17,18,19,20,21,22,23,24,25,26,27,28,29,30}-1)*LEN(Registro!$F43)+1,LEN(Registro!$F43)))&amp;"x")+1,20))),"Revisar formato")))</f>
        <v>1725</v>
      </c>
      <c r="H43" s="21" t="str">
        <f>IF(AND(Registro!$E43="",Registro!$F43=""),"",IF(NOT(AND(ISNUMBER(G43),ISNUMBER(Registro!$G43))),"",IF(G43&lt;Registro!$G43,"FALTA BOLETOS",IF(G43=Registro!$G43,"CONFORME","DIFERENCIA"))))</f>
        <v>CONFORME</v>
      </c>
      <c r="I43" s="24">
        <f>IF(Registro!$H43="","",IFERROR(SUMPRODUCT(--("0"&amp;TRIM(RIGHT(SUBSTITUTE(TRIM(MID(SUBSTITUTE(SUBSTITUTE(Registro!$H43,";",CHAR(10)),CHAR(10),REPT(" ",LEN(Registro!$H43))),({1,2,3,4,5,6,7,8,9,10,11,12,13,14,15,16,17,18,19,20,21,22,23,24,25,26,27,28,29,30}-1)*LEN(Registro!$H43)+1,LEN(Registro!$H43)))," ",REPT(" ",50)),50)))),"Revisar formato"))</f>
        <v>105</v>
      </c>
      <c r="J43" s="24" t="str">
        <f>IF(Registro!$I43="","",IFERROR(SUMPRODUCT(--("0"&amp;TRIM(RIGHT(SUBSTITUTE(TRIM(MID(SUBSTITUTE(SUBSTITUTE(Registro!$I43,";",CHAR(10)),CHAR(10),REPT(" ",LEN(Registro!$I43))),({1,2,3,4,5,6,7,8,9,10,11,12,13,14,15,16,17,18,19,20,21,22,23,24,25,26,27,28,29,30}-1)*LEN(Registro!$I43)+1,LEN(Registro!$I43)))," ",REPT(" ",50)),50)))),"Revisar formato"))</f>
        <v/>
      </c>
      <c r="K43" s="24">
        <f>IF(AND(Registro!$G43="",Registro!$H43=""),"",IF(AND(ISTEXT(I43),I43&lt;&gt;""),"Revisar formato",N(Registro!$G43)-N(I43)))</f>
        <v>1620</v>
      </c>
      <c r="L43" s="24">
        <f t="shared" si="1"/>
        <v>1620</v>
      </c>
      <c r="M43" s="36" t="str">
        <f>IF(AND(A43=Consulta!$B$3,C43=Consulta!$H$3),B43*10000+ROW(),"")</f>
        <v/>
      </c>
    </row>
    <row r="44" spans="1:13" x14ac:dyDescent="0.25">
      <c r="A44" s="21" t="str">
        <f>IF(Registro!$A44="","",Registro!$A44)</f>
        <v>PIN</v>
      </c>
      <c r="B44" s="20">
        <f>IF(Registro!$B44="","",Registro!$B44)</f>
        <v>46315</v>
      </c>
      <c r="C44" s="35">
        <f t="shared" si="0"/>
        <v>202610</v>
      </c>
      <c r="D44" s="23">
        <f>IF(Registro!$E44="","",IF(ISERROR(FIND("x",LOWER(Registro!$E44))),"-",IFERROR(SUMPRODUCT(--("0"&amp;LEFT(TRIM(MID(SUBSTITUTE(SUBSTITUTE(SUBSTITUTE(SUBSTITUTE(SUBSTITUTE(LOWER(Registro!$E44),"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",LEN(Registro!$E44))),({1,2,3,4,5,6,7,8,9,10,11,12,13,14,15,16,17,18,19,20,21,22,23,24,25,26,27,28,29,30}-1)*LEN(Registro!$E44)+1,LEN(Registro!$E44))),FIND("x",TRIM(MID(SUBSTITUTE(SUBSTITUTE(SUBSTITUTE(SUBSTITUTE(SUBSTITUTE(LOWER(Registro!$E44),"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",LEN(Registro!$E44))),({1,2,3,4,5,6,7,8,9,10,11,12,13,14,15,16,17,18,19,20,21,22,23,24,25,26,27,28,29,30}-1)*LEN(Registro!$E44)+1,LEN(Registro!$E44)))&amp;"x")-1))),"Revisar formato")))</f>
        <v>51</v>
      </c>
      <c r="E44" s="24">
        <f>IF(Registro!$E44="","",IF(ISERROR(FIND("x",LOWER(Registro!$E44))),"-",IFERROR(SUMPRODUCT(--("0"&amp;LEFT(TRIM(MID(SUBSTITUTE(SUBSTITUTE(SUBSTITUTE(SUBSTITUTE(SUBSTITUTE(LOWER(Registro!$E44),"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",LEN(Registro!$E44))),({1,2,3,4,5,6,7,8,9,10,11,12,13,14,15,16,17,18,19,20,21,22,23,24,25,26,27,28,29,30}-1)*LEN(Registro!$E44)+1,LEN(Registro!$E44))),FIND("x",TRIM(MID(SUBSTITUTE(SUBSTITUTE(SUBSTITUTE(SUBSTITUTE(SUBSTITUTE(LOWER(Registro!$E44),"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",LEN(Registro!$E44))),({1,2,3,4,5,6,7,8,9,10,11,12,13,14,15,16,17,18,19,20,21,22,23,24,25,26,27,28,29,30}-1)*LEN(Registro!$E44)+1,LEN(Registro!$E44)))&amp;"x")-1)),--("0"&amp;MID(TRIM(MID(SUBSTITUTE(SUBSTITUTE(SUBSTITUTE(SUBSTITUTE(SUBSTITUTE(LOWER(Registro!$E44),"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",LEN(Registro!$E44))),({1,2,3,4,5,6,7,8,9,10,11,12,13,14,15,16,17,18,19,20,21,22,23,24,25,26,27,28,29,30}-1)*LEN(Registro!$E44)+1,LEN(Registro!$E44))),FIND("x",TRIM(MID(SUBSTITUTE(SUBSTITUTE(SUBSTITUTE(SUBSTITUTE(SUBSTITUTE(LOWER(Registro!$E44),"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",LEN(Registro!$E44))),({1,2,3,4,5,6,7,8,9,10,11,12,13,14,15,16,17,18,19,20,21,22,23,24,25,26,27,28,29,30}-1)*LEN(Registro!$E44)+1,LEN(Registro!$E44)))&amp;"x")+1,20))),"Revisar formato")))</f>
        <v>2600</v>
      </c>
      <c r="F44" s="23">
        <f>IF(Registro!$F44="","",IF(ISERROR(FIND("x",LOWER(Registro!$F44))),"-",IFERROR(SUMPRODUCT(--("0"&amp;LEFT(TRIM(MID(SUBSTITUTE(SUBSTITUTE(SUBSTITUTE(SUBSTITUTE(SUBSTITUTE(LOWER(Registro!$F44)," ",""),CHAR(10),"|"),";","|"),"+","|"),"|",REPT(" ",LEN(Registro!$F44))),({1,2,3,4,5,6,7,8,9,10,11,12,13,14,15,16,17,18,19,20,21,22,23,24,25,26,27,28,29,30}-1)*LEN(Registro!$F44)+1,LEN(Registro!$F44))),FIND("x",TRIM(MID(SUBSTITUTE(SUBSTITUTE(SUBSTITUTE(SUBSTITUTE(SUBSTITUTE(LOWER(Registro!$F44)," ",""),CHAR(10),"|"),";","|"),"+","|"),"|",REPT(" ",LEN(Registro!$F44))),({1,2,3,4,5,6,7,8,9,10,11,12,13,14,15,16,17,18,19,20,21,22,23,24,25,26,27,28,29,30}-1)*LEN(Registro!$F44)+1,LEN(Registro!$F44)))&amp;"x")-1))),"Revisar formato")))</f>
        <v>1</v>
      </c>
      <c r="G44" s="24">
        <f>IF(Registro!$F44="","",IF(ISERROR(FIND("x",LOWER(Registro!$F44))),N(Registro!$G44),IFERROR(SUMPRODUCT(--("0"&amp;LEFT(TRIM(MID(SUBSTITUTE(SUBSTITUTE(SUBSTITUTE(SUBSTITUTE(SUBSTITUTE(LOWER(Registro!$F44)," ",""),CHAR(10),"|"),";","|"),"+","|"),"|",REPT(" ",LEN(Registro!$F44))),({1,2,3,4,5,6,7,8,9,10,11,12,13,14,15,16,17,18,19,20,21,22,23,24,25,26,27,28,29,30}-1)*LEN(Registro!$F44)+1,LEN(Registro!$F44))),FIND("x",TRIM(MID(SUBSTITUTE(SUBSTITUTE(SUBSTITUTE(SUBSTITUTE(SUBSTITUTE(LOWER(Registro!$F44)," ",""),CHAR(10),"|"),";","|"),"+","|"),"|",REPT(" ",LEN(Registro!$F44))),({1,2,3,4,5,6,7,8,9,10,11,12,13,14,15,16,17,18,19,20,21,22,23,24,25,26,27,28,29,30}-1)*LEN(Registro!$F44)+1,LEN(Registro!$F44)))&amp;"x")-1)),--("0"&amp;MID(TRIM(MID(SUBSTITUTE(SUBSTITUTE(SUBSTITUTE(SUBSTITUTE(SUBSTITUTE(LOWER(Registro!$F44)," ",""),CHAR(10),"|"),";","|"),"+","|"),"|",REPT(" ",LEN(Registro!$F44))),({1,2,3,4,5,6,7,8,9,10,11,12,13,14,15,16,17,18,19,20,21,22,23,24,25,26,27,28,29,30}-1)*LEN(Registro!$F44)+1,LEN(Registro!$F44))),FIND("x",TRIM(MID(SUBSTITUTE(SUBSTITUTE(SUBSTITUTE(SUBSTITUTE(SUBSTITUTE(LOWER(Registro!$F44)," ",""),CHAR(10),"|"),";","|"),"+","|"),"|",REPT(" ",LEN(Registro!$F44))),({1,2,3,4,5,6,7,8,9,10,11,12,13,14,15,16,17,18,19,20,21,22,23,24,25,26,27,28,29,30}-1)*LEN(Registro!$F44)+1,LEN(Registro!$F44)))&amp;"x")+1,20))),"Revisar formato")))</f>
        <v>3660</v>
      </c>
      <c r="H44" s="21" t="str">
        <f>IF(AND(Registro!$E44="",Registro!$F44=""),"",IF(NOT(AND(ISNUMBER(G44),ISNUMBER(Registro!$G44))),"",IF(G44&lt;Registro!$G44,"FALTA BOLETOS",IF(G44=Registro!$G44,"CONFORME","DIFERENCIA"))))</f>
        <v>CONFORME</v>
      </c>
      <c r="I44" s="24">
        <f>IF(Registro!$H44="","",IFERROR(SUMPRODUCT(--("0"&amp;TRIM(RIGHT(SUBSTITUTE(TRIM(MID(SUBSTITUTE(SUBSTITUTE(Registro!$H44,";",CHAR(10)),CHAR(10),REPT(" ",LEN(Registro!$H44))),({1,2,3,4,5,6,7,8,9,10,11,12,13,14,15,16,17,18,19,20,21,22,23,24,25,26,27,28,29,30}-1)*LEN(Registro!$H44)+1,LEN(Registro!$H44)))," ",REPT(" ",50)),50)))),"Revisar formato"))</f>
        <v>110</v>
      </c>
      <c r="J44" s="24" t="str">
        <f>IF(Registro!$I44="","",IFERROR(SUMPRODUCT(--("0"&amp;TRIM(RIGHT(SUBSTITUTE(TRIM(MID(SUBSTITUTE(SUBSTITUTE(Registro!$I44,";",CHAR(10)),CHAR(10),REPT(" ",LEN(Registro!$I44))),({1,2,3,4,5,6,7,8,9,10,11,12,13,14,15,16,17,18,19,20,21,22,23,24,25,26,27,28,29,30}-1)*LEN(Registro!$I44)+1,LEN(Registro!$I44)))," ",REPT(" ",50)),50)))),"Revisar formato"))</f>
        <v/>
      </c>
      <c r="K44" s="24">
        <f>IF(AND(Registro!$G44="",Registro!$H44=""),"",IF(AND(ISTEXT(I44),I44&lt;&gt;""),"Revisar formato",N(Registro!$G44)-N(I44)))</f>
        <v>3550</v>
      </c>
      <c r="L44" s="24">
        <f t="shared" si="1"/>
        <v>3550</v>
      </c>
      <c r="M44" s="36" t="str">
        <f>IF(AND(A44=Consulta!$B$3,C44=Consulta!$H$3),B44*10000+ROW(),"")</f>
        <v/>
      </c>
    </row>
    <row r="45" spans="1:13" x14ac:dyDescent="0.25">
      <c r="A45" s="21" t="str">
        <f>IF(Registro!$A45="","",Registro!$A45)</f>
        <v>PIN</v>
      </c>
      <c r="B45" s="20">
        <f>IF(Registro!$B45="","",Registro!$B45)</f>
        <v>46317</v>
      </c>
      <c r="C45" s="35">
        <f t="shared" si="0"/>
        <v>202610</v>
      </c>
      <c r="D45" s="23">
        <f>IF(Registro!$E45="","",IF(ISERROR(FIND("x",LOWER(Registro!$E45))),"-",IFERROR(SUMPRODUCT(--("0"&amp;LEFT(TRIM(MID(SUBSTITUTE(SUBSTITUTE(SUBSTITUTE(SUBSTITUTE(SUBSTITUTE(LOWER(Registro!$E45),"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",LEN(Registro!$E45))),({1,2,3,4,5,6,7,8,9,10,11,12,13,14,15,16,17,18,19,20,21,22,23,24,25,26,27,28,29,30}-1)*LEN(Registro!$E45)+1,LEN(Registro!$E45))),FIND("x",TRIM(MID(SUBSTITUTE(SUBSTITUTE(SUBSTITUTE(SUBSTITUTE(SUBSTITUTE(LOWER(Registro!$E45),"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",LEN(Registro!$E45))),({1,2,3,4,5,6,7,8,9,10,11,12,13,14,15,16,17,18,19,20,21,22,23,24,25,26,27,28,29,30}-1)*LEN(Registro!$E45)+1,LEN(Registro!$E45)))&amp;"x")-1))),"Revisar formato")))</f>
        <v>46</v>
      </c>
      <c r="E45" s="24">
        <f>IF(Registro!$E45="","",IF(ISERROR(FIND("x",LOWER(Registro!$E45))),"-",IFERROR(SUMPRODUCT(--("0"&amp;LEFT(TRIM(MID(SUBSTITUTE(SUBSTITUTE(SUBSTITUTE(SUBSTITUTE(SUBSTITUTE(LOWER(Registro!$E45),"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",LEN(Registro!$E45))),({1,2,3,4,5,6,7,8,9,10,11,12,13,14,15,16,17,18,19,20,21,22,23,24,25,26,27,28,29,30}-1)*LEN(Registro!$E45)+1,LEN(Registro!$E45))),FIND("x",TRIM(MID(SUBSTITUTE(SUBSTITUTE(SUBSTITUTE(SUBSTITUTE(SUBSTITUTE(LOWER(Registro!$E45),"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",LEN(Registro!$E45))),({1,2,3,4,5,6,7,8,9,10,11,12,13,14,15,16,17,18,19,20,21,22,23,24,25,26,27,28,29,30}-1)*LEN(Registro!$E45)+1,LEN(Registro!$E45)))&amp;"x")-1)),--("0"&amp;MID(TRIM(MID(SUBSTITUTE(SUBSTITUTE(SUBSTITUTE(SUBSTITUTE(SUBSTITUTE(LOWER(Registro!$E45),"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",LEN(Registro!$E45))),({1,2,3,4,5,6,7,8,9,10,11,12,13,14,15,16,17,18,19,20,21,22,23,24,25,26,27,28,29,30}-1)*LEN(Registro!$E45)+1,LEN(Registro!$E45))),FIND("x",TRIM(MID(SUBSTITUTE(SUBSTITUTE(SUBSTITUTE(SUBSTITUTE(SUBSTITUTE(LOWER(Registro!$E45),"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",LEN(Registro!$E45))),({1,2,3,4,5,6,7,8,9,10,11,12,13,14,15,16,17,18,19,20,21,22,23,24,25,26,27,28,29,30}-1)*LEN(Registro!$E45)+1,LEN(Registro!$E45)))&amp;"x")+1,20))),"Revisar formato")))</f>
        <v>2000</v>
      </c>
      <c r="F45" s="23">
        <f>IF(Registro!$F45="","",IF(ISERROR(FIND("x",LOWER(Registro!$F45))),"-",IFERROR(SUMPRODUCT(--("0"&amp;LEFT(TRIM(MID(SUBSTITUTE(SUBSTITUTE(SUBSTITUTE(SUBSTITUTE(SUBSTITUTE(LOWER(Registro!$F45)," ",""),CHAR(10),"|"),";","|"),"+","|"),"|",REPT(" ",LEN(Registro!$F45))),({1,2,3,4,5,6,7,8,9,10,11,12,13,14,15,16,17,18,19,20,21,22,23,24,25,26,27,28,29,30}-1)*LEN(Registro!$F45)+1,LEN(Registro!$F45))),FIND("x",TRIM(MID(SUBSTITUTE(SUBSTITUTE(SUBSTITUTE(SUBSTITUTE(SUBSTITUTE(LOWER(Registro!$F45)," ",""),CHAR(10),"|"),";","|"),"+","|"),"|",REPT(" ",LEN(Registro!$F45))),({1,2,3,4,5,6,7,8,9,10,11,12,13,14,15,16,17,18,19,20,21,22,23,24,25,26,27,28,29,30}-1)*LEN(Registro!$F45)+1,LEN(Registro!$F45)))&amp;"x")-1))),"Revisar formato")))</f>
        <v>1</v>
      </c>
      <c r="G45" s="24">
        <f>IF(Registro!$F45="","",IF(ISERROR(FIND("x",LOWER(Registro!$F45))),N(Registro!$G45),IFERROR(SUMPRODUCT(--("0"&amp;LEFT(TRIM(MID(SUBSTITUTE(SUBSTITUTE(SUBSTITUTE(SUBSTITUTE(SUBSTITUTE(LOWER(Registro!$F45)," ",""),CHAR(10),"|"),";","|"),"+","|"),"|",REPT(" ",LEN(Registro!$F45))),({1,2,3,4,5,6,7,8,9,10,11,12,13,14,15,16,17,18,19,20,21,22,23,24,25,26,27,28,29,30}-1)*LEN(Registro!$F45)+1,LEN(Registro!$F45))),FIND("x",TRIM(MID(SUBSTITUTE(SUBSTITUTE(SUBSTITUTE(SUBSTITUTE(SUBSTITUTE(LOWER(Registro!$F45)," ",""),CHAR(10),"|"),";","|"),"+","|"),"|",REPT(" ",LEN(Registro!$F45))),({1,2,3,4,5,6,7,8,9,10,11,12,13,14,15,16,17,18,19,20,21,22,23,24,25,26,27,28,29,30}-1)*LEN(Registro!$F45)+1,LEN(Registro!$F45)))&amp;"x")-1)),--("0"&amp;MID(TRIM(MID(SUBSTITUTE(SUBSTITUTE(SUBSTITUTE(SUBSTITUTE(SUBSTITUTE(LOWER(Registro!$F45)," ",""),CHAR(10),"|"),";","|"),"+","|"),"|",REPT(" ",LEN(Registro!$F45))),({1,2,3,4,5,6,7,8,9,10,11,12,13,14,15,16,17,18,19,20,21,22,23,24,25,26,27,28,29,30}-1)*LEN(Registro!$F45)+1,LEN(Registro!$F45))),FIND("x",TRIM(MID(SUBSTITUTE(SUBSTITUTE(SUBSTITUTE(SUBSTITUTE(SUBSTITUTE(LOWER(Registro!$F45)," ",""),CHAR(10),"|"),";","|"),"+","|"),"|",REPT(" ",LEN(Registro!$F45))),({1,2,3,4,5,6,7,8,9,10,11,12,13,14,15,16,17,18,19,20,21,22,23,24,25,26,27,28,29,30}-1)*LEN(Registro!$F45)+1,LEN(Registro!$F45)))&amp;"x")+1,20))),"Revisar formato")))</f>
        <v>1795</v>
      </c>
      <c r="H45" s="21" t="str">
        <f>IF(AND(Registro!$E45="",Registro!$F45=""),"",IF(NOT(AND(ISNUMBER(G45),ISNUMBER(Registro!$G45))),"",IF(G45&lt;Registro!$G45,"FALTA BOLETOS",IF(G45=Registro!$G45,"CONFORME","DIFERENCIA"))))</f>
        <v>CONFORME</v>
      </c>
      <c r="I45" s="24">
        <f>IF(Registro!$H45="","",IFERROR(SUMPRODUCT(--("0"&amp;TRIM(RIGHT(SUBSTITUTE(TRIM(MID(SUBSTITUTE(SUBSTITUTE(Registro!$H45,";",CHAR(10)),CHAR(10),REPT(" ",LEN(Registro!$H45))),({1,2,3,4,5,6,7,8,9,10,11,12,13,14,15,16,17,18,19,20,21,22,23,24,25,26,27,28,29,30}-1)*LEN(Registro!$H45)+1,LEN(Registro!$H45)))," ",REPT(" ",50)),50)))),"Revisar formato"))</f>
        <v>85</v>
      </c>
      <c r="J45" s="24" t="str">
        <f>IF(Registro!$I45="","",IFERROR(SUMPRODUCT(--("0"&amp;TRIM(RIGHT(SUBSTITUTE(TRIM(MID(SUBSTITUTE(SUBSTITUTE(Registro!$I45,";",CHAR(10)),CHAR(10),REPT(" ",LEN(Registro!$I45))),({1,2,3,4,5,6,7,8,9,10,11,12,13,14,15,16,17,18,19,20,21,22,23,24,25,26,27,28,29,30}-1)*LEN(Registro!$I45)+1,LEN(Registro!$I45)))," ",REPT(" ",50)),50)))),"Revisar formato"))</f>
        <v/>
      </c>
      <c r="K45" s="24">
        <f>IF(AND(Registro!$G45="",Registro!$H45=""),"",IF(AND(ISTEXT(I45),I45&lt;&gt;""),"Revisar formato",N(Registro!$G45)-N(I45)))</f>
        <v>1710</v>
      </c>
      <c r="L45" s="24">
        <f t="shared" si="1"/>
        <v>1710</v>
      </c>
      <c r="M45" s="36" t="str">
        <f>IF(AND(A45=Consulta!$B$3,C45=Consulta!$H$3),B45*10000+ROW(),"")</f>
        <v/>
      </c>
    </row>
    <row r="46" spans="1:13" x14ac:dyDescent="0.25">
      <c r="A46" s="21" t="str">
        <f>IF(Registro!$A46="","",Registro!$A46)</f>
        <v>PIN</v>
      </c>
      <c r="B46" s="20">
        <f>IF(Registro!$B46="","",Registro!$B46)</f>
        <v>46318</v>
      </c>
      <c r="C46" s="35">
        <f t="shared" si="0"/>
        <v>202610</v>
      </c>
      <c r="D46" s="23">
        <f>IF(Registro!$E46="","",IF(ISERROR(FIND("x",LOWER(Registro!$E46))),"-",IFERROR(SUMPRODUCT(--("0"&amp;LEFT(TRIM(MID(SUBSTITUTE(SUBSTITUTE(SUBSTITUTE(SUBSTITUTE(SUBSTITUTE(LOWER(Registro!$E46),"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",LEN(Registro!$E46))),({1,2,3,4,5,6,7,8,9,10,11,12,13,14,15,16,17,18,19,20,21,22,23,24,25,26,27,28,29,30}-1)*LEN(Registro!$E46)+1,LEN(Registro!$E46))),FIND("x",TRIM(MID(SUBSTITUTE(SUBSTITUTE(SUBSTITUTE(SUBSTITUTE(SUBSTITUTE(LOWER(Registro!$E46),"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",LEN(Registro!$E46))),({1,2,3,4,5,6,7,8,9,10,11,12,13,14,15,16,17,18,19,20,21,22,23,24,25,26,27,28,29,30}-1)*LEN(Registro!$E46)+1,LEN(Registro!$E46)))&amp;"x")-1))),"Revisar formato")))</f>
        <v>54</v>
      </c>
      <c r="E46" s="24">
        <f>IF(Registro!$E46="","",IF(ISERROR(FIND("x",LOWER(Registro!$E46))),"-",IFERROR(SUMPRODUCT(--("0"&amp;LEFT(TRIM(MID(SUBSTITUTE(SUBSTITUTE(SUBSTITUTE(SUBSTITUTE(SUBSTITUTE(LOWER(Registro!$E46),"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",LEN(Registro!$E46))),({1,2,3,4,5,6,7,8,9,10,11,12,13,14,15,16,17,18,19,20,21,22,23,24,25,26,27,28,29,30}-1)*LEN(Registro!$E46)+1,LEN(Registro!$E46))),FIND("x",TRIM(MID(SUBSTITUTE(SUBSTITUTE(SUBSTITUTE(SUBSTITUTE(SUBSTITUTE(LOWER(Registro!$E46),"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",LEN(Registro!$E46))),({1,2,3,4,5,6,7,8,9,10,11,12,13,14,15,16,17,18,19,20,21,22,23,24,25,26,27,28,29,30}-1)*LEN(Registro!$E46)+1,LEN(Registro!$E46)))&amp;"x")-1)),--("0"&amp;MID(TRIM(MID(SUBSTITUTE(SUBSTITUTE(SUBSTITUTE(SUBSTITUTE(SUBSTITUTE(LOWER(Registro!$E46),"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",LEN(Registro!$E46))),({1,2,3,4,5,6,7,8,9,10,11,12,13,14,15,16,17,18,19,20,21,22,23,24,25,26,27,28,29,30}-1)*LEN(Registro!$E46)+1,LEN(Registro!$E46))),FIND("x",TRIM(MID(SUBSTITUTE(SUBSTITUTE(SUBSTITUTE(SUBSTITUTE(SUBSTITUTE(LOWER(Registro!$E46),"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",LEN(Registro!$E46))),({1,2,3,4,5,6,7,8,9,10,11,12,13,14,15,16,17,18,19,20,21,22,23,24,25,26,27,28,29,30}-1)*LEN(Registro!$E46)+1,LEN(Registro!$E46)))&amp;"x")+1,20))),"Revisar formato")))</f>
        <v>2960</v>
      </c>
      <c r="F46" s="23">
        <f>IF(Registro!$F46="","",IF(ISERROR(FIND("x",LOWER(Registro!$F46))),"-",IFERROR(SUMPRODUCT(--("0"&amp;LEFT(TRIM(MID(SUBSTITUTE(SUBSTITUTE(SUBSTITUTE(SUBSTITUTE(SUBSTITUTE(LOWER(Registro!$F46)," ",""),CHAR(10),"|"),";","|"),"+","|"),"|",REPT(" ",LEN(Registro!$F46))),({1,2,3,4,5,6,7,8,9,10,11,12,13,14,15,16,17,18,19,20,21,22,23,24,25,26,27,28,29,30}-1)*LEN(Registro!$F46)+1,LEN(Registro!$F46))),FIND("x",TRIM(MID(SUBSTITUTE(SUBSTITUTE(SUBSTITUTE(SUBSTITUTE(SUBSTITUTE(LOWER(Registro!$F46)," ",""),CHAR(10),"|"),";","|"),"+","|"),"|",REPT(" ",LEN(Registro!$F46))),({1,2,3,4,5,6,7,8,9,10,11,12,13,14,15,16,17,18,19,20,21,22,23,24,25,26,27,28,29,30}-1)*LEN(Registro!$F46)+1,LEN(Registro!$F46)))&amp;"x")-1))),"Revisar formato")))</f>
        <v>60</v>
      </c>
      <c r="G46" s="24">
        <f>IF(Registro!$F46="","",IF(ISERROR(FIND("x",LOWER(Registro!$F46))),N(Registro!$G46),IFERROR(SUMPRODUCT(--("0"&amp;LEFT(TRIM(MID(SUBSTITUTE(SUBSTITUTE(SUBSTITUTE(SUBSTITUTE(SUBSTITUTE(LOWER(Registro!$F46)," ",""),CHAR(10),"|"),";","|"),"+","|"),"|",REPT(" ",LEN(Registro!$F46))),({1,2,3,4,5,6,7,8,9,10,11,12,13,14,15,16,17,18,19,20,21,22,23,24,25,26,27,28,29,30}-1)*LEN(Registro!$F46)+1,LEN(Registro!$F46))),FIND("x",TRIM(MID(SUBSTITUTE(SUBSTITUTE(SUBSTITUTE(SUBSTITUTE(SUBSTITUTE(LOWER(Registro!$F46)," ",""),CHAR(10),"|"),";","|"),"+","|"),"|",REPT(" ",LEN(Registro!$F46))),({1,2,3,4,5,6,7,8,9,10,11,12,13,14,15,16,17,18,19,20,21,22,23,24,25,26,27,28,29,30}-1)*LEN(Registro!$F46)+1,LEN(Registro!$F46)))&amp;"x")-1)),--("0"&amp;MID(TRIM(MID(SUBSTITUTE(SUBSTITUTE(SUBSTITUTE(SUBSTITUTE(SUBSTITUTE(LOWER(Registro!$F46)," ",""),CHAR(10),"|"),";","|"),"+","|"),"|",REPT(" ",LEN(Registro!$F46))),({1,2,3,4,5,6,7,8,9,10,11,12,13,14,15,16,17,18,19,20,21,22,23,24,25,26,27,28,29,30}-1)*LEN(Registro!$F46)+1,LEN(Registro!$F46))),FIND("x",TRIM(MID(SUBSTITUTE(SUBSTITUTE(SUBSTITUTE(SUBSTITUTE(SUBSTITUTE(LOWER(Registro!$F46)," ",""),CHAR(10),"|"),";","|"),"+","|"),"|",REPT(" ",LEN(Registro!$F46))),({1,2,3,4,5,6,7,8,9,10,11,12,13,14,15,16,17,18,19,20,21,22,23,24,25,26,27,28,29,30}-1)*LEN(Registro!$F46)+1,LEN(Registro!$F46)))&amp;"x")+1,20))),"Revisar formato")))</f>
        <v>3690</v>
      </c>
      <c r="H46" s="21" t="str">
        <f>IF(AND(Registro!$E46="",Registro!$F46=""),"",IF(NOT(AND(ISNUMBER(G46),ISNUMBER(Registro!$G46))),"",IF(G46&lt;Registro!$G46,"FALTA BOLETOS",IF(G46=Registro!$G46,"CONFORME","DIFERENCIA"))))</f>
        <v>FALTA BOLETOS</v>
      </c>
      <c r="I46" s="24">
        <f>IF(Registro!$H46="","",IFERROR(SUMPRODUCT(--("0"&amp;TRIM(RIGHT(SUBSTITUTE(TRIM(MID(SUBSTITUTE(SUBSTITUTE(Registro!$H46,";",CHAR(10)),CHAR(10),REPT(" ",LEN(Registro!$H46))),({1,2,3,4,5,6,7,8,9,10,11,12,13,14,15,16,17,18,19,20,21,22,23,24,25,26,27,28,29,30}-1)*LEN(Registro!$H46)+1,LEN(Registro!$H46)))," ",REPT(" ",50)),50)))),"Revisar formato"))</f>
        <v>130</v>
      </c>
      <c r="J46" s="24" t="str">
        <f>IF(Registro!$I46="","",IFERROR(SUMPRODUCT(--("0"&amp;TRIM(RIGHT(SUBSTITUTE(TRIM(MID(SUBSTITUTE(SUBSTITUTE(Registro!$I46,";",CHAR(10)),CHAR(10),REPT(" ",LEN(Registro!$I46))),({1,2,3,4,5,6,7,8,9,10,11,12,13,14,15,16,17,18,19,20,21,22,23,24,25,26,27,28,29,30}-1)*LEN(Registro!$I46)+1,LEN(Registro!$I46)))," ",REPT(" ",50)),50)))),"Revisar formato"))</f>
        <v/>
      </c>
      <c r="K46" s="24">
        <f>IF(AND(Registro!$G46="",Registro!$H46=""),"",IF(AND(ISTEXT(I46),I46&lt;&gt;""),"Revisar formato",N(Registro!$G46)-N(I46)))</f>
        <v>3620</v>
      </c>
      <c r="L46" s="24">
        <f t="shared" si="1"/>
        <v>3620</v>
      </c>
      <c r="M46" s="36" t="str">
        <f>IF(AND(A46=Consulta!$B$3,C46=Consulta!$H$3),B46*10000+ROW(),"")</f>
        <v/>
      </c>
    </row>
    <row r="47" spans="1:13" x14ac:dyDescent="0.25">
      <c r="A47" s="21" t="str">
        <f>IF(Registro!$A47="","",Registro!$A47)</f>
        <v>TDS</v>
      </c>
      <c r="B47" s="20">
        <f>IF(Registro!$B47="","",Registro!$B47)</f>
        <v>46319</v>
      </c>
      <c r="C47" s="35">
        <f t="shared" si="0"/>
        <v>202610</v>
      </c>
      <c r="D47" s="23">
        <f>IF(Registro!$E47="","",IF(ISERROR(FIND("x",LOWER(Registro!$E47))),"-",IFERROR(SUMPRODUCT(--("0"&amp;LEFT(TRIM(MID(SUBSTITUTE(SUBSTITUTE(SUBSTITUTE(SUBSTITUTE(SUBSTITUTE(LOWER(Registro!$E47),"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",LEN(Registro!$E47))),({1,2,3,4,5,6,7,8,9,10,11,12,13,14,15,16,17,18,19,20,21,22,23,24,25,26,27,28,29,30}-1)*LEN(Registro!$E47)+1,LEN(Registro!$E47))),FIND("x",TRIM(MID(SUBSTITUTE(SUBSTITUTE(SUBSTITUTE(SUBSTITUTE(SUBSTITUTE(LOWER(Registro!$E47),"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",LEN(Registro!$E47))),({1,2,3,4,5,6,7,8,9,10,11,12,13,14,15,16,17,18,19,20,21,22,23,24,25,26,27,28,29,30}-1)*LEN(Registro!$E47)+1,LEN(Registro!$E47)))&amp;"x")-1))),"Revisar formato")))</f>
        <v>52</v>
      </c>
      <c r="E47" s="24">
        <f>IF(Registro!$E47="","",IF(ISERROR(FIND("x",LOWER(Registro!$E47))),"-",IFERROR(SUMPRODUCT(--("0"&amp;LEFT(TRIM(MID(SUBSTITUTE(SUBSTITUTE(SUBSTITUTE(SUBSTITUTE(SUBSTITUTE(LOWER(Registro!$E47),"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",LEN(Registro!$E47))),({1,2,3,4,5,6,7,8,9,10,11,12,13,14,15,16,17,18,19,20,21,22,23,24,25,26,27,28,29,30}-1)*LEN(Registro!$E47)+1,LEN(Registro!$E47))),FIND("x",TRIM(MID(SUBSTITUTE(SUBSTITUTE(SUBSTITUTE(SUBSTITUTE(SUBSTITUTE(LOWER(Registro!$E47),"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",LEN(Registro!$E47))),({1,2,3,4,5,6,7,8,9,10,11,12,13,14,15,16,17,18,19,20,21,22,23,24,25,26,27,28,29,30}-1)*LEN(Registro!$E47)+1,LEN(Registro!$E47)))&amp;"x")-1)),--("0"&amp;MID(TRIM(MID(SUBSTITUTE(SUBSTITUTE(SUBSTITUTE(SUBSTITUTE(SUBSTITUTE(LOWER(Registro!$E47),"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",LEN(Registro!$E47))),({1,2,3,4,5,6,7,8,9,10,11,12,13,14,15,16,17,18,19,20,21,22,23,24,25,26,27,28,29,30}-1)*LEN(Registro!$E47)+1,LEN(Registro!$E47))),FIND("x",TRIM(MID(SUBSTITUTE(SUBSTITUTE(SUBSTITUTE(SUBSTITUTE(SUBSTITUTE(LOWER(Registro!$E47),"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",LEN(Registro!$E47))),({1,2,3,4,5,6,7,8,9,10,11,12,13,14,15,16,17,18,19,20,21,22,23,24,25,26,27,28,29,30}-1)*LEN(Registro!$E47)+1,LEN(Registro!$E47)))&amp;"x")+1,20))),"Revisar formato")))</f>
        <v>2790</v>
      </c>
      <c r="F47" s="23">
        <f>IF(Registro!$F47="","",IF(ISERROR(FIND("x",LOWER(Registro!$F47))),"-",IFERROR(SUMPRODUCT(--("0"&amp;LEFT(TRIM(MID(SUBSTITUTE(SUBSTITUTE(SUBSTITUTE(SUBSTITUTE(SUBSTITUTE(LOWER(Registro!$F47)," ",""),CHAR(10),"|"),";","|"),"+","|"),"|",REPT(" ",LEN(Registro!$F47))),({1,2,3,4,5,6,7,8,9,10,11,12,13,14,15,16,17,18,19,20,21,22,23,24,25,26,27,28,29,30}-1)*LEN(Registro!$F47)+1,LEN(Registro!$F47))),FIND("x",TRIM(MID(SUBSTITUTE(SUBSTITUTE(SUBSTITUTE(SUBSTITUTE(SUBSTITUTE(LOWER(Registro!$F47)," ",""),CHAR(10),"|"),";","|"),"+","|"),"|",REPT(" ",LEN(Registro!$F47))),({1,2,3,4,5,6,7,8,9,10,11,12,13,14,15,16,17,18,19,20,21,22,23,24,25,26,27,28,29,30}-1)*LEN(Registro!$F47)+1,LEN(Registro!$F47)))&amp;"x")-1))),"Revisar formato")))</f>
        <v>1</v>
      </c>
      <c r="G47" s="24">
        <f>IF(Registro!$F47="","",IF(ISERROR(FIND("x",LOWER(Registro!$F47))),N(Registro!$G47),IFERROR(SUMPRODUCT(--("0"&amp;LEFT(TRIM(MID(SUBSTITUTE(SUBSTITUTE(SUBSTITUTE(SUBSTITUTE(SUBSTITUTE(LOWER(Registro!$F47)," ",""),CHAR(10),"|"),";","|"),"+","|"),"|",REPT(" ",LEN(Registro!$F47))),({1,2,3,4,5,6,7,8,9,10,11,12,13,14,15,16,17,18,19,20,21,22,23,24,25,26,27,28,29,30}-1)*LEN(Registro!$F47)+1,LEN(Registro!$F47))),FIND("x",TRIM(MID(SUBSTITUTE(SUBSTITUTE(SUBSTITUTE(SUBSTITUTE(SUBSTITUTE(LOWER(Registro!$F47)," ",""),CHAR(10),"|"),";","|"),"+","|"),"|",REPT(" ",LEN(Registro!$F47))),({1,2,3,4,5,6,7,8,9,10,11,12,13,14,15,16,17,18,19,20,21,22,23,24,25,26,27,28,29,30}-1)*LEN(Registro!$F47)+1,LEN(Registro!$F47)))&amp;"x")-1)),--("0"&amp;MID(TRIM(MID(SUBSTITUTE(SUBSTITUTE(SUBSTITUTE(SUBSTITUTE(SUBSTITUTE(LOWER(Registro!$F47)," ",""),CHAR(10),"|"),";","|"),"+","|"),"|",REPT(" ",LEN(Registro!$F47))),({1,2,3,4,5,6,7,8,9,10,11,12,13,14,15,16,17,18,19,20,21,22,23,24,25,26,27,28,29,30}-1)*LEN(Registro!$F47)+1,LEN(Registro!$F47))),FIND("x",TRIM(MID(SUBSTITUTE(SUBSTITUTE(SUBSTITUTE(SUBSTITUTE(SUBSTITUTE(LOWER(Registro!$F47)," ",""),CHAR(10),"|"),";","|"),"+","|"),"|",REPT(" ",LEN(Registro!$F47))),({1,2,3,4,5,6,7,8,9,10,11,12,13,14,15,16,17,18,19,20,21,22,23,24,25,26,27,28,29,30}-1)*LEN(Registro!$F47)+1,LEN(Registro!$F47)))&amp;"x")+1,20))),"Revisar formato")))</f>
        <v>2815</v>
      </c>
      <c r="H47" s="21" t="str">
        <f>IF(AND(Registro!$E47="",Registro!$F47=""),"",IF(NOT(AND(ISNUMBER(G47),ISNUMBER(Registro!$G47))),"",IF(G47&lt;Registro!$G47,"FALTA BOLETOS",IF(G47=Registro!$G47,"CONFORME","DIFERENCIA"))))</f>
        <v>CONFORME</v>
      </c>
      <c r="I47" s="24">
        <f>IF(Registro!$H47="","",IFERROR(SUMPRODUCT(--("0"&amp;TRIM(RIGHT(SUBSTITUTE(TRIM(MID(SUBSTITUTE(SUBSTITUTE(Registro!$H47,";",CHAR(10)),CHAR(10),REPT(" ",LEN(Registro!$H47))),({1,2,3,4,5,6,7,8,9,10,11,12,13,14,15,16,17,18,19,20,21,22,23,24,25,26,27,28,29,30}-1)*LEN(Registro!$H47)+1,LEN(Registro!$H47)))," ",REPT(" ",50)),50)))),"Revisar formato"))</f>
        <v>92</v>
      </c>
      <c r="J47" s="24">
        <f>IF(Registro!$I47="","",IFERROR(SUMPRODUCT(--("0"&amp;TRIM(RIGHT(SUBSTITUTE(TRIM(MID(SUBSTITUTE(SUBSTITUTE(Registro!$I47,";",CHAR(10)),CHAR(10),REPT(" ",LEN(Registro!$I47))),({1,2,3,4,5,6,7,8,9,10,11,12,13,14,15,16,17,18,19,20,21,22,23,24,25,26,27,28,29,30}-1)*LEN(Registro!$I47)+1,LEN(Registro!$I47)))," ",REPT(" ",50)),50)))),"Revisar formato"))</f>
        <v>2700</v>
      </c>
      <c r="K47" s="24">
        <f>IF(AND(Registro!$G47="",Registro!$H47=""),"",IF(AND(ISTEXT(I47),I47&lt;&gt;""),"Revisar formato",N(Registro!$G47)-N(I47)))</f>
        <v>2723</v>
      </c>
      <c r="L47" s="24">
        <f t="shared" si="1"/>
        <v>23</v>
      </c>
      <c r="M47" s="36">
        <f>IF(AND(A47=Consulta!$B$3,C47=Consulta!$H$3),B47*10000+ROW(),"")</f>
        <v>463190047</v>
      </c>
    </row>
    <row r="48" spans="1:13" x14ac:dyDescent="0.25">
      <c r="A48" s="21" t="str">
        <f>IF(Registro!$A48="","",Registro!$A48)</f>
        <v>TDS</v>
      </c>
      <c r="B48" s="20">
        <f>IF(Registro!$B48="","",Registro!$B48)</f>
        <v>46320</v>
      </c>
      <c r="C48" s="35">
        <f t="shared" si="0"/>
        <v>202610</v>
      </c>
      <c r="D48" s="23">
        <f>IF(Registro!$E48="","",IF(ISERROR(FIND("x",LOWER(Registro!$E48))),"-",IFERROR(SUMPRODUCT(--("0"&amp;LEFT(TRIM(MID(SUBSTITUTE(SUBSTITUTE(SUBSTITUTE(SUBSTITUTE(SUBSTITUTE(LOWER(Registro!$E48),"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",LEN(Registro!$E48))),({1,2,3,4,5,6,7,8,9,10,11,12,13,14,15,16,17,18,19,20,21,22,23,24,25,26,27,28,29,30}-1)*LEN(Registro!$E48)+1,LEN(Registro!$E48))),FIND("x",TRIM(MID(SUBSTITUTE(SUBSTITUTE(SUBSTITUTE(SUBSTITUTE(SUBSTITUTE(LOWER(Registro!$E48),"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",LEN(Registro!$E48))),({1,2,3,4,5,6,7,8,9,10,11,12,13,14,15,16,17,18,19,20,21,22,23,24,25,26,27,28,29,30}-1)*LEN(Registro!$E48)+1,LEN(Registro!$E48)))&amp;"x")-1))),"Revisar formato")))</f>
        <v>34</v>
      </c>
      <c r="E48" s="24">
        <f>IF(Registro!$E48="","",IF(ISERROR(FIND("x",LOWER(Registro!$E48))),"-",IFERROR(SUMPRODUCT(--("0"&amp;LEFT(TRIM(MID(SUBSTITUTE(SUBSTITUTE(SUBSTITUTE(SUBSTITUTE(SUBSTITUTE(LOWER(Registro!$E48),"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",LEN(Registro!$E48))),({1,2,3,4,5,6,7,8,9,10,11,12,13,14,15,16,17,18,19,20,21,22,23,24,25,26,27,28,29,30}-1)*LEN(Registro!$E48)+1,LEN(Registro!$E48))),FIND("x",TRIM(MID(SUBSTITUTE(SUBSTITUTE(SUBSTITUTE(SUBSTITUTE(SUBSTITUTE(LOWER(Registro!$E48),"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",LEN(Registro!$E48))),({1,2,3,4,5,6,7,8,9,10,11,12,13,14,15,16,17,18,19,20,21,22,23,24,25,26,27,28,29,30}-1)*LEN(Registro!$E48)+1,LEN(Registro!$E48)))&amp;"x")-1)),--("0"&amp;MID(TRIM(MID(SUBSTITUTE(SUBSTITUTE(SUBSTITUTE(SUBSTITUTE(SUBSTITUTE(LOWER(Registro!$E48),"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",LEN(Registro!$E48))),({1,2,3,4,5,6,7,8,9,10,11,12,13,14,15,16,17,18,19,20,21,22,23,24,25,26,27,28,29,30}-1)*LEN(Registro!$E48)+1,LEN(Registro!$E48))),FIND("x",TRIM(MID(SUBSTITUTE(SUBSTITUTE(SUBSTITUTE(SUBSTITUTE(SUBSTITUTE(LOWER(Registro!$E48),"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",LEN(Registro!$E48))),({1,2,3,4,5,6,7,8,9,10,11,12,13,14,15,16,17,18,19,20,21,22,23,24,25,26,27,28,29,30}-1)*LEN(Registro!$E48)+1,LEN(Registro!$E48)))&amp;"x")+1,20))),"Revisar formato")))</f>
        <v>1560</v>
      </c>
      <c r="F48" s="23">
        <f>IF(Registro!$F48="","",IF(ISERROR(FIND("x",LOWER(Registro!$F48))),"-",IFERROR(SUMPRODUCT(--("0"&amp;LEFT(TRIM(MID(SUBSTITUTE(SUBSTITUTE(SUBSTITUTE(SUBSTITUTE(SUBSTITUTE(LOWER(Registro!$F48)," ",""),CHAR(10),"|"),";","|"),"+","|"),"|",REPT(" ",LEN(Registro!$F48))),({1,2,3,4,5,6,7,8,9,10,11,12,13,14,15,16,17,18,19,20,21,22,23,24,25,26,27,28,29,30}-1)*LEN(Registro!$F48)+1,LEN(Registro!$F48))),FIND("x",TRIM(MID(SUBSTITUTE(SUBSTITUTE(SUBSTITUTE(SUBSTITUTE(SUBSTITUTE(LOWER(Registro!$F48)," ",""),CHAR(10),"|"),";","|"),"+","|"),"|",REPT(" ",LEN(Registro!$F48))),({1,2,3,4,5,6,7,8,9,10,11,12,13,14,15,16,17,18,19,20,21,22,23,24,25,26,27,28,29,30}-1)*LEN(Registro!$F48)+1,LEN(Registro!$F48)))&amp;"x")-1))),"Revisar formato")))</f>
        <v>1</v>
      </c>
      <c r="G48" s="24">
        <f>IF(Registro!$F48="","",IF(ISERROR(FIND("x",LOWER(Registro!$F48))),N(Registro!$G48),IFERROR(SUMPRODUCT(--("0"&amp;LEFT(TRIM(MID(SUBSTITUTE(SUBSTITUTE(SUBSTITUTE(SUBSTITUTE(SUBSTITUTE(LOWER(Registro!$F48)," ",""),CHAR(10),"|"),";","|"),"+","|"),"|",REPT(" ",LEN(Registro!$F48))),({1,2,3,4,5,6,7,8,9,10,11,12,13,14,15,16,17,18,19,20,21,22,23,24,25,26,27,28,29,30}-1)*LEN(Registro!$F48)+1,LEN(Registro!$F48))),FIND("x",TRIM(MID(SUBSTITUTE(SUBSTITUTE(SUBSTITUTE(SUBSTITUTE(SUBSTITUTE(LOWER(Registro!$F48)," ",""),CHAR(10),"|"),";","|"),"+","|"),"|",REPT(" ",LEN(Registro!$F48))),({1,2,3,4,5,6,7,8,9,10,11,12,13,14,15,16,17,18,19,20,21,22,23,24,25,26,27,28,29,30}-1)*LEN(Registro!$F48)+1,LEN(Registro!$F48)))&amp;"x")-1)),--("0"&amp;MID(TRIM(MID(SUBSTITUTE(SUBSTITUTE(SUBSTITUTE(SUBSTITUTE(SUBSTITUTE(LOWER(Registro!$F48)," ",""),CHAR(10),"|"),";","|"),"+","|"),"|",REPT(" ",LEN(Registro!$F48))),({1,2,3,4,5,6,7,8,9,10,11,12,13,14,15,16,17,18,19,20,21,22,23,24,25,26,27,28,29,30}-1)*LEN(Registro!$F48)+1,LEN(Registro!$F48))),FIND("x",TRIM(MID(SUBSTITUTE(SUBSTITUTE(SUBSTITUTE(SUBSTITUTE(SUBSTITUTE(LOWER(Registro!$F48)," ",""),CHAR(10),"|"),";","|"),"+","|"),"|",REPT(" ",LEN(Registro!$F48))),({1,2,3,4,5,6,7,8,9,10,11,12,13,14,15,16,17,18,19,20,21,22,23,24,25,26,27,28,29,30}-1)*LEN(Registro!$F48)+1,LEN(Registro!$F48)))&amp;"x")+1,20))),"Revisar formato")))</f>
        <v>200</v>
      </c>
      <c r="H48" s="21" t="str">
        <f>IF(AND(Registro!$E48="",Registro!$F48=""),"",IF(NOT(AND(ISNUMBER(G48),ISNUMBER(Registro!$G48))),"",IF(G48&lt;Registro!$G48,"FALTA BOLETOS",IF(G48=Registro!$G48,"CONFORME","DIFERENCIA"))))</f>
        <v>CONFORME</v>
      </c>
      <c r="I48" s="24" t="str">
        <f>IF(Registro!$H48="","",IFERROR(SUMPRODUCT(--("0"&amp;TRIM(RIGHT(SUBSTITUTE(TRIM(MID(SUBSTITUTE(SUBSTITUTE(Registro!$H48,";",CHAR(10)),CHAR(10),REPT(" ",LEN(Registro!$H48))),({1,2,3,4,5,6,7,8,9,10,11,12,13,14,15,16,17,18,19,20,21,22,23,24,25,26,27,28,29,30}-1)*LEN(Registro!$H48)+1,LEN(Registro!$H48)))," ",REPT(" ",50)),50)))),"Revisar formato"))</f>
        <v/>
      </c>
      <c r="J48" s="24" t="str">
        <f>IF(Registro!$I48="","",IFERROR(SUMPRODUCT(--("0"&amp;TRIM(RIGHT(SUBSTITUTE(TRIM(MID(SUBSTITUTE(SUBSTITUTE(Registro!$I48,";",CHAR(10)),CHAR(10),REPT(" ",LEN(Registro!$I48))),({1,2,3,4,5,6,7,8,9,10,11,12,13,14,15,16,17,18,19,20,21,22,23,24,25,26,27,28,29,30}-1)*LEN(Registro!$I48)+1,LEN(Registro!$I48)))," ",REPT(" ",50)),50)))),"Revisar formato"))</f>
        <v/>
      </c>
      <c r="K48" s="24">
        <f>IF(AND(Registro!$G48="",Registro!$H48=""),"",IF(AND(ISTEXT(I48),I48&lt;&gt;""),"Revisar formato",N(Registro!$G48)-N(I48)))</f>
        <v>200</v>
      </c>
      <c r="L48" s="24">
        <f t="shared" si="1"/>
        <v>200</v>
      </c>
      <c r="M48" s="36">
        <f>IF(AND(A48=Consulta!$B$3,C48=Consulta!$H$3),B48*10000+ROW(),"")</f>
        <v>463200048</v>
      </c>
    </row>
    <row r="49" spans="1:13" x14ac:dyDescent="0.25">
      <c r="A49" s="21" t="str">
        <f>IF(Registro!$A49="","",Registro!$A49)</f>
        <v>PIN</v>
      </c>
      <c r="B49" s="20">
        <f>IF(Registro!$B49="","",Registro!$B49)</f>
        <v>46319</v>
      </c>
      <c r="C49" s="35">
        <f t="shared" si="0"/>
        <v>202610</v>
      </c>
      <c r="D49" s="23">
        <f>IF(Registro!$E49="","",IF(ISERROR(FIND("x",LOWER(Registro!$E49))),"-",IFERROR(SUMPRODUCT(--("0"&amp;LEFT(TRIM(MID(SUBSTITUTE(SUBSTITUTE(SUBSTITUTE(SUBSTITUTE(SUBSTITUTE(LOWER(Registro!$E49),"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",LEN(Registro!$E49))),({1,2,3,4,5,6,7,8,9,10,11,12,13,14,15,16,17,18,19,20,21,22,23,24,25,26,27,28,29,30}-1)*LEN(Registro!$E49)+1,LEN(Registro!$E49))),FIND("x",TRIM(MID(SUBSTITUTE(SUBSTITUTE(SUBSTITUTE(SUBSTITUTE(SUBSTITUTE(LOWER(Registro!$E49),"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",LEN(Registro!$E49))),({1,2,3,4,5,6,7,8,9,10,11,12,13,14,15,16,17,18,19,20,21,22,23,24,25,26,27,28,29,30}-1)*LEN(Registro!$E49)+1,LEN(Registro!$E49)))&amp;"x")-1))),"Revisar formato")))</f>
        <v>51</v>
      </c>
      <c r="E49" s="24">
        <f>IF(Registro!$E49="","",IF(ISERROR(FIND("x",LOWER(Registro!$E49))),"-",IFERROR(SUMPRODUCT(--("0"&amp;LEFT(TRIM(MID(SUBSTITUTE(SUBSTITUTE(SUBSTITUTE(SUBSTITUTE(SUBSTITUTE(LOWER(Registro!$E49),"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",LEN(Registro!$E49))),({1,2,3,4,5,6,7,8,9,10,11,12,13,14,15,16,17,18,19,20,21,22,23,24,25,26,27,28,29,30}-1)*LEN(Registro!$E49)+1,LEN(Registro!$E49))),FIND("x",TRIM(MID(SUBSTITUTE(SUBSTITUTE(SUBSTITUTE(SUBSTITUTE(SUBSTITUTE(LOWER(Registro!$E49),"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",LEN(Registro!$E49))),({1,2,3,4,5,6,7,8,9,10,11,12,13,14,15,16,17,18,19,20,21,22,23,24,25,26,27,28,29,30}-1)*LEN(Registro!$E49)+1,LEN(Registro!$E49)))&amp;"x")-1)),--("0"&amp;MID(TRIM(MID(SUBSTITUTE(SUBSTITUTE(SUBSTITUTE(SUBSTITUTE(SUBSTITUTE(LOWER(Registro!$E49),"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",LEN(Registro!$E49))),({1,2,3,4,5,6,7,8,9,10,11,12,13,14,15,16,17,18,19,20,21,22,23,24,25,26,27,28,29,30}-1)*LEN(Registro!$E49)+1,LEN(Registro!$E49))),FIND("x",TRIM(MID(SUBSTITUTE(SUBSTITUTE(SUBSTITUTE(SUBSTITUTE(SUBSTITUTE(LOWER(Registro!$E49),"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",LEN(Registro!$E49))),({1,2,3,4,5,6,7,8,9,10,11,12,13,14,15,16,17,18,19,20,21,22,23,24,25,26,27,28,29,30}-1)*LEN(Registro!$E49)+1,LEN(Registro!$E49)))&amp;"x")+1,20))),"Revisar formato")))</f>
        <v>2740</v>
      </c>
      <c r="F49" s="23">
        <f>IF(Registro!$F49="","",IF(ISERROR(FIND("x",LOWER(Registro!$F49))),"-",IFERROR(SUMPRODUCT(--("0"&amp;LEFT(TRIM(MID(SUBSTITUTE(SUBSTITUTE(SUBSTITUTE(SUBSTITUTE(SUBSTITUTE(LOWER(Registro!$F49)," ",""),CHAR(10),"|"),";","|"),"+","|"),"|",REPT(" ",LEN(Registro!$F49))),({1,2,3,4,5,6,7,8,9,10,11,12,13,14,15,16,17,18,19,20,21,22,23,24,25,26,27,28,29,30}-1)*LEN(Registro!$F49)+1,LEN(Registro!$F49))),FIND("x",TRIM(MID(SUBSTITUTE(SUBSTITUTE(SUBSTITUTE(SUBSTITUTE(SUBSTITUTE(LOWER(Registro!$F49)," ",""),CHAR(10),"|"),";","|"),"+","|"),"|",REPT(" ",LEN(Registro!$F49))),({1,2,3,4,5,6,7,8,9,10,11,12,13,14,15,16,17,18,19,20,21,22,23,24,25,26,27,28,29,30}-1)*LEN(Registro!$F49)+1,LEN(Registro!$F49)))&amp;"x")-1))),"Revisar formato")))</f>
        <v>43</v>
      </c>
      <c r="G49" s="24">
        <f>IF(Registro!$F49="","",IF(ISERROR(FIND("x",LOWER(Registro!$F49))),N(Registro!$G49),IFERROR(SUMPRODUCT(--("0"&amp;LEFT(TRIM(MID(SUBSTITUTE(SUBSTITUTE(SUBSTITUTE(SUBSTITUTE(SUBSTITUTE(LOWER(Registro!$F49)," ",""),CHAR(10),"|"),";","|"),"+","|"),"|",REPT(" ",LEN(Registro!$F49))),({1,2,3,4,5,6,7,8,9,10,11,12,13,14,15,16,17,18,19,20,21,22,23,24,25,26,27,28,29,30}-1)*LEN(Registro!$F49)+1,LEN(Registro!$F49))),FIND("x",TRIM(MID(SUBSTITUTE(SUBSTITUTE(SUBSTITUTE(SUBSTITUTE(SUBSTITUTE(LOWER(Registro!$F49)," ",""),CHAR(10),"|"),";","|"),"+","|"),"|",REPT(" ",LEN(Registro!$F49))),({1,2,3,4,5,6,7,8,9,10,11,12,13,14,15,16,17,18,19,20,21,22,23,24,25,26,27,28,29,30}-1)*LEN(Registro!$F49)+1,LEN(Registro!$F49)))&amp;"x")-1)),--("0"&amp;MID(TRIM(MID(SUBSTITUTE(SUBSTITUTE(SUBSTITUTE(SUBSTITUTE(SUBSTITUTE(LOWER(Registro!$F49)," ",""),CHAR(10),"|"),";","|"),"+","|"),"|",REPT(" ",LEN(Registro!$F49))),({1,2,3,4,5,6,7,8,9,10,11,12,13,14,15,16,17,18,19,20,21,22,23,24,25,26,27,28,29,30}-1)*LEN(Registro!$F49)+1,LEN(Registro!$F49))),FIND("x",TRIM(MID(SUBSTITUTE(SUBSTITUTE(SUBSTITUTE(SUBSTITUTE(SUBSTITUTE(LOWER(Registro!$F49)," ",""),CHAR(10),"|"),";","|"),"+","|"),"|",REPT(" ",LEN(Registro!$F49))),({1,2,3,4,5,6,7,8,9,10,11,12,13,14,15,16,17,18,19,20,21,22,23,24,25,26,27,28,29,30}-1)*LEN(Registro!$F49)+1,LEN(Registro!$F49)))&amp;"x")+1,20))),"Revisar formato")))</f>
        <v>2270</v>
      </c>
      <c r="H49" s="21" t="str">
        <f>IF(AND(Registro!$E49="",Registro!$F49=""),"",IF(NOT(AND(ISNUMBER(G49),ISNUMBER(Registro!$G49))),"",IF(G49&lt;Registro!$G49,"FALTA BOLETOS",IF(G49=Registro!$G49,"CONFORME","DIFERENCIA"))))</f>
        <v>FALTA BOLETOS</v>
      </c>
      <c r="I49" s="24">
        <f>IF(Registro!$H49="","",IFERROR(SUMPRODUCT(--("0"&amp;TRIM(RIGHT(SUBSTITUTE(TRIM(MID(SUBSTITUTE(SUBSTITUTE(Registro!$H49,";",CHAR(10)),CHAR(10),REPT(" ",LEN(Registro!$H49))),({1,2,3,4,5,6,7,8,9,10,11,12,13,14,15,16,17,18,19,20,21,22,23,24,25,26,27,28,29,30}-1)*LEN(Registro!$H49)+1,LEN(Registro!$H49)))," ",REPT(" ",50)),50)))),"Revisar formato"))</f>
        <v>90</v>
      </c>
      <c r="J49" s="24">
        <f>IF(Registro!$I49="","",IFERROR(SUMPRODUCT(--("0"&amp;TRIM(RIGHT(SUBSTITUTE(TRIM(MID(SUBSTITUTE(SUBSTITUTE(Registro!$I49,";",CHAR(10)),CHAR(10),REPT(" ",LEN(Registro!$I49))),({1,2,3,4,5,6,7,8,9,10,11,12,13,14,15,16,17,18,19,20,21,22,23,24,25,26,27,28,29,30}-1)*LEN(Registro!$I49)+1,LEN(Registro!$I49)))," ",REPT(" ",50)),50)))),"Revisar formato"))</f>
        <v>2500</v>
      </c>
      <c r="K49" s="24">
        <f>IF(AND(Registro!$G49="",Registro!$H49=""),"",IF(AND(ISTEXT(I49),I49&lt;&gt;""),"Revisar formato",N(Registro!$G49)-N(I49)))</f>
        <v>2325</v>
      </c>
      <c r="L49" s="24">
        <f t="shared" si="1"/>
        <v>-175</v>
      </c>
      <c r="M49" s="36" t="str">
        <f>IF(AND(A49=Consulta!$B$3,C49=Consulta!$H$3),B49*10000+ROW(),"")</f>
        <v/>
      </c>
    </row>
    <row r="50" spans="1:13" x14ac:dyDescent="0.25">
      <c r="A50" s="21" t="str">
        <f>IF(Registro!$A50="","",Registro!$A50)</f>
        <v>PIN</v>
      </c>
      <c r="B50" s="20">
        <f>IF(Registro!$B50="","",Registro!$B50)</f>
        <v>46320</v>
      </c>
      <c r="C50" s="35">
        <f t="shared" si="0"/>
        <v>202610</v>
      </c>
      <c r="D50" s="23">
        <f>IF(Registro!$E50="","",IF(ISERROR(FIND("x",LOWER(Registro!$E50))),"-",IFERROR(SUMPRODUCT(--("0"&amp;LEFT(TRIM(MID(SUBSTITUTE(SUBSTITUTE(SUBSTITUTE(SUBSTITUTE(SUBSTITUTE(LOWER(Registro!$E50),"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",LEN(Registro!$E50))),({1,2,3,4,5,6,7,8,9,10,11,12,13,14,15,16,17,18,19,20,21,22,23,24,25,26,27,28,29,30}-1)*LEN(Registro!$E50)+1,LEN(Registro!$E50))),FIND("x",TRIM(MID(SUBSTITUTE(SUBSTITUTE(SUBSTITUTE(SUBSTITUTE(SUBSTITUTE(LOWER(Registro!$E50),"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",LEN(Registro!$E50))),({1,2,3,4,5,6,7,8,9,10,11,12,13,14,15,16,17,18,19,20,21,22,23,24,25,26,27,28,29,30}-1)*LEN(Registro!$E50)+1,LEN(Registro!$E50)))&amp;"x")-1))),"Revisar formato")))</f>
        <v>38</v>
      </c>
      <c r="E50" s="24">
        <f>IF(Registro!$E50="","",IF(ISERROR(FIND("x",LOWER(Registro!$E50))),"-",IFERROR(SUMPRODUCT(--("0"&amp;LEFT(TRIM(MID(SUBSTITUTE(SUBSTITUTE(SUBSTITUTE(SUBSTITUTE(SUBSTITUTE(LOWER(Registro!$E50),"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",LEN(Registro!$E50))),({1,2,3,4,5,6,7,8,9,10,11,12,13,14,15,16,17,18,19,20,21,22,23,24,25,26,27,28,29,30}-1)*LEN(Registro!$E50)+1,LEN(Registro!$E50))),FIND("x",TRIM(MID(SUBSTITUTE(SUBSTITUTE(SUBSTITUTE(SUBSTITUTE(SUBSTITUTE(LOWER(Registro!$E50),"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",LEN(Registro!$E50))),({1,2,3,4,5,6,7,8,9,10,11,12,13,14,15,16,17,18,19,20,21,22,23,24,25,26,27,28,29,30}-1)*LEN(Registro!$E50)+1,LEN(Registro!$E50)))&amp;"x")-1)),--("0"&amp;MID(TRIM(MID(SUBSTITUTE(SUBSTITUTE(SUBSTITUTE(SUBSTITUTE(SUBSTITUTE(LOWER(Registro!$E50),"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",LEN(Registro!$E50))),({1,2,3,4,5,6,7,8,9,10,11,12,13,14,15,16,17,18,19,20,21,22,23,24,25,26,27,28,29,30}-1)*LEN(Registro!$E50)+1,LEN(Registro!$E50))),FIND("x",TRIM(MID(SUBSTITUTE(SUBSTITUTE(SUBSTITUTE(SUBSTITUTE(SUBSTITUTE(LOWER(Registro!$E50),"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",LEN(Registro!$E50))),({1,2,3,4,5,6,7,8,9,10,11,12,13,14,15,16,17,18,19,20,21,22,23,24,25,26,27,28,29,30}-1)*LEN(Registro!$E50)+1,LEN(Registro!$E50)))&amp;"x")+1,20))),"Revisar formato")))</f>
        <v>2010</v>
      </c>
      <c r="F50" s="23">
        <f>IF(Registro!$F50="","",IF(ISERROR(FIND("x",LOWER(Registro!$F50))),"-",IFERROR(SUMPRODUCT(--("0"&amp;LEFT(TRIM(MID(SUBSTITUTE(SUBSTITUTE(SUBSTITUTE(SUBSTITUTE(SUBSTITUTE(LOWER(Registro!$F50)," ",""),CHAR(10),"|"),";","|"),"+","|"),"|",REPT(" ",LEN(Registro!$F50))),({1,2,3,4,5,6,7,8,9,10,11,12,13,14,15,16,17,18,19,20,21,22,23,24,25,26,27,28,29,30}-1)*LEN(Registro!$F50)+1,LEN(Registro!$F50))),FIND("x",TRIM(MID(SUBSTITUTE(SUBSTITUTE(SUBSTITUTE(SUBSTITUTE(SUBSTITUTE(LOWER(Registro!$F50)," ",""),CHAR(10),"|"),";","|"),"+","|"),"|",REPT(" ",LEN(Registro!$F50))),({1,2,3,4,5,6,7,8,9,10,11,12,13,14,15,16,17,18,19,20,21,22,23,24,25,26,27,28,29,30}-1)*LEN(Registro!$F50)+1,LEN(Registro!$F50)))&amp;"x")-1))),"Revisar formato")))</f>
        <v>50</v>
      </c>
      <c r="G50" s="24">
        <f>IF(Registro!$F50="","",IF(ISERROR(FIND("x",LOWER(Registro!$F50))),N(Registro!$G50),IFERROR(SUMPRODUCT(--("0"&amp;LEFT(TRIM(MID(SUBSTITUTE(SUBSTITUTE(SUBSTITUTE(SUBSTITUTE(SUBSTITUTE(LOWER(Registro!$F50)," ",""),CHAR(10),"|"),";","|"),"+","|"),"|",REPT(" ",LEN(Registro!$F50))),({1,2,3,4,5,6,7,8,9,10,11,12,13,14,15,16,17,18,19,20,21,22,23,24,25,26,27,28,29,30}-1)*LEN(Registro!$F50)+1,LEN(Registro!$F50))),FIND("x",TRIM(MID(SUBSTITUTE(SUBSTITUTE(SUBSTITUTE(SUBSTITUTE(SUBSTITUTE(LOWER(Registro!$F50)," ",""),CHAR(10),"|"),";","|"),"+","|"),"|",REPT(" ",LEN(Registro!$F50))),({1,2,3,4,5,6,7,8,9,10,11,12,13,14,15,16,17,18,19,20,21,22,23,24,25,26,27,28,29,30}-1)*LEN(Registro!$F50)+1,LEN(Registro!$F50)))&amp;"x")-1)),--("0"&amp;MID(TRIM(MID(SUBSTITUTE(SUBSTITUTE(SUBSTITUTE(SUBSTITUTE(SUBSTITUTE(LOWER(Registro!$F50)," ",""),CHAR(10),"|"),";","|"),"+","|"),"|",REPT(" ",LEN(Registro!$F50))),({1,2,3,4,5,6,7,8,9,10,11,12,13,14,15,16,17,18,19,20,21,22,23,24,25,26,27,28,29,30}-1)*LEN(Registro!$F50)+1,LEN(Registro!$F50))),FIND("x",TRIM(MID(SUBSTITUTE(SUBSTITUTE(SUBSTITUTE(SUBSTITUTE(SUBSTITUTE(LOWER(Registro!$F50)," ",""),CHAR(10),"|"),";","|"),"+","|"),"|",REPT(" ",LEN(Registro!$F50))),({1,2,3,4,5,6,7,8,9,10,11,12,13,14,15,16,17,18,19,20,21,22,23,24,25,26,27,28,29,30}-1)*LEN(Registro!$F50)+1,LEN(Registro!$F50)))&amp;"x")+1,20))),"Revisar formato")))</f>
        <v>2910</v>
      </c>
      <c r="H50" s="21" t="str">
        <f>IF(AND(Registro!$E50="",Registro!$F50=""),"",IF(NOT(AND(ISNUMBER(G50),ISNUMBER(Registro!$G50))),"",IF(G50&lt;Registro!$G50,"FALTA BOLETOS",IF(G50=Registro!$G50,"CONFORME","DIFERENCIA"))))</f>
        <v>FALTA BOLETOS</v>
      </c>
      <c r="I50" s="24">
        <f>IF(Registro!$H50="","",IFERROR(SUMPRODUCT(--("0"&amp;TRIM(RIGHT(SUBSTITUTE(TRIM(MID(SUBSTITUTE(SUBSTITUTE(Registro!$H50,";",CHAR(10)),CHAR(10),REPT(" ",LEN(Registro!$H50))),({1,2,3,4,5,6,7,8,9,10,11,12,13,14,15,16,17,18,19,20,21,22,23,24,25,26,27,28,29,30}-1)*LEN(Registro!$H50)+1,LEN(Registro!$H50)))," ",REPT(" ",50)),50)))),"Revisar formato"))</f>
        <v>440</v>
      </c>
      <c r="J50" s="24">
        <f>IF(Registro!$I50="","",IFERROR(SUMPRODUCT(--("0"&amp;TRIM(RIGHT(SUBSTITUTE(TRIM(MID(SUBSTITUTE(SUBSTITUTE(Registro!$I50,";",CHAR(10)),CHAR(10),REPT(" ",LEN(Registro!$I50))),({1,2,3,4,5,6,7,8,9,10,11,12,13,14,15,16,17,18,19,20,21,22,23,24,25,26,27,28,29,30}-1)*LEN(Registro!$I50)+1,LEN(Registro!$I50)))," ",REPT(" ",50)),50)))),"Revisar formato"))</f>
        <v>3200</v>
      </c>
      <c r="K50" s="24">
        <f>IF(AND(Registro!$G50="",Registro!$H50=""),"",IF(AND(ISTEXT(I50),I50&lt;&gt;""),"Revisar formato",N(Registro!$G50)-N(I50)))</f>
        <v>3120</v>
      </c>
      <c r="L50" s="24">
        <f t="shared" si="1"/>
        <v>-80</v>
      </c>
      <c r="M50" s="36" t="str">
        <f>IF(AND(A50=Consulta!$B$3,C50=Consulta!$H$3),B50*10000+ROW(),"")</f>
        <v/>
      </c>
    </row>
    <row r="51" spans="1:13" x14ac:dyDescent="0.25">
      <c r="A51" s="21" t="str">
        <f>IF(Registro!$A51="","",Registro!$A51)</f>
        <v/>
      </c>
      <c r="B51" s="20" t="str">
        <f>IF(Registro!$B51="","",Registro!$B51)</f>
        <v/>
      </c>
      <c r="C51" s="35" t="str">
        <f t="shared" si="0"/>
        <v/>
      </c>
      <c r="D51" s="23" t="str">
        <f>IF(Registro!$E51="","",IF(ISERROR(FIND("x",LOWER(Registro!$E51))),"-",IFERROR(SUMPRODUCT(--("0"&amp;LEFT(TRIM(MID(SUBSTITUTE(SUBSTITUTE(SUBSTITUTE(SUBSTITUTE(SUBSTITUTE(LOWER(Registro!$E51),"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",LEN(Registro!$E51))),({1,2,3,4,5,6,7,8,9,10,11,12,13,14,15,16,17,18,19,20,21,22,23,24,25,26,27,28,29,30}-1)*LEN(Registro!$E51)+1,LEN(Registro!$E51))),FIND("x",TRIM(MID(SUBSTITUTE(SUBSTITUTE(SUBSTITUTE(SUBSTITUTE(SUBSTITUTE(LOWER(Registro!$E51),"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",LEN(Registro!$E51))),({1,2,3,4,5,6,7,8,9,10,11,12,13,14,15,16,17,18,19,20,21,22,23,24,25,26,27,28,29,30}-1)*LEN(Registro!$E51)+1,LEN(Registro!$E51)))&amp;"x")-1))),"Revisar formato")))</f>
        <v/>
      </c>
      <c r="E51" s="24" t="str">
        <f>IF(Registro!$E51="","",IF(ISERROR(FIND("x",LOWER(Registro!$E51))),"-",IFERROR(SUMPRODUCT(--("0"&amp;LEFT(TRIM(MID(SUBSTITUTE(SUBSTITUTE(SUBSTITUTE(SUBSTITUTE(SUBSTITUTE(LOWER(Registro!$E51),"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",LEN(Registro!$E51))),({1,2,3,4,5,6,7,8,9,10,11,12,13,14,15,16,17,18,19,20,21,22,23,24,25,26,27,28,29,30}-1)*LEN(Registro!$E51)+1,LEN(Registro!$E51))),FIND("x",TRIM(MID(SUBSTITUTE(SUBSTITUTE(SUBSTITUTE(SUBSTITUTE(SUBSTITUTE(LOWER(Registro!$E51),"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",LEN(Registro!$E51))),({1,2,3,4,5,6,7,8,9,10,11,12,13,14,15,16,17,18,19,20,21,22,23,24,25,26,27,28,29,30}-1)*LEN(Registro!$E51)+1,LEN(Registro!$E51)))&amp;"x")-1)),--("0"&amp;MID(TRIM(MID(SUBSTITUTE(SUBSTITUTE(SUBSTITUTE(SUBSTITUTE(SUBSTITUTE(LOWER(Registro!$E51),"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",LEN(Registro!$E51))),({1,2,3,4,5,6,7,8,9,10,11,12,13,14,15,16,17,18,19,20,21,22,23,24,25,26,27,28,29,30}-1)*LEN(Registro!$E51)+1,LEN(Registro!$E51))),FIND("x",TRIM(MID(SUBSTITUTE(SUBSTITUTE(SUBSTITUTE(SUBSTITUTE(SUBSTITUTE(LOWER(Registro!$E51),"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",LEN(Registro!$E51))),({1,2,3,4,5,6,7,8,9,10,11,12,13,14,15,16,17,18,19,20,21,22,23,24,25,26,27,28,29,30}-1)*LEN(Registro!$E51)+1,LEN(Registro!$E51)))&amp;"x")+1,20))),"Revisar formato")))</f>
        <v/>
      </c>
      <c r="F51" s="23" t="str">
        <f>IF(Registro!$F51="","",IF(ISERROR(FIND("x",LOWER(Registro!$F51))),"-",IFERROR(SUMPRODUCT(--("0"&amp;LEFT(TRIM(MID(SUBSTITUTE(SUBSTITUTE(SUBSTITUTE(SUBSTITUTE(SUBSTITUTE(LOWER(Registro!$F51)," ",""),CHAR(10),"|"),";","|"),"+","|"),"|",REPT(" ",LEN(Registro!$F51))),({1,2,3,4,5,6,7,8,9,10,11,12,13,14,15,16,17,18,19,20,21,22,23,24,25,26,27,28,29,30}-1)*LEN(Registro!$F51)+1,LEN(Registro!$F51))),FIND("x",TRIM(MID(SUBSTITUTE(SUBSTITUTE(SUBSTITUTE(SUBSTITUTE(SUBSTITUTE(LOWER(Registro!$F51)," ",""),CHAR(10),"|"),";","|"),"+","|"),"|",REPT(" ",LEN(Registro!$F51))),({1,2,3,4,5,6,7,8,9,10,11,12,13,14,15,16,17,18,19,20,21,22,23,24,25,26,27,28,29,30}-1)*LEN(Registro!$F51)+1,LEN(Registro!$F51)))&amp;"x")-1))),"Revisar formato")))</f>
        <v/>
      </c>
      <c r="G51" s="24" t="str">
        <f>IF(Registro!$F51="","",IF(ISERROR(FIND("x",LOWER(Registro!$F51))),N(Registro!$G51),IFERROR(SUMPRODUCT(--("0"&amp;LEFT(TRIM(MID(SUBSTITUTE(SUBSTITUTE(SUBSTITUTE(SUBSTITUTE(SUBSTITUTE(LOWER(Registro!$F51)," ",""),CHAR(10),"|"),";","|"),"+","|"),"|",REPT(" ",LEN(Registro!$F51))),({1,2,3,4,5,6,7,8,9,10,11,12,13,14,15,16,17,18,19,20,21,22,23,24,25,26,27,28,29,30}-1)*LEN(Registro!$F51)+1,LEN(Registro!$F51))),FIND("x",TRIM(MID(SUBSTITUTE(SUBSTITUTE(SUBSTITUTE(SUBSTITUTE(SUBSTITUTE(LOWER(Registro!$F51)," ",""),CHAR(10),"|"),";","|"),"+","|"),"|",REPT(" ",LEN(Registro!$F51))),({1,2,3,4,5,6,7,8,9,10,11,12,13,14,15,16,17,18,19,20,21,22,23,24,25,26,27,28,29,30}-1)*LEN(Registro!$F51)+1,LEN(Registro!$F51)))&amp;"x")-1)),--("0"&amp;MID(TRIM(MID(SUBSTITUTE(SUBSTITUTE(SUBSTITUTE(SUBSTITUTE(SUBSTITUTE(LOWER(Registro!$F51)," ",""),CHAR(10),"|"),";","|"),"+","|"),"|",REPT(" ",LEN(Registro!$F51))),({1,2,3,4,5,6,7,8,9,10,11,12,13,14,15,16,17,18,19,20,21,22,23,24,25,26,27,28,29,30}-1)*LEN(Registro!$F51)+1,LEN(Registro!$F51))),FIND("x",TRIM(MID(SUBSTITUTE(SUBSTITUTE(SUBSTITUTE(SUBSTITUTE(SUBSTITUTE(LOWER(Registro!$F51)," ",""),CHAR(10),"|"),";","|"),"+","|"),"|",REPT(" ",LEN(Registro!$F51))),({1,2,3,4,5,6,7,8,9,10,11,12,13,14,15,16,17,18,19,20,21,22,23,24,25,26,27,28,29,30}-1)*LEN(Registro!$F51)+1,LEN(Registro!$F51)))&amp;"x")+1,20))),"Revisar formato")))</f>
        <v/>
      </c>
      <c r="H51" s="21" t="str">
        <f>IF(AND(Registro!$E51="",Registro!$F51=""),"",IF(NOT(AND(ISNUMBER(G51),ISNUMBER(Registro!$G51))),"",IF(G51&lt;Registro!$G51,"FALTA BOLETOS",IF(G51=Registro!$G51,"CONFORME","DIFERENCIA"))))</f>
        <v/>
      </c>
      <c r="I51" s="24" t="str">
        <f>IF(Registro!$H51="","",IFERROR(SUMPRODUCT(--("0"&amp;TRIM(RIGHT(SUBSTITUTE(TRIM(MID(SUBSTITUTE(SUBSTITUTE(Registro!$H51,";",CHAR(10)),CHAR(10),REPT(" ",LEN(Registro!$H51))),({1,2,3,4,5,6,7,8,9,10,11,12,13,14,15,16,17,18,19,20,21,22,23,24,25,26,27,28,29,30}-1)*LEN(Registro!$H51)+1,LEN(Registro!$H51)))," ",REPT(" ",50)),50)))),"Revisar formato"))</f>
        <v/>
      </c>
      <c r="J51" s="24" t="str">
        <f>IF(Registro!$I51="","",IFERROR(SUMPRODUCT(--("0"&amp;TRIM(RIGHT(SUBSTITUTE(TRIM(MID(SUBSTITUTE(SUBSTITUTE(Registro!$I51,";",CHAR(10)),CHAR(10),REPT(" ",LEN(Registro!$I51))),({1,2,3,4,5,6,7,8,9,10,11,12,13,14,15,16,17,18,19,20,21,22,23,24,25,26,27,28,29,30}-1)*LEN(Registro!$I51)+1,LEN(Registro!$I51)))," ",REPT(" ",50)),50)))),"Revisar formato"))</f>
        <v/>
      </c>
      <c r="K51" s="24" t="str">
        <f>IF(AND(Registro!$G51="",Registro!$H51=""),"",IF(AND(ISTEXT(I51),I51&lt;&gt;""),"Revisar formato",N(Registro!$G51)-N(I51)))</f>
        <v/>
      </c>
      <c r="L51" s="24" t="str">
        <f t="shared" si="1"/>
        <v/>
      </c>
      <c r="M51" s="36" t="str">
        <f>IF(AND(A51=Consulta!$B$3,C51=Consulta!$H$3),B51*10000+ROW(),"")</f>
        <v/>
      </c>
    </row>
    <row r="52" spans="1:13" x14ac:dyDescent="0.25">
      <c r="A52" s="21" t="str">
        <f>IF(Registro!$A52="","",Registro!$A52)</f>
        <v/>
      </c>
      <c r="B52" s="20" t="str">
        <f>IF(Registro!$B52="","",Registro!$B52)</f>
        <v/>
      </c>
      <c r="C52" s="35" t="str">
        <f t="shared" si="0"/>
        <v/>
      </c>
      <c r="D52" s="23" t="str">
        <f>IF(Registro!$E52="","",IF(ISERROR(FIND("x",LOWER(Registro!$E52))),"-",IFERROR(SUMPRODUCT(--("0"&amp;LEFT(TRIM(MID(SUBSTITUTE(SUBSTITUTE(SUBSTITUTE(SUBSTITUTE(SUBSTITUTE(LOWER(Registro!$E52),"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",LEN(Registro!$E52))),({1,2,3,4,5,6,7,8,9,10,11,12,13,14,15,16,17,18,19,20,21,22,23,24,25,26,27,28,29,30}-1)*LEN(Registro!$E52)+1,LEN(Registro!$E52))),FIND("x",TRIM(MID(SUBSTITUTE(SUBSTITUTE(SUBSTITUTE(SUBSTITUTE(SUBSTITUTE(LOWER(Registro!$E52),"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",LEN(Registro!$E52))),({1,2,3,4,5,6,7,8,9,10,11,12,13,14,15,16,17,18,19,20,21,22,23,24,25,26,27,28,29,30}-1)*LEN(Registro!$E52)+1,LEN(Registro!$E52)))&amp;"x")-1))),"Revisar formato")))</f>
        <v/>
      </c>
      <c r="E52" s="24" t="str">
        <f>IF(Registro!$E52="","",IF(ISERROR(FIND("x",LOWER(Registro!$E52))),"-",IFERROR(SUMPRODUCT(--("0"&amp;LEFT(TRIM(MID(SUBSTITUTE(SUBSTITUTE(SUBSTITUTE(SUBSTITUTE(SUBSTITUTE(LOWER(Registro!$E52),"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",LEN(Registro!$E52))),({1,2,3,4,5,6,7,8,9,10,11,12,13,14,15,16,17,18,19,20,21,22,23,24,25,26,27,28,29,30}-1)*LEN(Registro!$E52)+1,LEN(Registro!$E52))),FIND("x",TRIM(MID(SUBSTITUTE(SUBSTITUTE(SUBSTITUTE(SUBSTITUTE(SUBSTITUTE(LOWER(Registro!$E52),"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",LEN(Registro!$E52))),({1,2,3,4,5,6,7,8,9,10,11,12,13,14,15,16,17,18,19,20,21,22,23,24,25,26,27,28,29,30}-1)*LEN(Registro!$E52)+1,LEN(Registro!$E52)))&amp;"x")-1)),--("0"&amp;MID(TRIM(MID(SUBSTITUTE(SUBSTITUTE(SUBSTITUTE(SUBSTITUTE(SUBSTITUTE(LOWER(Registro!$E52),"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",LEN(Registro!$E52))),({1,2,3,4,5,6,7,8,9,10,11,12,13,14,15,16,17,18,19,20,21,22,23,24,25,26,27,28,29,30}-1)*LEN(Registro!$E52)+1,LEN(Registro!$E52))),FIND("x",TRIM(MID(SUBSTITUTE(SUBSTITUTE(SUBSTITUTE(SUBSTITUTE(SUBSTITUTE(LOWER(Registro!$E52),"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",LEN(Registro!$E52))),({1,2,3,4,5,6,7,8,9,10,11,12,13,14,15,16,17,18,19,20,21,22,23,24,25,26,27,28,29,30}-1)*LEN(Registro!$E52)+1,LEN(Registro!$E52)))&amp;"x")+1,20))),"Revisar formato")))</f>
        <v/>
      </c>
      <c r="F52" s="23" t="str">
        <f>IF(Registro!$F52="","",IF(ISERROR(FIND("x",LOWER(Registro!$F52))),"-",IFERROR(SUMPRODUCT(--("0"&amp;LEFT(TRIM(MID(SUBSTITUTE(SUBSTITUTE(SUBSTITUTE(SUBSTITUTE(SUBSTITUTE(LOWER(Registro!$F52)," ",""),CHAR(10),"|"),";","|"),"+","|"),"|",REPT(" ",LEN(Registro!$F52))),({1,2,3,4,5,6,7,8,9,10,11,12,13,14,15,16,17,18,19,20,21,22,23,24,25,26,27,28,29,30}-1)*LEN(Registro!$F52)+1,LEN(Registro!$F52))),FIND("x",TRIM(MID(SUBSTITUTE(SUBSTITUTE(SUBSTITUTE(SUBSTITUTE(SUBSTITUTE(LOWER(Registro!$F52)," ",""),CHAR(10),"|"),";","|"),"+","|"),"|",REPT(" ",LEN(Registro!$F52))),({1,2,3,4,5,6,7,8,9,10,11,12,13,14,15,16,17,18,19,20,21,22,23,24,25,26,27,28,29,30}-1)*LEN(Registro!$F52)+1,LEN(Registro!$F52)))&amp;"x")-1))),"Revisar formato")))</f>
        <v/>
      </c>
      <c r="G52" s="24" t="str">
        <f>IF(Registro!$F52="","",IF(ISERROR(FIND("x",LOWER(Registro!$F52))),N(Registro!$G52),IFERROR(SUMPRODUCT(--("0"&amp;LEFT(TRIM(MID(SUBSTITUTE(SUBSTITUTE(SUBSTITUTE(SUBSTITUTE(SUBSTITUTE(LOWER(Registro!$F52)," ",""),CHAR(10),"|"),";","|"),"+","|"),"|",REPT(" ",LEN(Registro!$F52))),({1,2,3,4,5,6,7,8,9,10,11,12,13,14,15,16,17,18,19,20,21,22,23,24,25,26,27,28,29,30}-1)*LEN(Registro!$F52)+1,LEN(Registro!$F52))),FIND("x",TRIM(MID(SUBSTITUTE(SUBSTITUTE(SUBSTITUTE(SUBSTITUTE(SUBSTITUTE(LOWER(Registro!$F52)," ",""),CHAR(10),"|"),";","|"),"+","|"),"|",REPT(" ",LEN(Registro!$F52))),({1,2,3,4,5,6,7,8,9,10,11,12,13,14,15,16,17,18,19,20,21,22,23,24,25,26,27,28,29,30}-1)*LEN(Registro!$F52)+1,LEN(Registro!$F52)))&amp;"x")-1)),--("0"&amp;MID(TRIM(MID(SUBSTITUTE(SUBSTITUTE(SUBSTITUTE(SUBSTITUTE(SUBSTITUTE(LOWER(Registro!$F52)," ",""),CHAR(10),"|"),";","|"),"+","|"),"|",REPT(" ",LEN(Registro!$F52))),({1,2,3,4,5,6,7,8,9,10,11,12,13,14,15,16,17,18,19,20,21,22,23,24,25,26,27,28,29,30}-1)*LEN(Registro!$F52)+1,LEN(Registro!$F52))),FIND("x",TRIM(MID(SUBSTITUTE(SUBSTITUTE(SUBSTITUTE(SUBSTITUTE(SUBSTITUTE(LOWER(Registro!$F52)," ",""),CHAR(10),"|"),";","|"),"+","|"),"|",REPT(" ",LEN(Registro!$F52))),({1,2,3,4,5,6,7,8,9,10,11,12,13,14,15,16,17,18,19,20,21,22,23,24,25,26,27,28,29,30}-1)*LEN(Registro!$F52)+1,LEN(Registro!$F52)))&amp;"x")+1,20))),"Revisar formato")))</f>
        <v/>
      </c>
      <c r="H52" s="21" t="str">
        <f>IF(AND(Registro!$E52="",Registro!$F52=""),"",IF(NOT(AND(ISNUMBER(G52),ISNUMBER(Registro!$G52))),"",IF(G52&lt;Registro!$G52,"FALTA BOLETOS",IF(G52=Registro!$G52,"CONFORME","DIFERENCIA"))))</f>
        <v/>
      </c>
      <c r="I52" s="24" t="str">
        <f>IF(Registro!$H52="","",IFERROR(SUMPRODUCT(--("0"&amp;TRIM(RIGHT(SUBSTITUTE(TRIM(MID(SUBSTITUTE(SUBSTITUTE(Registro!$H52,";",CHAR(10)),CHAR(10),REPT(" ",LEN(Registro!$H52))),({1,2,3,4,5,6,7,8,9,10,11,12,13,14,15,16,17,18,19,20,21,22,23,24,25,26,27,28,29,30}-1)*LEN(Registro!$H52)+1,LEN(Registro!$H52)))," ",REPT(" ",50)),50)))),"Revisar formato"))</f>
        <v/>
      </c>
      <c r="J52" s="24" t="str">
        <f>IF(Registro!$I52="","",IFERROR(SUMPRODUCT(--("0"&amp;TRIM(RIGHT(SUBSTITUTE(TRIM(MID(SUBSTITUTE(SUBSTITUTE(Registro!$I52,";",CHAR(10)),CHAR(10),REPT(" ",LEN(Registro!$I52))),({1,2,3,4,5,6,7,8,9,10,11,12,13,14,15,16,17,18,19,20,21,22,23,24,25,26,27,28,29,30}-1)*LEN(Registro!$I52)+1,LEN(Registro!$I52)))," ",REPT(" ",50)),50)))),"Revisar formato"))</f>
        <v/>
      </c>
      <c r="K52" s="24" t="str">
        <f>IF(AND(Registro!$G52="",Registro!$H52=""),"",IF(AND(ISTEXT(I52),I52&lt;&gt;""),"Revisar formato",N(Registro!$G52)-N(I52)))</f>
        <v/>
      </c>
      <c r="L52" s="24" t="str">
        <f t="shared" si="1"/>
        <v/>
      </c>
      <c r="M52" s="36" t="str">
        <f>IF(AND(A52=Consulta!$B$3,C52=Consulta!$H$3),B52*10000+ROW(),"")</f>
        <v/>
      </c>
    </row>
    <row r="53" spans="1:13" x14ac:dyDescent="0.25">
      <c r="A53" s="21" t="str">
        <f>IF(Registro!$A53="","",Registro!$A53)</f>
        <v/>
      </c>
      <c r="B53" s="20" t="str">
        <f>IF(Registro!$B53="","",Registro!$B53)</f>
        <v/>
      </c>
      <c r="C53" s="35" t="str">
        <f t="shared" si="0"/>
        <v/>
      </c>
      <c r="D53" s="23" t="str">
        <f>IF(Registro!$E53="","",IF(ISERROR(FIND("x",LOWER(Registro!$E53))),"-",IFERROR(SUMPRODUCT(--("0"&amp;LEFT(TRIM(MID(SUBSTITUTE(SUBSTITUTE(SUBSTITUTE(SUBSTITUTE(SUBSTITUTE(LOWER(Registro!$E53),"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",LEN(Registro!$E53))),({1,2,3,4,5,6,7,8,9,10,11,12,13,14,15,16,17,18,19,20,21,22,23,24,25,26,27,28,29,30}-1)*LEN(Registro!$E53)+1,LEN(Registro!$E53))),FIND("x",TRIM(MID(SUBSTITUTE(SUBSTITUTE(SUBSTITUTE(SUBSTITUTE(SUBSTITUTE(LOWER(Registro!$E53),"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",LEN(Registro!$E53))),({1,2,3,4,5,6,7,8,9,10,11,12,13,14,15,16,17,18,19,20,21,22,23,24,25,26,27,28,29,30}-1)*LEN(Registro!$E53)+1,LEN(Registro!$E53)))&amp;"x")-1))),"Revisar formato")))</f>
        <v/>
      </c>
      <c r="E53" s="24" t="str">
        <f>IF(Registro!$E53="","",IF(ISERROR(FIND("x",LOWER(Registro!$E53))),"-",IFERROR(SUMPRODUCT(--("0"&amp;LEFT(TRIM(MID(SUBSTITUTE(SUBSTITUTE(SUBSTITUTE(SUBSTITUTE(SUBSTITUTE(LOWER(Registro!$E53),"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",LEN(Registro!$E53))),({1,2,3,4,5,6,7,8,9,10,11,12,13,14,15,16,17,18,19,20,21,22,23,24,25,26,27,28,29,30}-1)*LEN(Registro!$E53)+1,LEN(Registro!$E53))),FIND("x",TRIM(MID(SUBSTITUTE(SUBSTITUTE(SUBSTITUTE(SUBSTITUTE(SUBSTITUTE(LOWER(Registro!$E53),"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",LEN(Registro!$E53))),({1,2,3,4,5,6,7,8,9,10,11,12,13,14,15,16,17,18,19,20,21,22,23,24,25,26,27,28,29,30}-1)*LEN(Registro!$E53)+1,LEN(Registro!$E53)))&amp;"x")-1)),--("0"&amp;MID(TRIM(MID(SUBSTITUTE(SUBSTITUTE(SUBSTITUTE(SUBSTITUTE(SUBSTITUTE(LOWER(Registro!$E53),"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",LEN(Registro!$E53))),({1,2,3,4,5,6,7,8,9,10,11,12,13,14,15,16,17,18,19,20,21,22,23,24,25,26,27,28,29,30}-1)*LEN(Registro!$E53)+1,LEN(Registro!$E53))),FIND("x",TRIM(MID(SUBSTITUTE(SUBSTITUTE(SUBSTITUTE(SUBSTITUTE(SUBSTITUTE(LOWER(Registro!$E53),"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",LEN(Registro!$E53))),({1,2,3,4,5,6,7,8,9,10,11,12,13,14,15,16,17,18,19,20,21,22,23,24,25,26,27,28,29,30}-1)*LEN(Registro!$E53)+1,LEN(Registro!$E53)))&amp;"x")+1,20))),"Revisar formato")))</f>
        <v/>
      </c>
      <c r="F53" s="23" t="str">
        <f>IF(Registro!$F53="","",IF(ISERROR(FIND("x",LOWER(Registro!$F53))),"-",IFERROR(SUMPRODUCT(--("0"&amp;LEFT(TRIM(MID(SUBSTITUTE(SUBSTITUTE(SUBSTITUTE(SUBSTITUTE(SUBSTITUTE(LOWER(Registro!$F53)," ",""),CHAR(10),"|"),";","|"),"+","|"),"|",REPT(" ",LEN(Registro!$F53))),({1,2,3,4,5,6,7,8,9,10,11,12,13,14,15,16,17,18,19,20,21,22,23,24,25,26,27,28,29,30}-1)*LEN(Registro!$F53)+1,LEN(Registro!$F53))),FIND("x",TRIM(MID(SUBSTITUTE(SUBSTITUTE(SUBSTITUTE(SUBSTITUTE(SUBSTITUTE(LOWER(Registro!$F53)," ",""),CHAR(10),"|"),";","|"),"+","|"),"|",REPT(" ",LEN(Registro!$F53))),({1,2,3,4,5,6,7,8,9,10,11,12,13,14,15,16,17,18,19,20,21,22,23,24,25,26,27,28,29,30}-1)*LEN(Registro!$F53)+1,LEN(Registro!$F53)))&amp;"x")-1))),"Revisar formato")))</f>
        <v/>
      </c>
      <c r="G53" s="24" t="str">
        <f>IF(Registro!$F53="","",IF(ISERROR(FIND("x",LOWER(Registro!$F53))),N(Registro!$G53),IFERROR(SUMPRODUCT(--("0"&amp;LEFT(TRIM(MID(SUBSTITUTE(SUBSTITUTE(SUBSTITUTE(SUBSTITUTE(SUBSTITUTE(LOWER(Registro!$F53)," ",""),CHAR(10),"|"),";","|"),"+","|"),"|",REPT(" ",LEN(Registro!$F53))),({1,2,3,4,5,6,7,8,9,10,11,12,13,14,15,16,17,18,19,20,21,22,23,24,25,26,27,28,29,30}-1)*LEN(Registro!$F53)+1,LEN(Registro!$F53))),FIND("x",TRIM(MID(SUBSTITUTE(SUBSTITUTE(SUBSTITUTE(SUBSTITUTE(SUBSTITUTE(LOWER(Registro!$F53)," ",""),CHAR(10),"|"),";","|"),"+","|"),"|",REPT(" ",LEN(Registro!$F53))),({1,2,3,4,5,6,7,8,9,10,11,12,13,14,15,16,17,18,19,20,21,22,23,24,25,26,27,28,29,30}-1)*LEN(Registro!$F53)+1,LEN(Registro!$F53)))&amp;"x")-1)),--("0"&amp;MID(TRIM(MID(SUBSTITUTE(SUBSTITUTE(SUBSTITUTE(SUBSTITUTE(SUBSTITUTE(LOWER(Registro!$F53)," ",""),CHAR(10),"|"),";","|"),"+","|"),"|",REPT(" ",LEN(Registro!$F53))),({1,2,3,4,5,6,7,8,9,10,11,12,13,14,15,16,17,18,19,20,21,22,23,24,25,26,27,28,29,30}-1)*LEN(Registro!$F53)+1,LEN(Registro!$F53))),FIND("x",TRIM(MID(SUBSTITUTE(SUBSTITUTE(SUBSTITUTE(SUBSTITUTE(SUBSTITUTE(LOWER(Registro!$F53)," ",""),CHAR(10),"|"),";","|"),"+","|"),"|",REPT(" ",LEN(Registro!$F53))),({1,2,3,4,5,6,7,8,9,10,11,12,13,14,15,16,17,18,19,20,21,22,23,24,25,26,27,28,29,30}-1)*LEN(Registro!$F53)+1,LEN(Registro!$F53)))&amp;"x")+1,20))),"Revisar formato")))</f>
        <v/>
      </c>
      <c r="H53" s="21" t="str">
        <f>IF(AND(Registro!$E53="",Registro!$F53=""),"",IF(NOT(AND(ISNUMBER(G53),ISNUMBER(Registro!$G53))),"",IF(G53&lt;Registro!$G53,"FALTA BOLETOS",IF(G53=Registro!$G53,"CONFORME","DIFERENCIA"))))</f>
        <v/>
      </c>
      <c r="I53" s="24" t="str">
        <f>IF(Registro!$H53="","",IFERROR(SUMPRODUCT(--("0"&amp;TRIM(RIGHT(SUBSTITUTE(TRIM(MID(SUBSTITUTE(SUBSTITUTE(Registro!$H53,";",CHAR(10)),CHAR(10),REPT(" ",LEN(Registro!$H53))),({1,2,3,4,5,6,7,8,9,10,11,12,13,14,15,16,17,18,19,20,21,22,23,24,25,26,27,28,29,30}-1)*LEN(Registro!$H53)+1,LEN(Registro!$H53)))," ",REPT(" ",50)),50)))),"Revisar formato"))</f>
        <v/>
      </c>
      <c r="J53" s="24" t="str">
        <f>IF(Registro!$I53="","",IFERROR(SUMPRODUCT(--("0"&amp;TRIM(RIGHT(SUBSTITUTE(TRIM(MID(SUBSTITUTE(SUBSTITUTE(Registro!$I53,";",CHAR(10)),CHAR(10),REPT(" ",LEN(Registro!$I53))),({1,2,3,4,5,6,7,8,9,10,11,12,13,14,15,16,17,18,19,20,21,22,23,24,25,26,27,28,29,30}-1)*LEN(Registro!$I53)+1,LEN(Registro!$I53)))," ",REPT(" ",50)),50)))),"Revisar formato"))</f>
        <v/>
      </c>
      <c r="K53" s="24" t="str">
        <f>IF(AND(Registro!$G53="",Registro!$H53=""),"",IF(AND(ISTEXT(I53),I53&lt;&gt;""),"Revisar formato",N(Registro!$G53)-N(I53)))</f>
        <v/>
      </c>
      <c r="L53" s="24" t="str">
        <f t="shared" si="1"/>
        <v/>
      </c>
      <c r="M53" s="36" t="str">
        <f>IF(AND(A53=Consulta!$B$3,C53=Consulta!$H$3),B53*10000+ROW(),"")</f>
        <v/>
      </c>
    </row>
    <row r="54" spans="1:13" x14ac:dyDescent="0.25">
      <c r="A54" s="21" t="str">
        <f>IF(Registro!$A54="","",Registro!$A54)</f>
        <v/>
      </c>
      <c r="B54" s="20" t="str">
        <f>IF(Registro!$B54="","",Registro!$B54)</f>
        <v/>
      </c>
      <c r="C54" s="35" t="str">
        <f t="shared" si="0"/>
        <v/>
      </c>
      <c r="D54" s="23" t="str">
        <f>IF(Registro!$E54="","",IF(ISERROR(FIND("x",LOWER(Registro!$E54))),"-",IFERROR(SUMPRODUCT(--("0"&amp;LEFT(TRIM(MID(SUBSTITUTE(SUBSTITUTE(SUBSTITUTE(SUBSTITUTE(SUBSTITUTE(LOWER(Registro!$E54),"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",LEN(Registro!$E54))),({1,2,3,4,5,6,7,8,9,10,11,12,13,14,15,16,17,18,19,20,21,22,23,24,25,26,27,28,29,30}-1)*LEN(Registro!$E54)+1,LEN(Registro!$E54))),FIND("x",TRIM(MID(SUBSTITUTE(SUBSTITUTE(SUBSTITUTE(SUBSTITUTE(SUBSTITUTE(LOWER(Registro!$E54),"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",LEN(Registro!$E54))),({1,2,3,4,5,6,7,8,9,10,11,12,13,14,15,16,17,18,19,20,21,22,23,24,25,26,27,28,29,30}-1)*LEN(Registro!$E54)+1,LEN(Registro!$E54)))&amp;"x")-1))),"Revisar formato")))</f>
        <v/>
      </c>
      <c r="E54" s="24" t="str">
        <f>IF(Registro!$E54="","",IF(ISERROR(FIND("x",LOWER(Registro!$E54))),"-",IFERROR(SUMPRODUCT(--("0"&amp;LEFT(TRIM(MID(SUBSTITUTE(SUBSTITUTE(SUBSTITUTE(SUBSTITUTE(SUBSTITUTE(LOWER(Registro!$E54),"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",LEN(Registro!$E54))),({1,2,3,4,5,6,7,8,9,10,11,12,13,14,15,16,17,18,19,20,21,22,23,24,25,26,27,28,29,30}-1)*LEN(Registro!$E54)+1,LEN(Registro!$E54))),FIND("x",TRIM(MID(SUBSTITUTE(SUBSTITUTE(SUBSTITUTE(SUBSTITUTE(SUBSTITUTE(LOWER(Registro!$E54),"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",LEN(Registro!$E54))),({1,2,3,4,5,6,7,8,9,10,11,12,13,14,15,16,17,18,19,20,21,22,23,24,25,26,27,28,29,30}-1)*LEN(Registro!$E54)+1,LEN(Registro!$E54)))&amp;"x")-1)),--("0"&amp;MID(TRIM(MID(SUBSTITUTE(SUBSTITUTE(SUBSTITUTE(SUBSTITUTE(SUBSTITUTE(LOWER(Registro!$E54),"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",LEN(Registro!$E54))),({1,2,3,4,5,6,7,8,9,10,11,12,13,14,15,16,17,18,19,20,21,22,23,24,25,26,27,28,29,30}-1)*LEN(Registro!$E54)+1,LEN(Registro!$E54))),FIND("x",TRIM(MID(SUBSTITUTE(SUBSTITUTE(SUBSTITUTE(SUBSTITUTE(SUBSTITUTE(LOWER(Registro!$E54),"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",LEN(Registro!$E54))),({1,2,3,4,5,6,7,8,9,10,11,12,13,14,15,16,17,18,19,20,21,22,23,24,25,26,27,28,29,30}-1)*LEN(Registro!$E54)+1,LEN(Registro!$E54)))&amp;"x")+1,20))),"Revisar formato")))</f>
        <v/>
      </c>
      <c r="F54" s="23" t="str">
        <f>IF(Registro!$F54="","",IF(ISERROR(FIND("x",LOWER(Registro!$F54))),"-",IFERROR(SUMPRODUCT(--("0"&amp;LEFT(TRIM(MID(SUBSTITUTE(SUBSTITUTE(SUBSTITUTE(SUBSTITUTE(SUBSTITUTE(LOWER(Registro!$F54)," ",""),CHAR(10),"|"),";","|"),"+","|"),"|",REPT(" ",LEN(Registro!$F54))),({1,2,3,4,5,6,7,8,9,10,11,12,13,14,15,16,17,18,19,20,21,22,23,24,25,26,27,28,29,30}-1)*LEN(Registro!$F54)+1,LEN(Registro!$F54))),FIND("x",TRIM(MID(SUBSTITUTE(SUBSTITUTE(SUBSTITUTE(SUBSTITUTE(SUBSTITUTE(LOWER(Registro!$F54)," ",""),CHAR(10),"|"),";","|"),"+","|"),"|",REPT(" ",LEN(Registro!$F54))),({1,2,3,4,5,6,7,8,9,10,11,12,13,14,15,16,17,18,19,20,21,22,23,24,25,26,27,28,29,30}-1)*LEN(Registro!$F54)+1,LEN(Registro!$F54)))&amp;"x")-1))),"Revisar formato")))</f>
        <v/>
      </c>
      <c r="G54" s="24" t="str">
        <f>IF(Registro!$F54="","",IF(ISERROR(FIND("x",LOWER(Registro!$F54))),N(Registro!$G54),IFERROR(SUMPRODUCT(--("0"&amp;LEFT(TRIM(MID(SUBSTITUTE(SUBSTITUTE(SUBSTITUTE(SUBSTITUTE(SUBSTITUTE(LOWER(Registro!$F54)," ",""),CHAR(10),"|"),";","|"),"+","|"),"|",REPT(" ",LEN(Registro!$F54))),({1,2,3,4,5,6,7,8,9,10,11,12,13,14,15,16,17,18,19,20,21,22,23,24,25,26,27,28,29,30}-1)*LEN(Registro!$F54)+1,LEN(Registro!$F54))),FIND("x",TRIM(MID(SUBSTITUTE(SUBSTITUTE(SUBSTITUTE(SUBSTITUTE(SUBSTITUTE(LOWER(Registro!$F54)," ",""),CHAR(10),"|"),";","|"),"+","|"),"|",REPT(" ",LEN(Registro!$F54))),({1,2,3,4,5,6,7,8,9,10,11,12,13,14,15,16,17,18,19,20,21,22,23,24,25,26,27,28,29,30}-1)*LEN(Registro!$F54)+1,LEN(Registro!$F54)))&amp;"x")-1)),--("0"&amp;MID(TRIM(MID(SUBSTITUTE(SUBSTITUTE(SUBSTITUTE(SUBSTITUTE(SUBSTITUTE(LOWER(Registro!$F54)," ",""),CHAR(10),"|"),";","|"),"+","|"),"|",REPT(" ",LEN(Registro!$F54))),({1,2,3,4,5,6,7,8,9,10,11,12,13,14,15,16,17,18,19,20,21,22,23,24,25,26,27,28,29,30}-1)*LEN(Registro!$F54)+1,LEN(Registro!$F54))),FIND("x",TRIM(MID(SUBSTITUTE(SUBSTITUTE(SUBSTITUTE(SUBSTITUTE(SUBSTITUTE(LOWER(Registro!$F54)," ",""),CHAR(10),"|"),";","|"),"+","|"),"|",REPT(" ",LEN(Registro!$F54))),({1,2,3,4,5,6,7,8,9,10,11,12,13,14,15,16,17,18,19,20,21,22,23,24,25,26,27,28,29,30}-1)*LEN(Registro!$F54)+1,LEN(Registro!$F54)))&amp;"x")+1,20))),"Revisar formato")))</f>
        <v/>
      </c>
      <c r="H54" s="21" t="str">
        <f>IF(AND(Registro!$E54="",Registro!$F54=""),"",IF(NOT(AND(ISNUMBER(G54),ISNUMBER(Registro!$G54))),"",IF(G54&lt;Registro!$G54,"FALTA BOLETOS",IF(G54=Registro!$G54,"CONFORME","DIFERENCIA"))))</f>
        <v/>
      </c>
      <c r="I54" s="24" t="str">
        <f>IF(Registro!$H54="","",IFERROR(SUMPRODUCT(--("0"&amp;TRIM(RIGHT(SUBSTITUTE(TRIM(MID(SUBSTITUTE(SUBSTITUTE(Registro!$H54,";",CHAR(10)),CHAR(10),REPT(" ",LEN(Registro!$H54))),({1,2,3,4,5,6,7,8,9,10,11,12,13,14,15,16,17,18,19,20,21,22,23,24,25,26,27,28,29,30}-1)*LEN(Registro!$H54)+1,LEN(Registro!$H54)))," ",REPT(" ",50)),50)))),"Revisar formato"))</f>
        <v/>
      </c>
      <c r="J54" s="24" t="str">
        <f>IF(Registro!$I54="","",IFERROR(SUMPRODUCT(--("0"&amp;TRIM(RIGHT(SUBSTITUTE(TRIM(MID(SUBSTITUTE(SUBSTITUTE(Registro!$I54,";",CHAR(10)),CHAR(10),REPT(" ",LEN(Registro!$I54))),({1,2,3,4,5,6,7,8,9,10,11,12,13,14,15,16,17,18,19,20,21,22,23,24,25,26,27,28,29,30}-1)*LEN(Registro!$I54)+1,LEN(Registro!$I54)))," ",REPT(" ",50)),50)))),"Revisar formato"))</f>
        <v/>
      </c>
      <c r="K54" s="24" t="str">
        <f>IF(AND(Registro!$G54="",Registro!$H54=""),"",IF(AND(ISTEXT(I54),I54&lt;&gt;""),"Revisar formato",N(Registro!$G54)-N(I54)))</f>
        <v/>
      </c>
      <c r="L54" s="24" t="str">
        <f t="shared" si="1"/>
        <v/>
      </c>
      <c r="M54" s="36" t="str">
        <f>IF(AND(A54=Consulta!$B$3,C54=Consulta!$H$3),B54*10000+ROW(),"")</f>
        <v/>
      </c>
    </row>
    <row r="55" spans="1:13" x14ac:dyDescent="0.25">
      <c r="A55" s="21" t="str">
        <f>IF(Registro!$A55="","",Registro!$A55)</f>
        <v/>
      </c>
      <c r="B55" s="20" t="str">
        <f>IF(Registro!$B55="","",Registro!$B55)</f>
        <v/>
      </c>
      <c r="C55" s="35" t="str">
        <f t="shared" si="0"/>
        <v/>
      </c>
      <c r="D55" s="23" t="str">
        <f>IF(Registro!$E55="","",IF(ISERROR(FIND("x",LOWER(Registro!$E55))),"-",IFERROR(SUMPRODUCT(--("0"&amp;LEFT(TRIM(MID(SUBSTITUTE(SUBSTITUTE(SUBSTITUTE(SUBSTITUTE(SUBSTITUTE(LOWER(Registro!$E55),"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",LEN(Registro!$E55))),({1,2,3,4,5,6,7,8,9,10,11,12,13,14,15,16,17,18,19,20,21,22,23,24,25,26,27,28,29,30}-1)*LEN(Registro!$E55)+1,LEN(Registro!$E55))),FIND("x",TRIM(MID(SUBSTITUTE(SUBSTITUTE(SUBSTITUTE(SUBSTITUTE(SUBSTITUTE(LOWER(Registro!$E55),"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",LEN(Registro!$E55))),({1,2,3,4,5,6,7,8,9,10,11,12,13,14,15,16,17,18,19,20,21,22,23,24,25,26,27,28,29,30}-1)*LEN(Registro!$E55)+1,LEN(Registro!$E55)))&amp;"x")-1))),"Revisar formato")))</f>
        <v/>
      </c>
      <c r="E55" s="24" t="str">
        <f>IF(Registro!$E55="","",IF(ISERROR(FIND("x",LOWER(Registro!$E55))),"-",IFERROR(SUMPRODUCT(--("0"&amp;LEFT(TRIM(MID(SUBSTITUTE(SUBSTITUTE(SUBSTITUTE(SUBSTITUTE(SUBSTITUTE(LOWER(Registro!$E55),"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",LEN(Registro!$E55))),({1,2,3,4,5,6,7,8,9,10,11,12,13,14,15,16,17,18,19,20,21,22,23,24,25,26,27,28,29,30}-1)*LEN(Registro!$E55)+1,LEN(Registro!$E55))),FIND("x",TRIM(MID(SUBSTITUTE(SUBSTITUTE(SUBSTITUTE(SUBSTITUTE(SUBSTITUTE(LOWER(Registro!$E55),"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",LEN(Registro!$E55))),({1,2,3,4,5,6,7,8,9,10,11,12,13,14,15,16,17,18,19,20,21,22,23,24,25,26,27,28,29,30}-1)*LEN(Registro!$E55)+1,LEN(Registro!$E55)))&amp;"x")-1)),--("0"&amp;MID(TRIM(MID(SUBSTITUTE(SUBSTITUTE(SUBSTITUTE(SUBSTITUTE(SUBSTITUTE(LOWER(Registro!$E55),"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",LEN(Registro!$E55))),({1,2,3,4,5,6,7,8,9,10,11,12,13,14,15,16,17,18,19,20,21,22,23,24,25,26,27,28,29,30}-1)*LEN(Registro!$E55)+1,LEN(Registro!$E55))),FIND("x",TRIM(MID(SUBSTITUTE(SUBSTITUTE(SUBSTITUTE(SUBSTITUTE(SUBSTITUTE(LOWER(Registro!$E55),"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",LEN(Registro!$E55))),({1,2,3,4,5,6,7,8,9,10,11,12,13,14,15,16,17,18,19,20,21,22,23,24,25,26,27,28,29,30}-1)*LEN(Registro!$E55)+1,LEN(Registro!$E55)))&amp;"x")+1,20))),"Revisar formato")))</f>
        <v/>
      </c>
      <c r="F55" s="23" t="str">
        <f>IF(Registro!$F55="","",IF(ISERROR(FIND("x",LOWER(Registro!$F55))),"-",IFERROR(SUMPRODUCT(--("0"&amp;LEFT(TRIM(MID(SUBSTITUTE(SUBSTITUTE(SUBSTITUTE(SUBSTITUTE(SUBSTITUTE(LOWER(Registro!$F55)," ",""),CHAR(10),"|"),";","|"),"+","|"),"|",REPT(" ",LEN(Registro!$F55))),({1,2,3,4,5,6,7,8,9,10,11,12,13,14,15,16,17,18,19,20,21,22,23,24,25,26,27,28,29,30}-1)*LEN(Registro!$F55)+1,LEN(Registro!$F55))),FIND("x",TRIM(MID(SUBSTITUTE(SUBSTITUTE(SUBSTITUTE(SUBSTITUTE(SUBSTITUTE(LOWER(Registro!$F55)," ",""),CHAR(10),"|"),";","|"),"+","|"),"|",REPT(" ",LEN(Registro!$F55))),({1,2,3,4,5,6,7,8,9,10,11,12,13,14,15,16,17,18,19,20,21,22,23,24,25,26,27,28,29,30}-1)*LEN(Registro!$F55)+1,LEN(Registro!$F55)))&amp;"x")-1))),"Revisar formato")))</f>
        <v/>
      </c>
      <c r="G55" s="24" t="str">
        <f>IF(Registro!$F55="","",IF(ISERROR(FIND("x",LOWER(Registro!$F55))),N(Registro!$G55),IFERROR(SUMPRODUCT(--("0"&amp;LEFT(TRIM(MID(SUBSTITUTE(SUBSTITUTE(SUBSTITUTE(SUBSTITUTE(SUBSTITUTE(LOWER(Registro!$F55)," ",""),CHAR(10),"|"),";","|"),"+","|"),"|",REPT(" ",LEN(Registro!$F55))),({1,2,3,4,5,6,7,8,9,10,11,12,13,14,15,16,17,18,19,20,21,22,23,24,25,26,27,28,29,30}-1)*LEN(Registro!$F55)+1,LEN(Registro!$F55))),FIND("x",TRIM(MID(SUBSTITUTE(SUBSTITUTE(SUBSTITUTE(SUBSTITUTE(SUBSTITUTE(LOWER(Registro!$F55)," ",""),CHAR(10),"|"),";","|"),"+","|"),"|",REPT(" ",LEN(Registro!$F55))),({1,2,3,4,5,6,7,8,9,10,11,12,13,14,15,16,17,18,19,20,21,22,23,24,25,26,27,28,29,30}-1)*LEN(Registro!$F55)+1,LEN(Registro!$F55)))&amp;"x")-1)),--("0"&amp;MID(TRIM(MID(SUBSTITUTE(SUBSTITUTE(SUBSTITUTE(SUBSTITUTE(SUBSTITUTE(LOWER(Registro!$F55)," ",""),CHAR(10),"|"),";","|"),"+","|"),"|",REPT(" ",LEN(Registro!$F55))),({1,2,3,4,5,6,7,8,9,10,11,12,13,14,15,16,17,18,19,20,21,22,23,24,25,26,27,28,29,30}-1)*LEN(Registro!$F55)+1,LEN(Registro!$F55))),FIND("x",TRIM(MID(SUBSTITUTE(SUBSTITUTE(SUBSTITUTE(SUBSTITUTE(SUBSTITUTE(LOWER(Registro!$F55)," ",""),CHAR(10),"|"),";","|"),"+","|"),"|",REPT(" ",LEN(Registro!$F55))),({1,2,3,4,5,6,7,8,9,10,11,12,13,14,15,16,17,18,19,20,21,22,23,24,25,26,27,28,29,30}-1)*LEN(Registro!$F55)+1,LEN(Registro!$F55)))&amp;"x")+1,20))),"Revisar formato")))</f>
        <v/>
      </c>
      <c r="H55" s="21" t="str">
        <f>IF(AND(Registro!$E55="",Registro!$F55=""),"",IF(NOT(AND(ISNUMBER(G55),ISNUMBER(Registro!$G55))),"",IF(G55&lt;Registro!$G55,"FALTA BOLETOS",IF(G55=Registro!$G55,"CONFORME","DIFERENCIA"))))</f>
        <v/>
      </c>
      <c r="I55" s="24" t="str">
        <f>IF(Registro!$H55="","",IFERROR(SUMPRODUCT(--("0"&amp;TRIM(RIGHT(SUBSTITUTE(TRIM(MID(SUBSTITUTE(SUBSTITUTE(Registro!$H55,";",CHAR(10)),CHAR(10),REPT(" ",LEN(Registro!$H55))),({1,2,3,4,5,6,7,8,9,10,11,12,13,14,15,16,17,18,19,20,21,22,23,24,25,26,27,28,29,30}-1)*LEN(Registro!$H55)+1,LEN(Registro!$H55)))," ",REPT(" ",50)),50)))),"Revisar formato"))</f>
        <v/>
      </c>
      <c r="J55" s="24" t="str">
        <f>IF(Registro!$I55="","",IFERROR(SUMPRODUCT(--("0"&amp;TRIM(RIGHT(SUBSTITUTE(TRIM(MID(SUBSTITUTE(SUBSTITUTE(Registro!$I55,";",CHAR(10)),CHAR(10),REPT(" ",LEN(Registro!$I55))),({1,2,3,4,5,6,7,8,9,10,11,12,13,14,15,16,17,18,19,20,21,22,23,24,25,26,27,28,29,30}-1)*LEN(Registro!$I55)+1,LEN(Registro!$I55)))," ",REPT(" ",50)),50)))),"Revisar formato"))</f>
        <v/>
      </c>
      <c r="K55" s="24" t="str">
        <f>IF(AND(Registro!$G55="",Registro!$H55=""),"",IF(AND(ISTEXT(I55),I55&lt;&gt;""),"Revisar formato",N(Registro!$G55)-N(I55)))</f>
        <v/>
      </c>
      <c r="L55" s="24" t="str">
        <f t="shared" si="1"/>
        <v/>
      </c>
      <c r="M55" s="36" t="str">
        <f>IF(AND(A55=Consulta!$B$3,C55=Consulta!$H$3),B55*10000+ROW(),"")</f>
        <v/>
      </c>
    </row>
    <row r="56" spans="1:13" x14ac:dyDescent="0.25">
      <c r="A56" s="21" t="str">
        <f>IF(Registro!$A56="","",Registro!$A56)</f>
        <v/>
      </c>
      <c r="B56" s="20" t="str">
        <f>IF(Registro!$B56="","",Registro!$B56)</f>
        <v/>
      </c>
      <c r="C56" s="35" t="str">
        <f t="shared" si="0"/>
        <v/>
      </c>
      <c r="D56" s="23" t="str">
        <f>IF(Registro!$E56="","",IF(ISERROR(FIND("x",LOWER(Registro!$E56))),"-",IFERROR(SUMPRODUCT(--("0"&amp;LEFT(TRIM(MID(SUBSTITUTE(SUBSTITUTE(SUBSTITUTE(SUBSTITUTE(SUBSTITUTE(LOWER(Registro!$E56),"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",LEN(Registro!$E56))),({1,2,3,4,5,6,7,8,9,10,11,12,13,14,15,16,17,18,19,20,21,22,23,24,25,26,27,28,29,30}-1)*LEN(Registro!$E56)+1,LEN(Registro!$E56))),FIND("x",TRIM(MID(SUBSTITUTE(SUBSTITUTE(SUBSTITUTE(SUBSTITUTE(SUBSTITUTE(LOWER(Registro!$E56),"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",LEN(Registro!$E56))),({1,2,3,4,5,6,7,8,9,10,11,12,13,14,15,16,17,18,19,20,21,22,23,24,25,26,27,28,29,30}-1)*LEN(Registro!$E56)+1,LEN(Registro!$E56)))&amp;"x")-1))),"Revisar formato")))</f>
        <v/>
      </c>
      <c r="E56" s="24" t="str">
        <f>IF(Registro!$E56="","",IF(ISERROR(FIND("x",LOWER(Registro!$E56))),"-",IFERROR(SUMPRODUCT(--("0"&amp;LEFT(TRIM(MID(SUBSTITUTE(SUBSTITUTE(SUBSTITUTE(SUBSTITUTE(SUBSTITUTE(LOWER(Registro!$E56),"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",LEN(Registro!$E56))),({1,2,3,4,5,6,7,8,9,10,11,12,13,14,15,16,17,18,19,20,21,22,23,24,25,26,27,28,29,30}-1)*LEN(Registro!$E56)+1,LEN(Registro!$E56))),FIND("x",TRIM(MID(SUBSTITUTE(SUBSTITUTE(SUBSTITUTE(SUBSTITUTE(SUBSTITUTE(LOWER(Registro!$E56),"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",LEN(Registro!$E56))),({1,2,3,4,5,6,7,8,9,10,11,12,13,14,15,16,17,18,19,20,21,22,23,24,25,26,27,28,29,30}-1)*LEN(Registro!$E56)+1,LEN(Registro!$E56)))&amp;"x")-1)),--("0"&amp;MID(TRIM(MID(SUBSTITUTE(SUBSTITUTE(SUBSTITUTE(SUBSTITUTE(SUBSTITUTE(LOWER(Registro!$E56),"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",LEN(Registro!$E56))),({1,2,3,4,5,6,7,8,9,10,11,12,13,14,15,16,17,18,19,20,21,22,23,24,25,26,27,28,29,30}-1)*LEN(Registro!$E56)+1,LEN(Registro!$E56))),FIND("x",TRIM(MID(SUBSTITUTE(SUBSTITUTE(SUBSTITUTE(SUBSTITUTE(SUBSTITUTE(LOWER(Registro!$E56),"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",LEN(Registro!$E56))),({1,2,3,4,5,6,7,8,9,10,11,12,13,14,15,16,17,18,19,20,21,22,23,24,25,26,27,28,29,30}-1)*LEN(Registro!$E56)+1,LEN(Registro!$E56)))&amp;"x")+1,20))),"Revisar formato")))</f>
        <v/>
      </c>
      <c r="F56" s="23" t="str">
        <f>IF(Registro!$F56="","",IF(ISERROR(FIND("x",LOWER(Registro!$F56))),"-",IFERROR(SUMPRODUCT(--("0"&amp;LEFT(TRIM(MID(SUBSTITUTE(SUBSTITUTE(SUBSTITUTE(SUBSTITUTE(SUBSTITUTE(LOWER(Registro!$F56)," ",""),CHAR(10),"|"),";","|"),"+","|"),"|",REPT(" ",LEN(Registro!$F56))),({1,2,3,4,5,6,7,8,9,10,11,12,13,14,15,16,17,18,19,20,21,22,23,24,25,26,27,28,29,30}-1)*LEN(Registro!$F56)+1,LEN(Registro!$F56))),FIND("x",TRIM(MID(SUBSTITUTE(SUBSTITUTE(SUBSTITUTE(SUBSTITUTE(SUBSTITUTE(LOWER(Registro!$F56)," ",""),CHAR(10),"|"),";","|"),"+","|"),"|",REPT(" ",LEN(Registro!$F56))),({1,2,3,4,5,6,7,8,9,10,11,12,13,14,15,16,17,18,19,20,21,22,23,24,25,26,27,28,29,30}-1)*LEN(Registro!$F56)+1,LEN(Registro!$F56)))&amp;"x")-1))),"Revisar formato")))</f>
        <v/>
      </c>
      <c r="G56" s="24" t="str">
        <f>IF(Registro!$F56="","",IF(ISERROR(FIND("x",LOWER(Registro!$F56))),N(Registro!$G56),IFERROR(SUMPRODUCT(--("0"&amp;LEFT(TRIM(MID(SUBSTITUTE(SUBSTITUTE(SUBSTITUTE(SUBSTITUTE(SUBSTITUTE(LOWER(Registro!$F56)," ",""),CHAR(10),"|"),";","|"),"+","|"),"|",REPT(" ",LEN(Registro!$F56))),({1,2,3,4,5,6,7,8,9,10,11,12,13,14,15,16,17,18,19,20,21,22,23,24,25,26,27,28,29,30}-1)*LEN(Registro!$F56)+1,LEN(Registro!$F56))),FIND("x",TRIM(MID(SUBSTITUTE(SUBSTITUTE(SUBSTITUTE(SUBSTITUTE(SUBSTITUTE(LOWER(Registro!$F56)," ",""),CHAR(10),"|"),";","|"),"+","|"),"|",REPT(" ",LEN(Registro!$F56))),({1,2,3,4,5,6,7,8,9,10,11,12,13,14,15,16,17,18,19,20,21,22,23,24,25,26,27,28,29,30}-1)*LEN(Registro!$F56)+1,LEN(Registro!$F56)))&amp;"x")-1)),--("0"&amp;MID(TRIM(MID(SUBSTITUTE(SUBSTITUTE(SUBSTITUTE(SUBSTITUTE(SUBSTITUTE(LOWER(Registro!$F56)," ",""),CHAR(10),"|"),";","|"),"+","|"),"|",REPT(" ",LEN(Registro!$F56))),({1,2,3,4,5,6,7,8,9,10,11,12,13,14,15,16,17,18,19,20,21,22,23,24,25,26,27,28,29,30}-1)*LEN(Registro!$F56)+1,LEN(Registro!$F56))),FIND("x",TRIM(MID(SUBSTITUTE(SUBSTITUTE(SUBSTITUTE(SUBSTITUTE(SUBSTITUTE(LOWER(Registro!$F56)," ",""),CHAR(10),"|"),";","|"),"+","|"),"|",REPT(" ",LEN(Registro!$F56))),({1,2,3,4,5,6,7,8,9,10,11,12,13,14,15,16,17,18,19,20,21,22,23,24,25,26,27,28,29,30}-1)*LEN(Registro!$F56)+1,LEN(Registro!$F56)))&amp;"x")+1,20))),"Revisar formato")))</f>
        <v/>
      </c>
      <c r="H56" s="21" t="str">
        <f>IF(AND(Registro!$E56="",Registro!$F56=""),"",IF(NOT(AND(ISNUMBER(G56),ISNUMBER(Registro!$G56))),"",IF(G56&lt;Registro!$G56,"FALTA BOLETOS",IF(G56=Registro!$G56,"CONFORME","DIFERENCIA"))))</f>
        <v/>
      </c>
      <c r="I56" s="24" t="str">
        <f>IF(Registro!$H56="","",IFERROR(SUMPRODUCT(--("0"&amp;TRIM(RIGHT(SUBSTITUTE(TRIM(MID(SUBSTITUTE(SUBSTITUTE(Registro!$H56,";",CHAR(10)),CHAR(10),REPT(" ",LEN(Registro!$H56))),({1,2,3,4,5,6,7,8,9,10,11,12,13,14,15,16,17,18,19,20,21,22,23,24,25,26,27,28,29,30}-1)*LEN(Registro!$H56)+1,LEN(Registro!$H56)))," ",REPT(" ",50)),50)))),"Revisar formato"))</f>
        <v/>
      </c>
      <c r="J56" s="24" t="str">
        <f>IF(Registro!$I56="","",IFERROR(SUMPRODUCT(--("0"&amp;TRIM(RIGHT(SUBSTITUTE(TRIM(MID(SUBSTITUTE(SUBSTITUTE(Registro!$I56,";",CHAR(10)),CHAR(10),REPT(" ",LEN(Registro!$I56))),({1,2,3,4,5,6,7,8,9,10,11,12,13,14,15,16,17,18,19,20,21,22,23,24,25,26,27,28,29,30}-1)*LEN(Registro!$I56)+1,LEN(Registro!$I56)))," ",REPT(" ",50)),50)))),"Revisar formato"))</f>
        <v/>
      </c>
      <c r="K56" s="24" t="str">
        <f>IF(AND(Registro!$G56="",Registro!$H56=""),"",IF(AND(ISTEXT(I56),I56&lt;&gt;""),"Revisar formato",N(Registro!$G56)-N(I56)))</f>
        <v/>
      </c>
      <c r="L56" s="24" t="str">
        <f t="shared" si="1"/>
        <v/>
      </c>
      <c r="M56" s="36" t="str">
        <f>IF(AND(A56=Consulta!$B$3,C56=Consulta!$H$3),B56*10000+ROW(),"")</f>
        <v/>
      </c>
    </row>
    <row r="57" spans="1:13" x14ac:dyDescent="0.25">
      <c r="A57" s="21" t="str">
        <f>IF(Registro!$A57="","",Registro!$A57)</f>
        <v/>
      </c>
      <c r="B57" s="20" t="str">
        <f>IF(Registro!$B57="","",Registro!$B57)</f>
        <v/>
      </c>
      <c r="C57" s="35" t="str">
        <f t="shared" si="0"/>
        <v/>
      </c>
      <c r="D57" s="23" t="str">
        <f>IF(Registro!$E57="","",IF(ISERROR(FIND("x",LOWER(Registro!$E57))),"-",IFERROR(SUMPRODUCT(--("0"&amp;LEFT(TRIM(MID(SUBSTITUTE(SUBSTITUTE(SUBSTITUTE(SUBSTITUTE(SUBSTITUTE(LOWER(Registro!$E57),"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",LEN(Registro!$E57))),({1,2,3,4,5,6,7,8,9,10,11,12,13,14,15,16,17,18,19,20,21,22,23,24,25,26,27,28,29,30}-1)*LEN(Registro!$E57)+1,LEN(Registro!$E57))),FIND("x",TRIM(MID(SUBSTITUTE(SUBSTITUTE(SUBSTITUTE(SUBSTITUTE(SUBSTITUTE(LOWER(Registro!$E57),"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",LEN(Registro!$E57))),({1,2,3,4,5,6,7,8,9,10,11,12,13,14,15,16,17,18,19,20,21,22,23,24,25,26,27,28,29,30}-1)*LEN(Registro!$E57)+1,LEN(Registro!$E57)))&amp;"x")-1))),"Revisar formato")))</f>
        <v/>
      </c>
      <c r="E57" s="24" t="str">
        <f>IF(Registro!$E57="","",IF(ISERROR(FIND("x",LOWER(Registro!$E57))),"-",IFERROR(SUMPRODUCT(--("0"&amp;LEFT(TRIM(MID(SUBSTITUTE(SUBSTITUTE(SUBSTITUTE(SUBSTITUTE(SUBSTITUTE(LOWER(Registro!$E57),"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",LEN(Registro!$E57))),({1,2,3,4,5,6,7,8,9,10,11,12,13,14,15,16,17,18,19,20,21,22,23,24,25,26,27,28,29,30}-1)*LEN(Registro!$E57)+1,LEN(Registro!$E57))),FIND("x",TRIM(MID(SUBSTITUTE(SUBSTITUTE(SUBSTITUTE(SUBSTITUTE(SUBSTITUTE(LOWER(Registro!$E57),"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",LEN(Registro!$E57))),({1,2,3,4,5,6,7,8,9,10,11,12,13,14,15,16,17,18,19,20,21,22,23,24,25,26,27,28,29,30}-1)*LEN(Registro!$E57)+1,LEN(Registro!$E57)))&amp;"x")-1)),--("0"&amp;MID(TRIM(MID(SUBSTITUTE(SUBSTITUTE(SUBSTITUTE(SUBSTITUTE(SUBSTITUTE(LOWER(Registro!$E57),"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",LEN(Registro!$E57))),({1,2,3,4,5,6,7,8,9,10,11,12,13,14,15,16,17,18,19,20,21,22,23,24,25,26,27,28,29,30}-1)*LEN(Registro!$E57)+1,LEN(Registro!$E57))),FIND("x",TRIM(MID(SUBSTITUTE(SUBSTITUTE(SUBSTITUTE(SUBSTITUTE(SUBSTITUTE(LOWER(Registro!$E57),"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",LEN(Registro!$E57))),({1,2,3,4,5,6,7,8,9,10,11,12,13,14,15,16,17,18,19,20,21,22,23,24,25,26,27,28,29,30}-1)*LEN(Registro!$E57)+1,LEN(Registro!$E57)))&amp;"x")+1,20))),"Revisar formato")))</f>
        <v/>
      </c>
      <c r="F57" s="23" t="str">
        <f>IF(Registro!$F57="","",IF(ISERROR(FIND("x",LOWER(Registro!$F57))),"-",IFERROR(SUMPRODUCT(--("0"&amp;LEFT(TRIM(MID(SUBSTITUTE(SUBSTITUTE(SUBSTITUTE(SUBSTITUTE(SUBSTITUTE(LOWER(Registro!$F57)," ",""),CHAR(10),"|"),";","|"),"+","|"),"|",REPT(" ",LEN(Registro!$F57))),({1,2,3,4,5,6,7,8,9,10,11,12,13,14,15,16,17,18,19,20,21,22,23,24,25,26,27,28,29,30}-1)*LEN(Registro!$F57)+1,LEN(Registro!$F57))),FIND("x",TRIM(MID(SUBSTITUTE(SUBSTITUTE(SUBSTITUTE(SUBSTITUTE(SUBSTITUTE(LOWER(Registro!$F57)," ",""),CHAR(10),"|"),";","|"),"+","|"),"|",REPT(" ",LEN(Registro!$F57))),({1,2,3,4,5,6,7,8,9,10,11,12,13,14,15,16,17,18,19,20,21,22,23,24,25,26,27,28,29,30}-1)*LEN(Registro!$F57)+1,LEN(Registro!$F57)))&amp;"x")-1))),"Revisar formato")))</f>
        <v/>
      </c>
      <c r="G57" s="24" t="str">
        <f>IF(Registro!$F57="","",IF(ISERROR(FIND("x",LOWER(Registro!$F57))),N(Registro!$G57),IFERROR(SUMPRODUCT(--("0"&amp;LEFT(TRIM(MID(SUBSTITUTE(SUBSTITUTE(SUBSTITUTE(SUBSTITUTE(SUBSTITUTE(LOWER(Registro!$F57)," ",""),CHAR(10),"|"),";","|"),"+","|"),"|",REPT(" ",LEN(Registro!$F57))),({1,2,3,4,5,6,7,8,9,10,11,12,13,14,15,16,17,18,19,20,21,22,23,24,25,26,27,28,29,30}-1)*LEN(Registro!$F57)+1,LEN(Registro!$F57))),FIND("x",TRIM(MID(SUBSTITUTE(SUBSTITUTE(SUBSTITUTE(SUBSTITUTE(SUBSTITUTE(LOWER(Registro!$F57)," ",""),CHAR(10),"|"),";","|"),"+","|"),"|",REPT(" ",LEN(Registro!$F57))),({1,2,3,4,5,6,7,8,9,10,11,12,13,14,15,16,17,18,19,20,21,22,23,24,25,26,27,28,29,30}-1)*LEN(Registro!$F57)+1,LEN(Registro!$F57)))&amp;"x")-1)),--("0"&amp;MID(TRIM(MID(SUBSTITUTE(SUBSTITUTE(SUBSTITUTE(SUBSTITUTE(SUBSTITUTE(LOWER(Registro!$F57)," ",""),CHAR(10),"|"),";","|"),"+","|"),"|",REPT(" ",LEN(Registro!$F57))),({1,2,3,4,5,6,7,8,9,10,11,12,13,14,15,16,17,18,19,20,21,22,23,24,25,26,27,28,29,30}-1)*LEN(Registro!$F57)+1,LEN(Registro!$F57))),FIND("x",TRIM(MID(SUBSTITUTE(SUBSTITUTE(SUBSTITUTE(SUBSTITUTE(SUBSTITUTE(LOWER(Registro!$F57)," ",""),CHAR(10),"|"),";","|"),"+","|"),"|",REPT(" ",LEN(Registro!$F57))),({1,2,3,4,5,6,7,8,9,10,11,12,13,14,15,16,17,18,19,20,21,22,23,24,25,26,27,28,29,30}-1)*LEN(Registro!$F57)+1,LEN(Registro!$F57)))&amp;"x")+1,20))),"Revisar formato")))</f>
        <v/>
      </c>
      <c r="H57" s="21" t="str">
        <f>IF(AND(Registro!$E57="",Registro!$F57=""),"",IF(NOT(AND(ISNUMBER(G57),ISNUMBER(Registro!$G57))),"",IF(G57&lt;Registro!$G57,"FALTA BOLETOS",IF(G57=Registro!$G57,"CONFORME","DIFERENCIA"))))</f>
        <v/>
      </c>
      <c r="I57" s="24" t="str">
        <f>IF(Registro!$H57="","",IFERROR(SUMPRODUCT(--("0"&amp;TRIM(RIGHT(SUBSTITUTE(TRIM(MID(SUBSTITUTE(SUBSTITUTE(Registro!$H57,";",CHAR(10)),CHAR(10),REPT(" ",LEN(Registro!$H57))),({1,2,3,4,5,6,7,8,9,10,11,12,13,14,15,16,17,18,19,20,21,22,23,24,25,26,27,28,29,30}-1)*LEN(Registro!$H57)+1,LEN(Registro!$H57)))," ",REPT(" ",50)),50)))),"Revisar formato"))</f>
        <v/>
      </c>
      <c r="J57" s="24" t="str">
        <f>IF(Registro!$I57="","",IFERROR(SUMPRODUCT(--("0"&amp;TRIM(RIGHT(SUBSTITUTE(TRIM(MID(SUBSTITUTE(SUBSTITUTE(Registro!$I57,";",CHAR(10)),CHAR(10),REPT(" ",LEN(Registro!$I57))),({1,2,3,4,5,6,7,8,9,10,11,12,13,14,15,16,17,18,19,20,21,22,23,24,25,26,27,28,29,30}-1)*LEN(Registro!$I57)+1,LEN(Registro!$I57)))," ",REPT(" ",50)),50)))),"Revisar formato"))</f>
        <v/>
      </c>
      <c r="K57" s="24" t="str">
        <f>IF(AND(Registro!$G57="",Registro!$H57=""),"",IF(AND(ISTEXT(I57),I57&lt;&gt;""),"Revisar formato",N(Registro!$G57)-N(I57)))</f>
        <v/>
      </c>
      <c r="L57" s="24" t="str">
        <f t="shared" si="1"/>
        <v/>
      </c>
      <c r="M57" s="36" t="str">
        <f>IF(AND(A57=Consulta!$B$3,C57=Consulta!$H$3),B57*10000+ROW(),"")</f>
        <v/>
      </c>
    </row>
    <row r="58" spans="1:13" x14ac:dyDescent="0.25">
      <c r="A58" s="21" t="str">
        <f>IF(Registro!$A58="","",Registro!$A58)</f>
        <v/>
      </c>
      <c r="B58" s="20" t="str">
        <f>IF(Registro!$B58="","",Registro!$B58)</f>
        <v/>
      </c>
      <c r="C58" s="35" t="str">
        <f t="shared" si="0"/>
        <v/>
      </c>
      <c r="D58" s="23" t="str">
        <f>IF(Registro!$E58="","",IF(ISERROR(FIND("x",LOWER(Registro!$E58))),"-",IFERROR(SUMPRODUCT(--("0"&amp;LEFT(TRIM(MID(SUBSTITUTE(SUBSTITUTE(SUBSTITUTE(SUBSTITUTE(SUBSTITUTE(LOWER(Registro!$E58),"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",LEN(Registro!$E58))),({1,2,3,4,5,6,7,8,9,10,11,12,13,14,15,16,17,18,19,20,21,22,23,24,25,26,27,28,29,30}-1)*LEN(Registro!$E58)+1,LEN(Registro!$E58))),FIND("x",TRIM(MID(SUBSTITUTE(SUBSTITUTE(SUBSTITUTE(SUBSTITUTE(SUBSTITUTE(LOWER(Registro!$E58),"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",LEN(Registro!$E58))),({1,2,3,4,5,6,7,8,9,10,11,12,13,14,15,16,17,18,19,20,21,22,23,24,25,26,27,28,29,30}-1)*LEN(Registro!$E58)+1,LEN(Registro!$E58)))&amp;"x")-1))),"Revisar formato")))</f>
        <v/>
      </c>
      <c r="E58" s="24" t="str">
        <f>IF(Registro!$E58="","",IF(ISERROR(FIND("x",LOWER(Registro!$E58))),"-",IFERROR(SUMPRODUCT(--("0"&amp;LEFT(TRIM(MID(SUBSTITUTE(SUBSTITUTE(SUBSTITUTE(SUBSTITUTE(SUBSTITUTE(LOWER(Registro!$E58),"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",LEN(Registro!$E58))),({1,2,3,4,5,6,7,8,9,10,11,12,13,14,15,16,17,18,19,20,21,22,23,24,25,26,27,28,29,30}-1)*LEN(Registro!$E58)+1,LEN(Registro!$E58))),FIND("x",TRIM(MID(SUBSTITUTE(SUBSTITUTE(SUBSTITUTE(SUBSTITUTE(SUBSTITUTE(LOWER(Registro!$E58),"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",LEN(Registro!$E58))),({1,2,3,4,5,6,7,8,9,10,11,12,13,14,15,16,17,18,19,20,21,22,23,24,25,26,27,28,29,30}-1)*LEN(Registro!$E58)+1,LEN(Registro!$E58)))&amp;"x")-1)),--("0"&amp;MID(TRIM(MID(SUBSTITUTE(SUBSTITUTE(SUBSTITUTE(SUBSTITUTE(SUBSTITUTE(LOWER(Registro!$E58),"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",LEN(Registro!$E58))),({1,2,3,4,5,6,7,8,9,10,11,12,13,14,15,16,17,18,19,20,21,22,23,24,25,26,27,28,29,30}-1)*LEN(Registro!$E58)+1,LEN(Registro!$E58))),FIND("x",TRIM(MID(SUBSTITUTE(SUBSTITUTE(SUBSTITUTE(SUBSTITUTE(SUBSTITUTE(LOWER(Registro!$E58),"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",LEN(Registro!$E58))),({1,2,3,4,5,6,7,8,9,10,11,12,13,14,15,16,17,18,19,20,21,22,23,24,25,26,27,28,29,30}-1)*LEN(Registro!$E58)+1,LEN(Registro!$E58)))&amp;"x")+1,20))),"Revisar formato")))</f>
        <v/>
      </c>
      <c r="F58" s="23" t="str">
        <f>IF(Registro!$F58="","",IF(ISERROR(FIND("x",LOWER(Registro!$F58))),"-",IFERROR(SUMPRODUCT(--("0"&amp;LEFT(TRIM(MID(SUBSTITUTE(SUBSTITUTE(SUBSTITUTE(SUBSTITUTE(SUBSTITUTE(LOWER(Registro!$F58)," ",""),CHAR(10),"|"),";","|"),"+","|"),"|",REPT(" ",LEN(Registro!$F58))),({1,2,3,4,5,6,7,8,9,10,11,12,13,14,15,16,17,18,19,20,21,22,23,24,25,26,27,28,29,30}-1)*LEN(Registro!$F58)+1,LEN(Registro!$F58))),FIND("x",TRIM(MID(SUBSTITUTE(SUBSTITUTE(SUBSTITUTE(SUBSTITUTE(SUBSTITUTE(LOWER(Registro!$F58)," ",""),CHAR(10),"|"),";","|"),"+","|"),"|",REPT(" ",LEN(Registro!$F58))),({1,2,3,4,5,6,7,8,9,10,11,12,13,14,15,16,17,18,19,20,21,22,23,24,25,26,27,28,29,30}-1)*LEN(Registro!$F58)+1,LEN(Registro!$F58)))&amp;"x")-1))),"Revisar formato")))</f>
        <v/>
      </c>
      <c r="G58" s="24" t="str">
        <f>IF(Registro!$F58="","",IF(ISERROR(FIND("x",LOWER(Registro!$F58))),N(Registro!$G58),IFERROR(SUMPRODUCT(--("0"&amp;LEFT(TRIM(MID(SUBSTITUTE(SUBSTITUTE(SUBSTITUTE(SUBSTITUTE(SUBSTITUTE(LOWER(Registro!$F58)," ",""),CHAR(10),"|"),";","|"),"+","|"),"|",REPT(" ",LEN(Registro!$F58))),({1,2,3,4,5,6,7,8,9,10,11,12,13,14,15,16,17,18,19,20,21,22,23,24,25,26,27,28,29,30}-1)*LEN(Registro!$F58)+1,LEN(Registro!$F58))),FIND("x",TRIM(MID(SUBSTITUTE(SUBSTITUTE(SUBSTITUTE(SUBSTITUTE(SUBSTITUTE(LOWER(Registro!$F58)," ",""),CHAR(10),"|"),";","|"),"+","|"),"|",REPT(" ",LEN(Registro!$F58))),({1,2,3,4,5,6,7,8,9,10,11,12,13,14,15,16,17,18,19,20,21,22,23,24,25,26,27,28,29,30}-1)*LEN(Registro!$F58)+1,LEN(Registro!$F58)))&amp;"x")-1)),--("0"&amp;MID(TRIM(MID(SUBSTITUTE(SUBSTITUTE(SUBSTITUTE(SUBSTITUTE(SUBSTITUTE(LOWER(Registro!$F58)," ",""),CHAR(10),"|"),";","|"),"+","|"),"|",REPT(" ",LEN(Registro!$F58))),({1,2,3,4,5,6,7,8,9,10,11,12,13,14,15,16,17,18,19,20,21,22,23,24,25,26,27,28,29,30}-1)*LEN(Registro!$F58)+1,LEN(Registro!$F58))),FIND("x",TRIM(MID(SUBSTITUTE(SUBSTITUTE(SUBSTITUTE(SUBSTITUTE(SUBSTITUTE(LOWER(Registro!$F58)," ",""),CHAR(10),"|"),";","|"),"+","|"),"|",REPT(" ",LEN(Registro!$F58))),({1,2,3,4,5,6,7,8,9,10,11,12,13,14,15,16,17,18,19,20,21,22,23,24,25,26,27,28,29,30}-1)*LEN(Registro!$F58)+1,LEN(Registro!$F58)))&amp;"x")+1,20))),"Revisar formato")))</f>
        <v/>
      </c>
      <c r="H58" s="21" t="str">
        <f>IF(AND(Registro!$E58="",Registro!$F58=""),"",IF(NOT(AND(ISNUMBER(G58),ISNUMBER(Registro!$G58))),"",IF(G58&lt;Registro!$G58,"FALTA BOLETOS",IF(G58=Registro!$G58,"CONFORME","DIFERENCIA"))))</f>
        <v/>
      </c>
      <c r="I58" s="24" t="str">
        <f>IF(Registro!$H58="","",IFERROR(SUMPRODUCT(--("0"&amp;TRIM(RIGHT(SUBSTITUTE(TRIM(MID(SUBSTITUTE(SUBSTITUTE(Registro!$H58,";",CHAR(10)),CHAR(10),REPT(" ",LEN(Registro!$H58))),({1,2,3,4,5,6,7,8,9,10,11,12,13,14,15,16,17,18,19,20,21,22,23,24,25,26,27,28,29,30}-1)*LEN(Registro!$H58)+1,LEN(Registro!$H58)))," ",REPT(" ",50)),50)))),"Revisar formato"))</f>
        <v/>
      </c>
      <c r="J58" s="24" t="str">
        <f>IF(Registro!$I58="","",IFERROR(SUMPRODUCT(--("0"&amp;TRIM(RIGHT(SUBSTITUTE(TRIM(MID(SUBSTITUTE(SUBSTITUTE(Registro!$I58,";",CHAR(10)),CHAR(10),REPT(" ",LEN(Registro!$I58))),({1,2,3,4,5,6,7,8,9,10,11,12,13,14,15,16,17,18,19,20,21,22,23,24,25,26,27,28,29,30}-1)*LEN(Registro!$I58)+1,LEN(Registro!$I58)))," ",REPT(" ",50)),50)))),"Revisar formato"))</f>
        <v/>
      </c>
      <c r="K58" s="24" t="str">
        <f>IF(AND(Registro!$G58="",Registro!$H58=""),"",IF(AND(ISTEXT(I58),I58&lt;&gt;""),"Revisar formato",N(Registro!$G58)-N(I58)))</f>
        <v/>
      </c>
      <c r="L58" s="24" t="str">
        <f t="shared" si="1"/>
        <v/>
      </c>
      <c r="M58" s="36" t="str">
        <f>IF(AND(A58=Consulta!$B$3,C58=Consulta!$H$3),B58*10000+ROW(),"")</f>
        <v/>
      </c>
    </row>
    <row r="59" spans="1:13" x14ac:dyDescent="0.25">
      <c r="A59" s="21" t="str">
        <f>IF(Registro!$A59="","",Registro!$A59)</f>
        <v/>
      </c>
      <c r="B59" s="20" t="str">
        <f>IF(Registro!$B59="","",Registro!$B59)</f>
        <v/>
      </c>
      <c r="C59" s="35" t="str">
        <f t="shared" si="0"/>
        <v/>
      </c>
      <c r="D59" s="23" t="str">
        <f>IF(Registro!$E59="","",IF(ISERROR(FIND("x",LOWER(Registro!$E59))),"-",IFERROR(SUMPRODUCT(--("0"&amp;LEFT(TRIM(MID(SUBSTITUTE(SUBSTITUTE(SUBSTITUTE(SUBSTITUTE(SUBSTITUTE(LOWER(Registro!$E59),"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",LEN(Registro!$E59))),({1,2,3,4,5,6,7,8,9,10,11,12,13,14,15,16,17,18,19,20,21,22,23,24,25,26,27,28,29,30}-1)*LEN(Registro!$E59)+1,LEN(Registro!$E59))),FIND("x",TRIM(MID(SUBSTITUTE(SUBSTITUTE(SUBSTITUTE(SUBSTITUTE(SUBSTITUTE(LOWER(Registro!$E59),"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",LEN(Registro!$E59))),({1,2,3,4,5,6,7,8,9,10,11,12,13,14,15,16,17,18,19,20,21,22,23,24,25,26,27,28,29,30}-1)*LEN(Registro!$E59)+1,LEN(Registro!$E59)))&amp;"x")-1))),"Revisar formato")))</f>
        <v/>
      </c>
      <c r="E59" s="24" t="str">
        <f>IF(Registro!$E59="","",IF(ISERROR(FIND("x",LOWER(Registro!$E59))),"-",IFERROR(SUMPRODUCT(--("0"&amp;LEFT(TRIM(MID(SUBSTITUTE(SUBSTITUTE(SUBSTITUTE(SUBSTITUTE(SUBSTITUTE(LOWER(Registro!$E59),"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",LEN(Registro!$E59))),({1,2,3,4,5,6,7,8,9,10,11,12,13,14,15,16,17,18,19,20,21,22,23,24,25,26,27,28,29,30}-1)*LEN(Registro!$E59)+1,LEN(Registro!$E59))),FIND("x",TRIM(MID(SUBSTITUTE(SUBSTITUTE(SUBSTITUTE(SUBSTITUTE(SUBSTITUTE(LOWER(Registro!$E59),"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",LEN(Registro!$E59))),({1,2,3,4,5,6,7,8,9,10,11,12,13,14,15,16,17,18,19,20,21,22,23,24,25,26,27,28,29,30}-1)*LEN(Registro!$E59)+1,LEN(Registro!$E59)))&amp;"x")-1)),--("0"&amp;MID(TRIM(MID(SUBSTITUTE(SUBSTITUTE(SUBSTITUTE(SUBSTITUTE(SUBSTITUTE(LOWER(Registro!$E59),"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",LEN(Registro!$E59))),({1,2,3,4,5,6,7,8,9,10,11,12,13,14,15,16,17,18,19,20,21,22,23,24,25,26,27,28,29,30}-1)*LEN(Registro!$E59)+1,LEN(Registro!$E59))),FIND("x",TRIM(MID(SUBSTITUTE(SUBSTITUTE(SUBSTITUTE(SUBSTITUTE(SUBSTITUTE(LOWER(Registro!$E59),"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",LEN(Registro!$E59))),({1,2,3,4,5,6,7,8,9,10,11,12,13,14,15,16,17,18,19,20,21,22,23,24,25,26,27,28,29,30}-1)*LEN(Registro!$E59)+1,LEN(Registro!$E59)))&amp;"x")+1,20))),"Revisar formato")))</f>
        <v/>
      </c>
      <c r="F59" s="23" t="str">
        <f>IF(Registro!$F59="","",IF(ISERROR(FIND("x",LOWER(Registro!$F59))),"-",IFERROR(SUMPRODUCT(--("0"&amp;LEFT(TRIM(MID(SUBSTITUTE(SUBSTITUTE(SUBSTITUTE(SUBSTITUTE(SUBSTITUTE(LOWER(Registro!$F59)," ",""),CHAR(10),"|"),";","|"),"+","|"),"|",REPT(" ",LEN(Registro!$F59))),({1,2,3,4,5,6,7,8,9,10,11,12,13,14,15,16,17,18,19,20,21,22,23,24,25,26,27,28,29,30}-1)*LEN(Registro!$F59)+1,LEN(Registro!$F59))),FIND("x",TRIM(MID(SUBSTITUTE(SUBSTITUTE(SUBSTITUTE(SUBSTITUTE(SUBSTITUTE(LOWER(Registro!$F59)," ",""),CHAR(10),"|"),";","|"),"+","|"),"|",REPT(" ",LEN(Registro!$F59))),({1,2,3,4,5,6,7,8,9,10,11,12,13,14,15,16,17,18,19,20,21,22,23,24,25,26,27,28,29,30}-1)*LEN(Registro!$F59)+1,LEN(Registro!$F59)))&amp;"x")-1))),"Revisar formato")))</f>
        <v/>
      </c>
      <c r="G59" s="24" t="str">
        <f>IF(Registro!$F59="","",IF(ISERROR(FIND("x",LOWER(Registro!$F59))),N(Registro!$G59),IFERROR(SUMPRODUCT(--("0"&amp;LEFT(TRIM(MID(SUBSTITUTE(SUBSTITUTE(SUBSTITUTE(SUBSTITUTE(SUBSTITUTE(LOWER(Registro!$F59)," ",""),CHAR(10),"|"),";","|"),"+","|"),"|",REPT(" ",LEN(Registro!$F59))),({1,2,3,4,5,6,7,8,9,10,11,12,13,14,15,16,17,18,19,20,21,22,23,24,25,26,27,28,29,30}-1)*LEN(Registro!$F59)+1,LEN(Registro!$F59))),FIND("x",TRIM(MID(SUBSTITUTE(SUBSTITUTE(SUBSTITUTE(SUBSTITUTE(SUBSTITUTE(LOWER(Registro!$F59)," ",""),CHAR(10),"|"),";","|"),"+","|"),"|",REPT(" ",LEN(Registro!$F59))),({1,2,3,4,5,6,7,8,9,10,11,12,13,14,15,16,17,18,19,20,21,22,23,24,25,26,27,28,29,30}-1)*LEN(Registro!$F59)+1,LEN(Registro!$F59)))&amp;"x")-1)),--("0"&amp;MID(TRIM(MID(SUBSTITUTE(SUBSTITUTE(SUBSTITUTE(SUBSTITUTE(SUBSTITUTE(LOWER(Registro!$F59)," ",""),CHAR(10),"|"),";","|"),"+","|"),"|",REPT(" ",LEN(Registro!$F59))),({1,2,3,4,5,6,7,8,9,10,11,12,13,14,15,16,17,18,19,20,21,22,23,24,25,26,27,28,29,30}-1)*LEN(Registro!$F59)+1,LEN(Registro!$F59))),FIND("x",TRIM(MID(SUBSTITUTE(SUBSTITUTE(SUBSTITUTE(SUBSTITUTE(SUBSTITUTE(LOWER(Registro!$F59)," ",""),CHAR(10),"|"),";","|"),"+","|"),"|",REPT(" ",LEN(Registro!$F59))),({1,2,3,4,5,6,7,8,9,10,11,12,13,14,15,16,17,18,19,20,21,22,23,24,25,26,27,28,29,30}-1)*LEN(Registro!$F59)+1,LEN(Registro!$F59)))&amp;"x")+1,20))),"Revisar formato")))</f>
        <v/>
      </c>
      <c r="H59" s="21" t="str">
        <f>IF(AND(Registro!$E59="",Registro!$F59=""),"",IF(NOT(AND(ISNUMBER(G59),ISNUMBER(Registro!$G59))),"",IF(G59&lt;Registro!$G59,"FALTA BOLETOS",IF(G59=Registro!$G59,"CONFORME","DIFERENCIA"))))</f>
        <v/>
      </c>
      <c r="I59" s="24" t="str">
        <f>IF(Registro!$H59="","",IFERROR(SUMPRODUCT(--("0"&amp;TRIM(RIGHT(SUBSTITUTE(TRIM(MID(SUBSTITUTE(SUBSTITUTE(Registro!$H59,";",CHAR(10)),CHAR(10),REPT(" ",LEN(Registro!$H59))),({1,2,3,4,5,6,7,8,9,10,11,12,13,14,15,16,17,18,19,20,21,22,23,24,25,26,27,28,29,30}-1)*LEN(Registro!$H59)+1,LEN(Registro!$H59)))," ",REPT(" ",50)),50)))),"Revisar formato"))</f>
        <v/>
      </c>
      <c r="J59" s="24" t="str">
        <f>IF(Registro!$I59="","",IFERROR(SUMPRODUCT(--("0"&amp;TRIM(RIGHT(SUBSTITUTE(TRIM(MID(SUBSTITUTE(SUBSTITUTE(Registro!$I59,";",CHAR(10)),CHAR(10),REPT(" ",LEN(Registro!$I59))),({1,2,3,4,5,6,7,8,9,10,11,12,13,14,15,16,17,18,19,20,21,22,23,24,25,26,27,28,29,30}-1)*LEN(Registro!$I59)+1,LEN(Registro!$I59)))," ",REPT(" ",50)),50)))),"Revisar formato"))</f>
        <v/>
      </c>
      <c r="K59" s="24" t="str">
        <f>IF(AND(Registro!$G59="",Registro!$H59=""),"",IF(AND(ISTEXT(I59),I59&lt;&gt;""),"Revisar formato",N(Registro!$G59)-N(I59)))</f>
        <v/>
      </c>
      <c r="L59" s="24" t="str">
        <f t="shared" si="1"/>
        <v/>
      </c>
      <c r="M59" s="36" t="str">
        <f>IF(AND(A59=Consulta!$B$3,C59=Consulta!$H$3),B59*10000+ROW(),"")</f>
        <v/>
      </c>
    </row>
    <row r="60" spans="1:13" x14ac:dyDescent="0.25">
      <c r="A60" s="21" t="str">
        <f>IF(Registro!$A60="","",Registro!$A60)</f>
        <v/>
      </c>
      <c r="B60" s="20" t="str">
        <f>IF(Registro!$B60="","",Registro!$B60)</f>
        <v/>
      </c>
      <c r="C60" s="35" t="str">
        <f t="shared" si="0"/>
        <v/>
      </c>
      <c r="D60" s="23" t="str">
        <f>IF(Registro!$E60="","",IF(ISERROR(FIND("x",LOWER(Registro!$E60))),"-",IFERROR(SUMPRODUCT(--("0"&amp;LEFT(TRIM(MID(SUBSTITUTE(SUBSTITUTE(SUBSTITUTE(SUBSTITUTE(SUBSTITUTE(LOWER(Registro!$E60),"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",LEN(Registro!$E60))),({1,2,3,4,5,6,7,8,9,10,11,12,13,14,15,16,17,18,19,20,21,22,23,24,25,26,27,28,29,30}-1)*LEN(Registro!$E60)+1,LEN(Registro!$E60))),FIND("x",TRIM(MID(SUBSTITUTE(SUBSTITUTE(SUBSTITUTE(SUBSTITUTE(SUBSTITUTE(LOWER(Registro!$E60),"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",LEN(Registro!$E60))),({1,2,3,4,5,6,7,8,9,10,11,12,13,14,15,16,17,18,19,20,21,22,23,24,25,26,27,28,29,30}-1)*LEN(Registro!$E60)+1,LEN(Registro!$E60)))&amp;"x")-1))),"Revisar formato")))</f>
        <v/>
      </c>
      <c r="E60" s="24" t="str">
        <f>IF(Registro!$E60="","",IF(ISERROR(FIND("x",LOWER(Registro!$E60))),"-",IFERROR(SUMPRODUCT(--("0"&amp;LEFT(TRIM(MID(SUBSTITUTE(SUBSTITUTE(SUBSTITUTE(SUBSTITUTE(SUBSTITUTE(LOWER(Registro!$E60),"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",LEN(Registro!$E60))),({1,2,3,4,5,6,7,8,9,10,11,12,13,14,15,16,17,18,19,20,21,22,23,24,25,26,27,28,29,30}-1)*LEN(Registro!$E60)+1,LEN(Registro!$E60))),FIND("x",TRIM(MID(SUBSTITUTE(SUBSTITUTE(SUBSTITUTE(SUBSTITUTE(SUBSTITUTE(LOWER(Registro!$E60),"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",LEN(Registro!$E60))),({1,2,3,4,5,6,7,8,9,10,11,12,13,14,15,16,17,18,19,20,21,22,23,24,25,26,27,28,29,30}-1)*LEN(Registro!$E60)+1,LEN(Registro!$E60)))&amp;"x")-1)),--("0"&amp;MID(TRIM(MID(SUBSTITUTE(SUBSTITUTE(SUBSTITUTE(SUBSTITUTE(SUBSTITUTE(LOWER(Registro!$E60),"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",LEN(Registro!$E60))),({1,2,3,4,5,6,7,8,9,10,11,12,13,14,15,16,17,18,19,20,21,22,23,24,25,26,27,28,29,30}-1)*LEN(Registro!$E60)+1,LEN(Registro!$E60))),FIND("x",TRIM(MID(SUBSTITUTE(SUBSTITUTE(SUBSTITUTE(SUBSTITUTE(SUBSTITUTE(LOWER(Registro!$E60),"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",LEN(Registro!$E60))),({1,2,3,4,5,6,7,8,9,10,11,12,13,14,15,16,17,18,19,20,21,22,23,24,25,26,27,28,29,30}-1)*LEN(Registro!$E60)+1,LEN(Registro!$E60)))&amp;"x")+1,20))),"Revisar formato")))</f>
        <v/>
      </c>
      <c r="F60" s="23" t="str">
        <f>IF(Registro!$F60="","",IF(ISERROR(FIND("x",LOWER(Registro!$F60))),"-",IFERROR(SUMPRODUCT(--("0"&amp;LEFT(TRIM(MID(SUBSTITUTE(SUBSTITUTE(SUBSTITUTE(SUBSTITUTE(SUBSTITUTE(LOWER(Registro!$F60)," ",""),CHAR(10),"|"),";","|"),"+","|"),"|",REPT(" ",LEN(Registro!$F60))),({1,2,3,4,5,6,7,8,9,10,11,12,13,14,15,16,17,18,19,20,21,22,23,24,25,26,27,28,29,30}-1)*LEN(Registro!$F60)+1,LEN(Registro!$F60))),FIND("x",TRIM(MID(SUBSTITUTE(SUBSTITUTE(SUBSTITUTE(SUBSTITUTE(SUBSTITUTE(LOWER(Registro!$F60)," ",""),CHAR(10),"|"),";","|"),"+","|"),"|",REPT(" ",LEN(Registro!$F60))),({1,2,3,4,5,6,7,8,9,10,11,12,13,14,15,16,17,18,19,20,21,22,23,24,25,26,27,28,29,30}-1)*LEN(Registro!$F60)+1,LEN(Registro!$F60)))&amp;"x")-1))),"Revisar formato")))</f>
        <v/>
      </c>
      <c r="G60" s="24" t="str">
        <f>IF(Registro!$F60="","",IF(ISERROR(FIND("x",LOWER(Registro!$F60))),N(Registro!$G60),IFERROR(SUMPRODUCT(--("0"&amp;LEFT(TRIM(MID(SUBSTITUTE(SUBSTITUTE(SUBSTITUTE(SUBSTITUTE(SUBSTITUTE(LOWER(Registro!$F60)," ",""),CHAR(10),"|"),";","|"),"+","|"),"|",REPT(" ",LEN(Registro!$F60))),({1,2,3,4,5,6,7,8,9,10,11,12,13,14,15,16,17,18,19,20,21,22,23,24,25,26,27,28,29,30}-1)*LEN(Registro!$F60)+1,LEN(Registro!$F60))),FIND("x",TRIM(MID(SUBSTITUTE(SUBSTITUTE(SUBSTITUTE(SUBSTITUTE(SUBSTITUTE(LOWER(Registro!$F60)," ",""),CHAR(10),"|"),";","|"),"+","|"),"|",REPT(" ",LEN(Registro!$F60))),({1,2,3,4,5,6,7,8,9,10,11,12,13,14,15,16,17,18,19,20,21,22,23,24,25,26,27,28,29,30}-1)*LEN(Registro!$F60)+1,LEN(Registro!$F60)))&amp;"x")-1)),--("0"&amp;MID(TRIM(MID(SUBSTITUTE(SUBSTITUTE(SUBSTITUTE(SUBSTITUTE(SUBSTITUTE(LOWER(Registro!$F60)," ",""),CHAR(10),"|"),";","|"),"+","|"),"|",REPT(" ",LEN(Registro!$F60))),({1,2,3,4,5,6,7,8,9,10,11,12,13,14,15,16,17,18,19,20,21,22,23,24,25,26,27,28,29,30}-1)*LEN(Registro!$F60)+1,LEN(Registro!$F60))),FIND("x",TRIM(MID(SUBSTITUTE(SUBSTITUTE(SUBSTITUTE(SUBSTITUTE(SUBSTITUTE(LOWER(Registro!$F60)," ",""),CHAR(10),"|"),";","|"),"+","|"),"|",REPT(" ",LEN(Registro!$F60))),({1,2,3,4,5,6,7,8,9,10,11,12,13,14,15,16,17,18,19,20,21,22,23,24,25,26,27,28,29,30}-1)*LEN(Registro!$F60)+1,LEN(Registro!$F60)))&amp;"x")+1,20))),"Revisar formato")))</f>
        <v/>
      </c>
      <c r="H60" s="21" t="str">
        <f>IF(AND(Registro!$E60="",Registro!$F60=""),"",IF(NOT(AND(ISNUMBER(G60),ISNUMBER(Registro!$G60))),"",IF(G60&lt;Registro!$G60,"FALTA BOLETOS",IF(G60=Registro!$G60,"CONFORME","DIFERENCIA"))))</f>
        <v/>
      </c>
      <c r="I60" s="24" t="str">
        <f>IF(Registro!$H60="","",IFERROR(SUMPRODUCT(--("0"&amp;TRIM(RIGHT(SUBSTITUTE(TRIM(MID(SUBSTITUTE(SUBSTITUTE(Registro!$H60,";",CHAR(10)),CHAR(10),REPT(" ",LEN(Registro!$H60))),({1,2,3,4,5,6,7,8,9,10,11,12,13,14,15,16,17,18,19,20,21,22,23,24,25,26,27,28,29,30}-1)*LEN(Registro!$H60)+1,LEN(Registro!$H60)))," ",REPT(" ",50)),50)))),"Revisar formato"))</f>
        <v/>
      </c>
      <c r="J60" s="24" t="str">
        <f>IF(Registro!$I60="","",IFERROR(SUMPRODUCT(--("0"&amp;TRIM(RIGHT(SUBSTITUTE(TRIM(MID(SUBSTITUTE(SUBSTITUTE(Registro!$I60,";",CHAR(10)),CHAR(10),REPT(" ",LEN(Registro!$I60))),({1,2,3,4,5,6,7,8,9,10,11,12,13,14,15,16,17,18,19,20,21,22,23,24,25,26,27,28,29,30}-1)*LEN(Registro!$I60)+1,LEN(Registro!$I60)))," ",REPT(" ",50)),50)))),"Revisar formato"))</f>
        <v/>
      </c>
      <c r="K60" s="24" t="str">
        <f>IF(AND(Registro!$G60="",Registro!$H60=""),"",IF(AND(ISTEXT(I60),I60&lt;&gt;""),"Revisar formato",N(Registro!$G60)-N(I60)))</f>
        <v/>
      </c>
      <c r="L60" s="24" t="str">
        <f t="shared" si="1"/>
        <v/>
      </c>
      <c r="M60" s="36" t="str">
        <f>IF(AND(A60=Consulta!$B$3,C60=Consulta!$H$3),B60*10000+ROW(),"")</f>
        <v/>
      </c>
    </row>
    <row r="61" spans="1:13" x14ac:dyDescent="0.25">
      <c r="A61" s="21" t="str">
        <f>IF(Registro!$A61="","",Registro!$A61)</f>
        <v/>
      </c>
      <c r="B61" s="20" t="str">
        <f>IF(Registro!$B61="","",Registro!$B61)</f>
        <v/>
      </c>
      <c r="C61" s="35" t="str">
        <f t="shared" si="0"/>
        <v/>
      </c>
      <c r="D61" s="23" t="str">
        <f>IF(Registro!$E61="","",IF(ISERROR(FIND("x",LOWER(Registro!$E61))),"-",IFERROR(SUMPRODUCT(--("0"&amp;LEFT(TRIM(MID(SUBSTITUTE(SUBSTITUTE(SUBSTITUTE(SUBSTITUTE(SUBSTITUTE(LOWER(Registro!$E61),"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",LEN(Registro!$E61))),({1,2,3,4,5,6,7,8,9,10,11,12,13,14,15,16,17,18,19,20,21,22,23,24,25,26,27,28,29,30}-1)*LEN(Registro!$E61)+1,LEN(Registro!$E61))),FIND("x",TRIM(MID(SUBSTITUTE(SUBSTITUTE(SUBSTITUTE(SUBSTITUTE(SUBSTITUTE(LOWER(Registro!$E61),"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",LEN(Registro!$E61))),({1,2,3,4,5,6,7,8,9,10,11,12,13,14,15,16,17,18,19,20,21,22,23,24,25,26,27,28,29,30}-1)*LEN(Registro!$E61)+1,LEN(Registro!$E61)))&amp;"x")-1))),"Revisar formato")))</f>
        <v/>
      </c>
      <c r="E61" s="24" t="str">
        <f>IF(Registro!$E61="","",IF(ISERROR(FIND("x",LOWER(Registro!$E61))),"-",IFERROR(SUMPRODUCT(--("0"&amp;LEFT(TRIM(MID(SUBSTITUTE(SUBSTITUTE(SUBSTITUTE(SUBSTITUTE(SUBSTITUTE(LOWER(Registro!$E61),"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",LEN(Registro!$E61))),({1,2,3,4,5,6,7,8,9,10,11,12,13,14,15,16,17,18,19,20,21,22,23,24,25,26,27,28,29,30}-1)*LEN(Registro!$E61)+1,LEN(Registro!$E61))),FIND("x",TRIM(MID(SUBSTITUTE(SUBSTITUTE(SUBSTITUTE(SUBSTITUTE(SUBSTITUTE(LOWER(Registro!$E61),"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",LEN(Registro!$E61))),({1,2,3,4,5,6,7,8,9,10,11,12,13,14,15,16,17,18,19,20,21,22,23,24,25,26,27,28,29,30}-1)*LEN(Registro!$E61)+1,LEN(Registro!$E61)))&amp;"x")-1)),--("0"&amp;MID(TRIM(MID(SUBSTITUTE(SUBSTITUTE(SUBSTITUTE(SUBSTITUTE(SUBSTITUTE(LOWER(Registro!$E61),"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",LEN(Registro!$E61))),({1,2,3,4,5,6,7,8,9,10,11,12,13,14,15,16,17,18,19,20,21,22,23,24,25,26,27,28,29,30}-1)*LEN(Registro!$E61)+1,LEN(Registro!$E61))),FIND("x",TRIM(MID(SUBSTITUTE(SUBSTITUTE(SUBSTITUTE(SUBSTITUTE(SUBSTITUTE(LOWER(Registro!$E61),"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",LEN(Registro!$E61))),({1,2,3,4,5,6,7,8,9,10,11,12,13,14,15,16,17,18,19,20,21,22,23,24,25,26,27,28,29,30}-1)*LEN(Registro!$E61)+1,LEN(Registro!$E61)))&amp;"x")+1,20))),"Revisar formato")))</f>
        <v/>
      </c>
      <c r="F61" s="23" t="str">
        <f>IF(Registro!$F61="","",IF(ISERROR(FIND("x",LOWER(Registro!$F61))),"-",IFERROR(SUMPRODUCT(--("0"&amp;LEFT(TRIM(MID(SUBSTITUTE(SUBSTITUTE(SUBSTITUTE(SUBSTITUTE(SUBSTITUTE(LOWER(Registro!$F61)," ",""),CHAR(10),"|"),";","|"),"+","|"),"|",REPT(" ",LEN(Registro!$F61))),({1,2,3,4,5,6,7,8,9,10,11,12,13,14,15,16,17,18,19,20,21,22,23,24,25,26,27,28,29,30}-1)*LEN(Registro!$F61)+1,LEN(Registro!$F61))),FIND("x",TRIM(MID(SUBSTITUTE(SUBSTITUTE(SUBSTITUTE(SUBSTITUTE(SUBSTITUTE(LOWER(Registro!$F61)," ",""),CHAR(10),"|"),";","|"),"+","|"),"|",REPT(" ",LEN(Registro!$F61))),({1,2,3,4,5,6,7,8,9,10,11,12,13,14,15,16,17,18,19,20,21,22,23,24,25,26,27,28,29,30}-1)*LEN(Registro!$F61)+1,LEN(Registro!$F61)))&amp;"x")-1))),"Revisar formato")))</f>
        <v/>
      </c>
      <c r="G61" s="24" t="str">
        <f>IF(Registro!$F61="","",IF(ISERROR(FIND("x",LOWER(Registro!$F61))),N(Registro!$G61),IFERROR(SUMPRODUCT(--("0"&amp;LEFT(TRIM(MID(SUBSTITUTE(SUBSTITUTE(SUBSTITUTE(SUBSTITUTE(SUBSTITUTE(LOWER(Registro!$F61)," ",""),CHAR(10),"|"),";","|"),"+","|"),"|",REPT(" ",LEN(Registro!$F61))),({1,2,3,4,5,6,7,8,9,10,11,12,13,14,15,16,17,18,19,20,21,22,23,24,25,26,27,28,29,30}-1)*LEN(Registro!$F61)+1,LEN(Registro!$F61))),FIND("x",TRIM(MID(SUBSTITUTE(SUBSTITUTE(SUBSTITUTE(SUBSTITUTE(SUBSTITUTE(LOWER(Registro!$F61)," ",""),CHAR(10),"|"),";","|"),"+","|"),"|",REPT(" ",LEN(Registro!$F61))),({1,2,3,4,5,6,7,8,9,10,11,12,13,14,15,16,17,18,19,20,21,22,23,24,25,26,27,28,29,30}-1)*LEN(Registro!$F61)+1,LEN(Registro!$F61)))&amp;"x")-1)),--("0"&amp;MID(TRIM(MID(SUBSTITUTE(SUBSTITUTE(SUBSTITUTE(SUBSTITUTE(SUBSTITUTE(LOWER(Registro!$F61)," ",""),CHAR(10),"|"),";","|"),"+","|"),"|",REPT(" ",LEN(Registro!$F61))),({1,2,3,4,5,6,7,8,9,10,11,12,13,14,15,16,17,18,19,20,21,22,23,24,25,26,27,28,29,30}-1)*LEN(Registro!$F61)+1,LEN(Registro!$F61))),FIND("x",TRIM(MID(SUBSTITUTE(SUBSTITUTE(SUBSTITUTE(SUBSTITUTE(SUBSTITUTE(LOWER(Registro!$F61)," ",""),CHAR(10),"|"),";","|"),"+","|"),"|",REPT(" ",LEN(Registro!$F61))),({1,2,3,4,5,6,7,8,9,10,11,12,13,14,15,16,17,18,19,20,21,22,23,24,25,26,27,28,29,30}-1)*LEN(Registro!$F61)+1,LEN(Registro!$F61)))&amp;"x")+1,20))),"Revisar formato")))</f>
        <v/>
      </c>
      <c r="H61" s="21" t="str">
        <f>IF(AND(Registro!$E61="",Registro!$F61=""),"",IF(NOT(AND(ISNUMBER(G61),ISNUMBER(Registro!$G61))),"",IF(G61&lt;Registro!$G61,"FALTA BOLETOS",IF(G61=Registro!$G61,"CONFORME","DIFERENCIA"))))</f>
        <v/>
      </c>
      <c r="I61" s="24" t="str">
        <f>IF(Registro!$H61="","",IFERROR(SUMPRODUCT(--("0"&amp;TRIM(RIGHT(SUBSTITUTE(TRIM(MID(SUBSTITUTE(SUBSTITUTE(Registro!$H61,";",CHAR(10)),CHAR(10),REPT(" ",LEN(Registro!$H61))),({1,2,3,4,5,6,7,8,9,10,11,12,13,14,15,16,17,18,19,20,21,22,23,24,25,26,27,28,29,30}-1)*LEN(Registro!$H61)+1,LEN(Registro!$H61)))," ",REPT(" ",50)),50)))),"Revisar formato"))</f>
        <v/>
      </c>
      <c r="J61" s="24" t="str">
        <f>IF(Registro!$I61="","",IFERROR(SUMPRODUCT(--("0"&amp;TRIM(RIGHT(SUBSTITUTE(TRIM(MID(SUBSTITUTE(SUBSTITUTE(Registro!$I61,";",CHAR(10)),CHAR(10),REPT(" ",LEN(Registro!$I61))),({1,2,3,4,5,6,7,8,9,10,11,12,13,14,15,16,17,18,19,20,21,22,23,24,25,26,27,28,29,30}-1)*LEN(Registro!$I61)+1,LEN(Registro!$I61)))," ",REPT(" ",50)),50)))),"Revisar formato"))</f>
        <v/>
      </c>
      <c r="K61" s="24" t="str">
        <f>IF(AND(Registro!$G61="",Registro!$H61=""),"",IF(AND(ISTEXT(I61),I61&lt;&gt;""),"Revisar formato",N(Registro!$G61)-N(I61)))</f>
        <v/>
      </c>
      <c r="L61" s="24" t="str">
        <f t="shared" si="1"/>
        <v/>
      </c>
      <c r="M61" s="36" t="str">
        <f>IF(AND(A61=Consulta!$B$3,C61=Consulta!$H$3),B61*10000+ROW(),"")</f>
        <v/>
      </c>
    </row>
    <row r="62" spans="1:13" x14ac:dyDescent="0.25">
      <c r="A62" s="21" t="str">
        <f>IF(Registro!$A62="","",Registro!$A62)</f>
        <v/>
      </c>
      <c r="B62" s="20" t="str">
        <f>IF(Registro!$B62="","",Registro!$B62)</f>
        <v/>
      </c>
      <c r="C62" s="35" t="str">
        <f t="shared" si="0"/>
        <v/>
      </c>
      <c r="D62" s="23" t="str">
        <f>IF(Registro!$E62="","",IF(ISERROR(FIND("x",LOWER(Registro!$E62))),"-",IFERROR(SUMPRODUCT(--("0"&amp;LEFT(TRIM(MID(SUBSTITUTE(SUBSTITUTE(SUBSTITUTE(SUBSTITUTE(SUBSTITUTE(LOWER(Registro!$E62),"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",LEN(Registro!$E62))),({1,2,3,4,5,6,7,8,9,10,11,12,13,14,15,16,17,18,19,20,21,22,23,24,25,26,27,28,29,30}-1)*LEN(Registro!$E62)+1,LEN(Registro!$E62))),FIND("x",TRIM(MID(SUBSTITUTE(SUBSTITUTE(SUBSTITUTE(SUBSTITUTE(SUBSTITUTE(LOWER(Registro!$E62),"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",LEN(Registro!$E62))),({1,2,3,4,5,6,7,8,9,10,11,12,13,14,15,16,17,18,19,20,21,22,23,24,25,26,27,28,29,30}-1)*LEN(Registro!$E62)+1,LEN(Registro!$E62)))&amp;"x")-1))),"Revisar formato")))</f>
        <v/>
      </c>
      <c r="E62" s="24" t="str">
        <f>IF(Registro!$E62="","",IF(ISERROR(FIND("x",LOWER(Registro!$E62))),"-",IFERROR(SUMPRODUCT(--("0"&amp;LEFT(TRIM(MID(SUBSTITUTE(SUBSTITUTE(SUBSTITUTE(SUBSTITUTE(SUBSTITUTE(LOWER(Registro!$E62),"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",LEN(Registro!$E62))),({1,2,3,4,5,6,7,8,9,10,11,12,13,14,15,16,17,18,19,20,21,22,23,24,25,26,27,28,29,30}-1)*LEN(Registro!$E62)+1,LEN(Registro!$E62))),FIND("x",TRIM(MID(SUBSTITUTE(SUBSTITUTE(SUBSTITUTE(SUBSTITUTE(SUBSTITUTE(LOWER(Registro!$E62),"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",LEN(Registro!$E62))),({1,2,3,4,5,6,7,8,9,10,11,12,13,14,15,16,17,18,19,20,21,22,23,24,25,26,27,28,29,30}-1)*LEN(Registro!$E62)+1,LEN(Registro!$E62)))&amp;"x")-1)),--("0"&amp;MID(TRIM(MID(SUBSTITUTE(SUBSTITUTE(SUBSTITUTE(SUBSTITUTE(SUBSTITUTE(LOWER(Registro!$E62),"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",LEN(Registro!$E62))),({1,2,3,4,5,6,7,8,9,10,11,12,13,14,15,16,17,18,19,20,21,22,23,24,25,26,27,28,29,30}-1)*LEN(Registro!$E62)+1,LEN(Registro!$E62))),FIND("x",TRIM(MID(SUBSTITUTE(SUBSTITUTE(SUBSTITUTE(SUBSTITUTE(SUBSTITUTE(LOWER(Registro!$E62),"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",LEN(Registro!$E62))),({1,2,3,4,5,6,7,8,9,10,11,12,13,14,15,16,17,18,19,20,21,22,23,24,25,26,27,28,29,30}-1)*LEN(Registro!$E62)+1,LEN(Registro!$E62)))&amp;"x")+1,20))),"Revisar formato")))</f>
        <v/>
      </c>
      <c r="F62" s="23" t="str">
        <f>IF(Registro!$F62="","",IF(ISERROR(FIND("x",LOWER(Registro!$F62))),"-",IFERROR(SUMPRODUCT(--("0"&amp;LEFT(TRIM(MID(SUBSTITUTE(SUBSTITUTE(SUBSTITUTE(SUBSTITUTE(SUBSTITUTE(LOWER(Registro!$F62)," ",""),CHAR(10),"|"),";","|"),"+","|"),"|",REPT(" ",LEN(Registro!$F62))),({1,2,3,4,5,6,7,8,9,10,11,12,13,14,15,16,17,18,19,20,21,22,23,24,25,26,27,28,29,30}-1)*LEN(Registro!$F62)+1,LEN(Registro!$F62))),FIND("x",TRIM(MID(SUBSTITUTE(SUBSTITUTE(SUBSTITUTE(SUBSTITUTE(SUBSTITUTE(LOWER(Registro!$F62)," ",""),CHAR(10),"|"),";","|"),"+","|"),"|",REPT(" ",LEN(Registro!$F62))),({1,2,3,4,5,6,7,8,9,10,11,12,13,14,15,16,17,18,19,20,21,22,23,24,25,26,27,28,29,30}-1)*LEN(Registro!$F62)+1,LEN(Registro!$F62)))&amp;"x")-1))),"Revisar formato")))</f>
        <v/>
      </c>
      <c r="G62" s="24" t="str">
        <f>IF(Registro!$F62="","",IF(ISERROR(FIND("x",LOWER(Registro!$F62))),N(Registro!$G62),IFERROR(SUMPRODUCT(--("0"&amp;LEFT(TRIM(MID(SUBSTITUTE(SUBSTITUTE(SUBSTITUTE(SUBSTITUTE(SUBSTITUTE(LOWER(Registro!$F62)," ",""),CHAR(10),"|"),";","|"),"+","|"),"|",REPT(" ",LEN(Registro!$F62))),({1,2,3,4,5,6,7,8,9,10,11,12,13,14,15,16,17,18,19,20,21,22,23,24,25,26,27,28,29,30}-1)*LEN(Registro!$F62)+1,LEN(Registro!$F62))),FIND("x",TRIM(MID(SUBSTITUTE(SUBSTITUTE(SUBSTITUTE(SUBSTITUTE(SUBSTITUTE(LOWER(Registro!$F62)," ",""),CHAR(10),"|"),";","|"),"+","|"),"|",REPT(" ",LEN(Registro!$F62))),({1,2,3,4,5,6,7,8,9,10,11,12,13,14,15,16,17,18,19,20,21,22,23,24,25,26,27,28,29,30}-1)*LEN(Registro!$F62)+1,LEN(Registro!$F62)))&amp;"x")-1)),--("0"&amp;MID(TRIM(MID(SUBSTITUTE(SUBSTITUTE(SUBSTITUTE(SUBSTITUTE(SUBSTITUTE(LOWER(Registro!$F62)," ",""),CHAR(10),"|"),";","|"),"+","|"),"|",REPT(" ",LEN(Registro!$F62))),({1,2,3,4,5,6,7,8,9,10,11,12,13,14,15,16,17,18,19,20,21,22,23,24,25,26,27,28,29,30}-1)*LEN(Registro!$F62)+1,LEN(Registro!$F62))),FIND("x",TRIM(MID(SUBSTITUTE(SUBSTITUTE(SUBSTITUTE(SUBSTITUTE(SUBSTITUTE(LOWER(Registro!$F62)," ",""),CHAR(10),"|"),";","|"),"+","|"),"|",REPT(" ",LEN(Registro!$F62))),({1,2,3,4,5,6,7,8,9,10,11,12,13,14,15,16,17,18,19,20,21,22,23,24,25,26,27,28,29,30}-1)*LEN(Registro!$F62)+1,LEN(Registro!$F62)))&amp;"x")+1,20))),"Revisar formato")))</f>
        <v/>
      </c>
      <c r="H62" s="21" t="str">
        <f>IF(AND(Registro!$E62="",Registro!$F62=""),"",IF(NOT(AND(ISNUMBER(G62),ISNUMBER(Registro!$G62))),"",IF(G62&lt;Registro!$G62,"FALTA BOLETOS",IF(G62=Registro!$G62,"CONFORME","DIFERENCIA"))))</f>
        <v/>
      </c>
      <c r="I62" s="24" t="str">
        <f>IF(Registro!$H62="","",IFERROR(SUMPRODUCT(--("0"&amp;TRIM(RIGHT(SUBSTITUTE(TRIM(MID(SUBSTITUTE(SUBSTITUTE(Registro!$H62,";",CHAR(10)),CHAR(10),REPT(" ",LEN(Registro!$H62))),({1,2,3,4,5,6,7,8,9,10,11,12,13,14,15,16,17,18,19,20,21,22,23,24,25,26,27,28,29,30}-1)*LEN(Registro!$H62)+1,LEN(Registro!$H62)))," ",REPT(" ",50)),50)))),"Revisar formato"))</f>
        <v/>
      </c>
      <c r="J62" s="24" t="str">
        <f>IF(Registro!$I62="","",IFERROR(SUMPRODUCT(--("0"&amp;TRIM(RIGHT(SUBSTITUTE(TRIM(MID(SUBSTITUTE(SUBSTITUTE(Registro!$I62,";",CHAR(10)),CHAR(10),REPT(" ",LEN(Registro!$I62))),({1,2,3,4,5,6,7,8,9,10,11,12,13,14,15,16,17,18,19,20,21,22,23,24,25,26,27,28,29,30}-1)*LEN(Registro!$I62)+1,LEN(Registro!$I62)))," ",REPT(" ",50)),50)))),"Revisar formato"))</f>
        <v/>
      </c>
      <c r="K62" s="24" t="str">
        <f>IF(AND(Registro!$G62="",Registro!$H62=""),"",IF(AND(ISTEXT(I62),I62&lt;&gt;""),"Revisar formato",N(Registro!$G62)-N(I62)))</f>
        <v/>
      </c>
      <c r="L62" s="24" t="str">
        <f t="shared" si="1"/>
        <v/>
      </c>
      <c r="M62" s="36" t="str">
        <f>IF(AND(A62=Consulta!$B$3,C62=Consulta!$H$3),B62*10000+ROW(),"")</f>
        <v/>
      </c>
    </row>
    <row r="63" spans="1:13" x14ac:dyDescent="0.25">
      <c r="A63" s="21" t="str">
        <f>IF(Registro!$A63="","",Registro!$A63)</f>
        <v/>
      </c>
      <c r="B63" s="20" t="str">
        <f>IF(Registro!$B63="","",Registro!$B63)</f>
        <v/>
      </c>
      <c r="C63" s="35" t="str">
        <f t="shared" si="0"/>
        <v/>
      </c>
      <c r="D63" s="23" t="str">
        <f>IF(Registro!$E63="","",IF(ISERROR(FIND("x",LOWER(Registro!$E63))),"-",IFERROR(SUMPRODUCT(--("0"&amp;LEFT(TRIM(MID(SUBSTITUTE(SUBSTITUTE(SUBSTITUTE(SUBSTITUTE(SUBSTITUTE(LOWER(Registro!$E63),"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",LEN(Registro!$E63))),({1,2,3,4,5,6,7,8,9,10,11,12,13,14,15,16,17,18,19,20,21,22,23,24,25,26,27,28,29,30}-1)*LEN(Registro!$E63)+1,LEN(Registro!$E63))),FIND("x",TRIM(MID(SUBSTITUTE(SUBSTITUTE(SUBSTITUTE(SUBSTITUTE(SUBSTITUTE(LOWER(Registro!$E63),"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",LEN(Registro!$E63))),({1,2,3,4,5,6,7,8,9,10,11,12,13,14,15,16,17,18,19,20,21,22,23,24,25,26,27,28,29,30}-1)*LEN(Registro!$E63)+1,LEN(Registro!$E63)))&amp;"x")-1))),"Revisar formato")))</f>
        <v/>
      </c>
      <c r="E63" s="24" t="str">
        <f>IF(Registro!$E63="","",IF(ISERROR(FIND("x",LOWER(Registro!$E63))),"-",IFERROR(SUMPRODUCT(--("0"&amp;LEFT(TRIM(MID(SUBSTITUTE(SUBSTITUTE(SUBSTITUTE(SUBSTITUTE(SUBSTITUTE(LOWER(Registro!$E63),"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",LEN(Registro!$E63))),({1,2,3,4,5,6,7,8,9,10,11,12,13,14,15,16,17,18,19,20,21,22,23,24,25,26,27,28,29,30}-1)*LEN(Registro!$E63)+1,LEN(Registro!$E63))),FIND("x",TRIM(MID(SUBSTITUTE(SUBSTITUTE(SUBSTITUTE(SUBSTITUTE(SUBSTITUTE(LOWER(Registro!$E63),"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",LEN(Registro!$E63))),({1,2,3,4,5,6,7,8,9,10,11,12,13,14,15,16,17,18,19,20,21,22,23,24,25,26,27,28,29,30}-1)*LEN(Registro!$E63)+1,LEN(Registro!$E63)))&amp;"x")-1)),--("0"&amp;MID(TRIM(MID(SUBSTITUTE(SUBSTITUTE(SUBSTITUTE(SUBSTITUTE(SUBSTITUTE(LOWER(Registro!$E63),"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",LEN(Registro!$E63))),({1,2,3,4,5,6,7,8,9,10,11,12,13,14,15,16,17,18,19,20,21,22,23,24,25,26,27,28,29,30}-1)*LEN(Registro!$E63)+1,LEN(Registro!$E63))),FIND("x",TRIM(MID(SUBSTITUTE(SUBSTITUTE(SUBSTITUTE(SUBSTITUTE(SUBSTITUTE(LOWER(Registro!$E63),"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",LEN(Registro!$E63))),({1,2,3,4,5,6,7,8,9,10,11,12,13,14,15,16,17,18,19,20,21,22,23,24,25,26,27,28,29,30}-1)*LEN(Registro!$E63)+1,LEN(Registro!$E63)))&amp;"x")+1,20))),"Revisar formato")))</f>
        <v/>
      </c>
      <c r="F63" s="23" t="str">
        <f>IF(Registro!$F63="","",IF(ISERROR(FIND("x",LOWER(Registro!$F63))),"-",IFERROR(SUMPRODUCT(--("0"&amp;LEFT(TRIM(MID(SUBSTITUTE(SUBSTITUTE(SUBSTITUTE(SUBSTITUTE(SUBSTITUTE(LOWER(Registro!$F63)," ",""),CHAR(10),"|"),";","|"),"+","|"),"|",REPT(" ",LEN(Registro!$F63))),({1,2,3,4,5,6,7,8,9,10,11,12,13,14,15,16,17,18,19,20,21,22,23,24,25,26,27,28,29,30}-1)*LEN(Registro!$F63)+1,LEN(Registro!$F63))),FIND("x",TRIM(MID(SUBSTITUTE(SUBSTITUTE(SUBSTITUTE(SUBSTITUTE(SUBSTITUTE(LOWER(Registro!$F63)," ",""),CHAR(10),"|"),";","|"),"+","|"),"|",REPT(" ",LEN(Registro!$F63))),({1,2,3,4,5,6,7,8,9,10,11,12,13,14,15,16,17,18,19,20,21,22,23,24,25,26,27,28,29,30}-1)*LEN(Registro!$F63)+1,LEN(Registro!$F63)))&amp;"x")-1))),"Revisar formato")))</f>
        <v/>
      </c>
      <c r="G63" s="24" t="str">
        <f>IF(Registro!$F63="","",IF(ISERROR(FIND("x",LOWER(Registro!$F63))),N(Registro!$G63),IFERROR(SUMPRODUCT(--("0"&amp;LEFT(TRIM(MID(SUBSTITUTE(SUBSTITUTE(SUBSTITUTE(SUBSTITUTE(SUBSTITUTE(LOWER(Registro!$F63)," ",""),CHAR(10),"|"),";","|"),"+","|"),"|",REPT(" ",LEN(Registro!$F63))),({1,2,3,4,5,6,7,8,9,10,11,12,13,14,15,16,17,18,19,20,21,22,23,24,25,26,27,28,29,30}-1)*LEN(Registro!$F63)+1,LEN(Registro!$F63))),FIND("x",TRIM(MID(SUBSTITUTE(SUBSTITUTE(SUBSTITUTE(SUBSTITUTE(SUBSTITUTE(LOWER(Registro!$F63)," ",""),CHAR(10),"|"),";","|"),"+","|"),"|",REPT(" ",LEN(Registro!$F63))),({1,2,3,4,5,6,7,8,9,10,11,12,13,14,15,16,17,18,19,20,21,22,23,24,25,26,27,28,29,30}-1)*LEN(Registro!$F63)+1,LEN(Registro!$F63)))&amp;"x")-1)),--("0"&amp;MID(TRIM(MID(SUBSTITUTE(SUBSTITUTE(SUBSTITUTE(SUBSTITUTE(SUBSTITUTE(LOWER(Registro!$F63)," ",""),CHAR(10),"|"),";","|"),"+","|"),"|",REPT(" ",LEN(Registro!$F63))),({1,2,3,4,5,6,7,8,9,10,11,12,13,14,15,16,17,18,19,20,21,22,23,24,25,26,27,28,29,30}-1)*LEN(Registro!$F63)+1,LEN(Registro!$F63))),FIND("x",TRIM(MID(SUBSTITUTE(SUBSTITUTE(SUBSTITUTE(SUBSTITUTE(SUBSTITUTE(LOWER(Registro!$F63)," ",""),CHAR(10),"|"),";","|"),"+","|"),"|",REPT(" ",LEN(Registro!$F63))),({1,2,3,4,5,6,7,8,9,10,11,12,13,14,15,16,17,18,19,20,21,22,23,24,25,26,27,28,29,30}-1)*LEN(Registro!$F63)+1,LEN(Registro!$F63)))&amp;"x")+1,20))),"Revisar formato")))</f>
        <v/>
      </c>
      <c r="H63" s="21" t="str">
        <f>IF(AND(Registro!$E63="",Registro!$F63=""),"",IF(NOT(AND(ISNUMBER(G63),ISNUMBER(Registro!$G63))),"",IF(G63&lt;Registro!$G63,"FALTA BOLETOS",IF(G63=Registro!$G63,"CONFORME","DIFERENCIA"))))</f>
        <v/>
      </c>
      <c r="I63" s="24" t="str">
        <f>IF(Registro!$H63="","",IFERROR(SUMPRODUCT(--("0"&amp;TRIM(RIGHT(SUBSTITUTE(TRIM(MID(SUBSTITUTE(SUBSTITUTE(Registro!$H63,";",CHAR(10)),CHAR(10),REPT(" ",LEN(Registro!$H63))),({1,2,3,4,5,6,7,8,9,10,11,12,13,14,15,16,17,18,19,20,21,22,23,24,25,26,27,28,29,30}-1)*LEN(Registro!$H63)+1,LEN(Registro!$H63)))," ",REPT(" ",50)),50)))),"Revisar formato"))</f>
        <v/>
      </c>
      <c r="J63" s="24" t="str">
        <f>IF(Registro!$I63="","",IFERROR(SUMPRODUCT(--("0"&amp;TRIM(RIGHT(SUBSTITUTE(TRIM(MID(SUBSTITUTE(SUBSTITUTE(Registro!$I63,";",CHAR(10)),CHAR(10),REPT(" ",LEN(Registro!$I63))),({1,2,3,4,5,6,7,8,9,10,11,12,13,14,15,16,17,18,19,20,21,22,23,24,25,26,27,28,29,30}-1)*LEN(Registro!$I63)+1,LEN(Registro!$I63)))," ",REPT(" ",50)),50)))),"Revisar formato"))</f>
        <v/>
      </c>
      <c r="K63" s="24" t="str">
        <f>IF(AND(Registro!$G63="",Registro!$H63=""),"",IF(AND(ISTEXT(I63),I63&lt;&gt;""),"Revisar formato",N(Registro!$G63)-N(I63)))</f>
        <v/>
      </c>
      <c r="L63" s="24" t="str">
        <f t="shared" si="1"/>
        <v/>
      </c>
      <c r="M63" s="36" t="str">
        <f>IF(AND(A63=Consulta!$B$3,C63=Consulta!$H$3),B63*10000+ROW(),"")</f>
        <v/>
      </c>
    </row>
    <row r="64" spans="1:13" x14ac:dyDescent="0.25">
      <c r="A64" s="21" t="str">
        <f>IF(Registro!$A64="","",Registro!$A64)</f>
        <v/>
      </c>
      <c r="B64" s="20" t="str">
        <f>IF(Registro!$B64="","",Registro!$B64)</f>
        <v/>
      </c>
      <c r="C64" s="35" t="str">
        <f t="shared" si="0"/>
        <v/>
      </c>
      <c r="D64" s="23" t="str">
        <f>IF(Registro!$E64="","",IF(ISERROR(FIND("x",LOWER(Registro!$E64))),"-",IFERROR(SUMPRODUCT(--("0"&amp;LEFT(TRIM(MID(SUBSTITUTE(SUBSTITUTE(SUBSTITUTE(SUBSTITUTE(SUBSTITUTE(LOWER(Registro!$E64),"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",LEN(Registro!$E64))),({1,2,3,4,5,6,7,8,9,10,11,12,13,14,15,16,17,18,19,20,21,22,23,24,25,26,27,28,29,30}-1)*LEN(Registro!$E64)+1,LEN(Registro!$E64))),FIND("x",TRIM(MID(SUBSTITUTE(SUBSTITUTE(SUBSTITUTE(SUBSTITUTE(SUBSTITUTE(LOWER(Registro!$E64),"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",LEN(Registro!$E64))),({1,2,3,4,5,6,7,8,9,10,11,12,13,14,15,16,17,18,19,20,21,22,23,24,25,26,27,28,29,30}-1)*LEN(Registro!$E64)+1,LEN(Registro!$E64)))&amp;"x")-1))),"Revisar formato")))</f>
        <v/>
      </c>
      <c r="E64" s="24" t="str">
        <f>IF(Registro!$E64="","",IF(ISERROR(FIND("x",LOWER(Registro!$E64))),"-",IFERROR(SUMPRODUCT(--("0"&amp;LEFT(TRIM(MID(SUBSTITUTE(SUBSTITUTE(SUBSTITUTE(SUBSTITUTE(SUBSTITUTE(LOWER(Registro!$E64),"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",LEN(Registro!$E64))),({1,2,3,4,5,6,7,8,9,10,11,12,13,14,15,16,17,18,19,20,21,22,23,24,25,26,27,28,29,30}-1)*LEN(Registro!$E64)+1,LEN(Registro!$E64))),FIND("x",TRIM(MID(SUBSTITUTE(SUBSTITUTE(SUBSTITUTE(SUBSTITUTE(SUBSTITUTE(LOWER(Registro!$E64),"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",LEN(Registro!$E64))),({1,2,3,4,5,6,7,8,9,10,11,12,13,14,15,16,17,18,19,20,21,22,23,24,25,26,27,28,29,30}-1)*LEN(Registro!$E64)+1,LEN(Registro!$E64)))&amp;"x")-1)),--("0"&amp;MID(TRIM(MID(SUBSTITUTE(SUBSTITUTE(SUBSTITUTE(SUBSTITUTE(SUBSTITUTE(LOWER(Registro!$E64),"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",LEN(Registro!$E64))),({1,2,3,4,5,6,7,8,9,10,11,12,13,14,15,16,17,18,19,20,21,22,23,24,25,26,27,28,29,30}-1)*LEN(Registro!$E64)+1,LEN(Registro!$E64))),FIND("x",TRIM(MID(SUBSTITUTE(SUBSTITUTE(SUBSTITUTE(SUBSTITUTE(SUBSTITUTE(LOWER(Registro!$E64),"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",LEN(Registro!$E64))),({1,2,3,4,5,6,7,8,9,10,11,12,13,14,15,16,17,18,19,20,21,22,23,24,25,26,27,28,29,30}-1)*LEN(Registro!$E64)+1,LEN(Registro!$E64)))&amp;"x")+1,20))),"Revisar formato")))</f>
        <v/>
      </c>
      <c r="F64" s="23" t="str">
        <f>IF(Registro!$F64="","",IF(ISERROR(FIND("x",LOWER(Registro!$F64))),"-",IFERROR(SUMPRODUCT(--("0"&amp;LEFT(TRIM(MID(SUBSTITUTE(SUBSTITUTE(SUBSTITUTE(SUBSTITUTE(SUBSTITUTE(LOWER(Registro!$F64)," ",""),CHAR(10),"|"),";","|"),"+","|"),"|",REPT(" ",LEN(Registro!$F64))),({1,2,3,4,5,6,7,8,9,10,11,12,13,14,15,16,17,18,19,20,21,22,23,24,25,26,27,28,29,30}-1)*LEN(Registro!$F64)+1,LEN(Registro!$F64))),FIND("x",TRIM(MID(SUBSTITUTE(SUBSTITUTE(SUBSTITUTE(SUBSTITUTE(SUBSTITUTE(LOWER(Registro!$F64)," ",""),CHAR(10),"|"),";","|"),"+","|"),"|",REPT(" ",LEN(Registro!$F64))),({1,2,3,4,5,6,7,8,9,10,11,12,13,14,15,16,17,18,19,20,21,22,23,24,25,26,27,28,29,30}-1)*LEN(Registro!$F64)+1,LEN(Registro!$F64)))&amp;"x")-1))),"Revisar formato")))</f>
        <v/>
      </c>
      <c r="G64" s="24" t="str">
        <f>IF(Registro!$F64="","",IF(ISERROR(FIND("x",LOWER(Registro!$F64))),N(Registro!$G64),IFERROR(SUMPRODUCT(--("0"&amp;LEFT(TRIM(MID(SUBSTITUTE(SUBSTITUTE(SUBSTITUTE(SUBSTITUTE(SUBSTITUTE(LOWER(Registro!$F64)," ",""),CHAR(10),"|"),";","|"),"+","|"),"|",REPT(" ",LEN(Registro!$F64))),({1,2,3,4,5,6,7,8,9,10,11,12,13,14,15,16,17,18,19,20,21,22,23,24,25,26,27,28,29,30}-1)*LEN(Registro!$F64)+1,LEN(Registro!$F64))),FIND("x",TRIM(MID(SUBSTITUTE(SUBSTITUTE(SUBSTITUTE(SUBSTITUTE(SUBSTITUTE(LOWER(Registro!$F64)," ",""),CHAR(10),"|"),";","|"),"+","|"),"|",REPT(" ",LEN(Registro!$F64))),({1,2,3,4,5,6,7,8,9,10,11,12,13,14,15,16,17,18,19,20,21,22,23,24,25,26,27,28,29,30}-1)*LEN(Registro!$F64)+1,LEN(Registro!$F64)))&amp;"x")-1)),--("0"&amp;MID(TRIM(MID(SUBSTITUTE(SUBSTITUTE(SUBSTITUTE(SUBSTITUTE(SUBSTITUTE(LOWER(Registro!$F64)," ",""),CHAR(10),"|"),";","|"),"+","|"),"|",REPT(" ",LEN(Registro!$F64))),({1,2,3,4,5,6,7,8,9,10,11,12,13,14,15,16,17,18,19,20,21,22,23,24,25,26,27,28,29,30}-1)*LEN(Registro!$F64)+1,LEN(Registro!$F64))),FIND("x",TRIM(MID(SUBSTITUTE(SUBSTITUTE(SUBSTITUTE(SUBSTITUTE(SUBSTITUTE(LOWER(Registro!$F64)," ",""),CHAR(10),"|"),";","|"),"+","|"),"|",REPT(" ",LEN(Registro!$F64))),({1,2,3,4,5,6,7,8,9,10,11,12,13,14,15,16,17,18,19,20,21,22,23,24,25,26,27,28,29,30}-1)*LEN(Registro!$F64)+1,LEN(Registro!$F64)))&amp;"x")+1,20))),"Revisar formato")))</f>
        <v/>
      </c>
      <c r="H64" s="21" t="str">
        <f>IF(AND(Registro!$E64="",Registro!$F64=""),"",IF(NOT(AND(ISNUMBER(G64),ISNUMBER(Registro!$G64))),"",IF(G64&lt;Registro!$G64,"FALTA BOLETOS",IF(G64=Registro!$G64,"CONFORME","DIFERENCIA"))))</f>
        <v/>
      </c>
      <c r="I64" s="24" t="str">
        <f>IF(Registro!$H64="","",IFERROR(SUMPRODUCT(--("0"&amp;TRIM(RIGHT(SUBSTITUTE(TRIM(MID(SUBSTITUTE(SUBSTITUTE(Registro!$H64,";",CHAR(10)),CHAR(10),REPT(" ",LEN(Registro!$H64))),({1,2,3,4,5,6,7,8,9,10,11,12,13,14,15,16,17,18,19,20,21,22,23,24,25,26,27,28,29,30}-1)*LEN(Registro!$H64)+1,LEN(Registro!$H64)))," ",REPT(" ",50)),50)))),"Revisar formato"))</f>
        <v/>
      </c>
      <c r="J64" s="24" t="str">
        <f>IF(Registro!$I64="","",IFERROR(SUMPRODUCT(--("0"&amp;TRIM(RIGHT(SUBSTITUTE(TRIM(MID(SUBSTITUTE(SUBSTITUTE(Registro!$I64,";",CHAR(10)),CHAR(10),REPT(" ",LEN(Registro!$I64))),({1,2,3,4,5,6,7,8,9,10,11,12,13,14,15,16,17,18,19,20,21,22,23,24,25,26,27,28,29,30}-1)*LEN(Registro!$I64)+1,LEN(Registro!$I64)))," ",REPT(" ",50)),50)))),"Revisar formato"))</f>
        <v/>
      </c>
      <c r="K64" s="24" t="str">
        <f>IF(AND(Registro!$G64="",Registro!$H64=""),"",IF(AND(ISTEXT(I64),I64&lt;&gt;""),"Revisar formato",N(Registro!$G64)-N(I64)))</f>
        <v/>
      </c>
      <c r="L64" s="24" t="str">
        <f t="shared" si="1"/>
        <v/>
      </c>
      <c r="M64" s="36" t="str">
        <f>IF(AND(A64=Consulta!$B$3,C64=Consulta!$H$3),B64*10000+ROW(),"")</f>
        <v/>
      </c>
    </row>
    <row r="65" spans="1:13" x14ac:dyDescent="0.25">
      <c r="A65" s="21" t="str">
        <f>IF(Registro!$A65="","",Registro!$A65)</f>
        <v/>
      </c>
      <c r="B65" s="20" t="str">
        <f>IF(Registro!$B65="","",Registro!$B65)</f>
        <v/>
      </c>
      <c r="C65" s="35" t="str">
        <f t="shared" si="0"/>
        <v/>
      </c>
      <c r="D65" s="23" t="str">
        <f>IF(Registro!$E65="","",IF(ISERROR(FIND("x",LOWER(Registro!$E65))),"-",IFERROR(SUMPRODUCT(--("0"&amp;LEFT(TRIM(MID(SUBSTITUTE(SUBSTITUTE(SUBSTITUTE(SUBSTITUTE(SUBSTITUTE(LOWER(Registro!$E65),"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",LEN(Registro!$E65))),({1,2,3,4,5,6,7,8,9,10,11,12,13,14,15,16,17,18,19,20,21,22,23,24,25,26,27,28,29,30}-1)*LEN(Registro!$E65)+1,LEN(Registro!$E65))),FIND("x",TRIM(MID(SUBSTITUTE(SUBSTITUTE(SUBSTITUTE(SUBSTITUTE(SUBSTITUTE(LOWER(Registro!$E65),"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",LEN(Registro!$E65))),({1,2,3,4,5,6,7,8,9,10,11,12,13,14,15,16,17,18,19,20,21,22,23,24,25,26,27,28,29,30}-1)*LEN(Registro!$E65)+1,LEN(Registro!$E65)))&amp;"x")-1))),"Revisar formato")))</f>
        <v/>
      </c>
      <c r="E65" s="24" t="str">
        <f>IF(Registro!$E65="","",IF(ISERROR(FIND("x",LOWER(Registro!$E65))),"-",IFERROR(SUMPRODUCT(--("0"&amp;LEFT(TRIM(MID(SUBSTITUTE(SUBSTITUTE(SUBSTITUTE(SUBSTITUTE(SUBSTITUTE(LOWER(Registro!$E65),"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",LEN(Registro!$E65))),({1,2,3,4,5,6,7,8,9,10,11,12,13,14,15,16,17,18,19,20,21,22,23,24,25,26,27,28,29,30}-1)*LEN(Registro!$E65)+1,LEN(Registro!$E65))),FIND("x",TRIM(MID(SUBSTITUTE(SUBSTITUTE(SUBSTITUTE(SUBSTITUTE(SUBSTITUTE(LOWER(Registro!$E65),"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",LEN(Registro!$E65))),({1,2,3,4,5,6,7,8,9,10,11,12,13,14,15,16,17,18,19,20,21,22,23,24,25,26,27,28,29,30}-1)*LEN(Registro!$E65)+1,LEN(Registro!$E65)))&amp;"x")-1)),--("0"&amp;MID(TRIM(MID(SUBSTITUTE(SUBSTITUTE(SUBSTITUTE(SUBSTITUTE(SUBSTITUTE(LOWER(Registro!$E65),"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",LEN(Registro!$E65))),({1,2,3,4,5,6,7,8,9,10,11,12,13,14,15,16,17,18,19,20,21,22,23,24,25,26,27,28,29,30}-1)*LEN(Registro!$E65)+1,LEN(Registro!$E65))),FIND("x",TRIM(MID(SUBSTITUTE(SUBSTITUTE(SUBSTITUTE(SUBSTITUTE(SUBSTITUTE(LOWER(Registro!$E65),"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",LEN(Registro!$E65))),({1,2,3,4,5,6,7,8,9,10,11,12,13,14,15,16,17,18,19,20,21,22,23,24,25,26,27,28,29,30}-1)*LEN(Registro!$E65)+1,LEN(Registro!$E65)))&amp;"x")+1,20))),"Revisar formato")))</f>
        <v/>
      </c>
      <c r="F65" s="23" t="str">
        <f>IF(Registro!$F65="","",IF(ISERROR(FIND("x",LOWER(Registro!$F65))),"-",IFERROR(SUMPRODUCT(--("0"&amp;LEFT(TRIM(MID(SUBSTITUTE(SUBSTITUTE(SUBSTITUTE(SUBSTITUTE(SUBSTITUTE(LOWER(Registro!$F65)," ",""),CHAR(10),"|"),";","|"),"+","|"),"|",REPT(" ",LEN(Registro!$F65))),({1,2,3,4,5,6,7,8,9,10,11,12,13,14,15,16,17,18,19,20,21,22,23,24,25,26,27,28,29,30}-1)*LEN(Registro!$F65)+1,LEN(Registro!$F65))),FIND("x",TRIM(MID(SUBSTITUTE(SUBSTITUTE(SUBSTITUTE(SUBSTITUTE(SUBSTITUTE(LOWER(Registro!$F65)," ",""),CHAR(10),"|"),";","|"),"+","|"),"|",REPT(" ",LEN(Registro!$F65))),({1,2,3,4,5,6,7,8,9,10,11,12,13,14,15,16,17,18,19,20,21,22,23,24,25,26,27,28,29,30}-1)*LEN(Registro!$F65)+1,LEN(Registro!$F65)))&amp;"x")-1))),"Revisar formato")))</f>
        <v/>
      </c>
      <c r="G65" s="24" t="str">
        <f>IF(Registro!$F65="","",IF(ISERROR(FIND("x",LOWER(Registro!$F65))),N(Registro!$G65),IFERROR(SUMPRODUCT(--("0"&amp;LEFT(TRIM(MID(SUBSTITUTE(SUBSTITUTE(SUBSTITUTE(SUBSTITUTE(SUBSTITUTE(LOWER(Registro!$F65)," ",""),CHAR(10),"|"),";","|"),"+","|"),"|",REPT(" ",LEN(Registro!$F65))),({1,2,3,4,5,6,7,8,9,10,11,12,13,14,15,16,17,18,19,20,21,22,23,24,25,26,27,28,29,30}-1)*LEN(Registro!$F65)+1,LEN(Registro!$F65))),FIND("x",TRIM(MID(SUBSTITUTE(SUBSTITUTE(SUBSTITUTE(SUBSTITUTE(SUBSTITUTE(LOWER(Registro!$F65)," ",""),CHAR(10),"|"),";","|"),"+","|"),"|",REPT(" ",LEN(Registro!$F65))),({1,2,3,4,5,6,7,8,9,10,11,12,13,14,15,16,17,18,19,20,21,22,23,24,25,26,27,28,29,30}-1)*LEN(Registro!$F65)+1,LEN(Registro!$F65)))&amp;"x")-1)),--("0"&amp;MID(TRIM(MID(SUBSTITUTE(SUBSTITUTE(SUBSTITUTE(SUBSTITUTE(SUBSTITUTE(LOWER(Registro!$F65)," ",""),CHAR(10),"|"),";","|"),"+","|"),"|",REPT(" ",LEN(Registro!$F65))),({1,2,3,4,5,6,7,8,9,10,11,12,13,14,15,16,17,18,19,20,21,22,23,24,25,26,27,28,29,30}-1)*LEN(Registro!$F65)+1,LEN(Registro!$F65))),FIND("x",TRIM(MID(SUBSTITUTE(SUBSTITUTE(SUBSTITUTE(SUBSTITUTE(SUBSTITUTE(LOWER(Registro!$F65)," ",""),CHAR(10),"|"),";","|"),"+","|"),"|",REPT(" ",LEN(Registro!$F65))),({1,2,3,4,5,6,7,8,9,10,11,12,13,14,15,16,17,18,19,20,21,22,23,24,25,26,27,28,29,30}-1)*LEN(Registro!$F65)+1,LEN(Registro!$F65)))&amp;"x")+1,20))),"Revisar formato")))</f>
        <v/>
      </c>
      <c r="H65" s="21" t="str">
        <f>IF(AND(Registro!$E65="",Registro!$F65=""),"",IF(NOT(AND(ISNUMBER(G65),ISNUMBER(Registro!$G65))),"",IF(G65&lt;Registro!$G65,"FALTA BOLETOS",IF(G65=Registro!$G65,"CONFORME","DIFERENCIA"))))</f>
        <v/>
      </c>
      <c r="I65" s="24" t="str">
        <f>IF(Registro!$H65="","",IFERROR(SUMPRODUCT(--("0"&amp;TRIM(RIGHT(SUBSTITUTE(TRIM(MID(SUBSTITUTE(SUBSTITUTE(Registro!$H65,";",CHAR(10)),CHAR(10),REPT(" ",LEN(Registro!$H65))),({1,2,3,4,5,6,7,8,9,10,11,12,13,14,15,16,17,18,19,20,21,22,23,24,25,26,27,28,29,30}-1)*LEN(Registro!$H65)+1,LEN(Registro!$H65)))," ",REPT(" ",50)),50)))),"Revisar formato"))</f>
        <v/>
      </c>
      <c r="J65" s="24" t="str">
        <f>IF(Registro!$I65="","",IFERROR(SUMPRODUCT(--("0"&amp;TRIM(RIGHT(SUBSTITUTE(TRIM(MID(SUBSTITUTE(SUBSTITUTE(Registro!$I65,";",CHAR(10)),CHAR(10),REPT(" ",LEN(Registro!$I65))),({1,2,3,4,5,6,7,8,9,10,11,12,13,14,15,16,17,18,19,20,21,22,23,24,25,26,27,28,29,30}-1)*LEN(Registro!$I65)+1,LEN(Registro!$I65)))," ",REPT(" ",50)),50)))),"Revisar formato"))</f>
        <v/>
      </c>
      <c r="K65" s="24" t="str">
        <f>IF(AND(Registro!$G65="",Registro!$H65=""),"",IF(AND(ISTEXT(I65),I65&lt;&gt;""),"Revisar formato",N(Registro!$G65)-N(I65)))</f>
        <v/>
      </c>
      <c r="L65" s="24" t="str">
        <f t="shared" si="1"/>
        <v/>
      </c>
      <c r="M65" s="36" t="str">
        <f>IF(AND(A65=Consulta!$B$3,C65=Consulta!$H$3),B65*10000+ROW(),"")</f>
        <v/>
      </c>
    </row>
    <row r="66" spans="1:13" x14ac:dyDescent="0.25">
      <c r="A66" s="21" t="str">
        <f>IF(Registro!$A66="","",Registro!$A66)</f>
        <v/>
      </c>
      <c r="B66" s="20" t="str">
        <f>IF(Registro!$B66="","",Registro!$B66)</f>
        <v/>
      </c>
      <c r="C66" s="35" t="str">
        <f t="shared" ref="C66:C129" si="2">IF(ISNUMBER(B66),YEAR(B66)*100+MONTH(B66),"")</f>
        <v/>
      </c>
      <c r="D66" s="23" t="str">
        <f>IF(Registro!$E66="","",IF(ISERROR(FIND("x",LOWER(Registro!$E66))),"-",IFERROR(SUMPRODUCT(--("0"&amp;LEFT(TRIM(MID(SUBSTITUTE(SUBSTITUTE(SUBSTITUTE(SUBSTITUTE(SUBSTITUTE(LOWER(Registro!$E66),"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",LEN(Registro!$E66))),({1,2,3,4,5,6,7,8,9,10,11,12,13,14,15,16,17,18,19,20,21,22,23,24,25,26,27,28,29,30}-1)*LEN(Registro!$E66)+1,LEN(Registro!$E66))),FIND("x",TRIM(MID(SUBSTITUTE(SUBSTITUTE(SUBSTITUTE(SUBSTITUTE(SUBSTITUTE(LOWER(Registro!$E66),"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",LEN(Registro!$E66))),({1,2,3,4,5,6,7,8,9,10,11,12,13,14,15,16,17,18,19,20,21,22,23,24,25,26,27,28,29,30}-1)*LEN(Registro!$E66)+1,LEN(Registro!$E66)))&amp;"x")-1))),"Revisar formato")))</f>
        <v/>
      </c>
      <c r="E66" s="24" t="str">
        <f>IF(Registro!$E66="","",IF(ISERROR(FIND("x",LOWER(Registro!$E66))),"-",IFERROR(SUMPRODUCT(--("0"&amp;LEFT(TRIM(MID(SUBSTITUTE(SUBSTITUTE(SUBSTITUTE(SUBSTITUTE(SUBSTITUTE(LOWER(Registro!$E66),"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",LEN(Registro!$E66))),({1,2,3,4,5,6,7,8,9,10,11,12,13,14,15,16,17,18,19,20,21,22,23,24,25,26,27,28,29,30}-1)*LEN(Registro!$E66)+1,LEN(Registro!$E66))),FIND("x",TRIM(MID(SUBSTITUTE(SUBSTITUTE(SUBSTITUTE(SUBSTITUTE(SUBSTITUTE(LOWER(Registro!$E66),"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",LEN(Registro!$E66))),({1,2,3,4,5,6,7,8,9,10,11,12,13,14,15,16,17,18,19,20,21,22,23,24,25,26,27,28,29,30}-1)*LEN(Registro!$E66)+1,LEN(Registro!$E66)))&amp;"x")-1)),--("0"&amp;MID(TRIM(MID(SUBSTITUTE(SUBSTITUTE(SUBSTITUTE(SUBSTITUTE(SUBSTITUTE(LOWER(Registro!$E66),"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",LEN(Registro!$E66))),({1,2,3,4,5,6,7,8,9,10,11,12,13,14,15,16,17,18,19,20,21,22,23,24,25,26,27,28,29,30}-1)*LEN(Registro!$E66)+1,LEN(Registro!$E66))),FIND("x",TRIM(MID(SUBSTITUTE(SUBSTITUTE(SUBSTITUTE(SUBSTITUTE(SUBSTITUTE(LOWER(Registro!$E66),"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",LEN(Registro!$E66))),({1,2,3,4,5,6,7,8,9,10,11,12,13,14,15,16,17,18,19,20,21,22,23,24,25,26,27,28,29,30}-1)*LEN(Registro!$E66)+1,LEN(Registro!$E66)))&amp;"x")+1,20))),"Revisar formato")))</f>
        <v/>
      </c>
      <c r="F66" s="23" t="str">
        <f>IF(Registro!$F66="","",IF(ISERROR(FIND("x",LOWER(Registro!$F66))),"-",IFERROR(SUMPRODUCT(--("0"&amp;LEFT(TRIM(MID(SUBSTITUTE(SUBSTITUTE(SUBSTITUTE(SUBSTITUTE(SUBSTITUTE(LOWER(Registro!$F66)," ",""),CHAR(10),"|"),";","|"),"+","|"),"|",REPT(" ",LEN(Registro!$F66))),({1,2,3,4,5,6,7,8,9,10,11,12,13,14,15,16,17,18,19,20,21,22,23,24,25,26,27,28,29,30}-1)*LEN(Registro!$F66)+1,LEN(Registro!$F66))),FIND("x",TRIM(MID(SUBSTITUTE(SUBSTITUTE(SUBSTITUTE(SUBSTITUTE(SUBSTITUTE(LOWER(Registro!$F66)," ",""),CHAR(10),"|"),";","|"),"+","|"),"|",REPT(" ",LEN(Registro!$F66))),({1,2,3,4,5,6,7,8,9,10,11,12,13,14,15,16,17,18,19,20,21,22,23,24,25,26,27,28,29,30}-1)*LEN(Registro!$F66)+1,LEN(Registro!$F66)))&amp;"x")-1))),"Revisar formato")))</f>
        <v/>
      </c>
      <c r="G66" s="24" t="str">
        <f>IF(Registro!$F66="","",IF(ISERROR(FIND("x",LOWER(Registro!$F66))),N(Registro!$G66),IFERROR(SUMPRODUCT(--("0"&amp;LEFT(TRIM(MID(SUBSTITUTE(SUBSTITUTE(SUBSTITUTE(SUBSTITUTE(SUBSTITUTE(LOWER(Registro!$F66)," ",""),CHAR(10),"|"),";","|"),"+","|"),"|",REPT(" ",LEN(Registro!$F66))),({1,2,3,4,5,6,7,8,9,10,11,12,13,14,15,16,17,18,19,20,21,22,23,24,25,26,27,28,29,30}-1)*LEN(Registro!$F66)+1,LEN(Registro!$F66))),FIND("x",TRIM(MID(SUBSTITUTE(SUBSTITUTE(SUBSTITUTE(SUBSTITUTE(SUBSTITUTE(LOWER(Registro!$F66)," ",""),CHAR(10),"|"),";","|"),"+","|"),"|",REPT(" ",LEN(Registro!$F66))),({1,2,3,4,5,6,7,8,9,10,11,12,13,14,15,16,17,18,19,20,21,22,23,24,25,26,27,28,29,30}-1)*LEN(Registro!$F66)+1,LEN(Registro!$F66)))&amp;"x")-1)),--("0"&amp;MID(TRIM(MID(SUBSTITUTE(SUBSTITUTE(SUBSTITUTE(SUBSTITUTE(SUBSTITUTE(LOWER(Registro!$F66)," ",""),CHAR(10),"|"),";","|"),"+","|"),"|",REPT(" ",LEN(Registro!$F66))),({1,2,3,4,5,6,7,8,9,10,11,12,13,14,15,16,17,18,19,20,21,22,23,24,25,26,27,28,29,30}-1)*LEN(Registro!$F66)+1,LEN(Registro!$F66))),FIND("x",TRIM(MID(SUBSTITUTE(SUBSTITUTE(SUBSTITUTE(SUBSTITUTE(SUBSTITUTE(LOWER(Registro!$F66)," ",""),CHAR(10),"|"),";","|"),"+","|"),"|",REPT(" ",LEN(Registro!$F66))),({1,2,3,4,5,6,7,8,9,10,11,12,13,14,15,16,17,18,19,20,21,22,23,24,25,26,27,28,29,30}-1)*LEN(Registro!$F66)+1,LEN(Registro!$F66)))&amp;"x")+1,20))),"Revisar formato")))</f>
        <v/>
      </c>
      <c r="H66" s="21" t="str">
        <f>IF(AND(Registro!$E66="",Registro!$F66=""),"",IF(NOT(AND(ISNUMBER(G66),ISNUMBER(Registro!$G66))),"",IF(G66&lt;Registro!$G66,"FALTA BOLETOS",IF(G66=Registro!$G66,"CONFORME","DIFERENCIA"))))</f>
        <v/>
      </c>
      <c r="I66" s="24" t="str">
        <f>IF(Registro!$H66="","",IFERROR(SUMPRODUCT(--("0"&amp;TRIM(RIGHT(SUBSTITUTE(TRIM(MID(SUBSTITUTE(SUBSTITUTE(Registro!$H66,";",CHAR(10)),CHAR(10),REPT(" ",LEN(Registro!$H66))),({1,2,3,4,5,6,7,8,9,10,11,12,13,14,15,16,17,18,19,20,21,22,23,24,25,26,27,28,29,30}-1)*LEN(Registro!$H66)+1,LEN(Registro!$H66)))," ",REPT(" ",50)),50)))),"Revisar formato"))</f>
        <v/>
      </c>
      <c r="J66" s="24" t="str">
        <f>IF(Registro!$I66="","",IFERROR(SUMPRODUCT(--("0"&amp;TRIM(RIGHT(SUBSTITUTE(TRIM(MID(SUBSTITUTE(SUBSTITUTE(Registro!$I66,";",CHAR(10)),CHAR(10),REPT(" ",LEN(Registro!$I66))),({1,2,3,4,5,6,7,8,9,10,11,12,13,14,15,16,17,18,19,20,21,22,23,24,25,26,27,28,29,30}-1)*LEN(Registro!$I66)+1,LEN(Registro!$I66)))," ",REPT(" ",50)),50)))),"Revisar formato"))</f>
        <v/>
      </c>
      <c r="K66" s="24" t="str">
        <f>IF(AND(Registro!$G66="",Registro!$H66=""),"",IF(AND(ISTEXT(I66),I66&lt;&gt;""),"Revisar formato",N(Registro!$G66)-N(I66)))</f>
        <v/>
      </c>
      <c r="L66" s="24" t="str">
        <f t="shared" ref="L66:L129" si="3">IF(K66="","",IF(OR(K66="Revisar formato",AND(ISTEXT(J66),J66&lt;&gt;"")),"Revisar formato",K66-N(J66)))</f>
        <v/>
      </c>
      <c r="M66" s="36" t="str">
        <f>IF(AND(A66=Consulta!$B$3,C66=Consulta!$H$3),B66*10000+ROW(),"")</f>
        <v/>
      </c>
    </row>
    <row r="67" spans="1:13" x14ac:dyDescent="0.25">
      <c r="A67" s="21" t="str">
        <f>IF(Registro!$A67="","",Registro!$A67)</f>
        <v/>
      </c>
      <c r="B67" s="20" t="str">
        <f>IF(Registro!$B67="","",Registro!$B67)</f>
        <v/>
      </c>
      <c r="C67" s="35" t="str">
        <f t="shared" si="2"/>
        <v/>
      </c>
      <c r="D67" s="23" t="str">
        <f>IF(Registro!$E67="","",IF(ISERROR(FIND("x",LOWER(Registro!$E67))),"-",IFERROR(SUMPRODUCT(--("0"&amp;LEFT(TRIM(MID(SUBSTITUTE(SUBSTITUTE(SUBSTITUTE(SUBSTITUTE(SUBSTITUTE(LOWER(Registro!$E67),"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",LEN(Registro!$E67))),({1,2,3,4,5,6,7,8,9,10,11,12,13,14,15,16,17,18,19,20,21,22,23,24,25,26,27,28,29,30}-1)*LEN(Registro!$E67)+1,LEN(Registro!$E67))),FIND("x",TRIM(MID(SUBSTITUTE(SUBSTITUTE(SUBSTITUTE(SUBSTITUTE(SUBSTITUTE(LOWER(Registro!$E67),"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",LEN(Registro!$E67))),({1,2,3,4,5,6,7,8,9,10,11,12,13,14,15,16,17,18,19,20,21,22,23,24,25,26,27,28,29,30}-1)*LEN(Registro!$E67)+1,LEN(Registro!$E67)))&amp;"x")-1))),"Revisar formato")))</f>
        <v/>
      </c>
      <c r="E67" s="24" t="str">
        <f>IF(Registro!$E67="","",IF(ISERROR(FIND("x",LOWER(Registro!$E67))),"-",IFERROR(SUMPRODUCT(--("0"&amp;LEFT(TRIM(MID(SUBSTITUTE(SUBSTITUTE(SUBSTITUTE(SUBSTITUTE(SUBSTITUTE(LOWER(Registro!$E67),"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",LEN(Registro!$E67))),({1,2,3,4,5,6,7,8,9,10,11,12,13,14,15,16,17,18,19,20,21,22,23,24,25,26,27,28,29,30}-1)*LEN(Registro!$E67)+1,LEN(Registro!$E67))),FIND("x",TRIM(MID(SUBSTITUTE(SUBSTITUTE(SUBSTITUTE(SUBSTITUTE(SUBSTITUTE(LOWER(Registro!$E67),"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",LEN(Registro!$E67))),({1,2,3,4,5,6,7,8,9,10,11,12,13,14,15,16,17,18,19,20,21,22,23,24,25,26,27,28,29,30}-1)*LEN(Registro!$E67)+1,LEN(Registro!$E67)))&amp;"x")-1)),--("0"&amp;MID(TRIM(MID(SUBSTITUTE(SUBSTITUTE(SUBSTITUTE(SUBSTITUTE(SUBSTITUTE(LOWER(Registro!$E67),"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",LEN(Registro!$E67))),({1,2,3,4,5,6,7,8,9,10,11,12,13,14,15,16,17,18,19,20,21,22,23,24,25,26,27,28,29,30}-1)*LEN(Registro!$E67)+1,LEN(Registro!$E67))),FIND("x",TRIM(MID(SUBSTITUTE(SUBSTITUTE(SUBSTITUTE(SUBSTITUTE(SUBSTITUTE(LOWER(Registro!$E67),"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",LEN(Registro!$E67))),({1,2,3,4,5,6,7,8,9,10,11,12,13,14,15,16,17,18,19,20,21,22,23,24,25,26,27,28,29,30}-1)*LEN(Registro!$E67)+1,LEN(Registro!$E67)))&amp;"x")+1,20))),"Revisar formato")))</f>
        <v/>
      </c>
      <c r="F67" s="23" t="str">
        <f>IF(Registro!$F67="","",IF(ISERROR(FIND("x",LOWER(Registro!$F67))),"-",IFERROR(SUMPRODUCT(--("0"&amp;LEFT(TRIM(MID(SUBSTITUTE(SUBSTITUTE(SUBSTITUTE(SUBSTITUTE(SUBSTITUTE(LOWER(Registro!$F67)," ",""),CHAR(10),"|"),";","|"),"+","|"),"|",REPT(" ",LEN(Registro!$F67))),({1,2,3,4,5,6,7,8,9,10,11,12,13,14,15,16,17,18,19,20,21,22,23,24,25,26,27,28,29,30}-1)*LEN(Registro!$F67)+1,LEN(Registro!$F67))),FIND("x",TRIM(MID(SUBSTITUTE(SUBSTITUTE(SUBSTITUTE(SUBSTITUTE(SUBSTITUTE(LOWER(Registro!$F67)," ",""),CHAR(10),"|"),";","|"),"+","|"),"|",REPT(" ",LEN(Registro!$F67))),({1,2,3,4,5,6,7,8,9,10,11,12,13,14,15,16,17,18,19,20,21,22,23,24,25,26,27,28,29,30}-1)*LEN(Registro!$F67)+1,LEN(Registro!$F67)))&amp;"x")-1))),"Revisar formato")))</f>
        <v/>
      </c>
      <c r="G67" s="24" t="str">
        <f>IF(Registro!$F67="","",IF(ISERROR(FIND("x",LOWER(Registro!$F67))),N(Registro!$G67),IFERROR(SUMPRODUCT(--("0"&amp;LEFT(TRIM(MID(SUBSTITUTE(SUBSTITUTE(SUBSTITUTE(SUBSTITUTE(SUBSTITUTE(LOWER(Registro!$F67)," ",""),CHAR(10),"|"),";","|"),"+","|"),"|",REPT(" ",LEN(Registro!$F67))),({1,2,3,4,5,6,7,8,9,10,11,12,13,14,15,16,17,18,19,20,21,22,23,24,25,26,27,28,29,30}-1)*LEN(Registro!$F67)+1,LEN(Registro!$F67))),FIND("x",TRIM(MID(SUBSTITUTE(SUBSTITUTE(SUBSTITUTE(SUBSTITUTE(SUBSTITUTE(LOWER(Registro!$F67)," ",""),CHAR(10),"|"),";","|"),"+","|"),"|",REPT(" ",LEN(Registro!$F67))),({1,2,3,4,5,6,7,8,9,10,11,12,13,14,15,16,17,18,19,20,21,22,23,24,25,26,27,28,29,30}-1)*LEN(Registro!$F67)+1,LEN(Registro!$F67)))&amp;"x")-1)),--("0"&amp;MID(TRIM(MID(SUBSTITUTE(SUBSTITUTE(SUBSTITUTE(SUBSTITUTE(SUBSTITUTE(LOWER(Registro!$F67)," ",""),CHAR(10),"|"),";","|"),"+","|"),"|",REPT(" ",LEN(Registro!$F67))),({1,2,3,4,5,6,7,8,9,10,11,12,13,14,15,16,17,18,19,20,21,22,23,24,25,26,27,28,29,30}-1)*LEN(Registro!$F67)+1,LEN(Registro!$F67))),FIND("x",TRIM(MID(SUBSTITUTE(SUBSTITUTE(SUBSTITUTE(SUBSTITUTE(SUBSTITUTE(LOWER(Registro!$F67)," ",""),CHAR(10),"|"),";","|"),"+","|"),"|",REPT(" ",LEN(Registro!$F67))),({1,2,3,4,5,6,7,8,9,10,11,12,13,14,15,16,17,18,19,20,21,22,23,24,25,26,27,28,29,30}-1)*LEN(Registro!$F67)+1,LEN(Registro!$F67)))&amp;"x")+1,20))),"Revisar formato")))</f>
        <v/>
      </c>
      <c r="H67" s="21" t="str">
        <f>IF(AND(Registro!$E67="",Registro!$F67=""),"",IF(NOT(AND(ISNUMBER(G67),ISNUMBER(Registro!$G67))),"",IF(G67&lt;Registro!$G67,"FALTA BOLETOS",IF(G67=Registro!$G67,"CONFORME","DIFERENCIA"))))</f>
        <v/>
      </c>
      <c r="I67" s="24" t="str">
        <f>IF(Registro!$H67="","",IFERROR(SUMPRODUCT(--("0"&amp;TRIM(RIGHT(SUBSTITUTE(TRIM(MID(SUBSTITUTE(SUBSTITUTE(Registro!$H67,";",CHAR(10)),CHAR(10),REPT(" ",LEN(Registro!$H67))),({1,2,3,4,5,6,7,8,9,10,11,12,13,14,15,16,17,18,19,20,21,22,23,24,25,26,27,28,29,30}-1)*LEN(Registro!$H67)+1,LEN(Registro!$H67)))," ",REPT(" ",50)),50)))),"Revisar formato"))</f>
        <v/>
      </c>
      <c r="J67" s="24" t="str">
        <f>IF(Registro!$I67="","",IFERROR(SUMPRODUCT(--("0"&amp;TRIM(RIGHT(SUBSTITUTE(TRIM(MID(SUBSTITUTE(SUBSTITUTE(Registro!$I67,";",CHAR(10)),CHAR(10),REPT(" ",LEN(Registro!$I67))),({1,2,3,4,5,6,7,8,9,10,11,12,13,14,15,16,17,18,19,20,21,22,23,24,25,26,27,28,29,30}-1)*LEN(Registro!$I67)+1,LEN(Registro!$I67)))," ",REPT(" ",50)),50)))),"Revisar formato"))</f>
        <v/>
      </c>
      <c r="K67" s="24" t="str">
        <f>IF(AND(Registro!$G67="",Registro!$H67=""),"",IF(AND(ISTEXT(I67),I67&lt;&gt;""),"Revisar formato",N(Registro!$G67)-N(I67)))</f>
        <v/>
      </c>
      <c r="L67" s="24" t="str">
        <f t="shared" si="3"/>
        <v/>
      </c>
      <c r="M67" s="36" t="str">
        <f>IF(AND(A67=Consulta!$B$3,C67=Consulta!$H$3),B67*10000+ROW(),"")</f>
        <v/>
      </c>
    </row>
    <row r="68" spans="1:13" x14ac:dyDescent="0.25">
      <c r="A68" s="21" t="str">
        <f>IF(Registro!$A68="","",Registro!$A68)</f>
        <v/>
      </c>
      <c r="B68" s="20" t="str">
        <f>IF(Registro!$B68="","",Registro!$B68)</f>
        <v/>
      </c>
      <c r="C68" s="35" t="str">
        <f t="shared" si="2"/>
        <v/>
      </c>
      <c r="D68" s="23" t="str">
        <f>IF(Registro!$E68="","",IF(ISERROR(FIND("x",LOWER(Registro!$E68))),"-",IFERROR(SUMPRODUCT(--("0"&amp;LEFT(TRIM(MID(SUBSTITUTE(SUBSTITUTE(SUBSTITUTE(SUBSTITUTE(SUBSTITUTE(LOWER(Registro!$E68),"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",LEN(Registro!$E68))),({1,2,3,4,5,6,7,8,9,10,11,12,13,14,15,16,17,18,19,20,21,22,23,24,25,26,27,28,29,30}-1)*LEN(Registro!$E68)+1,LEN(Registro!$E68))),FIND("x",TRIM(MID(SUBSTITUTE(SUBSTITUTE(SUBSTITUTE(SUBSTITUTE(SUBSTITUTE(LOWER(Registro!$E68),"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",LEN(Registro!$E68))),({1,2,3,4,5,6,7,8,9,10,11,12,13,14,15,16,17,18,19,20,21,22,23,24,25,26,27,28,29,30}-1)*LEN(Registro!$E68)+1,LEN(Registro!$E68)))&amp;"x")-1))),"Revisar formato")))</f>
        <v/>
      </c>
      <c r="E68" s="24" t="str">
        <f>IF(Registro!$E68="","",IF(ISERROR(FIND("x",LOWER(Registro!$E68))),"-",IFERROR(SUMPRODUCT(--("0"&amp;LEFT(TRIM(MID(SUBSTITUTE(SUBSTITUTE(SUBSTITUTE(SUBSTITUTE(SUBSTITUTE(LOWER(Registro!$E68),"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",LEN(Registro!$E68))),({1,2,3,4,5,6,7,8,9,10,11,12,13,14,15,16,17,18,19,20,21,22,23,24,25,26,27,28,29,30}-1)*LEN(Registro!$E68)+1,LEN(Registro!$E68))),FIND("x",TRIM(MID(SUBSTITUTE(SUBSTITUTE(SUBSTITUTE(SUBSTITUTE(SUBSTITUTE(LOWER(Registro!$E68),"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",LEN(Registro!$E68))),({1,2,3,4,5,6,7,8,9,10,11,12,13,14,15,16,17,18,19,20,21,22,23,24,25,26,27,28,29,30}-1)*LEN(Registro!$E68)+1,LEN(Registro!$E68)))&amp;"x")-1)),--("0"&amp;MID(TRIM(MID(SUBSTITUTE(SUBSTITUTE(SUBSTITUTE(SUBSTITUTE(SUBSTITUTE(LOWER(Registro!$E68),"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",LEN(Registro!$E68))),({1,2,3,4,5,6,7,8,9,10,11,12,13,14,15,16,17,18,19,20,21,22,23,24,25,26,27,28,29,30}-1)*LEN(Registro!$E68)+1,LEN(Registro!$E68))),FIND("x",TRIM(MID(SUBSTITUTE(SUBSTITUTE(SUBSTITUTE(SUBSTITUTE(SUBSTITUTE(LOWER(Registro!$E68),"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",LEN(Registro!$E68))),({1,2,3,4,5,6,7,8,9,10,11,12,13,14,15,16,17,18,19,20,21,22,23,24,25,26,27,28,29,30}-1)*LEN(Registro!$E68)+1,LEN(Registro!$E68)))&amp;"x")+1,20))),"Revisar formato")))</f>
        <v/>
      </c>
      <c r="F68" s="23" t="str">
        <f>IF(Registro!$F68="","",IF(ISERROR(FIND("x",LOWER(Registro!$F68))),"-",IFERROR(SUMPRODUCT(--("0"&amp;LEFT(TRIM(MID(SUBSTITUTE(SUBSTITUTE(SUBSTITUTE(SUBSTITUTE(SUBSTITUTE(LOWER(Registro!$F68)," ",""),CHAR(10),"|"),";","|"),"+","|"),"|",REPT(" ",LEN(Registro!$F68))),({1,2,3,4,5,6,7,8,9,10,11,12,13,14,15,16,17,18,19,20,21,22,23,24,25,26,27,28,29,30}-1)*LEN(Registro!$F68)+1,LEN(Registro!$F68))),FIND("x",TRIM(MID(SUBSTITUTE(SUBSTITUTE(SUBSTITUTE(SUBSTITUTE(SUBSTITUTE(LOWER(Registro!$F68)," ",""),CHAR(10),"|"),";","|"),"+","|"),"|",REPT(" ",LEN(Registro!$F68))),({1,2,3,4,5,6,7,8,9,10,11,12,13,14,15,16,17,18,19,20,21,22,23,24,25,26,27,28,29,30}-1)*LEN(Registro!$F68)+1,LEN(Registro!$F68)))&amp;"x")-1))),"Revisar formato")))</f>
        <v/>
      </c>
      <c r="G68" s="24" t="str">
        <f>IF(Registro!$F68="","",IF(ISERROR(FIND("x",LOWER(Registro!$F68))),N(Registro!$G68),IFERROR(SUMPRODUCT(--("0"&amp;LEFT(TRIM(MID(SUBSTITUTE(SUBSTITUTE(SUBSTITUTE(SUBSTITUTE(SUBSTITUTE(LOWER(Registro!$F68)," ",""),CHAR(10),"|"),";","|"),"+","|"),"|",REPT(" ",LEN(Registro!$F68))),({1,2,3,4,5,6,7,8,9,10,11,12,13,14,15,16,17,18,19,20,21,22,23,24,25,26,27,28,29,30}-1)*LEN(Registro!$F68)+1,LEN(Registro!$F68))),FIND("x",TRIM(MID(SUBSTITUTE(SUBSTITUTE(SUBSTITUTE(SUBSTITUTE(SUBSTITUTE(LOWER(Registro!$F68)," ",""),CHAR(10),"|"),";","|"),"+","|"),"|",REPT(" ",LEN(Registro!$F68))),({1,2,3,4,5,6,7,8,9,10,11,12,13,14,15,16,17,18,19,20,21,22,23,24,25,26,27,28,29,30}-1)*LEN(Registro!$F68)+1,LEN(Registro!$F68)))&amp;"x")-1)),--("0"&amp;MID(TRIM(MID(SUBSTITUTE(SUBSTITUTE(SUBSTITUTE(SUBSTITUTE(SUBSTITUTE(LOWER(Registro!$F68)," ",""),CHAR(10),"|"),";","|"),"+","|"),"|",REPT(" ",LEN(Registro!$F68))),({1,2,3,4,5,6,7,8,9,10,11,12,13,14,15,16,17,18,19,20,21,22,23,24,25,26,27,28,29,30}-1)*LEN(Registro!$F68)+1,LEN(Registro!$F68))),FIND("x",TRIM(MID(SUBSTITUTE(SUBSTITUTE(SUBSTITUTE(SUBSTITUTE(SUBSTITUTE(LOWER(Registro!$F68)," ",""),CHAR(10),"|"),";","|"),"+","|"),"|",REPT(" ",LEN(Registro!$F68))),({1,2,3,4,5,6,7,8,9,10,11,12,13,14,15,16,17,18,19,20,21,22,23,24,25,26,27,28,29,30}-1)*LEN(Registro!$F68)+1,LEN(Registro!$F68)))&amp;"x")+1,20))),"Revisar formato")))</f>
        <v/>
      </c>
      <c r="H68" s="21" t="str">
        <f>IF(AND(Registro!$E68="",Registro!$F68=""),"",IF(NOT(AND(ISNUMBER(G68),ISNUMBER(Registro!$G68))),"",IF(G68&lt;Registro!$G68,"FALTA BOLETOS",IF(G68=Registro!$G68,"CONFORME","DIFERENCIA"))))</f>
        <v/>
      </c>
      <c r="I68" s="24" t="str">
        <f>IF(Registro!$H68="","",IFERROR(SUMPRODUCT(--("0"&amp;TRIM(RIGHT(SUBSTITUTE(TRIM(MID(SUBSTITUTE(SUBSTITUTE(Registro!$H68,";",CHAR(10)),CHAR(10),REPT(" ",LEN(Registro!$H68))),({1,2,3,4,5,6,7,8,9,10,11,12,13,14,15,16,17,18,19,20,21,22,23,24,25,26,27,28,29,30}-1)*LEN(Registro!$H68)+1,LEN(Registro!$H68)))," ",REPT(" ",50)),50)))),"Revisar formato"))</f>
        <v/>
      </c>
      <c r="J68" s="24" t="str">
        <f>IF(Registro!$I68="","",IFERROR(SUMPRODUCT(--("0"&amp;TRIM(RIGHT(SUBSTITUTE(TRIM(MID(SUBSTITUTE(SUBSTITUTE(Registro!$I68,";",CHAR(10)),CHAR(10),REPT(" ",LEN(Registro!$I68))),({1,2,3,4,5,6,7,8,9,10,11,12,13,14,15,16,17,18,19,20,21,22,23,24,25,26,27,28,29,30}-1)*LEN(Registro!$I68)+1,LEN(Registro!$I68)))," ",REPT(" ",50)),50)))),"Revisar formato"))</f>
        <v/>
      </c>
      <c r="K68" s="24" t="str">
        <f>IF(AND(Registro!$G68="",Registro!$H68=""),"",IF(AND(ISTEXT(I68),I68&lt;&gt;""),"Revisar formato",N(Registro!$G68)-N(I68)))</f>
        <v/>
      </c>
      <c r="L68" s="24" t="str">
        <f t="shared" si="3"/>
        <v/>
      </c>
      <c r="M68" s="36" t="str">
        <f>IF(AND(A68=Consulta!$B$3,C68=Consulta!$H$3),B68*10000+ROW(),"")</f>
        <v/>
      </c>
    </row>
    <row r="69" spans="1:13" x14ac:dyDescent="0.25">
      <c r="A69" s="21" t="str">
        <f>IF(Registro!$A69="","",Registro!$A69)</f>
        <v/>
      </c>
      <c r="B69" s="20" t="str">
        <f>IF(Registro!$B69="","",Registro!$B69)</f>
        <v/>
      </c>
      <c r="C69" s="35" t="str">
        <f t="shared" si="2"/>
        <v/>
      </c>
      <c r="D69" s="23" t="str">
        <f>IF(Registro!$E69="","",IF(ISERROR(FIND("x",LOWER(Registro!$E69))),"-",IFERROR(SUMPRODUCT(--("0"&amp;LEFT(TRIM(MID(SUBSTITUTE(SUBSTITUTE(SUBSTITUTE(SUBSTITUTE(SUBSTITUTE(LOWER(Registro!$E69),"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",LEN(Registro!$E69))),({1,2,3,4,5,6,7,8,9,10,11,12,13,14,15,16,17,18,19,20,21,22,23,24,25,26,27,28,29,30}-1)*LEN(Registro!$E69)+1,LEN(Registro!$E69))),FIND("x",TRIM(MID(SUBSTITUTE(SUBSTITUTE(SUBSTITUTE(SUBSTITUTE(SUBSTITUTE(LOWER(Registro!$E69),"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",LEN(Registro!$E69))),({1,2,3,4,5,6,7,8,9,10,11,12,13,14,15,16,17,18,19,20,21,22,23,24,25,26,27,28,29,30}-1)*LEN(Registro!$E69)+1,LEN(Registro!$E69)))&amp;"x")-1))),"Revisar formato")))</f>
        <v/>
      </c>
      <c r="E69" s="24" t="str">
        <f>IF(Registro!$E69="","",IF(ISERROR(FIND("x",LOWER(Registro!$E69))),"-",IFERROR(SUMPRODUCT(--("0"&amp;LEFT(TRIM(MID(SUBSTITUTE(SUBSTITUTE(SUBSTITUTE(SUBSTITUTE(SUBSTITUTE(LOWER(Registro!$E69),"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",LEN(Registro!$E69))),({1,2,3,4,5,6,7,8,9,10,11,12,13,14,15,16,17,18,19,20,21,22,23,24,25,26,27,28,29,30}-1)*LEN(Registro!$E69)+1,LEN(Registro!$E69))),FIND("x",TRIM(MID(SUBSTITUTE(SUBSTITUTE(SUBSTITUTE(SUBSTITUTE(SUBSTITUTE(LOWER(Registro!$E69),"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",LEN(Registro!$E69))),({1,2,3,4,5,6,7,8,9,10,11,12,13,14,15,16,17,18,19,20,21,22,23,24,25,26,27,28,29,30}-1)*LEN(Registro!$E69)+1,LEN(Registro!$E69)))&amp;"x")-1)),--("0"&amp;MID(TRIM(MID(SUBSTITUTE(SUBSTITUTE(SUBSTITUTE(SUBSTITUTE(SUBSTITUTE(LOWER(Registro!$E69),"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",LEN(Registro!$E69))),({1,2,3,4,5,6,7,8,9,10,11,12,13,14,15,16,17,18,19,20,21,22,23,24,25,26,27,28,29,30}-1)*LEN(Registro!$E69)+1,LEN(Registro!$E69))),FIND("x",TRIM(MID(SUBSTITUTE(SUBSTITUTE(SUBSTITUTE(SUBSTITUTE(SUBSTITUTE(LOWER(Registro!$E69),"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",LEN(Registro!$E69))),({1,2,3,4,5,6,7,8,9,10,11,12,13,14,15,16,17,18,19,20,21,22,23,24,25,26,27,28,29,30}-1)*LEN(Registro!$E69)+1,LEN(Registro!$E69)))&amp;"x")+1,20))),"Revisar formato")))</f>
        <v/>
      </c>
      <c r="F69" s="23" t="str">
        <f>IF(Registro!$F69="","",IF(ISERROR(FIND("x",LOWER(Registro!$F69))),"-",IFERROR(SUMPRODUCT(--("0"&amp;LEFT(TRIM(MID(SUBSTITUTE(SUBSTITUTE(SUBSTITUTE(SUBSTITUTE(SUBSTITUTE(LOWER(Registro!$F69)," ",""),CHAR(10),"|"),";","|"),"+","|"),"|",REPT(" ",LEN(Registro!$F69))),({1,2,3,4,5,6,7,8,9,10,11,12,13,14,15,16,17,18,19,20,21,22,23,24,25,26,27,28,29,30}-1)*LEN(Registro!$F69)+1,LEN(Registro!$F69))),FIND("x",TRIM(MID(SUBSTITUTE(SUBSTITUTE(SUBSTITUTE(SUBSTITUTE(SUBSTITUTE(LOWER(Registro!$F69)," ",""),CHAR(10),"|"),";","|"),"+","|"),"|",REPT(" ",LEN(Registro!$F69))),({1,2,3,4,5,6,7,8,9,10,11,12,13,14,15,16,17,18,19,20,21,22,23,24,25,26,27,28,29,30}-1)*LEN(Registro!$F69)+1,LEN(Registro!$F69)))&amp;"x")-1))),"Revisar formato")))</f>
        <v/>
      </c>
      <c r="G69" s="24" t="str">
        <f>IF(Registro!$F69="","",IF(ISERROR(FIND("x",LOWER(Registro!$F69))),N(Registro!$G69),IFERROR(SUMPRODUCT(--("0"&amp;LEFT(TRIM(MID(SUBSTITUTE(SUBSTITUTE(SUBSTITUTE(SUBSTITUTE(SUBSTITUTE(LOWER(Registro!$F69)," ",""),CHAR(10),"|"),";","|"),"+","|"),"|",REPT(" ",LEN(Registro!$F69))),({1,2,3,4,5,6,7,8,9,10,11,12,13,14,15,16,17,18,19,20,21,22,23,24,25,26,27,28,29,30}-1)*LEN(Registro!$F69)+1,LEN(Registro!$F69))),FIND("x",TRIM(MID(SUBSTITUTE(SUBSTITUTE(SUBSTITUTE(SUBSTITUTE(SUBSTITUTE(LOWER(Registro!$F69)," ",""),CHAR(10),"|"),";","|"),"+","|"),"|",REPT(" ",LEN(Registro!$F69))),({1,2,3,4,5,6,7,8,9,10,11,12,13,14,15,16,17,18,19,20,21,22,23,24,25,26,27,28,29,30}-1)*LEN(Registro!$F69)+1,LEN(Registro!$F69)))&amp;"x")-1)),--("0"&amp;MID(TRIM(MID(SUBSTITUTE(SUBSTITUTE(SUBSTITUTE(SUBSTITUTE(SUBSTITUTE(LOWER(Registro!$F69)," ",""),CHAR(10),"|"),";","|"),"+","|"),"|",REPT(" ",LEN(Registro!$F69))),({1,2,3,4,5,6,7,8,9,10,11,12,13,14,15,16,17,18,19,20,21,22,23,24,25,26,27,28,29,30}-1)*LEN(Registro!$F69)+1,LEN(Registro!$F69))),FIND("x",TRIM(MID(SUBSTITUTE(SUBSTITUTE(SUBSTITUTE(SUBSTITUTE(SUBSTITUTE(LOWER(Registro!$F69)," ",""),CHAR(10),"|"),";","|"),"+","|"),"|",REPT(" ",LEN(Registro!$F69))),({1,2,3,4,5,6,7,8,9,10,11,12,13,14,15,16,17,18,19,20,21,22,23,24,25,26,27,28,29,30}-1)*LEN(Registro!$F69)+1,LEN(Registro!$F69)))&amp;"x")+1,20))),"Revisar formato")))</f>
        <v/>
      </c>
      <c r="H69" s="21" t="str">
        <f>IF(AND(Registro!$E69="",Registro!$F69=""),"",IF(NOT(AND(ISNUMBER(G69),ISNUMBER(Registro!$G69))),"",IF(G69&lt;Registro!$G69,"FALTA BOLETOS",IF(G69=Registro!$G69,"CONFORME","DIFERENCIA"))))</f>
        <v/>
      </c>
      <c r="I69" s="24" t="str">
        <f>IF(Registro!$H69="","",IFERROR(SUMPRODUCT(--("0"&amp;TRIM(RIGHT(SUBSTITUTE(TRIM(MID(SUBSTITUTE(SUBSTITUTE(Registro!$H69,";",CHAR(10)),CHAR(10),REPT(" ",LEN(Registro!$H69))),({1,2,3,4,5,6,7,8,9,10,11,12,13,14,15,16,17,18,19,20,21,22,23,24,25,26,27,28,29,30}-1)*LEN(Registro!$H69)+1,LEN(Registro!$H69)))," ",REPT(" ",50)),50)))),"Revisar formato"))</f>
        <v/>
      </c>
      <c r="J69" s="24" t="str">
        <f>IF(Registro!$I69="","",IFERROR(SUMPRODUCT(--("0"&amp;TRIM(RIGHT(SUBSTITUTE(TRIM(MID(SUBSTITUTE(SUBSTITUTE(Registro!$I69,";",CHAR(10)),CHAR(10),REPT(" ",LEN(Registro!$I69))),({1,2,3,4,5,6,7,8,9,10,11,12,13,14,15,16,17,18,19,20,21,22,23,24,25,26,27,28,29,30}-1)*LEN(Registro!$I69)+1,LEN(Registro!$I69)))," ",REPT(" ",50)),50)))),"Revisar formato"))</f>
        <v/>
      </c>
      <c r="K69" s="24" t="str">
        <f>IF(AND(Registro!$G69="",Registro!$H69=""),"",IF(AND(ISTEXT(I69),I69&lt;&gt;""),"Revisar formato",N(Registro!$G69)-N(I69)))</f>
        <v/>
      </c>
      <c r="L69" s="24" t="str">
        <f t="shared" si="3"/>
        <v/>
      </c>
      <c r="M69" s="36" t="str">
        <f>IF(AND(A69=Consulta!$B$3,C69=Consulta!$H$3),B69*10000+ROW(),"")</f>
        <v/>
      </c>
    </row>
    <row r="70" spans="1:13" x14ac:dyDescent="0.25">
      <c r="A70" s="21" t="str">
        <f>IF(Registro!$A70="","",Registro!$A70)</f>
        <v/>
      </c>
      <c r="B70" s="20" t="str">
        <f>IF(Registro!$B70="","",Registro!$B70)</f>
        <v/>
      </c>
      <c r="C70" s="35" t="str">
        <f t="shared" si="2"/>
        <v/>
      </c>
      <c r="D70" s="23" t="str">
        <f>IF(Registro!$E70="","",IF(ISERROR(FIND("x",LOWER(Registro!$E70))),"-",IFERROR(SUMPRODUCT(--("0"&amp;LEFT(TRIM(MID(SUBSTITUTE(SUBSTITUTE(SUBSTITUTE(SUBSTITUTE(SUBSTITUTE(LOWER(Registro!$E70),"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",LEN(Registro!$E70))),({1,2,3,4,5,6,7,8,9,10,11,12,13,14,15,16,17,18,19,20,21,22,23,24,25,26,27,28,29,30}-1)*LEN(Registro!$E70)+1,LEN(Registro!$E70))),FIND("x",TRIM(MID(SUBSTITUTE(SUBSTITUTE(SUBSTITUTE(SUBSTITUTE(SUBSTITUTE(LOWER(Registro!$E70),"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",LEN(Registro!$E70))),({1,2,3,4,5,6,7,8,9,10,11,12,13,14,15,16,17,18,19,20,21,22,23,24,25,26,27,28,29,30}-1)*LEN(Registro!$E70)+1,LEN(Registro!$E70)))&amp;"x")-1))),"Revisar formato")))</f>
        <v/>
      </c>
      <c r="E70" s="24" t="str">
        <f>IF(Registro!$E70="","",IF(ISERROR(FIND("x",LOWER(Registro!$E70))),"-",IFERROR(SUMPRODUCT(--("0"&amp;LEFT(TRIM(MID(SUBSTITUTE(SUBSTITUTE(SUBSTITUTE(SUBSTITUTE(SUBSTITUTE(LOWER(Registro!$E70),"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",LEN(Registro!$E70))),({1,2,3,4,5,6,7,8,9,10,11,12,13,14,15,16,17,18,19,20,21,22,23,24,25,26,27,28,29,30}-1)*LEN(Registro!$E70)+1,LEN(Registro!$E70))),FIND("x",TRIM(MID(SUBSTITUTE(SUBSTITUTE(SUBSTITUTE(SUBSTITUTE(SUBSTITUTE(LOWER(Registro!$E70),"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",LEN(Registro!$E70))),({1,2,3,4,5,6,7,8,9,10,11,12,13,14,15,16,17,18,19,20,21,22,23,24,25,26,27,28,29,30}-1)*LEN(Registro!$E70)+1,LEN(Registro!$E70)))&amp;"x")-1)),--("0"&amp;MID(TRIM(MID(SUBSTITUTE(SUBSTITUTE(SUBSTITUTE(SUBSTITUTE(SUBSTITUTE(LOWER(Registro!$E70),"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",LEN(Registro!$E70))),({1,2,3,4,5,6,7,8,9,10,11,12,13,14,15,16,17,18,19,20,21,22,23,24,25,26,27,28,29,30}-1)*LEN(Registro!$E70)+1,LEN(Registro!$E70))),FIND("x",TRIM(MID(SUBSTITUTE(SUBSTITUTE(SUBSTITUTE(SUBSTITUTE(SUBSTITUTE(LOWER(Registro!$E70),"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",LEN(Registro!$E70))),({1,2,3,4,5,6,7,8,9,10,11,12,13,14,15,16,17,18,19,20,21,22,23,24,25,26,27,28,29,30}-1)*LEN(Registro!$E70)+1,LEN(Registro!$E70)))&amp;"x")+1,20))),"Revisar formato")))</f>
        <v/>
      </c>
      <c r="F70" s="23" t="str">
        <f>IF(Registro!$F70="","",IF(ISERROR(FIND("x",LOWER(Registro!$F70))),"-",IFERROR(SUMPRODUCT(--("0"&amp;LEFT(TRIM(MID(SUBSTITUTE(SUBSTITUTE(SUBSTITUTE(SUBSTITUTE(SUBSTITUTE(LOWER(Registro!$F70)," ",""),CHAR(10),"|"),";","|"),"+","|"),"|",REPT(" ",LEN(Registro!$F70))),({1,2,3,4,5,6,7,8,9,10,11,12,13,14,15,16,17,18,19,20,21,22,23,24,25,26,27,28,29,30}-1)*LEN(Registro!$F70)+1,LEN(Registro!$F70))),FIND("x",TRIM(MID(SUBSTITUTE(SUBSTITUTE(SUBSTITUTE(SUBSTITUTE(SUBSTITUTE(LOWER(Registro!$F70)," ",""),CHAR(10),"|"),";","|"),"+","|"),"|",REPT(" ",LEN(Registro!$F70))),({1,2,3,4,5,6,7,8,9,10,11,12,13,14,15,16,17,18,19,20,21,22,23,24,25,26,27,28,29,30}-1)*LEN(Registro!$F70)+1,LEN(Registro!$F70)))&amp;"x")-1))),"Revisar formato")))</f>
        <v/>
      </c>
      <c r="G70" s="24" t="str">
        <f>IF(Registro!$F70="","",IF(ISERROR(FIND("x",LOWER(Registro!$F70))),N(Registro!$G70),IFERROR(SUMPRODUCT(--("0"&amp;LEFT(TRIM(MID(SUBSTITUTE(SUBSTITUTE(SUBSTITUTE(SUBSTITUTE(SUBSTITUTE(LOWER(Registro!$F70)," ",""),CHAR(10),"|"),";","|"),"+","|"),"|",REPT(" ",LEN(Registro!$F70))),({1,2,3,4,5,6,7,8,9,10,11,12,13,14,15,16,17,18,19,20,21,22,23,24,25,26,27,28,29,30}-1)*LEN(Registro!$F70)+1,LEN(Registro!$F70))),FIND("x",TRIM(MID(SUBSTITUTE(SUBSTITUTE(SUBSTITUTE(SUBSTITUTE(SUBSTITUTE(LOWER(Registro!$F70)," ",""),CHAR(10),"|"),";","|"),"+","|"),"|",REPT(" ",LEN(Registro!$F70))),({1,2,3,4,5,6,7,8,9,10,11,12,13,14,15,16,17,18,19,20,21,22,23,24,25,26,27,28,29,30}-1)*LEN(Registro!$F70)+1,LEN(Registro!$F70)))&amp;"x")-1)),--("0"&amp;MID(TRIM(MID(SUBSTITUTE(SUBSTITUTE(SUBSTITUTE(SUBSTITUTE(SUBSTITUTE(LOWER(Registro!$F70)," ",""),CHAR(10),"|"),";","|"),"+","|"),"|",REPT(" ",LEN(Registro!$F70))),({1,2,3,4,5,6,7,8,9,10,11,12,13,14,15,16,17,18,19,20,21,22,23,24,25,26,27,28,29,30}-1)*LEN(Registro!$F70)+1,LEN(Registro!$F70))),FIND("x",TRIM(MID(SUBSTITUTE(SUBSTITUTE(SUBSTITUTE(SUBSTITUTE(SUBSTITUTE(LOWER(Registro!$F70)," ",""),CHAR(10),"|"),";","|"),"+","|"),"|",REPT(" ",LEN(Registro!$F70))),({1,2,3,4,5,6,7,8,9,10,11,12,13,14,15,16,17,18,19,20,21,22,23,24,25,26,27,28,29,30}-1)*LEN(Registro!$F70)+1,LEN(Registro!$F70)))&amp;"x")+1,20))),"Revisar formato")))</f>
        <v/>
      </c>
      <c r="H70" s="21" t="str">
        <f>IF(AND(Registro!$E70="",Registro!$F70=""),"",IF(NOT(AND(ISNUMBER(G70),ISNUMBER(Registro!$G70))),"",IF(G70&lt;Registro!$G70,"FALTA BOLETOS",IF(G70=Registro!$G70,"CONFORME","DIFERENCIA"))))</f>
        <v/>
      </c>
      <c r="I70" s="24" t="str">
        <f>IF(Registro!$H70="","",IFERROR(SUMPRODUCT(--("0"&amp;TRIM(RIGHT(SUBSTITUTE(TRIM(MID(SUBSTITUTE(SUBSTITUTE(Registro!$H70,";",CHAR(10)),CHAR(10),REPT(" ",LEN(Registro!$H70))),({1,2,3,4,5,6,7,8,9,10,11,12,13,14,15,16,17,18,19,20,21,22,23,24,25,26,27,28,29,30}-1)*LEN(Registro!$H70)+1,LEN(Registro!$H70)))," ",REPT(" ",50)),50)))),"Revisar formato"))</f>
        <v/>
      </c>
      <c r="J70" s="24" t="str">
        <f>IF(Registro!$I70="","",IFERROR(SUMPRODUCT(--("0"&amp;TRIM(RIGHT(SUBSTITUTE(TRIM(MID(SUBSTITUTE(SUBSTITUTE(Registro!$I70,";",CHAR(10)),CHAR(10),REPT(" ",LEN(Registro!$I70))),({1,2,3,4,5,6,7,8,9,10,11,12,13,14,15,16,17,18,19,20,21,22,23,24,25,26,27,28,29,30}-1)*LEN(Registro!$I70)+1,LEN(Registro!$I70)))," ",REPT(" ",50)),50)))),"Revisar formato"))</f>
        <v/>
      </c>
      <c r="K70" s="24" t="str">
        <f>IF(AND(Registro!$G70="",Registro!$H70=""),"",IF(AND(ISTEXT(I70),I70&lt;&gt;""),"Revisar formato",N(Registro!$G70)-N(I70)))</f>
        <v/>
      </c>
      <c r="L70" s="24" t="str">
        <f t="shared" si="3"/>
        <v/>
      </c>
      <c r="M70" s="36" t="str">
        <f>IF(AND(A70=Consulta!$B$3,C70=Consulta!$H$3),B70*10000+ROW(),"")</f>
        <v/>
      </c>
    </row>
    <row r="71" spans="1:13" x14ac:dyDescent="0.25">
      <c r="A71" s="21" t="str">
        <f>IF(Registro!$A71="","",Registro!$A71)</f>
        <v/>
      </c>
      <c r="B71" s="20" t="str">
        <f>IF(Registro!$B71="","",Registro!$B71)</f>
        <v/>
      </c>
      <c r="C71" s="35" t="str">
        <f t="shared" si="2"/>
        <v/>
      </c>
      <c r="D71" s="23" t="str">
        <f>IF(Registro!$E71="","",IF(ISERROR(FIND("x",LOWER(Registro!$E71))),"-",IFERROR(SUMPRODUCT(--("0"&amp;LEFT(TRIM(MID(SUBSTITUTE(SUBSTITUTE(SUBSTITUTE(SUBSTITUTE(SUBSTITUTE(LOWER(Registro!$E71),"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",LEN(Registro!$E71))),({1,2,3,4,5,6,7,8,9,10,11,12,13,14,15,16,17,18,19,20,21,22,23,24,25,26,27,28,29,30}-1)*LEN(Registro!$E71)+1,LEN(Registro!$E71))),FIND("x",TRIM(MID(SUBSTITUTE(SUBSTITUTE(SUBSTITUTE(SUBSTITUTE(SUBSTITUTE(LOWER(Registro!$E71),"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",LEN(Registro!$E71))),({1,2,3,4,5,6,7,8,9,10,11,12,13,14,15,16,17,18,19,20,21,22,23,24,25,26,27,28,29,30}-1)*LEN(Registro!$E71)+1,LEN(Registro!$E71)))&amp;"x")-1))),"Revisar formato")))</f>
        <v/>
      </c>
      <c r="E71" s="24" t="str">
        <f>IF(Registro!$E71="","",IF(ISERROR(FIND("x",LOWER(Registro!$E71))),"-",IFERROR(SUMPRODUCT(--("0"&amp;LEFT(TRIM(MID(SUBSTITUTE(SUBSTITUTE(SUBSTITUTE(SUBSTITUTE(SUBSTITUTE(LOWER(Registro!$E71),"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",LEN(Registro!$E71))),({1,2,3,4,5,6,7,8,9,10,11,12,13,14,15,16,17,18,19,20,21,22,23,24,25,26,27,28,29,30}-1)*LEN(Registro!$E71)+1,LEN(Registro!$E71))),FIND("x",TRIM(MID(SUBSTITUTE(SUBSTITUTE(SUBSTITUTE(SUBSTITUTE(SUBSTITUTE(LOWER(Registro!$E71),"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",LEN(Registro!$E71))),({1,2,3,4,5,6,7,8,9,10,11,12,13,14,15,16,17,18,19,20,21,22,23,24,25,26,27,28,29,30}-1)*LEN(Registro!$E71)+1,LEN(Registro!$E71)))&amp;"x")-1)),--("0"&amp;MID(TRIM(MID(SUBSTITUTE(SUBSTITUTE(SUBSTITUTE(SUBSTITUTE(SUBSTITUTE(LOWER(Registro!$E71),"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",LEN(Registro!$E71))),({1,2,3,4,5,6,7,8,9,10,11,12,13,14,15,16,17,18,19,20,21,22,23,24,25,26,27,28,29,30}-1)*LEN(Registro!$E71)+1,LEN(Registro!$E71))),FIND("x",TRIM(MID(SUBSTITUTE(SUBSTITUTE(SUBSTITUTE(SUBSTITUTE(SUBSTITUTE(LOWER(Registro!$E71),"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",LEN(Registro!$E71))),({1,2,3,4,5,6,7,8,9,10,11,12,13,14,15,16,17,18,19,20,21,22,23,24,25,26,27,28,29,30}-1)*LEN(Registro!$E71)+1,LEN(Registro!$E71)))&amp;"x")+1,20))),"Revisar formato")))</f>
        <v/>
      </c>
      <c r="F71" s="23" t="str">
        <f>IF(Registro!$F71="","",IF(ISERROR(FIND("x",LOWER(Registro!$F71))),"-",IFERROR(SUMPRODUCT(--("0"&amp;LEFT(TRIM(MID(SUBSTITUTE(SUBSTITUTE(SUBSTITUTE(SUBSTITUTE(SUBSTITUTE(LOWER(Registro!$F71)," ",""),CHAR(10),"|"),";","|"),"+","|"),"|",REPT(" ",LEN(Registro!$F71))),({1,2,3,4,5,6,7,8,9,10,11,12,13,14,15,16,17,18,19,20,21,22,23,24,25,26,27,28,29,30}-1)*LEN(Registro!$F71)+1,LEN(Registro!$F71))),FIND("x",TRIM(MID(SUBSTITUTE(SUBSTITUTE(SUBSTITUTE(SUBSTITUTE(SUBSTITUTE(LOWER(Registro!$F71)," ",""),CHAR(10),"|"),";","|"),"+","|"),"|",REPT(" ",LEN(Registro!$F71))),({1,2,3,4,5,6,7,8,9,10,11,12,13,14,15,16,17,18,19,20,21,22,23,24,25,26,27,28,29,30}-1)*LEN(Registro!$F71)+1,LEN(Registro!$F71)))&amp;"x")-1))),"Revisar formato")))</f>
        <v/>
      </c>
      <c r="G71" s="24" t="str">
        <f>IF(Registro!$F71="","",IF(ISERROR(FIND("x",LOWER(Registro!$F71))),N(Registro!$G71),IFERROR(SUMPRODUCT(--("0"&amp;LEFT(TRIM(MID(SUBSTITUTE(SUBSTITUTE(SUBSTITUTE(SUBSTITUTE(SUBSTITUTE(LOWER(Registro!$F71)," ",""),CHAR(10),"|"),";","|"),"+","|"),"|",REPT(" ",LEN(Registro!$F71))),({1,2,3,4,5,6,7,8,9,10,11,12,13,14,15,16,17,18,19,20,21,22,23,24,25,26,27,28,29,30}-1)*LEN(Registro!$F71)+1,LEN(Registro!$F71))),FIND("x",TRIM(MID(SUBSTITUTE(SUBSTITUTE(SUBSTITUTE(SUBSTITUTE(SUBSTITUTE(LOWER(Registro!$F71)," ",""),CHAR(10),"|"),";","|"),"+","|"),"|",REPT(" ",LEN(Registro!$F71))),({1,2,3,4,5,6,7,8,9,10,11,12,13,14,15,16,17,18,19,20,21,22,23,24,25,26,27,28,29,30}-1)*LEN(Registro!$F71)+1,LEN(Registro!$F71)))&amp;"x")-1)),--("0"&amp;MID(TRIM(MID(SUBSTITUTE(SUBSTITUTE(SUBSTITUTE(SUBSTITUTE(SUBSTITUTE(LOWER(Registro!$F71)," ",""),CHAR(10),"|"),";","|"),"+","|"),"|",REPT(" ",LEN(Registro!$F71))),({1,2,3,4,5,6,7,8,9,10,11,12,13,14,15,16,17,18,19,20,21,22,23,24,25,26,27,28,29,30}-1)*LEN(Registro!$F71)+1,LEN(Registro!$F71))),FIND("x",TRIM(MID(SUBSTITUTE(SUBSTITUTE(SUBSTITUTE(SUBSTITUTE(SUBSTITUTE(LOWER(Registro!$F71)," ",""),CHAR(10),"|"),";","|"),"+","|"),"|",REPT(" ",LEN(Registro!$F71))),({1,2,3,4,5,6,7,8,9,10,11,12,13,14,15,16,17,18,19,20,21,22,23,24,25,26,27,28,29,30}-1)*LEN(Registro!$F71)+1,LEN(Registro!$F71)))&amp;"x")+1,20))),"Revisar formato")))</f>
        <v/>
      </c>
      <c r="H71" s="21" t="str">
        <f>IF(AND(Registro!$E71="",Registro!$F71=""),"",IF(NOT(AND(ISNUMBER(G71),ISNUMBER(Registro!$G71))),"",IF(G71&lt;Registro!$G71,"FALTA BOLETOS",IF(G71=Registro!$G71,"CONFORME","DIFERENCIA"))))</f>
        <v/>
      </c>
      <c r="I71" s="24" t="str">
        <f>IF(Registro!$H71="","",IFERROR(SUMPRODUCT(--("0"&amp;TRIM(RIGHT(SUBSTITUTE(TRIM(MID(SUBSTITUTE(SUBSTITUTE(Registro!$H71,";",CHAR(10)),CHAR(10),REPT(" ",LEN(Registro!$H71))),({1,2,3,4,5,6,7,8,9,10,11,12,13,14,15,16,17,18,19,20,21,22,23,24,25,26,27,28,29,30}-1)*LEN(Registro!$H71)+1,LEN(Registro!$H71)))," ",REPT(" ",50)),50)))),"Revisar formato"))</f>
        <v/>
      </c>
      <c r="J71" s="24" t="str">
        <f>IF(Registro!$I71="","",IFERROR(SUMPRODUCT(--("0"&amp;TRIM(RIGHT(SUBSTITUTE(TRIM(MID(SUBSTITUTE(SUBSTITUTE(Registro!$I71,";",CHAR(10)),CHAR(10),REPT(" ",LEN(Registro!$I71))),({1,2,3,4,5,6,7,8,9,10,11,12,13,14,15,16,17,18,19,20,21,22,23,24,25,26,27,28,29,30}-1)*LEN(Registro!$I71)+1,LEN(Registro!$I71)))," ",REPT(" ",50)),50)))),"Revisar formato"))</f>
        <v/>
      </c>
      <c r="K71" s="24" t="str">
        <f>IF(AND(Registro!$G71="",Registro!$H71=""),"",IF(AND(ISTEXT(I71),I71&lt;&gt;""),"Revisar formato",N(Registro!$G71)-N(I71)))</f>
        <v/>
      </c>
      <c r="L71" s="24" t="str">
        <f t="shared" si="3"/>
        <v/>
      </c>
      <c r="M71" s="36" t="str">
        <f>IF(AND(A71=Consulta!$B$3,C71=Consulta!$H$3),B71*10000+ROW(),"")</f>
        <v/>
      </c>
    </row>
    <row r="72" spans="1:13" x14ac:dyDescent="0.25">
      <c r="A72" s="21" t="str">
        <f>IF(Registro!$A72="","",Registro!$A72)</f>
        <v/>
      </c>
      <c r="B72" s="20" t="str">
        <f>IF(Registro!$B72="","",Registro!$B72)</f>
        <v/>
      </c>
      <c r="C72" s="35" t="str">
        <f t="shared" si="2"/>
        <v/>
      </c>
      <c r="D72" s="23" t="str">
        <f>IF(Registro!$E72="","",IF(ISERROR(FIND("x",LOWER(Registro!$E72))),"-",IFERROR(SUMPRODUCT(--("0"&amp;LEFT(TRIM(MID(SUBSTITUTE(SUBSTITUTE(SUBSTITUTE(SUBSTITUTE(SUBSTITUTE(LOWER(Registro!$E72),"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",LEN(Registro!$E72))),({1,2,3,4,5,6,7,8,9,10,11,12,13,14,15,16,17,18,19,20,21,22,23,24,25,26,27,28,29,30}-1)*LEN(Registro!$E72)+1,LEN(Registro!$E72))),FIND("x",TRIM(MID(SUBSTITUTE(SUBSTITUTE(SUBSTITUTE(SUBSTITUTE(SUBSTITUTE(LOWER(Registro!$E72),"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",LEN(Registro!$E72))),({1,2,3,4,5,6,7,8,9,10,11,12,13,14,15,16,17,18,19,20,21,22,23,24,25,26,27,28,29,30}-1)*LEN(Registro!$E72)+1,LEN(Registro!$E72)))&amp;"x")-1))),"Revisar formato")))</f>
        <v/>
      </c>
      <c r="E72" s="24" t="str">
        <f>IF(Registro!$E72="","",IF(ISERROR(FIND("x",LOWER(Registro!$E72))),"-",IFERROR(SUMPRODUCT(--("0"&amp;LEFT(TRIM(MID(SUBSTITUTE(SUBSTITUTE(SUBSTITUTE(SUBSTITUTE(SUBSTITUTE(LOWER(Registro!$E72),"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",LEN(Registro!$E72))),({1,2,3,4,5,6,7,8,9,10,11,12,13,14,15,16,17,18,19,20,21,22,23,24,25,26,27,28,29,30}-1)*LEN(Registro!$E72)+1,LEN(Registro!$E72))),FIND("x",TRIM(MID(SUBSTITUTE(SUBSTITUTE(SUBSTITUTE(SUBSTITUTE(SUBSTITUTE(LOWER(Registro!$E72),"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",LEN(Registro!$E72))),({1,2,3,4,5,6,7,8,9,10,11,12,13,14,15,16,17,18,19,20,21,22,23,24,25,26,27,28,29,30}-1)*LEN(Registro!$E72)+1,LEN(Registro!$E72)))&amp;"x")-1)),--("0"&amp;MID(TRIM(MID(SUBSTITUTE(SUBSTITUTE(SUBSTITUTE(SUBSTITUTE(SUBSTITUTE(LOWER(Registro!$E72),"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",LEN(Registro!$E72))),({1,2,3,4,5,6,7,8,9,10,11,12,13,14,15,16,17,18,19,20,21,22,23,24,25,26,27,28,29,30}-1)*LEN(Registro!$E72)+1,LEN(Registro!$E72))),FIND("x",TRIM(MID(SUBSTITUTE(SUBSTITUTE(SUBSTITUTE(SUBSTITUTE(SUBSTITUTE(LOWER(Registro!$E72),"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",LEN(Registro!$E72))),({1,2,3,4,5,6,7,8,9,10,11,12,13,14,15,16,17,18,19,20,21,22,23,24,25,26,27,28,29,30}-1)*LEN(Registro!$E72)+1,LEN(Registro!$E72)))&amp;"x")+1,20))),"Revisar formato")))</f>
        <v/>
      </c>
      <c r="F72" s="23" t="str">
        <f>IF(Registro!$F72="","",IF(ISERROR(FIND("x",LOWER(Registro!$F72))),"-",IFERROR(SUMPRODUCT(--("0"&amp;LEFT(TRIM(MID(SUBSTITUTE(SUBSTITUTE(SUBSTITUTE(SUBSTITUTE(SUBSTITUTE(LOWER(Registro!$F72)," ",""),CHAR(10),"|"),";","|"),"+","|"),"|",REPT(" ",LEN(Registro!$F72))),({1,2,3,4,5,6,7,8,9,10,11,12,13,14,15,16,17,18,19,20,21,22,23,24,25,26,27,28,29,30}-1)*LEN(Registro!$F72)+1,LEN(Registro!$F72))),FIND("x",TRIM(MID(SUBSTITUTE(SUBSTITUTE(SUBSTITUTE(SUBSTITUTE(SUBSTITUTE(LOWER(Registro!$F72)," ",""),CHAR(10),"|"),";","|"),"+","|"),"|",REPT(" ",LEN(Registro!$F72))),({1,2,3,4,5,6,7,8,9,10,11,12,13,14,15,16,17,18,19,20,21,22,23,24,25,26,27,28,29,30}-1)*LEN(Registro!$F72)+1,LEN(Registro!$F72)))&amp;"x")-1))),"Revisar formato")))</f>
        <v/>
      </c>
      <c r="G72" s="24" t="str">
        <f>IF(Registro!$F72="","",IF(ISERROR(FIND("x",LOWER(Registro!$F72))),N(Registro!$G72),IFERROR(SUMPRODUCT(--("0"&amp;LEFT(TRIM(MID(SUBSTITUTE(SUBSTITUTE(SUBSTITUTE(SUBSTITUTE(SUBSTITUTE(LOWER(Registro!$F72)," ",""),CHAR(10),"|"),";","|"),"+","|"),"|",REPT(" ",LEN(Registro!$F72))),({1,2,3,4,5,6,7,8,9,10,11,12,13,14,15,16,17,18,19,20,21,22,23,24,25,26,27,28,29,30}-1)*LEN(Registro!$F72)+1,LEN(Registro!$F72))),FIND("x",TRIM(MID(SUBSTITUTE(SUBSTITUTE(SUBSTITUTE(SUBSTITUTE(SUBSTITUTE(LOWER(Registro!$F72)," ",""),CHAR(10),"|"),";","|"),"+","|"),"|",REPT(" ",LEN(Registro!$F72))),({1,2,3,4,5,6,7,8,9,10,11,12,13,14,15,16,17,18,19,20,21,22,23,24,25,26,27,28,29,30}-1)*LEN(Registro!$F72)+1,LEN(Registro!$F72)))&amp;"x")-1)),--("0"&amp;MID(TRIM(MID(SUBSTITUTE(SUBSTITUTE(SUBSTITUTE(SUBSTITUTE(SUBSTITUTE(LOWER(Registro!$F72)," ",""),CHAR(10),"|"),";","|"),"+","|"),"|",REPT(" ",LEN(Registro!$F72))),({1,2,3,4,5,6,7,8,9,10,11,12,13,14,15,16,17,18,19,20,21,22,23,24,25,26,27,28,29,30}-1)*LEN(Registro!$F72)+1,LEN(Registro!$F72))),FIND("x",TRIM(MID(SUBSTITUTE(SUBSTITUTE(SUBSTITUTE(SUBSTITUTE(SUBSTITUTE(LOWER(Registro!$F72)," ",""),CHAR(10),"|"),";","|"),"+","|"),"|",REPT(" ",LEN(Registro!$F72))),({1,2,3,4,5,6,7,8,9,10,11,12,13,14,15,16,17,18,19,20,21,22,23,24,25,26,27,28,29,30}-1)*LEN(Registro!$F72)+1,LEN(Registro!$F72)))&amp;"x")+1,20))),"Revisar formato")))</f>
        <v/>
      </c>
      <c r="H72" s="21" t="str">
        <f>IF(AND(Registro!$E72="",Registro!$F72=""),"",IF(NOT(AND(ISNUMBER(G72),ISNUMBER(Registro!$G72))),"",IF(G72&lt;Registro!$G72,"FALTA BOLETOS",IF(G72=Registro!$G72,"CONFORME","DIFERENCIA"))))</f>
        <v/>
      </c>
      <c r="I72" s="24" t="str">
        <f>IF(Registro!$H72="","",IFERROR(SUMPRODUCT(--("0"&amp;TRIM(RIGHT(SUBSTITUTE(TRIM(MID(SUBSTITUTE(SUBSTITUTE(Registro!$H72,";",CHAR(10)),CHAR(10),REPT(" ",LEN(Registro!$H72))),({1,2,3,4,5,6,7,8,9,10,11,12,13,14,15,16,17,18,19,20,21,22,23,24,25,26,27,28,29,30}-1)*LEN(Registro!$H72)+1,LEN(Registro!$H72)))," ",REPT(" ",50)),50)))),"Revisar formato"))</f>
        <v/>
      </c>
      <c r="J72" s="24" t="str">
        <f>IF(Registro!$I72="","",IFERROR(SUMPRODUCT(--("0"&amp;TRIM(RIGHT(SUBSTITUTE(TRIM(MID(SUBSTITUTE(SUBSTITUTE(Registro!$I72,";",CHAR(10)),CHAR(10),REPT(" ",LEN(Registro!$I72))),({1,2,3,4,5,6,7,8,9,10,11,12,13,14,15,16,17,18,19,20,21,22,23,24,25,26,27,28,29,30}-1)*LEN(Registro!$I72)+1,LEN(Registro!$I72)))," ",REPT(" ",50)),50)))),"Revisar formato"))</f>
        <v/>
      </c>
      <c r="K72" s="24" t="str">
        <f>IF(AND(Registro!$G72="",Registro!$H72=""),"",IF(AND(ISTEXT(I72),I72&lt;&gt;""),"Revisar formato",N(Registro!$G72)-N(I72)))</f>
        <v/>
      </c>
      <c r="L72" s="24" t="str">
        <f t="shared" si="3"/>
        <v/>
      </c>
      <c r="M72" s="36" t="str">
        <f>IF(AND(A72=Consulta!$B$3,C72=Consulta!$H$3),B72*10000+ROW(),"")</f>
        <v/>
      </c>
    </row>
    <row r="73" spans="1:13" x14ac:dyDescent="0.25">
      <c r="A73" s="21" t="str">
        <f>IF(Registro!$A73="","",Registro!$A73)</f>
        <v/>
      </c>
      <c r="B73" s="20" t="str">
        <f>IF(Registro!$B73="","",Registro!$B73)</f>
        <v/>
      </c>
      <c r="C73" s="35" t="str">
        <f t="shared" si="2"/>
        <v/>
      </c>
      <c r="D73" s="23" t="str">
        <f>IF(Registro!$E73="","",IF(ISERROR(FIND("x",LOWER(Registro!$E73))),"-",IFERROR(SUMPRODUCT(--("0"&amp;LEFT(TRIM(MID(SUBSTITUTE(SUBSTITUTE(SUBSTITUTE(SUBSTITUTE(SUBSTITUTE(LOWER(Registro!$E73),"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",LEN(Registro!$E73))),({1,2,3,4,5,6,7,8,9,10,11,12,13,14,15,16,17,18,19,20,21,22,23,24,25,26,27,28,29,30}-1)*LEN(Registro!$E73)+1,LEN(Registro!$E73))),FIND("x",TRIM(MID(SUBSTITUTE(SUBSTITUTE(SUBSTITUTE(SUBSTITUTE(SUBSTITUTE(LOWER(Registro!$E73),"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",LEN(Registro!$E73))),({1,2,3,4,5,6,7,8,9,10,11,12,13,14,15,16,17,18,19,20,21,22,23,24,25,26,27,28,29,30}-1)*LEN(Registro!$E73)+1,LEN(Registro!$E73)))&amp;"x")-1))),"Revisar formato")))</f>
        <v/>
      </c>
      <c r="E73" s="24" t="str">
        <f>IF(Registro!$E73="","",IF(ISERROR(FIND("x",LOWER(Registro!$E73))),"-",IFERROR(SUMPRODUCT(--("0"&amp;LEFT(TRIM(MID(SUBSTITUTE(SUBSTITUTE(SUBSTITUTE(SUBSTITUTE(SUBSTITUTE(LOWER(Registro!$E73),"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",LEN(Registro!$E73))),({1,2,3,4,5,6,7,8,9,10,11,12,13,14,15,16,17,18,19,20,21,22,23,24,25,26,27,28,29,30}-1)*LEN(Registro!$E73)+1,LEN(Registro!$E73))),FIND("x",TRIM(MID(SUBSTITUTE(SUBSTITUTE(SUBSTITUTE(SUBSTITUTE(SUBSTITUTE(LOWER(Registro!$E73),"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",LEN(Registro!$E73))),({1,2,3,4,5,6,7,8,9,10,11,12,13,14,15,16,17,18,19,20,21,22,23,24,25,26,27,28,29,30}-1)*LEN(Registro!$E73)+1,LEN(Registro!$E73)))&amp;"x")-1)),--("0"&amp;MID(TRIM(MID(SUBSTITUTE(SUBSTITUTE(SUBSTITUTE(SUBSTITUTE(SUBSTITUTE(LOWER(Registro!$E73),"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",LEN(Registro!$E73))),({1,2,3,4,5,6,7,8,9,10,11,12,13,14,15,16,17,18,19,20,21,22,23,24,25,26,27,28,29,30}-1)*LEN(Registro!$E73)+1,LEN(Registro!$E73))),FIND("x",TRIM(MID(SUBSTITUTE(SUBSTITUTE(SUBSTITUTE(SUBSTITUTE(SUBSTITUTE(LOWER(Registro!$E73),"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",LEN(Registro!$E73))),({1,2,3,4,5,6,7,8,9,10,11,12,13,14,15,16,17,18,19,20,21,22,23,24,25,26,27,28,29,30}-1)*LEN(Registro!$E73)+1,LEN(Registro!$E73)))&amp;"x")+1,20))),"Revisar formato")))</f>
        <v/>
      </c>
      <c r="F73" s="23" t="str">
        <f>IF(Registro!$F73="","",IF(ISERROR(FIND("x",LOWER(Registro!$F73))),"-",IFERROR(SUMPRODUCT(--("0"&amp;LEFT(TRIM(MID(SUBSTITUTE(SUBSTITUTE(SUBSTITUTE(SUBSTITUTE(SUBSTITUTE(LOWER(Registro!$F73)," ",""),CHAR(10),"|"),";","|"),"+","|"),"|",REPT(" ",LEN(Registro!$F73))),({1,2,3,4,5,6,7,8,9,10,11,12,13,14,15,16,17,18,19,20,21,22,23,24,25,26,27,28,29,30}-1)*LEN(Registro!$F73)+1,LEN(Registro!$F73))),FIND("x",TRIM(MID(SUBSTITUTE(SUBSTITUTE(SUBSTITUTE(SUBSTITUTE(SUBSTITUTE(LOWER(Registro!$F73)," ",""),CHAR(10),"|"),";","|"),"+","|"),"|",REPT(" ",LEN(Registro!$F73))),({1,2,3,4,5,6,7,8,9,10,11,12,13,14,15,16,17,18,19,20,21,22,23,24,25,26,27,28,29,30}-1)*LEN(Registro!$F73)+1,LEN(Registro!$F73)))&amp;"x")-1))),"Revisar formato")))</f>
        <v/>
      </c>
      <c r="G73" s="24" t="str">
        <f>IF(Registro!$F73="","",IF(ISERROR(FIND("x",LOWER(Registro!$F73))),N(Registro!$G73),IFERROR(SUMPRODUCT(--("0"&amp;LEFT(TRIM(MID(SUBSTITUTE(SUBSTITUTE(SUBSTITUTE(SUBSTITUTE(SUBSTITUTE(LOWER(Registro!$F73)," ",""),CHAR(10),"|"),";","|"),"+","|"),"|",REPT(" ",LEN(Registro!$F73))),({1,2,3,4,5,6,7,8,9,10,11,12,13,14,15,16,17,18,19,20,21,22,23,24,25,26,27,28,29,30}-1)*LEN(Registro!$F73)+1,LEN(Registro!$F73))),FIND("x",TRIM(MID(SUBSTITUTE(SUBSTITUTE(SUBSTITUTE(SUBSTITUTE(SUBSTITUTE(LOWER(Registro!$F73)," ",""),CHAR(10),"|"),";","|"),"+","|"),"|",REPT(" ",LEN(Registro!$F73))),({1,2,3,4,5,6,7,8,9,10,11,12,13,14,15,16,17,18,19,20,21,22,23,24,25,26,27,28,29,30}-1)*LEN(Registro!$F73)+1,LEN(Registro!$F73)))&amp;"x")-1)),--("0"&amp;MID(TRIM(MID(SUBSTITUTE(SUBSTITUTE(SUBSTITUTE(SUBSTITUTE(SUBSTITUTE(LOWER(Registro!$F73)," ",""),CHAR(10),"|"),";","|"),"+","|"),"|",REPT(" ",LEN(Registro!$F73))),({1,2,3,4,5,6,7,8,9,10,11,12,13,14,15,16,17,18,19,20,21,22,23,24,25,26,27,28,29,30}-1)*LEN(Registro!$F73)+1,LEN(Registro!$F73))),FIND("x",TRIM(MID(SUBSTITUTE(SUBSTITUTE(SUBSTITUTE(SUBSTITUTE(SUBSTITUTE(LOWER(Registro!$F73)," ",""),CHAR(10),"|"),";","|"),"+","|"),"|",REPT(" ",LEN(Registro!$F73))),({1,2,3,4,5,6,7,8,9,10,11,12,13,14,15,16,17,18,19,20,21,22,23,24,25,26,27,28,29,30}-1)*LEN(Registro!$F73)+1,LEN(Registro!$F73)))&amp;"x")+1,20))),"Revisar formato")))</f>
        <v/>
      </c>
      <c r="H73" s="21" t="str">
        <f>IF(AND(Registro!$E73="",Registro!$F73=""),"",IF(NOT(AND(ISNUMBER(G73),ISNUMBER(Registro!$G73))),"",IF(G73&lt;Registro!$G73,"FALTA BOLETOS",IF(G73=Registro!$G73,"CONFORME","DIFERENCIA"))))</f>
        <v/>
      </c>
      <c r="I73" s="24" t="str">
        <f>IF(Registro!$H73="","",IFERROR(SUMPRODUCT(--("0"&amp;TRIM(RIGHT(SUBSTITUTE(TRIM(MID(SUBSTITUTE(SUBSTITUTE(Registro!$H73,";",CHAR(10)),CHAR(10),REPT(" ",LEN(Registro!$H73))),({1,2,3,4,5,6,7,8,9,10,11,12,13,14,15,16,17,18,19,20,21,22,23,24,25,26,27,28,29,30}-1)*LEN(Registro!$H73)+1,LEN(Registro!$H73)))," ",REPT(" ",50)),50)))),"Revisar formato"))</f>
        <v/>
      </c>
      <c r="J73" s="24" t="str">
        <f>IF(Registro!$I73="","",IFERROR(SUMPRODUCT(--("0"&amp;TRIM(RIGHT(SUBSTITUTE(TRIM(MID(SUBSTITUTE(SUBSTITUTE(Registro!$I73,";",CHAR(10)),CHAR(10),REPT(" ",LEN(Registro!$I73))),({1,2,3,4,5,6,7,8,9,10,11,12,13,14,15,16,17,18,19,20,21,22,23,24,25,26,27,28,29,30}-1)*LEN(Registro!$I73)+1,LEN(Registro!$I73)))," ",REPT(" ",50)),50)))),"Revisar formato"))</f>
        <v/>
      </c>
      <c r="K73" s="24" t="str">
        <f>IF(AND(Registro!$G73="",Registro!$H73=""),"",IF(AND(ISTEXT(I73),I73&lt;&gt;""),"Revisar formato",N(Registro!$G73)-N(I73)))</f>
        <v/>
      </c>
      <c r="L73" s="24" t="str">
        <f t="shared" si="3"/>
        <v/>
      </c>
      <c r="M73" s="36" t="str">
        <f>IF(AND(A73=Consulta!$B$3,C73=Consulta!$H$3),B73*10000+ROW(),"")</f>
        <v/>
      </c>
    </row>
    <row r="74" spans="1:13" x14ac:dyDescent="0.25">
      <c r="A74" s="21" t="str">
        <f>IF(Registro!$A74="","",Registro!$A74)</f>
        <v/>
      </c>
      <c r="B74" s="20" t="str">
        <f>IF(Registro!$B74="","",Registro!$B74)</f>
        <v/>
      </c>
      <c r="C74" s="35" t="str">
        <f t="shared" si="2"/>
        <v/>
      </c>
      <c r="D74" s="23" t="str">
        <f>IF(Registro!$E74="","",IF(ISERROR(FIND("x",LOWER(Registro!$E74))),"-",IFERROR(SUMPRODUCT(--("0"&amp;LEFT(TRIM(MID(SUBSTITUTE(SUBSTITUTE(SUBSTITUTE(SUBSTITUTE(SUBSTITUTE(LOWER(Registro!$E74),"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",LEN(Registro!$E74))),({1,2,3,4,5,6,7,8,9,10,11,12,13,14,15,16,17,18,19,20,21,22,23,24,25,26,27,28,29,30}-1)*LEN(Registro!$E74)+1,LEN(Registro!$E74))),FIND("x",TRIM(MID(SUBSTITUTE(SUBSTITUTE(SUBSTITUTE(SUBSTITUTE(SUBSTITUTE(LOWER(Registro!$E74),"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",LEN(Registro!$E74))),({1,2,3,4,5,6,7,8,9,10,11,12,13,14,15,16,17,18,19,20,21,22,23,24,25,26,27,28,29,30}-1)*LEN(Registro!$E74)+1,LEN(Registro!$E74)))&amp;"x")-1))),"Revisar formato")))</f>
        <v/>
      </c>
      <c r="E74" s="24" t="str">
        <f>IF(Registro!$E74="","",IF(ISERROR(FIND("x",LOWER(Registro!$E74))),"-",IFERROR(SUMPRODUCT(--("0"&amp;LEFT(TRIM(MID(SUBSTITUTE(SUBSTITUTE(SUBSTITUTE(SUBSTITUTE(SUBSTITUTE(LOWER(Registro!$E74),"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",LEN(Registro!$E74))),({1,2,3,4,5,6,7,8,9,10,11,12,13,14,15,16,17,18,19,20,21,22,23,24,25,26,27,28,29,30}-1)*LEN(Registro!$E74)+1,LEN(Registro!$E74))),FIND("x",TRIM(MID(SUBSTITUTE(SUBSTITUTE(SUBSTITUTE(SUBSTITUTE(SUBSTITUTE(LOWER(Registro!$E74),"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",LEN(Registro!$E74))),({1,2,3,4,5,6,7,8,9,10,11,12,13,14,15,16,17,18,19,20,21,22,23,24,25,26,27,28,29,30}-1)*LEN(Registro!$E74)+1,LEN(Registro!$E74)))&amp;"x")-1)),--("0"&amp;MID(TRIM(MID(SUBSTITUTE(SUBSTITUTE(SUBSTITUTE(SUBSTITUTE(SUBSTITUTE(LOWER(Registro!$E74),"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",LEN(Registro!$E74))),({1,2,3,4,5,6,7,8,9,10,11,12,13,14,15,16,17,18,19,20,21,22,23,24,25,26,27,28,29,30}-1)*LEN(Registro!$E74)+1,LEN(Registro!$E74))),FIND("x",TRIM(MID(SUBSTITUTE(SUBSTITUTE(SUBSTITUTE(SUBSTITUTE(SUBSTITUTE(LOWER(Registro!$E74),"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",LEN(Registro!$E74))),({1,2,3,4,5,6,7,8,9,10,11,12,13,14,15,16,17,18,19,20,21,22,23,24,25,26,27,28,29,30}-1)*LEN(Registro!$E74)+1,LEN(Registro!$E74)))&amp;"x")+1,20))),"Revisar formato")))</f>
        <v/>
      </c>
      <c r="F74" s="23" t="str">
        <f>IF(Registro!$F74="","",IF(ISERROR(FIND("x",LOWER(Registro!$F74))),"-",IFERROR(SUMPRODUCT(--("0"&amp;LEFT(TRIM(MID(SUBSTITUTE(SUBSTITUTE(SUBSTITUTE(SUBSTITUTE(SUBSTITUTE(LOWER(Registro!$F74)," ",""),CHAR(10),"|"),";","|"),"+","|"),"|",REPT(" ",LEN(Registro!$F74))),({1,2,3,4,5,6,7,8,9,10,11,12,13,14,15,16,17,18,19,20,21,22,23,24,25,26,27,28,29,30}-1)*LEN(Registro!$F74)+1,LEN(Registro!$F74))),FIND("x",TRIM(MID(SUBSTITUTE(SUBSTITUTE(SUBSTITUTE(SUBSTITUTE(SUBSTITUTE(LOWER(Registro!$F74)," ",""),CHAR(10),"|"),";","|"),"+","|"),"|",REPT(" ",LEN(Registro!$F74))),({1,2,3,4,5,6,7,8,9,10,11,12,13,14,15,16,17,18,19,20,21,22,23,24,25,26,27,28,29,30}-1)*LEN(Registro!$F74)+1,LEN(Registro!$F74)))&amp;"x")-1))),"Revisar formato")))</f>
        <v/>
      </c>
      <c r="G74" s="24" t="str">
        <f>IF(Registro!$F74="","",IF(ISERROR(FIND("x",LOWER(Registro!$F74))),N(Registro!$G74),IFERROR(SUMPRODUCT(--("0"&amp;LEFT(TRIM(MID(SUBSTITUTE(SUBSTITUTE(SUBSTITUTE(SUBSTITUTE(SUBSTITUTE(LOWER(Registro!$F74)," ",""),CHAR(10),"|"),";","|"),"+","|"),"|",REPT(" ",LEN(Registro!$F74))),({1,2,3,4,5,6,7,8,9,10,11,12,13,14,15,16,17,18,19,20,21,22,23,24,25,26,27,28,29,30}-1)*LEN(Registro!$F74)+1,LEN(Registro!$F74))),FIND("x",TRIM(MID(SUBSTITUTE(SUBSTITUTE(SUBSTITUTE(SUBSTITUTE(SUBSTITUTE(LOWER(Registro!$F74)," ",""),CHAR(10),"|"),";","|"),"+","|"),"|",REPT(" ",LEN(Registro!$F74))),({1,2,3,4,5,6,7,8,9,10,11,12,13,14,15,16,17,18,19,20,21,22,23,24,25,26,27,28,29,30}-1)*LEN(Registro!$F74)+1,LEN(Registro!$F74)))&amp;"x")-1)),--("0"&amp;MID(TRIM(MID(SUBSTITUTE(SUBSTITUTE(SUBSTITUTE(SUBSTITUTE(SUBSTITUTE(LOWER(Registro!$F74)," ",""),CHAR(10),"|"),";","|"),"+","|"),"|",REPT(" ",LEN(Registro!$F74))),({1,2,3,4,5,6,7,8,9,10,11,12,13,14,15,16,17,18,19,20,21,22,23,24,25,26,27,28,29,30}-1)*LEN(Registro!$F74)+1,LEN(Registro!$F74))),FIND("x",TRIM(MID(SUBSTITUTE(SUBSTITUTE(SUBSTITUTE(SUBSTITUTE(SUBSTITUTE(LOWER(Registro!$F74)," ",""),CHAR(10),"|"),";","|"),"+","|"),"|",REPT(" ",LEN(Registro!$F74))),({1,2,3,4,5,6,7,8,9,10,11,12,13,14,15,16,17,18,19,20,21,22,23,24,25,26,27,28,29,30}-1)*LEN(Registro!$F74)+1,LEN(Registro!$F74)))&amp;"x")+1,20))),"Revisar formato")))</f>
        <v/>
      </c>
      <c r="H74" s="21" t="str">
        <f>IF(AND(Registro!$E74="",Registro!$F74=""),"",IF(NOT(AND(ISNUMBER(G74),ISNUMBER(Registro!$G74))),"",IF(G74&lt;Registro!$G74,"FALTA BOLETOS",IF(G74=Registro!$G74,"CONFORME","DIFERENCIA"))))</f>
        <v/>
      </c>
      <c r="I74" s="24" t="str">
        <f>IF(Registro!$H74="","",IFERROR(SUMPRODUCT(--("0"&amp;TRIM(RIGHT(SUBSTITUTE(TRIM(MID(SUBSTITUTE(SUBSTITUTE(Registro!$H74,";",CHAR(10)),CHAR(10),REPT(" ",LEN(Registro!$H74))),({1,2,3,4,5,6,7,8,9,10,11,12,13,14,15,16,17,18,19,20,21,22,23,24,25,26,27,28,29,30}-1)*LEN(Registro!$H74)+1,LEN(Registro!$H74)))," ",REPT(" ",50)),50)))),"Revisar formato"))</f>
        <v/>
      </c>
      <c r="J74" s="24" t="str">
        <f>IF(Registro!$I74="","",IFERROR(SUMPRODUCT(--("0"&amp;TRIM(RIGHT(SUBSTITUTE(TRIM(MID(SUBSTITUTE(SUBSTITUTE(Registro!$I74,";",CHAR(10)),CHAR(10),REPT(" ",LEN(Registro!$I74))),({1,2,3,4,5,6,7,8,9,10,11,12,13,14,15,16,17,18,19,20,21,22,23,24,25,26,27,28,29,30}-1)*LEN(Registro!$I74)+1,LEN(Registro!$I74)))," ",REPT(" ",50)),50)))),"Revisar formato"))</f>
        <v/>
      </c>
      <c r="K74" s="24" t="str">
        <f>IF(AND(Registro!$G74="",Registro!$H74=""),"",IF(AND(ISTEXT(I74),I74&lt;&gt;""),"Revisar formato",N(Registro!$G74)-N(I74)))</f>
        <v/>
      </c>
      <c r="L74" s="24" t="str">
        <f t="shared" si="3"/>
        <v/>
      </c>
      <c r="M74" s="36" t="str">
        <f>IF(AND(A74=Consulta!$B$3,C74=Consulta!$H$3),B74*10000+ROW(),"")</f>
        <v/>
      </c>
    </row>
    <row r="75" spans="1:13" x14ac:dyDescent="0.25">
      <c r="A75" s="21" t="str">
        <f>IF(Registro!$A75="","",Registro!$A75)</f>
        <v/>
      </c>
      <c r="B75" s="20" t="str">
        <f>IF(Registro!$B75="","",Registro!$B75)</f>
        <v/>
      </c>
      <c r="C75" s="35" t="str">
        <f t="shared" si="2"/>
        <v/>
      </c>
      <c r="D75" s="23" t="str">
        <f>IF(Registro!$E75="","",IF(ISERROR(FIND("x",LOWER(Registro!$E75))),"-",IFERROR(SUMPRODUCT(--("0"&amp;LEFT(TRIM(MID(SUBSTITUTE(SUBSTITUTE(SUBSTITUTE(SUBSTITUTE(SUBSTITUTE(LOWER(Registro!$E75),"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",LEN(Registro!$E75))),({1,2,3,4,5,6,7,8,9,10,11,12,13,14,15,16,17,18,19,20,21,22,23,24,25,26,27,28,29,30}-1)*LEN(Registro!$E75)+1,LEN(Registro!$E75))),FIND("x",TRIM(MID(SUBSTITUTE(SUBSTITUTE(SUBSTITUTE(SUBSTITUTE(SUBSTITUTE(LOWER(Registro!$E75),"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",LEN(Registro!$E75))),({1,2,3,4,5,6,7,8,9,10,11,12,13,14,15,16,17,18,19,20,21,22,23,24,25,26,27,28,29,30}-1)*LEN(Registro!$E75)+1,LEN(Registro!$E75)))&amp;"x")-1))),"Revisar formato")))</f>
        <v/>
      </c>
      <c r="E75" s="24" t="str">
        <f>IF(Registro!$E75="","",IF(ISERROR(FIND("x",LOWER(Registro!$E75))),"-",IFERROR(SUMPRODUCT(--("0"&amp;LEFT(TRIM(MID(SUBSTITUTE(SUBSTITUTE(SUBSTITUTE(SUBSTITUTE(SUBSTITUTE(LOWER(Registro!$E75),"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",LEN(Registro!$E75))),({1,2,3,4,5,6,7,8,9,10,11,12,13,14,15,16,17,18,19,20,21,22,23,24,25,26,27,28,29,30}-1)*LEN(Registro!$E75)+1,LEN(Registro!$E75))),FIND("x",TRIM(MID(SUBSTITUTE(SUBSTITUTE(SUBSTITUTE(SUBSTITUTE(SUBSTITUTE(LOWER(Registro!$E75),"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",LEN(Registro!$E75))),({1,2,3,4,5,6,7,8,9,10,11,12,13,14,15,16,17,18,19,20,21,22,23,24,25,26,27,28,29,30}-1)*LEN(Registro!$E75)+1,LEN(Registro!$E75)))&amp;"x")-1)),--("0"&amp;MID(TRIM(MID(SUBSTITUTE(SUBSTITUTE(SUBSTITUTE(SUBSTITUTE(SUBSTITUTE(LOWER(Registro!$E75),"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",LEN(Registro!$E75))),({1,2,3,4,5,6,7,8,9,10,11,12,13,14,15,16,17,18,19,20,21,22,23,24,25,26,27,28,29,30}-1)*LEN(Registro!$E75)+1,LEN(Registro!$E75))),FIND("x",TRIM(MID(SUBSTITUTE(SUBSTITUTE(SUBSTITUTE(SUBSTITUTE(SUBSTITUTE(LOWER(Registro!$E75),"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",LEN(Registro!$E75))),({1,2,3,4,5,6,7,8,9,10,11,12,13,14,15,16,17,18,19,20,21,22,23,24,25,26,27,28,29,30}-1)*LEN(Registro!$E75)+1,LEN(Registro!$E75)))&amp;"x")+1,20))),"Revisar formato")))</f>
        <v/>
      </c>
      <c r="F75" s="23" t="str">
        <f>IF(Registro!$F75="","",IF(ISERROR(FIND("x",LOWER(Registro!$F75))),"-",IFERROR(SUMPRODUCT(--("0"&amp;LEFT(TRIM(MID(SUBSTITUTE(SUBSTITUTE(SUBSTITUTE(SUBSTITUTE(SUBSTITUTE(LOWER(Registro!$F75)," ",""),CHAR(10),"|"),";","|"),"+","|"),"|",REPT(" ",LEN(Registro!$F75))),({1,2,3,4,5,6,7,8,9,10,11,12,13,14,15,16,17,18,19,20,21,22,23,24,25,26,27,28,29,30}-1)*LEN(Registro!$F75)+1,LEN(Registro!$F75))),FIND("x",TRIM(MID(SUBSTITUTE(SUBSTITUTE(SUBSTITUTE(SUBSTITUTE(SUBSTITUTE(LOWER(Registro!$F75)," ",""),CHAR(10),"|"),";","|"),"+","|"),"|",REPT(" ",LEN(Registro!$F75))),({1,2,3,4,5,6,7,8,9,10,11,12,13,14,15,16,17,18,19,20,21,22,23,24,25,26,27,28,29,30}-1)*LEN(Registro!$F75)+1,LEN(Registro!$F75)))&amp;"x")-1))),"Revisar formato")))</f>
        <v/>
      </c>
      <c r="G75" s="24" t="str">
        <f>IF(Registro!$F75="","",IF(ISERROR(FIND("x",LOWER(Registro!$F75))),N(Registro!$G75),IFERROR(SUMPRODUCT(--("0"&amp;LEFT(TRIM(MID(SUBSTITUTE(SUBSTITUTE(SUBSTITUTE(SUBSTITUTE(SUBSTITUTE(LOWER(Registro!$F75)," ",""),CHAR(10),"|"),";","|"),"+","|"),"|",REPT(" ",LEN(Registro!$F75))),({1,2,3,4,5,6,7,8,9,10,11,12,13,14,15,16,17,18,19,20,21,22,23,24,25,26,27,28,29,30}-1)*LEN(Registro!$F75)+1,LEN(Registro!$F75))),FIND("x",TRIM(MID(SUBSTITUTE(SUBSTITUTE(SUBSTITUTE(SUBSTITUTE(SUBSTITUTE(LOWER(Registro!$F75)," ",""),CHAR(10),"|"),";","|"),"+","|"),"|",REPT(" ",LEN(Registro!$F75))),({1,2,3,4,5,6,7,8,9,10,11,12,13,14,15,16,17,18,19,20,21,22,23,24,25,26,27,28,29,30}-1)*LEN(Registro!$F75)+1,LEN(Registro!$F75)))&amp;"x")-1)),--("0"&amp;MID(TRIM(MID(SUBSTITUTE(SUBSTITUTE(SUBSTITUTE(SUBSTITUTE(SUBSTITUTE(LOWER(Registro!$F75)," ",""),CHAR(10),"|"),";","|"),"+","|"),"|",REPT(" ",LEN(Registro!$F75))),({1,2,3,4,5,6,7,8,9,10,11,12,13,14,15,16,17,18,19,20,21,22,23,24,25,26,27,28,29,30}-1)*LEN(Registro!$F75)+1,LEN(Registro!$F75))),FIND("x",TRIM(MID(SUBSTITUTE(SUBSTITUTE(SUBSTITUTE(SUBSTITUTE(SUBSTITUTE(LOWER(Registro!$F75)," ",""),CHAR(10),"|"),";","|"),"+","|"),"|",REPT(" ",LEN(Registro!$F75))),({1,2,3,4,5,6,7,8,9,10,11,12,13,14,15,16,17,18,19,20,21,22,23,24,25,26,27,28,29,30}-1)*LEN(Registro!$F75)+1,LEN(Registro!$F75)))&amp;"x")+1,20))),"Revisar formato")))</f>
        <v/>
      </c>
      <c r="H75" s="21" t="str">
        <f>IF(AND(Registro!$E75="",Registro!$F75=""),"",IF(NOT(AND(ISNUMBER(G75),ISNUMBER(Registro!$G75))),"",IF(G75&lt;Registro!$G75,"FALTA BOLETOS",IF(G75=Registro!$G75,"CONFORME","DIFERENCIA"))))</f>
        <v/>
      </c>
      <c r="I75" s="24" t="str">
        <f>IF(Registro!$H75="","",IFERROR(SUMPRODUCT(--("0"&amp;TRIM(RIGHT(SUBSTITUTE(TRIM(MID(SUBSTITUTE(SUBSTITUTE(Registro!$H75,";",CHAR(10)),CHAR(10),REPT(" ",LEN(Registro!$H75))),({1,2,3,4,5,6,7,8,9,10,11,12,13,14,15,16,17,18,19,20,21,22,23,24,25,26,27,28,29,30}-1)*LEN(Registro!$H75)+1,LEN(Registro!$H75)))," ",REPT(" ",50)),50)))),"Revisar formato"))</f>
        <v/>
      </c>
      <c r="J75" s="24" t="str">
        <f>IF(Registro!$I75="","",IFERROR(SUMPRODUCT(--("0"&amp;TRIM(RIGHT(SUBSTITUTE(TRIM(MID(SUBSTITUTE(SUBSTITUTE(Registro!$I75,";",CHAR(10)),CHAR(10),REPT(" ",LEN(Registro!$I75))),({1,2,3,4,5,6,7,8,9,10,11,12,13,14,15,16,17,18,19,20,21,22,23,24,25,26,27,28,29,30}-1)*LEN(Registro!$I75)+1,LEN(Registro!$I75)))," ",REPT(" ",50)),50)))),"Revisar formato"))</f>
        <v/>
      </c>
      <c r="K75" s="24" t="str">
        <f>IF(AND(Registro!$G75="",Registro!$H75=""),"",IF(AND(ISTEXT(I75),I75&lt;&gt;""),"Revisar formato",N(Registro!$G75)-N(I75)))</f>
        <v/>
      </c>
      <c r="L75" s="24" t="str">
        <f t="shared" si="3"/>
        <v/>
      </c>
      <c r="M75" s="36" t="str">
        <f>IF(AND(A75=Consulta!$B$3,C75=Consulta!$H$3),B75*10000+ROW(),"")</f>
        <v/>
      </c>
    </row>
    <row r="76" spans="1:13" x14ac:dyDescent="0.25">
      <c r="A76" s="21" t="str">
        <f>IF(Registro!$A76="","",Registro!$A76)</f>
        <v/>
      </c>
      <c r="B76" s="20" t="str">
        <f>IF(Registro!$B76="","",Registro!$B76)</f>
        <v/>
      </c>
      <c r="C76" s="35" t="str">
        <f t="shared" si="2"/>
        <v/>
      </c>
      <c r="D76" s="23" t="str">
        <f>IF(Registro!$E76="","",IF(ISERROR(FIND("x",LOWER(Registro!$E76))),"-",IFERROR(SUMPRODUCT(--("0"&amp;LEFT(TRIM(MID(SUBSTITUTE(SUBSTITUTE(SUBSTITUTE(SUBSTITUTE(SUBSTITUTE(LOWER(Registro!$E76),"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",LEN(Registro!$E76))),({1,2,3,4,5,6,7,8,9,10,11,12,13,14,15,16,17,18,19,20,21,22,23,24,25,26,27,28,29,30}-1)*LEN(Registro!$E76)+1,LEN(Registro!$E76))),FIND("x",TRIM(MID(SUBSTITUTE(SUBSTITUTE(SUBSTITUTE(SUBSTITUTE(SUBSTITUTE(LOWER(Registro!$E76),"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",LEN(Registro!$E76))),({1,2,3,4,5,6,7,8,9,10,11,12,13,14,15,16,17,18,19,20,21,22,23,24,25,26,27,28,29,30}-1)*LEN(Registro!$E76)+1,LEN(Registro!$E76)))&amp;"x")-1))),"Revisar formato")))</f>
        <v/>
      </c>
      <c r="E76" s="24" t="str">
        <f>IF(Registro!$E76="","",IF(ISERROR(FIND("x",LOWER(Registro!$E76))),"-",IFERROR(SUMPRODUCT(--("0"&amp;LEFT(TRIM(MID(SUBSTITUTE(SUBSTITUTE(SUBSTITUTE(SUBSTITUTE(SUBSTITUTE(LOWER(Registro!$E76),"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",LEN(Registro!$E76))),({1,2,3,4,5,6,7,8,9,10,11,12,13,14,15,16,17,18,19,20,21,22,23,24,25,26,27,28,29,30}-1)*LEN(Registro!$E76)+1,LEN(Registro!$E76))),FIND("x",TRIM(MID(SUBSTITUTE(SUBSTITUTE(SUBSTITUTE(SUBSTITUTE(SUBSTITUTE(LOWER(Registro!$E76),"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",LEN(Registro!$E76))),({1,2,3,4,5,6,7,8,9,10,11,12,13,14,15,16,17,18,19,20,21,22,23,24,25,26,27,28,29,30}-1)*LEN(Registro!$E76)+1,LEN(Registro!$E76)))&amp;"x")-1)),--("0"&amp;MID(TRIM(MID(SUBSTITUTE(SUBSTITUTE(SUBSTITUTE(SUBSTITUTE(SUBSTITUTE(LOWER(Registro!$E76),"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",LEN(Registro!$E76))),({1,2,3,4,5,6,7,8,9,10,11,12,13,14,15,16,17,18,19,20,21,22,23,24,25,26,27,28,29,30}-1)*LEN(Registro!$E76)+1,LEN(Registro!$E76))),FIND("x",TRIM(MID(SUBSTITUTE(SUBSTITUTE(SUBSTITUTE(SUBSTITUTE(SUBSTITUTE(LOWER(Registro!$E76),"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",LEN(Registro!$E76))),({1,2,3,4,5,6,7,8,9,10,11,12,13,14,15,16,17,18,19,20,21,22,23,24,25,26,27,28,29,30}-1)*LEN(Registro!$E76)+1,LEN(Registro!$E76)))&amp;"x")+1,20))),"Revisar formato")))</f>
        <v/>
      </c>
      <c r="F76" s="23" t="str">
        <f>IF(Registro!$F76="","",IF(ISERROR(FIND("x",LOWER(Registro!$F76))),"-",IFERROR(SUMPRODUCT(--("0"&amp;LEFT(TRIM(MID(SUBSTITUTE(SUBSTITUTE(SUBSTITUTE(SUBSTITUTE(SUBSTITUTE(LOWER(Registro!$F76)," ",""),CHAR(10),"|"),";","|"),"+","|"),"|",REPT(" ",LEN(Registro!$F76))),({1,2,3,4,5,6,7,8,9,10,11,12,13,14,15,16,17,18,19,20,21,22,23,24,25,26,27,28,29,30}-1)*LEN(Registro!$F76)+1,LEN(Registro!$F76))),FIND("x",TRIM(MID(SUBSTITUTE(SUBSTITUTE(SUBSTITUTE(SUBSTITUTE(SUBSTITUTE(LOWER(Registro!$F76)," ",""),CHAR(10),"|"),";","|"),"+","|"),"|",REPT(" ",LEN(Registro!$F76))),({1,2,3,4,5,6,7,8,9,10,11,12,13,14,15,16,17,18,19,20,21,22,23,24,25,26,27,28,29,30}-1)*LEN(Registro!$F76)+1,LEN(Registro!$F76)))&amp;"x")-1))),"Revisar formato")))</f>
        <v/>
      </c>
      <c r="G76" s="24" t="str">
        <f>IF(Registro!$F76="","",IF(ISERROR(FIND("x",LOWER(Registro!$F76))),N(Registro!$G76),IFERROR(SUMPRODUCT(--("0"&amp;LEFT(TRIM(MID(SUBSTITUTE(SUBSTITUTE(SUBSTITUTE(SUBSTITUTE(SUBSTITUTE(LOWER(Registro!$F76)," ",""),CHAR(10),"|"),";","|"),"+","|"),"|",REPT(" ",LEN(Registro!$F76))),({1,2,3,4,5,6,7,8,9,10,11,12,13,14,15,16,17,18,19,20,21,22,23,24,25,26,27,28,29,30}-1)*LEN(Registro!$F76)+1,LEN(Registro!$F76))),FIND("x",TRIM(MID(SUBSTITUTE(SUBSTITUTE(SUBSTITUTE(SUBSTITUTE(SUBSTITUTE(LOWER(Registro!$F76)," ",""),CHAR(10),"|"),";","|"),"+","|"),"|",REPT(" ",LEN(Registro!$F76))),({1,2,3,4,5,6,7,8,9,10,11,12,13,14,15,16,17,18,19,20,21,22,23,24,25,26,27,28,29,30}-1)*LEN(Registro!$F76)+1,LEN(Registro!$F76)))&amp;"x")-1)),--("0"&amp;MID(TRIM(MID(SUBSTITUTE(SUBSTITUTE(SUBSTITUTE(SUBSTITUTE(SUBSTITUTE(LOWER(Registro!$F76)," ",""),CHAR(10),"|"),";","|"),"+","|"),"|",REPT(" ",LEN(Registro!$F76))),({1,2,3,4,5,6,7,8,9,10,11,12,13,14,15,16,17,18,19,20,21,22,23,24,25,26,27,28,29,30}-1)*LEN(Registro!$F76)+1,LEN(Registro!$F76))),FIND("x",TRIM(MID(SUBSTITUTE(SUBSTITUTE(SUBSTITUTE(SUBSTITUTE(SUBSTITUTE(LOWER(Registro!$F76)," ",""),CHAR(10),"|"),";","|"),"+","|"),"|",REPT(" ",LEN(Registro!$F76))),({1,2,3,4,5,6,7,8,9,10,11,12,13,14,15,16,17,18,19,20,21,22,23,24,25,26,27,28,29,30}-1)*LEN(Registro!$F76)+1,LEN(Registro!$F76)))&amp;"x")+1,20))),"Revisar formato")))</f>
        <v/>
      </c>
      <c r="H76" s="21" t="str">
        <f>IF(AND(Registro!$E76="",Registro!$F76=""),"",IF(NOT(AND(ISNUMBER(G76),ISNUMBER(Registro!$G76))),"",IF(G76&lt;Registro!$G76,"FALTA BOLETOS",IF(G76=Registro!$G76,"CONFORME","DIFERENCIA"))))</f>
        <v/>
      </c>
      <c r="I76" s="24" t="str">
        <f>IF(Registro!$H76="","",IFERROR(SUMPRODUCT(--("0"&amp;TRIM(RIGHT(SUBSTITUTE(TRIM(MID(SUBSTITUTE(SUBSTITUTE(Registro!$H76,";",CHAR(10)),CHAR(10),REPT(" ",LEN(Registro!$H76))),({1,2,3,4,5,6,7,8,9,10,11,12,13,14,15,16,17,18,19,20,21,22,23,24,25,26,27,28,29,30}-1)*LEN(Registro!$H76)+1,LEN(Registro!$H76)))," ",REPT(" ",50)),50)))),"Revisar formato"))</f>
        <v/>
      </c>
      <c r="J76" s="24" t="str">
        <f>IF(Registro!$I76="","",IFERROR(SUMPRODUCT(--("0"&amp;TRIM(RIGHT(SUBSTITUTE(TRIM(MID(SUBSTITUTE(SUBSTITUTE(Registro!$I76,";",CHAR(10)),CHAR(10),REPT(" ",LEN(Registro!$I76))),({1,2,3,4,5,6,7,8,9,10,11,12,13,14,15,16,17,18,19,20,21,22,23,24,25,26,27,28,29,30}-1)*LEN(Registro!$I76)+1,LEN(Registro!$I76)))," ",REPT(" ",50)),50)))),"Revisar formato"))</f>
        <v/>
      </c>
      <c r="K76" s="24" t="str">
        <f>IF(AND(Registro!$G76="",Registro!$H76=""),"",IF(AND(ISTEXT(I76),I76&lt;&gt;""),"Revisar formato",N(Registro!$G76)-N(I76)))</f>
        <v/>
      </c>
      <c r="L76" s="24" t="str">
        <f t="shared" si="3"/>
        <v/>
      </c>
      <c r="M76" s="36" t="str">
        <f>IF(AND(A76=Consulta!$B$3,C76=Consulta!$H$3),B76*10000+ROW(),"")</f>
        <v/>
      </c>
    </row>
    <row r="77" spans="1:13" x14ac:dyDescent="0.25">
      <c r="A77" s="21" t="str">
        <f>IF(Registro!$A77="","",Registro!$A77)</f>
        <v/>
      </c>
      <c r="B77" s="20" t="str">
        <f>IF(Registro!$B77="","",Registro!$B77)</f>
        <v/>
      </c>
      <c r="C77" s="35" t="str">
        <f t="shared" si="2"/>
        <v/>
      </c>
      <c r="D77" s="23" t="str">
        <f>IF(Registro!$E77="","",IF(ISERROR(FIND("x",LOWER(Registro!$E77))),"-",IFERROR(SUMPRODUCT(--("0"&amp;LEFT(TRIM(MID(SUBSTITUTE(SUBSTITUTE(SUBSTITUTE(SUBSTITUTE(SUBSTITUTE(LOWER(Registro!$E77),"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",LEN(Registro!$E77))),({1,2,3,4,5,6,7,8,9,10,11,12,13,14,15,16,17,18,19,20,21,22,23,24,25,26,27,28,29,30}-1)*LEN(Registro!$E77)+1,LEN(Registro!$E77))),FIND("x",TRIM(MID(SUBSTITUTE(SUBSTITUTE(SUBSTITUTE(SUBSTITUTE(SUBSTITUTE(LOWER(Registro!$E77),"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",LEN(Registro!$E77))),({1,2,3,4,5,6,7,8,9,10,11,12,13,14,15,16,17,18,19,20,21,22,23,24,25,26,27,28,29,30}-1)*LEN(Registro!$E77)+1,LEN(Registro!$E77)))&amp;"x")-1))),"Revisar formato")))</f>
        <v/>
      </c>
      <c r="E77" s="24" t="str">
        <f>IF(Registro!$E77="","",IF(ISERROR(FIND("x",LOWER(Registro!$E77))),"-",IFERROR(SUMPRODUCT(--("0"&amp;LEFT(TRIM(MID(SUBSTITUTE(SUBSTITUTE(SUBSTITUTE(SUBSTITUTE(SUBSTITUTE(LOWER(Registro!$E77),"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",LEN(Registro!$E77))),({1,2,3,4,5,6,7,8,9,10,11,12,13,14,15,16,17,18,19,20,21,22,23,24,25,26,27,28,29,30}-1)*LEN(Registro!$E77)+1,LEN(Registro!$E77))),FIND("x",TRIM(MID(SUBSTITUTE(SUBSTITUTE(SUBSTITUTE(SUBSTITUTE(SUBSTITUTE(LOWER(Registro!$E77),"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",LEN(Registro!$E77))),({1,2,3,4,5,6,7,8,9,10,11,12,13,14,15,16,17,18,19,20,21,22,23,24,25,26,27,28,29,30}-1)*LEN(Registro!$E77)+1,LEN(Registro!$E77)))&amp;"x")-1)),--("0"&amp;MID(TRIM(MID(SUBSTITUTE(SUBSTITUTE(SUBSTITUTE(SUBSTITUTE(SUBSTITUTE(LOWER(Registro!$E77),"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",LEN(Registro!$E77))),({1,2,3,4,5,6,7,8,9,10,11,12,13,14,15,16,17,18,19,20,21,22,23,24,25,26,27,28,29,30}-1)*LEN(Registro!$E77)+1,LEN(Registro!$E77))),FIND("x",TRIM(MID(SUBSTITUTE(SUBSTITUTE(SUBSTITUTE(SUBSTITUTE(SUBSTITUTE(LOWER(Registro!$E77),"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",LEN(Registro!$E77))),({1,2,3,4,5,6,7,8,9,10,11,12,13,14,15,16,17,18,19,20,21,22,23,24,25,26,27,28,29,30}-1)*LEN(Registro!$E77)+1,LEN(Registro!$E77)))&amp;"x")+1,20))),"Revisar formato")))</f>
        <v/>
      </c>
      <c r="F77" s="23" t="str">
        <f>IF(Registro!$F77="","",IF(ISERROR(FIND("x",LOWER(Registro!$F77))),"-",IFERROR(SUMPRODUCT(--("0"&amp;LEFT(TRIM(MID(SUBSTITUTE(SUBSTITUTE(SUBSTITUTE(SUBSTITUTE(SUBSTITUTE(LOWER(Registro!$F77)," ",""),CHAR(10),"|"),";","|"),"+","|"),"|",REPT(" ",LEN(Registro!$F77))),({1,2,3,4,5,6,7,8,9,10,11,12,13,14,15,16,17,18,19,20,21,22,23,24,25,26,27,28,29,30}-1)*LEN(Registro!$F77)+1,LEN(Registro!$F77))),FIND("x",TRIM(MID(SUBSTITUTE(SUBSTITUTE(SUBSTITUTE(SUBSTITUTE(SUBSTITUTE(LOWER(Registro!$F77)," ",""),CHAR(10),"|"),";","|"),"+","|"),"|",REPT(" ",LEN(Registro!$F77))),({1,2,3,4,5,6,7,8,9,10,11,12,13,14,15,16,17,18,19,20,21,22,23,24,25,26,27,28,29,30}-1)*LEN(Registro!$F77)+1,LEN(Registro!$F77)))&amp;"x")-1))),"Revisar formato")))</f>
        <v/>
      </c>
      <c r="G77" s="24" t="str">
        <f>IF(Registro!$F77="","",IF(ISERROR(FIND("x",LOWER(Registro!$F77))),N(Registro!$G77),IFERROR(SUMPRODUCT(--("0"&amp;LEFT(TRIM(MID(SUBSTITUTE(SUBSTITUTE(SUBSTITUTE(SUBSTITUTE(SUBSTITUTE(LOWER(Registro!$F77)," ",""),CHAR(10),"|"),";","|"),"+","|"),"|",REPT(" ",LEN(Registro!$F77))),({1,2,3,4,5,6,7,8,9,10,11,12,13,14,15,16,17,18,19,20,21,22,23,24,25,26,27,28,29,30}-1)*LEN(Registro!$F77)+1,LEN(Registro!$F77))),FIND("x",TRIM(MID(SUBSTITUTE(SUBSTITUTE(SUBSTITUTE(SUBSTITUTE(SUBSTITUTE(LOWER(Registro!$F77)," ",""),CHAR(10),"|"),";","|"),"+","|"),"|",REPT(" ",LEN(Registro!$F77))),({1,2,3,4,5,6,7,8,9,10,11,12,13,14,15,16,17,18,19,20,21,22,23,24,25,26,27,28,29,30}-1)*LEN(Registro!$F77)+1,LEN(Registro!$F77)))&amp;"x")-1)),--("0"&amp;MID(TRIM(MID(SUBSTITUTE(SUBSTITUTE(SUBSTITUTE(SUBSTITUTE(SUBSTITUTE(LOWER(Registro!$F77)," ",""),CHAR(10),"|"),";","|"),"+","|"),"|",REPT(" ",LEN(Registro!$F77))),({1,2,3,4,5,6,7,8,9,10,11,12,13,14,15,16,17,18,19,20,21,22,23,24,25,26,27,28,29,30}-1)*LEN(Registro!$F77)+1,LEN(Registro!$F77))),FIND("x",TRIM(MID(SUBSTITUTE(SUBSTITUTE(SUBSTITUTE(SUBSTITUTE(SUBSTITUTE(LOWER(Registro!$F77)," ",""),CHAR(10),"|"),";","|"),"+","|"),"|",REPT(" ",LEN(Registro!$F77))),({1,2,3,4,5,6,7,8,9,10,11,12,13,14,15,16,17,18,19,20,21,22,23,24,25,26,27,28,29,30}-1)*LEN(Registro!$F77)+1,LEN(Registro!$F77)))&amp;"x")+1,20))),"Revisar formato")))</f>
        <v/>
      </c>
      <c r="H77" s="21" t="str">
        <f>IF(AND(Registro!$E77="",Registro!$F77=""),"",IF(NOT(AND(ISNUMBER(G77),ISNUMBER(Registro!$G77))),"",IF(G77&lt;Registro!$G77,"FALTA BOLETOS",IF(G77=Registro!$G77,"CONFORME","DIFERENCIA"))))</f>
        <v/>
      </c>
      <c r="I77" s="24" t="str">
        <f>IF(Registro!$H77="","",IFERROR(SUMPRODUCT(--("0"&amp;TRIM(RIGHT(SUBSTITUTE(TRIM(MID(SUBSTITUTE(SUBSTITUTE(Registro!$H77,";",CHAR(10)),CHAR(10),REPT(" ",LEN(Registro!$H77))),({1,2,3,4,5,6,7,8,9,10,11,12,13,14,15,16,17,18,19,20,21,22,23,24,25,26,27,28,29,30}-1)*LEN(Registro!$H77)+1,LEN(Registro!$H77)))," ",REPT(" ",50)),50)))),"Revisar formato"))</f>
        <v/>
      </c>
      <c r="J77" s="24" t="str">
        <f>IF(Registro!$I77="","",IFERROR(SUMPRODUCT(--("0"&amp;TRIM(RIGHT(SUBSTITUTE(TRIM(MID(SUBSTITUTE(SUBSTITUTE(Registro!$I77,";",CHAR(10)),CHAR(10),REPT(" ",LEN(Registro!$I77))),({1,2,3,4,5,6,7,8,9,10,11,12,13,14,15,16,17,18,19,20,21,22,23,24,25,26,27,28,29,30}-1)*LEN(Registro!$I77)+1,LEN(Registro!$I77)))," ",REPT(" ",50)),50)))),"Revisar formato"))</f>
        <v/>
      </c>
      <c r="K77" s="24" t="str">
        <f>IF(AND(Registro!$G77="",Registro!$H77=""),"",IF(AND(ISTEXT(I77),I77&lt;&gt;""),"Revisar formato",N(Registro!$G77)-N(I77)))</f>
        <v/>
      </c>
      <c r="L77" s="24" t="str">
        <f t="shared" si="3"/>
        <v/>
      </c>
      <c r="M77" s="36" t="str">
        <f>IF(AND(A77=Consulta!$B$3,C77=Consulta!$H$3),B77*10000+ROW(),"")</f>
        <v/>
      </c>
    </row>
    <row r="78" spans="1:13" x14ac:dyDescent="0.25">
      <c r="A78" s="21" t="str">
        <f>IF(Registro!$A78="","",Registro!$A78)</f>
        <v/>
      </c>
      <c r="B78" s="20" t="str">
        <f>IF(Registro!$B78="","",Registro!$B78)</f>
        <v/>
      </c>
      <c r="C78" s="35" t="str">
        <f t="shared" si="2"/>
        <v/>
      </c>
      <c r="D78" s="23" t="str">
        <f>IF(Registro!$E78="","",IF(ISERROR(FIND("x",LOWER(Registro!$E78))),"-",IFERROR(SUMPRODUCT(--("0"&amp;LEFT(TRIM(MID(SUBSTITUTE(SUBSTITUTE(SUBSTITUTE(SUBSTITUTE(SUBSTITUTE(LOWER(Registro!$E78),"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",LEN(Registro!$E78))),({1,2,3,4,5,6,7,8,9,10,11,12,13,14,15,16,17,18,19,20,21,22,23,24,25,26,27,28,29,30}-1)*LEN(Registro!$E78)+1,LEN(Registro!$E78))),FIND("x",TRIM(MID(SUBSTITUTE(SUBSTITUTE(SUBSTITUTE(SUBSTITUTE(SUBSTITUTE(LOWER(Registro!$E78),"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",LEN(Registro!$E78))),({1,2,3,4,5,6,7,8,9,10,11,12,13,14,15,16,17,18,19,20,21,22,23,24,25,26,27,28,29,30}-1)*LEN(Registro!$E78)+1,LEN(Registro!$E78)))&amp;"x")-1))),"Revisar formato")))</f>
        <v/>
      </c>
      <c r="E78" s="24" t="str">
        <f>IF(Registro!$E78="","",IF(ISERROR(FIND("x",LOWER(Registro!$E78))),"-",IFERROR(SUMPRODUCT(--("0"&amp;LEFT(TRIM(MID(SUBSTITUTE(SUBSTITUTE(SUBSTITUTE(SUBSTITUTE(SUBSTITUTE(LOWER(Registro!$E78),"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",LEN(Registro!$E78))),({1,2,3,4,5,6,7,8,9,10,11,12,13,14,15,16,17,18,19,20,21,22,23,24,25,26,27,28,29,30}-1)*LEN(Registro!$E78)+1,LEN(Registro!$E78))),FIND("x",TRIM(MID(SUBSTITUTE(SUBSTITUTE(SUBSTITUTE(SUBSTITUTE(SUBSTITUTE(LOWER(Registro!$E78),"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",LEN(Registro!$E78))),({1,2,3,4,5,6,7,8,9,10,11,12,13,14,15,16,17,18,19,20,21,22,23,24,25,26,27,28,29,30}-1)*LEN(Registro!$E78)+1,LEN(Registro!$E78)))&amp;"x")-1)),--("0"&amp;MID(TRIM(MID(SUBSTITUTE(SUBSTITUTE(SUBSTITUTE(SUBSTITUTE(SUBSTITUTE(LOWER(Registro!$E78),"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",LEN(Registro!$E78))),({1,2,3,4,5,6,7,8,9,10,11,12,13,14,15,16,17,18,19,20,21,22,23,24,25,26,27,28,29,30}-1)*LEN(Registro!$E78)+1,LEN(Registro!$E78))),FIND("x",TRIM(MID(SUBSTITUTE(SUBSTITUTE(SUBSTITUTE(SUBSTITUTE(SUBSTITUTE(LOWER(Registro!$E78),"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",LEN(Registro!$E78))),({1,2,3,4,5,6,7,8,9,10,11,12,13,14,15,16,17,18,19,20,21,22,23,24,25,26,27,28,29,30}-1)*LEN(Registro!$E78)+1,LEN(Registro!$E78)))&amp;"x")+1,20))),"Revisar formato")))</f>
        <v/>
      </c>
      <c r="F78" s="23" t="str">
        <f>IF(Registro!$F78="","",IF(ISERROR(FIND("x",LOWER(Registro!$F78))),"-",IFERROR(SUMPRODUCT(--("0"&amp;LEFT(TRIM(MID(SUBSTITUTE(SUBSTITUTE(SUBSTITUTE(SUBSTITUTE(SUBSTITUTE(LOWER(Registro!$F78)," ",""),CHAR(10),"|"),";","|"),"+","|"),"|",REPT(" ",LEN(Registro!$F78))),({1,2,3,4,5,6,7,8,9,10,11,12,13,14,15,16,17,18,19,20,21,22,23,24,25,26,27,28,29,30}-1)*LEN(Registro!$F78)+1,LEN(Registro!$F78))),FIND("x",TRIM(MID(SUBSTITUTE(SUBSTITUTE(SUBSTITUTE(SUBSTITUTE(SUBSTITUTE(LOWER(Registro!$F78)," ",""),CHAR(10),"|"),";","|"),"+","|"),"|",REPT(" ",LEN(Registro!$F78))),({1,2,3,4,5,6,7,8,9,10,11,12,13,14,15,16,17,18,19,20,21,22,23,24,25,26,27,28,29,30}-1)*LEN(Registro!$F78)+1,LEN(Registro!$F78)))&amp;"x")-1))),"Revisar formato")))</f>
        <v/>
      </c>
      <c r="G78" s="24" t="str">
        <f>IF(Registro!$F78="","",IF(ISERROR(FIND("x",LOWER(Registro!$F78))),N(Registro!$G78),IFERROR(SUMPRODUCT(--("0"&amp;LEFT(TRIM(MID(SUBSTITUTE(SUBSTITUTE(SUBSTITUTE(SUBSTITUTE(SUBSTITUTE(LOWER(Registro!$F78)," ",""),CHAR(10),"|"),";","|"),"+","|"),"|",REPT(" ",LEN(Registro!$F78))),({1,2,3,4,5,6,7,8,9,10,11,12,13,14,15,16,17,18,19,20,21,22,23,24,25,26,27,28,29,30}-1)*LEN(Registro!$F78)+1,LEN(Registro!$F78))),FIND("x",TRIM(MID(SUBSTITUTE(SUBSTITUTE(SUBSTITUTE(SUBSTITUTE(SUBSTITUTE(LOWER(Registro!$F78)," ",""),CHAR(10),"|"),";","|"),"+","|"),"|",REPT(" ",LEN(Registro!$F78))),({1,2,3,4,5,6,7,8,9,10,11,12,13,14,15,16,17,18,19,20,21,22,23,24,25,26,27,28,29,30}-1)*LEN(Registro!$F78)+1,LEN(Registro!$F78)))&amp;"x")-1)),--("0"&amp;MID(TRIM(MID(SUBSTITUTE(SUBSTITUTE(SUBSTITUTE(SUBSTITUTE(SUBSTITUTE(LOWER(Registro!$F78)," ",""),CHAR(10),"|"),";","|"),"+","|"),"|",REPT(" ",LEN(Registro!$F78))),({1,2,3,4,5,6,7,8,9,10,11,12,13,14,15,16,17,18,19,20,21,22,23,24,25,26,27,28,29,30}-1)*LEN(Registro!$F78)+1,LEN(Registro!$F78))),FIND("x",TRIM(MID(SUBSTITUTE(SUBSTITUTE(SUBSTITUTE(SUBSTITUTE(SUBSTITUTE(LOWER(Registro!$F78)," ",""),CHAR(10),"|"),";","|"),"+","|"),"|",REPT(" ",LEN(Registro!$F78))),({1,2,3,4,5,6,7,8,9,10,11,12,13,14,15,16,17,18,19,20,21,22,23,24,25,26,27,28,29,30}-1)*LEN(Registro!$F78)+1,LEN(Registro!$F78)))&amp;"x")+1,20))),"Revisar formato")))</f>
        <v/>
      </c>
      <c r="H78" s="21" t="str">
        <f>IF(AND(Registro!$E78="",Registro!$F78=""),"",IF(NOT(AND(ISNUMBER(G78),ISNUMBER(Registro!$G78))),"",IF(G78&lt;Registro!$G78,"FALTA BOLETOS",IF(G78=Registro!$G78,"CONFORME","DIFERENCIA"))))</f>
        <v/>
      </c>
      <c r="I78" s="24" t="str">
        <f>IF(Registro!$H78="","",IFERROR(SUMPRODUCT(--("0"&amp;TRIM(RIGHT(SUBSTITUTE(TRIM(MID(SUBSTITUTE(SUBSTITUTE(Registro!$H78,";",CHAR(10)),CHAR(10),REPT(" ",LEN(Registro!$H78))),({1,2,3,4,5,6,7,8,9,10,11,12,13,14,15,16,17,18,19,20,21,22,23,24,25,26,27,28,29,30}-1)*LEN(Registro!$H78)+1,LEN(Registro!$H78)))," ",REPT(" ",50)),50)))),"Revisar formato"))</f>
        <v/>
      </c>
      <c r="J78" s="24" t="str">
        <f>IF(Registro!$I78="","",IFERROR(SUMPRODUCT(--("0"&amp;TRIM(RIGHT(SUBSTITUTE(TRIM(MID(SUBSTITUTE(SUBSTITUTE(Registro!$I78,";",CHAR(10)),CHAR(10),REPT(" ",LEN(Registro!$I78))),({1,2,3,4,5,6,7,8,9,10,11,12,13,14,15,16,17,18,19,20,21,22,23,24,25,26,27,28,29,30}-1)*LEN(Registro!$I78)+1,LEN(Registro!$I78)))," ",REPT(" ",50)),50)))),"Revisar formato"))</f>
        <v/>
      </c>
      <c r="K78" s="24" t="str">
        <f>IF(AND(Registro!$G78="",Registro!$H78=""),"",IF(AND(ISTEXT(I78),I78&lt;&gt;""),"Revisar formato",N(Registro!$G78)-N(I78)))</f>
        <v/>
      </c>
      <c r="L78" s="24" t="str">
        <f t="shared" si="3"/>
        <v/>
      </c>
      <c r="M78" s="36" t="str">
        <f>IF(AND(A78=Consulta!$B$3,C78=Consulta!$H$3),B78*10000+ROW(),"")</f>
        <v/>
      </c>
    </row>
    <row r="79" spans="1:13" x14ac:dyDescent="0.25">
      <c r="A79" s="21" t="str">
        <f>IF(Registro!$A79="","",Registro!$A79)</f>
        <v/>
      </c>
      <c r="B79" s="20" t="str">
        <f>IF(Registro!$B79="","",Registro!$B79)</f>
        <v/>
      </c>
      <c r="C79" s="35" t="str">
        <f t="shared" si="2"/>
        <v/>
      </c>
      <c r="D79" s="23" t="str">
        <f>IF(Registro!$E79="","",IF(ISERROR(FIND("x",LOWER(Registro!$E79))),"-",IFERROR(SUMPRODUCT(--("0"&amp;LEFT(TRIM(MID(SUBSTITUTE(SUBSTITUTE(SUBSTITUTE(SUBSTITUTE(SUBSTITUTE(LOWER(Registro!$E79),"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",LEN(Registro!$E79))),({1,2,3,4,5,6,7,8,9,10,11,12,13,14,15,16,17,18,19,20,21,22,23,24,25,26,27,28,29,30}-1)*LEN(Registro!$E79)+1,LEN(Registro!$E79))),FIND("x",TRIM(MID(SUBSTITUTE(SUBSTITUTE(SUBSTITUTE(SUBSTITUTE(SUBSTITUTE(LOWER(Registro!$E79),"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",LEN(Registro!$E79))),({1,2,3,4,5,6,7,8,9,10,11,12,13,14,15,16,17,18,19,20,21,22,23,24,25,26,27,28,29,30}-1)*LEN(Registro!$E79)+1,LEN(Registro!$E79)))&amp;"x")-1))),"Revisar formato")))</f>
        <v/>
      </c>
      <c r="E79" s="24" t="str">
        <f>IF(Registro!$E79="","",IF(ISERROR(FIND("x",LOWER(Registro!$E79))),"-",IFERROR(SUMPRODUCT(--("0"&amp;LEFT(TRIM(MID(SUBSTITUTE(SUBSTITUTE(SUBSTITUTE(SUBSTITUTE(SUBSTITUTE(LOWER(Registro!$E79),"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",LEN(Registro!$E79))),({1,2,3,4,5,6,7,8,9,10,11,12,13,14,15,16,17,18,19,20,21,22,23,24,25,26,27,28,29,30}-1)*LEN(Registro!$E79)+1,LEN(Registro!$E79))),FIND("x",TRIM(MID(SUBSTITUTE(SUBSTITUTE(SUBSTITUTE(SUBSTITUTE(SUBSTITUTE(LOWER(Registro!$E79),"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",LEN(Registro!$E79))),({1,2,3,4,5,6,7,8,9,10,11,12,13,14,15,16,17,18,19,20,21,22,23,24,25,26,27,28,29,30}-1)*LEN(Registro!$E79)+1,LEN(Registro!$E79)))&amp;"x")-1)),--("0"&amp;MID(TRIM(MID(SUBSTITUTE(SUBSTITUTE(SUBSTITUTE(SUBSTITUTE(SUBSTITUTE(LOWER(Registro!$E79),"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",LEN(Registro!$E79))),({1,2,3,4,5,6,7,8,9,10,11,12,13,14,15,16,17,18,19,20,21,22,23,24,25,26,27,28,29,30}-1)*LEN(Registro!$E79)+1,LEN(Registro!$E79))),FIND("x",TRIM(MID(SUBSTITUTE(SUBSTITUTE(SUBSTITUTE(SUBSTITUTE(SUBSTITUTE(LOWER(Registro!$E79),"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",LEN(Registro!$E79))),({1,2,3,4,5,6,7,8,9,10,11,12,13,14,15,16,17,18,19,20,21,22,23,24,25,26,27,28,29,30}-1)*LEN(Registro!$E79)+1,LEN(Registro!$E79)))&amp;"x")+1,20))),"Revisar formato")))</f>
        <v/>
      </c>
      <c r="F79" s="23" t="str">
        <f>IF(Registro!$F79="","",IF(ISERROR(FIND("x",LOWER(Registro!$F79))),"-",IFERROR(SUMPRODUCT(--("0"&amp;LEFT(TRIM(MID(SUBSTITUTE(SUBSTITUTE(SUBSTITUTE(SUBSTITUTE(SUBSTITUTE(LOWER(Registro!$F79)," ",""),CHAR(10),"|"),";","|"),"+","|"),"|",REPT(" ",LEN(Registro!$F79))),({1,2,3,4,5,6,7,8,9,10,11,12,13,14,15,16,17,18,19,20,21,22,23,24,25,26,27,28,29,30}-1)*LEN(Registro!$F79)+1,LEN(Registro!$F79))),FIND("x",TRIM(MID(SUBSTITUTE(SUBSTITUTE(SUBSTITUTE(SUBSTITUTE(SUBSTITUTE(LOWER(Registro!$F79)," ",""),CHAR(10),"|"),";","|"),"+","|"),"|",REPT(" ",LEN(Registro!$F79))),({1,2,3,4,5,6,7,8,9,10,11,12,13,14,15,16,17,18,19,20,21,22,23,24,25,26,27,28,29,30}-1)*LEN(Registro!$F79)+1,LEN(Registro!$F79)))&amp;"x")-1))),"Revisar formato")))</f>
        <v/>
      </c>
      <c r="G79" s="24" t="str">
        <f>IF(Registro!$F79="","",IF(ISERROR(FIND("x",LOWER(Registro!$F79))),N(Registro!$G79),IFERROR(SUMPRODUCT(--("0"&amp;LEFT(TRIM(MID(SUBSTITUTE(SUBSTITUTE(SUBSTITUTE(SUBSTITUTE(SUBSTITUTE(LOWER(Registro!$F79)," ",""),CHAR(10),"|"),";","|"),"+","|"),"|",REPT(" ",LEN(Registro!$F79))),({1,2,3,4,5,6,7,8,9,10,11,12,13,14,15,16,17,18,19,20,21,22,23,24,25,26,27,28,29,30}-1)*LEN(Registro!$F79)+1,LEN(Registro!$F79))),FIND("x",TRIM(MID(SUBSTITUTE(SUBSTITUTE(SUBSTITUTE(SUBSTITUTE(SUBSTITUTE(LOWER(Registro!$F79)," ",""),CHAR(10),"|"),";","|"),"+","|"),"|",REPT(" ",LEN(Registro!$F79))),({1,2,3,4,5,6,7,8,9,10,11,12,13,14,15,16,17,18,19,20,21,22,23,24,25,26,27,28,29,30}-1)*LEN(Registro!$F79)+1,LEN(Registro!$F79)))&amp;"x")-1)),--("0"&amp;MID(TRIM(MID(SUBSTITUTE(SUBSTITUTE(SUBSTITUTE(SUBSTITUTE(SUBSTITUTE(LOWER(Registro!$F79)," ",""),CHAR(10),"|"),";","|"),"+","|"),"|",REPT(" ",LEN(Registro!$F79))),({1,2,3,4,5,6,7,8,9,10,11,12,13,14,15,16,17,18,19,20,21,22,23,24,25,26,27,28,29,30}-1)*LEN(Registro!$F79)+1,LEN(Registro!$F79))),FIND("x",TRIM(MID(SUBSTITUTE(SUBSTITUTE(SUBSTITUTE(SUBSTITUTE(SUBSTITUTE(LOWER(Registro!$F79)," ",""),CHAR(10),"|"),";","|"),"+","|"),"|",REPT(" ",LEN(Registro!$F79))),({1,2,3,4,5,6,7,8,9,10,11,12,13,14,15,16,17,18,19,20,21,22,23,24,25,26,27,28,29,30}-1)*LEN(Registro!$F79)+1,LEN(Registro!$F79)))&amp;"x")+1,20))),"Revisar formato")))</f>
        <v/>
      </c>
      <c r="H79" s="21" t="str">
        <f>IF(AND(Registro!$E79="",Registro!$F79=""),"",IF(NOT(AND(ISNUMBER(G79),ISNUMBER(Registro!$G79))),"",IF(G79&lt;Registro!$G79,"FALTA BOLETOS",IF(G79=Registro!$G79,"CONFORME","DIFERENCIA"))))</f>
        <v/>
      </c>
      <c r="I79" s="24" t="str">
        <f>IF(Registro!$H79="","",IFERROR(SUMPRODUCT(--("0"&amp;TRIM(RIGHT(SUBSTITUTE(TRIM(MID(SUBSTITUTE(SUBSTITUTE(Registro!$H79,";",CHAR(10)),CHAR(10),REPT(" ",LEN(Registro!$H79))),({1,2,3,4,5,6,7,8,9,10,11,12,13,14,15,16,17,18,19,20,21,22,23,24,25,26,27,28,29,30}-1)*LEN(Registro!$H79)+1,LEN(Registro!$H79)))," ",REPT(" ",50)),50)))),"Revisar formato"))</f>
        <v/>
      </c>
      <c r="J79" s="24" t="str">
        <f>IF(Registro!$I79="","",IFERROR(SUMPRODUCT(--("0"&amp;TRIM(RIGHT(SUBSTITUTE(TRIM(MID(SUBSTITUTE(SUBSTITUTE(Registro!$I79,";",CHAR(10)),CHAR(10),REPT(" ",LEN(Registro!$I79))),({1,2,3,4,5,6,7,8,9,10,11,12,13,14,15,16,17,18,19,20,21,22,23,24,25,26,27,28,29,30}-1)*LEN(Registro!$I79)+1,LEN(Registro!$I79)))," ",REPT(" ",50)),50)))),"Revisar formato"))</f>
        <v/>
      </c>
      <c r="K79" s="24" t="str">
        <f>IF(AND(Registro!$G79="",Registro!$H79=""),"",IF(AND(ISTEXT(I79),I79&lt;&gt;""),"Revisar formato",N(Registro!$G79)-N(I79)))</f>
        <v/>
      </c>
      <c r="L79" s="24" t="str">
        <f t="shared" si="3"/>
        <v/>
      </c>
      <c r="M79" s="36" t="str">
        <f>IF(AND(A79=Consulta!$B$3,C79=Consulta!$H$3),B79*10000+ROW(),"")</f>
        <v/>
      </c>
    </row>
    <row r="80" spans="1:13" x14ac:dyDescent="0.25">
      <c r="A80" s="21" t="str">
        <f>IF(Registro!$A80="","",Registro!$A80)</f>
        <v/>
      </c>
      <c r="B80" s="20" t="str">
        <f>IF(Registro!$B80="","",Registro!$B80)</f>
        <v/>
      </c>
      <c r="C80" s="35" t="str">
        <f t="shared" si="2"/>
        <v/>
      </c>
      <c r="D80" s="23" t="str">
        <f>IF(Registro!$E80="","",IF(ISERROR(FIND("x",LOWER(Registro!$E80))),"-",IFERROR(SUMPRODUCT(--("0"&amp;LEFT(TRIM(MID(SUBSTITUTE(SUBSTITUTE(SUBSTITUTE(SUBSTITUTE(SUBSTITUTE(LOWER(Registro!$E80),"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",LEN(Registro!$E80))),({1,2,3,4,5,6,7,8,9,10,11,12,13,14,15,16,17,18,19,20,21,22,23,24,25,26,27,28,29,30}-1)*LEN(Registro!$E80)+1,LEN(Registro!$E80))),FIND("x",TRIM(MID(SUBSTITUTE(SUBSTITUTE(SUBSTITUTE(SUBSTITUTE(SUBSTITUTE(LOWER(Registro!$E80),"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",LEN(Registro!$E80))),({1,2,3,4,5,6,7,8,9,10,11,12,13,14,15,16,17,18,19,20,21,22,23,24,25,26,27,28,29,30}-1)*LEN(Registro!$E80)+1,LEN(Registro!$E80)))&amp;"x")-1))),"Revisar formato")))</f>
        <v/>
      </c>
      <c r="E80" s="24" t="str">
        <f>IF(Registro!$E80="","",IF(ISERROR(FIND("x",LOWER(Registro!$E80))),"-",IFERROR(SUMPRODUCT(--("0"&amp;LEFT(TRIM(MID(SUBSTITUTE(SUBSTITUTE(SUBSTITUTE(SUBSTITUTE(SUBSTITUTE(LOWER(Registro!$E80),"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",LEN(Registro!$E80))),({1,2,3,4,5,6,7,8,9,10,11,12,13,14,15,16,17,18,19,20,21,22,23,24,25,26,27,28,29,30}-1)*LEN(Registro!$E80)+1,LEN(Registro!$E80))),FIND("x",TRIM(MID(SUBSTITUTE(SUBSTITUTE(SUBSTITUTE(SUBSTITUTE(SUBSTITUTE(LOWER(Registro!$E80),"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",LEN(Registro!$E80))),({1,2,3,4,5,6,7,8,9,10,11,12,13,14,15,16,17,18,19,20,21,22,23,24,25,26,27,28,29,30}-1)*LEN(Registro!$E80)+1,LEN(Registro!$E80)))&amp;"x")-1)),--("0"&amp;MID(TRIM(MID(SUBSTITUTE(SUBSTITUTE(SUBSTITUTE(SUBSTITUTE(SUBSTITUTE(LOWER(Registro!$E80),"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",LEN(Registro!$E80))),({1,2,3,4,5,6,7,8,9,10,11,12,13,14,15,16,17,18,19,20,21,22,23,24,25,26,27,28,29,30}-1)*LEN(Registro!$E80)+1,LEN(Registro!$E80))),FIND("x",TRIM(MID(SUBSTITUTE(SUBSTITUTE(SUBSTITUTE(SUBSTITUTE(SUBSTITUTE(LOWER(Registro!$E80),"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",LEN(Registro!$E80))),({1,2,3,4,5,6,7,8,9,10,11,12,13,14,15,16,17,18,19,20,21,22,23,24,25,26,27,28,29,30}-1)*LEN(Registro!$E80)+1,LEN(Registro!$E80)))&amp;"x")+1,20))),"Revisar formato")))</f>
        <v/>
      </c>
      <c r="F80" s="23" t="str">
        <f>IF(Registro!$F80="","",IF(ISERROR(FIND("x",LOWER(Registro!$F80))),"-",IFERROR(SUMPRODUCT(--("0"&amp;LEFT(TRIM(MID(SUBSTITUTE(SUBSTITUTE(SUBSTITUTE(SUBSTITUTE(SUBSTITUTE(LOWER(Registro!$F80)," ",""),CHAR(10),"|"),";","|"),"+","|"),"|",REPT(" ",LEN(Registro!$F80))),({1,2,3,4,5,6,7,8,9,10,11,12,13,14,15,16,17,18,19,20,21,22,23,24,25,26,27,28,29,30}-1)*LEN(Registro!$F80)+1,LEN(Registro!$F80))),FIND("x",TRIM(MID(SUBSTITUTE(SUBSTITUTE(SUBSTITUTE(SUBSTITUTE(SUBSTITUTE(LOWER(Registro!$F80)," ",""),CHAR(10),"|"),";","|"),"+","|"),"|",REPT(" ",LEN(Registro!$F80))),({1,2,3,4,5,6,7,8,9,10,11,12,13,14,15,16,17,18,19,20,21,22,23,24,25,26,27,28,29,30}-1)*LEN(Registro!$F80)+1,LEN(Registro!$F80)))&amp;"x")-1))),"Revisar formato")))</f>
        <v/>
      </c>
      <c r="G80" s="24" t="str">
        <f>IF(Registro!$F80="","",IF(ISERROR(FIND("x",LOWER(Registro!$F80))),N(Registro!$G80),IFERROR(SUMPRODUCT(--("0"&amp;LEFT(TRIM(MID(SUBSTITUTE(SUBSTITUTE(SUBSTITUTE(SUBSTITUTE(SUBSTITUTE(LOWER(Registro!$F80)," ",""),CHAR(10),"|"),";","|"),"+","|"),"|",REPT(" ",LEN(Registro!$F80))),({1,2,3,4,5,6,7,8,9,10,11,12,13,14,15,16,17,18,19,20,21,22,23,24,25,26,27,28,29,30}-1)*LEN(Registro!$F80)+1,LEN(Registro!$F80))),FIND("x",TRIM(MID(SUBSTITUTE(SUBSTITUTE(SUBSTITUTE(SUBSTITUTE(SUBSTITUTE(LOWER(Registro!$F80)," ",""),CHAR(10),"|"),";","|"),"+","|"),"|",REPT(" ",LEN(Registro!$F80))),({1,2,3,4,5,6,7,8,9,10,11,12,13,14,15,16,17,18,19,20,21,22,23,24,25,26,27,28,29,30}-1)*LEN(Registro!$F80)+1,LEN(Registro!$F80)))&amp;"x")-1)),--("0"&amp;MID(TRIM(MID(SUBSTITUTE(SUBSTITUTE(SUBSTITUTE(SUBSTITUTE(SUBSTITUTE(LOWER(Registro!$F80)," ",""),CHAR(10),"|"),";","|"),"+","|"),"|",REPT(" ",LEN(Registro!$F80))),({1,2,3,4,5,6,7,8,9,10,11,12,13,14,15,16,17,18,19,20,21,22,23,24,25,26,27,28,29,30}-1)*LEN(Registro!$F80)+1,LEN(Registro!$F80))),FIND("x",TRIM(MID(SUBSTITUTE(SUBSTITUTE(SUBSTITUTE(SUBSTITUTE(SUBSTITUTE(LOWER(Registro!$F80)," ",""),CHAR(10),"|"),";","|"),"+","|"),"|",REPT(" ",LEN(Registro!$F80))),({1,2,3,4,5,6,7,8,9,10,11,12,13,14,15,16,17,18,19,20,21,22,23,24,25,26,27,28,29,30}-1)*LEN(Registro!$F80)+1,LEN(Registro!$F80)))&amp;"x")+1,20))),"Revisar formato")))</f>
        <v/>
      </c>
      <c r="H80" s="21" t="str">
        <f>IF(AND(Registro!$E80="",Registro!$F80=""),"",IF(NOT(AND(ISNUMBER(G80),ISNUMBER(Registro!$G80))),"",IF(G80&lt;Registro!$G80,"FALTA BOLETOS",IF(G80=Registro!$G80,"CONFORME","DIFERENCIA"))))</f>
        <v/>
      </c>
      <c r="I80" s="24" t="str">
        <f>IF(Registro!$H80="","",IFERROR(SUMPRODUCT(--("0"&amp;TRIM(RIGHT(SUBSTITUTE(TRIM(MID(SUBSTITUTE(SUBSTITUTE(Registro!$H80,";",CHAR(10)),CHAR(10),REPT(" ",LEN(Registro!$H80))),({1,2,3,4,5,6,7,8,9,10,11,12,13,14,15,16,17,18,19,20,21,22,23,24,25,26,27,28,29,30}-1)*LEN(Registro!$H80)+1,LEN(Registro!$H80)))," ",REPT(" ",50)),50)))),"Revisar formato"))</f>
        <v/>
      </c>
      <c r="J80" s="24" t="str">
        <f>IF(Registro!$I80="","",IFERROR(SUMPRODUCT(--("0"&amp;TRIM(RIGHT(SUBSTITUTE(TRIM(MID(SUBSTITUTE(SUBSTITUTE(Registro!$I80,";",CHAR(10)),CHAR(10),REPT(" ",LEN(Registro!$I80))),({1,2,3,4,5,6,7,8,9,10,11,12,13,14,15,16,17,18,19,20,21,22,23,24,25,26,27,28,29,30}-1)*LEN(Registro!$I80)+1,LEN(Registro!$I80)))," ",REPT(" ",50)),50)))),"Revisar formato"))</f>
        <v/>
      </c>
      <c r="K80" s="24" t="str">
        <f>IF(AND(Registro!$G80="",Registro!$H80=""),"",IF(AND(ISTEXT(I80),I80&lt;&gt;""),"Revisar formato",N(Registro!$G80)-N(I80)))</f>
        <v/>
      </c>
      <c r="L80" s="24" t="str">
        <f t="shared" si="3"/>
        <v/>
      </c>
      <c r="M80" s="36" t="str">
        <f>IF(AND(A80=Consulta!$B$3,C80=Consulta!$H$3),B80*10000+ROW(),"")</f>
        <v/>
      </c>
    </row>
    <row r="81" spans="1:13" x14ac:dyDescent="0.25">
      <c r="A81" s="21" t="str">
        <f>IF(Registro!$A81="","",Registro!$A81)</f>
        <v/>
      </c>
      <c r="B81" s="20" t="str">
        <f>IF(Registro!$B81="","",Registro!$B81)</f>
        <v/>
      </c>
      <c r="C81" s="35" t="str">
        <f t="shared" si="2"/>
        <v/>
      </c>
      <c r="D81" s="23" t="str">
        <f>IF(Registro!$E81="","",IF(ISERROR(FIND("x",LOWER(Registro!$E81))),"-",IFERROR(SUMPRODUCT(--("0"&amp;LEFT(TRIM(MID(SUBSTITUTE(SUBSTITUTE(SUBSTITUTE(SUBSTITUTE(SUBSTITUTE(LOWER(Registro!$E81),"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",LEN(Registro!$E81))),({1,2,3,4,5,6,7,8,9,10,11,12,13,14,15,16,17,18,19,20,21,22,23,24,25,26,27,28,29,30}-1)*LEN(Registro!$E81)+1,LEN(Registro!$E81))),FIND("x",TRIM(MID(SUBSTITUTE(SUBSTITUTE(SUBSTITUTE(SUBSTITUTE(SUBSTITUTE(LOWER(Registro!$E81),"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",LEN(Registro!$E81))),({1,2,3,4,5,6,7,8,9,10,11,12,13,14,15,16,17,18,19,20,21,22,23,24,25,26,27,28,29,30}-1)*LEN(Registro!$E81)+1,LEN(Registro!$E81)))&amp;"x")-1))),"Revisar formato")))</f>
        <v/>
      </c>
      <c r="E81" s="24" t="str">
        <f>IF(Registro!$E81="","",IF(ISERROR(FIND("x",LOWER(Registro!$E81))),"-",IFERROR(SUMPRODUCT(--("0"&amp;LEFT(TRIM(MID(SUBSTITUTE(SUBSTITUTE(SUBSTITUTE(SUBSTITUTE(SUBSTITUTE(LOWER(Registro!$E81),"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",LEN(Registro!$E81))),({1,2,3,4,5,6,7,8,9,10,11,12,13,14,15,16,17,18,19,20,21,22,23,24,25,26,27,28,29,30}-1)*LEN(Registro!$E81)+1,LEN(Registro!$E81))),FIND("x",TRIM(MID(SUBSTITUTE(SUBSTITUTE(SUBSTITUTE(SUBSTITUTE(SUBSTITUTE(LOWER(Registro!$E81),"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",LEN(Registro!$E81))),({1,2,3,4,5,6,7,8,9,10,11,12,13,14,15,16,17,18,19,20,21,22,23,24,25,26,27,28,29,30}-1)*LEN(Registro!$E81)+1,LEN(Registro!$E81)))&amp;"x")-1)),--("0"&amp;MID(TRIM(MID(SUBSTITUTE(SUBSTITUTE(SUBSTITUTE(SUBSTITUTE(SUBSTITUTE(LOWER(Registro!$E81),"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",LEN(Registro!$E81))),({1,2,3,4,5,6,7,8,9,10,11,12,13,14,15,16,17,18,19,20,21,22,23,24,25,26,27,28,29,30}-1)*LEN(Registro!$E81)+1,LEN(Registro!$E81))),FIND("x",TRIM(MID(SUBSTITUTE(SUBSTITUTE(SUBSTITUTE(SUBSTITUTE(SUBSTITUTE(LOWER(Registro!$E81),"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",LEN(Registro!$E81))),({1,2,3,4,5,6,7,8,9,10,11,12,13,14,15,16,17,18,19,20,21,22,23,24,25,26,27,28,29,30}-1)*LEN(Registro!$E81)+1,LEN(Registro!$E81)))&amp;"x")+1,20))),"Revisar formato")))</f>
        <v/>
      </c>
      <c r="F81" s="23" t="str">
        <f>IF(Registro!$F81="","",IF(ISERROR(FIND("x",LOWER(Registro!$F81))),"-",IFERROR(SUMPRODUCT(--("0"&amp;LEFT(TRIM(MID(SUBSTITUTE(SUBSTITUTE(SUBSTITUTE(SUBSTITUTE(SUBSTITUTE(LOWER(Registro!$F81)," ",""),CHAR(10),"|"),";","|"),"+","|"),"|",REPT(" ",LEN(Registro!$F81))),({1,2,3,4,5,6,7,8,9,10,11,12,13,14,15,16,17,18,19,20,21,22,23,24,25,26,27,28,29,30}-1)*LEN(Registro!$F81)+1,LEN(Registro!$F81))),FIND("x",TRIM(MID(SUBSTITUTE(SUBSTITUTE(SUBSTITUTE(SUBSTITUTE(SUBSTITUTE(LOWER(Registro!$F81)," ",""),CHAR(10),"|"),";","|"),"+","|"),"|",REPT(" ",LEN(Registro!$F81))),({1,2,3,4,5,6,7,8,9,10,11,12,13,14,15,16,17,18,19,20,21,22,23,24,25,26,27,28,29,30}-1)*LEN(Registro!$F81)+1,LEN(Registro!$F81)))&amp;"x")-1))),"Revisar formato")))</f>
        <v/>
      </c>
      <c r="G81" s="24" t="str">
        <f>IF(Registro!$F81="","",IF(ISERROR(FIND("x",LOWER(Registro!$F81))),N(Registro!$G81),IFERROR(SUMPRODUCT(--("0"&amp;LEFT(TRIM(MID(SUBSTITUTE(SUBSTITUTE(SUBSTITUTE(SUBSTITUTE(SUBSTITUTE(LOWER(Registro!$F81)," ",""),CHAR(10),"|"),";","|"),"+","|"),"|",REPT(" ",LEN(Registro!$F81))),({1,2,3,4,5,6,7,8,9,10,11,12,13,14,15,16,17,18,19,20,21,22,23,24,25,26,27,28,29,30}-1)*LEN(Registro!$F81)+1,LEN(Registro!$F81))),FIND("x",TRIM(MID(SUBSTITUTE(SUBSTITUTE(SUBSTITUTE(SUBSTITUTE(SUBSTITUTE(LOWER(Registro!$F81)," ",""),CHAR(10),"|"),";","|"),"+","|"),"|",REPT(" ",LEN(Registro!$F81))),({1,2,3,4,5,6,7,8,9,10,11,12,13,14,15,16,17,18,19,20,21,22,23,24,25,26,27,28,29,30}-1)*LEN(Registro!$F81)+1,LEN(Registro!$F81)))&amp;"x")-1)),--("0"&amp;MID(TRIM(MID(SUBSTITUTE(SUBSTITUTE(SUBSTITUTE(SUBSTITUTE(SUBSTITUTE(LOWER(Registro!$F81)," ",""),CHAR(10),"|"),";","|"),"+","|"),"|",REPT(" ",LEN(Registro!$F81))),({1,2,3,4,5,6,7,8,9,10,11,12,13,14,15,16,17,18,19,20,21,22,23,24,25,26,27,28,29,30}-1)*LEN(Registro!$F81)+1,LEN(Registro!$F81))),FIND("x",TRIM(MID(SUBSTITUTE(SUBSTITUTE(SUBSTITUTE(SUBSTITUTE(SUBSTITUTE(LOWER(Registro!$F81)," ",""),CHAR(10),"|"),";","|"),"+","|"),"|",REPT(" ",LEN(Registro!$F81))),({1,2,3,4,5,6,7,8,9,10,11,12,13,14,15,16,17,18,19,20,21,22,23,24,25,26,27,28,29,30}-1)*LEN(Registro!$F81)+1,LEN(Registro!$F81)))&amp;"x")+1,20))),"Revisar formato")))</f>
        <v/>
      </c>
      <c r="H81" s="21" t="str">
        <f>IF(AND(Registro!$E81="",Registro!$F81=""),"",IF(NOT(AND(ISNUMBER(G81),ISNUMBER(Registro!$G81))),"",IF(G81&lt;Registro!$G81,"FALTA BOLETOS",IF(G81=Registro!$G81,"CONFORME","DIFERENCIA"))))</f>
        <v/>
      </c>
      <c r="I81" s="24" t="str">
        <f>IF(Registro!$H81="","",IFERROR(SUMPRODUCT(--("0"&amp;TRIM(RIGHT(SUBSTITUTE(TRIM(MID(SUBSTITUTE(SUBSTITUTE(Registro!$H81,";",CHAR(10)),CHAR(10),REPT(" ",LEN(Registro!$H81))),({1,2,3,4,5,6,7,8,9,10,11,12,13,14,15,16,17,18,19,20,21,22,23,24,25,26,27,28,29,30}-1)*LEN(Registro!$H81)+1,LEN(Registro!$H81)))," ",REPT(" ",50)),50)))),"Revisar formato"))</f>
        <v/>
      </c>
      <c r="J81" s="24" t="str">
        <f>IF(Registro!$I81="","",IFERROR(SUMPRODUCT(--("0"&amp;TRIM(RIGHT(SUBSTITUTE(TRIM(MID(SUBSTITUTE(SUBSTITUTE(Registro!$I81,";",CHAR(10)),CHAR(10),REPT(" ",LEN(Registro!$I81))),({1,2,3,4,5,6,7,8,9,10,11,12,13,14,15,16,17,18,19,20,21,22,23,24,25,26,27,28,29,30}-1)*LEN(Registro!$I81)+1,LEN(Registro!$I81)))," ",REPT(" ",50)),50)))),"Revisar formato"))</f>
        <v/>
      </c>
      <c r="K81" s="24" t="str">
        <f>IF(AND(Registro!$G81="",Registro!$H81=""),"",IF(AND(ISTEXT(I81),I81&lt;&gt;""),"Revisar formato",N(Registro!$G81)-N(I81)))</f>
        <v/>
      </c>
      <c r="L81" s="24" t="str">
        <f t="shared" si="3"/>
        <v/>
      </c>
      <c r="M81" s="36" t="str">
        <f>IF(AND(A81=Consulta!$B$3,C81=Consulta!$H$3),B81*10000+ROW(),"")</f>
        <v/>
      </c>
    </row>
    <row r="82" spans="1:13" x14ac:dyDescent="0.25">
      <c r="A82" s="21" t="str">
        <f>IF(Registro!$A82="","",Registro!$A82)</f>
        <v/>
      </c>
      <c r="B82" s="20" t="str">
        <f>IF(Registro!$B82="","",Registro!$B82)</f>
        <v/>
      </c>
      <c r="C82" s="35" t="str">
        <f t="shared" si="2"/>
        <v/>
      </c>
      <c r="D82" s="23" t="str">
        <f>IF(Registro!$E82="","",IF(ISERROR(FIND("x",LOWER(Registro!$E82))),"-",IFERROR(SUMPRODUCT(--("0"&amp;LEFT(TRIM(MID(SUBSTITUTE(SUBSTITUTE(SUBSTITUTE(SUBSTITUTE(SUBSTITUTE(LOWER(Registro!$E82),"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",LEN(Registro!$E82))),({1,2,3,4,5,6,7,8,9,10,11,12,13,14,15,16,17,18,19,20,21,22,23,24,25,26,27,28,29,30}-1)*LEN(Registro!$E82)+1,LEN(Registro!$E82))),FIND("x",TRIM(MID(SUBSTITUTE(SUBSTITUTE(SUBSTITUTE(SUBSTITUTE(SUBSTITUTE(LOWER(Registro!$E82),"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",LEN(Registro!$E82))),({1,2,3,4,5,6,7,8,9,10,11,12,13,14,15,16,17,18,19,20,21,22,23,24,25,26,27,28,29,30}-1)*LEN(Registro!$E82)+1,LEN(Registro!$E82)))&amp;"x")-1))),"Revisar formato")))</f>
        <v/>
      </c>
      <c r="E82" s="24" t="str">
        <f>IF(Registro!$E82="","",IF(ISERROR(FIND("x",LOWER(Registro!$E82))),"-",IFERROR(SUMPRODUCT(--("0"&amp;LEFT(TRIM(MID(SUBSTITUTE(SUBSTITUTE(SUBSTITUTE(SUBSTITUTE(SUBSTITUTE(LOWER(Registro!$E82),"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",LEN(Registro!$E82))),({1,2,3,4,5,6,7,8,9,10,11,12,13,14,15,16,17,18,19,20,21,22,23,24,25,26,27,28,29,30}-1)*LEN(Registro!$E82)+1,LEN(Registro!$E82))),FIND("x",TRIM(MID(SUBSTITUTE(SUBSTITUTE(SUBSTITUTE(SUBSTITUTE(SUBSTITUTE(LOWER(Registro!$E82),"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",LEN(Registro!$E82))),({1,2,3,4,5,6,7,8,9,10,11,12,13,14,15,16,17,18,19,20,21,22,23,24,25,26,27,28,29,30}-1)*LEN(Registro!$E82)+1,LEN(Registro!$E82)))&amp;"x")-1)),--("0"&amp;MID(TRIM(MID(SUBSTITUTE(SUBSTITUTE(SUBSTITUTE(SUBSTITUTE(SUBSTITUTE(LOWER(Registro!$E82),"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",LEN(Registro!$E82))),({1,2,3,4,5,6,7,8,9,10,11,12,13,14,15,16,17,18,19,20,21,22,23,24,25,26,27,28,29,30}-1)*LEN(Registro!$E82)+1,LEN(Registro!$E82))),FIND("x",TRIM(MID(SUBSTITUTE(SUBSTITUTE(SUBSTITUTE(SUBSTITUTE(SUBSTITUTE(LOWER(Registro!$E82),"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",LEN(Registro!$E82))),({1,2,3,4,5,6,7,8,9,10,11,12,13,14,15,16,17,18,19,20,21,22,23,24,25,26,27,28,29,30}-1)*LEN(Registro!$E82)+1,LEN(Registro!$E82)))&amp;"x")+1,20))),"Revisar formato")))</f>
        <v/>
      </c>
      <c r="F82" s="23" t="str">
        <f>IF(Registro!$F82="","",IF(ISERROR(FIND("x",LOWER(Registro!$F82))),"-",IFERROR(SUMPRODUCT(--("0"&amp;LEFT(TRIM(MID(SUBSTITUTE(SUBSTITUTE(SUBSTITUTE(SUBSTITUTE(SUBSTITUTE(LOWER(Registro!$F82)," ",""),CHAR(10),"|"),";","|"),"+","|"),"|",REPT(" ",LEN(Registro!$F82))),({1,2,3,4,5,6,7,8,9,10,11,12,13,14,15,16,17,18,19,20,21,22,23,24,25,26,27,28,29,30}-1)*LEN(Registro!$F82)+1,LEN(Registro!$F82))),FIND("x",TRIM(MID(SUBSTITUTE(SUBSTITUTE(SUBSTITUTE(SUBSTITUTE(SUBSTITUTE(LOWER(Registro!$F82)," ",""),CHAR(10),"|"),";","|"),"+","|"),"|",REPT(" ",LEN(Registro!$F82))),({1,2,3,4,5,6,7,8,9,10,11,12,13,14,15,16,17,18,19,20,21,22,23,24,25,26,27,28,29,30}-1)*LEN(Registro!$F82)+1,LEN(Registro!$F82)))&amp;"x")-1))),"Revisar formato")))</f>
        <v/>
      </c>
      <c r="G82" s="24" t="str">
        <f>IF(Registro!$F82="","",IF(ISERROR(FIND("x",LOWER(Registro!$F82))),N(Registro!$G82),IFERROR(SUMPRODUCT(--("0"&amp;LEFT(TRIM(MID(SUBSTITUTE(SUBSTITUTE(SUBSTITUTE(SUBSTITUTE(SUBSTITUTE(LOWER(Registro!$F82)," ",""),CHAR(10),"|"),";","|"),"+","|"),"|",REPT(" ",LEN(Registro!$F82))),({1,2,3,4,5,6,7,8,9,10,11,12,13,14,15,16,17,18,19,20,21,22,23,24,25,26,27,28,29,30}-1)*LEN(Registro!$F82)+1,LEN(Registro!$F82))),FIND("x",TRIM(MID(SUBSTITUTE(SUBSTITUTE(SUBSTITUTE(SUBSTITUTE(SUBSTITUTE(LOWER(Registro!$F82)," ",""),CHAR(10),"|"),";","|"),"+","|"),"|",REPT(" ",LEN(Registro!$F82))),({1,2,3,4,5,6,7,8,9,10,11,12,13,14,15,16,17,18,19,20,21,22,23,24,25,26,27,28,29,30}-1)*LEN(Registro!$F82)+1,LEN(Registro!$F82)))&amp;"x")-1)),--("0"&amp;MID(TRIM(MID(SUBSTITUTE(SUBSTITUTE(SUBSTITUTE(SUBSTITUTE(SUBSTITUTE(LOWER(Registro!$F82)," ",""),CHAR(10),"|"),";","|"),"+","|"),"|",REPT(" ",LEN(Registro!$F82))),({1,2,3,4,5,6,7,8,9,10,11,12,13,14,15,16,17,18,19,20,21,22,23,24,25,26,27,28,29,30}-1)*LEN(Registro!$F82)+1,LEN(Registro!$F82))),FIND("x",TRIM(MID(SUBSTITUTE(SUBSTITUTE(SUBSTITUTE(SUBSTITUTE(SUBSTITUTE(LOWER(Registro!$F82)," ",""),CHAR(10),"|"),";","|"),"+","|"),"|",REPT(" ",LEN(Registro!$F82))),({1,2,3,4,5,6,7,8,9,10,11,12,13,14,15,16,17,18,19,20,21,22,23,24,25,26,27,28,29,30}-1)*LEN(Registro!$F82)+1,LEN(Registro!$F82)))&amp;"x")+1,20))),"Revisar formato")))</f>
        <v/>
      </c>
      <c r="H82" s="21" t="str">
        <f>IF(AND(Registro!$E82="",Registro!$F82=""),"",IF(NOT(AND(ISNUMBER(G82),ISNUMBER(Registro!$G82))),"",IF(G82&lt;Registro!$G82,"FALTA BOLETOS",IF(G82=Registro!$G82,"CONFORME","DIFERENCIA"))))</f>
        <v/>
      </c>
      <c r="I82" s="24" t="str">
        <f>IF(Registro!$H82="","",IFERROR(SUMPRODUCT(--("0"&amp;TRIM(RIGHT(SUBSTITUTE(TRIM(MID(SUBSTITUTE(SUBSTITUTE(Registro!$H82,";",CHAR(10)),CHAR(10),REPT(" ",LEN(Registro!$H82))),({1,2,3,4,5,6,7,8,9,10,11,12,13,14,15,16,17,18,19,20,21,22,23,24,25,26,27,28,29,30}-1)*LEN(Registro!$H82)+1,LEN(Registro!$H82)))," ",REPT(" ",50)),50)))),"Revisar formato"))</f>
        <v/>
      </c>
      <c r="J82" s="24" t="str">
        <f>IF(Registro!$I82="","",IFERROR(SUMPRODUCT(--("0"&amp;TRIM(RIGHT(SUBSTITUTE(TRIM(MID(SUBSTITUTE(SUBSTITUTE(Registro!$I82,";",CHAR(10)),CHAR(10),REPT(" ",LEN(Registro!$I82))),({1,2,3,4,5,6,7,8,9,10,11,12,13,14,15,16,17,18,19,20,21,22,23,24,25,26,27,28,29,30}-1)*LEN(Registro!$I82)+1,LEN(Registro!$I82)))," ",REPT(" ",50)),50)))),"Revisar formato"))</f>
        <v/>
      </c>
      <c r="K82" s="24" t="str">
        <f>IF(AND(Registro!$G82="",Registro!$H82=""),"",IF(AND(ISTEXT(I82),I82&lt;&gt;""),"Revisar formato",N(Registro!$G82)-N(I82)))</f>
        <v/>
      </c>
      <c r="L82" s="24" t="str">
        <f t="shared" si="3"/>
        <v/>
      </c>
      <c r="M82" s="36" t="str">
        <f>IF(AND(A82=Consulta!$B$3,C82=Consulta!$H$3),B82*10000+ROW(),"")</f>
        <v/>
      </c>
    </row>
    <row r="83" spans="1:13" x14ac:dyDescent="0.25">
      <c r="A83" s="21" t="str">
        <f>IF(Registro!$A83="","",Registro!$A83)</f>
        <v/>
      </c>
      <c r="B83" s="20" t="str">
        <f>IF(Registro!$B83="","",Registro!$B83)</f>
        <v/>
      </c>
      <c r="C83" s="35" t="str">
        <f t="shared" si="2"/>
        <v/>
      </c>
      <c r="D83" s="23" t="str">
        <f>IF(Registro!$E83="","",IF(ISERROR(FIND("x",LOWER(Registro!$E83))),"-",IFERROR(SUMPRODUCT(--("0"&amp;LEFT(TRIM(MID(SUBSTITUTE(SUBSTITUTE(SUBSTITUTE(SUBSTITUTE(SUBSTITUTE(LOWER(Registro!$E83),"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",LEN(Registro!$E83))),({1,2,3,4,5,6,7,8,9,10,11,12,13,14,15,16,17,18,19,20,21,22,23,24,25,26,27,28,29,30}-1)*LEN(Registro!$E83)+1,LEN(Registro!$E83))),FIND("x",TRIM(MID(SUBSTITUTE(SUBSTITUTE(SUBSTITUTE(SUBSTITUTE(SUBSTITUTE(LOWER(Registro!$E83),"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",LEN(Registro!$E83))),({1,2,3,4,5,6,7,8,9,10,11,12,13,14,15,16,17,18,19,20,21,22,23,24,25,26,27,28,29,30}-1)*LEN(Registro!$E83)+1,LEN(Registro!$E83)))&amp;"x")-1))),"Revisar formato")))</f>
        <v/>
      </c>
      <c r="E83" s="24" t="str">
        <f>IF(Registro!$E83="","",IF(ISERROR(FIND("x",LOWER(Registro!$E83))),"-",IFERROR(SUMPRODUCT(--("0"&amp;LEFT(TRIM(MID(SUBSTITUTE(SUBSTITUTE(SUBSTITUTE(SUBSTITUTE(SUBSTITUTE(LOWER(Registro!$E83),"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",LEN(Registro!$E83))),({1,2,3,4,5,6,7,8,9,10,11,12,13,14,15,16,17,18,19,20,21,22,23,24,25,26,27,28,29,30}-1)*LEN(Registro!$E83)+1,LEN(Registro!$E83))),FIND("x",TRIM(MID(SUBSTITUTE(SUBSTITUTE(SUBSTITUTE(SUBSTITUTE(SUBSTITUTE(LOWER(Registro!$E83),"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",LEN(Registro!$E83))),({1,2,3,4,5,6,7,8,9,10,11,12,13,14,15,16,17,18,19,20,21,22,23,24,25,26,27,28,29,30}-1)*LEN(Registro!$E83)+1,LEN(Registro!$E83)))&amp;"x")-1)),--("0"&amp;MID(TRIM(MID(SUBSTITUTE(SUBSTITUTE(SUBSTITUTE(SUBSTITUTE(SUBSTITUTE(LOWER(Registro!$E83),"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",LEN(Registro!$E83))),({1,2,3,4,5,6,7,8,9,10,11,12,13,14,15,16,17,18,19,20,21,22,23,24,25,26,27,28,29,30}-1)*LEN(Registro!$E83)+1,LEN(Registro!$E83))),FIND("x",TRIM(MID(SUBSTITUTE(SUBSTITUTE(SUBSTITUTE(SUBSTITUTE(SUBSTITUTE(LOWER(Registro!$E83),"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",LEN(Registro!$E83))),({1,2,3,4,5,6,7,8,9,10,11,12,13,14,15,16,17,18,19,20,21,22,23,24,25,26,27,28,29,30}-1)*LEN(Registro!$E83)+1,LEN(Registro!$E83)))&amp;"x")+1,20))),"Revisar formato")))</f>
        <v/>
      </c>
      <c r="F83" s="23" t="str">
        <f>IF(Registro!$F83="","",IF(ISERROR(FIND("x",LOWER(Registro!$F83))),"-",IFERROR(SUMPRODUCT(--("0"&amp;LEFT(TRIM(MID(SUBSTITUTE(SUBSTITUTE(SUBSTITUTE(SUBSTITUTE(SUBSTITUTE(LOWER(Registro!$F83)," ",""),CHAR(10),"|"),";","|"),"+","|"),"|",REPT(" ",LEN(Registro!$F83))),({1,2,3,4,5,6,7,8,9,10,11,12,13,14,15,16,17,18,19,20,21,22,23,24,25,26,27,28,29,30}-1)*LEN(Registro!$F83)+1,LEN(Registro!$F83))),FIND("x",TRIM(MID(SUBSTITUTE(SUBSTITUTE(SUBSTITUTE(SUBSTITUTE(SUBSTITUTE(LOWER(Registro!$F83)," ",""),CHAR(10),"|"),";","|"),"+","|"),"|",REPT(" ",LEN(Registro!$F83))),({1,2,3,4,5,6,7,8,9,10,11,12,13,14,15,16,17,18,19,20,21,22,23,24,25,26,27,28,29,30}-1)*LEN(Registro!$F83)+1,LEN(Registro!$F83)))&amp;"x")-1))),"Revisar formato")))</f>
        <v/>
      </c>
      <c r="G83" s="24" t="str">
        <f>IF(Registro!$F83="","",IF(ISERROR(FIND("x",LOWER(Registro!$F83))),N(Registro!$G83),IFERROR(SUMPRODUCT(--("0"&amp;LEFT(TRIM(MID(SUBSTITUTE(SUBSTITUTE(SUBSTITUTE(SUBSTITUTE(SUBSTITUTE(LOWER(Registro!$F83)," ",""),CHAR(10),"|"),";","|"),"+","|"),"|",REPT(" ",LEN(Registro!$F83))),({1,2,3,4,5,6,7,8,9,10,11,12,13,14,15,16,17,18,19,20,21,22,23,24,25,26,27,28,29,30}-1)*LEN(Registro!$F83)+1,LEN(Registro!$F83))),FIND("x",TRIM(MID(SUBSTITUTE(SUBSTITUTE(SUBSTITUTE(SUBSTITUTE(SUBSTITUTE(LOWER(Registro!$F83)," ",""),CHAR(10),"|"),";","|"),"+","|"),"|",REPT(" ",LEN(Registro!$F83))),({1,2,3,4,5,6,7,8,9,10,11,12,13,14,15,16,17,18,19,20,21,22,23,24,25,26,27,28,29,30}-1)*LEN(Registro!$F83)+1,LEN(Registro!$F83)))&amp;"x")-1)),--("0"&amp;MID(TRIM(MID(SUBSTITUTE(SUBSTITUTE(SUBSTITUTE(SUBSTITUTE(SUBSTITUTE(LOWER(Registro!$F83)," ",""),CHAR(10),"|"),";","|"),"+","|"),"|",REPT(" ",LEN(Registro!$F83))),({1,2,3,4,5,6,7,8,9,10,11,12,13,14,15,16,17,18,19,20,21,22,23,24,25,26,27,28,29,30}-1)*LEN(Registro!$F83)+1,LEN(Registro!$F83))),FIND("x",TRIM(MID(SUBSTITUTE(SUBSTITUTE(SUBSTITUTE(SUBSTITUTE(SUBSTITUTE(LOWER(Registro!$F83)," ",""),CHAR(10),"|"),";","|"),"+","|"),"|",REPT(" ",LEN(Registro!$F83))),({1,2,3,4,5,6,7,8,9,10,11,12,13,14,15,16,17,18,19,20,21,22,23,24,25,26,27,28,29,30}-1)*LEN(Registro!$F83)+1,LEN(Registro!$F83)))&amp;"x")+1,20))),"Revisar formato")))</f>
        <v/>
      </c>
      <c r="H83" s="21" t="str">
        <f>IF(AND(Registro!$E83="",Registro!$F83=""),"",IF(NOT(AND(ISNUMBER(G83),ISNUMBER(Registro!$G83))),"",IF(G83&lt;Registro!$G83,"FALTA BOLETOS",IF(G83=Registro!$G83,"CONFORME","DIFERENCIA"))))</f>
        <v/>
      </c>
      <c r="I83" s="24" t="str">
        <f>IF(Registro!$H83="","",IFERROR(SUMPRODUCT(--("0"&amp;TRIM(RIGHT(SUBSTITUTE(TRIM(MID(SUBSTITUTE(SUBSTITUTE(Registro!$H83,";",CHAR(10)),CHAR(10),REPT(" ",LEN(Registro!$H83))),({1,2,3,4,5,6,7,8,9,10,11,12,13,14,15,16,17,18,19,20,21,22,23,24,25,26,27,28,29,30}-1)*LEN(Registro!$H83)+1,LEN(Registro!$H83)))," ",REPT(" ",50)),50)))),"Revisar formato"))</f>
        <v/>
      </c>
      <c r="J83" s="24" t="str">
        <f>IF(Registro!$I83="","",IFERROR(SUMPRODUCT(--("0"&amp;TRIM(RIGHT(SUBSTITUTE(TRIM(MID(SUBSTITUTE(SUBSTITUTE(Registro!$I83,";",CHAR(10)),CHAR(10),REPT(" ",LEN(Registro!$I83))),({1,2,3,4,5,6,7,8,9,10,11,12,13,14,15,16,17,18,19,20,21,22,23,24,25,26,27,28,29,30}-1)*LEN(Registro!$I83)+1,LEN(Registro!$I83)))," ",REPT(" ",50)),50)))),"Revisar formato"))</f>
        <v/>
      </c>
      <c r="K83" s="24" t="str">
        <f>IF(AND(Registro!$G83="",Registro!$H83=""),"",IF(AND(ISTEXT(I83),I83&lt;&gt;""),"Revisar formato",N(Registro!$G83)-N(I83)))</f>
        <v/>
      </c>
      <c r="L83" s="24" t="str">
        <f t="shared" si="3"/>
        <v/>
      </c>
      <c r="M83" s="36" t="str">
        <f>IF(AND(A83=Consulta!$B$3,C83=Consulta!$H$3),B83*10000+ROW(),"")</f>
        <v/>
      </c>
    </row>
    <row r="84" spans="1:13" x14ac:dyDescent="0.25">
      <c r="A84" s="21" t="str">
        <f>IF(Registro!$A84="","",Registro!$A84)</f>
        <v/>
      </c>
      <c r="B84" s="20" t="str">
        <f>IF(Registro!$B84="","",Registro!$B84)</f>
        <v/>
      </c>
      <c r="C84" s="35" t="str">
        <f t="shared" si="2"/>
        <v/>
      </c>
      <c r="D84" s="23" t="str">
        <f>IF(Registro!$E84="","",IF(ISERROR(FIND("x",LOWER(Registro!$E84))),"-",IFERROR(SUMPRODUCT(--("0"&amp;LEFT(TRIM(MID(SUBSTITUTE(SUBSTITUTE(SUBSTITUTE(SUBSTITUTE(SUBSTITUTE(LOWER(Registro!$E84),"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",LEN(Registro!$E84))),({1,2,3,4,5,6,7,8,9,10,11,12,13,14,15,16,17,18,19,20,21,22,23,24,25,26,27,28,29,30}-1)*LEN(Registro!$E84)+1,LEN(Registro!$E84))),FIND("x",TRIM(MID(SUBSTITUTE(SUBSTITUTE(SUBSTITUTE(SUBSTITUTE(SUBSTITUTE(LOWER(Registro!$E84),"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",LEN(Registro!$E84))),({1,2,3,4,5,6,7,8,9,10,11,12,13,14,15,16,17,18,19,20,21,22,23,24,25,26,27,28,29,30}-1)*LEN(Registro!$E84)+1,LEN(Registro!$E84)))&amp;"x")-1))),"Revisar formato")))</f>
        <v/>
      </c>
      <c r="E84" s="24" t="str">
        <f>IF(Registro!$E84="","",IF(ISERROR(FIND("x",LOWER(Registro!$E84))),"-",IFERROR(SUMPRODUCT(--("0"&amp;LEFT(TRIM(MID(SUBSTITUTE(SUBSTITUTE(SUBSTITUTE(SUBSTITUTE(SUBSTITUTE(LOWER(Registro!$E84),"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",LEN(Registro!$E84))),({1,2,3,4,5,6,7,8,9,10,11,12,13,14,15,16,17,18,19,20,21,22,23,24,25,26,27,28,29,30}-1)*LEN(Registro!$E84)+1,LEN(Registro!$E84))),FIND("x",TRIM(MID(SUBSTITUTE(SUBSTITUTE(SUBSTITUTE(SUBSTITUTE(SUBSTITUTE(LOWER(Registro!$E84),"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",LEN(Registro!$E84))),({1,2,3,4,5,6,7,8,9,10,11,12,13,14,15,16,17,18,19,20,21,22,23,24,25,26,27,28,29,30}-1)*LEN(Registro!$E84)+1,LEN(Registro!$E84)))&amp;"x")-1)),--("0"&amp;MID(TRIM(MID(SUBSTITUTE(SUBSTITUTE(SUBSTITUTE(SUBSTITUTE(SUBSTITUTE(LOWER(Registro!$E84),"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",LEN(Registro!$E84))),({1,2,3,4,5,6,7,8,9,10,11,12,13,14,15,16,17,18,19,20,21,22,23,24,25,26,27,28,29,30}-1)*LEN(Registro!$E84)+1,LEN(Registro!$E84))),FIND("x",TRIM(MID(SUBSTITUTE(SUBSTITUTE(SUBSTITUTE(SUBSTITUTE(SUBSTITUTE(LOWER(Registro!$E84),"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",LEN(Registro!$E84))),({1,2,3,4,5,6,7,8,9,10,11,12,13,14,15,16,17,18,19,20,21,22,23,24,25,26,27,28,29,30}-1)*LEN(Registro!$E84)+1,LEN(Registro!$E84)))&amp;"x")+1,20))),"Revisar formato")))</f>
        <v/>
      </c>
      <c r="F84" s="23" t="str">
        <f>IF(Registro!$F84="","",IF(ISERROR(FIND("x",LOWER(Registro!$F84))),"-",IFERROR(SUMPRODUCT(--("0"&amp;LEFT(TRIM(MID(SUBSTITUTE(SUBSTITUTE(SUBSTITUTE(SUBSTITUTE(SUBSTITUTE(LOWER(Registro!$F84)," ",""),CHAR(10),"|"),";","|"),"+","|"),"|",REPT(" ",LEN(Registro!$F84))),({1,2,3,4,5,6,7,8,9,10,11,12,13,14,15,16,17,18,19,20,21,22,23,24,25,26,27,28,29,30}-1)*LEN(Registro!$F84)+1,LEN(Registro!$F84))),FIND("x",TRIM(MID(SUBSTITUTE(SUBSTITUTE(SUBSTITUTE(SUBSTITUTE(SUBSTITUTE(LOWER(Registro!$F84)," ",""),CHAR(10),"|"),";","|"),"+","|"),"|",REPT(" ",LEN(Registro!$F84))),({1,2,3,4,5,6,7,8,9,10,11,12,13,14,15,16,17,18,19,20,21,22,23,24,25,26,27,28,29,30}-1)*LEN(Registro!$F84)+1,LEN(Registro!$F84)))&amp;"x")-1))),"Revisar formato")))</f>
        <v/>
      </c>
      <c r="G84" s="24" t="str">
        <f>IF(Registro!$F84="","",IF(ISERROR(FIND("x",LOWER(Registro!$F84))),N(Registro!$G84),IFERROR(SUMPRODUCT(--("0"&amp;LEFT(TRIM(MID(SUBSTITUTE(SUBSTITUTE(SUBSTITUTE(SUBSTITUTE(SUBSTITUTE(LOWER(Registro!$F84)," ",""),CHAR(10),"|"),";","|"),"+","|"),"|",REPT(" ",LEN(Registro!$F84))),({1,2,3,4,5,6,7,8,9,10,11,12,13,14,15,16,17,18,19,20,21,22,23,24,25,26,27,28,29,30}-1)*LEN(Registro!$F84)+1,LEN(Registro!$F84))),FIND("x",TRIM(MID(SUBSTITUTE(SUBSTITUTE(SUBSTITUTE(SUBSTITUTE(SUBSTITUTE(LOWER(Registro!$F84)," ",""),CHAR(10),"|"),";","|"),"+","|"),"|",REPT(" ",LEN(Registro!$F84))),({1,2,3,4,5,6,7,8,9,10,11,12,13,14,15,16,17,18,19,20,21,22,23,24,25,26,27,28,29,30}-1)*LEN(Registro!$F84)+1,LEN(Registro!$F84)))&amp;"x")-1)),--("0"&amp;MID(TRIM(MID(SUBSTITUTE(SUBSTITUTE(SUBSTITUTE(SUBSTITUTE(SUBSTITUTE(LOWER(Registro!$F84)," ",""),CHAR(10),"|"),";","|"),"+","|"),"|",REPT(" ",LEN(Registro!$F84))),({1,2,3,4,5,6,7,8,9,10,11,12,13,14,15,16,17,18,19,20,21,22,23,24,25,26,27,28,29,30}-1)*LEN(Registro!$F84)+1,LEN(Registro!$F84))),FIND("x",TRIM(MID(SUBSTITUTE(SUBSTITUTE(SUBSTITUTE(SUBSTITUTE(SUBSTITUTE(LOWER(Registro!$F84)," ",""),CHAR(10),"|"),";","|"),"+","|"),"|",REPT(" ",LEN(Registro!$F84))),({1,2,3,4,5,6,7,8,9,10,11,12,13,14,15,16,17,18,19,20,21,22,23,24,25,26,27,28,29,30}-1)*LEN(Registro!$F84)+1,LEN(Registro!$F84)))&amp;"x")+1,20))),"Revisar formato")))</f>
        <v/>
      </c>
      <c r="H84" s="21" t="str">
        <f>IF(AND(Registro!$E84="",Registro!$F84=""),"",IF(NOT(AND(ISNUMBER(G84),ISNUMBER(Registro!$G84))),"",IF(G84&lt;Registro!$G84,"FALTA BOLETOS",IF(G84=Registro!$G84,"CONFORME","DIFERENCIA"))))</f>
        <v/>
      </c>
      <c r="I84" s="24" t="str">
        <f>IF(Registro!$H84="","",IFERROR(SUMPRODUCT(--("0"&amp;TRIM(RIGHT(SUBSTITUTE(TRIM(MID(SUBSTITUTE(SUBSTITUTE(Registro!$H84,";",CHAR(10)),CHAR(10),REPT(" ",LEN(Registro!$H84))),({1,2,3,4,5,6,7,8,9,10,11,12,13,14,15,16,17,18,19,20,21,22,23,24,25,26,27,28,29,30}-1)*LEN(Registro!$H84)+1,LEN(Registro!$H84)))," ",REPT(" ",50)),50)))),"Revisar formato"))</f>
        <v/>
      </c>
      <c r="J84" s="24" t="str">
        <f>IF(Registro!$I84="","",IFERROR(SUMPRODUCT(--("0"&amp;TRIM(RIGHT(SUBSTITUTE(TRIM(MID(SUBSTITUTE(SUBSTITUTE(Registro!$I84,";",CHAR(10)),CHAR(10),REPT(" ",LEN(Registro!$I84))),({1,2,3,4,5,6,7,8,9,10,11,12,13,14,15,16,17,18,19,20,21,22,23,24,25,26,27,28,29,30}-1)*LEN(Registro!$I84)+1,LEN(Registro!$I84)))," ",REPT(" ",50)),50)))),"Revisar formato"))</f>
        <v/>
      </c>
      <c r="K84" s="24" t="str">
        <f>IF(AND(Registro!$G84="",Registro!$H84=""),"",IF(AND(ISTEXT(I84),I84&lt;&gt;""),"Revisar formato",N(Registro!$G84)-N(I84)))</f>
        <v/>
      </c>
      <c r="L84" s="24" t="str">
        <f t="shared" si="3"/>
        <v/>
      </c>
      <c r="M84" s="36" t="str">
        <f>IF(AND(A84=Consulta!$B$3,C84=Consulta!$H$3),B84*10000+ROW(),"")</f>
        <v/>
      </c>
    </row>
    <row r="85" spans="1:13" x14ac:dyDescent="0.25">
      <c r="A85" s="21" t="str">
        <f>IF(Registro!$A85="","",Registro!$A85)</f>
        <v/>
      </c>
      <c r="B85" s="20" t="str">
        <f>IF(Registro!$B85="","",Registro!$B85)</f>
        <v/>
      </c>
      <c r="C85" s="35" t="str">
        <f t="shared" si="2"/>
        <v/>
      </c>
      <c r="D85" s="23" t="str">
        <f>IF(Registro!$E85="","",IF(ISERROR(FIND("x",LOWER(Registro!$E85))),"-",IFERROR(SUMPRODUCT(--("0"&amp;LEFT(TRIM(MID(SUBSTITUTE(SUBSTITUTE(SUBSTITUTE(SUBSTITUTE(SUBSTITUTE(LOWER(Registro!$E85),"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",LEN(Registro!$E85))),({1,2,3,4,5,6,7,8,9,10,11,12,13,14,15,16,17,18,19,20,21,22,23,24,25,26,27,28,29,30}-1)*LEN(Registro!$E85)+1,LEN(Registro!$E85))),FIND("x",TRIM(MID(SUBSTITUTE(SUBSTITUTE(SUBSTITUTE(SUBSTITUTE(SUBSTITUTE(LOWER(Registro!$E85),"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",LEN(Registro!$E85))),({1,2,3,4,5,6,7,8,9,10,11,12,13,14,15,16,17,18,19,20,21,22,23,24,25,26,27,28,29,30}-1)*LEN(Registro!$E85)+1,LEN(Registro!$E85)))&amp;"x")-1))),"Revisar formato")))</f>
        <v/>
      </c>
      <c r="E85" s="24" t="str">
        <f>IF(Registro!$E85="","",IF(ISERROR(FIND("x",LOWER(Registro!$E85))),"-",IFERROR(SUMPRODUCT(--("0"&amp;LEFT(TRIM(MID(SUBSTITUTE(SUBSTITUTE(SUBSTITUTE(SUBSTITUTE(SUBSTITUTE(LOWER(Registro!$E85),"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",LEN(Registro!$E85))),({1,2,3,4,5,6,7,8,9,10,11,12,13,14,15,16,17,18,19,20,21,22,23,24,25,26,27,28,29,30}-1)*LEN(Registro!$E85)+1,LEN(Registro!$E85))),FIND("x",TRIM(MID(SUBSTITUTE(SUBSTITUTE(SUBSTITUTE(SUBSTITUTE(SUBSTITUTE(LOWER(Registro!$E85),"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",LEN(Registro!$E85))),({1,2,3,4,5,6,7,8,9,10,11,12,13,14,15,16,17,18,19,20,21,22,23,24,25,26,27,28,29,30}-1)*LEN(Registro!$E85)+1,LEN(Registro!$E85)))&amp;"x")-1)),--("0"&amp;MID(TRIM(MID(SUBSTITUTE(SUBSTITUTE(SUBSTITUTE(SUBSTITUTE(SUBSTITUTE(LOWER(Registro!$E85),"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",LEN(Registro!$E85))),({1,2,3,4,5,6,7,8,9,10,11,12,13,14,15,16,17,18,19,20,21,22,23,24,25,26,27,28,29,30}-1)*LEN(Registro!$E85)+1,LEN(Registro!$E85))),FIND("x",TRIM(MID(SUBSTITUTE(SUBSTITUTE(SUBSTITUTE(SUBSTITUTE(SUBSTITUTE(LOWER(Registro!$E85),"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",LEN(Registro!$E85))),({1,2,3,4,5,6,7,8,9,10,11,12,13,14,15,16,17,18,19,20,21,22,23,24,25,26,27,28,29,30}-1)*LEN(Registro!$E85)+1,LEN(Registro!$E85)))&amp;"x")+1,20))),"Revisar formato")))</f>
        <v/>
      </c>
      <c r="F85" s="23" t="str">
        <f>IF(Registro!$F85="","",IF(ISERROR(FIND("x",LOWER(Registro!$F85))),"-",IFERROR(SUMPRODUCT(--("0"&amp;LEFT(TRIM(MID(SUBSTITUTE(SUBSTITUTE(SUBSTITUTE(SUBSTITUTE(SUBSTITUTE(LOWER(Registro!$F85)," ",""),CHAR(10),"|"),";","|"),"+","|"),"|",REPT(" ",LEN(Registro!$F85))),({1,2,3,4,5,6,7,8,9,10,11,12,13,14,15,16,17,18,19,20,21,22,23,24,25,26,27,28,29,30}-1)*LEN(Registro!$F85)+1,LEN(Registro!$F85))),FIND("x",TRIM(MID(SUBSTITUTE(SUBSTITUTE(SUBSTITUTE(SUBSTITUTE(SUBSTITUTE(LOWER(Registro!$F85)," ",""),CHAR(10),"|"),";","|"),"+","|"),"|",REPT(" ",LEN(Registro!$F85))),({1,2,3,4,5,6,7,8,9,10,11,12,13,14,15,16,17,18,19,20,21,22,23,24,25,26,27,28,29,30}-1)*LEN(Registro!$F85)+1,LEN(Registro!$F85)))&amp;"x")-1))),"Revisar formato")))</f>
        <v/>
      </c>
      <c r="G85" s="24" t="str">
        <f>IF(Registro!$F85="","",IF(ISERROR(FIND("x",LOWER(Registro!$F85))),N(Registro!$G85),IFERROR(SUMPRODUCT(--("0"&amp;LEFT(TRIM(MID(SUBSTITUTE(SUBSTITUTE(SUBSTITUTE(SUBSTITUTE(SUBSTITUTE(LOWER(Registro!$F85)," ",""),CHAR(10),"|"),";","|"),"+","|"),"|",REPT(" ",LEN(Registro!$F85))),({1,2,3,4,5,6,7,8,9,10,11,12,13,14,15,16,17,18,19,20,21,22,23,24,25,26,27,28,29,30}-1)*LEN(Registro!$F85)+1,LEN(Registro!$F85))),FIND("x",TRIM(MID(SUBSTITUTE(SUBSTITUTE(SUBSTITUTE(SUBSTITUTE(SUBSTITUTE(LOWER(Registro!$F85)," ",""),CHAR(10),"|"),";","|"),"+","|"),"|",REPT(" ",LEN(Registro!$F85))),({1,2,3,4,5,6,7,8,9,10,11,12,13,14,15,16,17,18,19,20,21,22,23,24,25,26,27,28,29,30}-1)*LEN(Registro!$F85)+1,LEN(Registro!$F85)))&amp;"x")-1)),--("0"&amp;MID(TRIM(MID(SUBSTITUTE(SUBSTITUTE(SUBSTITUTE(SUBSTITUTE(SUBSTITUTE(LOWER(Registro!$F85)," ",""),CHAR(10),"|"),";","|"),"+","|"),"|",REPT(" ",LEN(Registro!$F85))),({1,2,3,4,5,6,7,8,9,10,11,12,13,14,15,16,17,18,19,20,21,22,23,24,25,26,27,28,29,30}-1)*LEN(Registro!$F85)+1,LEN(Registro!$F85))),FIND("x",TRIM(MID(SUBSTITUTE(SUBSTITUTE(SUBSTITUTE(SUBSTITUTE(SUBSTITUTE(LOWER(Registro!$F85)," ",""),CHAR(10),"|"),";","|"),"+","|"),"|",REPT(" ",LEN(Registro!$F85))),({1,2,3,4,5,6,7,8,9,10,11,12,13,14,15,16,17,18,19,20,21,22,23,24,25,26,27,28,29,30}-1)*LEN(Registro!$F85)+1,LEN(Registro!$F85)))&amp;"x")+1,20))),"Revisar formato")))</f>
        <v/>
      </c>
      <c r="H85" s="21" t="str">
        <f>IF(AND(Registro!$E85="",Registro!$F85=""),"",IF(NOT(AND(ISNUMBER(G85),ISNUMBER(Registro!$G85))),"",IF(G85&lt;Registro!$G85,"FALTA BOLETOS",IF(G85=Registro!$G85,"CONFORME","DIFERENCIA"))))</f>
        <v/>
      </c>
      <c r="I85" s="24" t="str">
        <f>IF(Registro!$H85="","",IFERROR(SUMPRODUCT(--("0"&amp;TRIM(RIGHT(SUBSTITUTE(TRIM(MID(SUBSTITUTE(SUBSTITUTE(Registro!$H85,";",CHAR(10)),CHAR(10),REPT(" ",LEN(Registro!$H85))),({1,2,3,4,5,6,7,8,9,10,11,12,13,14,15,16,17,18,19,20,21,22,23,24,25,26,27,28,29,30}-1)*LEN(Registro!$H85)+1,LEN(Registro!$H85)))," ",REPT(" ",50)),50)))),"Revisar formato"))</f>
        <v/>
      </c>
      <c r="J85" s="24" t="str">
        <f>IF(Registro!$I85="","",IFERROR(SUMPRODUCT(--("0"&amp;TRIM(RIGHT(SUBSTITUTE(TRIM(MID(SUBSTITUTE(SUBSTITUTE(Registro!$I85,";",CHAR(10)),CHAR(10),REPT(" ",LEN(Registro!$I85))),({1,2,3,4,5,6,7,8,9,10,11,12,13,14,15,16,17,18,19,20,21,22,23,24,25,26,27,28,29,30}-1)*LEN(Registro!$I85)+1,LEN(Registro!$I85)))," ",REPT(" ",50)),50)))),"Revisar formato"))</f>
        <v/>
      </c>
      <c r="K85" s="24" t="str">
        <f>IF(AND(Registro!$G85="",Registro!$H85=""),"",IF(AND(ISTEXT(I85),I85&lt;&gt;""),"Revisar formato",N(Registro!$G85)-N(I85)))</f>
        <v/>
      </c>
      <c r="L85" s="24" t="str">
        <f t="shared" si="3"/>
        <v/>
      </c>
      <c r="M85" s="36" t="str">
        <f>IF(AND(A85=Consulta!$B$3,C85=Consulta!$H$3),B85*10000+ROW(),"")</f>
        <v/>
      </c>
    </row>
    <row r="86" spans="1:13" x14ac:dyDescent="0.25">
      <c r="A86" s="21" t="str">
        <f>IF(Registro!$A86="","",Registro!$A86)</f>
        <v/>
      </c>
      <c r="B86" s="20" t="str">
        <f>IF(Registro!$B86="","",Registro!$B86)</f>
        <v/>
      </c>
      <c r="C86" s="35" t="str">
        <f t="shared" si="2"/>
        <v/>
      </c>
      <c r="D86" s="23" t="str">
        <f>IF(Registro!$E86="","",IF(ISERROR(FIND("x",LOWER(Registro!$E86))),"-",IFERROR(SUMPRODUCT(--("0"&amp;LEFT(TRIM(MID(SUBSTITUTE(SUBSTITUTE(SUBSTITUTE(SUBSTITUTE(SUBSTITUTE(LOWER(Registro!$E86),"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",LEN(Registro!$E86))),({1,2,3,4,5,6,7,8,9,10,11,12,13,14,15,16,17,18,19,20,21,22,23,24,25,26,27,28,29,30}-1)*LEN(Registro!$E86)+1,LEN(Registro!$E86))),FIND("x",TRIM(MID(SUBSTITUTE(SUBSTITUTE(SUBSTITUTE(SUBSTITUTE(SUBSTITUTE(LOWER(Registro!$E86),"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",LEN(Registro!$E86))),({1,2,3,4,5,6,7,8,9,10,11,12,13,14,15,16,17,18,19,20,21,22,23,24,25,26,27,28,29,30}-1)*LEN(Registro!$E86)+1,LEN(Registro!$E86)))&amp;"x")-1))),"Revisar formato")))</f>
        <v/>
      </c>
      <c r="E86" s="24" t="str">
        <f>IF(Registro!$E86="","",IF(ISERROR(FIND("x",LOWER(Registro!$E86))),"-",IFERROR(SUMPRODUCT(--("0"&amp;LEFT(TRIM(MID(SUBSTITUTE(SUBSTITUTE(SUBSTITUTE(SUBSTITUTE(SUBSTITUTE(LOWER(Registro!$E86),"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",LEN(Registro!$E86))),({1,2,3,4,5,6,7,8,9,10,11,12,13,14,15,16,17,18,19,20,21,22,23,24,25,26,27,28,29,30}-1)*LEN(Registro!$E86)+1,LEN(Registro!$E86))),FIND("x",TRIM(MID(SUBSTITUTE(SUBSTITUTE(SUBSTITUTE(SUBSTITUTE(SUBSTITUTE(LOWER(Registro!$E86),"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",LEN(Registro!$E86))),({1,2,3,4,5,6,7,8,9,10,11,12,13,14,15,16,17,18,19,20,21,22,23,24,25,26,27,28,29,30}-1)*LEN(Registro!$E86)+1,LEN(Registro!$E86)))&amp;"x")-1)),--("0"&amp;MID(TRIM(MID(SUBSTITUTE(SUBSTITUTE(SUBSTITUTE(SUBSTITUTE(SUBSTITUTE(LOWER(Registro!$E86),"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",LEN(Registro!$E86))),({1,2,3,4,5,6,7,8,9,10,11,12,13,14,15,16,17,18,19,20,21,22,23,24,25,26,27,28,29,30}-1)*LEN(Registro!$E86)+1,LEN(Registro!$E86))),FIND("x",TRIM(MID(SUBSTITUTE(SUBSTITUTE(SUBSTITUTE(SUBSTITUTE(SUBSTITUTE(LOWER(Registro!$E86),"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",LEN(Registro!$E86))),({1,2,3,4,5,6,7,8,9,10,11,12,13,14,15,16,17,18,19,20,21,22,23,24,25,26,27,28,29,30}-1)*LEN(Registro!$E86)+1,LEN(Registro!$E86)))&amp;"x")+1,20))),"Revisar formato")))</f>
        <v/>
      </c>
      <c r="F86" s="23" t="str">
        <f>IF(Registro!$F86="","",IF(ISERROR(FIND("x",LOWER(Registro!$F86))),"-",IFERROR(SUMPRODUCT(--("0"&amp;LEFT(TRIM(MID(SUBSTITUTE(SUBSTITUTE(SUBSTITUTE(SUBSTITUTE(SUBSTITUTE(LOWER(Registro!$F86)," ",""),CHAR(10),"|"),";","|"),"+","|"),"|",REPT(" ",LEN(Registro!$F86))),({1,2,3,4,5,6,7,8,9,10,11,12,13,14,15,16,17,18,19,20,21,22,23,24,25,26,27,28,29,30}-1)*LEN(Registro!$F86)+1,LEN(Registro!$F86))),FIND("x",TRIM(MID(SUBSTITUTE(SUBSTITUTE(SUBSTITUTE(SUBSTITUTE(SUBSTITUTE(LOWER(Registro!$F86)," ",""),CHAR(10),"|"),";","|"),"+","|"),"|",REPT(" ",LEN(Registro!$F86))),({1,2,3,4,5,6,7,8,9,10,11,12,13,14,15,16,17,18,19,20,21,22,23,24,25,26,27,28,29,30}-1)*LEN(Registro!$F86)+1,LEN(Registro!$F86)))&amp;"x")-1))),"Revisar formato")))</f>
        <v/>
      </c>
      <c r="G86" s="24" t="str">
        <f>IF(Registro!$F86="","",IF(ISERROR(FIND("x",LOWER(Registro!$F86))),N(Registro!$G86),IFERROR(SUMPRODUCT(--("0"&amp;LEFT(TRIM(MID(SUBSTITUTE(SUBSTITUTE(SUBSTITUTE(SUBSTITUTE(SUBSTITUTE(LOWER(Registro!$F86)," ",""),CHAR(10),"|"),";","|"),"+","|"),"|",REPT(" ",LEN(Registro!$F86))),({1,2,3,4,5,6,7,8,9,10,11,12,13,14,15,16,17,18,19,20,21,22,23,24,25,26,27,28,29,30}-1)*LEN(Registro!$F86)+1,LEN(Registro!$F86))),FIND("x",TRIM(MID(SUBSTITUTE(SUBSTITUTE(SUBSTITUTE(SUBSTITUTE(SUBSTITUTE(LOWER(Registro!$F86)," ",""),CHAR(10),"|"),";","|"),"+","|"),"|",REPT(" ",LEN(Registro!$F86))),({1,2,3,4,5,6,7,8,9,10,11,12,13,14,15,16,17,18,19,20,21,22,23,24,25,26,27,28,29,30}-1)*LEN(Registro!$F86)+1,LEN(Registro!$F86)))&amp;"x")-1)),--("0"&amp;MID(TRIM(MID(SUBSTITUTE(SUBSTITUTE(SUBSTITUTE(SUBSTITUTE(SUBSTITUTE(LOWER(Registro!$F86)," ",""),CHAR(10),"|"),";","|"),"+","|"),"|",REPT(" ",LEN(Registro!$F86))),({1,2,3,4,5,6,7,8,9,10,11,12,13,14,15,16,17,18,19,20,21,22,23,24,25,26,27,28,29,30}-1)*LEN(Registro!$F86)+1,LEN(Registro!$F86))),FIND("x",TRIM(MID(SUBSTITUTE(SUBSTITUTE(SUBSTITUTE(SUBSTITUTE(SUBSTITUTE(LOWER(Registro!$F86)," ",""),CHAR(10),"|"),";","|"),"+","|"),"|",REPT(" ",LEN(Registro!$F86))),({1,2,3,4,5,6,7,8,9,10,11,12,13,14,15,16,17,18,19,20,21,22,23,24,25,26,27,28,29,30}-1)*LEN(Registro!$F86)+1,LEN(Registro!$F86)))&amp;"x")+1,20))),"Revisar formato")))</f>
        <v/>
      </c>
      <c r="H86" s="21" t="str">
        <f>IF(AND(Registro!$E86="",Registro!$F86=""),"",IF(NOT(AND(ISNUMBER(G86),ISNUMBER(Registro!$G86))),"",IF(G86&lt;Registro!$G86,"FALTA BOLETOS",IF(G86=Registro!$G86,"CONFORME","DIFERENCIA"))))</f>
        <v/>
      </c>
      <c r="I86" s="24" t="str">
        <f>IF(Registro!$H86="","",IFERROR(SUMPRODUCT(--("0"&amp;TRIM(RIGHT(SUBSTITUTE(TRIM(MID(SUBSTITUTE(SUBSTITUTE(Registro!$H86,";",CHAR(10)),CHAR(10),REPT(" ",LEN(Registro!$H86))),({1,2,3,4,5,6,7,8,9,10,11,12,13,14,15,16,17,18,19,20,21,22,23,24,25,26,27,28,29,30}-1)*LEN(Registro!$H86)+1,LEN(Registro!$H86)))," ",REPT(" ",50)),50)))),"Revisar formato"))</f>
        <v/>
      </c>
      <c r="J86" s="24" t="str">
        <f>IF(Registro!$I86="","",IFERROR(SUMPRODUCT(--("0"&amp;TRIM(RIGHT(SUBSTITUTE(TRIM(MID(SUBSTITUTE(SUBSTITUTE(Registro!$I86,";",CHAR(10)),CHAR(10),REPT(" ",LEN(Registro!$I86))),({1,2,3,4,5,6,7,8,9,10,11,12,13,14,15,16,17,18,19,20,21,22,23,24,25,26,27,28,29,30}-1)*LEN(Registro!$I86)+1,LEN(Registro!$I86)))," ",REPT(" ",50)),50)))),"Revisar formato"))</f>
        <v/>
      </c>
      <c r="K86" s="24" t="str">
        <f>IF(AND(Registro!$G86="",Registro!$H86=""),"",IF(AND(ISTEXT(I86),I86&lt;&gt;""),"Revisar formato",N(Registro!$G86)-N(I86)))</f>
        <v/>
      </c>
      <c r="L86" s="24" t="str">
        <f t="shared" si="3"/>
        <v/>
      </c>
      <c r="M86" s="36" t="str">
        <f>IF(AND(A86=Consulta!$B$3,C86=Consulta!$H$3),B86*10000+ROW(),"")</f>
        <v/>
      </c>
    </row>
    <row r="87" spans="1:13" x14ac:dyDescent="0.25">
      <c r="A87" s="21" t="str">
        <f>IF(Registro!$A87="","",Registro!$A87)</f>
        <v/>
      </c>
      <c r="B87" s="20" t="str">
        <f>IF(Registro!$B87="","",Registro!$B87)</f>
        <v/>
      </c>
      <c r="C87" s="35" t="str">
        <f t="shared" si="2"/>
        <v/>
      </c>
      <c r="D87" s="23" t="str">
        <f>IF(Registro!$E87="","",IF(ISERROR(FIND("x",LOWER(Registro!$E87))),"-",IFERROR(SUMPRODUCT(--("0"&amp;LEFT(TRIM(MID(SUBSTITUTE(SUBSTITUTE(SUBSTITUTE(SUBSTITUTE(SUBSTITUTE(LOWER(Registro!$E87),"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",LEN(Registro!$E87))),({1,2,3,4,5,6,7,8,9,10,11,12,13,14,15,16,17,18,19,20,21,22,23,24,25,26,27,28,29,30}-1)*LEN(Registro!$E87)+1,LEN(Registro!$E87))),FIND("x",TRIM(MID(SUBSTITUTE(SUBSTITUTE(SUBSTITUTE(SUBSTITUTE(SUBSTITUTE(LOWER(Registro!$E87),"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",LEN(Registro!$E87))),({1,2,3,4,5,6,7,8,9,10,11,12,13,14,15,16,17,18,19,20,21,22,23,24,25,26,27,28,29,30}-1)*LEN(Registro!$E87)+1,LEN(Registro!$E87)))&amp;"x")-1))),"Revisar formato")))</f>
        <v/>
      </c>
      <c r="E87" s="24" t="str">
        <f>IF(Registro!$E87="","",IF(ISERROR(FIND("x",LOWER(Registro!$E87))),"-",IFERROR(SUMPRODUCT(--("0"&amp;LEFT(TRIM(MID(SUBSTITUTE(SUBSTITUTE(SUBSTITUTE(SUBSTITUTE(SUBSTITUTE(LOWER(Registro!$E87),"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",LEN(Registro!$E87))),({1,2,3,4,5,6,7,8,9,10,11,12,13,14,15,16,17,18,19,20,21,22,23,24,25,26,27,28,29,30}-1)*LEN(Registro!$E87)+1,LEN(Registro!$E87))),FIND("x",TRIM(MID(SUBSTITUTE(SUBSTITUTE(SUBSTITUTE(SUBSTITUTE(SUBSTITUTE(LOWER(Registro!$E87),"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",LEN(Registro!$E87))),({1,2,3,4,5,6,7,8,9,10,11,12,13,14,15,16,17,18,19,20,21,22,23,24,25,26,27,28,29,30}-1)*LEN(Registro!$E87)+1,LEN(Registro!$E87)))&amp;"x")-1)),--("0"&amp;MID(TRIM(MID(SUBSTITUTE(SUBSTITUTE(SUBSTITUTE(SUBSTITUTE(SUBSTITUTE(LOWER(Registro!$E87),"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",LEN(Registro!$E87))),({1,2,3,4,5,6,7,8,9,10,11,12,13,14,15,16,17,18,19,20,21,22,23,24,25,26,27,28,29,30}-1)*LEN(Registro!$E87)+1,LEN(Registro!$E87))),FIND("x",TRIM(MID(SUBSTITUTE(SUBSTITUTE(SUBSTITUTE(SUBSTITUTE(SUBSTITUTE(LOWER(Registro!$E87),"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",LEN(Registro!$E87))),({1,2,3,4,5,6,7,8,9,10,11,12,13,14,15,16,17,18,19,20,21,22,23,24,25,26,27,28,29,30}-1)*LEN(Registro!$E87)+1,LEN(Registro!$E87)))&amp;"x")+1,20))),"Revisar formato")))</f>
        <v/>
      </c>
      <c r="F87" s="23" t="str">
        <f>IF(Registro!$F87="","",IF(ISERROR(FIND("x",LOWER(Registro!$F87))),"-",IFERROR(SUMPRODUCT(--("0"&amp;LEFT(TRIM(MID(SUBSTITUTE(SUBSTITUTE(SUBSTITUTE(SUBSTITUTE(SUBSTITUTE(LOWER(Registro!$F87)," ",""),CHAR(10),"|"),";","|"),"+","|"),"|",REPT(" ",LEN(Registro!$F87))),({1,2,3,4,5,6,7,8,9,10,11,12,13,14,15,16,17,18,19,20,21,22,23,24,25,26,27,28,29,30}-1)*LEN(Registro!$F87)+1,LEN(Registro!$F87))),FIND("x",TRIM(MID(SUBSTITUTE(SUBSTITUTE(SUBSTITUTE(SUBSTITUTE(SUBSTITUTE(LOWER(Registro!$F87)," ",""),CHAR(10),"|"),";","|"),"+","|"),"|",REPT(" ",LEN(Registro!$F87))),({1,2,3,4,5,6,7,8,9,10,11,12,13,14,15,16,17,18,19,20,21,22,23,24,25,26,27,28,29,30}-1)*LEN(Registro!$F87)+1,LEN(Registro!$F87)))&amp;"x")-1))),"Revisar formato")))</f>
        <v/>
      </c>
      <c r="G87" s="24" t="str">
        <f>IF(Registro!$F87="","",IF(ISERROR(FIND("x",LOWER(Registro!$F87))),N(Registro!$G87),IFERROR(SUMPRODUCT(--("0"&amp;LEFT(TRIM(MID(SUBSTITUTE(SUBSTITUTE(SUBSTITUTE(SUBSTITUTE(SUBSTITUTE(LOWER(Registro!$F87)," ",""),CHAR(10),"|"),";","|"),"+","|"),"|",REPT(" ",LEN(Registro!$F87))),({1,2,3,4,5,6,7,8,9,10,11,12,13,14,15,16,17,18,19,20,21,22,23,24,25,26,27,28,29,30}-1)*LEN(Registro!$F87)+1,LEN(Registro!$F87))),FIND("x",TRIM(MID(SUBSTITUTE(SUBSTITUTE(SUBSTITUTE(SUBSTITUTE(SUBSTITUTE(LOWER(Registro!$F87)," ",""),CHAR(10),"|"),";","|"),"+","|"),"|",REPT(" ",LEN(Registro!$F87))),({1,2,3,4,5,6,7,8,9,10,11,12,13,14,15,16,17,18,19,20,21,22,23,24,25,26,27,28,29,30}-1)*LEN(Registro!$F87)+1,LEN(Registro!$F87)))&amp;"x")-1)),--("0"&amp;MID(TRIM(MID(SUBSTITUTE(SUBSTITUTE(SUBSTITUTE(SUBSTITUTE(SUBSTITUTE(LOWER(Registro!$F87)," ",""),CHAR(10),"|"),";","|"),"+","|"),"|",REPT(" ",LEN(Registro!$F87))),({1,2,3,4,5,6,7,8,9,10,11,12,13,14,15,16,17,18,19,20,21,22,23,24,25,26,27,28,29,30}-1)*LEN(Registro!$F87)+1,LEN(Registro!$F87))),FIND("x",TRIM(MID(SUBSTITUTE(SUBSTITUTE(SUBSTITUTE(SUBSTITUTE(SUBSTITUTE(LOWER(Registro!$F87)," ",""),CHAR(10),"|"),";","|"),"+","|"),"|",REPT(" ",LEN(Registro!$F87))),({1,2,3,4,5,6,7,8,9,10,11,12,13,14,15,16,17,18,19,20,21,22,23,24,25,26,27,28,29,30}-1)*LEN(Registro!$F87)+1,LEN(Registro!$F87)))&amp;"x")+1,20))),"Revisar formato")))</f>
        <v/>
      </c>
      <c r="H87" s="21" t="str">
        <f>IF(AND(Registro!$E87="",Registro!$F87=""),"",IF(NOT(AND(ISNUMBER(G87),ISNUMBER(Registro!$G87))),"",IF(G87&lt;Registro!$G87,"FALTA BOLETOS",IF(G87=Registro!$G87,"CONFORME","DIFERENCIA"))))</f>
        <v/>
      </c>
      <c r="I87" s="24" t="str">
        <f>IF(Registro!$H87="","",IFERROR(SUMPRODUCT(--("0"&amp;TRIM(RIGHT(SUBSTITUTE(TRIM(MID(SUBSTITUTE(SUBSTITUTE(Registro!$H87,";",CHAR(10)),CHAR(10),REPT(" ",LEN(Registro!$H87))),({1,2,3,4,5,6,7,8,9,10,11,12,13,14,15,16,17,18,19,20,21,22,23,24,25,26,27,28,29,30}-1)*LEN(Registro!$H87)+1,LEN(Registro!$H87)))," ",REPT(" ",50)),50)))),"Revisar formato"))</f>
        <v/>
      </c>
      <c r="J87" s="24" t="str">
        <f>IF(Registro!$I87="","",IFERROR(SUMPRODUCT(--("0"&amp;TRIM(RIGHT(SUBSTITUTE(TRIM(MID(SUBSTITUTE(SUBSTITUTE(Registro!$I87,";",CHAR(10)),CHAR(10),REPT(" ",LEN(Registro!$I87))),({1,2,3,4,5,6,7,8,9,10,11,12,13,14,15,16,17,18,19,20,21,22,23,24,25,26,27,28,29,30}-1)*LEN(Registro!$I87)+1,LEN(Registro!$I87)))," ",REPT(" ",50)),50)))),"Revisar formato"))</f>
        <v/>
      </c>
      <c r="K87" s="24" t="str">
        <f>IF(AND(Registro!$G87="",Registro!$H87=""),"",IF(AND(ISTEXT(I87),I87&lt;&gt;""),"Revisar formato",N(Registro!$G87)-N(I87)))</f>
        <v/>
      </c>
      <c r="L87" s="24" t="str">
        <f t="shared" si="3"/>
        <v/>
      </c>
      <c r="M87" s="36" t="str">
        <f>IF(AND(A87=Consulta!$B$3,C87=Consulta!$H$3),B87*10000+ROW(),"")</f>
        <v/>
      </c>
    </row>
    <row r="88" spans="1:13" x14ac:dyDescent="0.25">
      <c r="A88" s="21" t="str">
        <f>IF(Registro!$A88="","",Registro!$A88)</f>
        <v/>
      </c>
      <c r="B88" s="20" t="str">
        <f>IF(Registro!$B88="","",Registro!$B88)</f>
        <v/>
      </c>
      <c r="C88" s="35" t="str">
        <f t="shared" si="2"/>
        <v/>
      </c>
      <c r="D88" s="23" t="str">
        <f>IF(Registro!$E88="","",IF(ISERROR(FIND("x",LOWER(Registro!$E88))),"-",IFERROR(SUMPRODUCT(--("0"&amp;LEFT(TRIM(MID(SUBSTITUTE(SUBSTITUTE(SUBSTITUTE(SUBSTITUTE(SUBSTITUTE(LOWER(Registro!$E88),"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",LEN(Registro!$E88))),({1,2,3,4,5,6,7,8,9,10,11,12,13,14,15,16,17,18,19,20,21,22,23,24,25,26,27,28,29,30}-1)*LEN(Registro!$E88)+1,LEN(Registro!$E88))),FIND("x",TRIM(MID(SUBSTITUTE(SUBSTITUTE(SUBSTITUTE(SUBSTITUTE(SUBSTITUTE(LOWER(Registro!$E88),"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",LEN(Registro!$E88))),({1,2,3,4,5,6,7,8,9,10,11,12,13,14,15,16,17,18,19,20,21,22,23,24,25,26,27,28,29,30}-1)*LEN(Registro!$E88)+1,LEN(Registro!$E88)))&amp;"x")-1))),"Revisar formato")))</f>
        <v/>
      </c>
      <c r="E88" s="24" t="str">
        <f>IF(Registro!$E88="","",IF(ISERROR(FIND("x",LOWER(Registro!$E88))),"-",IFERROR(SUMPRODUCT(--("0"&amp;LEFT(TRIM(MID(SUBSTITUTE(SUBSTITUTE(SUBSTITUTE(SUBSTITUTE(SUBSTITUTE(LOWER(Registro!$E88),"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",LEN(Registro!$E88))),({1,2,3,4,5,6,7,8,9,10,11,12,13,14,15,16,17,18,19,20,21,22,23,24,25,26,27,28,29,30}-1)*LEN(Registro!$E88)+1,LEN(Registro!$E88))),FIND("x",TRIM(MID(SUBSTITUTE(SUBSTITUTE(SUBSTITUTE(SUBSTITUTE(SUBSTITUTE(LOWER(Registro!$E88),"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",LEN(Registro!$E88))),({1,2,3,4,5,6,7,8,9,10,11,12,13,14,15,16,17,18,19,20,21,22,23,24,25,26,27,28,29,30}-1)*LEN(Registro!$E88)+1,LEN(Registro!$E88)))&amp;"x")-1)),--("0"&amp;MID(TRIM(MID(SUBSTITUTE(SUBSTITUTE(SUBSTITUTE(SUBSTITUTE(SUBSTITUTE(LOWER(Registro!$E88),"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",LEN(Registro!$E88))),({1,2,3,4,5,6,7,8,9,10,11,12,13,14,15,16,17,18,19,20,21,22,23,24,25,26,27,28,29,30}-1)*LEN(Registro!$E88)+1,LEN(Registro!$E88))),FIND("x",TRIM(MID(SUBSTITUTE(SUBSTITUTE(SUBSTITUTE(SUBSTITUTE(SUBSTITUTE(LOWER(Registro!$E88),"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",LEN(Registro!$E88))),({1,2,3,4,5,6,7,8,9,10,11,12,13,14,15,16,17,18,19,20,21,22,23,24,25,26,27,28,29,30}-1)*LEN(Registro!$E88)+1,LEN(Registro!$E88)))&amp;"x")+1,20))),"Revisar formato")))</f>
        <v/>
      </c>
      <c r="F88" s="23" t="str">
        <f>IF(Registro!$F88="","",IF(ISERROR(FIND("x",LOWER(Registro!$F88))),"-",IFERROR(SUMPRODUCT(--("0"&amp;LEFT(TRIM(MID(SUBSTITUTE(SUBSTITUTE(SUBSTITUTE(SUBSTITUTE(SUBSTITUTE(LOWER(Registro!$F88)," ",""),CHAR(10),"|"),";","|"),"+","|"),"|",REPT(" ",LEN(Registro!$F88))),({1,2,3,4,5,6,7,8,9,10,11,12,13,14,15,16,17,18,19,20,21,22,23,24,25,26,27,28,29,30}-1)*LEN(Registro!$F88)+1,LEN(Registro!$F88))),FIND("x",TRIM(MID(SUBSTITUTE(SUBSTITUTE(SUBSTITUTE(SUBSTITUTE(SUBSTITUTE(LOWER(Registro!$F88)," ",""),CHAR(10),"|"),";","|"),"+","|"),"|",REPT(" ",LEN(Registro!$F88))),({1,2,3,4,5,6,7,8,9,10,11,12,13,14,15,16,17,18,19,20,21,22,23,24,25,26,27,28,29,30}-1)*LEN(Registro!$F88)+1,LEN(Registro!$F88)))&amp;"x")-1))),"Revisar formato")))</f>
        <v/>
      </c>
      <c r="G88" s="24" t="str">
        <f>IF(Registro!$F88="","",IF(ISERROR(FIND("x",LOWER(Registro!$F88))),N(Registro!$G88),IFERROR(SUMPRODUCT(--("0"&amp;LEFT(TRIM(MID(SUBSTITUTE(SUBSTITUTE(SUBSTITUTE(SUBSTITUTE(SUBSTITUTE(LOWER(Registro!$F88)," ",""),CHAR(10),"|"),";","|"),"+","|"),"|",REPT(" ",LEN(Registro!$F88))),({1,2,3,4,5,6,7,8,9,10,11,12,13,14,15,16,17,18,19,20,21,22,23,24,25,26,27,28,29,30}-1)*LEN(Registro!$F88)+1,LEN(Registro!$F88))),FIND("x",TRIM(MID(SUBSTITUTE(SUBSTITUTE(SUBSTITUTE(SUBSTITUTE(SUBSTITUTE(LOWER(Registro!$F88)," ",""),CHAR(10),"|"),";","|"),"+","|"),"|",REPT(" ",LEN(Registro!$F88))),({1,2,3,4,5,6,7,8,9,10,11,12,13,14,15,16,17,18,19,20,21,22,23,24,25,26,27,28,29,30}-1)*LEN(Registro!$F88)+1,LEN(Registro!$F88)))&amp;"x")-1)),--("0"&amp;MID(TRIM(MID(SUBSTITUTE(SUBSTITUTE(SUBSTITUTE(SUBSTITUTE(SUBSTITUTE(LOWER(Registro!$F88)," ",""),CHAR(10),"|"),";","|"),"+","|"),"|",REPT(" ",LEN(Registro!$F88))),({1,2,3,4,5,6,7,8,9,10,11,12,13,14,15,16,17,18,19,20,21,22,23,24,25,26,27,28,29,30}-1)*LEN(Registro!$F88)+1,LEN(Registro!$F88))),FIND("x",TRIM(MID(SUBSTITUTE(SUBSTITUTE(SUBSTITUTE(SUBSTITUTE(SUBSTITUTE(LOWER(Registro!$F88)," ",""),CHAR(10),"|"),";","|"),"+","|"),"|",REPT(" ",LEN(Registro!$F88))),({1,2,3,4,5,6,7,8,9,10,11,12,13,14,15,16,17,18,19,20,21,22,23,24,25,26,27,28,29,30}-1)*LEN(Registro!$F88)+1,LEN(Registro!$F88)))&amp;"x")+1,20))),"Revisar formato")))</f>
        <v/>
      </c>
      <c r="H88" s="21" t="str">
        <f>IF(AND(Registro!$E88="",Registro!$F88=""),"",IF(NOT(AND(ISNUMBER(G88),ISNUMBER(Registro!$G88))),"",IF(G88&lt;Registro!$G88,"FALTA BOLETOS",IF(G88=Registro!$G88,"CONFORME","DIFERENCIA"))))</f>
        <v/>
      </c>
      <c r="I88" s="24" t="str">
        <f>IF(Registro!$H88="","",IFERROR(SUMPRODUCT(--("0"&amp;TRIM(RIGHT(SUBSTITUTE(TRIM(MID(SUBSTITUTE(SUBSTITUTE(Registro!$H88,";",CHAR(10)),CHAR(10),REPT(" ",LEN(Registro!$H88))),({1,2,3,4,5,6,7,8,9,10,11,12,13,14,15,16,17,18,19,20,21,22,23,24,25,26,27,28,29,30}-1)*LEN(Registro!$H88)+1,LEN(Registro!$H88)))," ",REPT(" ",50)),50)))),"Revisar formato"))</f>
        <v/>
      </c>
      <c r="J88" s="24" t="str">
        <f>IF(Registro!$I88="","",IFERROR(SUMPRODUCT(--("0"&amp;TRIM(RIGHT(SUBSTITUTE(TRIM(MID(SUBSTITUTE(SUBSTITUTE(Registro!$I88,";",CHAR(10)),CHAR(10),REPT(" ",LEN(Registro!$I88))),({1,2,3,4,5,6,7,8,9,10,11,12,13,14,15,16,17,18,19,20,21,22,23,24,25,26,27,28,29,30}-1)*LEN(Registro!$I88)+1,LEN(Registro!$I88)))," ",REPT(" ",50)),50)))),"Revisar formato"))</f>
        <v/>
      </c>
      <c r="K88" s="24" t="str">
        <f>IF(AND(Registro!$G88="",Registro!$H88=""),"",IF(AND(ISTEXT(I88),I88&lt;&gt;""),"Revisar formato",N(Registro!$G88)-N(I88)))</f>
        <v/>
      </c>
      <c r="L88" s="24" t="str">
        <f t="shared" si="3"/>
        <v/>
      </c>
      <c r="M88" s="36" t="str">
        <f>IF(AND(A88=Consulta!$B$3,C88=Consulta!$H$3),B88*10000+ROW(),"")</f>
        <v/>
      </c>
    </row>
    <row r="89" spans="1:13" x14ac:dyDescent="0.25">
      <c r="A89" s="21" t="str">
        <f>IF(Registro!$A89="","",Registro!$A89)</f>
        <v/>
      </c>
      <c r="B89" s="20" t="str">
        <f>IF(Registro!$B89="","",Registro!$B89)</f>
        <v/>
      </c>
      <c r="C89" s="35" t="str">
        <f t="shared" si="2"/>
        <v/>
      </c>
      <c r="D89" s="23" t="str">
        <f>IF(Registro!$E89="","",IF(ISERROR(FIND("x",LOWER(Registro!$E89))),"-",IFERROR(SUMPRODUCT(--("0"&amp;LEFT(TRIM(MID(SUBSTITUTE(SUBSTITUTE(SUBSTITUTE(SUBSTITUTE(SUBSTITUTE(LOWER(Registro!$E89),"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",LEN(Registro!$E89))),({1,2,3,4,5,6,7,8,9,10,11,12,13,14,15,16,17,18,19,20,21,22,23,24,25,26,27,28,29,30}-1)*LEN(Registro!$E89)+1,LEN(Registro!$E89))),FIND("x",TRIM(MID(SUBSTITUTE(SUBSTITUTE(SUBSTITUTE(SUBSTITUTE(SUBSTITUTE(LOWER(Registro!$E89),"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",LEN(Registro!$E89))),({1,2,3,4,5,6,7,8,9,10,11,12,13,14,15,16,17,18,19,20,21,22,23,24,25,26,27,28,29,30}-1)*LEN(Registro!$E89)+1,LEN(Registro!$E89)))&amp;"x")-1))),"Revisar formato")))</f>
        <v/>
      </c>
      <c r="E89" s="24" t="str">
        <f>IF(Registro!$E89="","",IF(ISERROR(FIND("x",LOWER(Registro!$E89))),"-",IFERROR(SUMPRODUCT(--("0"&amp;LEFT(TRIM(MID(SUBSTITUTE(SUBSTITUTE(SUBSTITUTE(SUBSTITUTE(SUBSTITUTE(LOWER(Registro!$E89),"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",LEN(Registro!$E89))),({1,2,3,4,5,6,7,8,9,10,11,12,13,14,15,16,17,18,19,20,21,22,23,24,25,26,27,28,29,30}-1)*LEN(Registro!$E89)+1,LEN(Registro!$E89))),FIND("x",TRIM(MID(SUBSTITUTE(SUBSTITUTE(SUBSTITUTE(SUBSTITUTE(SUBSTITUTE(LOWER(Registro!$E89),"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",LEN(Registro!$E89))),({1,2,3,4,5,6,7,8,9,10,11,12,13,14,15,16,17,18,19,20,21,22,23,24,25,26,27,28,29,30}-1)*LEN(Registro!$E89)+1,LEN(Registro!$E89)))&amp;"x")-1)),--("0"&amp;MID(TRIM(MID(SUBSTITUTE(SUBSTITUTE(SUBSTITUTE(SUBSTITUTE(SUBSTITUTE(LOWER(Registro!$E89),"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",LEN(Registro!$E89))),({1,2,3,4,5,6,7,8,9,10,11,12,13,14,15,16,17,18,19,20,21,22,23,24,25,26,27,28,29,30}-1)*LEN(Registro!$E89)+1,LEN(Registro!$E89))),FIND("x",TRIM(MID(SUBSTITUTE(SUBSTITUTE(SUBSTITUTE(SUBSTITUTE(SUBSTITUTE(LOWER(Registro!$E89),"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",LEN(Registro!$E89))),({1,2,3,4,5,6,7,8,9,10,11,12,13,14,15,16,17,18,19,20,21,22,23,24,25,26,27,28,29,30}-1)*LEN(Registro!$E89)+1,LEN(Registro!$E89)))&amp;"x")+1,20))),"Revisar formato")))</f>
        <v/>
      </c>
      <c r="F89" s="23" t="str">
        <f>IF(Registro!$F89="","",IF(ISERROR(FIND("x",LOWER(Registro!$F89))),"-",IFERROR(SUMPRODUCT(--("0"&amp;LEFT(TRIM(MID(SUBSTITUTE(SUBSTITUTE(SUBSTITUTE(SUBSTITUTE(SUBSTITUTE(LOWER(Registro!$F89)," ",""),CHAR(10),"|"),";","|"),"+","|"),"|",REPT(" ",LEN(Registro!$F89))),({1,2,3,4,5,6,7,8,9,10,11,12,13,14,15,16,17,18,19,20,21,22,23,24,25,26,27,28,29,30}-1)*LEN(Registro!$F89)+1,LEN(Registro!$F89))),FIND("x",TRIM(MID(SUBSTITUTE(SUBSTITUTE(SUBSTITUTE(SUBSTITUTE(SUBSTITUTE(LOWER(Registro!$F89)," ",""),CHAR(10),"|"),";","|"),"+","|"),"|",REPT(" ",LEN(Registro!$F89))),({1,2,3,4,5,6,7,8,9,10,11,12,13,14,15,16,17,18,19,20,21,22,23,24,25,26,27,28,29,30}-1)*LEN(Registro!$F89)+1,LEN(Registro!$F89)))&amp;"x")-1))),"Revisar formato")))</f>
        <v/>
      </c>
      <c r="G89" s="24" t="str">
        <f>IF(Registro!$F89="","",IF(ISERROR(FIND("x",LOWER(Registro!$F89))),N(Registro!$G89),IFERROR(SUMPRODUCT(--("0"&amp;LEFT(TRIM(MID(SUBSTITUTE(SUBSTITUTE(SUBSTITUTE(SUBSTITUTE(SUBSTITUTE(LOWER(Registro!$F89)," ",""),CHAR(10),"|"),";","|"),"+","|"),"|",REPT(" ",LEN(Registro!$F89))),({1,2,3,4,5,6,7,8,9,10,11,12,13,14,15,16,17,18,19,20,21,22,23,24,25,26,27,28,29,30}-1)*LEN(Registro!$F89)+1,LEN(Registro!$F89))),FIND("x",TRIM(MID(SUBSTITUTE(SUBSTITUTE(SUBSTITUTE(SUBSTITUTE(SUBSTITUTE(LOWER(Registro!$F89)," ",""),CHAR(10),"|"),";","|"),"+","|"),"|",REPT(" ",LEN(Registro!$F89))),({1,2,3,4,5,6,7,8,9,10,11,12,13,14,15,16,17,18,19,20,21,22,23,24,25,26,27,28,29,30}-1)*LEN(Registro!$F89)+1,LEN(Registro!$F89)))&amp;"x")-1)),--("0"&amp;MID(TRIM(MID(SUBSTITUTE(SUBSTITUTE(SUBSTITUTE(SUBSTITUTE(SUBSTITUTE(LOWER(Registro!$F89)," ",""),CHAR(10),"|"),";","|"),"+","|"),"|",REPT(" ",LEN(Registro!$F89))),({1,2,3,4,5,6,7,8,9,10,11,12,13,14,15,16,17,18,19,20,21,22,23,24,25,26,27,28,29,30}-1)*LEN(Registro!$F89)+1,LEN(Registro!$F89))),FIND("x",TRIM(MID(SUBSTITUTE(SUBSTITUTE(SUBSTITUTE(SUBSTITUTE(SUBSTITUTE(LOWER(Registro!$F89)," ",""),CHAR(10),"|"),";","|"),"+","|"),"|",REPT(" ",LEN(Registro!$F89))),({1,2,3,4,5,6,7,8,9,10,11,12,13,14,15,16,17,18,19,20,21,22,23,24,25,26,27,28,29,30}-1)*LEN(Registro!$F89)+1,LEN(Registro!$F89)))&amp;"x")+1,20))),"Revisar formato")))</f>
        <v/>
      </c>
      <c r="H89" s="21" t="str">
        <f>IF(AND(Registro!$E89="",Registro!$F89=""),"",IF(NOT(AND(ISNUMBER(G89),ISNUMBER(Registro!$G89))),"",IF(G89&lt;Registro!$G89,"FALTA BOLETOS",IF(G89=Registro!$G89,"CONFORME","DIFERENCIA"))))</f>
        <v/>
      </c>
      <c r="I89" s="24" t="str">
        <f>IF(Registro!$H89="","",IFERROR(SUMPRODUCT(--("0"&amp;TRIM(RIGHT(SUBSTITUTE(TRIM(MID(SUBSTITUTE(SUBSTITUTE(Registro!$H89,";",CHAR(10)),CHAR(10),REPT(" ",LEN(Registro!$H89))),({1,2,3,4,5,6,7,8,9,10,11,12,13,14,15,16,17,18,19,20,21,22,23,24,25,26,27,28,29,30}-1)*LEN(Registro!$H89)+1,LEN(Registro!$H89)))," ",REPT(" ",50)),50)))),"Revisar formato"))</f>
        <v/>
      </c>
      <c r="J89" s="24" t="str">
        <f>IF(Registro!$I89="","",IFERROR(SUMPRODUCT(--("0"&amp;TRIM(RIGHT(SUBSTITUTE(TRIM(MID(SUBSTITUTE(SUBSTITUTE(Registro!$I89,";",CHAR(10)),CHAR(10),REPT(" ",LEN(Registro!$I89))),({1,2,3,4,5,6,7,8,9,10,11,12,13,14,15,16,17,18,19,20,21,22,23,24,25,26,27,28,29,30}-1)*LEN(Registro!$I89)+1,LEN(Registro!$I89)))," ",REPT(" ",50)),50)))),"Revisar formato"))</f>
        <v/>
      </c>
      <c r="K89" s="24" t="str">
        <f>IF(AND(Registro!$G89="",Registro!$H89=""),"",IF(AND(ISTEXT(I89),I89&lt;&gt;""),"Revisar formato",N(Registro!$G89)-N(I89)))</f>
        <v/>
      </c>
      <c r="L89" s="24" t="str">
        <f t="shared" si="3"/>
        <v/>
      </c>
      <c r="M89" s="36" t="str">
        <f>IF(AND(A89=Consulta!$B$3,C89=Consulta!$H$3),B89*10000+ROW(),"")</f>
        <v/>
      </c>
    </row>
    <row r="90" spans="1:13" x14ac:dyDescent="0.25">
      <c r="A90" s="21" t="str">
        <f>IF(Registro!$A90="","",Registro!$A90)</f>
        <v/>
      </c>
      <c r="B90" s="20" t="str">
        <f>IF(Registro!$B90="","",Registro!$B90)</f>
        <v/>
      </c>
      <c r="C90" s="35" t="str">
        <f t="shared" si="2"/>
        <v/>
      </c>
      <c r="D90" s="23" t="str">
        <f>IF(Registro!$E90="","",IF(ISERROR(FIND("x",LOWER(Registro!$E90))),"-",IFERROR(SUMPRODUCT(--("0"&amp;LEFT(TRIM(MID(SUBSTITUTE(SUBSTITUTE(SUBSTITUTE(SUBSTITUTE(SUBSTITUTE(LOWER(Registro!$E90),"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",LEN(Registro!$E90))),({1,2,3,4,5,6,7,8,9,10,11,12,13,14,15,16,17,18,19,20,21,22,23,24,25,26,27,28,29,30}-1)*LEN(Registro!$E90)+1,LEN(Registro!$E90))),FIND("x",TRIM(MID(SUBSTITUTE(SUBSTITUTE(SUBSTITUTE(SUBSTITUTE(SUBSTITUTE(LOWER(Registro!$E90),"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",LEN(Registro!$E90))),({1,2,3,4,5,6,7,8,9,10,11,12,13,14,15,16,17,18,19,20,21,22,23,24,25,26,27,28,29,30}-1)*LEN(Registro!$E90)+1,LEN(Registro!$E90)))&amp;"x")-1))),"Revisar formato")))</f>
        <v/>
      </c>
      <c r="E90" s="24" t="str">
        <f>IF(Registro!$E90="","",IF(ISERROR(FIND("x",LOWER(Registro!$E90))),"-",IFERROR(SUMPRODUCT(--("0"&amp;LEFT(TRIM(MID(SUBSTITUTE(SUBSTITUTE(SUBSTITUTE(SUBSTITUTE(SUBSTITUTE(LOWER(Registro!$E90),"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",LEN(Registro!$E90))),({1,2,3,4,5,6,7,8,9,10,11,12,13,14,15,16,17,18,19,20,21,22,23,24,25,26,27,28,29,30}-1)*LEN(Registro!$E90)+1,LEN(Registro!$E90))),FIND("x",TRIM(MID(SUBSTITUTE(SUBSTITUTE(SUBSTITUTE(SUBSTITUTE(SUBSTITUTE(LOWER(Registro!$E90),"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",LEN(Registro!$E90))),({1,2,3,4,5,6,7,8,9,10,11,12,13,14,15,16,17,18,19,20,21,22,23,24,25,26,27,28,29,30}-1)*LEN(Registro!$E90)+1,LEN(Registro!$E90)))&amp;"x")-1)),--("0"&amp;MID(TRIM(MID(SUBSTITUTE(SUBSTITUTE(SUBSTITUTE(SUBSTITUTE(SUBSTITUTE(LOWER(Registro!$E90),"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",LEN(Registro!$E90))),({1,2,3,4,5,6,7,8,9,10,11,12,13,14,15,16,17,18,19,20,21,22,23,24,25,26,27,28,29,30}-1)*LEN(Registro!$E90)+1,LEN(Registro!$E90))),FIND("x",TRIM(MID(SUBSTITUTE(SUBSTITUTE(SUBSTITUTE(SUBSTITUTE(SUBSTITUTE(LOWER(Registro!$E90),"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",LEN(Registro!$E90))),({1,2,3,4,5,6,7,8,9,10,11,12,13,14,15,16,17,18,19,20,21,22,23,24,25,26,27,28,29,30}-1)*LEN(Registro!$E90)+1,LEN(Registro!$E90)))&amp;"x")+1,20))),"Revisar formato")))</f>
        <v/>
      </c>
      <c r="F90" s="23" t="str">
        <f>IF(Registro!$F90="","",IF(ISERROR(FIND("x",LOWER(Registro!$F90))),"-",IFERROR(SUMPRODUCT(--("0"&amp;LEFT(TRIM(MID(SUBSTITUTE(SUBSTITUTE(SUBSTITUTE(SUBSTITUTE(SUBSTITUTE(LOWER(Registro!$F90)," ",""),CHAR(10),"|"),";","|"),"+","|"),"|",REPT(" ",LEN(Registro!$F90))),({1,2,3,4,5,6,7,8,9,10,11,12,13,14,15,16,17,18,19,20,21,22,23,24,25,26,27,28,29,30}-1)*LEN(Registro!$F90)+1,LEN(Registro!$F90))),FIND("x",TRIM(MID(SUBSTITUTE(SUBSTITUTE(SUBSTITUTE(SUBSTITUTE(SUBSTITUTE(LOWER(Registro!$F90)," ",""),CHAR(10),"|"),";","|"),"+","|"),"|",REPT(" ",LEN(Registro!$F90))),({1,2,3,4,5,6,7,8,9,10,11,12,13,14,15,16,17,18,19,20,21,22,23,24,25,26,27,28,29,30}-1)*LEN(Registro!$F90)+1,LEN(Registro!$F90)))&amp;"x")-1))),"Revisar formato")))</f>
        <v/>
      </c>
      <c r="G90" s="24" t="str">
        <f>IF(Registro!$F90="","",IF(ISERROR(FIND("x",LOWER(Registro!$F90))),N(Registro!$G90),IFERROR(SUMPRODUCT(--("0"&amp;LEFT(TRIM(MID(SUBSTITUTE(SUBSTITUTE(SUBSTITUTE(SUBSTITUTE(SUBSTITUTE(LOWER(Registro!$F90)," ",""),CHAR(10),"|"),";","|"),"+","|"),"|",REPT(" ",LEN(Registro!$F90))),({1,2,3,4,5,6,7,8,9,10,11,12,13,14,15,16,17,18,19,20,21,22,23,24,25,26,27,28,29,30}-1)*LEN(Registro!$F90)+1,LEN(Registro!$F90))),FIND("x",TRIM(MID(SUBSTITUTE(SUBSTITUTE(SUBSTITUTE(SUBSTITUTE(SUBSTITUTE(LOWER(Registro!$F90)," ",""),CHAR(10),"|"),";","|"),"+","|"),"|",REPT(" ",LEN(Registro!$F90))),({1,2,3,4,5,6,7,8,9,10,11,12,13,14,15,16,17,18,19,20,21,22,23,24,25,26,27,28,29,30}-1)*LEN(Registro!$F90)+1,LEN(Registro!$F90)))&amp;"x")-1)),--("0"&amp;MID(TRIM(MID(SUBSTITUTE(SUBSTITUTE(SUBSTITUTE(SUBSTITUTE(SUBSTITUTE(LOWER(Registro!$F90)," ",""),CHAR(10),"|"),";","|"),"+","|"),"|",REPT(" ",LEN(Registro!$F90))),({1,2,3,4,5,6,7,8,9,10,11,12,13,14,15,16,17,18,19,20,21,22,23,24,25,26,27,28,29,30}-1)*LEN(Registro!$F90)+1,LEN(Registro!$F90))),FIND("x",TRIM(MID(SUBSTITUTE(SUBSTITUTE(SUBSTITUTE(SUBSTITUTE(SUBSTITUTE(LOWER(Registro!$F90)," ",""),CHAR(10),"|"),";","|"),"+","|"),"|",REPT(" ",LEN(Registro!$F90))),({1,2,3,4,5,6,7,8,9,10,11,12,13,14,15,16,17,18,19,20,21,22,23,24,25,26,27,28,29,30}-1)*LEN(Registro!$F90)+1,LEN(Registro!$F90)))&amp;"x")+1,20))),"Revisar formato")))</f>
        <v/>
      </c>
      <c r="H90" s="21" t="str">
        <f>IF(AND(Registro!$E90="",Registro!$F90=""),"",IF(NOT(AND(ISNUMBER(G90),ISNUMBER(Registro!$G90))),"",IF(G90&lt;Registro!$G90,"FALTA BOLETOS",IF(G90=Registro!$G90,"CONFORME","DIFERENCIA"))))</f>
        <v/>
      </c>
      <c r="I90" s="24" t="str">
        <f>IF(Registro!$H90="","",IFERROR(SUMPRODUCT(--("0"&amp;TRIM(RIGHT(SUBSTITUTE(TRIM(MID(SUBSTITUTE(SUBSTITUTE(Registro!$H90,";",CHAR(10)),CHAR(10),REPT(" ",LEN(Registro!$H90))),({1,2,3,4,5,6,7,8,9,10,11,12,13,14,15,16,17,18,19,20,21,22,23,24,25,26,27,28,29,30}-1)*LEN(Registro!$H90)+1,LEN(Registro!$H90)))," ",REPT(" ",50)),50)))),"Revisar formato"))</f>
        <v/>
      </c>
      <c r="J90" s="24" t="str">
        <f>IF(Registro!$I90="","",IFERROR(SUMPRODUCT(--("0"&amp;TRIM(RIGHT(SUBSTITUTE(TRIM(MID(SUBSTITUTE(SUBSTITUTE(Registro!$I90,";",CHAR(10)),CHAR(10),REPT(" ",LEN(Registro!$I90))),({1,2,3,4,5,6,7,8,9,10,11,12,13,14,15,16,17,18,19,20,21,22,23,24,25,26,27,28,29,30}-1)*LEN(Registro!$I90)+1,LEN(Registro!$I90)))," ",REPT(" ",50)),50)))),"Revisar formato"))</f>
        <v/>
      </c>
      <c r="K90" s="24" t="str">
        <f>IF(AND(Registro!$G90="",Registro!$H90=""),"",IF(AND(ISTEXT(I90),I90&lt;&gt;""),"Revisar formato",N(Registro!$G90)-N(I90)))</f>
        <v/>
      </c>
      <c r="L90" s="24" t="str">
        <f t="shared" si="3"/>
        <v/>
      </c>
      <c r="M90" s="36" t="str">
        <f>IF(AND(A90=Consulta!$B$3,C90=Consulta!$H$3),B90*10000+ROW(),"")</f>
        <v/>
      </c>
    </row>
    <row r="91" spans="1:13" x14ac:dyDescent="0.25">
      <c r="A91" s="21" t="str">
        <f>IF(Registro!$A91="","",Registro!$A91)</f>
        <v/>
      </c>
      <c r="B91" s="20" t="str">
        <f>IF(Registro!$B91="","",Registro!$B91)</f>
        <v/>
      </c>
      <c r="C91" s="35" t="str">
        <f t="shared" si="2"/>
        <v/>
      </c>
      <c r="D91" s="23" t="str">
        <f>IF(Registro!$E91="","",IF(ISERROR(FIND("x",LOWER(Registro!$E91))),"-",IFERROR(SUMPRODUCT(--("0"&amp;LEFT(TRIM(MID(SUBSTITUTE(SUBSTITUTE(SUBSTITUTE(SUBSTITUTE(SUBSTITUTE(LOWER(Registro!$E91),"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",LEN(Registro!$E91))),({1,2,3,4,5,6,7,8,9,10,11,12,13,14,15,16,17,18,19,20,21,22,23,24,25,26,27,28,29,30}-1)*LEN(Registro!$E91)+1,LEN(Registro!$E91))),FIND("x",TRIM(MID(SUBSTITUTE(SUBSTITUTE(SUBSTITUTE(SUBSTITUTE(SUBSTITUTE(LOWER(Registro!$E91),"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",LEN(Registro!$E91))),({1,2,3,4,5,6,7,8,9,10,11,12,13,14,15,16,17,18,19,20,21,22,23,24,25,26,27,28,29,30}-1)*LEN(Registro!$E91)+1,LEN(Registro!$E91)))&amp;"x")-1))),"Revisar formato")))</f>
        <v/>
      </c>
      <c r="E91" s="24" t="str">
        <f>IF(Registro!$E91="","",IF(ISERROR(FIND("x",LOWER(Registro!$E91))),"-",IFERROR(SUMPRODUCT(--("0"&amp;LEFT(TRIM(MID(SUBSTITUTE(SUBSTITUTE(SUBSTITUTE(SUBSTITUTE(SUBSTITUTE(LOWER(Registro!$E91),"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",LEN(Registro!$E91))),({1,2,3,4,5,6,7,8,9,10,11,12,13,14,15,16,17,18,19,20,21,22,23,24,25,26,27,28,29,30}-1)*LEN(Registro!$E91)+1,LEN(Registro!$E91))),FIND("x",TRIM(MID(SUBSTITUTE(SUBSTITUTE(SUBSTITUTE(SUBSTITUTE(SUBSTITUTE(LOWER(Registro!$E91),"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",LEN(Registro!$E91))),({1,2,3,4,5,6,7,8,9,10,11,12,13,14,15,16,17,18,19,20,21,22,23,24,25,26,27,28,29,30}-1)*LEN(Registro!$E91)+1,LEN(Registro!$E91)))&amp;"x")-1)),--("0"&amp;MID(TRIM(MID(SUBSTITUTE(SUBSTITUTE(SUBSTITUTE(SUBSTITUTE(SUBSTITUTE(LOWER(Registro!$E91),"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",LEN(Registro!$E91))),({1,2,3,4,5,6,7,8,9,10,11,12,13,14,15,16,17,18,19,20,21,22,23,24,25,26,27,28,29,30}-1)*LEN(Registro!$E91)+1,LEN(Registro!$E91))),FIND("x",TRIM(MID(SUBSTITUTE(SUBSTITUTE(SUBSTITUTE(SUBSTITUTE(SUBSTITUTE(LOWER(Registro!$E91),"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",LEN(Registro!$E91))),({1,2,3,4,5,6,7,8,9,10,11,12,13,14,15,16,17,18,19,20,21,22,23,24,25,26,27,28,29,30}-1)*LEN(Registro!$E91)+1,LEN(Registro!$E91)))&amp;"x")+1,20))),"Revisar formato")))</f>
        <v/>
      </c>
      <c r="F91" s="23" t="str">
        <f>IF(Registro!$F91="","",IF(ISERROR(FIND("x",LOWER(Registro!$F91))),"-",IFERROR(SUMPRODUCT(--("0"&amp;LEFT(TRIM(MID(SUBSTITUTE(SUBSTITUTE(SUBSTITUTE(SUBSTITUTE(SUBSTITUTE(LOWER(Registro!$F91)," ",""),CHAR(10),"|"),";","|"),"+","|"),"|",REPT(" ",LEN(Registro!$F91))),({1,2,3,4,5,6,7,8,9,10,11,12,13,14,15,16,17,18,19,20,21,22,23,24,25,26,27,28,29,30}-1)*LEN(Registro!$F91)+1,LEN(Registro!$F91))),FIND("x",TRIM(MID(SUBSTITUTE(SUBSTITUTE(SUBSTITUTE(SUBSTITUTE(SUBSTITUTE(LOWER(Registro!$F91)," ",""),CHAR(10),"|"),";","|"),"+","|"),"|",REPT(" ",LEN(Registro!$F91))),({1,2,3,4,5,6,7,8,9,10,11,12,13,14,15,16,17,18,19,20,21,22,23,24,25,26,27,28,29,30}-1)*LEN(Registro!$F91)+1,LEN(Registro!$F91)))&amp;"x")-1))),"Revisar formato")))</f>
        <v/>
      </c>
      <c r="G91" s="24" t="str">
        <f>IF(Registro!$F91="","",IF(ISERROR(FIND("x",LOWER(Registro!$F91))),N(Registro!$G91),IFERROR(SUMPRODUCT(--("0"&amp;LEFT(TRIM(MID(SUBSTITUTE(SUBSTITUTE(SUBSTITUTE(SUBSTITUTE(SUBSTITUTE(LOWER(Registro!$F91)," ",""),CHAR(10),"|"),";","|"),"+","|"),"|",REPT(" ",LEN(Registro!$F91))),({1,2,3,4,5,6,7,8,9,10,11,12,13,14,15,16,17,18,19,20,21,22,23,24,25,26,27,28,29,30}-1)*LEN(Registro!$F91)+1,LEN(Registro!$F91))),FIND("x",TRIM(MID(SUBSTITUTE(SUBSTITUTE(SUBSTITUTE(SUBSTITUTE(SUBSTITUTE(LOWER(Registro!$F91)," ",""),CHAR(10),"|"),";","|"),"+","|"),"|",REPT(" ",LEN(Registro!$F91))),({1,2,3,4,5,6,7,8,9,10,11,12,13,14,15,16,17,18,19,20,21,22,23,24,25,26,27,28,29,30}-1)*LEN(Registro!$F91)+1,LEN(Registro!$F91)))&amp;"x")-1)),--("0"&amp;MID(TRIM(MID(SUBSTITUTE(SUBSTITUTE(SUBSTITUTE(SUBSTITUTE(SUBSTITUTE(LOWER(Registro!$F91)," ",""),CHAR(10),"|"),";","|"),"+","|"),"|",REPT(" ",LEN(Registro!$F91))),({1,2,3,4,5,6,7,8,9,10,11,12,13,14,15,16,17,18,19,20,21,22,23,24,25,26,27,28,29,30}-1)*LEN(Registro!$F91)+1,LEN(Registro!$F91))),FIND("x",TRIM(MID(SUBSTITUTE(SUBSTITUTE(SUBSTITUTE(SUBSTITUTE(SUBSTITUTE(LOWER(Registro!$F91)," ",""),CHAR(10),"|"),";","|"),"+","|"),"|",REPT(" ",LEN(Registro!$F91))),({1,2,3,4,5,6,7,8,9,10,11,12,13,14,15,16,17,18,19,20,21,22,23,24,25,26,27,28,29,30}-1)*LEN(Registro!$F91)+1,LEN(Registro!$F91)))&amp;"x")+1,20))),"Revisar formato")))</f>
        <v/>
      </c>
      <c r="H91" s="21" t="str">
        <f>IF(AND(Registro!$E91="",Registro!$F91=""),"",IF(NOT(AND(ISNUMBER(G91),ISNUMBER(Registro!$G91))),"",IF(G91&lt;Registro!$G91,"FALTA BOLETOS",IF(G91=Registro!$G91,"CONFORME","DIFERENCIA"))))</f>
        <v/>
      </c>
      <c r="I91" s="24" t="str">
        <f>IF(Registro!$H91="","",IFERROR(SUMPRODUCT(--("0"&amp;TRIM(RIGHT(SUBSTITUTE(TRIM(MID(SUBSTITUTE(SUBSTITUTE(Registro!$H91,";",CHAR(10)),CHAR(10),REPT(" ",LEN(Registro!$H91))),({1,2,3,4,5,6,7,8,9,10,11,12,13,14,15,16,17,18,19,20,21,22,23,24,25,26,27,28,29,30}-1)*LEN(Registro!$H91)+1,LEN(Registro!$H91)))," ",REPT(" ",50)),50)))),"Revisar formato"))</f>
        <v/>
      </c>
      <c r="J91" s="24" t="str">
        <f>IF(Registro!$I91="","",IFERROR(SUMPRODUCT(--("0"&amp;TRIM(RIGHT(SUBSTITUTE(TRIM(MID(SUBSTITUTE(SUBSTITUTE(Registro!$I91,";",CHAR(10)),CHAR(10),REPT(" ",LEN(Registro!$I91))),({1,2,3,4,5,6,7,8,9,10,11,12,13,14,15,16,17,18,19,20,21,22,23,24,25,26,27,28,29,30}-1)*LEN(Registro!$I91)+1,LEN(Registro!$I91)))," ",REPT(" ",50)),50)))),"Revisar formato"))</f>
        <v/>
      </c>
      <c r="K91" s="24" t="str">
        <f>IF(AND(Registro!$G91="",Registro!$H91=""),"",IF(AND(ISTEXT(I91),I91&lt;&gt;""),"Revisar formato",N(Registro!$G91)-N(I91)))</f>
        <v/>
      </c>
      <c r="L91" s="24" t="str">
        <f t="shared" si="3"/>
        <v/>
      </c>
      <c r="M91" s="36" t="str">
        <f>IF(AND(A91=Consulta!$B$3,C91=Consulta!$H$3),B91*10000+ROW(),"")</f>
        <v/>
      </c>
    </row>
    <row r="92" spans="1:13" x14ac:dyDescent="0.25">
      <c r="A92" s="21" t="str">
        <f>IF(Registro!$A92="","",Registro!$A92)</f>
        <v/>
      </c>
      <c r="B92" s="20" t="str">
        <f>IF(Registro!$B92="","",Registro!$B92)</f>
        <v/>
      </c>
      <c r="C92" s="35" t="str">
        <f t="shared" si="2"/>
        <v/>
      </c>
      <c r="D92" s="23" t="str">
        <f>IF(Registro!$E92="","",IF(ISERROR(FIND("x",LOWER(Registro!$E92))),"-",IFERROR(SUMPRODUCT(--("0"&amp;LEFT(TRIM(MID(SUBSTITUTE(SUBSTITUTE(SUBSTITUTE(SUBSTITUTE(SUBSTITUTE(LOWER(Registro!$E92),"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",LEN(Registro!$E92))),({1,2,3,4,5,6,7,8,9,10,11,12,13,14,15,16,17,18,19,20,21,22,23,24,25,26,27,28,29,30}-1)*LEN(Registro!$E92)+1,LEN(Registro!$E92))),FIND("x",TRIM(MID(SUBSTITUTE(SUBSTITUTE(SUBSTITUTE(SUBSTITUTE(SUBSTITUTE(LOWER(Registro!$E92),"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",LEN(Registro!$E92))),({1,2,3,4,5,6,7,8,9,10,11,12,13,14,15,16,17,18,19,20,21,22,23,24,25,26,27,28,29,30}-1)*LEN(Registro!$E92)+1,LEN(Registro!$E92)))&amp;"x")-1))),"Revisar formato")))</f>
        <v/>
      </c>
      <c r="E92" s="24" t="str">
        <f>IF(Registro!$E92="","",IF(ISERROR(FIND("x",LOWER(Registro!$E92))),"-",IFERROR(SUMPRODUCT(--("0"&amp;LEFT(TRIM(MID(SUBSTITUTE(SUBSTITUTE(SUBSTITUTE(SUBSTITUTE(SUBSTITUTE(LOWER(Registro!$E92),"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",LEN(Registro!$E92))),({1,2,3,4,5,6,7,8,9,10,11,12,13,14,15,16,17,18,19,20,21,22,23,24,25,26,27,28,29,30}-1)*LEN(Registro!$E92)+1,LEN(Registro!$E92))),FIND("x",TRIM(MID(SUBSTITUTE(SUBSTITUTE(SUBSTITUTE(SUBSTITUTE(SUBSTITUTE(LOWER(Registro!$E92),"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",LEN(Registro!$E92))),({1,2,3,4,5,6,7,8,9,10,11,12,13,14,15,16,17,18,19,20,21,22,23,24,25,26,27,28,29,30}-1)*LEN(Registro!$E92)+1,LEN(Registro!$E92)))&amp;"x")-1)),--("0"&amp;MID(TRIM(MID(SUBSTITUTE(SUBSTITUTE(SUBSTITUTE(SUBSTITUTE(SUBSTITUTE(LOWER(Registro!$E92),"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",LEN(Registro!$E92))),({1,2,3,4,5,6,7,8,9,10,11,12,13,14,15,16,17,18,19,20,21,22,23,24,25,26,27,28,29,30}-1)*LEN(Registro!$E92)+1,LEN(Registro!$E92))),FIND("x",TRIM(MID(SUBSTITUTE(SUBSTITUTE(SUBSTITUTE(SUBSTITUTE(SUBSTITUTE(LOWER(Registro!$E92),"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",LEN(Registro!$E92))),({1,2,3,4,5,6,7,8,9,10,11,12,13,14,15,16,17,18,19,20,21,22,23,24,25,26,27,28,29,30}-1)*LEN(Registro!$E92)+1,LEN(Registro!$E92)))&amp;"x")+1,20))),"Revisar formato")))</f>
        <v/>
      </c>
      <c r="F92" s="23" t="str">
        <f>IF(Registro!$F92="","",IF(ISERROR(FIND("x",LOWER(Registro!$F92))),"-",IFERROR(SUMPRODUCT(--("0"&amp;LEFT(TRIM(MID(SUBSTITUTE(SUBSTITUTE(SUBSTITUTE(SUBSTITUTE(SUBSTITUTE(LOWER(Registro!$F92)," ",""),CHAR(10),"|"),";","|"),"+","|"),"|",REPT(" ",LEN(Registro!$F92))),({1,2,3,4,5,6,7,8,9,10,11,12,13,14,15,16,17,18,19,20,21,22,23,24,25,26,27,28,29,30}-1)*LEN(Registro!$F92)+1,LEN(Registro!$F92))),FIND("x",TRIM(MID(SUBSTITUTE(SUBSTITUTE(SUBSTITUTE(SUBSTITUTE(SUBSTITUTE(LOWER(Registro!$F92)," ",""),CHAR(10),"|"),";","|"),"+","|"),"|",REPT(" ",LEN(Registro!$F92))),({1,2,3,4,5,6,7,8,9,10,11,12,13,14,15,16,17,18,19,20,21,22,23,24,25,26,27,28,29,30}-1)*LEN(Registro!$F92)+1,LEN(Registro!$F92)))&amp;"x")-1))),"Revisar formato")))</f>
        <v/>
      </c>
      <c r="G92" s="24" t="str">
        <f>IF(Registro!$F92="","",IF(ISERROR(FIND("x",LOWER(Registro!$F92))),N(Registro!$G92),IFERROR(SUMPRODUCT(--("0"&amp;LEFT(TRIM(MID(SUBSTITUTE(SUBSTITUTE(SUBSTITUTE(SUBSTITUTE(SUBSTITUTE(LOWER(Registro!$F92)," ",""),CHAR(10),"|"),";","|"),"+","|"),"|",REPT(" ",LEN(Registro!$F92))),({1,2,3,4,5,6,7,8,9,10,11,12,13,14,15,16,17,18,19,20,21,22,23,24,25,26,27,28,29,30}-1)*LEN(Registro!$F92)+1,LEN(Registro!$F92))),FIND("x",TRIM(MID(SUBSTITUTE(SUBSTITUTE(SUBSTITUTE(SUBSTITUTE(SUBSTITUTE(LOWER(Registro!$F92)," ",""),CHAR(10),"|"),";","|"),"+","|"),"|",REPT(" ",LEN(Registro!$F92))),({1,2,3,4,5,6,7,8,9,10,11,12,13,14,15,16,17,18,19,20,21,22,23,24,25,26,27,28,29,30}-1)*LEN(Registro!$F92)+1,LEN(Registro!$F92)))&amp;"x")-1)),--("0"&amp;MID(TRIM(MID(SUBSTITUTE(SUBSTITUTE(SUBSTITUTE(SUBSTITUTE(SUBSTITUTE(LOWER(Registro!$F92)," ",""),CHAR(10),"|"),";","|"),"+","|"),"|",REPT(" ",LEN(Registro!$F92))),({1,2,3,4,5,6,7,8,9,10,11,12,13,14,15,16,17,18,19,20,21,22,23,24,25,26,27,28,29,30}-1)*LEN(Registro!$F92)+1,LEN(Registro!$F92))),FIND("x",TRIM(MID(SUBSTITUTE(SUBSTITUTE(SUBSTITUTE(SUBSTITUTE(SUBSTITUTE(LOWER(Registro!$F92)," ",""),CHAR(10),"|"),";","|"),"+","|"),"|",REPT(" ",LEN(Registro!$F92))),({1,2,3,4,5,6,7,8,9,10,11,12,13,14,15,16,17,18,19,20,21,22,23,24,25,26,27,28,29,30}-1)*LEN(Registro!$F92)+1,LEN(Registro!$F92)))&amp;"x")+1,20))),"Revisar formato")))</f>
        <v/>
      </c>
      <c r="H92" s="21" t="str">
        <f>IF(AND(Registro!$E92="",Registro!$F92=""),"",IF(NOT(AND(ISNUMBER(G92),ISNUMBER(Registro!$G92))),"",IF(G92&lt;Registro!$G92,"FALTA BOLETOS",IF(G92=Registro!$G92,"CONFORME","DIFERENCIA"))))</f>
        <v/>
      </c>
      <c r="I92" s="24" t="str">
        <f>IF(Registro!$H92="","",IFERROR(SUMPRODUCT(--("0"&amp;TRIM(RIGHT(SUBSTITUTE(TRIM(MID(SUBSTITUTE(SUBSTITUTE(Registro!$H92,";",CHAR(10)),CHAR(10),REPT(" ",LEN(Registro!$H92))),({1,2,3,4,5,6,7,8,9,10,11,12,13,14,15,16,17,18,19,20,21,22,23,24,25,26,27,28,29,30}-1)*LEN(Registro!$H92)+1,LEN(Registro!$H92)))," ",REPT(" ",50)),50)))),"Revisar formato"))</f>
        <v/>
      </c>
      <c r="J92" s="24" t="str">
        <f>IF(Registro!$I92="","",IFERROR(SUMPRODUCT(--("0"&amp;TRIM(RIGHT(SUBSTITUTE(TRIM(MID(SUBSTITUTE(SUBSTITUTE(Registro!$I92,";",CHAR(10)),CHAR(10),REPT(" ",LEN(Registro!$I92))),({1,2,3,4,5,6,7,8,9,10,11,12,13,14,15,16,17,18,19,20,21,22,23,24,25,26,27,28,29,30}-1)*LEN(Registro!$I92)+1,LEN(Registro!$I92)))," ",REPT(" ",50)),50)))),"Revisar formato"))</f>
        <v/>
      </c>
      <c r="K92" s="24" t="str">
        <f>IF(AND(Registro!$G92="",Registro!$H92=""),"",IF(AND(ISTEXT(I92),I92&lt;&gt;""),"Revisar formato",N(Registro!$G92)-N(I92)))</f>
        <v/>
      </c>
      <c r="L92" s="24" t="str">
        <f t="shared" si="3"/>
        <v/>
      </c>
      <c r="M92" s="36" t="str">
        <f>IF(AND(A92=Consulta!$B$3,C92=Consulta!$H$3),B92*10000+ROW(),"")</f>
        <v/>
      </c>
    </row>
    <row r="93" spans="1:13" x14ac:dyDescent="0.25">
      <c r="A93" s="21" t="str">
        <f>IF(Registro!$A93="","",Registro!$A93)</f>
        <v/>
      </c>
      <c r="B93" s="20" t="str">
        <f>IF(Registro!$B93="","",Registro!$B93)</f>
        <v/>
      </c>
      <c r="C93" s="35" t="str">
        <f t="shared" si="2"/>
        <v/>
      </c>
      <c r="D93" s="23" t="str">
        <f>IF(Registro!$E93="","",IF(ISERROR(FIND("x",LOWER(Registro!$E93))),"-",IFERROR(SUMPRODUCT(--("0"&amp;LEFT(TRIM(MID(SUBSTITUTE(SUBSTITUTE(SUBSTITUTE(SUBSTITUTE(SUBSTITUTE(LOWER(Registro!$E93),"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",LEN(Registro!$E93))),({1,2,3,4,5,6,7,8,9,10,11,12,13,14,15,16,17,18,19,20,21,22,23,24,25,26,27,28,29,30}-1)*LEN(Registro!$E93)+1,LEN(Registro!$E93))),FIND("x",TRIM(MID(SUBSTITUTE(SUBSTITUTE(SUBSTITUTE(SUBSTITUTE(SUBSTITUTE(LOWER(Registro!$E93),"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",LEN(Registro!$E93))),({1,2,3,4,5,6,7,8,9,10,11,12,13,14,15,16,17,18,19,20,21,22,23,24,25,26,27,28,29,30}-1)*LEN(Registro!$E93)+1,LEN(Registro!$E93)))&amp;"x")-1))),"Revisar formato")))</f>
        <v/>
      </c>
      <c r="E93" s="24" t="str">
        <f>IF(Registro!$E93="","",IF(ISERROR(FIND("x",LOWER(Registro!$E93))),"-",IFERROR(SUMPRODUCT(--("0"&amp;LEFT(TRIM(MID(SUBSTITUTE(SUBSTITUTE(SUBSTITUTE(SUBSTITUTE(SUBSTITUTE(LOWER(Registro!$E93),"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",LEN(Registro!$E93))),({1,2,3,4,5,6,7,8,9,10,11,12,13,14,15,16,17,18,19,20,21,22,23,24,25,26,27,28,29,30}-1)*LEN(Registro!$E93)+1,LEN(Registro!$E93))),FIND("x",TRIM(MID(SUBSTITUTE(SUBSTITUTE(SUBSTITUTE(SUBSTITUTE(SUBSTITUTE(LOWER(Registro!$E93),"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",LEN(Registro!$E93))),({1,2,3,4,5,6,7,8,9,10,11,12,13,14,15,16,17,18,19,20,21,22,23,24,25,26,27,28,29,30}-1)*LEN(Registro!$E93)+1,LEN(Registro!$E93)))&amp;"x")-1)),--("0"&amp;MID(TRIM(MID(SUBSTITUTE(SUBSTITUTE(SUBSTITUTE(SUBSTITUTE(SUBSTITUTE(LOWER(Registro!$E93),"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",LEN(Registro!$E93))),({1,2,3,4,5,6,7,8,9,10,11,12,13,14,15,16,17,18,19,20,21,22,23,24,25,26,27,28,29,30}-1)*LEN(Registro!$E93)+1,LEN(Registro!$E93))),FIND("x",TRIM(MID(SUBSTITUTE(SUBSTITUTE(SUBSTITUTE(SUBSTITUTE(SUBSTITUTE(LOWER(Registro!$E93),"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",LEN(Registro!$E93))),({1,2,3,4,5,6,7,8,9,10,11,12,13,14,15,16,17,18,19,20,21,22,23,24,25,26,27,28,29,30}-1)*LEN(Registro!$E93)+1,LEN(Registro!$E93)))&amp;"x")+1,20))),"Revisar formato")))</f>
        <v/>
      </c>
      <c r="F93" s="23" t="str">
        <f>IF(Registro!$F93="","",IF(ISERROR(FIND("x",LOWER(Registro!$F93))),"-",IFERROR(SUMPRODUCT(--("0"&amp;LEFT(TRIM(MID(SUBSTITUTE(SUBSTITUTE(SUBSTITUTE(SUBSTITUTE(SUBSTITUTE(LOWER(Registro!$F93)," ",""),CHAR(10),"|"),";","|"),"+","|"),"|",REPT(" ",LEN(Registro!$F93))),({1,2,3,4,5,6,7,8,9,10,11,12,13,14,15,16,17,18,19,20,21,22,23,24,25,26,27,28,29,30}-1)*LEN(Registro!$F93)+1,LEN(Registro!$F93))),FIND("x",TRIM(MID(SUBSTITUTE(SUBSTITUTE(SUBSTITUTE(SUBSTITUTE(SUBSTITUTE(LOWER(Registro!$F93)," ",""),CHAR(10),"|"),";","|"),"+","|"),"|",REPT(" ",LEN(Registro!$F93))),({1,2,3,4,5,6,7,8,9,10,11,12,13,14,15,16,17,18,19,20,21,22,23,24,25,26,27,28,29,30}-1)*LEN(Registro!$F93)+1,LEN(Registro!$F93)))&amp;"x")-1))),"Revisar formato")))</f>
        <v/>
      </c>
      <c r="G93" s="24" t="str">
        <f>IF(Registro!$F93="","",IF(ISERROR(FIND("x",LOWER(Registro!$F93))),N(Registro!$G93),IFERROR(SUMPRODUCT(--("0"&amp;LEFT(TRIM(MID(SUBSTITUTE(SUBSTITUTE(SUBSTITUTE(SUBSTITUTE(SUBSTITUTE(LOWER(Registro!$F93)," ",""),CHAR(10),"|"),";","|"),"+","|"),"|",REPT(" ",LEN(Registro!$F93))),({1,2,3,4,5,6,7,8,9,10,11,12,13,14,15,16,17,18,19,20,21,22,23,24,25,26,27,28,29,30}-1)*LEN(Registro!$F93)+1,LEN(Registro!$F93))),FIND("x",TRIM(MID(SUBSTITUTE(SUBSTITUTE(SUBSTITUTE(SUBSTITUTE(SUBSTITUTE(LOWER(Registro!$F93)," ",""),CHAR(10),"|"),";","|"),"+","|"),"|",REPT(" ",LEN(Registro!$F93))),({1,2,3,4,5,6,7,8,9,10,11,12,13,14,15,16,17,18,19,20,21,22,23,24,25,26,27,28,29,30}-1)*LEN(Registro!$F93)+1,LEN(Registro!$F93)))&amp;"x")-1)),--("0"&amp;MID(TRIM(MID(SUBSTITUTE(SUBSTITUTE(SUBSTITUTE(SUBSTITUTE(SUBSTITUTE(LOWER(Registro!$F93)," ",""),CHAR(10),"|"),";","|"),"+","|"),"|",REPT(" ",LEN(Registro!$F93))),({1,2,3,4,5,6,7,8,9,10,11,12,13,14,15,16,17,18,19,20,21,22,23,24,25,26,27,28,29,30}-1)*LEN(Registro!$F93)+1,LEN(Registro!$F93))),FIND("x",TRIM(MID(SUBSTITUTE(SUBSTITUTE(SUBSTITUTE(SUBSTITUTE(SUBSTITUTE(LOWER(Registro!$F93)," ",""),CHAR(10),"|"),";","|"),"+","|"),"|",REPT(" ",LEN(Registro!$F93))),({1,2,3,4,5,6,7,8,9,10,11,12,13,14,15,16,17,18,19,20,21,22,23,24,25,26,27,28,29,30}-1)*LEN(Registro!$F93)+1,LEN(Registro!$F93)))&amp;"x")+1,20))),"Revisar formato")))</f>
        <v/>
      </c>
      <c r="H93" s="21" t="str">
        <f>IF(AND(Registro!$E93="",Registro!$F93=""),"",IF(NOT(AND(ISNUMBER(G93),ISNUMBER(Registro!$G93))),"",IF(G93&lt;Registro!$G93,"FALTA BOLETOS",IF(G93=Registro!$G93,"CONFORME","DIFERENCIA"))))</f>
        <v/>
      </c>
      <c r="I93" s="24" t="str">
        <f>IF(Registro!$H93="","",IFERROR(SUMPRODUCT(--("0"&amp;TRIM(RIGHT(SUBSTITUTE(TRIM(MID(SUBSTITUTE(SUBSTITUTE(Registro!$H93,";",CHAR(10)),CHAR(10),REPT(" ",LEN(Registro!$H93))),({1,2,3,4,5,6,7,8,9,10,11,12,13,14,15,16,17,18,19,20,21,22,23,24,25,26,27,28,29,30}-1)*LEN(Registro!$H93)+1,LEN(Registro!$H93)))," ",REPT(" ",50)),50)))),"Revisar formato"))</f>
        <v/>
      </c>
      <c r="J93" s="24" t="str">
        <f>IF(Registro!$I93="","",IFERROR(SUMPRODUCT(--("0"&amp;TRIM(RIGHT(SUBSTITUTE(TRIM(MID(SUBSTITUTE(SUBSTITUTE(Registro!$I93,";",CHAR(10)),CHAR(10),REPT(" ",LEN(Registro!$I93))),({1,2,3,4,5,6,7,8,9,10,11,12,13,14,15,16,17,18,19,20,21,22,23,24,25,26,27,28,29,30}-1)*LEN(Registro!$I93)+1,LEN(Registro!$I93)))," ",REPT(" ",50)),50)))),"Revisar formato"))</f>
        <v/>
      </c>
      <c r="K93" s="24" t="str">
        <f>IF(AND(Registro!$G93="",Registro!$H93=""),"",IF(AND(ISTEXT(I93),I93&lt;&gt;""),"Revisar formato",N(Registro!$G93)-N(I93)))</f>
        <v/>
      </c>
      <c r="L93" s="24" t="str">
        <f t="shared" si="3"/>
        <v/>
      </c>
      <c r="M93" s="36" t="str">
        <f>IF(AND(A93=Consulta!$B$3,C93=Consulta!$H$3),B93*10000+ROW(),"")</f>
        <v/>
      </c>
    </row>
    <row r="94" spans="1:13" x14ac:dyDescent="0.25">
      <c r="A94" s="21" t="str">
        <f>IF(Registro!$A94="","",Registro!$A94)</f>
        <v/>
      </c>
      <c r="B94" s="20" t="str">
        <f>IF(Registro!$B94="","",Registro!$B94)</f>
        <v/>
      </c>
      <c r="C94" s="35" t="str">
        <f t="shared" si="2"/>
        <v/>
      </c>
      <c r="D94" s="23" t="str">
        <f>IF(Registro!$E94="","",IF(ISERROR(FIND("x",LOWER(Registro!$E94))),"-",IFERROR(SUMPRODUCT(--("0"&amp;LEFT(TRIM(MID(SUBSTITUTE(SUBSTITUTE(SUBSTITUTE(SUBSTITUTE(SUBSTITUTE(LOWER(Registro!$E94),"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",LEN(Registro!$E94))),({1,2,3,4,5,6,7,8,9,10,11,12,13,14,15,16,17,18,19,20,21,22,23,24,25,26,27,28,29,30}-1)*LEN(Registro!$E94)+1,LEN(Registro!$E94))),FIND("x",TRIM(MID(SUBSTITUTE(SUBSTITUTE(SUBSTITUTE(SUBSTITUTE(SUBSTITUTE(LOWER(Registro!$E94),"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",LEN(Registro!$E94))),({1,2,3,4,5,6,7,8,9,10,11,12,13,14,15,16,17,18,19,20,21,22,23,24,25,26,27,28,29,30}-1)*LEN(Registro!$E94)+1,LEN(Registro!$E94)))&amp;"x")-1))),"Revisar formato")))</f>
        <v/>
      </c>
      <c r="E94" s="24" t="str">
        <f>IF(Registro!$E94="","",IF(ISERROR(FIND("x",LOWER(Registro!$E94))),"-",IFERROR(SUMPRODUCT(--("0"&amp;LEFT(TRIM(MID(SUBSTITUTE(SUBSTITUTE(SUBSTITUTE(SUBSTITUTE(SUBSTITUTE(LOWER(Registro!$E94),"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",LEN(Registro!$E94))),({1,2,3,4,5,6,7,8,9,10,11,12,13,14,15,16,17,18,19,20,21,22,23,24,25,26,27,28,29,30}-1)*LEN(Registro!$E94)+1,LEN(Registro!$E94))),FIND("x",TRIM(MID(SUBSTITUTE(SUBSTITUTE(SUBSTITUTE(SUBSTITUTE(SUBSTITUTE(LOWER(Registro!$E94),"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",LEN(Registro!$E94))),({1,2,3,4,5,6,7,8,9,10,11,12,13,14,15,16,17,18,19,20,21,22,23,24,25,26,27,28,29,30}-1)*LEN(Registro!$E94)+1,LEN(Registro!$E94)))&amp;"x")-1)),--("0"&amp;MID(TRIM(MID(SUBSTITUTE(SUBSTITUTE(SUBSTITUTE(SUBSTITUTE(SUBSTITUTE(LOWER(Registro!$E94),"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",LEN(Registro!$E94))),({1,2,3,4,5,6,7,8,9,10,11,12,13,14,15,16,17,18,19,20,21,22,23,24,25,26,27,28,29,30}-1)*LEN(Registro!$E94)+1,LEN(Registro!$E94))),FIND("x",TRIM(MID(SUBSTITUTE(SUBSTITUTE(SUBSTITUTE(SUBSTITUTE(SUBSTITUTE(LOWER(Registro!$E94),"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",LEN(Registro!$E94))),({1,2,3,4,5,6,7,8,9,10,11,12,13,14,15,16,17,18,19,20,21,22,23,24,25,26,27,28,29,30}-1)*LEN(Registro!$E94)+1,LEN(Registro!$E94)))&amp;"x")+1,20))),"Revisar formato")))</f>
        <v/>
      </c>
      <c r="F94" s="23" t="str">
        <f>IF(Registro!$F94="","",IF(ISERROR(FIND("x",LOWER(Registro!$F94))),"-",IFERROR(SUMPRODUCT(--("0"&amp;LEFT(TRIM(MID(SUBSTITUTE(SUBSTITUTE(SUBSTITUTE(SUBSTITUTE(SUBSTITUTE(LOWER(Registro!$F94)," ",""),CHAR(10),"|"),";","|"),"+","|"),"|",REPT(" ",LEN(Registro!$F94))),({1,2,3,4,5,6,7,8,9,10,11,12,13,14,15,16,17,18,19,20,21,22,23,24,25,26,27,28,29,30}-1)*LEN(Registro!$F94)+1,LEN(Registro!$F94))),FIND("x",TRIM(MID(SUBSTITUTE(SUBSTITUTE(SUBSTITUTE(SUBSTITUTE(SUBSTITUTE(LOWER(Registro!$F94)," ",""),CHAR(10),"|"),";","|"),"+","|"),"|",REPT(" ",LEN(Registro!$F94))),({1,2,3,4,5,6,7,8,9,10,11,12,13,14,15,16,17,18,19,20,21,22,23,24,25,26,27,28,29,30}-1)*LEN(Registro!$F94)+1,LEN(Registro!$F94)))&amp;"x")-1))),"Revisar formato")))</f>
        <v/>
      </c>
      <c r="G94" s="24" t="str">
        <f>IF(Registro!$F94="","",IF(ISERROR(FIND("x",LOWER(Registro!$F94))),N(Registro!$G94),IFERROR(SUMPRODUCT(--("0"&amp;LEFT(TRIM(MID(SUBSTITUTE(SUBSTITUTE(SUBSTITUTE(SUBSTITUTE(SUBSTITUTE(LOWER(Registro!$F94)," ",""),CHAR(10),"|"),";","|"),"+","|"),"|",REPT(" ",LEN(Registro!$F94))),({1,2,3,4,5,6,7,8,9,10,11,12,13,14,15,16,17,18,19,20,21,22,23,24,25,26,27,28,29,30}-1)*LEN(Registro!$F94)+1,LEN(Registro!$F94))),FIND("x",TRIM(MID(SUBSTITUTE(SUBSTITUTE(SUBSTITUTE(SUBSTITUTE(SUBSTITUTE(LOWER(Registro!$F94)," ",""),CHAR(10),"|"),";","|"),"+","|"),"|",REPT(" ",LEN(Registro!$F94))),({1,2,3,4,5,6,7,8,9,10,11,12,13,14,15,16,17,18,19,20,21,22,23,24,25,26,27,28,29,30}-1)*LEN(Registro!$F94)+1,LEN(Registro!$F94)))&amp;"x")-1)),--("0"&amp;MID(TRIM(MID(SUBSTITUTE(SUBSTITUTE(SUBSTITUTE(SUBSTITUTE(SUBSTITUTE(LOWER(Registro!$F94)," ",""),CHAR(10),"|"),";","|"),"+","|"),"|",REPT(" ",LEN(Registro!$F94))),({1,2,3,4,5,6,7,8,9,10,11,12,13,14,15,16,17,18,19,20,21,22,23,24,25,26,27,28,29,30}-1)*LEN(Registro!$F94)+1,LEN(Registro!$F94))),FIND("x",TRIM(MID(SUBSTITUTE(SUBSTITUTE(SUBSTITUTE(SUBSTITUTE(SUBSTITUTE(LOWER(Registro!$F94)," ",""),CHAR(10),"|"),";","|"),"+","|"),"|",REPT(" ",LEN(Registro!$F94))),({1,2,3,4,5,6,7,8,9,10,11,12,13,14,15,16,17,18,19,20,21,22,23,24,25,26,27,28,29,30}-1)*LEN(Registro!$F94)+1,LEN(Registro!$F94)))&amp;"x")+1,20))),"Revisar formato")))</f>
        <v/>
      </c>
      <c r="H94" s="21" t="str">
        <f>IF(AND(Registro!$E94="",Registro!$F94=""),"",IF(NOT(AND(ISNUMBER(G94),ISNUMBER(Registro!$G94))),"",IF(G94&lt;Registro!$G94,"FALTA BOLETOS",IF(G94=Registro!$G94,"CONFORME","DIFERENCIA"))))</f>
        <v/>
      </c>
      <c r="I94" s="24" t="str">
        <f>IF(Registro!$H94="","",IFERROR(SUMPRODUCT(--("0"&amp;TRIM(RIGHT(SUBSTITUTE(TRIM(MID(SUBSTITUTE(SUBSTITUTE(Registro!$H94,";",CHAR(10)),CHAR(10),REPT(" ",LEN(Registro!$H94))),({1,2,3,4,5,6,7,8,9,10,11,12,13,14,15,16,17,18,19,20,21,22,23,24,25,26,27,28,29,30}-1)*LEN(Registro!$H94)+1,LEN(Registro!$H94)))," ",REPT(" ",50)),50)))),"Revisar formato"))</f>
        <v/>
      </c>
      <c r="J94" s="24" t="str">
        <f>IF(Registro!$I94="","",IFERROR(SUMPRODUCT(--("0"&amp;TRIM(RIGHT(SUBSTITUTE(TRIM(MID(SUBSTITUTE(SUBSTITUTE(Registro!$I94,";",CHAR(10)),CHAR(10),REPT(" ",LEN(Registro!$I94))),({1,2,3,4,5,6,7,8,9,10,11,12,13,14,15,16,17,18,19,20,21,22,23,24,25,26,27,28,29,30}-1)*LEN(Registro!$I94)+1,LEN(Registro!$I94)))," ",REPT(" ",50)),50)))),"Revisar formato"))</f>
        <v/>
      </c>
      <c r="K94" s="24" t="str">
        <f>IF(AND(Registro!$G94="",Registro!$H94=""),"",IF(AND(ISTEXT(I94),I94&lt;&gt;""),"Revisar formato",N(Registro!$G94)-N(I94)))</f>
        <v/>
      </c>
      <c r="L94" s="24" t="str">
        <f t="shared" si="3"/>
        <v/>
      </c>
      <c r="M94" s="36" t="str">
        <f>IF(AND(A94=Consulta!$B$3,C94=Consulta!$H$3),B94*10000+ROW(),"")</f>
        <v/>
      </c>
    </row>
    <row r="95" spans="1:13" x14ac:dyDescent="0.25">
      <c r="A95" s="21" t="str">
        <f>IF(Registro!$A95="","",Registro!$A95)</f>
        <v/>
      </c>
      <c r="B95" s="20" t="str">
        <f>IF(Registro!$B95="","",Registro!$B95)</f>
        <v/>
      </c>
      <c r="C95" s="35" t="str">
        <f t="shared" si="2"/>
        <v/>
      </c>
      <c r="D95" s="23" t="str">
        <f>IF(Registro!$E95="","",IF(ISERROR(FIND("x",LOWER(Registro!$E95))),"-",IFERROR(SUMPRODUCT(--("0"&amp;LEFT(TRIM(MID(SUBSTITUTE(SUBSTITUTE(SUBSTITUTE(SUBSTITUTE(SUBSTITUTE(LOWER(Registro!$E95),"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",LEN(Registro!$E95))),({1,2,3,4,5,6,7,8,9,10,11,12,13,14,15,16,17,18,19,20,21,22,23,24,25,26,27,28,29,30}-1)*LEN(Registro!$E95)+1,LEN(Registro!$E95))),FIND("x",TRIM(MID(SUBSTITUTE(SUBSTITUTE(SUBSTITUTE(SUBSTITUTE(SUBSTITUTE(LOWER(Registro!$E95),"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",LEN(Registro!$E95))),({1,2,3,4,5,6,7,8,9,10,11,12,13,14,15,16,17,18,19,20,21,22,23,24,25,26,27,28,29,30}-1)*LEN(Registro!$E95)+1,LEN(Registro!$E95)))&amp;"x")-1))),"Revisar formato")))</f>
        <v/>
      </c>
      <c r="E95" s="24" t="str">
        <f>IF(Registro!$E95="","",IF(ISERROR(FIND("x",LOWER(Registro!$E95))),"-",IFERROR(SUMPRODUCT(--("0"&amp;LEFT(TRIM(MID(SUBSTITUTE(SUBSTITUTE(SUBSTITUTE(SUBSTITUTE(SUBSTITUTE(LOWER(Registro!$E95),"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",LEN(Registro!$E95))),({1,2,3,4,5,6,7,8,9,10,11,12,13,14,15,16,17,18,19,20,21,22,23,24,25,26,27,28,29,30}-1)*LEN(Registro!$E95)+1,LEN(Registro!$E95))),FIND("x",TRIM(MID(SUBSTITUTE(SUBSTITUTE(SUBSTITUTE(SUBSTITUTE(SUBSTITUTE(LOWER(Registro!$E95),"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",LEN(Registro!$E95))),({1,2,3,4,5,6,7,8,9,10,11,12,13,14,15,16,17,18,19,20,21,22,23,24,25,26,27,28,29,30}-1)*LEN(Registro!$E95)+1,LEN(Registro!$E95)))&amp;"x")-1)),--("0"&amp;MID(TRIM(MID(SUBSTITUTE(SUBSTITUTE(SUBSTITUTE(SUBSTITUTE(SUBSTITUTE(LOWER(Registro!$E95),"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",LEN(Registro!$E95))),({1,2,3,4,5,6,7,8,9,10,11,12,13,14,15,16,17,18,19,20,21,22,23,24,25,26,27,28,29,30}-1)*LEN(Registro!$E95)+1,LEN(Registro!$E95))),FIND("x",TRIM(MID(SUBSTITUTE(SUBSTITUTE(SUBSTITUTE(SUBSTITUTE(SUBSTITUTE(LOWER(Registro!$E95),"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",LEN(Registro!$E95))),({1,2,3,4,5,6,7,8,9,10,11,12,13,14,15,16,17,18,19,20,21,22,23,24,25,26,27,28,29,30}-1)*LEN(Registro!$E95)+1,LEN(Registro!$E95)))&amp;"x")+1,20))),"Revisar formato")))</f>
        <v/>
      </c>
      <c r="F95" s="23" t="str">
        <f>IF(Registro!$F95="","",IF(ISERROR(FIND("x",LOWER(Registro!$F95))),"-",IFERROR(SUMPRODUCT(--("0"&amp;LEFT(TRIM(MID(SUBSTITUTE(SUBSTITUTE(SUBSTITUTE(SUBSTITUTE(SUBSTITUTE(LOWER(Registro!$F95)," ",""),CHAR(10),"|"),";","|"),"+","|"),"|",REPT(" ",LEN(Registro!$F95))),({1,2,3,4,5,6,7,8,9,10,11,12,13,14,15,16,17,18,19,20,21,22,23,24,25,26,27,28,29,30}-1)*LEN(Registro!$F95)+1,LEN(Registro!$F95))),FIND("x",TRIM(MID(SUBSTITUTE(SUBSTITUTE(SUBSTITUTE(SUBSTITUTE(SUBSTITUTE(LOWER(Registro!$F95)," ",""),CHAR(10),"|"),";","|"),"+","|"),"|",REPT(" ",LEN(Registro!$F95))),({1,2,3,4,5,6,7,8,9,10,11,12,13,14,15,16,17,18,19,20,21,22,23,24,25,26,27,28,29,30}-1)*LEN(Registro!$F95)+1,LEN(Registro!$F95)))&amp;"x")-1))),"Revisar formato")))</f>
        <v/>
      </c>
      <c r="G95" s="24" t="str">
        <f>IF(Registro!$F95="","",IF(ISERROR(FIND("x",LOWER(Registro!$F95))),N(Registro!$G95),IFERROR(SUMPRODUCT(--("0"&amp;LEFT(TRIM(MID(SUBSTITUTE(SUBSTITUTE(SUBSTITUTE(SUBSTITUTE(SUBSTITUTE(LOWER(Registro!$F95)," ",""),CHAR(10),"|"),";","|"),"+","|"),"|",REPT(" ",LEN(Registro!$F95))),({1,2,3,4,5,6,7,8,9,10,11,12,13,14,15,16,17,18,19,20,21,22,23,24,25,26,27,28,29,30}-1)*LEN(Registro!$F95)+1,LEN(Registro!$F95))),FIND("x",TRIM(MID(SUBSTITUTE(SUBSTITUTE(SUBSTITUTE(SUBSTITUTE(SUBSTITUTE(LOWER(Registro!$F95)," ",""),CHAR(10),"|"),";","|"),"+","|"),"|",REPT(" ",LEN(Registro!$F95))),({1,2,3,4,5,6,7,8,9,10,11,12,13,14,15,16,17,18,19,20,21,22,23,24,25,26,27,28,29,30}-1)*LEN(Registro!$F95)+1,LEN(Registro!$F95)))&amp;"x")-1)),--("0"&amp;MID(TRIM(MID(SUBSTITUTE(SUBSTITUTE(SUBSTITUTE(SUBSTITUTE(SUBSTITUTE(LOWER(Registro!$F95)," ",""),CHAR(10),"|"),";","|"),"+","|"),"|",REPT(" ",LEN(Registro!$F95))),({1,2,3,4,5,6,7,8,9,10,11,12,13,14,15,16,17,18,19,20,21,22,23,24,25,26,27,28,29,30}-1)*LEN(Registro!$F95)+1,LEN(Registro!$F95))),FIND("x",TRIM(MID(SUBSTITUTE(SUBSTITUTE(SUBSTITUTE(SUBSTITUTE(SUBSTITUTE(LOWER(Registro!$F95)," ",""),CHAR(10),"|"),";","|"),"+","|"),"|",REPT(" ",LEN(Registro!$F95))),({1,2,3,4,5,6,7,8,9,10,11,12,13,14,15,16,17,18,19,20,21,22,23,24,25,26,27,28,29,30}-1)*LEN(Registro!$F95)+1,LEN(Registro!$F95)))&amp;"x")+1,20))),"Revisar formato")))</f>
        <v/>
      </c>
      <c r="H95" s="21" t="str">
        <f>IF(AND(Registro!$E95="",Registro!$F95=""),"",IF(NOT(AND(ISNUMBER(G95),ISNUMBER(Registro!$G95))),"",IF(G95&lt;Registro!$G95,"FALTA BOLETOS",IF(G95=Registro!$G95,"CONFORME","DIFERENCIA"))))</f>
        <v/>
      </c>
      <c r="I95" s="24" t="str">
        <f>IF(Registro!$H95="","",IFERROR(SUMPRODUCT(--("0"&amp;TRIM(RIGHT(SUBSTITUTE(TRIM(MID(SUBSTITUTE(SUBSTITUTE(Registro!$H95,";",CHAR(10)),CHAR(10),REPT(" ",LEN(Registro!$H95))),({1,2,3,4,5,6,7,8,9,10,11,12,13,14,15,16,17,18,19,20,21,22,23,24,25,26,27,28,29,30}-1)*LEN(Registro!$H95)+1,LEN(Registro!$H95)))," ",REPT(" ",50)),50)))),"Revisar formato"))</f>
        <v/>
      </c>
      <c r="J95" s="24" t="str">
        <f>IF(Registro!$I95="","",IFERROR(SUMPRODUCT(--("0"&amp;TRIM(RIGHT(SUBSTITUTE(TRIM(MID(SUBSTITUTE(SUBSTITUTE(Registro!$I95,";",CHAR(10)),CHAR(10),REPT(" ",LEN(Registro!$I95))),({1,2,3,4,5,6,7,8,9,10,11,12,13,14,15,16,17,18,19,20,21,22,23,24,25,26,27,28,29,30}-1)*LEN(Registro!$I95)+1,LEN(Registro!$I95)))," ",REPT(" ",50)),50)))),"Revisar formato"))</f>
        <v/>
      </c>
      <c r="K95" s="24" t="str">
        <f>IF(AND(Registro!$G95="",Registro!$H95=""),"",IF(AND(ISTEXT(I95),I95&lt;&gt;""),"Revisar formato",N(Registro!$G95)-N(I95)))</f>
        <v/>
      </c>
      <c r="L95" s="24" t="str">
        <f t="shared" si="3"/>
        <v/>
      </c>
      <c r="M95" s="36" t="str">
        <f>IF(AND(A95=Consulta!$B$3,C95=Consulta!$H$3),B95*10000+ROW(),"")</f>
        <v/>
      </c>
    </row>
    <row r="96" spans="1:13" x14ac:dyDescent="0.25">
      <c r="A96" s="21" t="str">
        <f>IF(Registro!$A96="","",Registro!$A96)</f>
        <v/>
      </c>
      <c r="B96" s="20" t="str">
        <f>IF(Registro!$B96="","",Registro!$B96)</f>
        <v/>
      </c>
      <c r="C96" s="35" t="str">
        <f t="shared" si="2"/>
        <v/>
      </c>
      <c r="D96" s="23" t="str">
        <f>IF(Registro!$E96="","",IF(ISERROR(FIND("x",LOWER(Registro!$E96))),"-",IFERROR(SUMPRODUCT(--("0"&amp;LEFT(TRIM(MID(SUBSTITUTE(SUBSTITUTE(SUBSTITUTE(SUBSTITUTE(SUBSTITUTE(LOWER(Registro!$E96),"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",LEN(Registro!$E96))),({1,2,3,4,5,6,7,8,9,10,11,12,13,14,15,16,17,18,19,20,21,22,23,24,25,26,27,28,29,30}-1)*LEN(Registro!$E96)+1,LEN(Registro!$E96))),FIND("x",TRIM(MID(SUBSTITUTE(SUBSTITUTE(SUBSTITUTE(SUBSTITUTE(SUBSTITUTE(LOWER(Registro!$E96),"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",LEN(Registro!$E96))),({1,2,3,4,5,6,7,8,9,10,11,12,13,14,15,16,17,18,19,20,21,22,23,24,25,26,27,28,29,30}-1)*LEN(Registro!$E96)+1,LEN(Registro!$E96)))&amp;"x")-1))),"Revisar formato")))</f>
        <v/>
      </c>
      <c r="E96" s="24" t="str">
        <f>IF(Registro!$E96="","",IF(ISERROR(FIND("x",LOWER(Registro!$E96))),"-",IFERROR(SUMPRODUCT(--("0"&amp;LEFT(TRIM(MID(SUBSTITUTE(SUBSTITUTE(SUBSTITUTE(SUBSTITUTE(SUBSTITUTE(LOWER(Registro!$E96),"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",LEN(Registro!$E96))),({1,2,3,4,5,6,7,8,9,10,11,12,13,14,15,16,17,18,19,20,21,22,23,24,25,26,27,28,29,30}-1)*LEN(Registro!$E96)+1,LEN(Registro!$E96))),FIND("x",TRIM(MID(SUBSTITUTE(SUBSTITUTE(SUBSTITUTE(SUBSTITUTE(SUBSTITUTE(LOWER(Registro!$E96),"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",LEN(Registro!$E96))),({1,2,3,4,5,6,7,8,9,10,11,12,13,14,15,16,17,18,19,20,21,22,23,24,25,26,27,28,29,30}-1)*LEN(Registro!$E96)+1,LEN(Registro!$E96)))&amp;"x")-1)),--("0"&amp;MID(TRIM(MID(SUBSTITUTE(SUBSTITUTE(SUBSTITUTE(SUBSTITUTE(SUBSTITUTE(LOWER(Registro!$E96),"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",LEN(Registro!$E96))),({1,2,3,4,5,6,7,8,9,10,11,12,13,14,15,16,17,18,19,20,21,22,23,24,25,26,27,28,29,30}-1)*LEN(Registro!$E96)+1,LEN(Registro!$E96))),FIND("x",TRIM(MID(SUBSTITUTE(SUBSTITUTE(SUBSTITUTE(SUBSTITUTE(SUBSTITUTE(LOWER(Registro!$E96),"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",LEN(Registro!$E96))),({1,2,3,4,5,6,7,8,9,10,11,12,13,14,15,16,17,18,19,20,21,22,23,24,25,26,27,28,29,30}-1)*LEN(Registro!$E96)+1,LEN(Registro!$E96)))&amp;"x")+1,20))),"Revisar formato")))</f>
        <v/>
      </c>
      <c r="F96" s="23" t="str">
        <f>IF(Registro!$F96="","",IF(ISERROR(FIND("x",LOWER(Registro!$F96))),"-",IFERROR(SUMPRODUCT(--("0"&amp;LEFT(TRIM(MID(SUBSTITUTE(SUBSTITUTE(SUBSTITUTE(SUBSTITUTE(SUBSTITUTE(LOWER(Registro!$F96)," ",""),CHAR(10),"|"),";","|"),"+","|"),"|",REPT(" ",LEN(Registro!$F96))),({1,2,3,4,5,6,7,8,9,10,11,12,13,14,15,16,17,18,19,20,21,22,23,24,25,26,27,28,29,30}-1)*LEN(Registro!$F96)+1,LEN(Registro!$F96))),FIND("x",TRIM(MID(SUBSTITUTE(SUBSTITUTE(SUBSTITUTE(SUBSTITUTE(SUBSTITUTE(LOWER(Registro!$F96)," ",""),CHAR(10),"|"),";","|"),"+","|"),"|",REPT(" ",LEN(Registro!$F96))),({1,2,3,4,5,6,7,8,9,10,11,12,13,14,15,16,17,18,19,20,21,22,23,24,25,26,27,28,29,30}-1)*LEN(Registro!$F96)+1,LEN(Registro!$F96)))&amp;"x")-1))),"Revisar formato")))</f>
        <v/>
      </c>
      <c r="G96" s="24" t="str">
        <f>IF(Registro!$F96="","",IF(ISERROR(FIND("x",LOWER(Registro!$F96))),N(Registro!$G96),IFERROR(SUMPRODUCT(--("0"&amp;LEFT(TRIM(MID(SUBSTITUTE(SUBSTITUTE(SUBSTITUTE(SUBSTITUTE(SUBSTITUTE(LOWER(Registro!$F96)," ",""),CHAR(10),"|"),";","|"),"+","|"),"|",REPT(" ",LEN(Registro!$F96))),({1,2,3,4,5,6,7,8,9,10,11,12,13,14,15,16,17,18,19,20,21,22,23,24,25,26,27,28,29,30}-1)*LEN(Registro!$F96)+1,LEN(Registro!$F96))),FIND("x",TRIM(MID(SUBSTITUTE(SUBSTITUTE(SUBSTITUTE(SUBSTITUTE(SUBSTITUTE(LOWER(Registro!$F96)," ",""),CHAR(10),"|"),";","|"),"+","|"),"|",REPT(" ",LEN(Registro!$F96))),({1,2,3,4,5,6,7,8,9,10,11,12,13,14,15,16,17,18,19,20,21,22,23,24,25,26,27,28,29,30}-1)*LEN(Registro!$F96)+1,LEN(Registro!$F96)))&amp;"x")-1)),--("0"&amp;MID(TRIM(MID(SUBSTITUTE(SUBSTITUTE(SUBSTITUTE(SUBSTITUTE(SUBSTITUTE(LOWER(Registro!$F96)," ",""),CHAR(10),"|"),";","|"),"+","|"),"|",REPT(" ",LEN(Registro!$F96))),({1,2,3,4,5,6,7,8,9,10,11,12,13,14,15,16,17,18,19,20,21,22,23,24,25,26,27,28,29,30}-1)*LEN(Registro!$F96)+1,LEN(Registro!$F96))),FIND("x",TRIM(MID(SUBSTITUTE(SUBSTITUTE(SUBSTITUTE(SUBSTITUTE(SUBSTITUTE(LOWER(Registro!$F96)," ",""),CHAR(10),"|"),";","|"),"+","|"),"|",REPT(" ",LEN(Registro!$F96))),({1,2,3,4,5,6,7,8,9,10,11,12,13,14,15,16,17,18,19,20,21,22,23,24,25,26,27,28,29,30}-1)*LEN(Registro!$F96)+1,LEN(Registro!$F96)))&amp;"x")+1,20))),"Revisar formato")))</f>
        <v/>
      </c>
      <c r="H96" s="21" t="str">
        <f>IF(AND(Registro!$E96="",Registro!$F96=""),"",IF(NOT(AND(ISNUMBER(G96),ISNUMBER(Registro!$G96))),"",IF(G96&lt;Registro!$G96,"FALTA BOLETOS",IF(G96=Registro!$G96,"CONFORME","DIFERENCIA"))))</f>
        <v/>
      </c>
      <c r="I96" s="24" t="str">
        <f>IF(Registro!$H96="","",IFERROR(SUMPRODUCT(--("0"&amp;TRIM(RIGHT(SUBSTITUTE(TRIM(MID(SUBSTITUTE(SUBSTITUTE(Registro!$H96,";",CHAR(10)),CHAR(10),REPT(" ",LEN(Registro!$H96))),({1,2,3,4,5,6,7,8,9,10,11,12,13,14,15,16,17,18,19,20,21,22,23,24,25,26,27,28,29,30}-1)*LEN(Registro!$H96)+1,LEN(Registro!$H96)))," ",REPT(" ",50)),50)))),"Revisar formato"))</f>
        <v/>
      </c>
      <c r="J96" s="24" t="str">
        <f>IF(Registro!$I96="","",IFERROR(SUMPRODUCT(--("0"&amp;TRIM(RIGHT(SUBSTITUTE(TRIM(MID(SUBSTITUTE(SUBSTITUTE(Registro!$I96,";",CHAR(10)),CHAR(10),REPT(" ",LEN(Registro!$I96))),({1,2,3,4,5,6,7,8,9,10,11,12,13,14,15,16,17,18,19,20,21,22,23,24,25,26,27,28,29,30}-1)*LEN(Registro!$I96)+1,LEN(Registro!$I96)))," ",REPT(" ",50)),50)))),"Revisar formato"))</f>
        <v/>
      </c>
      <c r="K96" s="24" t="str">
        <f>IF(AND(Registro!$G96="",Registro!$H96=""),"",IF(AND(ISTEXT(I96),I96&lt;&gt;""),"Revisar formato",N(Registro!$G96)-N(I96)))</f>
        <v/>
      </c>
      <c r="L96" s="24" t="str">
        <f t="shared" si="3"/>
        <v/>
      </c>
      <c r="M96" s="36" t="str">
        <f>IF(AND(A96=Consulta!$B$3,C96=Consulta!$H$3),B96*10000+ROW(),"")</f>
        <v/>
      </c>
    </row>
    <row r="97" spans="1:13" x14ac:dyDescent="0.25">
      <c r="A97" s="21" t="str">
        <f>IF(Registro!$A97="","",Registro!$A97)</f>
        <v/>
      </c>
      <c r="B97" s="20" t="str">
        <f>IF(Registro!$B97="","",Registro!$B97)</f>
        <v/>
      </c>
      <c r="C97" s="35" t="str">
        <f t="shared" si="2"/>
        <v/>
      </c>
      <c r="D97" s="23" t="str">
        <f>IF(Registro!$E97="","",IF(ISERROR(FIND("x",LOWER(Registro!$E97))),"-",IFERROR(SUMPRODUCT(--("0"&amp;LEFT(TRIM(MID(SUBSTITUTE(SUBSTITUTE(SUBSTITUTE(SUBSTITUTE(SUBSTITUTE(LOWER(Registro!$E97),"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",LEN(Registro!$E97))),({1,2,3,4,5,6,7,8,9,10,11,12,13,14,15,16,17,18,19,20,21,22,23,24,25,26,27,28,29,30}-1)*LEN(Registro!$E97)+1,LEN(Registro!$E97))),FIND("x",TRIM(MID(SUBSTITUTE(SUBSTITUTE(SUBSTITUTE(SUBSTITUTE(SUBSTITUTE(LOWER(Registro!$E97),"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",LEN(Registro!$E97))),({1,2,3,4,5,6,7,8,9,10,11,12,13,14,15,16,17,18,19,20,21,22,23,24,25,26,27,28,29,30}-1)*LEN(Registro!$E97)+1,LEN(Registro!$E97)))&amp;"x")-1))),"Revisar formato")))</f>
        <v/>
      </c>
      <c r="E97" s="24" t="str">
        <f>IF(Registro!$E97="","",IF(ISERROR(FIND("x",LOWER(Registro!$E97))),"-",IFERROR(SUMPRODUCT(--("0"&amp;LEFT(TRIM(MID(SUBSTITUTE(SUBSTITUTE(SUBSTITUTE(SUBSTITUTE(SUBSTITUTE(LOWER(Registro!$E97),"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",LEN(Registro!$E97))),({1,2,3,4,5,6,7,8,9,10,11,12,13,14,15,16,17,18,19,20,21,22,23,24,25,26,27,28,29,30}-1)*LEN(Registro!$E97)+1,LEN(Registro!$E97))),FIND("x",TRIM(MID(SUBSTITUTE(SUBSTITUTE(SUBSTITUTE(SUBSTITUTE(SUBSTITUTE(LOWER(Registro!$E97),"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",LEN(Registro!$E97))),({1,2,3,4,5,6,7,8,9,10,11,12,13,14,15,16,17,18,19,20,21,22,23,24,25,26,27,28,29,30}-1)*LEN(Registro!$E97)+1,LEN(Registro!$E97)))&amp;"x")-1)),--("0"&amp;MID(TRIM(MID(SUBSTITUTE(SUBSTITUTE(SUBSTITUTE(SUBSTITUTE(SUBSTITUTE(LOWER(Registro!$E97),"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",LEN(Registro!$E97))),({1,2,3,4,5,6,7,8,9,10,11,12,13,14,15,16,17,18,19,20,21,22,23,24,25,26,27,28,29,30}-1)*LEN(Registro!$E97)+1,LEN(Registro!$E97))),FIND("x",TRIM(MID(SUBSTITUTE(SUBSTITUTE(SUBSTITUTE(SUBSTITUTE(SUBSTITUTE(LOWER(Registro!$E97),"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",LEN(Registro!$E97))),({1,2,3,4,5,6,7,8,9,10,11,12,13,14,15,16,17,18,19,20,21,22,23,24,25,26,27,28,29,30}-1)*LEN(Registro!$E97)+1,LEN(Registro!$E97)))&amp;"x")+1,20))),"Revisar formato")))</f>
        <v/>
      </c>
      <c r="F97" s="23" t="str">
        <f>IF(Registro!$F97="","",IF(ISERROR(FIND("x",LOWER(Registro!$F97))),"-",IFERROR(SUMPRODUCT(--("0"&amp;LEFT(TRIM(MID(SUBSTITUTE(SUBSTITUTE(SUBSTITUTE(SUBSTITUTE(SUBSTITUTE(LOWER(Registro!$F97)," ",""),CHAR(10),"|"),";","|"),"+","|"),"|",REPT(" ",LEN(Registro!$F97))),({1,2,3,4,5,6,7,8,9,10,11,12,13,14,15,16,17,18,19,20,21,22,23,24,25,26,27,28,29,30}-1)*LEN(Registro!$F97)+1,LEN(Registro!$F97))),FIND("x",TRIM(MID(SUBSTITUTE(SUBSTITUTE(SUBSTITUTE(SUBSTITUTE(SUBSTITUTE(LOWER(Registro!$F97)," ",""),CHAR(10),"|"),";","|"),"+","|"),"|",REPT(" ",LEN(Registro!$F97))),({1,2,3,4,5,6,7,8,9,10,11,12,13,14,15,16,17,18,19,20,21,22,23,24,25,26,27,28,29,30}-1)*LEN(Registro!$F97)+1,LEN(Registro!$F97)))&amp;"x")-1))),"Revisar formato")))</f>
        <v/>
      </c>
      <c r="G97" s="24" t="str">
        <f>IF(Registro!$F97="","",IF(ISERROR(FIND("x",LOWER(Registro!$F97))),N(Registro!$G97),IFERROR(SUMPRODUCT(--("0"&amp;LEFT(TRIM(MID(SUBSTITUTE(SUBSTITUTE(SUBSTITUTE(SUBSTITUTE(SUBSTITUTE(LOWER(Registro!$F97)," ",""),CHAR(10),"|"),";","|"),"+","|"),"|",REPT(" ",LEN(Registro!$F97))),({1,2,3,4,5,6,7,8,9,10,11,12,13,14,15,16,17,18,19,20,21,22,23,24,25,26,27,28,29,30}-1)*LEN(Registro!$F97)+1,LEN(Registro!$F97))),FIND("x",TRIM(MID(SUBSTITUTE(SUBSTITUTE(SUBSTITUTE(SUBSTITUTE(SUBSTITUTE(LOWER(Registro!$F97)," ",""),CHAR(10),"|"),";","|"),"+","|"),"|",REPT(" ",LEN(Registro!$F97))),({1,2,3,4,5,6,7,8,9,10,11,12,13,14,15,16,17,18,19,20,21,22,23,24,25,26,27,28,29,30}-1)*LEN(Registro!$F97)+1,LEN(Registro!$F97)))&amp;"x")-1)),--("0"&amp;MID(TRIM(MID(SUBSTITUTE(SUBSTITUTE(SUBSTITUTE(SUBSTITUTE(SUBSTITUTE(LOWER(Registro!$F97)," ",""),CHAR(10),"|"),";","|"),"+","|"),"|",REPT(" ",LEN(Registro!$F97))),({1,2,3,4,5,6,7,8,9,10,11,12,13,14,15,16,17,18,19,20,21,22,23,24,25,26,27,28,29,30}-1)*LEN(Registro!$F97)+1,LEN(Registro!$F97))),FIND("x",TRIM(MID(SUBSTITUTE(SUBSTITUTE(SUBSTITUTE(SUBSTITUTE(SUBSTITUTE(LOWER(Registro!$F97)," ",""),CHAR(10),"|"),";","|"),"+","|"),"|",REPT(" ",LEN(Registro!$F97))),({1,2,3,4,5,6,7,8,9,10,11,12,13,14,15,16,17,18,19,20,21,22,23,24,25,26,27,28,29,30}-1)*LEN(Registro!$F97)+1,LEN(Registro!$F97)))&amp;"x")+1,20))),"Revisar formato")))</f>
        <v/>
      </c>
      <c r="H97" s="21" t="str">
        <f>IF(AND(Registro!$E97="",Registro!$F97=""),"",IF(NOT(AND(ISNUMBER(G97),ISNUMBER(Registro!$G97))),"",IF(G97&lt;Registro!$G97,"FALTA BOLETOS",IF(G97=Registro!$G97,"CONFORME","DIFERENCIA"))))</f>
        <v/>
      </c>
      <c r="I97" s="24" t="str">
        <f>IF(Registro!$H97="","",IFERROR(SUMPRODUCT(--("0"&amp;TRIM(RIGHT(SUBSTITUTE(TRIM(MID(SUBSTITUTE(SUBSTITUTE(Registro!$H97,";",CHAR(10)),CHAR(10),REPT(" ",LEN(Registro!$H97))),({1,2,3,4,5,6,7,8,9,10,11,12,13,14,15,16,17,18,19,20,21,22,23,24,25,26,27,28,29,30}-1)*LEN(Registro!$H97)+1,LEN(Registro!$H97)))," ",REPT(" ",50)),50)))),"Revisar formato"))</f>
        <v/>
      </c>
      <c r="J97" s="24" t="str">
        <f>IF(Registro!$I97="","",IFERROR(SUMPRODUCT(--("0"&amp;TRIM(RIGHT(SUBSTITUTE(TRIM(MID(SUBSTITUTE(SUBSTITUTE(Registro!$I97,";",CHAR(10)),CHAR(10),REPT(" ",LEN(Registro!$I97))),({1,2,3,4,5,6,7,8,9,10,11,12,13,14,15,16,17,18,19,20,21,22,23,24,25,26,27,28,29,30}-1)*LEN(Registro!$I97)+1,LEN(Registro!$I97)))," ",REPT(" ",50)),50)))),"Revisar formato"))</f>
        <v/>
      </c>
      <c r="K97" s="24" t="str">
        <f>IF(AND(Registro!$G97="",Registro!$H97=""),"",IF(AND(ISTEXT(I97),I97&lt;&gt;""),"Revisar formato",N(Registro!$G97)-N(I97)))</f>
        <v/>
      </c>
      <c r="L97" s="24" t="str">
        <f t="shared" si="3"/>
        <v/>
      </c>
      <c r="M97" s="36" t="str">
        <f>IF(AND(A97=Consulta!$B$3,C97=Consulta!$H$3),B97*10000+ROW(),"")</f>
        <v/>
      </c>
    </row>
    <row r="98" spans="1:13" x14ac:dyDescent="0.25">
      <c r="A98" s="21" t="str">
        <f>IF(Registro!$A98="","",Registro!$A98)</f>
        <v/>
      </c>
      <c r="B98" s="20" t="str">
        <f>IF(Registro!$B98="","",Registro!$B98)</f>
        <v/>
      </c>
      <c r="C98" s="35" t="str">
        <f t="shared" si="2"/>
        <v/>
      </c>
      <c r="D98" s="23" t="str">
        <f>IF(Registro!$E98="","",IF(ISERROR(FIND("x",LOWER(Registro!$E98))),"-",IFERROR(SUMPRODUCT(--("0"&amp;LEFT(TRIM(MID(SUBSTITUTE(SUBSTITUTE(SUBSTITUTE(SUBSTITUTE(SUBSTITUTE(LOWER(Registro!$E98),"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",LEN(Registro!$E98))),({1,2,3,4,5,6,7,8,9,10,11,12,13,14,15,16,17,18,19,20,21,22,23,24,25,26,27,28,29,30}-1)*LEN(Registro!$E98)+1,LEN(Registro!$E98))),FIND("x",TRIM(MID(SUBSTITUTE(SUBSTITUTE(SUBSTITUTE(SUBSTITUTE(SUBSTITUTE(LOWER(Registro!$E98),"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",LEN(Registro!$E98))),({1,2,3,4,5,6,7,8,9,10,11,12,13,14,15,16,17,18,19,20,21,22,23,24,25,26,27,28,29,30}-1)*LEN(Registro!$E98)+1,LEN(Registro!$E98)))&amp;"x")-1))),"Revisar formato")))</f>
        <v/>
      </c>
      <c r="E98" s="24" t="str">
        <f>IF(Registro!$E98="","",IF(ISERROR(FIND("x",LOWER(Registro!$E98))),"-",IFERROR(SUMPRODUCT(--("0"&amp;LEFT(TRIM(MID(SUBSTITUTE(SUBSTITUTE(SUBSTITUTE(SUBSTITUTE(SUBSTITUTE(LOWER(Registro!$E98),"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",LEN(Registro!$E98))),({1,2,3,4,5,6,7,8,9,10,11,12,13,14,15,16,17,18,19,20,21,22,23,24,25,26,27,28,29,30}-1)*LEN(Registro!$E98)+1,LEN(Registro!$E98))),FIND("x",TRIM(MID(SUBSTITUTE(SUBSTITUTE(SUBSTITUTE(SUBSTITUTE(SUBSTITUTE(LOWER(Registro!$E98),"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",LEN(Registro!$E98))),({1,2,3,4,5,6,7,8,9,10,11,12,13,14,15,16,17,18,19,20,21,22,23,24,25,26,27,28,29,30}-1)*LEN(Registro!$E98)+1,LEN(Registro!$E98)))&amp;"x")-1)),--("0"&amp;MID(TRIM(MID(SUBSTITUTE(SUBSTITUTE(SUBSTITUTE(SUBSTITUTE(SUBSTITUTE(LOWER(Registro!$E98),"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",LEN(Registro!$E98))),({1,2,3,4,5,6,7,8,9,10,11,12,13,14,15,16,17,18,19,20,21,22,23,24,25,26,27,28,29,30}-1)*LEN(Registro!$E98)+1,LEN(Registro!$E98))),FIND("x",TRIM(MID(SUBSTITUTE(SUBSTITUTE(SUBSTITUTE(SUBSTITUTE(SUBSTITUTE(LOWER(Registro!$E98),"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",LEN(Registro!$E98))),({1,2,3,4,5,6,7,8,9,10,11,12,13,14,15,16,17,18,19,20,21,22,23,24,25,26,27,28,29,30}-1)*LEN(Registro!$E98)+1,LEN(Registro!$E98)))&amp;"x")+1,20))),"Revisar formato")))</f>
        <v/>
      </c>
      <c r="F98" s="23" t="str">
        <f>IF(Registro!$F98="","",IF(ISERROR(FIND("x",LOWER(Registro!$F98))),"-",IFERROR(SUMPRODUCT(--("0"&amp;LEFT(TRIM(MID(SUBSTITUTE(SUBSTITUTE(SUBSTITUTE(SUBSTITUTE(SUBSTITUTE(LOWER(Registro!$F98)," ",""),CHAR(10),"|"),";","|"),"+","|"),"|",REPT(" ",LEN(Registro!$F98))),({1,2,3,4,5,6,7,8,9,10,11,12,13,14,15,16,17,18,19,20,21,22,23,24,25,26,27,28,29,30}-1)*LEN(Registro!$F98)+1,LEN(Registro!$F98))),FIND("x",TRIM(MID(SUBSTITUTE(SUBSTITUTE(SUBSTITUTE(SUBSTITUTE(SUBSTITUTE(LOWER(Registro!$F98)," ",""),CHAR(10),"|"),";","|"),"+","|"),"|",REPT(" ",LEN(Registro!$F98))),({1,2,3,4,5,6,7,8,9,10,11,12,13,14,15,16,17,18,19,20,21,22,23,24,25,26,27,28,29,30}-1)*LEN(Registro!$F98)+1,LEN(Registro!$F98)))&amp;"x")-1))),"Revisar formato")))</f>
        <v/>
      </c>
      <c r="G98" s="24" t="str">
        <f>IF(Registro!$F98="","",IF(ISERROR(FIND("x",LOWER(Registro!$F98))),N(Registro!$G98),IFERROR(SUMPRODUCT(--("0"&amp;LEFT(TRIM(MID(SUBSTITUTE(SUBSTITUTE(SUBSTITUTE(SUBSTITUTE(SUBSTITUTE(LOWER(Registro!$F98)," ",""),CHAR(10),"|"),";","|"),"+","|"),"|",REPT(" ",LEN(Registro!$F98))),({1,2,3,4,5,6,7,8,9,10,11,12,13,14,15,16,17,18,19,20,21,22,23,24,25,26,27,28,29,30}-1)*LEN(Registro!$F98)+1,LEN(Registro!$F98))),FIND("x",TRIM(MID(SUBSTITUTE(SUBSTITUTE(SUBSTITUTE(SUBSTITUTE(SUBSTITUTE(LOWER(Registro!$F98)," ",""),CHAR(10),"|"),";","|"),"+","|"),"|",REPT(" ",LEN(Registro!$F98))),({1,2,3,4,5,6,7,8,9,10,11,12,13,14,15,16,17,18,19,20,21,22,23,24,25,26,27,28,29,30}-1)*LEN(Registro!$F98)+1,LEN(Registro!$F98)))&amp;"x")-1)),--("0"&amp;MID(TRIM(MID(SUBSTITUTE(SUBSTITUTE(SUBSTITUTE(SUBSTITUTE(SUBSTITUTE(LOWER(Registro!$F98)," ",""),CHAR(10),"|"),";","|"),"+","|"),"|",REPT(" ",LEN(Registro!$F98))),({1,2,3,4,5,6,7,8,9,10,11,12,13,14,15,16,17,18,19,20,21,22,23,24,25,26,27,28,29,30}-1)*LEN(Registro!$F98)+1,LEN(Registro!$F98))),FIND("x",TRIM(MID(SUBSTITUTE(SUBSTITUTE(SUBSTITUTE(SUBSTITUTE(SUBSTITUTE(LOWER(Registro!$F98)," ",""),CHAR(10),"|"),";","|"),"+","|"),"|",REPT(" ",LEN(Registro!$F98))),({1,2,3,4,5,6,7,8,9,10,11,12,13,14,15,16,17,18,19,20,21,22,23,24,25,26,27,28,29,30}-1)*LEN(Registro!$F98)+1,LEN(Registro!$F98)))&amp;"x")+1,20))),"Revisar formato")))</f>
        <v/>
      </c>
      <c r="H98" s="21" t="str">
        <f>IF(AND(Registro!$E98="",Registro!$F98=""),"",IF(NOT(AND(ISNUMBER(G98),ISNUMBER(Registro!$G98))),"",IF(G98&lt;Registro!$G98,"FALTA BOLETOS",IF(G98=Registro!$G98,"CONFORME","DIFERENCIA"))))</f>
        <v/>
      </c>
      <c r="I98" s="24" t="str">
        <f>IF(Registro!$H98="","",IFERROR(SUMPRODUCT(--("0"&amp;TRIM(RIGHT(SUBSTITUTE(TRIM(MID(SUBSTITUTE(SUBSTITUTE(Registro!$H98,";",CHAR(10)),CHAR(10),REPT(" ",LEN(Registro!$H98))),({1,2,3,4,5,6,7,8,9,10,11,12,13,14,15,16,17,18,19,20,21,22,23,24,25,26,27,28,29,30}-1)*LEN(Registro!$H98)+1,LEN(Registro!$H98)))," ",REPT(" ",50)),50)))),"Revisar formato"))</f>
        <v/>
      </c>
      <c r="J98" s="24" t="str">
        <f>IF(Registro!$I98="","",IFERROR(SUMPRODUCT(--("0"&amp;TRIM(RIGHT(SUBSTITUTE(TRIM(MID(SUBSTITUTE(SUBSTITUTE(Registro!$I98,";",CHAR(10)),CHAR(10),REPT(" ",LEN(Registro!$I98))),({1,2,3,4,5,6,7,8,9,10,11,12,13,14,15,16,17,18,19,20,21,22,23,24,25,26,27,28,29,30}-1)*LEN(Registro!$I98)+1,LEN(Registro!$I98)))," ",REPT(" ",50)),50)))),"Revisar formato"))</f>
        <v/>
      </c>
      <c r="K98" s="24" t="str">
        <f>IF(AND(Registro!$G98="",Registro!$H98=""),"",IF(AND(ISTEXT(I98),I98&lt;&gt;""),"Revisar formato",N(Registro!$G98)-N(I98)))</f>
        <v/>
      </c>
      <c r="L98" s="24" t="str">
        <f t="shared" si="3"/>
        <v/>
      </c>
      <c r="M98" s="36" t="str">
        <f>IF(AND(A98=Consulta!$B$3,C98=Consulta!$H$3),B98*10000+ROW(),"")</f>
        <v/>
      </c>
    </row>
    <row r="99" spans="1:13" x14ac:dyDescent="0.25">
      <c r="A99" s="21" t="str">
        <f>IF(Registro!$A99="","",Registro!$A99)</f>
        <v/>
      </c>
      <c r="B99" s="20" t="str">
        <f>IF(Registro!$B99="","",Registro!$B99)</f>
        <v/>
      </c>
      <c r="C99" s="35" t="str">
        <f t="shared" si="2"/>
        <v/>
      </c>
      <c r="D99" s="23" t="str">
        <f>IF(Registro!$E99="","",IF(ISERROR(FIND("x",LOWER(Registro!$E99))),"-",IFERROR(SUMPRODUCT(--("0"&amp;LEFT(TRIM(MID(SUBSTITUTE(SUBSTITUTE(SUBSTITUTE(SUBSTITUTE(SUBSTITUTE(LOWER(Registro!$E99),"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",LEN(Registro!$E99))),({1,2,3,4,5,6,7,8,9,10,11,12,13,14,15,16,17,18,19,20,21,22,23,24,25,26,27,28,29,30}-1)*LEN(Registro!$E99)+1,LEN(Registro!$E99))),FIND("x",TRIM(MID(SUBSTITUTE(SUBSTITUTE(SUBSTITUTE(SUBSTITUTE(SUBSTITUTE(LOWER(Registro!$E99),"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",LEN(Registro!$E99))),({1,2,3,4,5,6,7,8,9,10,11,12,13,14,15,16,17,18,19,20,21,22,23,24,25,26,27,28,29,30}-1)*LEN(Registro!$E99)+1,LEN(Registro!$E99)))&amp;"x")-1))),"Revisar formato")))</f>
        <v/>
      </c>
      <c r="E99" s="24" t="str">
        <f>IF(Registro!$E99="","",IF(ISERROR(FIND("x",LOWER(Registro!$E99))),"-",IFERROR(SUMPRODUCT(--("0"&amp;LEFT(TRIM(MID(SUBSTITUTE(SUBSTITUTE(SUBSTITUTE(SUBSTITUTE(SUBSTITUTE(LOWER(Registro!$E99),"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",LEN(Registro!$E99))),({1,2,3,4,5,6,7,8,9,10,11,12,13,14,15,16,17,18,19,20,21,22,23,24,25,26,27,28,29,30}-1)*LEN(Registro!$E99)+1,LEN(Registro!$E99))),FIND("x",TRIM(MID(SUBSTITUTE(SUBSTITUTE(SUBSTITUTE(SUBSTITUTE(SUBSTITUTE(LOWER(Registro!$E99),"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",LEN(Registro!$E99))),({1,2,3,4,5,6,7,8,9,10,11,12,13,14,15,16,17,18,19,20,21,22,23,24,25,26,27,28,29,30}-1)*LEN(Registro!$E99)+1,LEN(Registro!$E99)))&amp;"x")-1)),--("0"&amp;MID(TRIM(MID(SUBSTITUTE(SUBSTITUTE(SUBSTITUTE(SUBSTITUTE(SUBSTITUTE(LOWER(Registro!$E99),"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",LEN(Registro!$E99))),({1,2,3,4,5,6,7,8,9,10,11,12,13,14,15,16,17,18,19,20,21,22,23,24,25,26,27,28,29,30}-1)*LEN(Registro!$E99)+1,LEN(Registro!$E99))),FIND("x",TRIM(MID(SUBSTITUTE(SUBSTITUTE(SUBSTITUTE(SUBSTITUTE(SUBSTITUTE(LOWER(Registro!$E99),"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",LEN(Registro!$E99))),({1,2,3,4,5,6,7,8,9,10,11,12,13,14,15,16,17,18,19,20,21,22,23,24,25,26,27,28,29,30}-1)*LEN(Registro!$E99)+1,LEN(Registro!$E99)))&amp;"x")+1,20))),"Revisar formato")))</f>
        <v/>
      </c>
      <c r="F99" s="23" t="str">
        <f>IF(Registro!$F99="","",IF(ISERROR(FIND("x",LOWER(Registro!$F99))),"-",IFERROR(SUMPRODUCT(--("0"&amp;LEFT(TRIM(MID(SUBSTITUTE(SUBSTITUTE(SUBSTITUTE(SUBSTITUTE(SUBSTITUTE(LOWER(Registro!$F99)," ",""),CHAR(10),"|"),";","|"),"+","|"),"|",REPT(" ",LEN(Registro!$F99))),({1,2,3,4,5,6,7,8,9,10,11,12,13,14,15,16,17,18,19,20,21,22,23,24,25,26,27,28,29,30}-1)*LEN(Registro!$F99)+1,LEN(Registro!$F99))),FIND("x",TRIM(MID(SUBSTITUTE(SUBSTITUTE(SUBSTITUTE(SUBSTITUTE(SUBSTITUTE(LOWER(Registro!$F99)," ",""),CHAR(10),"|"),";","|"),"+","|"),"|",REPT(" ",LEN(Registro!$F99))),({1,2,3,4,5,6,7,8,9,10,11,12,13,14,15,16,17,18,19,20,21,22,23,24,25,26,27,28,29,30}-1)*LEN(Registro!$F99)+1,LEN(Registro!$F99)))&amp;"x")-1))),"Revisar formato")))</f>
        <v/>
      </c>
      <c r="G99" s="24" t="str">
        <f>IF(Registro!$F99="","",IF(ISERROR(FIND("x",LOWER(Registro!$F99))),N(Registro!$G99),IFERROR(SUMPRODUCT(--("0"&amp;LEFT(TRIM(MID(SUBSTITUTE(SUBSTITUTE(SUBSTITUTE(SUBSTITUTE(SUBSTITUTE(LOWER(Registro!$F99)," ",""),CHAR(10),"|"),";","|"),"+","|"),"|",REPT(" ",LEN(Registro!$F99))),({1,2,3,4,5,6,7,8,9,10,11,12,13,14,15,16,17,18,19,20,21,22,23,24,25,26,27,28,29,30}-1)*LEN(Registro!$F99)+1,LEN(Registro!$F99))),FIND("x",TRIM(MID(SUBSTITUTE(SUBSTITUTE(SUBSTITUTE(SUBSTITUTE(SUBSTITUTE(LOWER(Registro!$F99)," ",""),CHAR(10),"|"),";","|"),"+","|"),"|",REPT(" ",LEN(Registro!$F99))),({1,2,3,4,5,6,7,8,9,10,11,12,13,14,15,16,17,18,19,20,21,22,23,24,25,26,27,28,29,30}-1)*LEN(Registro!$F99)+1,LEN(Registro!$F99)))&amp;"x")-1)),--("0"&amp;MID(TRIM(MID(SUBSTITUTE(SUBSTITUTE(SUBSTITUTE(SUBSTITUTE(SUBSTITUTE(LOWER(Registro!$F99)," ",""),CHAR(10),"|"),";","|"),"+","|"),"|",REPT(" ",LEN(Registro!$F99))),({1,2,3,4,5,6,7,8,9,10,11,12,13,14,15,16,17,18,19,20,21,22,23,24,25,26,27,28,29,30}-1)*LEN(Registro!$F99)+1,LEN(Registro!$F99))),FIND("x",TRIM(MID(SUBSTITUTE(SUBSTITUTE(SUBSTITUTE(SUBSTITUTE(SUBSTITUTE(LOWER(Registro!$F99)," ",""),CHAR(10),"|"),";","|"),"+","|"),"|",REPT(" ",LEN(Registro!$F99))),({1,2,3,4,5,6,7,8,9,10,11,12,13,14,15,16,17,18,19,20,21,22,23,24,25,26,27,28,29,30}-1)*LEN(Registro!$F99)+1,LEN(Registro!$F99)))&amp;"x")+1,20))),"Revisar formato")))</f>
        <v/>
      </c>
      <c r="H99" s="21" t="str">
        <f>IF(AND(Registro!$E99="",Registro!$F99=""),"",IF(NOT(AND(ISNUMBER(G99),ISNUMBER(Registro!$G99))),"",IF(G99&lt;Registro!$G99,"FALTA BOLETOS",IF(G99=Registro!$G99,"CONFORME","DIFERENCIA"))))</f>
        <v/>
      </c>
      <c r="I99" s="24" t="str">
        <f>IF(Registro!$H99="","",IFERROR(SUMPRODUCT(--("0"&amp;TRIM(RIGHT(SUBSTITUTE(TRIM(MID(SUBSTITUTE(SUBSTITUTE(Registro!$H99,";",CHAR(10)),CHAR(10),REPT(" ",LEN(Registro!$H99))),({1,2,3,4,5,6,7,8,9,10,11,12,13,14,15,16,17,18,19,20,21,22,23,24,25,26,27,28,29,30}-1)*LEN(Registro!$H99)+1,LEN(Registro!$H99)))," ",REPT(" ",50)),50)))),"Revisar formato"))</f>
        <v/>
      </c>
      <c r="J99" s="24" t="str">
        <f>IF(Registro!$I99="","",IFERROR(SUMPRODUCT(--("0"&amp;TRIM(RIGHT(SUBSTITUTE(TRIM(MID(SUBSTITUTE(SUBSTITUTE(Registro!$I99,";",CHAR(10)),CHAR(10),REPT(" ",LEN(Registro!$I99))),({1,2,3,4,5,6,7,8,9,10,11,12,13,14,15,16,17,18,19,20,21,22,23,24,25,26,27,28,29,30}-1)*LEN(Registro!$I99)+1,LEN(Registro!$I99)))," ",REPT(" ",50)),50)))),"Revisar formato"))</f>
        <v/>
      </c>
      <c r="K99" s="24" t="str">
        <f>IF(AND(Registro!$G99="",Registro!$H99=""),"",IF(AND(ISTEXT(I99),I99&lt;&gt;""),"Revisar formato",N(Registro!$G99)-N(I99)))</f>
        <v/>
      </c>
      <c r="L99" s="24" t="str">
        <f t="shared" si="3"/>
        <v/>
      </c>
      <c r="M99" s="36" t="str">
        <f>IF(AND(A99=Consulta!$B$3,C99=Consulta!$H$3),B99*10000+ROW(),"")</f>
        <v/>
      </c>
    </row>
    <row r="100" spans="1:13" x14ac:dyDescent="0.25">
      <c r="A100" s="21" t="str">
        <f>IF(Registro!$A100="","",Registro!$A100)</f>
        <v/>
      </c>
      <c r="B100" s="20" t="str">
        <f>IF(Registro!$B100="","",Registro!$B100)</f>
        <v/>
      </c>
      <c r="C100" s="35" t="str">
        <f t="shared" si="2"/>
        <v/>
      </c>
      <c r="D100" s="23" t="str">
        <f>IF(Registro!$E100="","",IF(ISERROR(FIND("x",LOWER(Registro!$E100))),"-",IFERROR(SUMPRODUCT(--("0"&amp;LEFT(TRIM(MID(SUBSTITUTE(SUBSTITUTE(SUBSTITUTE(SUBSTITUTE(SUBSTITUTE(LOWER(Registro!$E100),"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",LEN(Registro!$E100))),({1,2,3,4,5,6,7,8,9,10,11,12,13,14,15,16,17,18,19,20,21,22,23,24,25,26,27,28,29,30}-1)*LEN(Registro!$E100)+1,LEN(Registro!$E100))),FIND("x",TRIM(MID(SUBSTITUTE(SUBSTITUTE(SUBSTITUTE(SUBSTITUTE(SUBSTITUTE(LOWER(Registro!$E100),"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",LEN(Registro!$E100))),({1,2,3,4,5,6,7,8,9,10,11,12,13,14,15,16,17,18,19,20,21,22,23,24,25,26,27,28,29,30}-1)*LEN(Registro!$E100)+1,LEN(Registro!$E100)))&amp;"x")-1))),"Revisar formato")))</f>
        <v/>
      </c>
      <c r="E100" s="24" t="str">
        <f>IF(Registro!$E100="","",IF(ISERROR(FIND("x",LOWER(Registro!$E100))),"-",IFERROR(SUMPRODUCT(--("0"&amp;LEFT(TRIM(MID(SUBSTITUTE(SUBSTITUTE(SUBSTITUTE(SUBSTITUTE(SUBSTITUTE(LOWER(Registro!$E100),"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",LEN(Registro!$E100))),({1,2,3,4,5,6,7,8,9,10,11,12,13,14,15,16,17,18,19,20,21,22,23,24,25,26,27,28,29,30}-1)*LEN(Registro!$E100)+1,LEN(Registro!$E100))),FIND("x",TRIM(MID(SUBSTITUTE(SUBSTITUTE(SUBSTITUTE(SUBSTITUTE(SUBSTITUTE(LOWER(Registro!$E100),"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",LEN(Registro!$E100))),({1,2,3,4,5,6,7,8,9,10,11,12,13,14,15,16,17,18,19,20,21,22,23,24,25,26,27,28,29,30}-1)*LEN(Registro!$E100)+1,LEN(Registro!$E100)))&amp;"x")-1)),--("0"&amp;MID(TRIM(MID(SUBSTITUTE(SUBSTITUTE(SUBSTITUTE(SUBSTITUTE(SUBSTITUTE(LOWER(Registro!$E100),"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",LEN(Registro!$E100))),({1,2,3,4,5,6,7,8,9,10,11,12,13,14,15,16,17,18,19,20,21,22,23,24,25,26,27,28,29,30}-1)*LEN(Registro!$E100)+1,LEN(Registro!$E100))),FIND("x",TRIM(MID(SUBSTITUTE(SUBSTITUTE(SUBSTITUTE(SUBSTITUTE(SUBSTITUTE(LOWER(Registro!$E100),"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",LEN(Registro!$E100))),({1,2,3,4,5,6,7,8,9,10,11,12,13,14,15,16,17,18,19,20,21,22,23,24,25,26,27,28,29,30}-1)*LEN(Registro!$E100)+1,LEN(Registro!$E100)))&amp;"x")+1,20))),"Revisar formato")))</f>
        <v/>
      </c>
      <c r="F100" s="23" t="str">
        <f>IF(Registro!$F100="","",IF(ISERROR(FIND("x",LOWER(Registro!$F100))),"-",IFERROR(SUMPRODUCT(--("0"&amp;LEFT(TRIM(MID(SUBSTITUTE(SUBSTITUTE(SUBSTITUTE(SUBSTITUTE(SUBSTITUTE(LOWER(Registro!$F100)," ",""),CHAR(10),"|"),";","|"),"+","|"),"|",REPT(" ",LEN(Registro!$F100))),({1,2,3,4,5,6,7,8,9,10,11,12,13,14,15,16,17,18,19,20,21,22,23,24,25,26,27,28,29,30}-1)*LEN(Registro!$F100)+1,LEN(Registro!$F100))),FIND("x",TRIM(MID(SUBSTITUTE(SUBSTITUTE(SUBSTITUTE(SUBSTITUTE(SUBSTITUTE(LOWER(Registro!$F100)," ",""),CHAR(10),"|"),";","|"),"+","|"),"|",REPT(" ",LEN(Registro!$F100))),({1,2,3,4,5,6,7,8,9,10,11,12,13,14,15,16,17,18,19,20,21,22,23,24,25,26,27,28,29,30}-1)*LEN(Registro!$F100)+1,LEN(Registro!$F100)))&amp;"x")-1))),"Revisar formato")))</f>
        <v/>
      </c>
      <c r="G100" s="24" t="str">
        <f>IF(Registro!$F100="","",IF(ISERROR(FIND("x",LOWER(Registro!$F100))),N(Registro!$G100),IFERROR(SUMPRODUCT(--("0"&amp;LEFT(TRIM(MID(SUBSTITUTE(SUBSTITUTE(SUBSTITUTE(SUBSTITUTE(SUBSTITUTE(LOWER(Registro!$F100)," ",""),CHAR(10),"|"),";","|"),"+","|"),"|",REPT(" ",LEN(Registro!$F100))),({1,2,3,4,5,6,7,8,9,10,11,12,13,14,15,16,17,18,19,20,21,22,23,24,25,26,27,28,29,30}-1)*LEN(Registro!$F100)+1,LEN(Registro!$F100))),FIND("x",TRIM(MID(SUBSTITUTE(SUBSTITUTE(SUBSTITUTE(SUBSTITUTE(SUBSTITUTE(LOWER(Registro!$F100)," ",""),CHAR(10),"|"),";","|"),"+","|"),"|",REPT(" ",LEN(Registro!$F100))),({1,2,3,4,5,6,7,8,9,10,11,12,13,14,15,16,17,18,19,20,21,22,23,24,25,26,27,28,29,30}-1)*LEN(Registro!$F100)+1,LEN(Registro!$F100)))&amp;"x")-1)),--("0"&amp;MID(TRIM(MID(SUBSTITUTE(SUBSTITUTE(SUBSTITUTE(SUBSTITUTE(SUBSTITUTE(LOWER(Registro!$F100)," ",""),CHAR(10),"|"),";","|"),"+","|"),"|",REPT(" ",LEN(Registro!$F100))),({1,2,3,4,5,6,7,8,9,10,11,12,13,14,15,16,17,18,19,20,21,22,23,24,25,26,27,28,29,30}-1)*LEN(Registro!$F100)+1,LEN(Registro!$F100))),FIND("x",TRIM(MID(SUBSTITUTE(SUBSTITUTE(SUBSTITUTE(SUBSTITUTE(SUBSTITUTE(LOWER(Registro!$F100)," ",""),CHAR(10),"|"),";","|"),"+","|"),"|",REPT(" ",LEN(Registro!$F100))),({1,2,3,4,5,6,7,8,9,10,11,12,13,14,15,16,17,18,19,20,21,22,23,24,25,26,27,28,29,30}-1)*LEN(Registro!$F100)+1,LEN(Registro!$F100)))&amp;"x")+1,20))),"Revisar formato")))</f>
        <v/>
      </c>
      <c r="H100" s="21" t="str">
        <f>IF(AND(Registro!$E100="",Registro!$F100=""),"",IF(NOT(AND(ISNUMBER(G100),ISNUMBER(Registro!$G100))),"",IF(G100&lt;Registro!$G100,"FALTA BOLETOS",IF(G100=Registro!$G100,"CONFORME","DIFERENCIA"))))</f>
        <v/>
      </c>
      <c r="I100" s="24" t="str">
        <f>IF(Registro!$H100="","",IFERROR(SUMPRODUCT(--("0"&amp;TRIM(RIGHT(SUBSTITUTE(TRIM(MID(SUBSTITUTE(SUBSTITUTE(Registro!$H100,";",CHAR(10)),CHAR(10),REPT(" ",LEN(Registro!$H100))),({1,2,3,4,5,6,7,8,9,10,11,12,13,14,15,16,17,18,19,20,21,22,23,24,25,26,27,28,29,30}-1)*LEN(Registro!$H100)+1,LEN(Registro!$H100)))," ",REPT(" ",50)),50)))),"Revisar formato"))</f>
        <v/>
      </c>
      <c r="J100" s="24" t="str">
        <f>IF(Registro!$I100="","",IFERROR(SUMPRODUCT(--("0"&amp;TRIM(RIGHT(SUBSTITUTE(TRIM(MID(SUBSTITUTE(SUBSTITUTE(Registro!$I100,";",CHAR(10)),CHAR(10),REPT(" ",LEN(Registro!$I100))),({1,2,3,4,5,6,7,8,9,10,11,12,13,14,15,16,17,18,19,20,21,22,23,24,25,26,27,28,29,30}-1)*LEN(Registro!$I100)+1,LEN(Registro!$I100)))," ",REPT(" ",50)),50)))),"Revisar formato"))</f>
        <v/>
      </c>
      <c r="K100" s="24" t="str">
        <f>IF(AND(Registro!$G100="",Registro!$H100=""),"",IF(AND(ISTEXT(I100),I100&lt;&gt;""),"Revisar formato",N(Registro!$G100)-N(I100)))</f>
        <v/>
      </c>
      <c r="L100" s="24" t="str">
        <f t="shared" si="3"/>
        <v/>
      </c>
      <c r="M100" s="36" t="str">
        <f>IF(AND(A100=Consulta!$B$3,C100=Consulta!$H$3),B100*10000+ROW(),"")</f>
        <v/>
      </c>
    </row>
    <row r="101" spans="1:13" x14ac:dyDescent="0.25">
      <c r="A101" s="21" t="str">
        <f>IF(Registro!$A101="","",Registro!$A101)</f>
        <v/>
      </c>
      <c r="B101" s="20" t="str">
        <f>IF(Registro!$B101="","",Registro!$B101)</f>
        <v/>
      </c>
      <c r="C101" s="35" t="str">
        <f t="shared" si="2"/>
        <v/>
      </c>
      <c r="D101" s="23" t="str">
        <f>IF(Registro!$E101="","",IF(ISERROR(FIND("x",LOWER(Registro!$E101))),"-",IFERROR(SUMPRODUCT(--("0"&amp;LEFT(TRIM(MID(SUBSTITUTE(SUBSTITUTE(SUBSTITUTE(SUBSTITUTE(SUBSTITUTE(LOWER(Registro!$E101),"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",LEN(Registro!$E101))),({1,2,3,4,5,6,7,8,9,10,11,12,13,14,15,16,17,18,19,20,21,22,23,24,25,26,27,28,29,30}-1)*LEN(Registro!$E101)+1,LEN(Registro!$E101))),FIND("x",TRIM(MID(SUBSTITUTE(SUBSTITUTE(SUBSTITUTE(SUBSTITUTE(SUBSTITUTE(LOWER(Registro!$E101),"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",LEN(Registro!$E101))),({1,2,3,4,5,6,7,8,9,10,11,12,13,14,15,16,17,18,19,20,21,22,23,24,25,26,27,28,29,30}-1)*LEN(Registro!$E101)+1,LEN(Registro!$E101)))&amp;"x")-1))),"Revisar formato")))</f>
        <v/>
      </c>
      <c r="E101" s="24" t="str">
        <f>IF(Registro!$E101="","",IF(ISERROR(FIND("x",LOWER(Registro!$E101))),"-",IFERROR(SUMPRODUCT(--("0"&amp;LEFT(TRIM(MID(SUBSTITUTE(SUBSTITUTE(SUBSTITUTE(SUBSTITUTE(SUBSTITUTE(LOWER(Registro!$E101),"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",LEN(Registro!$E101))),({1,2,3,4,5,6,7,8,9,10,11,12,13,14,15,16,17,18,19,20,21,22,23,24,25,26,27,28,29,30}-1)*LEN(Registro!$E101)+1,LEN(Registro!$E101))),FIND("x",TRIM(MID(SUBSTITUTE(SUBSTITUTE(SUBSTITUTE(SUBSTITUTE(SUBSTITUTE(LOWER(Registro!$E101),"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",LEN(Registro!$E101))),({1,2,3,4,5,6,7,8,9,10,11,12,13,14,15,16,17,18,19,20,21,22,23,24,25,26,27,28,29,30}-1)*LEN(Registro!$E101)+1,LEN(Registro!$E101)))&amp;"x")-1)),--("0"&amp;MID(TRIM(MID(SUBSTITUTE(SUBSTITUTE(SUBSTITUTE(SUBSTITUTE(SUBSTITUTE(LOWER(Registro!$E101),"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",LEN(Registro!$E101))),({1,2,3,4,5,6,7,8,9,10,11,12,13,14,15,16,17,18,19,20,21,22,23,24,25,26,27,28,29,30}-1)*LEN(Registro!$E101)+1,LEN(Registro!$E101))),FIND("x",TRIM(MID(SUBSTITUTE(SUBSTITUTE(SUBSTITUTE(SUBSTITUTE(SUBSTITUTE(LOWER(Registro!$E101),"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",LEN(Registro!$E101))),({1,2,3,4,5,6,7,8,9,10,11,12,13,14,15,16,17,18,19,20,21,22,23,24,25,26,27,28,29,30}-1)*LEN(Registro!$E101)+1,LEN(Registro!$E101)))&amp;"x")+1,20))),"Revisar formato")))</f>
        <v/>
      </c>
      <c r="F101" s="23" t="str">
        <f>IF(Registro!$F101="","",IF(ISERROR(FIND("x",LOWER(Registro!$F101))),"-",IFERROR(SUMPRODUCT(--("0"&amp;LEFT(TRIM(MID(SUBSTITUTE(SUBSTITUTE(SUBSTITUTE(SUBSTITUTE(SUBSTITUTE(LOWER(Registro!$F101)," ",""),CHAR(10),"|"),";","|"),"+","|"),"|",REPT(" ",LEN(Registro!$F101))),({1,2,3,4,5,6,7,8,9,10,11,12,13,14,15,16,17,18,19,20,21,22,23,24,25,26,27,28,29,30}-1)*LEN(Registro!$F101)+1,LEN(Registro!$F101))),FIND("x",TRIM(MID(SUBSTITUTE(SUBSTITUTE(SUBSTITUTE(SUBSTITUTE(SUBSTITUTE(LOWER(Registro!$F101)," ",""),CHAR(10),"|"),";","|"),"+","|"),"|",REPT(" ",LEN(Registro!$F101))),({1,2,3,4,5,6,7,8,9,10,11,12,13,14,15,16,17,18,19,20,21,22,23,24,25,26,27,28,29,30}-1)*LEN(Registro!$F101)+1,LEN(Registro!$F101)))&amp;"x")-1))),"Revisar formato")))</f>
        <v/>
      </c>
      <c r="G101" s="24" t="str">
        <f>IF(Registro!$F101="","",IF(ISERROR(FIND("x",LOWER(Registro!$F101))),N(Registro!$G101),IFERROR(SUMPRODUCT(--("0"&amp;LEFT(TRIM(MID(SUBSTITUTE(SUBSTITUTE(SUBSTITUTE(SUBSTITUTE(SUBSTITUTE(LOWER(Registro!$F101)," ",""),CHAR(10),"|"),";","|"),"+","|"),"|",REPT(" ",LEN(Registro!$F101))),({1,2,3,4,5,6,7,8,9,10,11,12,13,14,15,16,17,18,19,20,21,22,23,24,25,26,27,28,29,30}-1)*LEN(Registro!$F101)+1,LEN(Registro!$F101))),FIND("x",TRIM(MID(SUBSTITUTE(SUBSTITUTE(SUBSTITUTE(SUBSTITUTE(SUBSTITUTE(LOWER(Registro!$F101)," ",""),CHAR(10),"|"),";","|"),"+","|"),"|",REPT(" ",LEN(Registro!$F101))),({1,2,3,4,5,6,7,8,9,10,11,12,13,14,15,16,17,18,19,20,21,22,23,24,25,26,27,28,29,30}-1)*LEN(Registro!$F101)+1,LEN(Registro!$F101)))&amp;"x")-1)),--("0"&amp;MID(TRIM(MID(SUBSTITUTE(SUBSTITUTE(SUBSTITUTE(SUBSTITUTE(SUBSTITUTE(LOWER(Registro!$F101)," ",""),CHAR(10),"|"),";","|"),"+","|"),"|",REPT(" ",LEN(Registro!$F101))),({1,2,3,4,5,6,7,8,9,10,11,12,13,14,15,16,17,18,19,20,21,22,23,24,25,26,27,28,29,30}-1)*LEN(Registro!$F101)+1,LEN(Registro!$F101))),FIND("x",TRIM(MID(SUBSTITUTE(SUBSTITUTE(SUBSTITUTE(SUBSTITUTE(SUBSTITUTE(LOWER(Registro!$F101)," ",""),CHAR(10),"|"),";","|"),"+","|"),"|",REPT(" ",LEN(Registro!$F101))),({1,2,3,4,5,6,7,8,9,10,11,12,13,14,15,16,17,18,19,20,21,22,23,24,25,26,27,28,29,30}-1)*LEN(Registro!$F101)+1,LEN(Registro!$F101)))&amp;"x")+1,20))),"Revisar formato")))</f>
        <v/>
      </c>
      <c r="H101" s="21" t="str">
        <f>IF(AND(Registro!$E101="",Registro!$F101=""),"",IF(NOT(AND(ISNUMBER(G101),ISNUMBER(Registro!$G101))),"",IF(G101&lt;Registro!$G101,"FALTA BOLETOS",IF(G101=Registro!$G101,"CONFORME","DIFERENCIA"))))</f>
        <v/>
      </c>
      <c r="I101" s="24" t="str">
        <f>IF(Registro!$H101="","",IFERROR(SUMPRODUCT(--("0"&amp;TRIM(RIGHT(SUBSTITUTE(TRIM(MID(SUBSTITUTE(SUBSTITUTE(Registro!$H101,";",CHAR(10)),CHAR(10),REPT(" ",LEN(Registro!$H101))),({1,2,3,4,5,6,7,8,9,10,11,12,13,14,15,16,17,18,19,20,21,22,23,24,25,26,27,28,29,30}-1)*LEN(Registro!$H101)+1,LEN(Registro!$H101)))," ",REPT(" ",50)),50)))),"Revisar formato"))</f>
        <v/>
      </c>
      <c r="J101" s="24" t="str">
        <f>IF(Registro!$I101="","",IFERROR(SUMPRODUCT(--("0"&amp;TRIM(RIGHT(SUBSTITUTE(TRIM(MID(SUBSTITUTE(SUBSTITUTE(Registro!$I101,";",CHAR(10)),CHAR(10),REPT(" ",LEN(Registro!$I101))),({1,2,3,4,5,6,7,8,9,10,11,12,13,14,15,16,17,18,19,20,21,22,23,24,25,26,27,28,29,30}-1)*LEN(Registro!$I101)+1,LEN(Registro!$I101)))," ",REPT(" ",50)),50)))),"Revisar formato"))</f>
        <v/>
      </c>
      <c r="K101" s="24" t="str">
        <f>IF(AND(Registro!$G101="",Registro!$H101=""),"",IF(AND(ISTEXT(I101),I101&lt;&gt;""),"Revisar formato",N(Registro!$G101)-N(I101)))</f>
        <v/>
      </c>
      <c r="L101" s="24" t="str">
        <f t="shared" si="3"/>
        <v/>
      </c>
      <c r="M101" s="36" t="str">
        <f>IF(AND(A101=Consulta!$B$3,C101=Consulta!$H$3),B101*10000+ROW(),"")</f>
        <v/>
      </c>
    </row>
    <row r="102" spans="1:13" x14ac:dyDescent="0.25">
      <c r="A102" s="21" t="str">
        <f>IF(Registro!$A102="","",Registro!$A102)</f>
        <v/>
      </c>
      <c r="B102" s="20" t="str">
        <f>IF(Registro!$B102="","",Registro!$B102)</f>
        <v/>
      </c>
      <c r="C102" s="35" t="str">
        <f t="shared" si="2"/>
        <v/>
      </c>
      <c r="D102" s="23" t="str">
        <f>IF(Registro!$E102="","",IF(ISERROR(FIND("x",LOWER(Registro!$E102))),"-",IFERROR(SUMPRODUCT(--("0"&amp;LEFT(TRIM(MID(SUBSTITUTE(SUBSTITUTE(SUBSTITUTE(SUBSTITUTE(SUBSTITUTE(LOWER(Registro!$E102),"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",LEN(Registro!$E102))),({1,2,3,4,5,6,7,8,9,10,11,12,13,14,15,16,17,18,19,20,21,22,23,24,25,26,27,28,29,30}-1)*LEN(Registro!$E102)+1,LEN(Registro!$E102))),FIND("x",TRIM(MID(SUBSTITUTE(SUBSTITUTE(SUBSTITUTE(SUBSTITUTE(SUBSTITUTE(LOWER(Registro!$E102),"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",LEN(Registro!$E102))),({1,2,3,4,5,6,7,8,9,10,11,12,13,14,15,16,17,18,19,20,21,22,23,24,25,26,27,28,29,30}-1)*LEN(Registro!$E102)+1,LEN(Registro!$E102)))&amp;"x")-1))),"Revisar formato")))</f>
        <v/>
      </c>
      <c r="E102" s="24" t="str">
        <f>IF(Registro!$E102="","",IF(ISERROR(FIND("x",LOWER(Registro!$E102))),"-",IFERROR(SUMPRODUCT(--("0"&amp;LEFT(TRIM(MID(SUBSTITUTE(SUBSTITUTE(SUBSTITUTE(SUBSTITUTE(SUBSTITUTE(LOWER(Registro!$E102),"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",LEN(Registro!$E102))),({1,2,3,4,5,6,7,8,9,10,11,12,13,14,15,16,17,18,19,20,21,22,23,24,25,26,27,28,29,30}-1)*LEN(Registro!$E102)+1,LEN(Registro!$E102))),FIND("x",TRIM(MID(SUBSTITUTE(SUBSTITUTE(SUBSTITUTE(SUBSTITUTE(SUBSTITUTE(LOWER(Registro!$E102),"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",LEN(Registro!$E102))),({1,2,3,4,5,6,7,8,9,10,11,12,13,14,15,16,17,18,19,20,21,22,23,24,25,26,27,28,29,30}-1)*LEN(Registro!$E102)+1,LEN(Registro!$E102)))&amp;"x")-1)),--("0"&amp;MID(TRIM(MID(SUBSTITUTE(SUBSTITUTE(SUBSTITUTE(SUBSTITUTE(SUBSTITUTE(LOWER(Registro!$E102),"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",LEN(Registro!$E102))),({1,2,3,4,5,6,7,8,9,10,11,12,13,14,15,16,17,18,19,20,21,22,23,24,25,26,27,28,29,30}-1)*LEN(Registro!$E102)+1,LEN(Registro!$E102))),FIND("x",TRIM(MID(SUBSTITUTE(SUBSTITUTE(SUBSTITUTE(SUBSTITUTE(SUBSTITUTE(LOWER(Registro!$E102),"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",LEN(Registro!$E102))),({1,2,3,4,5,6,7,8,9,10,11,12,13,14,15,16,17,18,19,20,21,22,23,24,25,26,27,28,29,30}-1)*LEN(Registro!$E102)+1,LEN(Registro!$E102)))&amp;"x")+1,20))),"Revisar formato")))</f>
        <v/>
      </c>
      <c r="F102" s="23" t="str">
        <f>IF(Registro!$F102="","",IF(ISERROR(FIND("x",LOWER(Registro!$F102))),"-",IFERROR(SUMPRODUCT(--("0"&amp;LEFT(TRIM(MID(SUBSTITUTE(SUBSTITUTE(SUBSTITUTE(SUBSTITUTE(SUBSTITUTE(LOWER(Registro!$F102)," ",""),CHAR(10),"|"),";","|"),"+","|"),"|",REPT(" ",LEN(Registro!$F102))),({1,2,3,4,5,6,7,8,9,10,11,12,13,14,15,16,17,18,19,20,21,22,23,24,25,26,27,28,29,30}-1)*LEN(Registro!$F102)+1,LEN(Registro!$F102))),FIND("x",TRIM(MID(SUBSTITUTE(SUBSTITUTE(SUBSTITUTE(SUBSTITUTE(SUBSTITUTE(LOWER(Registro!$F102)," ",""),CHAR(10),"|"),";","|"),"+","|"),"|",REPT(" ",LEN(Registro!$F102))),({1,2,3,4,5,6,7,8,9,10,11,12,13,14,15,16,17,18,19,20,21,22,23,24,25,26,27,28,29,30}-1)*LEN(Registro!$F102)+1,LEN(Registro!$F102)))&amp;"x")-1))),"Revisar formato")))</f>
        <v/>
      </c>
      <c r="G102" s="24" t="str">
        <f>IF(Registro!$F102="","",IF(ISERROR(FIND("x",LOWER(Registro!$F102))),N(Registro!$G102),IFERROR(SUMPRODUCT(--("0"&amp;LEFT(TRIM(MID(SUBSTITUTE(SUBSTITUTE(SUBSTITUTE(SUBSTITUTE(SUBSTITUTE(LOWER(Registro!$F102)," ",""),CHAR(10),"|"),";","|"),"+","|"),"|",REPT(" ",LEN(Registro!$F102))),({1,2,3,4,5,6,7,8,9,10,11,12,13,14,15,16,17,18,19,20,21,22,23,24,25,26,27,28,29,30}-1)*LEN(Registro!$F102)+1,LEN(Registro!$F102))),FIND("x",TRIM(MID(SUBSTITUTE(SUBSTITUTE(SUBSTITUTE(SUBSTITUTE(SUBSTITUTE(LOWER(Registro!$F102)," ",""),CHAR(10),"|"),";","|"),"+","|"),"|",REPT(" ",LEN(Registro!$F102))),({1,2,3,4,5,6,7,8,9,10,11,12,13,14,15,16,17,18,19,20,21,22,23,24,25,26,27,28,29,30}-1)*LEN(Registro!$F102)+1,LEN(Registro!$F102)))&amp;"x")-1)),--("0"&amp;MID(TRIM(MID(SUBSTITUTE(SUBSTITUTE(SUBSTITUTE(SUBSTITUTE(SUBSTITUTE(LOWER(Registro!$F102)," ",""),CHAR(10),"|"),";","|"),"+","|"),"|",REPT(" ",LEN(Registro!$F102))),({1,2,3,4,5,6,7,8,9,10,11,12,13,14,15,16,17,18,19,20,21,22,23,24,25,26,27,28,29,30}-1)*LEN(Registro!$F102)+1,LEN(Registro!$F102))),FIND("x",TRIM(MID(SUBSTITUTE(SUBSTITUTE(SUBSTITUTE(SUBSTITUTE(SUBSTITUTE(LOWER(Registro!$F102)," ",""),CHAR(10),"|"),";","|"),"+","|"),"|",REPT(" ",LEN(Registro!$F102))),({1,2,3,4,5,6,7,8,9,10,11,12,13,14,15,16,17,18,19,20,21,22,23,24,25,26,27,28,29,30}-1)*LEN(Registro!$F102)+1,LEN(Registro!$F102)))&amp;"x")+1,20))),"Revisar formato")))</f>
        <v/>
      </c>
      <c r="H102" s="21" t="str">
        <f>IF(AND(Registro!$E102="",Registro!$F102=""),"",IF(NOT(AND(ISNUMBER(G102),ISNUMBER(Registro!$G102))),"",IF(G102&lt;Registro!$G102,"FALTA BOLETOS",IF(G102=Registro!$G102,"CONFORME","DIFERENCIA"))))</f>
        <v/>
      </c>
      <c r="I102" s="24" t="str">
        <f>IF(Registro!$H102="","",IFERROR(SUMPRODUCT(--("0"&amp;TRIM(RIGHT(SUBSTITUTE(TRIM(MID(SUBSTITUTE(SUBSTITUTE(Registro!$H102,";",CHAR(10)),CHAR(10),REPT(" ",LEN(Registro!$H102))),({1,2,3,4,5,6,7,8,9,10,11,12,13,14,15,16,17,18,19,20,21,22,23,24,25,26,27,28,29,30}-1)*LEN(Registro!$H102)+1,LEN(Registro!$H102)))," ",REPT(" ",50)),50)))),"Revisar formato"))</f>
        <v/>
      </c>
      <c r="J102" s="24" t="str">
        <f>IF(Registro!$I102="","",IFERROR(SUMPRODUCT(--("0"&amp;TRIM(RIGHT(SUBSTITUTE(TRIM(MID(SUBSTITUTE(SUBSTITUTE(Registro!$I102,";",CHAR(10)),CHAR(10),REPT(" ",LEN(Registro!$I102))),({1,2,3,4,5,6,7,8,9,10,11,12,13,14,15,16,17,18,19,20,21,22,23,24,25,26,27,28,29,30}-1)*LEN(Registro!$I102)+1,LEN(Registro!$I102)))," ",REPT(" ",50)),50)))),"Revisar formato"))</f>
        <v/>
      </c>
      <c r="K102" s="24" t="str">
        <f>IF(AND(Registro!$G102="",Registro!$H102=""),"",IF(AND(ISTEXT(I102),I102&lt;&gt;""),"Revisar formato",N(Registro!$G102)-N(I102)))</f>
        <v/>
      </c>
      <c r="L102" s="24" t="str">
        <f t="shared" si="3"/>
        <v/>
      </c>
      <c r="M102" s="36" t="str">
        <f>IF(AND(A102=Consulta!$B$3,C102=Consulta!$H$3),B102*10000+ROW(),"")</f>
        <v/>
      </c>
    </row>
    <row r="103" spans="1:13" x14ac:dyDescent="0.25">
      <c r="A103" s="21" t="str">
        <f>IF(Registro!$A103="","",Registro!$A103)</f>
        <v/>
      </c>
      <c r="B103" s="20" t="str">
        <f>IF(Registro!$B103="","",Registro!$B103)</f>
        <v/>
      </c>
      <c r="C103" s="35" t="str">
        <f t="shared" si="2"/>
        <v/>
      </c>
      <c r="D103" s="23" t="str">
        <f>IF(Registro!$E103="","",IF(ISERROR(FIND("x",LOWER(Registro!$E103))),"-",IFERROR(SUMPRODUCT(--("0"&amp;LEFT(TRIM(MID(SUBSTITUTE(SUBSTITUTE(SUBSTITUTE(SUBSTITUTE(SUBSTITUTE(LOWER(Registro!$E103),"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",LEN(Registro!$E103))),({1,2,3,4,5,6,7,8,9,10,11,12,13,14,15,16,17,18,19,20,21,22,23,24,25,26,27,28,29,30}-1)*LEN(Registro!$E103)+1,LEN(Registro!$E103))),FIND("x",TRIM(MID(SUBSTITUTE(SUBSTITUTE(SUBSTITUTE(SUBSTITUTE(SUBSTITUTE(LOWER(Registro!$E103),"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",LEN(Registro!$E103))),({1,2,3,4,5,6,7,8,9,10,11,12,13,14,15,16,17,18,19,20,21,22,23,24,25,26,27,28,29,30}-1)*LEN(Registro!$E103)+1,LEN(Registro!$E103)))&amp;"x")-1))),"Revisar formato")))</f>
        <v/>
      </c>
      <c r="E103" s="24" t="str">
        <f>IF(Registro!$E103="","",IF(ISERROR(FIND("x",LOWER(Registro!$E103))),"-",IFERROR(SUMPRODUCT(--("0"&amp;LEFT(TRIM(MID(SUBSTITUTE(SUBSTITUTE(SUBSTITUTE(SUBSTITUTE(SUBSTITUTE(LOWER(Registro!$E103),"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",LEN(Registro!$E103))),({1,2,3,4,5,6,7,8,9,10,11,12,13,14,15,16,17,18,19,20,21,22,23,24,25,26,27,28,29,30}-1)*LEN(Registro!$E103)+1,LEN(Registro!$E103))),FIND("x",TRIM(MID(SUBSTITUTE(SUBSTITUTE(SUBSTITUTE(SUBSTITUTE(SUBSTITUTE(LOWER(Registro!$E103),"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",LEN(Registro!$E103))),({1,2,3,4,5,6,7,8,9,10,11,12,13,14,15,16,17,18,19,20,21,22,23,24,25,26,27,28,29,30}-1)*LEN(Registro!$E103)+1,LEN(Registro!$E103)))&amp;"x")-1)),--("0"&amp;MID(TRIM(MID(SUBSTITUTE(SUBSTITUTE(SUBSTITUTE(SUBSTITUTE(SUBSTITUTE(LOWER(Registro!$E103),"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",LEN(Registro!$E103))),({1,2,3,4,5,6,7,8,9,10,11,12,13,14,15,16,17,18,19,20,21,22,23,24,25,26,27,28,29,30}-1)*LEN(Registro!$E103)+1,LEN(Registro!$E103))),FIND("x",TRIM(MID(SUBSTITUTE(SUBSTITUTE(SUBSTITUTE(SUBSTITUTE(SUBSTITUTE(LOWER(Registro!$E103),"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",LEN(Registro!$E103))),({1,2,3,4,5,6,7,8,9,10,11,12,13,14,15,16,17,18,19,20,21,22,23,24,25,26,27,28,29,30}-1)*LEN(Registro!$E103)+1,LEN(Registro!$E103)))&amp;"x")+1,20))),"Revisar formato")))</f>
        <v/>
      </c>
      <c r="F103" s="23" t="str">
        <f>IF(Registro!$F103="","",IF(ISERROR(FIND("x",LOWER(Registro!$F103))),"-",IFERROR(SUMPRODUCT(--("0"&amp;LEFT(TRIM(MID(SUBSTITUTE(SUBSTITUTE(SUBSTITUTE(SUBSTITUTE(SUBSTITUTE(LOWER(Registro!$F103)," ",""),CHAR(10),"|"),";","|"),"+","|"),"|",REPT(" ",LEN(Registro!$F103))),({1,2,3,4,5,6,7,8,9,10,11,12,13,14,15,16,17,18,19,20,21,22,23,24,25,26,27,28,29,30}-1)*LEN(Registro!$F103)+1,LEN(Registro!$F103))),FIND("x",TRIM(MID(SUBSTITUTE(SUBSTITUTE(SUBSTITUTE(SUBSTITUTE(SUBSTITUTE(LOWER(Registro!$F103)," ",""),CHAR(10),"|"),";","|"),"+","|"),"|",REPT(" ",LEN(Registro!$F103))),({1,2,3,4,5,6,7,8,9,10,11,12,13,14,15,16,17,18,19,20,21,22,23,24,25,26,27,28,29,30}-1)*LEN(Registro!$F103)+1,LEN(Registro!$F103)))&amp;"x")-1))),"Revisar formato")))</f>
        <v/>
      </c>
      <c r="G103" s="24" t="str">
        <f>IF(Registro!$F103="","",IF(ISERROR(FIND("x",LOWER(Registro!$F103))),N(Registro!$G103),IFERROR(SUMPRODUCT(--("0"&amp;LEFT(TRIM(MID(SUBSTITUTE(SUBSTITUTE(SUBSTITUTE(SUBSTITUTE(SUBSTITUTE(LOWER(Registro!$F103)," ",""),CHAR(10),"|"),";","|"),"+","|"),"|",REPT(" ",LEN(Registro!$F103))),({1,2,3,4,5,6,7,8,9,10,11,12,13,14,15,16,17,18,19,20,21,22,23,24,25,26,27,28,29,30}-1)*LEN(Registro!$F103)+1,LEN(Registro!$F103))),FIND("x",TRIM(MID(SUBSTITUTE(SUBSTITUTE(SUBSTITUTE(SUBSTITUTE(SUBSTITUTE(LOWER(Registro!$F103)," ",""),CHAR(10),"|"),";","|"),"+","|"),"|",REPT(" ",LEN(Registro!$F103))),({1,2,3,4,5,6,7,8,9,10,11,12,13,14,15,16,17,18,19,20,21,22,23,24,25,26,27,28,29,30}-1)*LEN(Registro!$F103)+1,LEN(Registro!$F103)))&amp;"x")-1)),--("0"&amp;MID(TRIM(MID(SUBSTITUTE(SUBSTITUTE(SUBSTITUTE(SUBSTITUTE(SUBSTITUTE(LOWER(Registro!$F103)," ",""),CHAR(10),"|"),";","|"),"+","|"),"|",REPT(" ",LEN(Registro!$F103))),({1,2,3,4,5,6,7,8,9,10,11,12,13,14,15,16,17,18,19,20,21,22,23,24,25,26,27,28,29,30}-1)*LEN(Registro!$F103)+1,LEN(Registro!$F103))),FIND("x",TRIM(MID(SUBSTITUTE(SUBSTITUTE(SUBSTITUTE(SUBSTITUTE(SUBSTITUTE(LOWER(Registro!$F103)," ",""),CHAR(10),"|"),";","|"),"+","|"),"|",REPT(" ",LEN(Registro!$F103))),({1,2,3,4,5,6,7,8,9,10,11,12,13,14,15,16,17,18,19,20,21,22,23,24,25,26,27,28,29,30}-1)*LEN(Registro!$F103)+1,LEN(Registro!$F103)))&amp;"x")+1,20))),"Revisar formato")))</f>
        <v/>
      </c>
      <c r="H103" s="21" t="str">
        <f>IF(AND(Registro!$E103="",Registro!$F103=""),"",IF(NOT(AND(ISNUMBER(G103),ISNUMBER(Registro!$G103))),"",IF(G103&lt;Registro!$G103,"FALTA BOLETOS",IF(G103=Registro!$G103,"CONFORME","DIFERENCIA"))))</f>
        <v/>
      </c>
      <c r="I103" s="24" t="str">
        <f>IF(Registro!$H103="","",IFERROR(SUMPRODUCT(--("0"&amp;TRIM(RIGHT(SUBSTITUTE(TRIM(MID(SUBSTITUTE(SUBSTITUTE(Registro!$H103,";",CHAR(10)),CHAR(10),REPT(" ",LEN(Registro!$H103))),({1,2,3,4,5,6,7,8,9,10,11,12,13,14,15,16,17,18,19,20,21,22,23,24,25,26,27,28,29,30}-1)*LEN(Registro!$H103)+1,LEN(Registro!$H103)))," ",REPT(" ",50)),50)))),"Revisar formato"))</f>
        <v/>
      </c>
      <c r="J103" s="24" t="str">
        <f>IF(Registro!$I103="","",IFERROR(SUMPRODUCT(--("0"&amp;TRIM(RIGHT(SUBSTITUTE(TRIM(MID(SUBSTITUTE(SUBSTITUTE(Registro!$I103,";",CHAR(10)),CHAR(10),REPT(" ",LEN(Registro!$I103))),({1,2,3,4,5,6,7,8,9,10,11,12,13,14,15,16,17,18,19,20,21,22,23,24,25,26,27,28,29,30}-1)*LEN(Registro!$I103)+1,LEN(Registro!$I103)))," ",REPT(" ",50)),50)))),"Revisar formato"))</f>
        <v/>
      </c>
      <c r="K103" s="24" t="str">
        <f>IF(AND(Registro!$G103="",Registro!$H103=""),"",IF(AND(ISTEXT(I103),I103&lt;&gt;""),"Revisar formato",N(Registro!$G103)-N(I103)))</f>
        <v/>
      </c>
      <c r="L103" s="24" t="str">
        <f t="shared" si="3"/>
        <v/>
      </c>
      <c r="M103" s="36" t="str">
        <f>IF(AND(A103=Consulta!$B$3,C103=Consulta!$H$3),B103*10000+ROW(),"")</f>
        <v/>
      </c>
    </row>
    <row r="104" spans="1:13" x14ac:dyDescent="0.25">
      <c r="A104" s="21" t="str">
        <f>IF(Registro!$A104="","",Registro!$A104)</f>
        <v/>
      </c>
      <c r="B104" s="20" t="str">
        <f>IF(Registro!$B104="","",Registro!$B104)</f>
        <v/>
      </c>
      <c r="C104" s="35" t="str">
        <f t="shared" si="2"/>
        <v/>
      </c>
      <c r="D104" s="23" t="str">
        <f>IF(Registro!$E104="","",IF(ISERROR(FIND("x",LOWER(Registro!$E104))),"-",IFERROR(SUMPRODUCT(--("0"&amp;LEFT(TRIM(MID(SUBSTITUTE(SUBSTITUTE(SUBSTITUTE(SUBSTITUTE(SUBSTITUTE(LOWER(Registro!$E104),"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",LEN(Registro!$E104))),({1,2,3,4,5,6,7,8,9,10,11,12,13,14,15,16,17,18,19,20,21,22,23,24,25,26,27,28,29,30}-1)*LEN(Registro!$E104)+1,LEN(Registro!$E104))),FIND("x",TRIM(MID(SUBSTITUTE(SUBSTITUTE(SUBSTITUTE(SUBSTITUTE(SUBSTITUTE(LOWER(Registro!$E104),"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",LEN(Registro!$E104))),({1,2,3,4,5,6,7,8,9,10,11,12,13,14,15,16,17,18,19,20,21,22,23,24,25,26,27,28,29,30}-1)*LEN(Registro!$E104)+1,LEN(Registro!$E104)))&amp;"x")-1))),"Revisar formato")))</f>
        <v/>
      </c>
      <c r="E104" s="24" t="str">
        <f>IF(Registro!$E104="","",IF(ISERROR(FIND("x",LOWER(Registro!$E104))),"-",IFERROR(SUMPRODUCT(--("0"&amp;LEFT(TRIM(MID(SUBSTITUTE(SUBSTITUTE(SUBSTITUTE(SUBSTITUTE(SUBSTITUTE(LOWER(Registro!$E104),"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",LEN(Registro!$E104))),({1,2,3,4,5,6,7,8,9,10,11,12,13,14,15,16,17,18,19,20,21,22,23,24,25,26,27,28,29,30}-1)*LEN(Registro!$E104)+1,LEN(Registro!$E104))),FIND("x",TRIM(MID(SUBSTITUTE(SUBSTITUTE(SUBSTITUTE(SUBSTITUTE(SUBSTITUTE(LOWER(Registro!$E104),"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",LEN(Registro!$E104))),({1,2,3,4,5,6,7,8,9,10,11,12,13,14,15,16,17,18,19,20,21,22,23,24,25,26,27,28,29,30}-1)*LEN(Registro!$E104)+1,LEN(Registro!$E104)))&amp;"x")-1)),--("0"&amp;MID(TRIM(MID(SUBSTITUTE(SUBSTITUTE(SUBSTITUTE(SUBSTITUTE(SUBSTITUTE(LOWER(Registro!$E104),"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",LEN(Registro!$E104))),({1,2,3,4,5,6,7,8,9,10,11,12,13,14,15,16,17,18,19,20,21,22,23,24,25,26,27,28,29,30}-1)*LEN(Registro!$E104)+1,LEN(Registro!$E104))),FIND("x",TRIM(MID(SUBSTITUTE(SUBSTITUTE(SUBSTITUTE(SUBSTITUTE(SUBSTITUTE(LOWER(Registro!$E104),"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",LEN(Registro!$E104))),({1,2,3,4,5,6,7,8,9,10,11,12,13,14,15,16,17,18,19,20,21,22,23,24,25,26,27,28,29,30}-1)*LEN(Registro!$E104)+1,LEN(Registro!$E104)))&amp;"x")+1,20))),"Revisar formato")))</f>
        <v/>
      </c>
      <c r="F104" s="23" t="str">
        <f>IF(Registro!$F104="","",IF(ISERROR(FIND("x",LOWER(Registro!$F104))),"-",IFERROR(SUMPRODUCT(--("0"&amp;LEFT(TRIM(MID(SUBSTITUTE(SUBSTITUTE(SUBSTITUTE(SUBSTITUTE(SUBSTITUTE(LOWER(Registro!$F104)," ",""),CHAR(10),"|"),";","|"),"+","|"),"|",REPT(" ",LEN(Registro!$F104))),({1,2,3,4,5,6,7,8,9,10,11,12,13,14,15,16,17,18,19,20,21,22,23,24,25,26,27,28,29,30}-1)*LEN(Registro!$F104)+1,LEN(Registro!$F104))),FIND("x",TRIM(MID(SUBSTITUTE(SUBSTITUTE(SUBSTITUTE(SUBSTITUTE(SUBSTITUTE(LOWER(Registro!$F104)," ",""),CHAR(10),"|"),";","|"),"+","|"),"|",REPT(" ",LEN(Registro!$F104))),({1,2,3,4,5,6,7,8,9,10,11,12,13,14,15,16,17,18,19,20,21,22,23,24,25,26,27,28,29,30}-1)*LEN(Registro!$F104)+1,LEN(Registro!$F104)))&amp;"x")-1))),"Revisar formato")))</f>
        <v/>
      </c>
      <c r="G104" s="24" t="str">
        <f>IF(Registro!$F104="","",IF(ISERROR(FIND("x",LOWER(Registro!$F104))),N(Registro!$G104),IFERROR(SUMPRODUCT(--("0"&amp;LEFT(TRIM(MID(SUBSTITUTE(SUBSTITUTE(SUBSTITUTE(SUBSTITUTE(SUBSTITUTE(LOWER(Registro!$F104)," ",""),CHAR(10),"|"),";","|"),"+","|"),"|",REPT(" ",LEN(Registro!$F104))),({1,2,3,4,5,6,7,8,9,10,11,12,13,14,15,16,17,18,19,20,21,22,23,24,25,26,27,28,29,30}-1)*LEN(Registro!$F104)+1,LEN(Registro!$F104))),FIND("x",TRIM(MID(SUBSTITUTE(SUBSTITUTE(SUBSTITUTE(SUBSTITUTE(SUBSTITUTE(LOWER(Registro!$F104)," ",""),CHAR(10),"|"),";","|"),"+","|"),"|",REPT(" ",LEN(Registro!$F104))),({1,2,3,4,5,6,7,8,9,10,11,12,13,14,15,16,17,18,19,20,21,22,23,24,25,26,27,28,29,30}-1)*LEN(Registro!$F104)+1,LEN(Registro!$F104)))&amp;"x")-1)),--("0"&amp;MID(TRIM(MID(SUBSTITUTE(SUBSTITUTE(SUBSTITUTE(SUBSTITUTE(SUBSTITUTE(LOWER(Registro!$F104)," ",""),CHAR(10),"|"),";","|"),"+","|"),"|",REPT(" ",LEN(Registro!$F104))),({1,2,3,4,5,6,7,8,9,10,11,12,13,14,15,16,17,18,19,20,21,22,23,24,25,26,27,28,29,30}-1)*LEN(Registro!$F104)+1,LEN(Registro!$F104))),FIND("x",TRIM(MID(SUBSTITUTE(SUBSTITUTE(SUBSTITUTE(SUBSTITUTE(SUBSTITUTE(LOWER(Registro!$F104)," ",""),CHAR(10),"|"),";","|"),"+","|"),"|",REPT(" ",LEN(Registro!$F104))),({1,2,3,4,5,6,7,8,9,10,11,12,13,14,15,16,17,18,19,20,21,22,23,24,25,26,27,28,29,30}-1)*LEN(Registro!$F104)+1,LEN(Registro!$F104)))&amp;"x")+1,20))),"Revisar formato")))</f>
        <v/>
      </c>
      <c r="H104" s="21" t="str">
        <f>IF(AND(Registro!$E104="",Registro!$F104=""),"",IF(NOT(AND(ISNUMBER(G104),ISNUMBER(Registro!$G104))),"",IF(G104&lt;Registro!$G104,"FALTA BOLETOS",IF(G104=Registro!$G104,"CONFORME","DIFERENCIA"))))</f>
        <v/>
      </c>
      <c r="I104" s="24" t="str">
        <f>IF(Registro!$H104="","",IFERROR(SUMPRODUCT(--("0"&amp;TRIM(RIGHT(SUBSTITUTE(TRIM(MID(SUBSTITUTE(SUBSTITUTE(Registro!$H104,";",CHAR(10)),CHAR(10),REPT(" ",LEN(Registro!$H104))),({1,2,3,4,5,6,7,8,9,10,11,12,13,14,15,16,17,18,19,20,21,22,23,24,25,26,27,28,29,30}-1)*LEN(Registro!$H104)+1,LEN(Registro!$H104)))," ",REPT(" ",50)),50)))),"Revisar formato"))</f>
        <v/>
      </c>
      <c r="J104" s="24" t="str">
        <f>IF(Registro!$I104="","",IFERROR(SUMPRODUCT(--("0"&amp;TRIM(RIGHT(SUBSTITUTE(TRIM(MID(SUBSTITUTE(SUBSTITUTE(Registro!$I104,";",CHAR(10)),CHAR(10),REPT(" ",LEN(Registro!$I104))),({1,2,3,4,5,6,7,8,9,10,11,12,13,14,15,16,17,18,19,20,21,22,23,24,25,26,27,28,29,30}-1)*LEN(Registro!$I104)+1,LEN(Registro!$I104)))," ",REPT(" ",50)),50)))),"Revisar formato"))</f>
        <v/>
      </c>
      <c r="K104" s="24" t="str">
        <f>IF(AND(Registro!$G104="",Registro!$H104=""),"",IF(AND(ISTEXT(I104),I104&lt;&gt;""),"Revisar formato",N(Registro!$G104)-N(I104)))</f>
        <v/>
      </c>
      <c r="L104" s="24" t="str">
        <f t="shared" si="3"/>
        <v/>
      </c>
      <c r="M104" s="36" t="str">
        <f>IF(AND(A104=Consulta!$B$3,C104=Consulta!$H$3),B104*10000+ROW(),"")</f>
        <v/>
      </c>
    </row>
    <row r="105" spans="1:13" x14ac:dyDescent="0.25">
      <c r="A105" s="21" t="str">
        <f>IF(Registro!$A105="","",Registro!$A105)</f>
        <v/>
      </c>
      <c r="B105" s="20" t="str">
        <f>IF(Registro!$B105="","",Registro!$B105)</f>
        <v/>
      </c>
      <c r="C105" s="35" t="str">
        <f t="shared" si="2"/>
        <v/>
      </c>
      <c r="D105" s="23" t="str">
        <f>IF(Registro!$E105="","",IF(ISERROR(FIND("x",LOWER(Registro!$E105))),"-",IFERROR(SUMPRODUCT(--("0"&amp;LEFT(TRIM(MID(SUBSTITUTE(SUBSTITUTE(SUBSTITUTE(SUBSTITUTE(SUBSTITUTE(LOWER(Registro!$E105),"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",LEN(Registro!$E105))),({1,2,3,4,5,6,7,8,9,10,11,12,13,14,15,16,17,18,19,20,21,22,23,24,25,26,27,28,29,30}-1)*LEN(Registro!$E105)+1,LEN(Registro!$E105))),FIND("x",TRIM(MID(SUBSTITUTE(SUBSTITUTE(SUBSTITUTE(SUBSTITUTE(SUBSTITUTE(LOWER(Registro!$E105),"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",LEN(Registro!$E105))),({1,2,3,4,5,6,7,8,9,10,11,12,13,14,15,16,17,18,19,20,21,22,23,24,25,26,27,28,29,30}-1)*LEN(Registro!$E105)+1,LEN(Registro!$E105)))&amp;"x")-1))),"Revisar formato")))</f>
        <v/>
      </c>
      <c r="E105" s="24" t="str">
        <f>IF(Registro!$E105="","",IF(ISERROR(FIND("x",LOWER(Registro!$E105))),"-",IFERROR(SUMPRODUCT(--("0"&amp;LEFT(TRIM(MID(SUBSTITUTE(SUBSTITUTE(SUBSTITUTE(SUBSTITUTE(SUBSTITUTE(LOWER(Registro!$E105),"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",LEN(Registro!$E105))),({1,2,3,4,5,6,7,8,9,10,11,12,13,14,15,16,17,18,19,20,21,22,23,24,25,26,27,28,29,30}-1)*LEN(Registro!$E105)+1,LEN(Registro!$E105))),FIND("x",TRIM(MID(SUBSTITUTE(SUBSTITUTE(SUBSTITUTE(SUBSTITUTE(SUBSTITUTE(LOWER(Registro!$E105),"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",LEN(Registro!$E105))),({1,2,3,4,5,6,7,8,9,10,11,12,13,14,15,16,17,18,19,20,21,22,23,24,25,26,27,28,29,30}-1)*LEN(Registro!$E105)+1,LEN(Registro!$E105)))&amp;"x")-1)),--("0"&amp;MID(TRIM(MID(SUBSTITUTE(SUBSTITUTE(SUBSTITUTE(SUBSTITUTE(SUBSTITUTE(LOWER(Registro!$E105),"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",LEN(Registro!$E105))),({1,2,3,4,5,6,7,8,9,10,11,12,13,14,15,16,17,18,19,20,21,22,23,24,25,26,27,28,29,30}-1)*LEN(Registro!$E105)+1,LEN(Registro!$E105))),FIND("x",TRIM(MID(SUBSTITUTE(SUBSTITUTE(SUBSTITUTE(SUBSTITUTE(SUBSTITUTE(LOWER(Registro!$E105),"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",LEN(Registro!$E105))),({1,2,3,4,5,6,7,8,9,10,11,12,13,14,15,16,17,18,19,20,21,22,23,24,25,26,27,28,29,30}-1)*LEN(Registro!$E105)+1,LEN(Registro!$E105)))&amp;"x")+1,20))),"Revisar formato")))</f>
        <v/>
      </c>
      <c r="F105" s="23" t="str">
        <f>IF(Registro!$F105="","",IF(ISERROR(FIND("x",LOWER(Registro!$F105))),"-",IFERROR(SUMPRODUCT(--("0"&amp;LEFT(TRIM(MID(SUBSTITUTE(SUBSTITUTE(SUBSTITUTE(SUBSTITUTE(SUBSTITUTE(LOWER(Registro!$F105)," ",""),CHAR(10),"|"),";","|"),"+","|"),"|",REPT(" ",LEN(Registro!$F105))),({1,2,3,4,5,6,7,8,9,10,11,12,13,14,15,16,17,18,19,20,21,22,23,24,25,26,27,28,29,30}-1)*LEN(Registro!$F105)+1,LEN(Registro!$F105))),FIND("x",TRIM(MID(SUBSTITUTE(SUBSTITUTE(SUBSTITUTE(SUBSTITUTE(SUBSTITUTE(LOWER(Registro!$F105)," ",""),CHAR(10),"|"),";","|"),"+","|"),"|",REPT(" ",LEN(Registro!$F105))),({1,2,3,4,5,6,7,8,9,10,11,12,13,14,15,16,17,18,19,20,21,22,23,24,25,26,27,28,29,30}-1)*LEN(Registro!$F105)+1,LEN(Registro!$F105)))&amp;"x")-1))),"Revisar formato")))</f>
        <v/>
      </c>
      <c r="G105" s="24" t="str">
        <f>IF(Registro!$F105="","",IF(ISERROR(FIND("x",LOWER(Registro!$F105))),N(Registro!$G105),IFERROR(SUMPRODUCT(--("0"&amp;LEFT(TRIM(MID(SUBSTITUTE(SUBSTITUTE(SUBSTITUTE(SUBSTITUTE(SUBSTITUTE(LOWER(Registro!$F105)," ",""),CHAR(10),"|"),";","|"),"+","|"),"|",REPT(" ",LEN(Registro!$F105))),({1,2,3,4,5,6,7,8,9,10,11,12,13,14,15,16,17,18,19,20,21,22,23,24,25,26,27,28,29,30}-1)*LEN(Registro!$F105)+1,LEN(Registro!$F105))),FIND("x",TRIM(MID(SUBSTITUTE(SUBSTITUTE(SUBSTITUTE(SUBSTITUTE(SUBSTITUTE(LOWER(Registro!$F105)," ",""),CHAR(10),"|"),";","|"),"+","|"),"|",REPT(" ",LEN(Registro!$F105))),({1,2,3,4,5,6,7,8,9,10,11,12,13,14,15,16,17,18,19,20,21,22,23,24,25,26,27,28,29,30}-1)*LEN(Registro!$F105)+1,LEN(Registro!$F105)))&amp;"x")-1)),--("0"&amp;MID(TRIM(MID(SUBSTITUTE(SUBSTITUTE(SUBSTITUTE(SUBSTITUTE(SUBSTITUTE(LOWER(Registro!$F105)," ",""),CHAR(10),"|"),";","|"),"+","|"),"|",REPT(" ",LEN(Registro!$F105))),({1,2,3,4,5,6,7,8,9,10,11,12,13,14,15,16,17,18,19,20,21,22,23,24,25,26,27,28,29,30}-1)*LEN(Registro!$F105)+1,LEN(Registro!$F105))),FIND("x",TRIM(MID(SUBSTITUTE(SUBSTITUTE(SUBSTITUTE(SUBSTITUTE(SUBSTITUTE(LOWER(Registro!$F105)," ",""),CHAR(10),"|"),";","|"),"+","|"),"|",REPT(" ",LEN(Registro!$F105))),({1,2,3,4,5,6,7,8,9,10,11,12,13,14,15,16,17,18,19,20,21,22,23,24,25,26,27,28,29,30}-1)*LEN(Registro!$F105)+1,LEN(Registro!$F105)))&amp;"x")+1,20))),"Revisar formato")))</f>
        <v/>
      </c>
      <c r="H105" s="21" t="str">
        <f>IF(AND(Registro!$E105="",Registro!$F105=""),"",IF(NOT(AND(ISNUMBER(G105),ISNUMBER(Registro!$G105))),"",IF(G105&lt;Registro!$G105,"FALTA BOLETOS",IF(G105=Registro!$G105,"CONFORME","DIFERENCIA"))))</f>
        <v/>
      </c>
      <c r="I105" s="24" t="str">
        <f>IF(Registro!$H105="","",IFERROR(SUMPRODUCT(--("0"&amp;TRIM(RIGHT(SUBSTITUTE(TRIM(MID(SUBSTITUTE(SUBSTITUTE(Registro!$H105,";",CHAR(10)),CHAR(10),REPT(" ",LEN(Registro!$H105))),({1,2,3,4,5,6,7,8,9,10,11,12,13,14,15,16,17,18,19,20,21,22,23,24,25,26,27,28,29,30}-1)*LEN(Registro!$H105)+1,LEN(Registro!$H105)))," ",REPT(" ",50)),50)))),"Revisar formato"))</f>
        <v/>
      </c>
      <c r="J105" s="24" t="str">
        <f>IF(Registro!$I105="","",IFERROR(SUMPRODUCT(--("0"&amp;TRIM(RIGHT(SUBSTITUTE(TRIM(MID(SUBSTITUTE(SUBSTITUTE(Registro!$I105,";",CHAR(10)),CHAR(10),REPT(" ",LEN(Registro!$I105))),({1,2,3,4,5,6,7,8,9,10,11,12,13,14,15,16,17,18,19,20,21,22,23,24,25,26,27,28,29,30}-1)*LEN(Registro!$I105)+1,LEN(Registro!$I105)))," ",REPT(" ",50)),50)))),"Revisar formato"))</f>
        <v/>
      </c>
      <c r="K105" s="24" t="str">
        <f>IF(AND(Registro!$G105="",Registro!$H105=""),"",IF(AND(ISTEXT(I105),I105&lt;&gt;""),"Revisar formato",N(Registro!$G105)-N(I105)))</f>
        <v/>
      </c>
      <c r="L105" s="24" t="str">
        <f t="shared" si="3"/>
        <v/>
      </c>
      <c r="M105" s="36" t="str">
        <f>IF(AND(A105=Consulta!$B$3,C105=Consulta!$H$3),B105*10000+ROW(),"")</f>
        <v/>
      </c>
    </row>
    <row r="106" spans="1:13" x14ac:dyDescent="0.25">
      <c r="A106" s="21" t="str">
        <f>IF(Registro!$A106="","",Registro!$A106)</f>
        <v/>
      </c>
      <c r="B106" s="20" t="str">
        <f>IF(Registro!$B106="","",Registro!$B106)</f>
        <v/>
      </c>
      <c r="C106" s="35" t="str">
        <f t="shared" si="2"/>
        <v/>
      </c>
      <c r="D106" s="23" t="str">
        <f>IF(Registro!$E106="","",IF(ISERROR(FIND("x",LOWER(Registro!$E106))),"-",IFERROR(SUMPRODUCT(--("0"&amp;LEFT(TRIM(MID(SUBSTITUTE(SUBSTITUTE(SUBSTITUTE(SUBSTITUTE(SUBSTITUTE(LOWER(Registro!$E106),"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",LEN(Registro!$E106))),({1,2,3,4,5,6,7,8,9,10,11,12,13,14,15,16,17,18,19,20,21,22,23,24,25,26,27,28,29,30}-1)*LEN(Registro!$E106)+1,LEN(Registro!$E106))),FIND("x",TRIM(MID(SUBSTITUTE(SUBSTITUTE(SUBSTITUTE(SUBSTITUTE(SUBSTITUTE(LOWER(Registro!$E106),"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",LEN(Registro!$E106))),({1,2,3,4,5,6,7,8,9,10,11,12,13,14,15,16,17,18,19,20,21,22,23,24,25,26,27,28,29,30}-1)*LEN(Registro!$E106)+1,LEN(Registro!$E106)))&amp;"x")-1))),"Revisar formato")))</f>
        <v/>
      </c>
      <c r="E106" s="24" t="str">
        <f>IF(Registro!$E106="","",IF(ISERROR(FIND("x",LOWER(Registro!$E106))),"-",IFERROR(SUMPRODUCT(--("0"&amp;LEFT(TRIM(MID(SUBSTITUTE(SUBSTITUTE(SUBSTITUTE(SUBSTITUTE(SUBSTITUTE(LOWER(Registro!$E106),"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",LEN(Registro!$E106))),({1,2,3,4,5,6,7,8,9,10,11,12,13,14,15,16,17,18,19,20,21,22,23,24,25,26,27,28,29,30}-1)*LEN(Registro!$E106)+1,LEN(Registro!$E106))),FIND("x",TRIM(MID(SUBSTITUTE(SUBSTITUTE(SUBSTITUTE(SUBSTITUTE(SUBSTITUTE(LOWER(Registro!$E106),"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",LEN(Registro!$E106))),({1,2,3,4,5,6,7,8,9,10,11,12,13,14,15,16,17,18,19,20,21,22,23,24,25,26,27,28,29,30}-1)*LEN(Registro!$E106)+1,LEN(Registro!$E106)))&amp;"x")-1)),--("0"&amp;MID(TRIM(MID(SUBSTITUTE(SUBSTITUTE(SUBSTITUTE(SUBSTITUTE(SUBSTITUTE(LOWER(Registro!$E106),"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",LEN(Registro!$E106))),({1,2,3,4,5,6,7,8,9,10,11,12,13,14,15,16,17,18,19,20,21,22,23,24,25,26,27,28,29,30}-1)*LEN(Registro!$E106)+1,LEN(Registro!$E106))),FIND("x",TRIM(MID(SUBSTITUTE(SUBSTITUTE(SUBSTITUTE(SUBSTITUTE(SUBSTITUTE(LOWER(Registro!$E106),"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",LEN(Registro!$E106))),({1,2,3,4,5,6,7,8,9,10,11,12,13,14,15,16,17,18,19,20,21,22,23,24,25,26,27,28,29,30}-1)*LEN(Registro!$E106)+1,LEN(Registro!$E106)))&amp;"x")+1,20))),"Revisar formato")))</f>
        <v/>
      </c>
      <c r="F106" s="23" t="str">
        <f>IF(Registro!$F106="","",IF(ISERROR(FIND("x",LOWER(Registro!$F106))),"-",IFERROR(SUMPRODUCT(--("0"&amp;LEFT(TRIM(MID(SUBSTITUTE(SUBSTITUTE(SUBSTITUTE(SUBSTITUTE(SUBSTITUTE(LOWER(Registro!$F106)," ",""),CHAR(10),"|"),";","|"),"+","|"),"|",REPT(" ",LEN(Registro!$F106))),({1,2,3,4,5,6,7,8,9,10,11,12,13,14,15,16,17,18,19,20,21,22,23,24,25,26,27,28,29,30}-1)*LEN(Registro!$F106)+1,LEN(Registro!$F106))),FIND("x",TRIM(MID(SUBSTITUTE(SUBSTITUTE(SUBSTITUTE(SUBSTITUTE(SUBSTITUTE(LOWER(Registro!$F106)," ",""),CHAR(10),"|"),";","|"),"+","|"),"|",REPT(" ",LEN(Registro!$F106))),({1,2,3,4,5,6,7,8,9,10,11,12,13,14,15,16,17,18,19,20,21,22,23,24,25,26,27,28,29,30}-1)*LEN(Registro!$F106)+1,LEN(Registro!$F106)))&amp;"x")-1))),"Revisar formato")))</f>
        <v/>
      </c>
      <c r="G106" s="24" t="str">
        <f>IF(Registro!$F106="","",IF(ISERROR(FIND("x",LOWER(Registro!$F106))),N(Registro!$G106),IFERROR(SUMPRODUCT(--("0"&amp;LEFT(TRIM(MID(SUBSTITUTE(SUBSTITUTE(SUBSTITUTE(SUBSTITUTE(SUBSTITUTE(LOWER(Registro!$F106)," ",""),CHAR(10),"|"),";","|"),"+","|"),"|",REPT(" ",LEN(Registro!$F106))),({1,2,3,4,5,6,7,8,9,10,11,12,13,14,15,16,17,18,19,20,21,22,23,24,25,26,27,28,29,30}-1)*LEN(Registro!$F106)+1,LEN(Registro!$F106))),FIND("x",TRIM(MID(SUBSTITUTE(SUBSTITUTE(SUBSTITUTE(SUBSTITUTE(SUBSTITUTE(LOWER(Registro!$F106)," ",""),CHAR(10),"|"),";","|"),"+","|"),"|",REPT(" ",LEN(Registro!$F106))),({1,2,3,4,5,6,7,8,9,10,11,12,13,14,15,16,17,18,19,20,21,22,23,24,25,26,27,28,29,30}-1)*LEN(Registro!$F106)+1,LEN(Registro!$F106)))&amp;"x")-1)),--("0"&amp;MID(TRIM(MID(SUBSTITUTE(SUBSTITUTE(SUBSTITUTE(SUBSTITUTE(SUBSTITUTE(LOWER(Registro!$F106)," ",""),CHAR(10),"|"),";","|"),"+","|"),"|",REPT(" ",LEN(Registro!$F106))),({1,2,3,4,5,6,7,8,9,10,11,12,13,14,15,16,17,18,19,20,21,22,23,24,25,26,27,28,29,30}-1)*LEN(Registro!$F106)+1,LEN(Registro!$F106))),FIND("x",TRIM(MID(SUBSTITUTE(SUBSTITUTE(SUBSTITUTE(SUBSTITUTE(SUBSTITUTE(LOWER(Registro!$F106)," ",""),CHAR(10),"|"),";","|"),"+","|"),"|",REPT(" ",LEN(Registro!$F106))),({1,2,3,4,5,6,7,8,9,10,11,12,13,14,15,16,17,18,19,20,21,22,23,24,25,26,27,28,29,30}-1)*LEN(Registro!$F106)+1,LEN(Registro!$F106)))&amp;"x")+1,20))),"Revisar formato")))</f>
        <v/>
      </c>
      <c r="H106" s="21" t="str">
        <f>IF(AND(Registro!$E106="",Registro!$F106=""),"",IF(NOT(AND(ISNUMBER(G106),ISNUMBER(Registro!$G106))),"",IF(G106&lt;Registro!$G106,"FALTA BOLETOS",IF(G106=Registro!$G106,"CONFORME","DIFERENCIA"))))</f>
        <v/>
      </c>
      <c r="I106" s="24" t="str">
        <f>IF(Registro!$H106="","",IFERROR(SUMPRODUCT(--("0"&amp;TRIM(RIGHT(SUBSTITUTE(TRIM(MID(SUBSTITUTE(SUBSTITUTE(Registro!$H106,";",CHAR(10)),CHAR(10),REPT(" ",LEN(Registro!$H106))),({1,2,3,4,5,6,7,8,9,10,11,12,13,14,15,16,17,18,19,20,21,22,23,24,25,26,27,28,29,30}-1)*LEN(Registro!$H106)+1,LEN(Registro!$H106)))," ",REPT(" ",50)),50)))),"Revisar formato"))</f>
        <v/>
      </c>
      <c r="J106" s="24" t="str">
        <f>IF(Registro!$I106="","",IFERROR(SUMPRODUCT(--("0"&amp;TRIM(RIGHT(SUBSTITUTE(TRIM(MID(SUBSTITUTE(SUBSTITUTE(Registro!$I106,";",CHAR(10)),CHAR(10),REPT(" ",LEN(Registro!$I106))),({1,2,3,4,5,6,7,8,9,10,11,12,13,14,15,16,17,18,19,20,21,22,23,24,25,26,27,28,29,30}-1)*LEN(Registro!$I106)+1,LEN(Registro!$I106)))," ",REPT(" ",50)),50)))),"Revisar formato"))</f>
        <v/>
      </c>
      <c r="K106" s="24" t="str">
        <f>IF(AND(Registro!$G106="",Registro!$H106=""),"",IF(AND(ISTEXT(I106),I106&lt;&gt;""),"Revisar formato",N(Registro!$G106)-N(I106)))</f>
        <v/>
      </c>
      <c r="L106" s="24" t="str">
        <f t="shared" si="3"/>
        <v/>
      </c>
      <c r="M106" s="36" t="str">
        <f>IF(AND(A106=Consulta!$B$3,C106=Consulta!$H$3),B106*10000+ROW(),"")</f>
        <v/>
      </c>
    </row>
    <row r="107" spans="1:13" x14ac:dyDescent="0.25">
      <c r="A107" s="21" t="str">
        <f>IF(Registro!$A107="","",Registro!$A107)</f>
        <v/>
      </c>
      <c r="B107" s="20" t="str">
        <f>IF(Registro!$B107="","",Registro!$B107)</f>
        <v/>
      </c>
      <c r="C107" s="35" t="str">
        <f t="shared" si="2"/>
        <v/>
      </c>
      <c r="D107" s="23" t="str">
        <f>IF(Registro!$E107="","",IF(ISERROR(FIND("x",LOWER(Registro!$E107))),"-",IFERROR(SUMPRODUCT(--("0"&amp;LEFT(TRIM(MID(SUBSTITUTE(SUBSTITUTE(SUBSTITUTE(SUBSTITUTE(SUBSTITUTE(LOWER(Registro!$E107),"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",LEN(Registro!$E107))),({1,2,3,4,5,6,7,8,9,10,11,12,13,14,15,16,17,18,19,20,21,22,23,24,25,26,27,28,29,30}-1)*LEN(Registro!$E107)+1,LEN(Registro!$E107))),FIND("x",TRIM(MID(SUBSTITUTE(SUBSTITUTE(SUBSTITUTE(SUBSTITUTE(SUBSTITUTE(LOWER(Registro!$E107),"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",LEN(Registro!$E107))),({1,2,3,4,5,6,7,8,9,10,11,12,13,14,15,16,17,18,19,20,21,22,23,24,25,26,27,28,29,30}-1)*LEN(Registro!$E107)+1,LEN(Registro!$E107)))&amp;"x")-1))),"Revisar formato")))</f>
        <v/>
      </c>
      <c r="E107" s="24" t="str">
        <f>IF(Registro!$E107="","",IF(ISERROR(FIND("x",LOWER(Registro!$E107))),"-",IFERROR(SUMPRODUCT(--("0"&amp;LEFT(TRIM(MID(SUBSTITUTE(SUBSTITUTE(SUBSTITUTE(SUBSTITUTE(SUBSTITUTE(LOWER(Registro!$E107),"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",LEN(Registro!$E107))),({1,2,3,4,5,6,7,8,9,10,11,12,13,14,15,16,17,18,19,20,21,22,23,24,25,26,27,28,29,30}-1)*LEN(Registro!$E107)+1,LEN(Registro!$E107))),FIND("x",TRIM(MID(SUBSTITUTE(SUBSTITUTE(SUBSTITUTE(SUBSTITUTE(SUBSTITUTE(LOWER(Registro!$E107),"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",LEN(Registro!$E107))),({1,2,3,4,5,6,7,8,9,10,11,12,13,14,15,16,17,18,19,20,21,22,23,24,25,26,27,28,29,30}-1)*LEN(Registro!$E107)+1,LEN(Registro!$E107)))&amp;"x")-1)),--("0"&amp;MID(TRIM(MID(SUBSTITUTE(SUBSTITUTE(SUBSTITUTE(SUBSTITUTE(SUBSTITUTE(LOWER(Registro!$E107),"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",LEN(Registro!$E107))),({1,2,3,4,5,6,7,8,9,10,11,12,13,14,15,16,17,18,19,20,21,22,23,24,25,26,27,28,29,30}-1)*LEN(Registro!$E107)+1,LEN(Registro!$E107))),FIND("x",TRIM(MID(SUBSTITUTE(SUBSTITUTE(SUBSTITUTE(SUBSTITUTE(SUBSTITUTE(LOWER(Registro!$E107),"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",LEN(Registro!$E107))),({1,2,3,4,5,6,7,8,9,10,11,12,13,14,15,16,17,18,19,20,21,22,23,24,25,26,27,28,29,30}-1)*LEN(Registro!$E107)+1,LEN(Registro!$E107)))&amp;"x")+1,20))),"Revisar formato")))</f>
        <v/>
      </c>
      <c r="F107" s="23" t="str">
        <f>IF(Registro!$F107="","",IF(ISERROR(FIND("x",LOWER(Registro!$F107))),"-",IFERROR(SUMPRODUCT(--("0"&amp;LEFT(TRIM(MID(SUBSTITUTE(SUBSTITUTE(SUBSTITUTE(SUBSTITUTE(SUBSTITUTE(LOWER(Registro!$F107)," ",""),CHAR(10),"|"),";","|"),"+","|"),"|",REPT(" ",LEN(Registro!$F107))),({1,2,3,4,5,6,7,8,9,10,11,12,13,14,15,16,17,18,19,20,21,22,23,24,25,26,27,28,29,30}-1)*LEN(Registro!$F107)+1,LEN(Registro!$F107))),FIND("x",TRIM(MID(SUBSTITUTE(SUBSTITUTE(SUBSTITUTE(SUBSTITUTE(SUBSTITUTE(LOWER(Registro!$F107)," ",""),CHAR(10),"|"),";","|"),"+","|"),"|",REPT(" ",LEN(Registro!$F107))),({1,2,3,4,5,6,7,8,9,10,11,12,13,14,15,16,17,18,19,20,21,22,23,24,25,26,27,28,29,30}-1)*LEN(Registro!$F107)+1,LEN(Registro!$F107)))&amp;"x")-1))),"Revisar formato")))</f>
        <v/>
      </c>
      <c r="G107" s="24" t="str">
        <f>IF(Registro!$F107="","",IF(ISERROR(FIND("x",LOWER(Registro!$F107))),N(Registro!$G107),IFERROR(SUMPRODUCT(--("0"&amp;LEFT(TRIM(MID(SUBSTITUTE(SUBSTITUTE(SUBSTITUTE(SUBSTITUTE(SUBSTITUTE(LOWER(Registro!$F107)," ",""),CHAR(10),"|"),";","|"),"+","|"),"|",REPT(" ",LEN(Registro!$F107))),({1,2,3,4,5,6,7,8,9,10,11,12,13,14,15,16,17,18,19,20,21,22,23,24,25,26,27,28,29,30}-1)*LEN(Registro!$F107)+1,LEN(Registro!$F107))),FIND("x",TRIM(MID(SUBSTITUTE(SUBSTITUTE(SUBSTITUTE(SUBSTITUTE(SUBSTITUTE(LOWER(Registro!$F107)," ",""),CHAR(10),"|"),";","|"),"+","|"),"|",REPT(" ",LEN(Registro!$F107))),({1,2,3,4,5,6,7,8,9,10,11,12,13,14,15,16,17,18,19,20,21,22,23,24,25,26,27,28,29,30}-1)*LEN(Registro!$F107)+1,LEN(Registro!$F107)))&amp;"x")-1)),--("0"&amp;MID(TRIM(MID(SUBSTITUTE(SUBSTITUTE(SUBSTITUTE(SUBSTITUTE(SUBSTITUTE(LOWER(Registro!$F107)," ",""),CHAR(10),"|"),";","|"),"+","|"),"|",REPT(" ",LEN(Registro!$F107))),({1,2,3,4,5,6,7,8,9,10,11,12,13,14,15,16,17,18,19,20,21,22,23,24,25,26,27,28,29,30}-1)*LEN(Registro!$F107)+1,LEN(Registro!$F107))),FIND("x",TRIM(MID(SUBSTITUTE(SUBSTITUTE(SUBSTITUTE(SUBSTITUTE(SUBSTITUTE(LOWER(Registro!$F107)," ",""),CHAR(10),"|"),";","|"),"+","|"),"|",REPT(" ",LEN(Registro!$F107))),({1,2,3,4,5,6,7,8,9,10,11,12,13,14,15,16,17,18,19,20,21,22,23,24,25,26,27,28,29,30}-1)*LEN(Registro!$F107)+1,LEN(Registro!$F107)))&amp;"x")+1,20))),"Revisar formato")))</f>
        <v/>
      </c>
      <c r="H107" s="21" t="str">
        <f>IF(AND(Registro!$E107="",Registro!$F107=""),"",IF(NOT(AND(ISNUMBER(G107),ISNUMBER(Registro!$G107))),"",IF(G107&lt;Registro!$G107,"FALTA BOLETOS",IF(G107=Registro!$G107,"CONFORME","DIFERENCIA"))))</f>
        <v/>
      </c>
      <c r="I107" s="24" t="str">
        <f>IF(Registro!$H107="","",IFERROR(SUMPRODUCT(--("0"&amp;TRIM(RIGHT(SUBSTITUTE(TRIM(MID(SUBSTITUTE(SUBSTITUTE(Registro!$H107,";",CHAR(10)),CHAR(10),REPT(" ",LEN(Registro!$H107))),({1,2,3,4,5,6,7,8,9,10,11,12,13,14,15,16,17,18,19,20,21,22,23,24,25,26,27,28,29,30}-1)*LEN(Registro!$H107)+1,LEN(Registro!$H107)))," ",REPT(" ",50)),50)))),"Revisar formato"))</f>
        <v/>
      </c>
      <c r="J107" s="24" t="str">
        <f>IF(Registro!$I107="","",IFERROR(SUMPRODUCT(--("0"&amp;TRIM(RIGHT(SUBSTITUTE(TRIM(MID(SUBSTITUTE(SUBSTITUTE(Registro!$I107,";",CHAR(10)),CHAR(10),REPT(" ",LEN(Registro!$I107))),({1,2,3,4,5,6,7,8,9,10,11,12,13,14,15,16,17,18,19,20,21,22,23,24,25,26,27,28,29,30}-1)*LEN(Registro!$I107)+1,LEN(Registro!$I107)))," ",REPT(" ",50)),50)))),"Revisar formato"))</f>
        <v/>
      </c>
      <c r="K107" s="24" t="str">
        <f>IF(AND(Registro!$G107="",Registro!$H107=""),"",IF(AND(ISTEXT(I107),I107&lt;&gt;""),"Revisar formato",N(Registro!$G107)-N(I107)))</f>
        <v/>
      </c>
      <c r="L107" s="24" t="str">
        <f t="shared" si="3"/>
        <v/>
      </c>
      <c r="M107" s="36" t="str">
        <f>IF(AND(A107=Consulta!$B$3,C107=Consulta!$H$3),B107*10000+ROW(),"")</f>
        <v/>
      </c>
    </row>
    <row r="108" spans="1:13" x14ac:dyDescent="0.25">
      <c r="A108" s="21" t="str">
        <f>IF(Registro!$A108="","",Registro!$A108)</f>
        <v/>
      </c>
      <c r="B108" s="20" t="str">
        <f>IF(Registro!$B108="","",Registro!$B108)</f>
        <v/>
      </c>
      <c r="C108" s="35" t="str">
        <f t="shared" si="2"/>
        <v/>
      </c>
      <c r="D108" s="23" t="str">
        <f>IF(Registro!$E108="","",IF(ISERROR(FIND("x",LOWER(Registro!$E108))),"-",IFERROR(SUMPRODUCT(--("0"&amp;LEFT(TRIM(MID(SUBSTITUTE(SUBSTITUTE(SUBSTITUTE(SUBSTITUTE(SUBSTITUTE(LOWER(Registro!$E108),"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",LEN(Registro!$E108))),({1,2,3,4,5,6,7,8,9,10,11,12,13,14,15,16,17,18,19,20,21,22,23,24,25,26,27,28,29,30}-1)*LEN(Registro!$E108)+1,LEN(Registro!$E108))),FIND("x",TRIM(MID(SUBSTITUTE(SUBSTITUTE(SUBSTITUTE(SUBSTITUTE(SUBSTITUTE(LOWER(Registro!$E108),"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",LEN(Registro!$E108))),({1,2,3,4,5,6,7,8,9,10,11,12,13,14,15,16,17,18,19,20,21,22,23,24,25,26,27,28,29,30}-1)*LEN(Registro!$E108)+1,LEN(Registro!$E108)))&amp;"x")-1))),"Revisar formato")))</f>
        <v/>
      </c>
      <c r="E108" s="24" t="str">
        <f>IF(Registro!$E108="","",IF(ISERROR(FIND("x",LOWER(Registro!$E108))),"-",IFERROR(SUMPRODUCT(--("0"&amp;LEFT(TRIM(MID(SUBSTITUTE(SUBSTITUTE(SUBSTITUTE(SUBSTITUTE(SUBSTITUTE(LOWER(Registro!$E108),"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",LEN(Registro!$E108))),({1,2,3,4,5,6,7,8,9,10,11,12,13,14,15,16,17,18,19,20,21,22,23,24,25,26,27,28,29,30}-1)*LEN(Registro!$E108)+1,LEN(Registro!$E108))),FIND("x",TRIM(MID(SUBSTITUTE(SUBSTITUTE(SUBSTITUTE(SUBSTITUTE(SUBSTITUTE(LOWER(Registro!$E108),"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",LEN(Registro!$E108))),({1,2,3,4,5,6,7,8,9,10,11,12,13,14,15,16,17,18,19,20,21,22,23,24,25,26,27,28,29,30}-1)*LEN(Registro!$E108)+1,LEN(Registro!$E108)))&amp;"x")-1)),--("0"&amp;MID(TRIM(MID(SUBSTITUTE(SUBSTITUTE(SUBSTITUTE(SUBSTITUTE(SUBSTITUTE(LOWER(Registro!$E108),"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",LEN(Registro!$E108))),({1,2,3,4,5,6,7,8,9,10,11,12,13,14,15,16,17,18,19,20,21,22,23,24,25,26,27,28,29,30}-1)*LEN(Registro!$E108)+1,LEN(Registro!$E108))),FIND("x",TRIM(MID(SUBSTITUTE(SUBSTITUTE(SUBSTITUTE(SUBSTITUTE(SUBSTITUTE(LOWER(Registro!$E108),"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",LEN(Registro!$E108))),({1,2,3,4,5,6,7,8,9,10,11,12,13,14,15,16,17,18,19,20,21,22,23,24,25,26,27,28,29,30}-1)*LEN(Registro!$E108)+1,LEN(Registro!$E108)))&amp;"x")+1,20))),"Revisar formato")))</f>
        <v/>
      </c>
      <c r="F108" s="23" t="str">
        <f>IF(Registro!$F108="","",IF(ISERROR(FIND("x",LOWER(Registro!$F108))),"-",IFERROR(SUMPRODUCT(--("0"&amp;LEFT(TRIM(MID(SUBSTITUTE(SUBSTITUTE(SUBSTITUTE(SUBSTITUTE(SUBSTITUTE(LOWER(Registro!$F108)," ",""),CHAR(10),"|"),";","|"),"+","|"),"|",REPT(" ",LEN(Registro!$F108))),({1,2,3,4,5,6,7,8,9,10,11,12,13,14,15,16,17,18,19,20,21,22,23,24,25,26,27,28,29,30}-1)*LEN(Registro!$F108)+1,LEN(Registro!$F108))),FIND("x",TRIM(MID(SUBSTITUTE(SUBSTITUTE(SUBSTITUTE(SUBSTITUTE(SUBSTITUTE(LOWER(Registro!$F108)," ",""),CHAR(10),"|"),";","|"),"+","|"),"|",REPT(" ",LEN(Registro!$F108))),({1,2,3,4,5,6,7,8,9,10,11,12,13,14,15,16,17,18,19,20,21,22,23,24,25,26,27,28,29,30}-1)*LEN(Registro!$F108)+1,LEN(Registro!$F108)))&amp;"x")-1))),"Revisar formato")))</f>
        <v/>
      </c>
      <c r="G108" s="24" t="str">
        <f>IF(Registro!$F108="","",IF(ISERROR(FIND("x",LOWER(Registro!$F108))),N(Registro!$G108),IFERROR(SUMPRODUCT(--("0"&amp;LEFT(TRIM(MID(SUBSTITUTE(SUBSTITUTE(SUBSTITUTE(SUBSTITUTE(SUBSTITUTE(LOWER(Registro!$F108)," ",""),CHAR(10),"|"),";","|"),"+","|"),"|",REPT(" ",LEN(Registro!$F108))),({1,2,3,4,5,6,7,8,9,10,11,12,13,14,15,16,17,18,19,20,21,22,23,24,25,26,27,28,29,30}-1)*LEN(Registro!$F108)+1,LEN(Registro!$F108))),FIND("x",TRIM(MID(SUBSTITUTE(SUBSTITUTE(SUBSTITUTE(SUBSTITUTE(SUBSTITUTE(LOWER(Registro!$F108)," ",""),CHAR(10),"|"),";","|"),"+","|"),"|",REPT(" ",LEN(Registro!$F108))),({1,2,3,4,5,6,7,8,9,10,11,12,13,14,15,16,17,18,19,20,21,22,23,24,25,26,27,28,29,30}-1)*LEN(Registro!$F108)+1,LEN(Registro!$F108)))&amp;"x")-1)),--("0"&amp;MID(TRIM(MID(SUBSTITUTE(SUBSTITUTE(SUBSTITUTE(SUBSTITUTE(SUBSTITUTE(LOWER(Registro!$F108)," ",""),CHAR(10),"|"),";","|"),"+","|"),"|",REPT(" ",LEN(Registro!$F108))),({1,2,3,4,5,6,7,8,9,10,11,12,13,14,15,16,17,18,19,20,21,22,23,24,25,26,27,28,29,30}-1)*LEN(Registro!$F108)+1,LEN(Registro!$F108))),FIND("x",TRIM(MID(SUBSTITUTE(SUBSTITUTE(SUBSTITUTE(SUBSTITUTE(SUBSTITUTE(LOWER(Registro!$F108)," ",""),CHAR(10),"|"),";","|"),"+","|"),"|",REPT(" ",LEN(Registro!$F108))),({1,2,3,4,5,6,7,8,9,10,11,12,13,14,15,16,17,18,19,20,21,22,23,24,25,26,27,28,29,30}-1)*LEN(Registro!$F108)+1,LEN(Registro!$F108)))&amp;"x")+1,20))),"Revisar formato")))</f>
        <v/>
      </c>
      <c r="H108" s="21" t="str">
        <f>IF(AND(Registro!$E108="",Registro!$F108=""),"",IF(NOT(AND(ISNUMBER(G108),ISNUMBER(Registro!$G108))),"",IF(G108&lt;Registro!$G108,"FALTA BOLETOS",IF(G108=Registro!$G108,"CONFORME","DIFERENCIA"))))</f>
        <v/>
      </c>
      <c r="I108" s="24" t="str">
        <f>IF(Registro!$H108="","",IFERROR(SUMPRODUCT(--("0"&amp;TRIM(RIGHT(SUBSTITUTE(TRIM(MID(SUBSTITUTE(SUBSTITUTE(Registro!$H108,";",CHAR(10)),CHAR(10),REPT(" ",LEN(Registro!$H108))),({1,2,3,4,5,6,7,8,9,10,11,12,13,14,15,16,17,18,19,20,21,22,23,24,25,26,27,28,29,30}-1)*LEN(Registro!$H108)+1,LEN(Registro!$H108)))," ",REPT(" ",50)),50)))),"Revisar formato"))</f>
        <v/>
      </c>
      <c r="J108" s="24" t="str">
        <f>IF(Registro!$I108="","",IFERROR(SUMPRODUCT(--("0"&amp;TRIM(RIGHT(SUBSTITUTE(TRIM(MID(SUBSTITUTE(SUBSTITUTE(Registro!$I108,";",CHAR(10)),CHAR(10),REPT(" ",LEN(Registro!$I108))),({1,2,3,4,5,6,7,8,9,10,11,12,13,14,15,16,17,18,19,20,21,22,23,24,25,26,27,28,29,30}-1)*LEN(Registro!$I108)+1,LEN(Registro!$I108)))," ",REPT(" ",50)),50)))),"Revisar formato"))</f>
        <v/>
      </c>
      <c r="K108" s="24" t="str">
        <f>IF(AND(Registro!$G108="",Registro!$H108=""),"",IF(AND(ISTEXT(I108),I108&lt;&gt;""),"Revisar formato",N(Registro!$G108)-N(I108)))</f>
        <v/>
      </c>
      <c r="L108" s="24" t="str">
        <f t="shared" si="3"/>
        <v/>
      </c>
      <c r="M108" s="36" t="str">
        <f>IF(AND(A108=Consulta!$B$3,C108=Consulta!$H$3),B108*10000+ROW(),"")</f>
        <v/>
      </c>
    </row>
    <row r="109" spans="1:13" x14ac:dyDescent="0.25">
      <c r="A109" s="21" t="str">
        <f>IF(Registro!$A109="","",Registro!$A109)</f>
        <v/>
      </c>
      <c r="B109" s="20" t="str">
        <f>IF(Registro!$B109="","",Registro!$B109)</f>
        <v/>
      </c>
      <c r="C109" s="35" t="str">
        <f t="shared" si="2"/>
        <v/>
      </c>
      <c r="D109" s="23" t="str">
        <f>IF(Registro!$E109="","",IF(ISERROR(FIND("x",LOWER(Registro!$E109))),"-",IFERROR(SUMPRODUCT(--("0"&amp;LEFT(TRIM(MID(SUBSTITUTE(SUBSTITUTE(SUBSTITUTE(SUBSTITUTE(SUBSTITUTE(LOWER(Registro!$E109),"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",LEN(Registro!$E109))),({1,2,3,4,5,6,7,8,9,10,11,12,13,14,15,16,17,18,19,20,21,22,23,24,25,26,27,28,29,30}-1)*LEN(Registro!$E109)+1,LEN(Registro!$E109))),FIND("x",TRIM(MID(SUBSTITUTE(SUBSTITUTE(SUBSTITUTE(SUBSTITUTE(SUBSTITUTE(LOWER(Registro!$E109),"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",LEN(Registro!$E109))),({1,2,3,4,5,6,7,8,9,10,11,12,13,14,15,16,17,18,19,20,21,22,23,24,25,26,27,28,29,30}-1)*LEN(Registro!$E109)+1,LEN(Registro!$E109)))&amp;"x")-1))),"Revisar formato")))</f>
        <v/>
      </c>
      <c r="E109" s="24" t="str">
        <f>IF(Registro!$E109="","",IF(ISERROR(FIND("x",LOWER(Registro!$E109))),"-",IFERROR(SUMPRODUCT(--("0"&amp;LEFT(TRIM(MID(SUBSTITUTE(SUBSTITUTE(SUBSTITUTE(SUBSTITUTE(SUBSTITUTE(LOWER(Registro!$E109),"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",LEN(Registro!$E109))),({1,2,3,4,5,6,7,8,9,10,11,12,13,14,15,16,17,18,19,20,21,22,23,24,25,26,27,28,29,30}-1)*LEN(Registro!$E109)+1,LEN(Registro!$E109))),FIND("x",TRIM(MID(SUBSTITUTE(SUBSTITUTE(SUBSTITUTE(SUBSTITUTE(SUBSTITUTE(LOWER(Registro!$E109),"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",LEN(Registro!$E109))),({1,2,3,4,5,6,7,8,9,10,11,12,13,14,15,16,17,18,19,20,21,22,23,24,25,26,27,28,29,30}-1)*LEN(Registro!$E109)+1,LEN(Registro!$E109)))&amp;"x")-1)),--("0"&amp;MID(TRIM(MID(SUBSTITUTE(SUBSTITUTE(SUBSTITUTE(SUBSTITUTE(SUBSTITUTE(LOWER(Registro!$E109),"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",LEN(Registro!$E109))),({1,2,3,4,5,6,7,8,9,10,11,12,13,14,15,16,17,18,19,20,21,22,23,24,25,26,27,28,29,30}-1)*LEN(Registro!$E109)+1,LEN(Registro!$E109))),FIND("x",TRIM(MID(SUBSTITUTE(SUBSTITUTE(SUBSTITUTE(SUBSTITUTE(SUBSTITUTE(LOWER(Registro!$E109),"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",LEN(Registro!$E109))),({1,2,3,4,5,6,7,8,9,10,11,12,13,14,15,16,17,18,19,20,21,22,23,24,25,26,27,28,29,30}-1)*LEN(Registro!$E109)+1,LEN(Registro!$E109)))&amp;"x")+1,20))),"Revisar formato")))</f>
        <v/>
      </c>
      <c r="F109" s="23" t="str">
        <f>IF(Registro!$F109="","",IF(ISERROR(FIND("x",LOWER(Registro!$F109))),"-",IFERROR(SUMPRODUCT(--("0"&amp;LEFT(TRIM(MID(SUBSTITUTE(SUBSTITUTE(SUBSTITUTE(SUBSTITUTE(SUBSTITUTE(LOWER(Registro!$F109)," ",""),CHAR(10),"|"),";","|"),"+","|"),"|",REPT(" ",LEN(Registro!$F109))),({1,2,3,4,5,6,7,8,9,10,11,12,13,14,15,16,17,18,19,20,21,22,23,24,25,26,27,28,29,30}-1)*LEN(Registro!$F109)+1,LEN(Registro!$F109))),FIND("x",TRIM(MID(SUBSTITUTE(SUBSTITUTE(SUBSTITUTE(SUBSTITUTE(SUBSTITUTE(LOWER(Registro!$F109)," ",""),CHAR(10),"|"),";","|"),"+","|"),"|",REPT(" ",LEN(Registro!$F109))),({1,2,3,4,5,6,7,8,9,10,11,12,13,14,15,16,17,18,19,20,21,22,23,24,25,26,27,28,29,30}-1)*LEN(Registro!$F109)+1,LEN(Registro!$F109)))&amp;"x")-1))),"Revisar formato")))</f>
        <v/>
      </c>
      <c r="G109" s="24" t="str">
        <f>IF(Registro!$F109="","",IF(ISERROR(FIND("x",LOWER(Registro!$F109))),N(Registro!$G109),IFERROR(SUMPRODUCT(--("0"&amp;LEFT(TRIM(MID(SUBSTITUTE(SUBSTITUTE(SUBSTITUTE(SUBSTITUTE(SUBSTITUTE(LOWER(Registro!$F109)," ",""),CHAR(10),"|"),";","|"),"+","|"),"|",REPT(" ",LEN(Registro!$F109))),({1,2,3,4,5,6,7,8,9,10,11,12,13,14,15,16,17,18,19,20,21,22,23,24,25,26,27,28,29,30}-1)*LEN(Registro!$F109)+1,LEN(Registro!$F109))),FIND("x",TRIM(MID(SUBSTITUTE(SUBSTITUTE(SUBSTITUTE(SUBSTITUTE(SUBSTITUTE(LOWER(Registro!$F109)," ",""),CHAR(10),"|"),";","|"),"+","|"),"|",REPT(" ",LEN(Registro!$F109))),({1,2,3,4,5,6,7,8,9,10,11,12,13,14,15,16,17,18,19,20,21,22,23,24,25,26,27,28,29,30}-1)*LEN(Registro!$F109)+1,LEN(Registro!$F109)))&amp;"x")-1)),--("0"&amp;MID(TRIM(MID(SUBSTITUTE(SUBSTITUTE(SUBSTITUTE(SUBSTITUTE(SUBSTITUTE(LOWER(Registro!$F109)," ",""),CHAR(10),"|"),";","|"),"+","|"),"|",REPT(" ",LEN(Registro!$F109))),({1,2,3,4,5,6,7,8,9,10,11,12,13,14,15,16,17,18,19,20,21,22,23,24,25,26,27,28,29,30}-1)*LEN(Registro!$F109)+1,LEN(Registro!$F109))),FIND("x",TRIM(MID(SUBSTITUTE(SUBSTITUTE(SUBSTITUTE(SUBSTITUTE(SUBSTITUTE(LOWER(Registro!$F109)," ",""),CHAR(10),"|"),";","|"),"+","|"),"|",REPT(" ",LEN(Registro!$F109))),({1,2,3,4,5,6,7,8,9,10,11,12,13,14,15,16,17,18,19,20,21,22,23,24,25,26,27,28,29,30}-1)*LEN(Registro!$F109)+1,LEN(Registro!$F109)))&amp;"x")+1,20))),"Revisar formato")))</f>
        <v/>
      </c>
      <c r="H109" s="21" t="str">
        <f>IF(AND(Registro!$E109="",Registro!$F109=""),"",IF(NOT(AND(ISNUMBER(G109),ISNUMBER(Registro!$G109))),"",IF(G109&lt;Registro!$G109,"FALTA BOLETOS",IF(G109=Registro!$G109,"CONFORME","DIFERENCIA"))))</f>
        <v/>
      </c>
      <c r="I109" s="24" t="str">
        <f>IF(Registro!$H109="","",IFERROR(SUMPRODUCT(--("0"&amp;TRIM(RIGHT(SUBSTITUTE(TRIM(MID(SUBSTITUTE(SUBSTITUTE(Registro!$H109,";",CHAR(10)),CHAR(10),REPT(" ",LEN(Registro!$H109))),({1,2,3,4,5,6,7,8,9,10,11,12,13,14,15,16,17,18,19,20,21,22,23,24,25,26,27,28,29,30}-1)*LEN(Registro!$H109)+1,LEN(Registro!$H109)))," ",REPT(" ",50)),50)))),"Revisar formato"))</f>
        <v/>
      </c>
      <c r="J109" s="24" t="str">
        <f>IF(Registro!$I109="","",IFERROR(SUMPRODUCT(--("0"&amp;TRIM(RIGHT(SUBSTITUTE(TRIM(MID(SUBSTITUTE(SUBSTITUTE(Registro!$I109,";",CHAR(10)),CHAR(10),REPT(" ",LEN(Registro!$I109))),({1,2,3,4,5,6,7,8,9,10,11,12,13,14,15,16,17,18,19,20,21,22,23,24,25,26,27,28,29,30}-1)*LEN(Registro!$I109)+1,LEN(Registro!$I109)))," ",REPT(" ",50)),50)))),"Revisar formato"))</f>
        <v/>
      </c>
      <c r="K109" s="24" t="str">
        <f>IF(AND(Registro!$G109="",Registro!$H109=""),"",IF(AND(ISTEXT(I109),I109&lt;&gt;""),"Revisar formato",N(Registro!$G109)-N(I109)))</f>
        <v/>
      </c>
      <c r="L109" s="24" t="str">
        <f t="shared" si="3"/>
        <v/>
      </c>
      <c r="M109" s="36" t="str">
        <f>IF(AND(A109=Consulta!$B$3,C109=Consulta!$H$3),B109*10000+ROW(),"")</f>
        <v/>
      </c>
    </row>
    <row r="110" spans="1:13" x14ac:dyDescent="0.25">
      <c r="A110" s="21" t="str">
        <f>IF(Registro!$A110="","",Registro!$A110)</f>
        <v/>
      </c>
      <c r="B110" s="20" t="str">
        <f>IF(Registro!$B110="","",Registro!$B110)</f>
        <v/>
      </c>
      <c r="C110" s="35" t="str">
        <f t="shared" si="2"/>
        <v/>
      </c>
      <c r="D110" s="23" t="str">
        <f>IF(Registro!$E110="","",IF(ISERROR(FIND("x",LOWER(Registro!$E110))),"-",IFERROR(SUMPRODUCT(--("0"&amp;LEFT(TRIM(MID(SUBSTITUTE(SUBSTITUTE(SUBSTITUTE(SUBSTITUTE(SUBSTITUTE(LOWER(Registro!$E110),"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",LEN(Registro!$E110))),({1,2,3,4,5,6,7,8,9,10,11,12,13,14,15,16,17,18,19,20,21,22,23,24,25,26,27,28,29,30}-1)*LEN(Registro!$E110)+1,LEN(Registro!$E110))),FIND("x",TRIM(MID(SUBSTITUTE(SUBSTITUTE(SUBSTITUTE(SUBSTITUTE(SUBSTITUTE(LOWER(Registro!$E110),"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",LEN(Registro!$E110))),({1,2,3,4,5,6,7,8,9,10,11,12,13,14,15,16,17,18,19,20,21,22,23,24,25,26,27,28,29,30}-1)*LEN(Registro!$E110)+1,LEN(Registro!$E110)))&amp;"x")-1))),"Revisar formato")))</f>
        <v/>
      </c>
      <c r="E110" s="24" t="str">
        <f>IF(Registro!$E110="","",IF(ISERROR(FIND("x",LOWER(Registro!$E110))),"-",IFERROR(SUMPRODUCT(--("0"&amp;LEFT(TRIM(MID(SUBSTITUTE(SUBSTITUTE(SUBSTITUTE(SUBSTITUTE(SUBSTITUTE(LOWER(Registro!$E110),"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",LEN(Registro!$E110))),({1,2,3,4,5,6,7,8,9,10,11,12,13,14,15,16,17,18,19,20,21,22,23,24,25,26,27,28,29,30}-1)*LEN(Registro!$E110)+1,LEN(Registro!$E110))),FIND("x",TRIM(MID(SUBSTITUTE(SUBSTITUTE(SUBSTITUTE(SUBSTITUTE(SUBSTITUTE(LOWER(Registro!$E110),"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",LEN(Registro!$E110))),({1,2,3,4,5,6,7,8,9,10,11,12,13,14,15,16,17,18,19,20,21,22,23,24,25,26,27,28,29,30}-1)*LEN(Registro!$E110)+1,LEN(Registro!$E110)))&amp;"x")-1)),--("0"&amp;MID(TRIM(MID(SUBSTITUTE(SUBSTITUTE(SUBSTITUTE(SUBSTITUTE(SUBSTITUTE(LOWER(Registro!$E110),"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",LEN(Registro!$E110))),({1,2,3,4,5,6,7,8,9,10,11,12,13,14,15,16,17,18,19,20,21,22,23,24,25,26,27,28,29,30}-1)*LEN(Registro!$E110)+1,LEN(Registro!$E110))),FIND("x",TRIM(MID(SUBSTITUTE(SUBSTITUTE(SUBSTITUTE(SUBSTITUTE(SUBSTITUTE(LOWER(Registro!$E110),"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",LEN(Registro!$E110))),({1,2,3,4,5,6,7,8,9,10,11,12,13,14,15,16,17,18,19,20,21,22,23,24,25,26,27,28,29,30}-1)*LEN(Registro!$E110)+1,LEN(Registro!$E110)))&amp;"x")+1,20))),"Revisar formato")))</f>
        <v/>
      </c>
      <c r="F110" s="23" t="str">
        <f>IF(Registro!$F110="","",IF(ISERROR(FIND("x",LOWER(Registro!$F110))),"-",IFERROR(SUMPRODUCT(--("0"&amp;LEFT(TRIM(MID(SUBSTITUTE(SUBSTITUTE(SUBSTITUTE(SUBSTITUTE(SUBSTITUTE(LOWER(Registro!$F110)," ",""),CHAR(10),"|"),";","|"),"+","|"),"|",REPT(" ",LEN(Registro!$F110))),({1,2,3,4,5,6,7,8,9,10,11,12,13,14,15,16,17,18,19,20,21,22,23,24,25,26,27,28,29,30}-1)*LEN(Registro!$F110)+1,LEN(Registro!$F110))),FIND("x",TRIM(MID(SUBSTITUTE(SUBSTITUTE(SUBSTITUTE(SUBSTITUTE(SUBSTITUTE(LOWER(Registro!$F110)," ",""),CHAR(10),"|"),";","|"),"+","|"),"|",REPT(" ",LEN(Registro!$F110))),({1,2,3,4,5,6,7,8,9,10,11,12,13,14,15,16,17,18,19,20,21,22,23,24,25,26,27,28,29,30}-1)*LEN(Registro!$F110)+1,LEN(Registro!$F110)))&amp;"x")-1))),"Revisar formato")))</f>
        <v/>
      </c>
      <c r="G110" s="24" t="str">
        <f>IF(Registro!$F110="","",IF(ISERROR(FIND("x",LOWER(Registro!$F110))),N(Registro!$G110),IFERROR(SUMPRODUCT(--("0"&amp;LEFT(TRIM(MID(SUBSTITUTE(SUBSTITUTE(SUBSTITUTE(SUBSTITUTE(SUBSTITUTE(LOWER(Registro!$F110)," ",""),CHAR(10),"|"),";","|"),"+","|"),"|",REPT(" ",LEN(Registro!$F110))),({1,2,3,4,5,6,7,8,9,10,11,12,13,14,15,16,17,18,19,20,21,22,23,24,25,26,27,28,29,30}-1)*LEN(Registro!$F110)+1,LEN(Registro!$F110))),FIND("x",TRIM(MID(SUBSTITUTE(SUBSTITUTE(SUBSTITUTE(SUBSTITUTE(SUBSTITUTE(LOWER(Registro!$F110)," ",""),CHAR(10),"|"),";","|"),"+","|"),"|",REPT(" ",LEN(Registro!$F110))),({1,2,3,4,5,6,7,8,9,10,11,12,13,14,15,16,17,18,19,20,21,22,23,24,25,26,27,28,29,30}-1)*LEN(Registro!$F110)+1,LEN(Registro!$F110)))&amp;"x")-1)),--("0"&amp;MID(TRIM(MID(SUBSTITUTE(SUBSTITUTE(SUBSTITUTE(SUBSTITUTE(SUBSTITUTE(LOWER(Registro!$F110)," ",""),CHAR(10),"|"),";","|"),"+","|"),"|",REPT(" ",LEN(Registro!$F110))),({1,2,3,4,5,6,7,8,9,10,11,12,13,14,15,16,17,18,19,20,21,22,23,24,25,26,27,28,29,30}-1)*LEN(Registro!$F110)+1,LEN(Registro!$F110))),FIND("x",TRIM(MID(SUBSTITUTE(SUBSTITUTE(SUBSTITUTE(SUBSTITUTE(SUBSTITUTE(LOWER(Registro!$F110)," ",""),CHAR(10),"|"),";","|"),"+","|"),"|",REPT(" ",LEN(Registro!$F110))),({1,2,3,4,5,6,7,8,9,10,11,12,13,14,15,16,17,18,19,20,21,22,23,24,25,26,27,28,29,30}-1)*LEN(Registro!$F110)+1,LEN(Registro!$F110)))&amp;"x")+1,20))),"Revisar formato")))</f>
        <v/>
      </c>
      <c r="H110" s="21" t="str">
        <f>IF(AND(Registro!$E110="",Registro!$F110=""),"",IF(NOT(AND(ISNUMBER(G110),ISNUMBER(Registro!$G110))),"",IF(G110&lt;Registro!$G110,"FALTA BOLETOS",IF(G110=Registro!$G110,"CONFORME","DIFERENCIA"))))</f>
        <v/>
      </c>
      <c r="I110" s="24" t="str">
        <f>IF(Registro!$H110="","",IFERROR(SUMPRODUCT(--("0"&amp;TRIM(RIGHT(SUBSTITUTE(TRIM(MID(SUBSTITUTE(SUBSTITUTE(Registro!$H110,";",CHAR(10)),CHAR(10),REPT(" ",LEN(Registro!$H110))),({1,2,3,4,5,6,7,8,9,10,11,12,13,14,15,16,17,18,19,20,21,22,23,24,25,26,27,28,29,30}-1)*LEN(Registro!$H110)+1,LEN(Registro!$H110)))," ",REPT(" ",50)),50)))),"Revisar formato"))</f>
        <v/>
      </c>
      <c r="J110" s="24" t="str">
        <f>IF(Registro!$I110="","",IFERROR(SUMPRODUCT(--("0"&amp;TRIM(RIGHT(SUBSTITUTE(TRIM(MID(SUBSTITUTE(SUBSTITUTE(Registro!$I110,";",CHAR(10)),CHAR(10),REPT(" ",LEN(Registro!$I110))),({1,2,3,4,5,6,7,8,9,10,11,12,13,14,15,16,17,18,19,20,21,22,23,24,25,26,27,28,29,30}-1)*LEN(Registro!$I110)+1,LEN(Registro!$I110)))," ",REPT(" ",50)),50)))),"Revisar formato"))</f>
        <v/>
      </c>
      <c r="K110" s="24" t="str">
        <f>IF(AND(Registro!$G110="",Registro!$H110=""),"",IF(AND(ISTEXT(I110),I110&lt;&gt;""),"Revisar formato",N(Registro!$G110)-N(I110)))</f>
        <v/>
      </c>
      <c r="L110" s="24" t="str">
        <f t="shared" si="3"/>
        <v/>
      </c>
      <c r="M110" s="36" t="str">
        <f>IF(AND(A110=Consulta!$B$3,C110=Consulta!$H$3),B110*10000+ROW(),"")</f>
        <v/>
      </c>
    </row>
    <row r="111" spans="1:13" x14ac:dyDescent="0.25">
      <c r="A111" s="21" t="str">
        <f>IF(Registro!$A111="","",Registro!$A111)</f>
        <v/>
      </c>
      <c r="B111" s="20" t="str">
        <f>IF(Registro!$B111="","",Registro!$B111)</f>
        <v/>
      </c>
      <c r="C111" s="35" t="str">
        <f t="shared" si="2"/>
        <v/>
      </c>
      <c r="D111" s="23" t="str">
        <f>IF(Registro!$E111="","",IF(ISERROR(FIND("x",LOWER(Registro!$E111))),"-",IFERROR(SUMPRODUCT(--("0"&amp;LEFT(TRIM(MID(SUBSTITUTE(SUBSTITUTE(SUBSTITUTE(SUBSTITUTE(SUBSTITUTE(LOWER(Registro!$E111),"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",LEN(Registro!$E111))),({1,2,3,4,5,6,7,8,9,10,11,12,13,14,15,16,17,18,19,20,21,22,23,24,25,26,27,28,29,30}-1)*LEN(Registro!$E111)+1,LEN(Registro!$E111))),FIND("x",TRIM(MID(SUBSTITUTE(SUBSTITUTE(SUBSTITUTE(SUBSTITUTE(SUBSTITUTE(LOWER(Registro!$E111),"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",LEN(Registro!$E111))),({1,2,3,4,5,6,7,8,9,10,11,12,13,14,15,16,17,18,19,20,21,22,23,24,25,26,27,28,29,30}-1)*LEN(Registro!$E111)+1,LEN(Registro!$E111)))&amp;"x")-1))),"Revisar formato")))</f>
        <v/>
      </c>
      <c r="E111" s="24" t="str">
        <f>IF(Registro!$E111="","",IF(ISERROR(FIND("x",LOWER(Registro!$E111))),"-",IFERROR(SUMPRODUCT(--("0"&amp;LEFT(TRIM(MID(SUBSTITUTE(SUBSTITUTE(SUBSTITUTE(SUBSTITUTE(SUBSTITUTE(LOWER(Registro!$E111),"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",LEN(Registro!$E111))),({1,2,3,4,5,6,7,8,9,10,11,12,13,14,15,16,17,18,19,20,21,22,23,24,25,26,27,28,29,30}-1)*LEN(Registro!$E111)+1,LEN(Registro!$E111))),FIND("x",TRIM(MID(SUBSTITUTE(SUBSTITUTE(SUBSTITUTE(SUBSTITUTE(SUBSTITUTE(LOWER(Registro!$E111),"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",LEN(Registro!$E111))),({1,2,3,4,5,6,7,8,9,10,11,12,13,14,15,16,17,18,19,20,21,22,23,24,25,26,27,28,29,30}-1)*LEN(Registro!$E111)+1,LEN(Registro!$E111)))&amp;"x")-1)),--("0"&amp;MID(TRIM(MID(SUBSTITUTE(SUBSTITUTE(SUBSTITUTE(SUBSTITUTE(SUBSTITUTE(LOWER(Registro!$E111),"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",LEN(Registro!$E111))),({1,2,3,4,5,6,7,8,9,10,11,12,13,14,15,16,17,18,19,20,21,22,23,24,25,26,27,28,29,30}-1)*LEN(Registro!$E111)+1,LEN(Registro!$E111))),FIND("x",TRIM(MID(SUBSTITUTE(SUBSTITUTE(SUBSTITUTE(SUBSTITUTE(SUBSTITUTE(LOWER(Registro!$E111),"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",LEN(Registro!$E111))),({1,2,3,4,5,6,7,8,9,10,11,12,13,14,15,16,17,18,19,20,21,22,23,24,25,26,27,28,29,30}-1)*LEN(Registro!$E111)+1,LEN(Registro!$E111)))&amp;"x")+1,20))),"Revisar formato")))</f>
        <v/>
      </c>
      <c r="F111" s="23" t="str">
        <f>IF(Registro!$F111="","",IF(ISERROR(FIND("x",LOWER(Registro!$F111))),"-",IFERROR(SUMPRODUCT(--("0"&amp;LEFT(TRIM(MID(SUBSTITUTE(SUBSTITUTE(SUBSTITUTE(SUBSTITUTE(SUBSTITUTE(LOWER(Registro!$F111)," ",""),CHAR(10),"|"),";","|"),"+","|"),"|",REPT(" ",LEN(Registro!$F111))),({1,2,3,4,5,6,7,8,9,10,11,12,13,14,15,16,17,18,19,20,21,22,23,24,25,26,27,28,29,30}-1)*LEN(Registro!$F111)+1,LEN(Registro!$F111))),FIND("x",TRIM(MID(SUBSTITUTE(SUBSTITUTE(SUBSTITUTE(SUBSTITUTE(SUBSTITUTE(LOWER(Registro!$F111)," ",""),CHAR(10),"|"),";","|"),"+","|"),"|",REPT(" ",LEN(Registro!$F111))),({1,2,3,4,5,6,7,8,9,10,11,12,13,14,15,16,17,18,19,20,21,22,23,24,25,26,27,28,29,30}-1)*LEN(Registro!$F111)+1,LEN(Registro!$F111)))&amp;"x")-1))),"Revisar formato")))</f>
        <v/>
      </c>
      <c r="G111" s="24" t="str">
        <f>IF(Registro!$F111="","",IF(ISERROR(FIND("x",LOWER(Registro!$F111))),N(Registro!$G111),IFERROR(SUMPRODUCT(--("0"&amp;LEFT(TRIM(MID(SUBSTITUTE(SUBSTITUTE(SUBSTITUTE(SUBSTITUTE(SUBSTITUTE(LOWER(Registro!$F111)," ",""),CHAR(10),"|"),";","|"),"+","|"),"|",REPT(" ",LEN(Registro!$F111))),({1,2,3,4,5,6,7,8,9,10,11,12,13,14,15,16,17,18,19,20,21,22,23,24,25,26,27,28,29,30}-1)*LEN(Registro!$F111)+1,LEN(Registro!$F111))),FIND("x",TRIM(MID(SUBSTITUTE(SUBSTITUTE(SUBSTITUTE(SUBSTITUTE(SUBSTITUTE(LOWER(Registro!$F111)," ",""),CHAR(10),"|"),";","|"),"+","|"),"|",REPT(" ",LEN(Registro!$F111))),({1,2,3,4,5,6,7,8,9,10,11,12,13,14,15,16,17,18,19,20,21,22,23,24,25,26,27,28,29,30}-1)*LEN(Registro!$F111)+1,LEN(Registro!$F111)))&amp;"x")-1)),--("0"&amp;MID(TRIM(MID(SUBSTITUTE(SUBSTITUTE(SUBSTITUTE(SUBSTITUTE(SUBSTITUTE(LOWER(Registro!$F111)," ",""),CHAR(10),"|"),";","|"),"+","|"),"|",REPT(" ",LEN(Registro!$F111))),({1,2,3,4,5,6,7,8,9,10,11,12,13,14,15,16,17,18,19,20,21,22,23,24,25,26,27,28,29,30}-1)*LEN(Registro!$F111)+1,LEN(Registro!$F111))),FIND("x",TRIM(MID(SUBSTITUTE(SUBSTITUTE(SUBSTITUTE(SUBSTITUTE(SUBSTITUTE(LOWER(Registro!$F111)," ",""),CHAR(10),"|"),";","|"),"+","|"),"|",REPT(" ",LEN(Registro!$F111))),({1,2,3,4,5,6,7,8,9,10,11,12,13,14,15,16,17,18,19,20,21,22,23,24,25,26,27,28,29,30}-1)*LEN(Registro!$F111)+1,LEN(Registro!$F111)))&amp;"x")+1,20))),"Revisar formato")))</f>
        <v/>
      </c>
      <c r="H111" s="21" t="str">
        <f>IF(AND(Registro!$E111="",Registro!$F111=""),"",IF(NOT(AND(ISNUMBER(G111),ISNUMBER(Registro!$G111))),"",IF(G111&lt;Registro!$G111,"FALTA BOLETOS",IF(G111=Registro!$G111,"CONFORME","DIFERENCIA"))))</f>
        <v/>
      </c>
      <c r="I111" s="24" t="str">
        <f>IF(Registro!$H111="","",IFERROR(SUMPRODUCT(--("0"&amp;TRIM(RIGHT(SUBSTITUTE(TRIM(MID(SUBSTITUTE(SUBSTITUTE(Registro!$H111,";",CHAR(10)),CHAR(10),REPT(" ",LEN(Registro!$H111))),({1,2,3,4,5,6,7,8,9,10,11,12,13,14,15,16,17,18,19,20,21,22,23,24,25,26,27,28,29,30}-1)*LEN(Registro!$H111)+1,LEN(Registro!$H111)))," ",REPT(" ",50)),50)))),"Revisar formato"))</f>
        <v/>
      </c>
      <c r="J111" s="24" t="str">
        <f>IF(Registro!$I111="","",IFERROR(SUMPRODUCT(--("0"&amp;TRIM(RIGHT(SUBSTITUTE(TRIM(MID(SUBSTITUTE(SUBSTITUTE(Registro!$I111,";",CHAR(10)),CHAR(10),REPT(" ",LEN(Registro!$I111))),({1,2,3,4,5,6,7,8,9,10,11,12,13,14,15,16,17,18,19,20,21,22,23,24,25,26,27,28,29,30}-1)*LEN(Registro!$I111)+1,LEN(Registro!$I111)))," ",REPT(" ",50)),50)))),"Revisar formato"))</f>
        <v/>
      </c>
      <c r="K111" s="24" t="str">
        <f>IF(AND(Registro!$G111="",Registro!$H111=""),"",IF(AND(ISTEXT(I111),I111&lt;&gt;""),"Revisar formato",N(Registro!$G111)-N(I111)))</f>
        <v/>
      </c>
      <c r="L111" s="24" t="str">
        <f t="shared" si="3"/>
        <v/>
      </c>
      <c r="M111" s="36" t="str">
        <f>IF(AND(A111=Consulta!$B$3,C111=Consulta!$H$3),B111*10000+ROW(),"")</f>
        <v/>
      </c>
    </row>
    <row r="112" spans="1:13" x14ac:dyDescent="0.25">
      <c r="A112" s="21" t="str">
        <f>IF(Registro!$A112="","",Registro!$A112)</f>
        <v/>
      </c>
      <c r="B112" s="20" t="str">
        <f>IF(Registro!$B112="","",Registro!$B112)</f>
        <v/>
      </c>
      <c r="C112" s="35" t="str">
        <f t="shared" si="2"/>
        <v/>
      </c>
      <c r="D112" s="23" t="str">
        <f>IF(Registro!$E112="","",IF(ISERROR(FIND("x",LOWER(Registro!$E112))),"-",IFERROR(SUMPRODUCT(--("0"&amp;LEFT(TRIM(MID(SUBSTITUTE(SUBSTITUTE(SUBSTITUTE(SUBSTITUTE(SUBSTITUTE(LOWER(Registro!$E112),"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",LEN(Registro!$E112))),({1,2,3,4,5,6,7,8,9,10,11,12,13,14,15,16,17,18,19,20,21,22,23,24,25,26,27,28,29,30}-1)*LEN(Registro!$E112)+1,LEN(Registro!$E112))),FIND("x",TRIM(MID(SUBSTITUTE(SUBSTITUTE(SUBSTITUTE(SUBSTITUTE(SUBSTITUTE(LOWER(Registro!$E112),"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",LEN(Registro!$E112))),({1,2,3,4,5,6,7,8,9,10,11,12,13,14,15,16,17,18,19,20,21,22,23,24,25,26,27,28,29,30}-1)*LEN(Registro!$E112)+1,LEN(Registro!$E112)))&amp;"x")-1))),"Revisar formato")))</f>
        <v/>
      </c>
      <c r="E112" s="24" t="str">
        <f>IF(Registro!$E112="","",IF(ISERROR(FIND("x",LOWER(Registro!$E112))),"-",IFERROR(SUMPRODUCT(--("0"&amp;LEFT(TRIM(MID(SUBSTITUTE(SUBSTITUTE(SUBSTITUTE(SUBSTITUTE(SUBSTITUTE(LOWER(Registro!$E112),"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",LEN(Registro!$E112))),({1,2,3,4,5,6,7,8,9,10,11,12,13,14,15,16,17,18,19,20,21,22,23,24,25,26,27,28,29,30}-1)*LEN(Registro!$E112)+1,LEN(Registro!$E112))),FIND("x",TRIM(MID(SUBSTITUTE(SUBSTITUTE(SUBSTITUTE(SUBSTITUTE(SUBSTITUTE(LOWER(Registro!$E112),"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",LEN(Registro!$E112))),({1,2,3,4,5,6,7,8,9,10,11,12,13,14,15,16,17,18,19,20,21,22,23,24,25,26,27,28,29,30}-1)*LEN(Registro!$E112)+1,LEN(Registro!$E112)))&amp;"x")-1)),--("0"&amp;MID(TRIM(MID(SUBSTITUTE(SUBSTITUTE(SUBSTITUTE(SUBSTITUTE(SUBSTITUTE(LOWER(Registro!$E112),"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",LEN(Registro!$E112))),({1,2,3,4,5,6,7,8,9,10,11,12,13,14,15,16,17,18,19,20,21,22,23,24,25,26,27,28,29,30}-1)*LEN(Registro!$E112)+1,LEN(Registro!$E112))),FIND("x",TRIM(MID(SUBSTITUTE(SUBSTITUTE(SUBSTITUTE(SUBSTITUTE(SUBSTITUTE(LOWER(Registro!$E112),"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",LEN(Registro!$E112))),({1,2,3,4,5,6,7,8,9,10,11,12,13,14,15,16,17,18,19,20,21,22,23,24,25,26,27,28,29,30}-1)*LEN(Registro!$E112)+1,LEN(Registro!$E112)))&amp;"x")+1,20))),"Revisar formato")))</f>
        <v/>
      </c>
      <c r="F112" s="23" t="str">
        <f>IF(Registro!$F112="","",IF(ISERROR(FIND("x",LOWER(Registro!$F112))),"-",IFERROR(SUMPRODUCT(--("0"&amp;LEFT(TRIM(MID(SUBSTITUTE(SUBSTITUTE(SUBSTITUTE(SUBSTITUTE(SUBSTITUTE(LOWER(Registro!$F112)," ",""),CHAR(10),"|"),";","|"),"+","|"),"|",REPT(" ",LEN(Registro!$F112))),({1,2,3,4,5,6,7,8,9,10,11,12,13,14,15,16,17,18,19,20,21,22,23,24,25,26,27,28,29,30}-1)*LEN(Registro!$F112)+1,LEN(Registro!$F112))),FIND("x",TRIM(MID(SUBSTITUTE(SUBSTITUTE(SUBSTITUTE(SUBSTITUTE(SUBSTITUTE(LOWER(Registro!$F112)," ",""),CHAR(10),"|"),";","|"),"+","|"),"|",REPT(" ",LEN(Registro!$F112))),({1,2,3,4,5,6,7,8,9,10,11,12,13,14,15,16,17,18,19,20,21,22,23,24,25,26,27,28,29,30}-1)*LEN(Registro!$F112)+1,LEN(Registro!$F112)))&amp;"x")-1))),"Revisar formato")))</f>
        <v/>
      </c>
      <c r="G112" s="24" t="str">
        <f>IF(Registro!$F112="","",IF(ISERROR(FIND("x",LOWER(Registro!$F112))),N(Registro!$G112),IFERROR(SUMPRODUCT(--("0"&amp;LEFT(TRIM(MID(SUBSTITUTE(SUBSTITUTE(SUBSTITUTE(SUBSTITUTE(SUBSTITUTE(LOWER(Registro!$F112)," ",""),CHAR(10),"|"),";","|"),"+","|"),"|",REPT(" ",LEN(Registro!$F112))),({1,2,3,4,5,6,7,8,9,10,11,12,13,14,15,16,17,18,19,20,21,22,23,24,25,26,27,28,29,30}-1)*LEN(Registro!$F112)+1,LEN(Registro!$F112))),FIND("x",TRIM(MID(SUBSTITUTE(SUBSTITUTE(SUBSTITUTE(SUBSTITUTE(SUBSTITUTE(LOWER(Registro!$F112)," ",""),CHAR(10),"|"),";","|"),"+","|"),"|",REPT(" ",LEN(Registro!$F112))),({1,2,3,4,5,6,7,8,9,10,11,12,13,14,15,16,17,18,19,20,21,22,23,24,25,26,27,28,29,30}-1)*LEN(Registro!$F112)+1,LEN(Registro!$F112)))&amp;"x")-1)),--("0"&amp;MID(TRIM(MID(SUBSTITUTE(SUBSTITUTE(SUBSTITUTE(SUBSTITUTE(SUBSTITUTE(LOWER(Registro!$F112)," ",""),CHAR(10),"|"),";","|"),"+","|"),"|",REPT(" ",LEN(Registro!$F112))),({1,2,3,4,5,6,7,8,9,10,11,12,13,14,15,16,17,18,19,20,21,22,23,24,25,26,27,28,29,30}-1)*LEN(Registro!$F112)+1,LEN(Registro!$F112))),FIND("x",TRIM(MID(SUBSTITUTE(SUBSTITUTE(SUBSTITUTE(SUBSTITUTE(SUBSTITUTE(LOWER(Registro!$F112)," ",""),CHAR(10),"|"),";","|"),"+","|"),"|",REPT(" ",LEN(Registro!$F112))),({1,2,3,4,5,6,7,8,9,10,11,12,13,14,15,16,17,18,19,20,21,22,23,24,25,26,27,28,29,30}-1)*LEN(Registro!$F112)+1,LEN(Registro!$F112)))&amp;"x")+1,20))),"Revisar formato")))</f>
        <v/>
      </c>
      <c r="H112" s="21" t="str">
        <f>IF(AND(Registro!$E112="",Registro!$F112=""),"",IF(NOT(AND(ISNUMBER(G112),ISNUMBER(Registro!$G112))),"",IF(G112&lt;Registro!$G112,"FALTA BOLETOS",IF(G112=Registro!$G112,"CONFORME","DIFERENCIA"))))</f>
        <v/>
      </c>
      <c r="I112" s="24" t="str">
        <f>IF(Registro!$H112="","",IFERROR(SUMPRODUCT(--("0"&amp;TRIM(RIGHT(SUBSTITUTE(TRIM(MID(SUBSTITUTE(SUBSTITUTE(Registro!$H112,";",CHAR(10)),CHAR(10),REPT(" ",LEN(Registro!$H112))),({1,2,3,4,5,6,7,8,9,10,11,12,13,14,15,16,17,18,19,20,21,22,23,24,25,26,27,28,29,30}-1)*LEN(Registro!$H112)+1,LEN(Registro!$H112)))," ",REPT(" ",50)),50)))),"Revisar formato"))</f>
        <v/>
      </c>
      <c r="J112" s="24" t="str">
        <f>IF(Registro!$I112="","",IFERROR(SUMPRODUCT(--("0"&amp;TRIM(RIGHT(SUBSTITUTE(TRIM(MID(SUBSTITUTE(SUBSTITUTE(Registro!$I112,";",CHAR(10)),CHAR(10),REPT(" ",LEN(Registro!$I112))),({1,2,3,4,5,6,7,8,9,10,11,12,13,14,15,16,17,18,19,20,21,22,23,24,25,26,27,28,29,30}-1)*LEN(Registro!$I112)+1,LEN(Registro!$I112)))," ",REPT(" ",50)),50)))),"Revisar formato"))</f>
        <v/>
      </c>
      <c r="K112" s="24" t="str">
        <f>IF(AND(Registro!$G112="",Registro!$H112=""),"",IF(AND(ISTEXT(I112),I112&lt;&gt;""),"Revisar formato",N(Registro!$G112)-N(I112)))</f>
        <v/>
      </c>
      <c r="L112" s="24" t="str">
        <f t="shared" si="3"/>
        <v/>
      </c>
      <c r="M112" s="36" t="str">
        <f>IF(AND(A112=Consulta!$B$3,C112=Consulta!$H$3),B112*10000+ROW(),"")</f>
        <v/>
      </c>
    </row>
    <row r="113" spans="1:13" x14ac:dyDescent="0.25">
      <c r="A113" s="21" t="str">
        <f>IF(Registro!$A113="","",Registro!$A113)</f>
        <v/>
      </c>
      <c r="B113" s="20" t="str">
        <f>IF(Registro!$B113="","",Registro!$B113)</f>
        <v/>
      </c>
      <c r="C113" s="35" t="str">
        <f t="shared" si="2"/>
        <v/>
      </c>
      <c r="D113" s="23" t="str">
        <f>IF(Registro!$E113="","",IF(ISERROR(FIND("x",LOWER(Registro!$E113))),"-",IFERROR(SUMPRODUCT(--("0"&amp;LEFT(TRIM(MID(SUBSTITUTE(SUBSTITUTE(SUBSTITUTE(SUBSTITUTE(SUBSTITUTE(LOWER(Registro!$E113),"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",LEN(Registro!$E113))),({1,2,3,4,5,6,7,8,9,10,11,12,13,14,15,16,17,18,19,20,21,22,23,24,25,26,27,28,29,30}-1)*LEN(Registro!$E113)+1,LEN(Registro!$E113))),FIND("x",TRIM(MID(SUBSTITUTE(SUBSTITUTE(SUBSTITUTE(SUBSTITUTE(SUBSTITUTE(LOWER(Registro!$E113),"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",LEN(Registro!$E113))),({1,2,3,4,5,6,7,8,9,10,11,12,13,14,15,16,17,18,19,20,21,22,23,24,25,26,27,28,29,30}-1)*LEN(Registro!$E113)+1,LEN(Registro!$E113)))&amp;"x")-1))),"Revisar formato")))</f>
        <v/>
      </c>
      <c r="E113" s="24" t="str">
        <f>IF(Registro!$E113="","",IF(ISERROR(FIND("x",LOWER(Registro!$E113))),"-",IFERROR(SUMPRODUCT(--("0"&amp;LEFT(TRIM(MID(SUBSTITUTE(SUBSTITUTE(SUBSTITUTE(SUBSTITUTE(SUBSTITUTE(LOWER(Registro!$E113),"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",LEN(Registro!$E113))),({1,2,3,4,5,6,7,8,9,10,11,12,13,14,15,16,17,18,19,20,21,22,23,24,25,26,27,28,29,30}-1)*LEN(Registro!$E113)+1,LEN(Registro!$E113))),FIND("x",TRIM(MID(SUBSTITUTE(SUBSTITUTE(SUBSTITUTE(SUBSTITUTE(SUBSTITUTE(LOWER(Registro!$E113),"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",LEN(Registro!$E113))),({1,2,3,4,5,6,7,8,9,10,11,12,13,14,15,16,17,18,19,20,21,22,23,24,25,26,27,28,29,30}-1)*LEN(Registro!$E113)+1,LEN(Registro!$E113)))&amp;"x")-1)),--("0"&amp;MID(TRIM(MID(SUBSTITUTE(SUBSTITUTE(SUBSTITUTE(SUBSTITUTE(SUBSTITUTE(LOWER(Registro!$E113),"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",LEN(Registro!$E113))),({1,2,3,4,5,6,7,8,9,10,11,12,13,14,15,16,17,18,19,20,21,22,23,24,25,26,27,28,29,30}-1)*LEN(Registro!$E113)+1,LEN(Registro!$E113))),FIND("x",TRIM(MID(SUBSTITUTE(SUBSTITUTE(SUBSTITUTE(SUBSTITUTE(SUBSTITUTE(LOWER(Registro!$E113),"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",LEN(Registro!$E113))),({1,2,3,4,5,6,7,8,9,10,11,12,13,14,15,16,17,18,19,20,21,22,23,24,25,26,27,28,29,30}-1)*LEN(Registro!$E113)+1,LEN(Registro!$E113)))&amp;"x")+1,20))),"Revisar formato")))</f>
        <v/>
      </c>
      <c r="F113" s="23" t="str">
        <f>IF(Registro!$F113="","",IF(ISERROR(FIND("x",LOWER(Registro!$F113))),"-",IFERROR(SUMPRODUCT(--("0"&amp;LEFT(TRIM(MID(SUBSTITUTE(SUBSTITUTE(SUBSTITUTE(SUBSTITUTE(SUBSTITUTE(LOWER(Registro!$F113)," ",""),CHAR(10),"|"),";","|"),"+","|"),"|",REPT(" ",LEN(Registro!$F113))),({1,2,3,4,5,6,7,8,9,10,11,12,13,14,15,16,17,18,19,20,21,22,23,24,25,26,27,28,29,30}-1)*LEN(Registro!$F113)+1,LEN(Registro!$F113))),FIND("x",TRIM(MID(SUBSTITUTE(SUBSTITUTE(SUBSTITUTE(SUBSTITUTE(SUBSTITUTE(LOWER(Registro!$F113)," ",""),CHAR(10),"|"),";","|"),"+","|"),"|",REPT(" ",LEN(Registro!$F113))),({1,2,3,4,5,6,7,8,9,10,11,12,13,14,15,16,17,18,19,20,21,22,23,24,25,26,27,28,29,30}-1)*LEN(Registro!$F113)+1,LEN(Registro!$F113)))&amp;"x")-1))),"Revisar formato")))</f>
        <v/>
      </c>
      <c r="G113" s="24" t="str">
        <f>IF(Registro!$F113="","",IF(ISERROR(FIND("x",LOWER(Registro!$F113))),N(Registro!$G113),IFERROR(SUMPRODUCT(--("0"&amp;LEFT(TRIM(MID(SUBSTITUTE(SUBSTITUTE(SUBSTITUTE(SUBSTITUTE(SUBSTITUTE(LOWER(Registro!$F113)," ",""),CHAR(10),"|"),";","|"),"+","|"),"|",REPT(" ",LEN(Registro!$F113))),({1,2,3,4,5,6,7,8,9,10,11,12,13,14,15,16,17,18,19,20,21,22,23,24,25,26,27,28,29,30}-1)*LEN(Registro!$F113)+1,LEN(Registro!$F113))),FIND("x",TRIM(MID(SUBSTITUTE(SUBSTITUTE(SUBSTITUTE(SUBSTITUTE(SUBSTITUTE(LOWER(Registro!$F113)," ",""),CHAR(10),"|"),";","|"),"+","|"),"|",REPT(" ",LEN(Registro!$F113))),({1,2,3,4,5,6,7,8,9,10,11,12,13,14,15,16,17,18,19,20,21,22,23,24,25,26,27,28,29,30}-1)*LEN(Registro!$F113)+1,LEN(Registro!$F113)))&amp;"x")-1)),--("0"&amp;MID(TRIM(MID(SUBSTITUTE(SUBSTITUTE(SUBSTITUTE(SUBSTITUTE(SUBSTITUTE(LOWER(Registro!$F113)," ",""),CHAR(10),"|"),";","|"),"+","|"),"|",REPT(" ",LEN(Registro!$F113))),({1,2,3,4,5,6,7,8,9,10,11,12,13,14,15,16,17,18,19,20,21,22,23,24,25,26,27,28,29,30}-1)*LEN(Registro!$F113)+1,LEN(Registro!$F113))),FIND("x",TRIM(MID(SUBSTITUTE(SUBSTITUTE(SUBSTITUTE(SUBSTITUTE(SUBSTITUTE(LOWER(Registro!$F113)," ",""),CHAR(10),"|"),";","|"),"+","|"),"|",REPT(" ",LEN(Registro!$F113))),({1,2,3,4,5,6,7,8,9,10,11,12,13,14,15,16,17,18,19,20,21,22,23,24,25,26,27,28,29,30}-1)*LEN(Registro!$F113)+1,LEN(Registro!$F113)))&amp;"x")+1,20))),"Revisar formato")))</f>
        <v/>
      </c>
      <c r="H113" s="21" t="str">
        <f>IF(AND(Registro!$E113="",Registro!$F113=""),"",IF(NOT(AND(ISNUMBER(G113),ISNUMBER(Registro!$G113))),"",IF(G113&lt;Registro!$G113,"FALTA BOLETOS",IF(G113=Registro!$G113,"CONFORME","DIFERENCIA"))))</f>
        <v/>
      </c>
      <c r="I113" s="24" t="str">
        <f>IF(Registro!$H113="","",IFERROR(SUMPRODUCT(--("0"&amp;TRIM(RIGHT(SUBSTITUTE(TRIM(MID(SUBSTITUTE(SUBSTITUTE(Registro!$H113,";",CHAR(10)),CHAR(10),REPT(" ",LEN(Registro!$H113))),({1,2,3,4,5,6,7,8,9,10,11,12,13,14,15,16,17,18,19,20,21,22,23,24,25,26,27,28,29,30}-1)*LEN(Registro!$H113)+1,LEN(Registro!$H113)))," ",REPT(" ",50)),50)))),"Revisar formato"))</f>
        <v/>
      </c>
      <c r="J113" s="24" t="str">
        <f>IF(Registro!$I113="","",IFERROR(SUMPRODUCT(--("0"&amp;TRIM(RIGHT(SUBSTITUTE(TRIM(MID(SUBSTITUTE(SUBSTITUTE(Registro!$I113,";",CHAR(10)),CHAR(10),REPT(" ",LEN(Registro!$I113))),({1,2,3,4,5,6,7,8,9,10,11,12,13,14,15,16,17,18,19,20,21,22,23,24,25,26,27,28,29,30}-1)*LEN(Registro!$I113)+1,LEN(Registro!$I113)))," ",REPT(" ",50)),50)))),"Revisar formato"))</f>
        <v/>
      </c>
      <c r="K113" s="24" t="str">
        <f>IF(AND(Registro!$G113="",Registro!$H113=""),"",IF(AND(ISTEXT(I113),I113&lt;&gt;""),"Revisar formato",N(Registro!$G113)-N(I113)))</f>
        <v/>
      </c>
      <c r="L113" s="24" t="str">
        <f t="shared" si="3"/>
        <v/>
      </c>
      <c r="M113" s="36" t="str">
        <f>IF(AND(A113=Consulta!$B$3,C113=Consulta!$H$3),B113*10000+ROW(),"")</f>
        <v/>
      </c>
    </row>
    <row r="114" spans="1:13" x14ac:dyDescent="0.25">
      <c r="A114" s="21" t="str">
        <f>IF(Registro!$A114="","",Registro!$A114)</f>
        <v/>
      </c>
      <c r="B114" s="20" t="str">
        <f>IF(Registro!$B114="","",Registro!$B114)</f>
        <v/>
      </c>
      <c r="C114" s="35" t="str">
        <f t="shared" si="2"/>
        <v/>
      </c>
      <c r="D114" s="23" t="str">
        <f>IF(Registro!$E114="","",IF(ISERROR(FIND("x",LOWER(Registro!$E114))),"-",IFERROR(SUMPRODUCT(--("0"&amp;LEFT(TRIM(MID(SUBSTITUTE(SUBSTITUTE(SUBSTITUTE(SUBSTITUTE(SUBSTITUTE(LOWER(Registro!$E114),"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",LEN(Registro!$E114))),({1,2,3,4,5,6,7,8,9,10,11,12,13,14,15,16,17,18,19,20,21,22,23,24,25,26,27,28,29,30}-1)*LEN(Registro!$E114)+1,LEN(Registro!$E114))),FIND("x",TRIM(MID(SUBSTITUTE(SUBSTITUTE(SUBSTITUTE(SUBSTITUTE(SUBSTITUTE(LOWER(Registro!$E114),"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",LEN(Registro!$E114))),({1,2,3,4,5,6,7,8,9,10,11,12,13,14,15,16,17,18,19,20,21,22,23,24,25,26,27,28,29,30}-1)*LEN(Registro!$E114)+1,LEN(Registro!$E114)))&amp;"x")-1))),"Revisar formato")))</f>
        <v/>
      </c>
      <c r="E114" s="24" t="str">
        <f>IF(Registro!$E114="","",IF(ISERROR(FIND("x",LOWER(Registro!$E114))),"-",IFERROR(SUMPRODUCT(--("0"&amp;LEFT(TRIM(MID(SUBSTITUTE(SUBSTITUTE(SUBSTITUTE(SUBSTITUTE(SUBSTITUTE(LOWER(Registro!$E114),"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",LEN(Registro!$E114))),({1,2,3,4,5,6,7,8,9,10,11,12,13,14,15,16,17,18,19,20,21,22,23,24,25,26,27,28,29,30}-1)*LEN(Registro!$E114)+1,LEN(Registro!$E114))),FIND("x",TRIM(MID(SUBSTITUTE(SUBSTITUTE(SUBSTITUTE(SUBSTITUTE(SUBSTITUTE(LOWER(Registro!$E114),"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",LEN(Registro!$E114))),({1,2,3,4,5,6,7,8,9,10,11,12,13,14,15,16,17,18,19,20,21,22,23,24,25,26,27,28,29,30}-1)*LEN(Registro!$E114)+1,LEN(Registro!$E114)))&amp;"x")-1)),--("0"&amp;MID(TRIM(MID(SUBSTITUTE(SUBSTITUTE(SUBSTITUTE(SUBSTITUTE(SUBSTITUTE(LOWER(Registro!$E114),"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",LEN(Registro!$E114))),({1,2,3,4,5,6,7,8,9,10,11,12,13,14,15,16,17,18,19,20,21,22,23,24,25,26,27,28,29,30}-1)*LEN(Registro!$E114)+1,LEN(Registro!$E114))),FIND("x",TRIM(MID(SUBSTITUTE(SUBSTITUTE(SUBSTITUTE(SUBSTITUTE(SUBSTITUTE(LOWER(Registro!$E114),"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",LEN(Registro!$E114))),({1,2,3,4,5,6,7,8,9,10,11,12,13,14,15,16,17,18,19,20,21,22,23,24,25,26,27,28,29,30}-1)*LEN(Registro!$E114)+1,LEN(Registro!$E114)))&amp;"x")+1,20))),"Revisar formato")))</f>
        <v/>
      </c>
      <c r="F114" s="23" t="str">
        <f>IF(Registro!$F114="","",IF(ISERROR(FIND("x",LOWER(Registro!$F114))),"-",IFERROR(SUMPRODUCT(--("0"&amp;LEFT(TRIM(MID(SUBSTITUTE(SUBSTITUTE(SUBSTITUTE(SUBSTITUTE(SUBSTITUTE(LOWER(Registro!$F114)," ",""),CHAR(10),"|"),";","|"),"+","|"),"|",REPT(" ",LEN(Registro!$F114))),({1,2,3,4,5,6,7,8,9,10,11,12,13,14,15,16,17,18,19,20,21,22,23,24,25,26,27,28,29,30}-1)*LEN(Registro!$F114)+1,LEN(Registro!$F114))),FIND("x",TRIM(MID(SUBSTITUTE(SUBSTITUTE(SUBSTITUTE(SUBSTITUTE(SUBSTITUTE(LOWER(Registro!$F114)," ",""),CHAR(10),"|"),";","|"),"+","|"),"|",REPT(" ",LEN(Registro!$F114))),({1,2,3,4,5,6,7,8,9,10,11,12,13,14,15,16,17,18,19,20,21,22,23,24,25,26,27,28,29,30}-1)*LEN(Registro!$F114)+1,LEN(Registro!$F114)))&amp;"x")-1))),"Revisar formato")))</f>
        <v/>
      </c>
      <c r="G114" s="24" t="str">
        <f>IF(Registro!$F114="","",IF(ISERROR(FIND("x",LOWER(Registro!$F114))),N(Registro!$G114),IFERROR(SUMPRODUCT(--("0"&amp;LEFT(TRIM(MID(SUBSTITUTE(SUBSTITUTE(SUBSTITUTE(SUBSTITUTE(SUBSTITUTE(LOWER(Registro!$F114)," ",""),CHAR(10),"|"),";","|"),"+","|"),"|",REPT(" ",LEN(Registro!$F114))),({1,2,3,4,5,6,7,8,9,10,11,12,13,14,15,16,17,18,19,20,21,22,23,24,25,26,27,28,29,30}-1)*LEN(Registro!$F114)+1,LEN(Registro!$F114))),FIND("x",TRIM(MID(SUBSTITUTE(SUBSTITUTE(SUBSTITUTE(SUBSTITUTE(SUBSTITUTE(LOWER(Registro!$F114)," ",""),CHAR(10),"|"),";","|"),"+","|"),"|",REPT(" ",LEN(Registro!$F114))),({1,2,3,4,5,6,7,8,9,10,11,12,13,14,15,16,17,18,19,20,21,22,23,24,25,26,27,28,29,30}-1)*LEN(Registro!$F114)+1,LEN(Registro!$F114)))&amp;"x")-1)),--("0"&amp;MID(TRIM(MID(SUBSTITUTE(SUBSTITUTE(SUBSTITUTE(SUBSTITUTE(SUBSTITUTE(LOWER(Registro!$F114)," ",""),CHAR(10),"|"),";","|"),"+","|"),"|",REPT(" ",LEN(Registro!$F114))),({1,2,3,4,5,6,7,8,9,10,11,12,13,14,15,16,17,18,19,20,21,22,23,24,25,26,27,28,29,30}-1)*LEN(Registro!$F114)+1,LEN(Registro!$F114))),FIND("x",TRIM(MID(SUBSTITUTE(SUBSTITUTE(SUBSTITUTE(SUBSTITUTE(SUBSTITUTE(LOWER(Registro!$F114)," ",""),CHAR(10),"|"),";","|"),"+","|"),"|",REPT(" ",LEN(Registro!$F114))),({1,2,3,4,5,6,7,8,9,10,11,12,13,14,15,16,17,18,19,20,21,22,23,24,25,26,27,28,29,30}-1)*LEN(Registro!$F114)+1,LEN(Registro!$F114)))&amp;"x")+1,20))),"Revisar formato")))</f>
        <v/>
      </c>
      <c r="H114" s="21" t="str">
        <f>IF(AND(Registro!$E114="",Registro!$F114=""),"",IF(NOT(AND(ISNUMBER(G114),ISNUMBER(Registro!$G114))),"",IF(G114&lt;Registro!$G114,"FALTA BOLETOS",IF(G114=Registro!$G114,"CONFORME","DIFERENCIA"))))</f>
        <v/>
      </c>
      <c r="I114" s="24" t="str">
        <f>IF(Registro!$H114="","",IFERROR(SUMPRODUCT(--("0"&amp;TRIM(RIGHT(SUBSTITUTE(TRIM(MID(SUBSTITUTE(SUBSTITUTE(Registro!$H114,";",CHAR(10)),CHAR(10),REPT(" ",LEN(Registro!$H114))),({1,2,3,4,5,6,7,8,9,10,11,12,13,14,15,16,17,18,19,20,21,22,23,24,25,26,27,28,29,30}-1)*LEN(Registro!$H114)+1,LEN(Registro!$H114)))," ",REPT(" ",50)),50)))),"Revisar formato"))</f>
        <v/>
      </c>
      <c r="J114" s="24" t="str">
        <f>IF(Registro!$I114="","",IFERROR(SUMPRODUCT(--("0"&amp;TRIM(RIGHT(SUBSTITUTE(TRIM(MID(SUBSTITUTE(SUBSTITUTE(Registro!$I114,";",CHAR(10)),CHAR(10),REPT(" ",LEN(Registro!$I114))),({1,2,3,4,5,6,7,8,9,10,11,12,13,14,15,16,17,18,19,20,21,22,23,24,25,26,27,28,29,30}-1)*LEN(Registro!$I114)+1,LEN(Registro!$I114)))," ",REPT(" ",50)),50)))),"Revisar formato"))</f>
        <v/>
      </c>
      <c r="K114" s="24" t="str">
        <f>IF(AND(Registro!$G114="",Registro!$H114=""),"",IF(AND(ISTEXT(I114),I114&lt;&gt;""),"Revisar formato",N(Registro!$G114)-N(I114)))</f>
        <v/>
      </c>
      <c r="L114" s="24" t="str">
        <f t="shared" si="3"/>
        <v/>
      </c>
      <c r="M114" s="36" t="str">
        <f>IF(AND(A114=Consulta!$B$3,C114=Consulta!$H$3),B114*10000+ROW(),"")</f>
        <v/>
      </c>
    </row>
    <row r="115" spans="1:13" x14ac:dyDescent="0.25">
      <c r="A115" s="21" t="str">
        <f>IF(Registro!$A115="","",Registro!$A115)</f>
        <v/>
      </c>
      <c r="B115" s="20" t="str">
        <f>IF(Registro!$B115="","",Registro!$B115)</f>
        <v/>
      </c>
      <c r="C115" s="35" t="str">
        <f t="shared" si="2"/>
        <v/>
      </c>
      <c r="D115" s="23" t="str">
        <f>IF(Registro!$E115="","",IF(ISERROR(FIND("x",LOWER(Registro!$E115))),"-",IFERROR(SUMPRODUCT(--("0"&amp;LEFT(TRIM(MID(SUBSTITUTE(SUBSTITUTE(SUBSTITUTE(SUBSTITUTE(SUBSTITUTE(LOWER(Registro!$E115),"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",LEN(Registro!$E115))),({1,2,3,4,5,6,7,8,9,10,11,12,13,14,15,16,17,18,19,20,21,22,23,24,25,26,27,28,29,30}-1)*LEN(Registro!$E115)+1,LEN(Registro!$E115))),FIND("x",TRIM(MID(SUBSTITUTE(SUBSTITUTE(SUBSTITUTE(SUBSTITUTE(SUBSTITUTE(LOWER(Registro!$E115),"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",LEN(Registro!$E115))),({1,2,3,4,5,6,7,8,9,10,11,12,13,14,15,16,17,18,19,20,21,22,23,24,25,26,27,28,29,30}-1)*LEN(Registro!$E115)+1,LEN(Registro!$E115)))&amp;"x")-1))),"Revisar formato")))</f>
        <v/>
      </c>
      <c r="E115" s="24" t="str">
        <f>IF(Registro!$E115="","",IF(ISERROR(FIND("x",LOWER(Registro!$E115))),"-",IFERROR(SUMPRODUCT(--("0"&amp;LEFT(TRIM(MID(SUBSTITUTE(SUBSTITUTE(SUBSTITUTE(SUBSTITUTE(SUBSTITUTE(LOWER(Registro!$E115),"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",LEN(Registro!$E115))),({1,2,3,4,5,6,7,8,9,10,11,12,13,14,15,16,17,18,19,20,21,22,23,24,25,26,27,28,29,30}-1)*LEN(Registro!$E115)+1,LEN(Registro!$E115))),FIND("x",TRIM(MID(SUBSTITUTE(SUBSTITUTE(SUBSTITUTE(SUBSTITUTE(SUBSTITUTE(LOWER(Registro!$E115),"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",LEN(Registro!$E115))),({1,2,3,4,5,6,7,8,9,10,11,12,13,14,15,16,17,18,19,20,21,22,23,24,25,26,27,28,29,30}-1)*LEN(Registro!$E115)+1,LEN(Registro!$E115)))&amp;"x")-1)),--("0"&amp;MID(TRIM(MID(SUBSTITUTE(SUBSTITUTE(SUBSTITUTE(SUBSTITUTE(SUBSTITUTE(LOWER(Registro!$E115),"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",LEN(Registro!$E115))),({1,2,3,4,5,6,7,8,9,10,11,12,13,14,15,16,17,18,19,20,21,22,23,24,25,26,27,28,29,30}-1)*LEN(Registro!$E115)+1,LEN(Registro!$E115))),FIND("x",TRIM(MID(SUBSTITUTE(SUBSTITUTE(SUBSTITUTE(SUBSTITUTE(SUBSTITUTE(LOWER(Registro!$E115),"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",LEN(Registro!$E115))),({1,2,3,4,5,6,7,8,9,10,11,12,13,14,15,16,17,18,19,20,21,22,23,24,25,26,27,28,29,30}-1)*LEN(Registro!$E115)+1,LEN(Registro!$E115)))&amp;"x")+1,20))),"Revisar formato")))</f>
        <v/>
      </c>
      <c r="F115" s="23" t="str">
        <f>IF(Registro!$F115="","",IF(ISERROR(FIND("x",LOWER(Registro!$F115))),"-",IFERROR(SUMPRODUCT(--("0"&amp;LEFT(TRIM(MID(SUBSTITUTE(SUBSTITUTE(SUBSTITUTE(SUBSTITUTE(SUBSTITUTE(LOWER(Registro!$F115)," ",""),CHAR(10),"|"),";","|"),"+","|"),"|",REPT(" ",LEN(Registro!$F115))),({1,2,3,4,5,6,7,8,9,10,11,12,13,14,15,16,17,18,19,20,21,22,23,24,25,26,27,28,29,30}-1)*LEN(Registro!$F115)+1,LEN(Registro!$F115))),FIND("x",TRIM(MID(SUBSTITUTE(SUBSTITUTE(SUBSTITUTE(SUBSTITUTE(SUBSTITUTE(LOWER(Registro!$F115)," ",""),CHAR(10),"|"),";","|"),"+","|"),"|",REPT(" ",LEN(Registro!$F115))),({1,2,3,4,5,6,7,8,9,10,11,12,13,14,15,16,17,18,19,20,21,22,23,24,25,26,27,28,29,30}-1)*LEN(Registro!$F115)+1,LEN(Registro!$F115)))&amp;"x")-1))),"Revisar formato")))</f>
        <v/>
      </c>
      <c r="G115" s="24" t="str">
        <f>IF(Registro!$F115="","",IF(ISERROR(FIND("x",LOWER(Registro!$F115))),N(Registro!$G115),IFERROR(SUMPRODUCT(--("0"&amp;LEFT(TRIM(MID(SUBSTITUTE(SUBSTITUTE(SUBSTITUTE(SUBSTITUTE(SUBSTITUTE(LOWER(Registro!$F115)," ",""),CHAR(10),"|"),";","|"),"+","|"),"|",REPT(" ",LEN(Registro!$F115))),({1,2,3,4,5,6,7,8,9,10,11,12,13,14,15,16,17,18,19,20,21,22,23,24,25,26,27,28,29,30}-1)*LEN(Registro!$F115)+1,LEN(Registro!$F115))),FIND("x",TRIM(MID(SUBSTITUTE(SUBSTITUTE(SUBSTITUTE(SUBSTITUTE(SUBSTITUTE(LOWER(Registro!$F115)," ",""),CHAR(10),"|"),";","|"),"+","|"),"|",REPT(" ",LEN(Registro!$F115))),({1,2,3,4,5,6,7,8,9,10,11,12,13,14,15,16,17,18,19,20,21,22,23,24,25,26,27,28,29,30}-1)*LEN(Registro!$F115)+1,LEN(Registro!$F115)))&amp;"x")-1)),--("0"&amp;MID(TRIM(MID(SUBSTITUTE(SUBSTITUTE(SUBSTITUTE(SUBSTITUTE(SUBSTITUTE(LOWER(Registro!$F115)," ",""),CHAR(10),"|"),";","|"),"+","|"),"|",REPT(" ",LEN(Registro!$F115))),({1,2,3,4,5,6,7,8,9,10,11,12,13,14,15,16,17,18,19,20,21,22,23,24,25,26,27,28,29,30}-1)*LEN(Registro!$F115)+1,LEN(Registro!$F115))),FIND("x",TRIM(MID(SUBSTITUTE(SUBSTITUTE(SUBSTITUTE(SUBSTITUTE(SUBSTITUTE(LOWER(Registro!$F115)," ",""),CHAR(10),"|"),";","|"),"+","|"),"|",REPT(" ",LEN(Registro!$F115))),({1,2,3,4,5,6,7,8,9,10,11,12,13,14,15,16,17,18,19,20,21,22,23,24,25,26,27,28,29,30}-1)*LEN(Registro!$F115)+1,LEN(Registro!$F115)))&amp;"x")+1,20))),"Revisar formato")))</f>
        <v/>
      </c>
      <c r="H115" s="21" t="str">
        <f>IF(AND(Registro!$E115="",Registro!$F115=""),"",IF(NOT(AND(ISNUMBER(G115),ISNUMBER(Registro!$G115))),"",IF(G115&lt;Registro!$G115,"FALTA BOLETOS",IF(G115=Registro!$G115,"CONFORME","DIFERENCIA"))))</f>
        <v/>
      </c>
      <c r="I115" s="24" t="str">
        <f>IF(Registro!$H115="","",IFERROR(SUMPRODUCT(--("0"&amp;TRIM(RIGHT(SUBSTITUTE(TRIM(MID(SUBSTITUTE(SUBSTITUTE(Registro!$H115,";",CHAR(10)),CHAR(10),REPT(" ",LEN(Registro!$H115))),({1,2,3,4,5,6,7,8,9,10,11,12,13,14,15,16,17,18,19,20,21,22,23,24,25,26,27,28,29,30}-1)*LEN(Registro!$H115)+1,LEN(Registro!$H115)))," ",REPT(" ",50)),50)))),"Revisar formato"))</f>
        <v/>
      </c>
      <c r="J115" s="24" t="str">
        <f>IF(Registro!$I115="","",IFERROR(SUMPRODUCT(--("0"&amp;TRIM(RIGHT(SUBSTITUTE(TRIM(MID(SUBSTITUTE(SUBSTITUTE(Registro!$I115,";",CHAR(10)),CHAR(10),REPT(" ",LEN(Registro!$I115))),({1,2,3,4,5,6,7,8,9,10,11,12,13,14,15,16,17,18,19,20,21,22,23,24,25,26,27,28,29,30}-1)*LEN(Registro!$I115)+1,LEN(Registro!$I115)))," ",REPT(" ",50)),50)))),"Revisar formato"))</f>
        <v/>
      </c>
      <c r="K115" s="24" t="str">
        <f>IF(AND(Registro!$G115="",Registro!$H115=""),"",IF(AND(ISTEXT(I115),I115&lt;&gt;""),"Revisar formato",N(Registro!$G115)-N(I115)))</f>
        <v/>
      </c>
      <c r="L115" s="24" t="str">
        <f t="shared" si="3"/>
        <v/>
      </c>
      <c r="M115" s="36" t="str">
        <f>IF(AND(A115=Consulta!$B$3,C115=Consulta!$H$3),B115*10000+ROW(),"")</f>
        <v/>
      </c>
    </row>
    <row r="116" spans="1:13" x14ac:dyDescent="0.25">
      <c r="A116" s="21" t="str">
        <f>IF(Registro!$A116="","",Registro!$A116)</f>
        <v/>
      </c>
      <c r="B116" s="20" t="str">
        <f>IF(Registro!$B116="","",Registro!$B116)</f>
        <v/>
      </c>
      <c r="C116" s="35" t="str">
        <f t="shared" si="2"/>
        <v/>
      </c>
      <c r="D116" s="23" t="str">
        <f>IF(Registro!$E116="","",IF(ISERROR(FIND("x",LOWER(Registro!$E116))),"-",IFERROR(SUMPRODUCT(--("0"&amp;LEFT(TRIM(MID(SUBSTITUTE(SUBSTITUTE(SUBSTITUTE(SUBSTITUTE(SUBSTITUTE(LOWER(Registro!$E116),"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",LEN(Registro!$E116))),({1,2,3,4,5,6,7,8,9,10,11,12,13,14,15,16,17,18,19,20,21,22,23,24,25,26,27,28,29,30}-1)*LEN(Registro!$E116)+1,LEN(Registro!$E116))),FIND("x",TRIM(MID(SUBSTITUTE(SUBSTITUTE(SUBSTITUTE(SUBSTITUTE(SUBSTITUTE(LOWER(Registro!$E116),"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",LEN(Registro!$E116))),({1,2,3,4,5,6,7,8,9,10,11,12,13,14,15,16,17,18,19,20,21,22,23,24,25,26,27,28,29,30}-1)*LEN(Registro!$E116)+1,LEN(Registro!$E116)))&amp;"x")-1))),"Revisar formato")))</f>
        <v/>
      </c>
      <c r="E116" s="24" t="str">
        <f>IF(Registro!$E116="","",IF(ISERROR(FIND("x",LOWER(Registro!$E116))),"-",IFERROR(SUMPRODUCT(--("0"&amp;LEFT(TRIM(MID(SUBSTITUTE(SUBSTITUTE(SUBSTITUTE(SUBSTITUTE(SUBSTITUTE(LOWER(Registro!$E116),"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",LEN(Registro!$E116))),({1,2,3,4,5,6,7,8,9,10,11,12,13,14,15,16,17,18,19,20,21,22,23,24,25,26,27,28,29,30}-1)*LEN(Registro!$E116)+1,LEN(Registro!$E116))),FIND("x",TRIM(MID(SUBSTITUTE(SUBSTITUTE(SUBSTITUTE(SUBSTITUTE(SUBSTITUTE(LOWER(Registro!$E116),"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",LEN(Registro!$E116))),({1,2,3,4,5,6,7,8,9,10,11,12,13,14,15,16,17,18,19,20,21,22,23,24,25,26,27,28,29,30}-1)*LEN(Registro!$E116)+1,LEN(Registro!$E116)))&amp;"x")-1)),--("0"&amp;MID(TRIM(MID(SUBSTITUTE(SUBSTITUTE(SUBSTITUTE(SUBSTITUTE(SUBSTITUTE(LOWER(Registro!$E116),"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",LEN(Registro!$E116))),({1,2,3,4,5,6,7,8,9,10,11,12,13,14,15,16,17,18,19,20,21,22,23,24,25,26,27,28,29,30}-1)*LEN(Registro!$E116)+1,LEN(Registro!$E116))),FIND("x",TRIM(MID(SUBSTITUTE(SUBSTITUTE(SUBSTITUTE(SUBSTITUTE(SUBSTITUTE(LOWER(Registro!$E116),"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",LEN(Registro!$E116))),({1,2,3,4,5,6,7,8,9,10,11,12,13,14,15,16,17,18,19,20,21,22,23,24,25,26,27,28,29,30}-1)*LEN(Registro!$E116)+1,LEN(Registro!$E116)))&amp;"x")+1,20))),"Revisar formato")))</f>
        <v/>
      </c>
      <c r="F116" s="23" t="str">
        <f>IF(Registro!$F116="","",IF(ISERROR(FIND("x",LOWER(Registro!$F116))),"-",IFERROR(SUMPRODUCT(--("0"&amp;LEFT(TRIM(MID(SUBSTITUTE(SUBSTITUTE(SUBSTITUTE(SUBSTITUTE(SUBSTITUTE(LOWER(Registro!$F116)," ",""),CHAR(10),"|"),";","|"),"+","|"),"|",REPT(" ",LEN(Registro!$F116))),({1,2,3,4,5,6,7,8,9,10,11,12,13,14,15,16,17,18,19,20,21,22,23,24,25,26,27,28,29,30}-1)*LEN(Registro!$F116)+1,LEN(Registro!$F116))),FIND("x",TRIM(MID(SUBSTITUTE(SUBSTITUTE(SUBSTITUTE(SUBSTITUTE(SUBSTITUTE(LOWER(Registro!$F116)," ",""),CHAR(10),"|"),";","|"),"+","|"),"|",REPT(" ",LEN(Registro!$F116))),({1,2,3,4,5,6,7,8,9,10,11,12,13,14,15,16,17,18,19,20,21,22,23,24,25,26,27,28,29,30}-1)*LEN(Registro!$F116)+1,LEN(Registro!$F116)))&amp;"x")-1))),"Revisar formato")))</f>
        <v/>
      </c>
      <c r="G116" s="24" t="str">
        <f>IF(Registro!$F116="","",IF(ISERROR(FIND("x",LOWER(Registro!$F116))),N(Registro!$G116),IFERROR(SUMPRODUCT(--("0"&amp;LEFT(TRIM(MID(SUBSTITUTE(SUBSTITUTE(SUBSTITUTE(SUBSTITUTE(SUBSTITUTE(LOWER(Registro!$F116)," ",""),CHAR(10),"|"),";","|"),"+","|"),"|",REPT(" ",LEN(Registro!$F116))),({1,2,3,4,5,6,7,8,9,10,11,12,13,14,15,16,17,18,19,20,21,22,23,24,25,26,27,28,29,30}-1)*LEN(Registro!$F116)+1,LEN(Registro!$F116))),FIND("x",TRIM(MID(SUBSTITUTE(SUBSTITUTE(SUBSTITUTE(SUBSTITUTE(SUBSTITUTE(LOWER(Registro!$F116)," ",""),CHAR(10),"|"),";","|"),"+","|"),"|",REPT(" ",LEN(Registro!$F116))),({1,2,3,4,5,6,7,8,9,10,11,12,13,14,15,16,17,18,19,20,21,22,23,24,25,26,27,28,29,30}-1)*LEN(Registro!$F116)+1,LEN(Registro!$F116)))&amp;"x")-1)),--("0"&amp;MID(TRIM(MID(SUBSTITUTE(SUBSTITUTE(SUBSTITUTE(SUBSTITUTE(SUBSTITUTE(LOWER(Registro!$F116)," ",""),CHAR(10),"|"),";","|"),"+","|"),"|",REPT(" ",LEN(Registro!$F116))),({1,2,3,4,5,6,7,8,9,10,11,12,13,14,15,16,17,18,19,20,21,22,23,24,25,26,27,28,29,30}-1)*LEN(Registro!$F116)+1,LEN(Registro!$F116))),FIND("x",TRIM(MID(SUBSTITUTE(SUBSTITUTE(SUBSTITUTE(SUBSTITUTE(SUBSTITUTE(LOWER(Registro!$F116)," ",""),CHAR(10),"|"),";","|"),"+","|"),"|",REPT(" ",LEN(Registro!$F116))),({1,2,3,4,5,6,7,8,9,10,11,12,13,14,15,16,17,18,19,20,21,22,23,24,25,26,27,28,29,30}-1)*LEN(Registro!$F116)+1,LEN(Registro!$F116)))&amp;"x")+1,20))),"Revisar formato")))</f>
        <v/>
      </c>
      <c r="H116" s="21" t="str">
        <f>IF(AND(Registro!$E116="",Registro!$F116=""),"",IF(NOT(AND(ISNUMBER(G116),ISNUMBER(Registro!$G116))),"",IF(G116&lt;Registro!$G116,"FALTA BOLETOS",IF(G116=Registro!$G116,"CONFORME","DIFERENCIA"))))</f>
        <v/>
      </c>
      <c r="I116" s="24" t="str">
        <f>IF(Registro!$H116="","",IFERROR(SUMPRODUCT(--("0"&amp;TRIM(RIGHT(SUBSTITUTE(TRIM(MID(SUBSTITUTE(SUBSTITUTE(Registro!$H116,";",CHAR(10)),CHAR(10),REPT(" ",LEN(Registro!$H116))),({1,2,3,4,5,6,7,8,9,10,11,12,13,14,15,16,17,18,19,20,21,22,23,24,25,26,27,28,29,30}-1)*LEN(Registro!$H116)+1,LEN(Registro!$H116)))," ",REPT(" ",50)),50)))),"Revisar formato"))</f>
        <v/>
      </c>
      <c r="J116" s="24" t="str">
        <f>IF(Registro!$I116="","",IFERROR(SUMPRODUCT(--("0"&amp;TRIM(RIGHT(SUBSTITUTE(TRIM(MID(SUBSTITUTE(SUBSTITUTE(Registro!$I116,";",CHAR(10)),CHAR(10),REPT(" ",LEN(Registro!$I116))),({1,2,3,4,5,6,7,8,9,10,11,12,13,14,15,16,17,18,19,20,21,22,23,24,25,26,27,28,29,30}-1)*LEN(Registro!$I116)+1,LEN(Registro!$I116)))," ",REPT(" ",50)),50)))),"Revisar formato"))</f>
        <v/>
      </c>
      <c r="K116" s="24" t="str">
        <f>IF(AND(Registro!$G116="",Registro!$H116=""),"",IF(AND(ISTEXT(I116),I116&lt;&gt;""),"Revisar formato",N(Registro!$G116)-N(I116)))</f>
        <v/>
      </c>
      <c r="L116" s="24" t="str">
        <f t="shared" si="3"/>
        <v/>
      </c>
      <c r="M116" s="36" t="str">
        <f>IF(AND(A116=Consulta!$B$3,C116=Consulta!$H$3),B116*10000+ROW(),"")</f>
        <v/>
      </c>
    </row>
    <row r="117" spans="1:13" x14ac:dyDescent="0.25">
      <c r="A117" s="21" t="str">
        <f>IF(Registro!$A117="","",Registro!$A117)</f>
        <v/>
      </c>
      <c r="B117" s="20" t="str">
        <f>IF(Registro!$B117="","",Registro!$B117)</f>
        <v/>
      </c>
      <c r="C117" s="35" t="str">
        <f t="shared" si="2"/>
        <v/>
      </c>
      <c r="D117" s="23" t="str">
        <f>IF(Registro!$E117="","",IF(ISERROR(FIND("x",LOWER(Registro!$E117))),"-",IFERROR(SUMPRODUCT(--("0"&amp;LEFT(TRIM(MID(SUBSTITUTE(SUBSTITUTE(SUBSTITUTE(SUBSTITUTE(SUBSTITUTE(LOWER(Registro!$E117),"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",LEN(Registro!$E117))),({1,2,3,4,5,6,7,8,9,10,11,12,13,14,15,16,17,18,19,20,21,22,23,24,25,26,27,28,29,30}-1)*LEN(Registro!$E117)+1,LEN(Registro!$E117))),FIND("x",TRIM(MID(SUBSTITUTE(SUBSTITUTE(SUBSTITUTE(SUBSTITUTE(SUBSTITUTE(LOWER(Registro!$E117),"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",LEN(Registro!$E117))),({1,2,3,4,5,6,7,8,9,10,11,12,13,14,15,16,17,18,19,20,21,22,23,24,25,26,27,28,29,30}-1)*LEN(Registro!$E117)+1,LEN(Registro!$E117)))&amp;"x")-1))),"Revisar formato")))</f>
        <v/>
      </c>
      <c r="E117" s="24" t="str">
        <f>IF(Registro!$E117="","",IF(ISERROR(FIND("x",LOWER(Registro!$E117))),"-",IFERROR(SUMPRODUCT(--("0"&amp;LEFT(TRIM(MID(SUBSTITUTE(SUBSTITUTE(SUBSTITUTE(SUBSTITUTE(SUBSTITUTE(LOWER(Registro!$E117),"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",LEN(Registro!$E117))),({1,2,3,4,5,6,7,8,9,10,11,12,13,14,15,16,17,18,19,20,21,22,23,24,25,26,27,28,29,30}-1)*LEN(Registro!$E117)+1,LEN(Registro!$E117))),FIND("x",TRIM(MID(SUBSTITUTE(SUBSTITUTE(SUBSTITUTE(SUBSTITUTE(SUBSTITUTE(LOWER(Registro!$E117),"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",LEN(Registro!$E117))),({1,2,3,4,5,6,7,8,9,10,11,12,13,14,15,16,17,18,19,20,21,22,23,24,25,26,27,28,29,30}-1)*LEN(Registro!$E117)+1,LEN(Registro!$E117)))&amp;"x")-1)),--("0"&amp;MID(TRIM(MID(SUBSTITUTE(SUBSTITUTE(SUBSTITUTE(SUBSTITUTE(SUBSTITUTE(LOWER(Registro!$E117),"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",LEN(Registro!$E117))),({1,2,3,4,5,6,7,8,9,10,11,12,13,14,15,16,17,18,19,20,21,22,23,24,25,26,27,28,29,30}-1)*LEN(Registro!$E117)+1,LEN(Registro!$E117))),FIND("x",TRIM(MID(SUBSTITUTE(SUBSTITUTE(SUBSTITUTE(SUBSTITUTE(SUBSTITUTE(LOWER(Registro!$E117),"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",LEN(Registro!$E117))),({1,2,3,4,5,6,7,8,9,10,11,12,13,14,15,16,17,18,19,20,21,22,23,24,25,26,27,28,29,30}-1)*LEN(Registro!$E117)+1,LEN(Registro!$E117)))&amp;"x")+1,20))),"Revisar formato")))</f>
        <v/>
      </c>
      <c r="F117" s="23" t="str">
        <f>IF(Registro!$F117="","",IF(ISERROR(FIND("x",LOWER(Registro!$F117))),"-",IFERROR(SUMPRODUCT(--("0"&amp;LEFT(TRIM(MID(SUBSTITUTE(SUBSTITUTE(SUBSTITUTE(SUBSTITUTE(SUBSTITUTE(LOWER(Registro!$F117)," ",""),CHAR(10),"|"),";","|"),"+","|"),"|",REPT(" ",LEN(Registro!$F117))),({1,2,3,4,5,6,7,8,9,10,11,12,13,14,15,16,17,18,19,20,21,22,23,24,25,26,27,28,29,30}-1)*LEN(Registro!$F117)+1,LEN(Registro!$F117))),FIND("x",TRIM(MID(SUBSTITUTE(SUBSTITUTE(SUBSTITUTE(SUBSTITUTE(SUBSTITUTE(LOWER(Registro!$F117)," ",""),CHAR(10),"|"),";","|"),"+","|"),"|",REPT(" ",LEN(Registro!$F117))),({1,2,3,4,5,6,7,8,9,10,11,12,13,14,15,16,17,18,19,20,21,22,23,24,25,26,27,28,29,30}-1)*LEN(Registro!$F117)+1,LEN(Registro!$F117)))&amp;"x")-1))),"Revisar formato")))</f>
        <v/>
      </c>
      <c r="G117" s="24" t="str">
        <f>IF(Registro!$F117="","",IF(ISERROR(FIND("x",LOWER(Registro!$F117))),N(Registro!$G117),IFERROR(SUMPRODUCT(--("0"&amp;LEFT(TRIM(MID(SUBSTITUTE(SUBSTITUTE(SUBSTITUTE(SUBSTITUTE(SUBSTITUTE(LOWER(Registro!$F117)," ",""),CHAR(10),"|"),";","|"),"+","|"),"|",REPT(" ",LEN(Registro!$F117))),({1,2,3,4,5,6,7,8,9,10,11,12,13,14,15,16,17,18,19,20,21,22,23,24,25,26,27,28,29,30}-1)*LEN(Registro!$F117)+1,LEN(Registro!$F117))),FIND("x",TRIM(MID(SUBSTITUTE(SUBSTITUTE(SUBSTITUTE(SUBSTITUTE(SUBSTITUTE(LOWER(Registro!$F117)," ",""),CHAR(10),"|"),";","|"),"+","|"),"|",REPT(" ",LEN(Registro!$F117))),({1,2,3,4,5,6,7,8,9,10,11,12,13,14,15,16,17,18,19,20,21,22,23,24,25,26,27,28,29,30}-1)*LEN(Registro!$F117)+1,LEN(Registro!$F117)))&amp;"x")-1)),--("0"&amp;MID(TRIM(MID(SUBSTITUTE(SUBSTITUTE(SUBSTITUTE(SUBSTITUTE(SUBSTITUTE(LOWER(Registro!$F117)," ",""),CHAR(10),"|"),";","|"),"+","|"),"|",REPT(" ",LEN(Registro!$F117))),({1,2,3,4,5,6,7,8,9,10,11,12,13,14,15,16,17,18,19,20,21,22,23,24,25,26,27,28,29,30}-1)*LEN(Registro!$F117)+1,LEN(Registro!$F117))),FIND("x",TRIM(MID(SUBSTITUTE(SUBSTITUTE(SUBSTITUTE(SUBSTITUTE(SUBSTITUTE(LOWER(Registro!$F117)," ",""),CHAR(10),"|"),";","|"),"+","|"),"|",REPT(" ",LEN(Registro!$F117))),({1,2,3,4,5,6,7,8,9,10,11,12,13,14,15,16,17,18,19,20,21,22,23,24,25,26,27,28,29,30}-1)*LEN(Registro!$F117)+1,LEN(Registro!$F117)))&amp;"x")+1,20))),"Revisar formato")))</f>
        <v/>
      </c>
      <c r="H117" s="21" t="str">
        <f>IF(AND(Registro!$E117="",Registro!$F117=""),"",IF(NOT(AND(ISNUMBER(G117),ISNUMBER(Registro!$G117))),"",IF(G117&lt;Registro!$G117,"FALTA BOLETOS",IF(G117=Registro!$G117,"CONFORME","DIFERENCIA"))))</f>
        <v/>
      </c>
      <c r="I117" s="24" t="str">
        <f>IF(Registro!$H117="","",IFERROR(SUMPRODUCT(--("0"&amp;TRIM(RIGHT(SUBSTITUTE(TRIM(MID(SUBSTITUTE(SUBSTITUTE(Registro!$H117,";",CHAR(10)),CHAR(10),REPT(" ",LEN(Registro!$H117))),({1,2,3,4,5,6,7,8,9,10,11,12,13,14,15,16,17,18,19,20,21,22,23,24,25,26,27,28,29,30}-1)*LEN(Registro!$H117)+1,LEN(Registro!$H117)))," ",REPT(" ",50)),50)))),"Revisar formato"))</f>
        <v/>
      </c>
      <c r="J117" s="24" t="str">
        <f>IF(Registro!$I117="","",IFERROR(SUMPRODUCT(--("0"&amp;TRIM(RIGHT(SUBSTITUTE(TRIM(MID(SUBSTITUTE(SUBSTITUTE(Registro!$I117,";",CHAR(10)),CHAR(10),REPT(" ",LEN(Registro!$I117))),({1,2,3,4,5,6,7,8,9,10,11,12,13,14,15,16,17,18,19,20,21,22,23,24,25,26,27,28,29,30}-1)*LEN(Registro!$I117)+1,LEN(Registro!$I117)))," ",REPT(" ",50)),50)))),"Revisar formato"))</f>
        <v/>
      </c>
      <c r="K117" s="24" t="str">
        <f>IF(AND(Registro!$G117="",Registro!$H117=""),"",IF(AND(ISTEXT(I117),I117&lt;&gt;""),"Revisar formato",N(Registro!$G117)-N(I117)))</f>
        <v/>
      </c>
      <c r="L117" s="24" t="str">
        <f t="shared" si="3"/>
        <v/>
      </c>
      <c r="M117" s="36" t="str">
        <f>IF(AND(A117=Consulta!$B$3,C117=Consulta!$H$3),B117*10000+ROW(),"")</f>
        <v/>
      </c>
    </row>
    <row r="118" spans="1:13" x14ac:dyDescent="0.25">
      <c r="A118" s="21" t="str">
        <f>IF(Registro!$A118="","",Registro!$A118)</f>
        <v/>
      </c>
      <c r="B118" s="20" t="str">
        <f>IF(Registro!$B118="","",Registro!$B118)</f>
        <v/>
      </c>
      <c r="C118" s="35" t="str">
        <f t="shared" si="2"/>
        <v/>
      </c>
      <c r="D118" s="23" t="str">
        <f>IF(Registro!$E118="","",IF(ISERROR(FIND("x",LOWER(Registro!$E118))),"-",IFERROR(SUMPRODUCT(--("0"&amp;LEFT(TRIM(MID(SUBSTITUTE(SUBSTITUTE(SUBSTITUTE(SUBSTITUTE(SUBSTITUTE(LOWER(Registro!$E118),"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",LEN(Registro!$E118))),({1,2,3,4,5,6,7,8,9,10,11,12,13,14,15,16,17,18,19,20,21,22,23,24,25,26,27,28,29,30}-1)*LEN(Registro!$E118)+1,LEN(Registro!$E118))),FIND("x",TRIM(MID(SUBSTITUTE(SUBSTITUTE(SUBSTITUTE(SUBSTITUTE(SUBSTITUTE(LOWER(Registro!$E118),"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",LEN(Registro!$E118))),({1,2,3,4,5,6,7,8,9,10,11,12,13,14,15,16,17,18,19,20,21,22,23,24,25,26,27,28,29,30}-1)*LEN(Registro!$E118)+1,LEN(Registro!$E118)))&amp;"x")-1))),"Revisar formato")))</f>
        <v/>
      </c>
      <c r="E118" s="24" t="str">
        <f>IF(Registro!$E118="","",IF(ISERROR(FIND("x",LOWER(Registro!$E118))),"-",IFERROR(SUMPRODUCT(--("0"&amp;LEFT(TRIM(MID(SUBSTITUTE(SUBSTITUTE(SUBSTITUTE(SUBSTITUTE(SUBSTITUTE(LOWER(Registro!$E118),"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",LEN(Registro!$E118))),({1,2,3,4,5,6,7,8,9,10,11,12,13,14,15,16,17,18,19,20,21,22,23,24,25,26,27,28,29,30}-1)*LEN(Registro!$E118)+1,LEN(Registro!$E118))),FIND("x",TRIM(MID(SUBSTITUTE(SUBSTITUTE(SUBSTITUTE(SUBSTITUTE(SUBSTITUTE(LOWER(Registro!$E118),"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",LEN(Registro!$E118))),({1,2,3,4,5,6,7,8,9,10,11,12,13,14,15,16,17,18,19,20,21,22,23,24,25,26,27,28,29,30}-1)*LEN(Registro!$E118)+1,LEN(Registro!$E118)))&amp;"x")-1)),--("0"&amp;MID(TRIM(MID(SUBSTITUTE(SUBSTITUTE(SUBSTITUTE(SUBSTITUTE(SUBSTITUTE(LOWER(Registro!$E118),"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",LEN(Registro!$E118))),({1,2,3,4,5,6,7,8,9,10,11,12,13,14,15,16,17,18,19,20,21,22,23,24,25,26,27,28,29,30}-1)*LEN(Registro!$E118)+1,LEN(Registro!$E118))),FIND("x",TRIM(MID(SUBSTITUTE(SUBSTITUTE(SUBSTITUTE(SUBSTITUTE(SUBSTITUTE(LOWER(Registro!$E118),"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",LEN(Registro!$E118))),({1,2,3,4,5,6,7,8,9,10,11,12,13,14,15,16,17,18,19,20,21,22,23,24,25,26,27,28,29,30}-1)*LEN(Registro!$E118)+1,LEN(Registro!$E118)))&amp;"x")+1,20))),"Revisar formato")))</f>
        <v/>
      </c>
      <c r="F118" s="23" t="str">
        <f>IF(Registro!$F118="","",IF(ISERROR(FIND("x",LOWER(Registro!$F118))),"-",IFERROR(SUMPRODUCT(--("0"&amp;LEFT(TRIM(MID(SUBSTITUTE(SUBSTITUTE(SUBSTITUTE(SUBSTITUTE(SUBSTITUTE(LOWER(Registro!$F118)," ",""),CHAR(10),"|"),";","|"),"+","|"),"|",REPT(" ",LEN(Registro!$F118))),({1,2,3,4,5,6,7,8,9,10,11,12,13,14,15,16,17,18,19,20,21,22,23,24,25,26,27,28,29,30}-1)*LEN(Registro!$F118)+1,LEN(Registro!$F118))),FIND("x",TRIM(MID(SUBSTITUTE(SUBSTITUTE(SUBSTITUTE(SUBSTITUTE(SUBSTITUTE(LOWER(Registro!$F118)," ",""),CHAR(10),"|"),";","|"),"+","|"),"|",REPT(" ",LEN(Registro!$F118))),({1,2,3,4,5,6,7,8,9,10,11,12,13,14,15,16,17,18,19,20,21,22,23,24,25,26,27,28,29,30}-1)*LEN(Registro!$F118)+1,LEN(Registro!$F118)))&amp;"x")-1))),"Revisar formato")))</f>
        <v/>
      </c>
      <c r="G118" s="24" t="str">
        <f>IF(Registro!$F118="","",IF(ISERROR(FIND("x",LOWER(Registro!$F118))),N(Registro!$G118),IFERROR(SUMPRODUCT(--("0"&amp;LEFT(TRIM(MID(SUBSTITUTE(SUBSTITUTE(SUBSTITUTE(SUBSTITUTE(SUBSTITUTE(LOWER(Registro!$F118)," ",""),CHAR(10),"|"),";","|"),"+","|"),"|",REPT(" ",LEN(Registro!$F118))),({1,2,3,4,5,6,7,8,9,10,11,12,13,14,15,16,17,18,19,20,21,22,23,24,25,26,27,28,29,30}-1)*LEN(Registro!$F118)+1,LEN(Registro!$F118))),FIND("x",TRIM(MID(SUBSTITUTE(SUBSTITUTE(SUBSTITUTE(SUBSTITUTE(SUBSTITUTE(LOWER(Registro!$F118)," ",""),CHAR(10),"|"),";","|"),"+","|"),"|",REPT(" ",LEN(Registro!$F118))),({1,2,3,4,5,6,7,8,9,10,11,12,13,14,15,16,17,18,19,20,21,22,23,24,25,26,27,28,29,30}-1)*LEN(Registro!$F118)+1,LEN(Registro!$F118)))&amp;"x")-1)),--("0"&amp;MID(TRIM(MID(SUBSTITUTE(SUBSTITUTE(SUBSTITUTE(SUBSTITUTE(SUBSTITUTE(LOWER(Registro!$F118)," ",""),CHAR(10),"|"),";","|"),"+","|"),"|",REPT(" ",LEN(Registro!$F118))),({1,2,3,4,5,6,7,8,9,10,11,12,13,14,15,16,17,18,19,20,21,22,23,24,25,26,27,28,29,30}-1)*LEN(Registro!$F118)+1,LEN(Registro!$F118))),FIND("x",TRIM(MID(SUBSTITUTE(SUBSTITUTE(SUBSTITUTE(SUBSTITUTE(SUBSTITUTE(LOWER(Registro!$F118)," ",""),CHAR(10),"|"),";","|"),"+","|"),"|",REPT(" ",LEN(Registro!$F118))),({1,2,3,4,5,6,7,8,9,10,11,12,13,14,15,16,17,18,19,20,21,22,23,24,25,26,27,28,29,30}-1)*LEN(Registro!$F118)+1,LEN(Registro!$F118)))&amp;"x")+1,20))),"Revisar formato")))</f>
        <v/>
      </c>
      <c r="H118" s="21" t="str">
        <f>IF(AND(Registro!$E118="",Registro!$F118=""),"",IF(NOT(AND(ISNUMBER(G118),ISNUMBER(Registro!$G118))),"",IF(G118&lt;Registro!$G118,"FALTA BOLETOS",IF(G118=Registro!$G118,"CONFORME","DIFERENCIA"))))</f>
        <v/>
      </c>
      <c r="I118" s="24" t="str">
        <f>IF(Registro!$H118="","",IFERROR(SUMPRODUCT(--("0"&amp;TRIM(RIGHT(SUBSTITUTE(TRIM(MID(SUBSTITUTE(SUBSTITUTE(Registro!$H118,";",CHAR(10)),CHAR(10),REPT(" ",LEN(Registro!$H118))),({1,2,3,4,5,6,7,8,9,10,11,12,13,14,15,16,17,18,19,20,21,22,23,24,25,26,27,28,29,30}-1)*LEN(Registro!$H118)+1,LEN(Registro!$H118)))," ",REPT(" ",50)),50)))),"Revisar formato"))</f>
        <v/>
      </c>
      <c r="J118" s="24" t="str">
        <f>IF(Registro!$I118="","",IFERROR(SUMPRODUCT(--("0"&amp;TRIM(RIGHT(SUBSTITUTE(TRIM(MID(SUBSTITUTE(SUBSTITUTE(Registro!$I118,";",CHAR(10)),CHAR(10),REPT(" ",LEN(Registro!$I118))),({1,2,3,4,5,6,7,8,9,10,11,12,13,14,15,16,17,18,19,20,21,22,23,24,25,26,27,28,29,30}-1)*LEN(Registro!$I118)+1,LEN(Registro!$I118)))," ",REPT(" ",50)),50)))),"Revisar formato"))</f>
        <v/>
      </c>
      <c r="K118" s="24" t="str">
        <f>IF(AND(Registro!$G118="",Registro!$H118=""),"",IF(AND(ISTEXT(I118),I118&lt;&gt;""),"Revisar formato",N(Registro!$G118)-N(I118)))</f>
        <v/>
      </c>
      <c r="L118" s="24" t="str">
        <f t="shared" si="3"/>
        <v/>
      </c>
      <c r="M118" s="36" t="str">
        <f>IF(AND(A118=Consulta!$B$3,C118=Consulta!$H$3),B118*10000+ROW(),"")</f>
        <v/>
      </c>
    </row>
    <row r="119" spans="1:13" x14ac:dyDescent="0.25">
      <c r="A119" s="21" t="str">
        <f>IF(Registro!$A119="","",Registro!$A119)</f>
        <v/>
      </c>
      <c r="B119" s="20" t="str">
        <f>IF(Registro!$B119="","",Registro!$B119)</f>
        <v/>
      </c>
      <c r="C119" s="35" t="str">
        <f t="shared" si="2"/>
        <v/>
      </c>
      <c r="D119" s="23" t="str">
        <f>IF(Registro!$E119="","",IF(ISERROR(FIND("x",LOWER(Registro!$E119))),"-",IFERROR(SUMPRODUCT(--("0"&amp;LEFT(TRIM(MID(SUBSTITUTE(SUBSTITUTE(SUBSTITUTE(SUBSTITUTE(SUBSTITUTE(LOWER(Registro!$E119),"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",LEN(Registro!$E119))),({1,2,3,4,5,6,7,8,9,10,11,12,13,14,15,16,17,18,19,20,21,22,23,24,25,26,27,28,29,30}-1)*LEN(Registro!$E119)+1,LEN(Registro!$E119))),FIND("x",TRIM(MID(SUBSTITUTE(SUBSTITUTE(SUBSTITUTE(SUBSTITUTE(SUBSTITUTE(LOWER(Registro!$E119),"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",LEN(Registro!$E119))),({1,2,3,4,5,6,7,8,9,10,11,12,13,14,15,16,17,18,19,20,21,22,23,24,25,26,27,28,29,30}-1)*LEN(Registro!$E119)+1,LEN(Registro!$E119)))&amp;"x")-1))),"Revisar formato")))</f>
        <v/>
      </c>
      <c r="E119" s="24" t="str">
        <f>IF(Registro!$E119="","",IF(ISERROR(FIND("x",LOWER(Registro!$E119))),"-",IFERROR(SUMPRODUCT(--("0"&amp;LEFT(TRIM(MID(SUBSTITUTE(SUBSTITUTE(SUBSTITUTE(SUBSTITUTE(SUBSTITUTE(LOWER(Registro!$E119),"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",LEN(Registro!$E119))),({1,2,3,4,5,6,7,8,9,10,11,12,13,14,15,16,17,18,19,20,21,22,23,24,25,26,27,28,29,30}-1)*LEN(Registro!$E119)+1,LEN(Registro!$E119))),FIND("x",TRIM(MID(SUBSTITUTE(SUBSTITUTE(SUBSTITUTE(SUBSTITUTE(SUBSTITUTE(LOWER(Registro!$E119),"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",LEN(Registro!$E119))),({1,2,3,4,5,6,7,8,9,10,11,12,13,14,15,16,17,18,19,20,21,22,23,24,25,26,27,28,29,30}-1)*LEN(Registro!$E119)+1,LEN(Registro!$E119)))&amp;"x")-1)),--("0"&amp;MID(TRIM(MID(SUBSTITUTE(SUBSTITUTE(SUBSTITUTE(SUBSTITUTE(SUBSTITUTE(LOWER(Registro!$E119),"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",LEN(Registro!$E119))),({1,2,3,4,5,6,7,8,9,10,11,12,13,14,15,16,17,18,19,20,21,22,23,24,25,26,27,28,29,30}-1)*LEN(Registro!$E119)+1,LEN(Registro!$E119))),FIND("x",TRIM(MID(SUBSTITUTE(SUBSTITUTE(SUBSTITUTE(SUBSTITUTE(SUBSTITUTE(LOWER(Registro!$E119),"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",LEN(Registro!$E119))),({1,2,3,4,5,6,7,8,9,10,11,12,13,14,15,16,17,18,19,20,21,22,23,24,25,26,27,28,29,30}-1)*LEN(Registro!$E119)+1,LEN(Registro!$E119)))&amp;"x")+1,20))),"Revisar formato")))</f>
        <v/>
      </c>
      <c r="F119" s="23" t="str">
        <f>IF(Registro!$F119="","",IF(ISERROR(FIND("x",LOWER(Registro!$F119))),"-",IFERROR(SUMPRODUCT(--("0"&amp;LEFT(TRIM(MID(SUBSTITUTE(SUBSTITUTE(SUBSTITUTE(SUBSTITUTE(SUBSTITUTE(LOWER(Registro!$F119)," ",""),CHAR(10),"|"),";","|"),"+","|"),"|",REPT(" ",LEN(Registro!$F119))),({1,2,3,4,5,6,7,8,9,10,11,12,13,14,15,16,17,18,19,20,21,22,23,24,25,26,27,28,29,30}-1)*LEN(Registro!$F119)+1,LEN(Registro!$F119))),FIND("x",TRIM(MID(SUBSTITUTE(SUBSTITUTE(SUBSTITUTE(SUBSTITUTE(SUBSTITUTE(LOWER(Registro!$F119)," ",""),CHAR(10),"|"),";","|"),"+","|"),"|",REPT(" ",LEN(Registro!$F119))),({1,2,3,4,5,6,7,8,9,10,11,12,13,14,15,16,17,18,19,20,21,22,23,24,25,26,27,28,29,30}-1)*LEN(Registro!$F119)+1,LEN(Registro!$F119)))&amp;"x")-1))),"Revisar formato")))</f>
        <v/>
      </c>
      <c r="G119" s="24" t="str">
        <f>IF(Registro!$F119="","",IF(ISERROR(FIND("x",LOWER(Registro!$F119))),N(Registro!$G119),IFERROR(SUMPRODUCT(--("0"&amp;LEFT(TRIM(MID(SUBSTITUTE(SUBSTITUTE(SUBSTITUTE(SUBSTITUTE(SUBSTITUTE(LOWER(Registro!$F119)," ",""),CHAR(10),"|"),";","|"),"+","|"),"|",REPT(" ",LEN(Registro!$F119))),({1,2,3,4,5,6,7,8,9,10,11,12,13,14,15,16,17,18,19,20,21,22,23,24,25,26,27,28,29,30}-1)*LEN(Registro!$F119)+1,LEN(Registro!$F119))),FIND("x",TRIM(MID(SUBSTITUTE(SUBSTITUTE(SUBSTITUTE(SUBSTITUTE(SUBSTITUTE(LOWER(Registro!$F119)," ",""),CHAR(10),"|"),";","|"),"+","|"),"|",REPT(" ",LEN(Registro!$F119))),({1,2,3,4,5,6,7,8,9,10,11,12,13,14,15,16,17,18,19,20,21,22,23,24,25,26,27,28,29,30}-1)*LEN(Registro!$F119)+1,LEN(Registro!$F119)))&amp;"x")-1)),--("0"&amp;MID(TRIM(MID(SUBSTITUTE(SUBSTITUTE(SUBSTITUTE(SUBSTITUTE(SUBSTITUTE(LOWER(Registro!$F119)," ",""),CHAR(10),"|"),";","|"),"+","|"),"|",REPT(" ",LEN(Registro!$F119))),({1,2,3,4,5,6,7,8,9,10,11,12,13,14,15,16,17,18,19,20,21,22,23,24,25,26,27,28,29,30}-1)*LEN(Registro!$F119)+1,LEN(Registro!$F119))),FIND("x",TRIM(MID(SUBSTITUTE(SUBSTITUTE(SUBSTITUTE(SUBSTITUTE(SUBSTITUTE(LOWER(Registro!$F119)," ",""),CHAR(10),"|"),";","|"),"+","|"),"|",REPT(" ",LEN(Registro!$F119))),({1,2,3,4,5,6,7,8,9,10,11,12,13,14,15,16,17,18,19,20,21,22,23,24,25,26,27,28,29,30}-1)*LEN(Registro!$F119)+1,LEN(Registro!$F119)))&amp;"x")+1,20))),"Revisar formato")))</f>
        <v/>
      </c>
      <c r="H119" s="21" t="str">
        <f>IF(AND(Registro!$E119="",Registro!$F119=""),"",IF(NOT(AND(ISNUMBER(G119),ISNUMBER(Registro!$G119))),"",IF(G119&lt;Registro!$G119,"FALTA BOLETOS",IF(G119=Registro!$G119,"CONFORME","DIFERENCIA"))))</f>
        <v/>
      </c>
      <c r="I119" s="24" t="str">
        <f>IF(Registro!$H119="","",IFERROR(SUMPRODUCT(--("0"&amp;TRIM(RIGHT(SUBSTITUTE(TRIM(MID(SUBSTITUTE(SUBSTITUTE(Registro!$H119,";",CHAR(10)),CHAR(10),REPT(" ",LEN(Registro!$H119))),({1,2,3,4,5,6,7,8,9,10,11,12,13,14,15,16,17,18,19,20,21,22,23,24,25,26,27,28,29,30}-1)*LEN(Registro!$H119)+1,LEN(Registro!$H119)))," ",REPT(" ",50)),50)))),"Revisar formato"))</f>
        <v/>
      </c>
      <c r="J119" s="24" t="str">
        <f>IF(Registro!$I119="","",IFERROR(SUMPRODUCT(--("0"&amp;TRIM(RIGHT(SUBSTITUTE(TRIM(MID(SUBSTITUTE(SUBSTITUTE(Registro!$I119,";",CHAR(10)),CHAR(10),REPT(" ",LEN(Registro!$I119))),({1,2,3,4,5,6,7,8,9,10,11,12,13,14,15,16,17,18,19,20,21,22,23,24,25,26,27,28,29,30}-1)*LEN(Registro!$I119)+1,LEN(Registro!$I119)))," ",REPT(" ",50)),50)))),"Revisar formato"))</f>
        <v/>
      </c>
      <c r="K119" s="24" t="str">
        <f>IF(AND(Registro!$G119="",Registro!$H119=""),"",IF(AND(ISTEXT(I119),I119&lt;&gt;""),"Revisar formato",N(Registro!$G119)-N(I119)))</f>
        <v/>
      </c>
      <c r="L119" s="24" t="str">
        <f t="shared" si="3"/>
        <v/>
      </c>
      <c r="M119" s="36" t="str">
        <f>IF(AND(A119=Consulta!$B$3,C119=Consulta!$H$3),B119*10000+ROW(),"")</f>
        <v/>
      </c>
    </row>
    <row r="120" spans="1:13" x14ac:dyDescent="0.25">
      <c r="A120" s="21" t="str">
        <f>IF(Registro!$A120="","",Registro!$A120)</f>
        <v/>
      </c>
      <c r="B120" s="20" t="str">
        <f>IF(Registro!$B120="","",Registro!$B120)</f>
        <v/>
      </c>
      <c r="C120" s="35" t="str">
        <f t="shared" si="2"/>
        <v/>
      </c>
      <c r="D120" s="23" t="str">
        <f>IF(Registro!$E120="","",IF(ISERROR(FIND("x",LOWER(Registro!$E120))),"-",IFERROR(SUMPRODUCT(--("0"&amp;LEFT(TRIM(MID(SUBSTITUTE(SUBSTITUTE(SUBSTITUTE(SUBSTITUTE(SUBSTITUTE(LOWER(Registro!$E120),"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",LEN(Registro!$E120))),({1,2,3,4,5,6,7,8,9,10,11,12,13,14,15,16,17,18,19,20,21,22,23,24,25,26,27,28,29,30}-1)*LEN(Registro!$E120)+1,LEN(Registro!$E120))),FIND("x",TRIM(MID(SUBSTITUTE(SUBSTITUTE(SUBSTITUTE(SUBSTITUTE(SUBSTITUTE(LOWER(Registro!$E120),"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",LEN(Registro!$E120))),({1,2,3,4,5,6,7,8,9,10,11,12,13,14,15,16,17,18,19,20,21,22,23,24,25,26,27,28,29,30}-1)*LEN(Registro!$E120)+1,LEN(Registro!$E120)))&amp;"x")-1))),"Revisar formato")))</f>
        <v/>
      </c>
      <c r="E120" s="24" t="str">
        <f>IF(Registro!$E120="","",IF(ISERROR(FIND("x",LOWER(Registro!$E120))),"-",IFERROR(SUMPRODUCT(--("0"&amp;LEFT(TRIM(MID(SUBSTITUTE(SUBSTITUTE(SUBSTITUTE(SUBSTITUTE(SUBSTITUTE(LOWER(Registro!$E120),"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",LEN(Registro!$E120))),({1,2,3,4,5,6,7,8,9,10,11,12,13,14,15,16,17,18,19,20,21,22,23,24,25,26,27,28,29,30}-1)*LEN(Registro!$E120)+1,LEN(Registro!$E120))),FIND("x",TRIM(MID(SUBSTITUTE(SUBSTITUTE(SUBSTITUTE(SUBSTITUTE(SUBSTITUTE(LOWER(Registro!$E120),"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",LEN(Registro!$E120))),({1,2,3,4,5,6,7,8,9,10,11,12,13,14,15,16,17,18,19,20,21,22,23,24,25,26,27,28,29,30}-1)*LEN(Registro!$E120)+1,LEN(Registro!$E120)))&amp;"x")-1)),--("0"&amp;MID(TRIM(MID(SUBSTITUTE(SUBSTITUTE(SUBSTITUTE(SUBSTITUTE(SUBSTITUTE(LOWER(Registro!$E120),"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",LEN(Registro!$E120))),({1,2,3,4,5,6,7,8,9,10,11,12,13,14,15,16,17,18,19,20,21,22,23,24,25,26,27,28,29,30}-1)*LEN(Registro!$E120)+1,LEN(Registro!$E120))),FIND("x",TRIM(MID(SUBSTITUTE(SUBSTITUTE(SUBSTITUTE(SUBSTITUTE(SUBSTITUTE(LOWER(Registro!$E120),"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",LEN(Registro!$E120))),({1,2,3,4,5,6,7,8,9,10,11,12,13,14,15,16,17,18,19,20,21,22,23,24,25,26,27,28,29,30}-1)*LEN(Registro!$E120)+1,LEN(Registro!$E120)))&amp;"x")+1,20))),"Revisar formato")))</f>
        <v/>
      </c>
      <c r="F120" s="23" t="str">
        <f>IF(Registro!$F120="","",IF(ISERROR(FIND("x",LOWER(Registro!$F120))),"-",IFERROR(SUMPRODUCT(--("0"&amp;LEFT(TRIM(MID(SUBSTITUTE(SUBSTITUTE(SUBSTITUTE(SUBSTITUTE(SUBSTITUTE(LOWER(Registro!$F120)," ",""),CHAR(10),"|"),";","|"),"+","|"),"|",REPT(" ",LEN(Registro!$F120))),({1,2,3,4,5,6,7,8,9,10,11,12,13,14,15,16,17,18,19,20,21,22,23,24,25,26,27,28,29,30}-1)*LEN(Registro!$F120)+1,LEN(Registro!$F120))),FIND("x",TRIM(MID(SUBSTITUTE(SUBSTITUTE(SUBSTITUTE(SUBSTITUTE(SUBSTITUTE(LOWER(Registro!$F120)," ",""),CHAR(10),"|"),";","|"),"+","|"),"|",REPT(" ",LEN(Registro!$F120))),({1,2,3,4,5,6,7,8,9,10,11,12,13,14,15,16,17,18,19,20,21,22,23,24,25,26,27,28,29,30}-1)*LEN(Registro!$F120)+1,LEN(Registro!$F120)))&amp;"x")-1))),"Revisar formato")))</f>
        <v/>
      </c>
      <c r="G120" s="24" t="str">
        <f>IF(Registro!$F120="","",IF(ISERROR(FIND("x",LOWER(Registro!$F120))),N(Registro!$G120),IFERROR(SUMPRODUCT(--("0"&amp;LEFT(TRIM(MID(SUBSTITUTE(SUBSTITUTE(SUBSTITUTE(SUBSTITUTE(SUBSTITUTE(LOWER(Registro!$F120)," ",""),CHAR(10),"|"),";","|"),"+","|"),"|",REPT(" ",LEN(Registro!$F120))),({1,2,3,4,5,6,7,8,9,10,11,12,13,14,15,16,17,18,19,20,21,22,23,24,25,26,27,28,29,30}-1)*LEN(Registro!$F120)+1,LEN(Registro!$F120))),FIND("x",TRIM(MID(SUBSTITUTE(SUBSTITUTE(SUBSTITUTE(SUBSTITUTE(SUBSTITUTE(LOWER(Registro!$F120)," ",""),CHAR(10),"|"),";","|"),"+","|"),"|",REPT(" ",LEN(Registro!$F120))),({1,2,3,4,5,6,7,8,9,10,11,12,13,14,15,16,17,18,19,20,21,22,23,24,25,26,27,28,29,30}-1)*LEN(Registro!$F120)+1,LEN(Registro!$F120)))&amp;"x")-1)),--("0"&amp;MID(TRIM(MID(SUBSTITUTE(SUBSTITUTE(SUBSTITUTE(SUBSTITUTE(SUBSTITUTE(LOWER(Registro!$F120)," ",""),CHAR(10),"|"),";","|"),"+","|"),"|",REPT(" ",LEN(Registro!$F120))),({1,2,3,4,5,6,7,8,9,10,11,12,13,14,15,16,17,18,19,20,21,22,23,24,25,26,27,28,29,30}-1)*LEN(Registro!$F120)+1,LEN(Registro!$F120))),FIND("x",TRIM(MID(SUBSTITUTE(SUBSTITUTE(SUBSTITUTE(SUBSTITUTE(SUBSTITUTE(LOWER(Registro!$F120)," ",""),CHAR(10),"|"),";","|"),"+","|"),"|",REPT(" ",LEN(Registro!$F120))),({1,2,3,4,5,6,7,8,9,10,11,12,13,14,15,16,17,18,19,20,21,22,23,24,25,26,27,28,29,30}-1)*LEN(Registro!$F120)+1,LEN(Registro!$F120)))&amp;"x")+1,20))),"Revisar formato")))</f>
        <v/>
      </c>
      <c r="H120" s="21" t="str">
        <f>IF(AND(Registro!$E120="",Registro!$F120=""),"",IF(NOT(AND(ISNUMBER(G120),ISNUMBER(Registro!$G120))),"",IF(G120&lt;Registro!$G120,"FALTA BOLETOS",IF(G120=Registro!$G120,"CONFORME","DIFERENCIA"))))</f>
        <v/>
      </c>
      <c r="I120" s="24" t="str">
        <f>IF(Registro!$H120="","",IFERROR(SUMPRODUCT(--("0"&amp;TRIM(RIGHT(SUBSTITUTE(TRIM(MID(SUBSTITUTE(SUBSTITUTE(Registro!$H120,";",CHAR(10)),CHAR(10),REPT(" ",LEN(Registro!$H120))),({1,2,3,4,5,6,7,8,9,10,11,12,13,14,15,16,17,18,19,20,21,22,23,24,25,26,27,28,29,30}-1)*LEN(Registro!$H120)+1,LEN(Registro!$H120)))," ",REPT(" ",50)),50)))),"Revisar formato"))</f>
        <v/>
      </c>
      <c r="J120" s="24" t="str">
        <f>IF(Registro!$I120="","",IFERROR(SUMPRODUCT(--("0"&amp;TRIM(RIGHT(SUBSTITUTE(TRIM(MID(SUBSTITUTE(SUBSTITUTE(Registro!$I120,";",CHAR(10)),CHAR(10),REPT(" ",LEN(Registro!$I120))),({1,2,3,4,5,6,7,8,9,10,11,12,13,14,15,16,17,18,19,20,21,22,23,24,25,26,27,28,29,30}-1)*LEN(Registro!$I120)+1,LEN(Registro!$I120)))," ",REPT(" ",50)),50)))),"Revisar formato"))</f>
        <v/>
      </c>
      <c r="K120" s="24" t="str">
        <f>IF(AND(Registro!$G120="",Registro!$H120=""),"",IF(AND(ISTEXT(I120),I120&lt;&gt;""),"Revisar formato",N(Registro!$G120)-N(I120)))</f>
        <v/>
      </c>
      <c r="L120" s="24" t="str">
        <f t="shared" si="3"/>
        <v/>
      </c>
      <c r="M120" s="36" t="str">
        <f>IF(AND(A120=Consulta!$B$3,C120=Consulta!$H$3),B120*10000+ROW(),"")</f>
        <v/>
      </c>
    </row>
    <row r="121" spans="1:13" x14ac:dyDescent="0.25">
      <c r="A121" s="21" t="str">
        <f>IF(Registro!$A121="","",Registro!$A121)</f>
        <v/>
      </c>
      <c r="B121" s="20" t="str">
        <f>IF(Registro!$B121="","",Registro!$B121)</f>
        <v/>
      </c>
      <c r="C121" s="35" t="str">
        <f t="shared" si="2"/>
        <v/>
      </c>
      <c r="D121" s="23" t="str">
        <f>IF(Registro!$E121="","",IF(ISERROR(FIND("x",LOWER(Registro!$E121))),"-",IFERROR(SUMPRODUCT(--("0"&amp;LEFT(TRIM(MID(SUBSTITUTE(SUBSTITUTE(SUBSTITUTE(SUBSTITUTE(SUBSTITUTE(LOWER(Registro!$E121),"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",LEN(Registro!$E121))),({1,2,3,4,5,6,7,8,9,10,11,12,13,14,15,16,17,18,19,20,21,22,23,24,25,26,27,28,29,30}-1)*LEN(Registro!$E121)+1,LEN(Registro!$E121))),FIND("x",TRIM(MID(SUBSTITUTE(SUBSTITUTE(SUBSTITUTE(SUBSTITUTE(SUBSTITUTE(LOWER(Registro!$E121),"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",LEN(Registro!$E121))),({1,2,3,4,5,6,7,8,9,10,11,12,13,14,15,16,17,18,19,20,21,22,23,24,25,26,27,28,29,30}-1)*LEN(Registro!$E121)+1,LEN(Registro!$E121)))&amp;"x")-1))),"Revisar formato")))</f>
        <v/>
      </c>
      <c r="E121" s="24" t="str">
        <f>IF(Registro!$E121="","",IF(ISERROR(FIND("x",LOWER(Registro!$E121))),"-",IFERROR(SUMPRODUCT(--("0"&amp;LEFT(TRIM(MID(SUBSTITUTE(SUBSTITUTE(SUBSTITUTE(SUBSTITUTE(SUBSTITUTE(LOWER(Registro!$E121),"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",LEN(Registro!$E121))),({1,2,3,4,5,6,7,8,9,10,11,12,13,14,15,16,17,18,19,20,21,22,23,24,25,26,27,28,29,30}-1)*LEN(Registro!$E121)+1,LEN(Registro!$E121))),FIND("x",TRIM(MID(SUBSTITUTE(SUBSTITUTE(SUBSTITUTE(SUBSTITUTE(SUBSTITUTE(LOWER(Registro!$E121),"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",LEN(Registro!$E121))),({1,2,3,4,5,6,7,8,9,10,11,12,13,14,15,16,17,18,19,20,21,22,23,24,25,26,27,28,29,30}-1)*LEN(Registro!$E121)+1,LEN(Registro!$E121)))&amp;"x")-1)),--("0"&amp;MID(TRIM(MID(SUBSTITUTE(SUBSTITUTE(SUBSTITUTE(SUBSTITUTE(SUBSTITUTE(LOWER(Registro!$E121),"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",LEN(Registro!$E121))),({1,2,3,4,5,6,7,8,9,10,11,12,13,14,15,16,17,18,19,20,21,22,23,24,25,26,27,28,29,30}-1)*LEN(Registro!$E121)+1,LEN(Registro!$E121))),FIND("x",TRIM(MID(SUBSTITUTE(SUBSTITUTE(SUBSTITUTE(SUBSTITUTE(SUBSTITUTE(LOWER(Registro!$E121),"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",LEN(Registro!$E121))),({1,2,3,4,5,6,7,8,9,10,11,12,13,14,15,16,17,18,19,20,21,22,23,24,25,26,27,28,29,30}-1)*LEN(Registro!$E121)+1,LEN(Registro!$E121)))&amp;"x")+1,20))),"Revisar formato")))</f>
        <v/>
      </c>
      <c r="F121" s="23" t="str">
        <f>IF(Registro!$F121="","",IF(ISERROR(FIND("x",LOWER(Registro!$F121))),"-",IFERROR(SUMPRODUCT(--("0"&amp;LEFT(TRIM(MID(SUBSTITUTE(SUBSTITUTE(SUBSTITUTE(SUBSTITUTE(SUBSTITUTE(LOWER(Registro!$F121)," ",""),CHAR(10),"|"),";","|"),"+","|"),"|",REPT(" ",LEN(Registro!$F121))),({1,2,3,4,5,6,7,8,9,10,11,12,13,14,15,16,17,18,19,20,21,22,23,24,25,26,27,28,29,30}-1)*LEN(Registro!$F121)+1,LEN(Registro!$F121))),FIND("x",TRIM(MID(SUBSTITUTE(SUBSTITUTE(SUBSTITUTE(SUBSTITUTE(SUBSTITUTE(LOWER(Registro!$F121)," ",""),CHAR(10),"|"),";","|"),"+","|"),"|",REPT(" ",LEN(Registro!$F121))),({1,2,3,4,5,6,7,8,9,10,11,12,13,14,15,16,17,18,19,20,21,22,23,24,25,26,27,28,29,30}-1)*LEN(Registro!$F121)+1,LEN(Registro!$F121)))&amp;"x")-1))),"Revisar formato")))</f>
        <v/>
      </c>
      <c r="G121" s="24" t="str">
        <f>IF(Registro!$F121="","",IF(ISERROR(FIND("x",LOWER(Registro!$F121))),N(Registro!$G121),IFERROR(SUMPRODUCT(--("0"&amp;LEFT(TRIM(MID(SUBSTITUTE(SUBSTITUTE(SUBSTITUTE(SUBSTITUTE(SUBSTITUTE(LOWER(Registro!$F121)," ",""),CHAR(10),"|"),";","|"),"+","|"),"|",REPT(" ",LEN(Registro!$F121))),({1,2,3,4,5,6,7,8,9,10,11,12,13,14,15,16,17,18,19,20,21,22,23,24,25,26,27,28,29,30}-1)*LEN(Registro!$F121)+1,LEN(Registro!$F121))),FIND("x",TRIM(MID(SUBSTITUTE(SUBSTITUTE(SUBSTITUTE(SUBSTITUTE(SUBSTITUTE(LOWER(Registro!$F121)," ",""),CHAR(10),"|"),";","|"),"+","|"),"|",REPT(" ",LEN(Registro!$F121))),({1,2,3,4,5,6,7,8,9,10,11,12,13,14,15,16,17,18,19,20,21,22,23,24,25,26,27,28,29,30}-1)*LEN(Registro!$F121)+1,LEN(Registro!$F121)))&amp;"x")-1)),--("0"&amp;MID(TRIM(MID(SUBSTITUTE(SUBSTITUTE(SUBSTITUTE(SUBSTITUTE(SUBSTITUTE(LOWER(Registro!$F121)," ",""),CHAR(10),"|"),";","|"),"+","|"),"|",REPT(" ",LEN(Registro!$F121))),({1,2,3,4,5,6,7,8,9,10,11,12,13,14,15,16,17,18,19,20,21,22,23,24,25,26,27,28,29,30}-1)*LEN(Registro!$F121)+1,LEN(Registro!$F121))),FIND("x",TRIM(MID(SUBSTITUTE(SUBSTITUTE(SUBSTITUTE(SUBSTITUTE(SUBSTITUTE(LOWER(Registro!$F121)," ",""),CHAR(10),"|"),";","|"),"+","|"),"|",REPT(" ",LEN(Registro!$F121))),({1,2,3,4,5,6,7,8,9,10,11,12,13,14,15,16,17,18,19,20,21,22,23,24,25,26,27,28,29,30}-1)*LEN(Registro!$F121)+1,LEN(Registro!$F121)))&amp;"x")+1,20))),"Revisar formato")))</f>
        <v/>
      </c>
      <c r="H121" s="21" t="str">
        <f>IF(AND(Registro!$E121="",Registro!$F121=""),"",IF(NOT(AND(ISNUMBER(G121),ISNUMBER(Registro!$G121))),"",IF(G121&lt;Registro!$G121,"FALTA BOLETOS",IF(G121=Registro!$G121,"CONFORME","DIFERENCIA"))))</f>
        <v/>
      </c>
      <c r="I121" s="24" t="str">
        <f>IF(Registro!$H121="","",IFERROR(SUMPRODUCT(--("0"&amp;TRIM(RIGHT(SUBSTITUTE(TRIM(MID(SUBSTITUTE(SUBSTITUTE(Registro!$H121,";",CHAR(10)),CHAR(10),REPT(" ",LEN(Registro!$H121))),({1,2,3,4,5,6,7,8,9,10,11,12,13,14,15,16,17,18,19,20,21,22,23,24,25,26,27,28,29,30}-1)*LEN(Registro!$H121)+1,LEN(Registro!$H121)))," ",REPT(" ",50)),50)))),"Revisar formato"))</f>
        <v/>
      </c>
      <c r="J121" s="24" t="str">
        <f>IF(Registro!$I121="","",IFERROR(SUMPRODUCT(--("0"&amp;TRIM(RIGHT(SUBSTITUTE(TRIM(MID(SUBSTITUTE(SUBSTITUTE(Registro!$I121,";",CHAR(10)),CHAR(10),REPT(" ",LEN(Registro!$I121))),({1,2,3,4,5,6,7,8,9,10,11,12,13,14,15,16,17,18,19,20,21,22,23,24,25,26,27,28,29,30}-1)*LEN(Registro!$I121)+1,LEN(Registro!$I121)))," ",REPT(" ",50)),50)))),"Revisar formato"))</f>
        <v/>
      </c>
      <c r="K121" s="24" t="str">
        <f>IF(AND(Registro!$G121="",Registro!$H121=""),"",IF(AND(ISTEXT(I121),I121&lt;&gt;""),"Revisar formato",N(Registro!$G121)-N(I121)))</f>
        <v/>
      </c>
      <c r="L121" s="24" t="str">
        <f t="shared" si="3"/>
        <v/>
      </c>
      <c r="M121" s="36" t="str">
        <f>IF(AND(A121=Consulta!$B$3,C121=Consulta!$H$3),B121*10000+ROW(),"")</f>
        <v/>
      </c>
    </row>
    <row r="122" spans="1:13" x14ac:dyDescent="0.25">
      <c r="A122" s="21" t="str">
        <f>IF(Registro!$A122="","",Registro!$A122)</f>
        <v/>
      </c>
      <c r="B122" s="20" t="str">
        <f>IF(Registro!$B122="","",Registro!$B122)</f>
        <v/>
      </c>
      <c r="C122" s="35" t="str">
        <f t="shared" si="2"/>
        <v/>
      </c>
      <c r="D122" s="23" t="str">
        <f>IF(Registro!$E122="","",IF(ISERROR(FIND("x",LOWER(Registro!$E122))),"-",IFERROR(SUMPRODUCT(--("0"&amp;LEFT(TRIM(MID(SUBSTITUTE(SUBSTITUTE(SUBSTITUTE(SUBSTITUTE(SUBSTITUTE(LOWER(Registro!$E122),"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",LEN(Registro!$E122))),({1,2,3,4,5,6,7,8,9,10,11,12,13,14,15,16,17,18,19,20,21,22,23,24,25,26,27,28,29,30}-1)*LEN(Registro!$E122)+1,LEN(Registro!$E122))),FIND("x",TRIM(MID(SUBSTITUTE(SUBSTITUTE(SUBSTITUTE(SUBSTITUTE(SUBSTITUTE(LOWER(Registro!$E122),"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",LEN(Registro!$E122))),({1,2,3,4,5,6,7,8,9,10,11,12,13,14,15,16,17,18,19,20,21,22,23,24,25,26,27,28,29,30}-1)*LEN(Registro!$E122)+1,LEN(Registro!$E122)))&amp;"x")-1))),"Revisar formato")))</f>
        <v/>
      </c>
      <c r="E122" s="24" t="str">
        <f>IF(Registro!$E122="","",IF(ISERROR(FIND("x",LOWER(Registro!$E122))),"-",IFERROR(SUMPRODUCT(--("0"&amp;LEFT(TRIM(MID(SUBSTITUTE(SUBSTITUTE(SUBSTITUTE(SUBSTITUTE(SUBSTITUTE(LOWER(Registro!$E122),"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",LEN(Registro!$E122))),({1,2,3,4,5,6,7,8,9,10,11,12,13,14,15,16,17,18,19,20,21,22,23,24,25,26,27,28,29,30}-1)*LEN(Registro!$E122)+1,LEN(Registro!$E122))),FIND("x",TRIM(MID(SUBSTITUTE(SUBSTITUTE(SUBSTITUTE(SUBSTITUTE(SUBSTITUTE(LOWER(Registro!$E122),"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",LEN(Registro!$E122))),({1,2,3,4,5,6,7,8,9,10,11,12,13,14,15,16,17,18,19,20,21,22,23,24,25,26,27,28,29,30}-1)*LEN(Registro!$E122)+1,LEN(Registro!$E122)))&amp;"x")-1)),--("0"&amp;MID(TRIM(MID(SUBSTITUTE(SUBSTITUTE(SUBSTITUTE(SUBSTITUTE(SUBSTITUTE(LOWER(Registro!$E122),"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",LEN(Registro!$E122))),({1,2,3,4,5,6,7,8,9,10,11,12,13,14,15,16,17,18,19,20,21,22,23,24,25,26,27,28,29,30}-1)*LEN(Registro!$E122)+1,LEN(Registro!$E122))),FIND("x",TRIM(MID(SUBSTITUTE(SUBSTITUTE(SUBSTITUTE(SUBSTITUTE(SUBSTITUTE(LOWER(Registro!$E122),"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",LEN(Registro!$E122))),({1,2,3,4,5,6,7,8,9,10,11,12,13,14,15,16,17,18,19,20,21,22,23,24,25,26,27,28,29,30}-1)*LEN(Registro!$E122)+1,LEN(Registro!$E122)))&amp;"x")+1,20))),"Revisar formato")))</f>
        <v/>
      </c>
      <c r="F122" s="23" t="str">
        <f>IF(Registro!$F122="","",IF(ISERROR(FIND("x",LOWER(Registro!$F122))),"-",IFERROR(SUMPRODUCT(--("0"&amp;LEFT(TRIM(MID(SUBSTITUTE(SUBSTITUTE(SUBSTITUTE(SUBSTITUTE(SUBSTITUTE(LOWER(Registro!$F122)," ",""),CHAR(10),"|"),";","|"),"+","|"),"|",REPT(" ",LEN(Registro!$F122))),({1,2,3,4,5,6,7,8,9,10,11,12,13,14,15,16,17,18,19,20,21,22,23,24,25,26,27,28,29,30}-1)*LEN(Registro!$F122)+1,LEN(Registro!$F122))),FIND("x",TRIM(MID(SUBSTITUTE(SUBSTITUTE(SUBSTITUTE(SUBSTITUTE(SUBSTITUTE(LOWER(Registro!$F122)," ",""),CHAR(10),"|"),";","|"),"+","|"),"|",REPT(" ",LEN(Registro!$F122))),({1,2,3,4,5,6,7,8,9,10,11,12,13,14,15,16,17,18,19,20,21,22,23,24,25,26,27,28,29,30}-1)*LEN(Registro!$F122)+1,LEN(Registro!$F122)))&amp;"x")-1))),"Revisar formato")))</f>
        <v/>
      </c>
      <c r="G122" s="24" t="str">
        <f>IF(Registro!$F122="","",IF(ISERROR(FIND("x",LOWER(Registro!$F122))),N(Registro!$G122),IFERROR(SUMPRODUCT(--("0"&amp;LEFT(TRIM(MID(SUBSTITUTE(SUBSTITUTE(SUBSTITUTE(SUBSTITUTE(SUBSTITUTE(LOWER(Registro!$F122)," ",""),CHAR(10),"|"),";","|"),"+","|"),"|",REPT(" ",LEN(Registro!$F122))),({1,2,3,4,5,6,7,8,9,10,11,12,13,14,15,16,17,18,19,20,21,22,23,24,25,26,27,28,29,30}-1)*LEN(Registro!$F122)+1,LEN(Registro!$F122))),FIND("x",TRIM(MID(SUBSTITUTE(SUBSTITUTE(SUBSTITUTE(SUBSTITUTE(SUBSTITUTE(LOWER(Registro!$F122)," ",""),CHAR(10),"|"),";","|"),"+","|"),"|",REPT(" ",LEN(Registro!$F122))),({1,2,3,4,5,6,7,8,9,10,11,12,13,14,15,16,17,18,19,20,21,22,23,24,25,26,27,28,29,30}-1)*LEN(Registro!$F122)+1,LEN(Registro!$F122)))&amp;"x")-1)),--("0"&amp;MID(TRIM(MID(SUBSTITUTE(SUBSTITUTE(SUBSTITUTE(SUBSTITUTE(SUBSTITUTE(LOWER(Registro!$F122)," ",""),CHAR(10),"|"),";","|"),"+","|"),"|",REPT(" ",LEN(Registro!$F122))),({1,2,3,4,5,6,7,8,9,10,11,12,13,14,15,16,17,18,19,20,21,22,23,24,25,26,27,28,29,30}-1)*LEN(Registro!$F122)+1,LEN(Registro!$F122))),FIND("x",TRIM(MID(SUBSTITUTE(SUBSTITUTE(SUBSTITUTE(SUBSTITUTE(SUBSTITUTE(LOWER(Registro!$F122)," ",""),CHAR(10),"|"),";","|"),"+","|"),"|",REPT(" ",LEN(Registro!$F122))),({1,2,3,4,5,6,7,8,9,10,11,12,13,14,15,16,17,18,19,20,21,22,23,24,25,26,27,28,29,30}-1)*LEN(Registro!$F122)+1,LEN(Registro!$F122)))&amp;"x")+1,20))),"Revisar formato")))</f>
        <v/>
      </c>
      <c r="H122" s="21" t="str">
        <f>IF(AND(Registro!$E122="",Registro!$F122=""),"",IF(NOT(AND(ISNUMBER(G122),ISNUMBER(Registro!$G122))),"",IF(G122&lt;Registro!$G122,"FALTA BOLETOS",IF(G122=Registro!$G122,"CONFORME","DIFERENCIA"))))</f>
        <v/>
      </c>
      <c r="I122" s="24" t="str">
        <f>IF(Registro!$H122="","",IFERROR(SUMPRODUCT(--("0"&amp;TRIM(RIGHT(SUBSTITUTE(TRIM(MID(SUBSTITUTE(SUBSTITUTE(Registro!$H122,";",CHAR(10)),CHAR(10),REPT(" ",LEN(Registro!$H122))),({1,2,3,4,5,6,7,8,9,10,11,12,13,14,15,16,17,18,19,20,21,22,23,24,25,26,27,28,29,30}-1)*LEN(Registro!$H122)+1,LEN(Registro!$H122)))," ",REPT(" ",50)),50)))),"Revisar formato"))</f>
        <v/>
      </c>
      <c r="J122" s="24" t="str">
        <f>IF(Registro!$I122="","",IFERROR(SUMPRODUCT(--("0"&amp;TRIM(RIGHT(SUBSTITUTE(TRIM(MID(SUBSTITUTE(SUBSTITUTE(Registro!$I122,";",CHAR(10)),CHAR(10),REPT(" ",LEN(Registro!$I122))),({1,2,3,4,5,6,7,8,9,10,11,12,13,14,15,16,17,18,19,20,21,22,23,24,25,26,27,28,29,30}-1)*LEN(Registro!$I122)+1,LEN(Registro!$I122)))," ",REPT(" ",50)),50)))),"Revisar formato"))</f>
        <v/>
      </c>
      <c r="K122" s="24" t="str">
        <f>IF(AND(Registro!$G122="",Registro!$H122=""),"",IF(AND(ISTEXT(I122),I122&lt;&gt;""),"Revisar formato",N(Registro!$G122)-N(I122)))</f>
        <v/>
      </c>
      <c r="L122" s="24" t="str">
        <f t="shared" si="3"/>
        <v/>
      </c>
      <c r="M122" s="36" t="str">
        <f>IF(AND(A122=Consulta!$B$3,C122=Consulta!$H$3),B122*10000+ROW(),"")</f>
        <v/>
      </c>
    </row>
    <row r="123" spans="1:13" x14ac:dyDescent="0.25">
      <c r="A123" s="21" t="str">
        <f>IF(Registro!$A123="","",Registro!$A123)</f>
        <v/>
      </c>
      <c r="B123" s="20" t="str">
        <f>IF(Registro!$B123="","",Registro!$B123)</f>
        <v/>
      </c>
      <c r="C123" s="35" t="str">
        <f t="shared" si="2"/>
        <v/>
      </c>
      <c r="D123" s="23" t="str">
        <f>IF(Registro!$E123="","",IF(ISERROR(FIND("x",LOWER(Registro!$E123))),"-",IFERROR(SUMPRODUCT(--("0"&amp;LEFT(TRIM(MID(SUBSTITUTE(SUBSTITUTE(SUBSTITUTE(SUBSTITUTE(SUBSTITUTE(LOWER(Registro!$E123),"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",LEN(Registro!$E123))),({1,2,3,4,5,6,7,8,9,10,11,12,13,14,15,16,17,18,19,20,21,22,23,24,25,26,27,28,29,30}-1)*LEN(Registro!$E123)+1,LEN(Registro!$E123))),FIND("x",TRIM(MID(SUBSTITUTE(SUBSTITUTE(SUBSTITUTE(SUBSTITUTE(SUBSTITUTE(LOWER(Registro!$E123),"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",LEN(Registro!$E123))),({1,2,3,4,5,6,7,8,9,10,11,12,13,14,15,16,17,18,19,20,21,22,23,24,25,26,27,28,29,30}-1)*LEN(Registro!$E123)+1,LEN(Registro!$E123)))&amp;"x")-1))),"Revisar formato")))</f>
        <v/>
      </c>
      <c r="E123" s="24" t="str">
        <f>IF(Registro!$E123="","",IF(ISERROR(FIND("x",LOWER(Registro!$E123))),"-",IFERROR(SUMPRODUCT(--("0"&amp;LEFT(TRIM(MID(SUBSTITUTE(SUBSTITUTE(SUBSTITUTE(SUBSTITUTE(SUBSTITUTE(LOWER(Registro!$E123),"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",LEN(Registro!$E123))),({1,2,3,4,5,6,7,8,9,10,11,12,13,14,15,16,17,18,19,20,21,22,23,24,25,26,27,28,29,30}-1)*LEN(Registro!$E123)+1,LEN(Registro!$E123))),FIND("x",TRIM(MID(SUBSTITUTE(SUBSTITUTE(SUBSTITUTE(SUBSTITUTE(SUBSTITUTE(LOWER(Registro!$E123),"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",LEN(Registro!$E123))),({1,2,3,4,5,6,7,8,9,10,11,12,13,14,15,16,17,18,19,20,21,22,23,24,25,26,27,28,29,30}-1)*LEN(Registro!$E123)+1,LEN(Registro!$E123)))&amp;"x")-1)),--("0"&amp;MID(TRIM(MID(SUBSTITUTE(SUBSTITUTE(SUBSTITUTE(SUBSTITUTE(SUBSTITUTE(LOWER(Registro!$E123),"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",LEN(Registro!$E123))),({1,2,3,4,5,6,7,8,9,10,11,12,13,14,15,16,17,18,19,20,21,22,23,24,25,26,27,28,29,30}-1)*LEN(Registro!$E123)+1,LEN(Registro!$E123))),FIND("x",TRIM(MID(SUBSTITUTE(SUBSTITUTE(SUBSTITUTE(SUBSTITUTE(SUBSTITUTE(LOWER(Registro!$E123),"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",LEN(Registro!$E123))),({1,2,3,4,5,6,7,8,9,10,11,12,13,14,15,16,17,18,19,20,21,22,23,24,25,26,27,28,29,30}-1)*LEN(Registro!$E123)+1,LEN(Registro!$E123)))&amp;"x")+1,20))),"Revisar formato")))</f>
        <v/>
      </c>
      <c r="F123" s="23" t="str">
        <f>IF(Registro!$F123="","",IF(ISERROR(FIND("x",LOWER(Registro!$F123))),"-",IFERROR(SUMPRODUCT(--("0"&amp;LEFT(TRIM(MID(SUBSTITUTE(SUBSTITUTE(SUBSTITUTE(SUBSTITUTE(SUBSTITUTE(LOWER(Registro!$F123)," ",""),CHAR(10),"|"),";","|"),"+","|"),"|",REPT(" ",LEN(Registro!$F123))),({1,2,3,4,5,6,7,8,9,10,11,12,13,14,15,16,17,18,19,20,21,22,23,24,25,26,27,28,29,30}-1)*LEN(Registro!$F123)+1,LEN(Registro!$F123))),FIND("x",TRIM(MID(SUBSTITUTE(SUBSTITUTE(SUBSTITUTE(SUBSTITUTE(SUBSTITUTE(LOWER(Registro!$F123)," ",""),CHAR(10),"|"),";","|"),"+","|"),"|",REPT(" ",LEN(Registro!$F123))),({1,2,3,4,5,6,7,8,9,10,11,12,13,14,15,16,17,18,19,20,21,22,23,24,25,26,27,28,29,30}-1)*LEN(Registro!$F123)+1,LEN(Registro!$F123)))&amp;"x")-1))),"Revisar formato")))</f>
        <v/>
      </c>
      <c r="G123" s="24" t="str">
        <f>IF(Registro!$F123="","",IF(ISERROR(FIND("x",LOWER(Registro!$F123))),N(Registro!$G123),IFERROR(SUMPRODUCT(--("0"&amp;LEFT(TRIM(MID(SUBSTITUTE(SUBSTITUTE(SUBSTITUTE(SUBSTITUTE(SUBSTITUTE(LOWER(Registro!$F123)," ",""),CHAR(10),"|"),";","|"),"+","|"),"|",REPT(" ",LEN(Registro!$F123))),({1,2,3,4,5,6,7,8,9,10,11,12,13,14,15,16,17,18,19,20,21,22,23,24,25,26,27,28,29,30}-1)*LEN(Registro!$F123)+1,LEN(Registro!$F123))),FIND("x",TRIM(MID(SUBSTITUTE(SUBSTITUTE(SUBSTITUTE(SUBSTITUTE(SUBSTITUTE(LOWER(Registro!$F123)," ",""),CHAR(10),"|"),";","|"),"+","|"),"|",REPT(" ",LEN(Registro!$F123))),({1,2,3,4,5,6,7,8,9,10,11,12,13,14,15,16,17,18,19,20,21,22,23,24,25,26,27,28,29,30}-1)*LEN(Registro!$F123)+1,LEN(Registro!$F123)))&amp;"x")-1)),--("0"&amp;MID(TRIM(MID(SUBSTITUTE(SUBSTITUTE(SUBSTITUTE(SUBSTITUTE(SUBSTITUTE(LOWER(Registro!$F123)," ",""),CHAR(10),"|"),";","|"),"+","|"),"|",REPT(" ",LEN(Registro!$F123))),({1,2,3,4,5,6,7,8,9,10,11,12,13,14,15,16,17,18,19,20,21,22,23,24,25,26,27,28,29,30}-1)*LEN(Registro!$F123)+1,LEN(Registro!$F123))),FIND("x",TRIM(MID(SUBSTITUTE(SUBSTITUTE(SUBSTITUTE(SUBSTITUTE(SUBSTITUTE(LOWER(Registro!$F123)," ",""),CHAR(10),"|"),";","|"),"+","|"),"|",REPT(" ",LEN(Registro!$F123))),({1,2,3,4,5,6,7,8,9,10,11,12,13,14,15,16,17,18,19,20,21,22,23,24,25,26,27,28,29,30}-1)*LEN(Registro!$F123)+1,LEN(Registro!$F123)))&amp;"x")+1,20))),"Revisar formato")))</f>
        <v/>
      </c>
      <c r="H123" s="21" t="str">
        <f>IF(AND(Registro!$E123="",Registro!$F123=""),"",IF(NOT(AND(ISNUMBER(G123),ISNUMBER(Registro!$G123))),"",IF(G123&lt;Registro!$G123,"FALTA BOLETOS",IF(G123=Registro!$G123,"CONFORME","DIFERENCIA"))))</f>
        <v/>
      </c>
      <c r="I123" s="24" t="str">
        <f>IF(Registro!$H123="","",IFERROR(SUMPRODUCT(--("0"&amp;TRIM(RIGHT(SUBSTITUTE(TRIM(MID(SUBSTITUTE(SUBSTITUTE(Registro!$H123,";",CHAR(10)),CHAR(10),REPT(" ",LEN(Registro!$H123))),({1,2,3,4,5,6,7,8,9,10,11,12,13,14,15,16,17,18,19,20,21,22,23,24,25,26,27,28,29,30}-1)*LEN(Registro!$H123)+1,LEN(Registro!$H123)))," ",REPT(" ",50)),50)))),"Revisar formato"))</f>
        <v/>
      </c>
      <c r="J123" s="24" t="str">
        <f>IF(Registro!$I123="","",IFERROR(SUMPRODUCT(--("0"&amp;TRIM(RIGHT(SUBSTITUTE(TRIM(MID(SUBSTITUTE(SUBSTITUTE(Registro!$I123,";",CHAR(10)),CHAR(10),REPT(" ",LEN(Registro!$I123))),({1,2,3,4,5,6,7,8,9,10,11,12,13,14,15,16,17,18,19,20,21,22,23,24,25,26,27,28,29,30}-1)*LEN(Registro!$I123)+1,LEN(Registro!$I123)))," ",REPT(" ",50)),50)))),"Revisar formato"))</f>
        <v/>
      </c>
      <c r="K123" s="24" t="str">
        <f>IF(AND(Registro!$G123="",Registro!$H123=""),"",IF(AND(ISTEXT(I123),I123&lt;&gt;""),"Revisar formato",N(Registro!$G123)-N(I123)))</f>
        <v/>
      </c>
      <c r="L123" s="24" t="str">
        <f t="shared" si="3"/>
        <v/>
      </c>
      <c r="M123" s="36" t="str">
        <f>IF(AND(A123=Consulta!$B$3,C123=Consulta!$H$3),B123*10000+ROW(),"")</f>
        <v/>
      </c>
    </row>
    <row r="124" spans="1:13" x14ac:dyDescent="0.25">
      <c r="A124" s="21" t="str">
        <f>IF(Registro!$A124="","",Registro!$A124)</f>
        <v/>
      </c>
      <c r="B124" s="20" t="str">
        <f>IF(Registro!$B124="","",Registro!$B124)</f>
        <v/>
      </c>
      <c r="C124" s="35" t="str">
        <f t="shared" si="2"/>
        <v/>
      </c>
      <c r="D124" s="23" t="str">
        <f>IF(Registro!$E124="","",IF(ISERROR(FIND("x",LOWER(Registro!$E124))),"-",IFERROR(SUMPRODUCT(--("0"&amp;LEFT(TRIM(MID(SUBSTITUTE(SUBSTITUTE(SUBSTITUTE(SUBSTITUTE(SUBSTITUTE(LOWER(Registro!$E124),"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",LEN(Registro!$E124))),({1,2,3,4,5,6,7,8,9,10,11,12,13,14,15,16,17,18,19,20,21,22,23,24,25,26,27,28,29,30}-1)*LEN(Registro!$E124)+1,LEN(Registro!$E124))),FIND("x",TRIM(MID(SUBSTITUTE(SUBSTITUTE(SUBSTITUTE(SUBSTITUTE(SUBSTITUTE(LOWER(Registro!$E124),"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",LEN(Registro!$E124))),({1,2,3,4,5,6,7,8,9,10,11,12,13,14,15,16,17,18,19,20,21,22,23,24,25,26,27,28,29,30}-1)*LEN(Registro!$E124)+1,LEN(Registro!$E124)))&amp;"x")-1))),"Revisar formato")))</f>
        <v/>
      </c>
      <c r="E124" s="24" t="str">
        <f>IF(Registro!$E124="","",IF(ISERROR(FIND("x",LOWER(Registro!$E124))),"-",IFERROR(SUMPRODUCT(--("0"&amp;LEFT(TRIM(MID(SUBSTITUTE(SUBSTITUTE(SUBSTITUTE(SUBSTITUTE(SUBSTITUTE(LOWER(Registro!$E124),"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",LEN(Registro!$E124))),({1,2,3,4,5,6,7,8,9,10,11,12,13,14,15,16,17,18,19,20,21,22,23,24,25,26,27,28,29,30}-1)*LEN(Registro!$E124)+1,LEN(Registro!$E124))),FIND("x",TRIM(MID(SUBSTITUTE(SUBSTITUTE(SUBSTITUTE(SUBSTITUTE(SUBSTITUTE(LOWER(Registro!$E124),"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",LEN(Registro!$E124))),({1,2,3,4,5,6,7,8,9,10,11,12,13,14,15,16,17,18,19,20,21,22,23,24,25,26,27,28,29,30}-1)*LEN(Registro!$E124)+1,LEN(Registro!$E124)))&amp;"x")-1)),--("0"&amp;MID(TRIM(MID(SUBSTITUTE(SUBSTITUTE(SUBSTITUTE(SUBSTITUTE(SUBSTITUTE(LOWER(Registro!$E124),"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",LEN(Registro!$E124))),({1,2,3,4,5,6,7,8,9,10,11,12,13,14,15,16,17,18,19,20,21,22,23,24,25,26,27,28,29,30}-1)*LEN(Registro!$E124)+1,LEN(Registro!$E124))),FIND("x",TRIM(MID(SUBSTITUTE(SUBSTITUTE(SUBSTITUTE(SUBSTITUTE(SUBSTITUTE(LOWER(Registro!$E124),"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",LEN(Registro!$E124))),({1,2,3,4,5,6,7,8,9,10,11,12,13,14,15,16,17,18,19,20,21,22,23,24,25,26,27,28,29,30}-1)*LEN(Registro!$E124)+1,LEN(Registro!$E124)))&amp;"x")+1,20))),"Revisar formato")))</f>
        <v/>
      </c>
      <c r="F124" s="23" t="str">
        <f>IF(Registro!$F124="","",IF(ISERROR(FIND("x",LOWER(Registro!$F124))),"-",IFERROR(SUMPRODUCT(--("0"&amp;LEFT(TRIM(MID(SUBSTITUTE(SUBSTITUTE(SUBSTITUTE(SUBSTITUTE(SUBSTITUTE(LOWER(Registro!$F124)," ",""),CHAR(10),"|"),";","|"),"+","|"),"|",REPT(" ",LEN(Registro!$F124))),({1,2,3,4,5,6,7,8,9,10,11,12,13,14,15,16,17,18,19,20,21,22,23,24,25,26,27,28,29,30}-1)*LEN(Registro!$F124)+1,LEN(Registro!$F124))),FIND("x",TRIM(MID(SUBSTITUTE(SUBSTITUTE(SUBSTITUTE(SUBSTITUTE(SUBSTITUTE(LOWER(Registro!$F124)," ",""),CHAR(10),"|"),";","|"),"+","|"),"|",REPT(" ",LEN(Registro!$F124))),({1,2,3,4,5,6,7,8,9,10,11,12,13,14,15,16,17,18,19,20,21,22,23,24,25,26,27,28,29,30}-1)*LEN(Registro!$F124)+1,LEN(Registro!$F124)))&amp;"x")-1))),"Revisar formato")))</f>
        <v/>
      </c>
      <c r="G124" s="24" t="str">
        <f>IF(Registro!$F124="","",IF(ISERROR(FIND("x",LOWER(Registro!$F124))),N(Registro!$G124),IFERROR(SUMPRODUCT(--("0"&amp;LEFT(TRIM(MID(SUBSTITUTE(SUBSTITUTE(SUBSTITUTE(SUBSTITUTE(SUBSTITUTE(LOWER(Registro!$F124)," ",""),CHAR(10),"|"),";","|"),"+","|"),"|",REPT(" ",LEN(Registro!$F124))),({1,2,3,4,5,6,7,8,9,10,11,12,13,14,15,16,17,18,19,20,21,22,23,24,25,26,27,28,29,30}-1)*LEN(Registro!$F124)+1,LEN(Registro!$F124))),FIND("x",TRIM(MID(SUBSTITUTE(SUBSTITUTE(SUBSTITUTE(SUBSTITUTE(SUBSTITUTE(LOWER(Registro!$F124)," ",""),CHAR(10),"|"),";","|"),"+","|"),"|",REPT(" ",LEN(Registro!$F124))),({1,2,3,4,5,6,7,8,9,10,11,12,13,14,15,16,17,18,19,20,21,22,23,24,25,26,27,28,29,30}-1)*LEN(Registro!$F124)+1,LEN(Registro!$F124)))&amp;"x")-1)),--("0"&amp;MID(TRIM(MID(SUBSTITUTE(SUBSTITUTE(SUBSTITUTE(SUBSTITUTE(SUBSTITUTE(LOWER(Registro!$F124)," ",""),CHAR(10),"|"),";","|"),"+","|"),"|",REPT(" ",LEN(Registro!$F124))),({1,2,3,4,5,6,7,8,9,10,11,12,13,14,15,16,17,18,19,20,21,22,23,24,25,26,27,28,29,30}-1)*LEN(Registro!$F124)+1,LEN(Registro!$F124))),FIND("x",TRIM(MID(SUBSTITUTE(SUBSTITUTE(SUBSTITUTE(SUBSTITUTE(SUBSTITUTE(LOWER(Registro!$F124)," ",""),CHAR(10),"|"),";","|"),"+","|"),"|",REPT(" ",LEN(Registro!$F124))),({1,2,3,4,5,6,7,8,9,10,11,12,13,14,15,16,17,18,19,20,21,22,23,24,25,26,27,28,29,30}-1)*LEN(Registro!$F124)+1,LEN(Registro!$F124)))&amp;"x")+1,20))),"Revisar formato")))</f>
        <v/>
      </c>
      <c r="H124" s="21" t="str">
        <f>IF(AND(Registro!$E124="",Registro!$F124=""),"",IF(NOT(AND(ISNUMBER(G124),ISNUMBER(Registro!$G124))),"",IF(G124&lt;Registro!$G124,"FALTA BOLETOS",IF(G124=Registro!$G124,"CONFORME","DIFERENCIA"))))</f>
        <v/>
      </c>
      <c r="I124" s="24" t="str">
        <f>IF(Registro!$H124="","",IFERROR(SUMPRODUCT(--("0"&amp;TRIM(RIGHT(SUBSTITUTE(TRIM(MID(SUBSTITUTE(SUBSTITUTE(Registro!$H124,";",CHAR(10)),CHAR(10),REPT(" ",LEN(Registro!$H124))),({1,2,3,4,5,6,7,8,9,10,11,12,13,14,15,16,17,18,19,20,21,22,23,24,25,26,27,28,29,30}-1)*LEN(Registro!$H124)+1,LEN(Registro!$H124)))," ",REPT(" ",50)),50)))),"Revisar formato"))</f>
        <v/>
      </c>
      <c r="J124" s="24" t="str">
        <f>IF(Registro!$I124="","",IFERROR(SUMPRODUCT(--("0"&amp;TRIM(RIGHT(SUBSTITUTE(TRIM(MID(SUBSTITUTE(SUBSTITUTE(Registro!$I124,";",CHAR(10)),CHAR(10),REPT(" ",LEN(Registro!$I124))),({1,2,3,4,5,6,7,8,9,10,11,12,13,14,15,16,17,18,19,20,21,22,23,24,25,26,27,28,29,30}-1)*LEN(Registro!$I124)+1,LEN(Registro!$I124)))," ",REPT(" ",50)),50)))),"Revisar formato"))</f>
        <v/>
      </c>
      <c r="K124" s="24" t="str">
        <f>IF(AND(Registro!$G124="",Registro!$H124=""),"",IF(AND(ISTEXT(I124),I124&lt;&gt;""),"Revisar formato",N(Registro!$G124)-N(I124)))</f>
        <v/>
      </c>
      <c r="L124" s="24" t="str">
        <f t="shared" si="3"/>
        <v/>
      </c>
      <c r="M124" s="36" t="str">
        <f>IF(AND(A124=Consulta!$B$3,C124=Consulta!$H$3),B124*10000+ROW(),"")</f>
        <v/>
      </c>
    </row>
    <row r="125" spans="1:13" x14ac:dyDescent="0.25">
      <c r="A125" s="21" t="str">
        <f>IF(Registro!$A125="","",Registro!$A125)</f>
        <v/>
      </c>
      <c r="B125" s="20" t="str">
        <f>IF(Registro!$B125="","",Registro!$B125)</f>
        <v/>
      </c>
      <c r="C125" s="35" t="str">
        <f t="shared" si="2"/>
        <v/>
      </c>
      <c r="D125" s="23" t="str">
        <f>IF(Registro!$E125="","",IF(ISERROR(FIND("x",LOWER(Registro!$E125))),"-",IFERROR(SUMPRODUCT(--("0"&amp;LEFT(TRIM(MID(SUBSTITUTE(SUBSTITUTE(SUBSTITUTE(SUBSTITUTE(SUBSTITUTE(LOWER(Registro!$E125),"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",LEN(Registro!$E125))),({1,2,3,4,5,6,7,8,9,10,11,12,13,14,15,16,17,18,19,20,21,22,23,24,25,26,27,28,29,30}-1)*LEN(Registro!$E125)+1,LEN(Registro!$E125))),FIND("x",TRIM(MID(SUBSTITUTE(SUBSTITUTE(SUBSTITUTE(SUBSTITUTE(SUBSTITUTE(LOWER(Registro!$E125),"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",LEN(Registro!$E125))),({1,2,3,4,5,6,7,8,9,10,11,12,13,14,15,16,17,18,19,20,21,22,23,24,25,26,27,28,29,30}-1)*LEN(Registro!$E125)+1,LEN(Registro!$E125)))&amp;"x")-1))),"Revisar formato")))</f>
        <v/>
      </c>
      <c r="E125" s="24" t="str">
        <f>IF(Registro!$E125="","",IF(ISERROR(FIND("x",LOWER(Registro!$E125))),"-",IFERROR(SUMPRODUCT(--("0"&amp;LEFT(TRIM(MID(SUBSTITUTE(SUBSTITUTE(SUBSTITUTE(SUBSTITUTE(SUBSTITUTE(LOWER(Registro!$E125),"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",LEN(Registro!$E125))),({1,2,3,4,5,6,7,8,9,10,11,12,13,14,15,16,17,18,19,20,21,22,23,24,25,26,27,28,29,30}-1)*LEN(Registro!$E125)+1,LEN(Registro!$E125))),FIND("x",TRIM(MID(SUBSTITUTE(SUBSTITUTE(SUBSTITUTE(SUBSTITUTE(SUBSTITUTE(LOWER(Registro!$E125),"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",LEN(Registro!$E125))),({1,2,3,4,5,6,7,8,9,10,11,12,13,14,15,16,17,18,19,20,21,22,23,24,25,26,27,28,29,30}-1)*LEN(Registro!$E125)+1,LEN(Registro!$E125)))&amp;"x")-1)),--("0"&amp;MID(TRIM(MID(SUBSTITUTE(SUBSTITUTE(SUBSTITUTE(SUBSTITUTE(SUBSTITUTE(LOWER(Registro!$E125),"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",LEN(Registro!$E125))),({1,2,3,4,5,6,7,8,9,10,11,12,13,14,15,16,17,18,19,20,21,22,23,24,25,26,27,28,29,30}-1)*LEN(Registro!$E125)+1,LEN(Registro!$E125))),FIND("x",TRIM(MID(SUBSTITUTE(SUBSTITUTE(SUBSTITUTE(SUBSTITUTE(SUBSTITUTE(LOWER(Registro!$E125),"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",LEN(Registro!$E125))),({1,2,3,4,5,6,7,8,9,10,11,12,13,14,15,16,17,18,19,20,21,22,23,24,25,26,27,28,29,30}-1)*LEN(Registro!$E125)+1,LEN(Registro!$E125)))&amp;"x")+1,20))),"Revisar formato")))</f>
        <v/>
      </c>
      <c r="F125" s="23" t="str">
        <f>IF(Registro!$F125="","",IF(ISERROR(FIND("x",LOWER(Registro!$F125))),"-",IFERROR(SUMPRODUCT(--("0"&amp;LEFT(TRIM(MID(SUBSTITUTE(SUBSTITUTE(SUBSTITUTE(SUBSTITUTE(SUBSTITUTE(LOWER(Registro!$F125)," ",""),CHAR(10),"|"),";","|"),"+","|"),"|",REPT(" ",LEN(Registro!$F125))),({1,2,3,4,5,6,7,8,9,10,11,12,13,14,15,16,17,18,19,20,21,22,23,24,25,26,27,28,29,30}-1)*LEN(Registro!$F125)+1,LEN(Registro!$F125))),FIND("x",TRIM(MID(SUBSTITUTE(SUBSTITUTE(SUBSTITUTE(SUBSTITUTE(SUBSTITUTE(LOWER(Registro!$F125)," ",""),CHAR(10),"|"),";","|"),"+","|"),"|",REPT(" ",LEN(Registro!$F125))),({1,2,3,4,5,6,7,8,9,10,11,12,13,14,15,16,17,18,19,20,21,22,23,24,25,26,27,28,29,30}-1)*LEN(Registro!$F125)+1,LEN(Registro!$F125)))&amp;"x")-1))),"Revisar formato")))</f>
        <v/>
      </c>
      <c r="G125" s="24" t="str">
        <f>IF(Registro!$F125="","",IF(ISERROR(FIND("x",LOWER(Registro!$F125))),N(Registro!$G125),IFERROR(SUMPRODUCT(--("0"&amp;LEFT(TRIM(MID(SUBSTITUTE(SUBSTITUTE(SUBSTITUTE(SUBSTITUTE(SUBSTITUTE(LOWER(Registro!$F125)," ",""),CHAR(10),"|"),";","|"),"+","|"),"|",REPT(" ",LEN(Registro!$F125))),({1,2,3,4,5,6,7,8,9,10,11,12,13,14,15,16,17,18,19,20,21,22,23,24,25,26,27,28,29,30}-1)*LEN(Registro!$F125)+1,LEN(Registro!$F125))),FIND("x",TRIM(MID(SUBSTITUTE(SUBSTITUTE(SUBSTITUTE(SUBSTITUTE(SUBSTITUTE(LOWER(Registro!$F125)," ",""),CHAR(10),"|"),";","|"),"+","|"),"|",REPT(" ",LEN(Registro!$F125))),({1,2,3,4,5,6,7,8,9,10,11,12,13,14,15,16,17,18,19,20,21,22,23,24,25,26,27,28,29,30}-1)*LEN(Registro!$F125)+1,LEN(Registro!$F125)))&amp;"x")-1)),--("0"&amp;MID(TRIM(MID(SUBSTITUTE(SUBSTITUTE(SUBSTITUTE(SUBSTITUTE(SUBSTITUTE(LOWER(Registro!$F125)," ",""),CHAR(10),"|"),";","|"),"+","|"),"|",REPT(" ",LEN(Registro!$F125))),({1,2,3,4,5,6,7,8,9,10,11,12,13,14,15,16,17,18,19,20,21,22,23,24,25,26,27,28,29,30}-1)*LEN(Registro!$F125)+1,LEN(Registro!$F125))),FIND("x",TRIM(MID(SUBSTITUTE(SUBSTITUTE(SUBSTITUTE(SUBSTITUTE(SUBSTITUTE(LOWER(Registro!$F125)," ",""),CHAR(10),"|"),";","|"),"+","|"),"|",REPT(" ",LEN(Registro!$F125))),({1,2,3,4,5,6,7,8,9,10,11,12,13,14,15,16,17,18,19,20,21,22,23,24,25,26,27,28,29,30}-1)*LEN(Registro!$F125)+1,LEN(Registro!$F125)))&amp;"x")+1,20))),"Revisar formato")))</f>
        <v/>
      </c>
      <c r="H125" s="21" t="str">
        <f>IF(AND(Registro!$E125="",Registro!$F125=""),"",IF(NOT(AND(ISNUMBER(G125),ISNUMBER(Registro!$G125))),"",IF(G125&lt;Registro!$G125,"FALTA BOLETOS",IF(G125=Registro!$G125,"CONFORME","DIFERENCIA"))))</f>
        <v/>
      </c>
      <c r="I125" s="24" t="str">
        <f>IF(Registro!$H125="","",IFERROR(SUMPRODUCT(--("0"&amp;TRIM(RIGHT(SUBSTITUTE(TRIM(MID(SUBSTITUTE(SUBSTITUTE(Registro!$H125,";",CHAR(10)),CHAR(10),REPT(" ",LEN(Registro!$H125))),({1,2,3,4,5,6,7,8,9,10,11,12,13,14,15,16,17,18,19,20,21,22,23,24,25,26,27,28,29,30}-1)*LEN(Registro!$H125)+1,LEN(Registro!$H125)))," ",REPT(" ",50)),50)))),"Revisar formato"))</f>
        <v/>
      </c>
      <c r="J125" s="24" t="str">
        <f>IF(Registro!$I125="","",IFERROR(SUMPRODUCT(--("0"&amp;TRIM(RIGHT(SUBSTITUTE(TRIM(MID(SUBSTITUTE(SUBSTITUTE(Registro!$I125,";",CHAR(10)),CHAR(10),REPT(" ",LEN(Registro!$I125))),({1,2,3,4,5,6,7,8,9,10,11,12,13,14,15,16,17,18,19,20,21,22,23,24,25,26,27,28,29,30}-1)*LEN(Registro!$I125)+1,LEN(Registro!$I125)))," ",REPT(" ",50)),50)))),"Revisar formato"))</f>
        <v/>
      </c>
      <c r="K125" s="24" t="str">
        <f>IF(AND(Registro!$G125="",Registro!$H125=""),"",IF(AND(ISTEXT(I125),I125&lt;&gt;""),"Revisar formato",N(Registro!$G125)-N(I125)))</f>
        <v/>
      </c>
      <c r="L125" s="24" t="str">
        <f t="shared" si="3"/>
        <v/>
      </c>
      <c r="M125" s="36" t="str">
        <f>IF(AND(A125=Consulta!$B$3,C125=Consulta!$H$3),B125*10000+ROW(),"")</f>
        <v/>
      </c>
    </row>
    <row r="126" spans="1:13" x14ac:dyDescent="0.25">
      <c r="A126" s="21" t="str">
        <f>IF(Registro!$A126="","",Registro!$A126)</f>
        <v/>
      </c>
      <c r="B126" s="20" t="str">
        <f>IF(Registro!$B126="","",Registro!$B126)</f>
        <v/>
      </c>
      <c r="C126" s="35" t="str">
        <f t="shared" si="2"/>
        <v/>
      </c>
      <c r="D126" s="23" t="str">
        <f>IF(Registro!$E126="","",IF(ISERROR(FIND("x",LOWER(Registro!$E126))),"-",IFERROR(SUMPRODUCT(--("0"&amp;LEFT(TRIM(MID(SUBSTITUTE(SUBSTITUTE(SUBSTITUTE(SUBSTITUTE(SUBSTITUTE(LOWER(Registro!$E126),"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",LEN(Registro!$E126))),({1,2,3,4,5,6,7,8,9,10,11,12,13,14,15,16,17,18,19,20,21,22,23,24,25,26,27,28,29,30}-1)*LEN(Registro!$E126)+1,LEN(Registro!$E126))),FIND("x",TRIM(MID(SUBSTITUTE(SUBSTITUTE(SUBSTITUTE(SUBSTITUTE(SUBSTITUTE(LOWER(Registro!$E126),"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",LEN(Registro!$E126))),({1,2,3,4,5,6,7,8,9,10,11,12,13,14,15,16,17,18,19,20,21,22,23,24,25,26,27,28,29,30}-1)*LEN(Registro!$E126)+1,LEN(Registro!$E126)))&amp;"x")-1))),"Revisar formato")))</f>
        <v/>
      </c>
      <c r="E126" s="24" t="str">
        <f>IF(Registro!$E126="","",IF(ISERROR(FIND("x",LOWER(Registro!$E126))),"-",IFERROR(SUMPRODUCT(--("0"&amp;LEFT(TRIM(MID(SUBSTITUTE(SUBSTITUTE(SUBSTITUTE(SUBSTITUTE(SUBSTITUTE(LOWER(Registro!$E126),"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",LEN(Registro!$E126))),({1,2,3,4,5,6,7,8,9,10,11,12,13,14,15,16,17,18,19,20,21,22,23,24,25,26,27,28,29,30}-1)*LEN(Registro!$E126)+1,LEN(Registro!$E126))),FIND("x",TRIM(MID(SUBSTITUTE(SUBSTITUTE(SUBSTITUTE(SUBSTITUTE(SUBSTITUTE(LOWER(Registro!$E126),"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",LEN(Registro!$E126))),({1,2,3,4,5,6,7,8,9,10,11,12,13,14,15,16,17,18,19,20,21,22,23,24,25,26,27,28,29,30}-1)*LEN(Registro!$E126)+1,LEN(Registro!$E126)))&amp;"x")-1)),--("0"&amp;MID(TRIM(MID(SUBSTITUTE(SUBSTITUTE(SUBSTITUTE(SUBSTITUTE(SUBSTITUTE(LOWER(Registro!$E126),"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",LEN(Registro!$E126))),({1,2,3,4,5,6,7,8,9,10,11,12,13,14,15,16,17,18,19,20,21,22,23,24,25,26,27,28,29,30}-1)*LEN(Registro!$E126)+1,LEN(Registro!$E126))),FIND("x",TRIM(MID(SUBSTITUTE(SUBSTITUTE(SUBSTITUTE(SUBSTITUTE(SUBSTITUTE(LOWER(Registro!$E126),"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",LEN(Registro!$E126))),({1,2,3,4,5,6,7,8,9,10,11,12,13,14,15,16,17,18,19,20,21,22,23,24,25,26,27,28,29,30}-1)*LEN(Registro!$E126)+1,LEN(Registro!$E126)))&amp;"x")+1,20))),"Revisar formato")))</f>
        <v/>
      </c>
      <c r="F126" s="23" t="str">
        <f>IF(Registro!$F126="","",IF(ISERROR(FIND("x",LOWER(Registro!$F126))),"-",IFERROR(SUMPRODUCT(--("0"&amp;LEFT(TRIM(MID(SUBSTITUTE(SUBSTITUTE(SUBSTITUTE(SUBSTITUTE(SUBSTITUTE(LOWER(Registro!$F126)," ",""),CHAR(10),"|"),";","|"),"+","|"),"|",REPT(" ",LEN(Registro!$F126))),({1,2,3,4,5,6,7,8,9,10,11,12,13,14,15,16,17,18,19,20,21,22,23,24,25,26,27,28,29,30}-1)*LEN(Registro!$F126)+1,LEN(Registro!$F126))),FIND("x",TRIM(MID(SUBSTITUTE(SUBSTITUTE(SUBSTITUTE(SUBSTITUTE(SUBSTITUTE(LOWER(Registro!$F126)," ",""),CHAR(10),"|"),";","|"),"+","|"),"|",REPT(" ",LEN(Registro!$F126))),({1,2,3,4,5,6,7,8,9,10,11,12,13,14,15,16,17,18,19,20,21,22,23,24,25,26,27,28,29,30}-1)*LEN(Registro!$F126)+1,LEN(Registro!$F126)))&amp;"x")-1))),"Revisar formato")))</f>
        <v/>
      </c>
      <c r="G126" s="24" t="str">
        <f>IF(Registro!$F126="","",IF(ISERROR(FIND("x",LOWER(Registro!$F126))),N(Registro!$G126),IFERROR(SUMPRODUCT(--("0"&amp;LEFT(TRIM(MID(SUBSTITUTE(SUBSTITUTE(SUBSTITUTE(SUBSTITUTE(SUBSTITUTE(LOWER(Registro!$F126)," ",""),CHAR(10),"|"),";","|"),"+","|"),"|",REPT(" ",LEN(Registro!$F126))),({1,2,3,4,5,6,7,8,9,10,11,12,13,14,15,16,17,18,19,20,21,22,23,24,25,26,27,28,29,30}-1)*LEN(Registro!$F126)+1,LEN(Registro!$F126))),FIND("x",TRIM(MID(SUBSTITUTE(SUBSTITUTE(SUBSTITUTE(SUBSTITUTE(SUBSTITUTE(LOWER(Registro!$F126)," ",""),CHAR(10),"|"),";","|"),"+","|"),"|",REPT(" ",LEN(Registro!$F126))),({1,2,3,4,5,6,7,8,9,10,11,12,13,14,15,16,17,18,19,20,21,22,23,24,25,26,27,28,29,30}-1)*LEN(Registro!$F126)+1,LEN(Registro!$F126)))&amp;"x")-1)),--("0"&amp;MID(TRIM(MID(SUBSTITUTE(SUBSTITUTE(SUBSTITUTE(SUBSTITUTE(SUBSTITUTE(LOWER(Registro!$F126)," ",""),CHAR(10),"|"),";","|"),"+","|"),"|",REPT(" ",LEN(Registro!$F126))),({1,2,3,4,5,6,7,8,9,10,11,12,13,14,15,16,17,18,19,20,21,22,23,24,25,26,27,28,29,30}-1)*LEN(Registro!$F126)+1,LEN(Registro!$F126))),FIND("x",TRIM(MID(SUBSTITUTE(SUBSTITUTE(SUBSTITUTE(SUBSTITUTE(SUBSTITUTE(LOWER(Registro!$F126)," ",""),CHAR(10),"|"),";","|"),"+","|"),"|",REPT(" ",LEN(Registro!$F126))),({1,2,3,4,5,6,7,8,9,10,11,12,13,14,15,16,17,18,19,20,21,22,23,24,25,26,27,28,29,30}-1)*LEN(Registro!$F126)+1,LEN(Registro!$F126)))&amp;"x")+1,20))),"Revisar formato")))</f>
        <v/>
      </c>
      <c r="H126" s="21" t="str">
        <f>IF(AND(Registro!$E126="",Registro!$F126=""),"",IF(NOT(AND(ISNUMBER(G126),ISNUMBER(Registro!$G126))),"",IF(G126&lt;Registro!$G126,"FALTA BOLETOS",IF(G126=Registro!$G126,"CONFORME","DIFERENCIA"))))</f>
        <v/>
      </c>
      <c r="I126" s="24" t="str">
        <f>IF(Registro!$H126="","",IFERROR(SUMPRODUCT(--("0"&amp;TRIM(RIGHT(SUBSTITUTE(TRIM(MID(SUBSTITUTE(SUBSTITUTE(Registro!$H126,";",CHAR(10)),CHAR(10),REPT(" ",LEN(Registro!$H126))),({1,2,3,4,5,6,7,8,9,10,11,12,13,14,15,16,17,18,19,20,21,22,23,24,25,26,27,28,29,30}-1)*LEN(Registro!$H126)+1,LEN(Registro!$H126)))," ",REPT(" ",50)),50)))),"Revisar formato"))</f>
        <v/>
      </c>
      <c r="J126" s="24" t="str">
        <f>IF(Registro!$I126="","",IFERROR(SUMPRODUCT(--("0"&amp;TRIM(RIGHT(SUBSTITUTE(TRIM(MID(SUBSTITUTE(SUBSTITUTE(Registro!$I126,";",CHAR(10)),CHAR(10),REPT(" ",LEN(Registro!$I126))),({1,2,3,4,5,6,7,8,9,10,11,12,13,14,15,16,17,18,19,20,21,22,23,24,25,26,27,28,29,30}-1)*LEN(Registro!$I126)+1,LEN(Registro!$I126)))," ",REPT(" ",50)),50)))),"Revisar formato"))</f>
        <v/>
      </c>
      <c r="K126" s="24" t="str">
        <f>IF(AND(Registro!$G126="",Registro!$H126=""),"",IF(AND(ISTEXT(I126),I126&lt;&gt;""),"Revisar formato",N(Registro!$G126)-N(I126)))</f>
        <v/>
      </c>
      <c r="L126" s="24" t="str">
        <f t="shared" si="3"/>
        <v/>
      </c>
      <c r="M126" s="36" t="str">
        <f>IF(AND(A126=Consulta!$B$3,C126=Consulta!$H$3),B126*10000+ROW(),"")</f>
        <v/>
      </c>
    </row>
    <row r="127" spans="1:13" x14ac:dyDescent="0.25">
      <c r="A127" s="21" t="str">
        <f>IF(Registro!$A127="","",Registro!$A127)</f>
        <v/>
      </c>
      <c r="B127" s="20" t="str">
        <f>IF(Registro!$B127="","",Registro!$B127)</f>
        <v/>
      </c>
      <c r="C127" s="35" t="str">
        <f t="shared" si="2"/>
        <v/>
      </c>
      <c r="D127" s="23" t="str">
        <f>IF(Registro!$E127="","",IF(ISERROR(FIND("x",LOWER(Registro!$E127))),"-",IFERROR(SUMPRODUCT(--("0"&amp;LEFT(TRIM(MID(SUBSTITUTE(SUBSTITUTE(SUBSTITUTE(SUBSTITUTE(SUBSTITUTE(LOWER(Registro!$E127),"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",LEN(Registro!$E127))),({1,2,3,4,5,6,7,8,9,10,11,12,13,14,15,16,17,18,19,20,21,22,23,24,25,26,27,28,29,30}-1)*LEN(Registro!$E127)+1,LEN(Registro!$E127))),FIND("x",TRIM(MID(SUBSTITUTE(SUBSTITUTE(SUBSTITUTE(SUBSTITUTE(SUBSTITUTE(LOWER(Registro!$E127),"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",LEN(Registro!$E127))),({1,2,3,4,5,6,7,8,9,10,11,12,13,14,15,16,17,18,19,20,21,22,23,24,25,26,27,28,29,30}-1)*LEN(Registro!$E127)+1,LEN(Registro!$E127)))&amp;"x")-1))),"Revisar formato")))</f>
        <v/>
      </c>
      <c r="E127" s="24" t="str">
        <f>IF(Registro!$E127="","",IF(ISERROR(FIND("x",LOWER(Registro!$E127))),"-",IFERROR(SUMPRODUCT(--("0"&amp;LEFT(TRIM(MID(SUBSTITUTE(SUBSTITUTE(SUBSTITUTE(SUBSTITUTE(SUBSTITUTE(LOWER(Registro!$E127),"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",LEN(Registro!$E127))),({1,2,3,4,5,6,7,8,9,10,11,12,13,14,15,16,17,18,19,20,21,22,23,24,25,26,27,28,29,30}-1)*LEN(Registro!$E127)+1,LEN(Registro!$E127))),FIND("x",TRIM(MID(SUBSTITUTE(SUBSTITUTE(SUBSTITUTE(SUBSTITUTE(SUBSTITUTE(LOWER(Registro!$E127),"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",LEN(Registro!$E127))),({1,2,3,4,5,6,7,8,9,10,11,12,13,14,15,16,17,18,19,20,21,22,23,24,25,26,27,28,29,30}-1)*LEN(Registro!$E127)+1,LEN(Registro!$E127)))&amp;"x")-1)),--("0"&amp;MID(TRIM(MID(SUBSTITUTE(SUBSTITUTE(SUBSTITUTE(SUBSTITUTE(SUBSTITUTE(LOWER(Registro!$E127),"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",LEN(Registro!$E127))),({1,2,3,4,5,6,7,8,9,10,11,12,13,14,15,16,17,18,19,20,21,22,23,24,25,26,27,28,29,30}-1)*LEN(Registro!$E127)+1,LEN(Registro!$E127))),FIND("x",TRIM(MID(SUBSTITUTE(SUBSTITUTE(SUBSTITUTE(SUBSTITUTE(SUBSTITUTE(LOWER(Registro!$E127),"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",LEN(Registro!$E127))),({1,2,3,4,5,6,7,8,9,10,11,12,13,14,15,16,17,18,19,20,21,22,23,24,25,26,27,28,29,30}-1)*LEN(Registro!$E127)+1,LEN(Registro!$E127)))&amp;"x")+1,20))),"Revisar formato")))</f>
        <v/>
      </c>
      <c r="F127" s="23" t="str">
        <f>IF(Registro!$F127="","",IF(ISERROR(FIND("x",LOWER(Registro!$F127))),"-",IFERROR(SUMPRODUCT(--("0"&amp;LEFT(TRIM(MID(SUBSTITUTE(SUBSTITUTE(SUBSTITUTE(SUBSTITUTE(SUBSTITUTE(LOWER(Registro!$F127)," ",""),CHAR(10),"|"),";","|"),"+","|"),"|",REPT(" ",LEN(Registro!$F127))),({1,2,3,4,5,6,7,8,9,10,11,12,13,14,15,16,17,18,19,20,21,22,23,24,25,26,27,28,29,30}-1)*LEN(Registro!$F127)+1,LEN(Registro!$F127))),FIND("x",TRIM(MID(SUBSTITUTE(SUBSTITUTE(SUBSTITUTE(SUBSTITUTE(SUBSTITUTE(LOWER(Registro!$F127)," ",""),CHAR(10),"|"),";","|"),"+","|"),"|",REPT(" ",LEN(Registro!$F127))),({1,2,3,4,5,6,7,8,9,10,11,12,13,14,15,16,17,18,19,20,21,22,23,24,25,26,27,28,29,30}-1)*LEN(Registro!$F127)+1,LEN(Registro!$F127)))&amp;"x")-1))),"Revisar formato")))</f>
        <v/>
      </c>
      <c r="G127" s="24" t="str">
        <f>IF(Registro!$F127="","",IF(ISERROR(FIND("x",LOWER(Registro!$F127))),N(Registro!$G127),IFERROR(SUMPRODUCT(--("0"&amp;LEFT(TRIM(MID(SUBSTITUTE(SUBSTITUTE(SUBSTITUTE(SUBSTITUTE(SUBSTITUTE(LOWER(Registro!$F127)," ",""),CHAR(10),"|"),";","|"),"+","|"),"|",REPT(" ",LEN(Registro!$F127))),({1,2,3,4,5,6,7,8,9,10,11,12,13,14,15,16,17,18,19,20,21,22,23,24,25,26,27,28,29,30}-1)*LEN(Registro!$F127)+1,LEN(Registro!$F127))),FIND("x",TRIM(MID(SUBSTITUTE(SUBSTITUTE(SUBSTITUTE(SUBSTITUTE(SUBSTITUTE(LOWER(Registro!$F127)," ",""),CHAR(10),"|"),";","|"),"+","|"),"|",REPT(" ",LEN(Registro!$F127))),({1,2,3,4,5,6,7,8,9,10,11,12,13,14,15,16,17,18,19,20,21,22,23,24,25,26,27,28,29,30}-1)*LEN(Registro!$F127)+1,LEN(Registro!$F127)))&amp;"x")-1)),--("0"&amp;MID(TRIM(MID(SUBSTITUTE(SUBSTITUTE(SUBSTITUTE(SUBSTITUTE(SUBSTITUTE(LOWER(Registro!$F127)," ",""),CHAR(10),"|"),";","|"),"+","|"),"|",REPT(" ",LEN(Registro!$F127))),({1,2,3,4,5,6,7,8,9,10,11,12,13,14,15,16,17,18,19,20,21,22,23,24,25,26,27,28,29,30}-1)*LEN(Registro!$F127)+1,LEN(Registro!$F127))),FIND("x",TRIM(MID(SUBSTITUTE(SUBSTITUTE(SUBSTITUTE(SUBSTITUTE(SUBSTITUTE(LOWER(Registro!$F127)," ",""),CHAR(10),"|"),";","|"),"+","|"),"|",REPT(" ",LEN(Registro!$F127))),({1,2,3,4,5,6,7,8,9,10,11,12,13,14,15,16,17,18,19,20,21,22,23,24,25,26,27,28,29,30}-1)*LEN(Registro!$F127)+1,LEN(Registro!$F127)))&amp;"x")+1,20))),"Revisar formato")))</f>
        <v/>
      </c>
      <c r="H127" s="21" t="str">
        <f>IF(AND(Registro!$E127="",Registro!$F127=""),"",IF(NOT(AND(ISNUMBER(G127),ISNUMBER(Registro!$G127))),"",IF(G127&lt;Registro!$G127,"FALTA BOLETOS",IF(G127=Registro!$G127,"CONFORME","DIFERENCIA"))))</f>
        <v/>
      </c>
      <c r="I127" s="24" t="str">
        <f>IF(Registro!$H127="","",IFERROR(SUMPRODUCT(--("0"&amp;TRIM(RIGHT(SUBSTITUTE(TRIM(MID(SUBSTITUTE(SUBSTITUTE(Registro!$H127,";",CHAR(10)),CHAR(10),REPT(" ",LEN(Registro!$H127))),({1,2,3,4,5,6,7,8,9,10,11,12,13,14,15,16,17,18,19,20,21,22,23,24,25,26,27,28,29,30}-1)*LEN(Registro!$H127)+1,LEN(Registro!$H127)))," ",REPT(" ",50)),50)))),"Revisar formato"))</f>
        <v/>
      </c>
      <c r="J127" s="24" t="str">
        <f>IF(Registro!$I127="","",IFERROR(SUMPRODUCT(--("0"&amp;TRIM(RIGHT(SUBSTITUTE(TRIM(MID(SUBSTITUTE(SUBSTITUTE(Registro!$I127,";",CHAR(10)),CHAR(10),REPT(" ",LEN(Registro!$I127))),({1,2,3,4,5,6,7,8,9,10,11,12,13,14,15,16,17,18,19,20,21,22,23,24,25,26,27,28,29,30}-1)*LEN(Registro!$I127)+1,LEN(Registro!$I127)))," ",REPT(" ",50)),50)))),"Revisar formato"))</f>
        <v/>
      </c>
      <c r="K127" s="24" t="str">
        <f>IF(AND(Registro!$G127="",Registro!$H127=""),"",IF(AND(ISTEXT(I127),I127&lt;&gt;""),"Revisar formato",N(Registro!$G127)-N(I127)))</f>
        <v/>
      </c>
      <c r="L127" s="24" t="str">
        <f t="shared" si="3"/>
        <v/>
      </c>
      <c r="M127" s="36" t="str">
        <f>IF(AND(A127=Consulta!$B$3,C127=Consulta!$H$3),B127*10000+ROW(),"")</f>
        <v/>
      </c>
    </row>
    <row r="128" spans="1:13" x14ac:dyDescent="0.25">
      <c r="A128" s="21" t="str">
        <f>IF(Registro!$A128="","",Registro!$A128)</f>
        <v/>
      </c>
      <c r="B128" s="20" t="str">
        <f>IF(Registro!$B128="","",Registro!$B128)</f>
        <v/>
      </c>
      <c r="C128" s="35" t="str">
        <f t="shared" si="2"/>
        <v/>
      </c>
      <c r="D128" s="23" t="str">
        <f>IF(Registro!$E128="","",IF(ISERROR(FIND("x",LOWER(Registro!$E128))),"-",IFERROR(SUMPRODUCT(--("0"&amp;LEFT(TRIM(MID(SUBSTITUTE(SUBSTITUTE(SUBSTITUTE(SUBSTITUTE(SUBSTITUTE(LOWER(Registro!$E128),"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",LEN(Registro!$E128))),({1,2,3,4,5,6,7,8,9,10,11,12,13,14,15,16,17,18,19,20,21,22,23,24,25,26,27,28,29,30}-1)*LEN(Registro!$E128)+1,LEN(Registro!$E128))),FIND("x",TRIM(MID(SUBSTITUTE(SUBSTITUTE(SUBSTITUTE(SUBSTITUTE(SUBSTITUTE(LOWER(Registro!$E128),"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",LEN(Registro!$E128))),({1,2,3,4,5,6,7,8,9,10,11,12,13,14,15,16,17,18,19,20,21,22,23,24,25,26,27,28,29,30}-1)*LEN(Registro!$E128)+1,LEN(Registro!$E128)))&amp;"x")-1))),"Revisar formato")))</f>
        <v/>
      </c>
      <c r="E128" s="24" t="str">
        <f>IF(Registro!$E128="","",IF(ISERROR(FIND("x",LOWER(Registro!$E128))),"-",IFERROR(SUMPRODUCT(--("0"&amp;LEFT(TRIM(MID(SUBSTITUTE(SUBSTITUTE(SUBSTITUTE(SUBSTITUTE(SUBSTITUTE(LOWER(Registro!$E128),"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",LEN(Registro!$E128))),({1,2,3,4,5,6,7,8,9,10,11,12,13,14,15,16,17,18,19,20,21,22,23,24,25,26,27,28,29,30}-1)*LEN(Registro!$E128)+1,LEN(Registro!$E128))),FIND("x",TRIM(MID(SUBSTITUTE(SUBSTITUTE(SUBSTITUTE(SUBSTITUTE(SUBSTITUTE(LOWER(Registro!$E128),"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",LEN(Registro!$E128))),({1,2,3,4,5,6,7,8,9,10,11,12,13,14,15,16,17,18,19,20,21,22,23,24,25,26,27,28,29,30}-1)*LEN(Registro!$E128)+1,LEN(Registro!$E128)))&amp;"x")-1)),--("0"&amp;MID(TRIM(MID(SUBSTITUTE(SUBSTITUTE(SUBSTITUTE(SUBSTITUTE(SUBSTITUTE(LOWER(Registro!$E128),"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",LEN(Registro!$E128))),({1,2,3,4,5,6,7,8,9,10,11,12,13,14,15,16,17,18,19,20,21,22,23,24,25,26,27,28,29,30}-1)*LEN(Registro!$E128)+1,LEN(Registro!$E128))),FIND("x",TRIM(MID(SUBSTITUTE(SUBSTITUTE(SUBSTITUTE(SUBSTITUTE(SUBSTITUTE(LOWER(Registro!$E128),"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",LEN(Registro!$E128))),({1,2,3,4,5,6,7,8,9,10,11,12,13,14,15,16,17,18,19,20,21,22,23,24,25,26,27,28,29,30}-1)*LEN(Registro!$E128)+1,LEN(Registro!$E128)))&amp;"x")+1,20))),"Revisar formato")))</f>
        <v/>
      </c>
      <c r="F128" s="23" t="str">
        <f>IF(Registro!$F128="","",IF(ISERROR(FIND("x",LOWER(Registro!$F128))),"-",IFERROR(SUMPRODUCT(--("0"&amp;LEFT(TRIM(MID(SUBSTITUTE(SUBSTITUTE(SUBSTITUTE(SUBSTITUTE(SUBSTITUTE(LOWER(Registro!$F128)," ",""),CHAR(10),"|"),";","|"),"+","|"),"|",REPT(" ",LEN(Registro!$F128))),({1,2,3,4,5,6,7,8,9,10,11,12,13,14,15,16,17,18,19,20,21,22,23,24,25,26,27,28,29,30}-1)*LEN(Registro!$F128)+1,LEN(Registro!$F128))),FIND("x",TRIM(MID(SUBSTITUTE(SUBSTITUTE(SUBSTITUTE(SUBSTITUTE(SUBSTITUTE(LOWER(Registro!$F128)," ",""),CHAR(10),"|"),";","|"),"+","|"),"|",REPT(" ",LEN(Registro!$F128))),({1,2,3,4,5,6,7,8,9,10,11,12,13,14,15,16,17,18,19,20,21,22,23,24,25,26,27,28,29,30}-1)*LEN(Registro!$F128)+1,LEN(Registro!$F128)))&amp;"x")-1))),"Revisar formato")))</f>
        <v/>
      </c>
      <c r="G128" s="24" t="str">
        <f>IF(Registro!$F128="","",IF(ISERROR(FIND("x",LOWER(Registro!$F128))),N(Registro!$G128),IFERROR(SUMPRODUCT(--("0"&amp;LEFT(TRIM(MID(SUBSTITUTE(SUBSTITUTE(SUBSTITUTE(SUBSTITUTE(SUBSTITUTE(LOWER(Registro!$F128)," ",""),CHAR(10),"|"),";","|"),"+","|"),"|",REPT(" ",LEN(Registro!$F128))),({1,2,3,4,5,6,7,8,9,10,11,12,13,14,15,16,17,18,19,20,21,22,23,24,25,26,27,28,29,30}-1)*LEN(Registro!$F128)+1,LEN(Registro!$F128))),FIND("x",TRIM(MID(SUBSTITUTE(SUBSTITUTE(SUBSTITUTE(SUBSTITUTE(SUBSTITUTE(LOWER(Registro!$F128)," ",""),CHAR(10),"|"),";","|"),"+","|"),"|",REPT(" ",LEN(Registro!$F128))),({1,2,3,4,5,6,7,8,9,10,11,12,13,14,15,16,17,18,19,20,21,22,23,24,25,26,27,28,29,30}-1)*LEN(Registro!$F128)+1,LEN(Registro!$F128)))&amp;"x")-1)),--("0"&amp;MID(TRIM(MID(SUBSTITUTE(SUBSTITUTE(SUBSTITUTE(SUBSTITUTE(SUBSTITUTE(LOWER(Registro!$F128)," ",""),CHAR(10),"|"),";","|"),"+","|"),"|",REPT(" ",LEN(Registro!$F128))),({1,2,3,4,5,6,7,8,9,10,11,12,13,14,15,16,17,18,19,20,21,22,23,24,25,26,27,28,29,30}-1)*LEN(Registro!$F128)+1,LEN(Registro!$F128))),FIND("x",TRIM(MID(SUBSTITUTE(SUBSTITUTE(SUBSTITUTE(SUBSTITUTE(SUBSTITUTE(LOWER(Registro!$F128)," ",""),CHAR(10),"|"),";","|"),"+","|"),"|",REPT(" ",LEN(Registro!$F128))),({1,2,3,4,5,6,7,8,9,10,11,12,13,14,15,16,17,18,19,20,21,22,23,24,25,26,27,28,29,30}-1)*LEN(Registro!$F128)+1,LEN(Registro!$F128)))&amp;"x")+1,20))),"Revisar formato")))</f>
        <v/>
      </c>
      <c r="H128" s="21" t="str">
        <f>IF(AND(Registro!$E128="",Registro!$F128=""),"",IF(NOT(AND(ISNUMBER(G128),ISNUMBER(Registro!$G128))),"",IF(G128&lt;Registro!$G128,"FALTA BOLETOS",IF(G128=Registro!$G128,"CONFORME","DIFERENCIA"))))</f>
        <v/>
      </c>
      <c r="I128" s="24" t="str">
        <f>IF(Registro!$H128="","",IFERROR(SUMPRODUCT(--("0"&amp;TRIM(RIGHT(SUBSTITUTE(TRIM(MID(SUBSTITUTE(SUBSTITUTE(Registro!$H128,";",CHAR(10)),CHAR(10),REPT(" ",LEN(Registro!$H128))),({1,2,3,4,5,6,7,8,9,10,11,12,13,14,15,16,17,18,19,20,21,22,23,24,25,26,27,28,29,30}-1)*LEN(Registro!$H128)+1,LEN(Registro!$H128)))," ",REPT(" ",50)),50)))),"Revisar formato"))</f>
        <v/>
      </c>
      <c r="J128" s="24" t="str">
        <f>IF(Registro!$I128="","",IFERROR(SUMPRODUCT(--("0"&amp;TRIM(RIGHT(SUBSTITUTE(TRIM(MID(SUBSTITUTE(SUBSTITUTE(Registro!$I128,";",CHAR(10)),CHAR(10),REPT(" ",LEN(Registro!$I128))),({1,2,3,4,5,6,7,8,9,10,11,12,13,14,15,16,17,18,19,20,21,22,23,24,25,26,27,28,29,30}-1)*LEN(Registro!$I128)+1,LEN(Registro!$I128)))," ",REPT(" ",50)),50)))),"Revisar formato"))</f>
        <v/>
      </c>
      <c r="K128" s="24" t="str">
        <f>IF(AND(Registro!$G128="",Registro!$H128=""),"",IF(AND(ISTEXT(I128),I128&lt;&gt;""),"Revisar formato",N(Registro!$G128)-N(I128)))</f>
        <v/>
      </c>
      <c r="L128" s="24" t="str">
        <f t="shared" si="3"/>
        <v/>
      </c>
      <c r="M128" s="36" t="str">
        <f>IF(AND(A128=Consulta!$B$3,C128=Consulta!$H$3),B128*10000+ROW(),"")</f>
        <v/>
      </c>
    </row>
    <row r="129" spans="1:13" x14ac:dyDescent="0.25">
      <c r="A129" s="21" t="str">
        <f>IF(Registro!$A129="","",Registro!$A129)</f>
        <v/>
      </c>
      <c r="B129" s="20" t="str">
        <f>IF(Registro!$B129="","",Registro!$B129)</f>
        <v/>
      </c>
      <c r="C129" s="35" t="str">
        <f t="shared" si="2"/>
        <v/>
      </c>
      <c r="D129" s="23" t="str">
        <f>IF(Registro!$E129="","",IF(ISERROR(FIND("x",LOWER(Registro!$E129))),"-",IFERROR(SUMPRODUCT(--("0"&amp;LEFT(TRIM(MID(SUBSTITUTE(SUBSTITUTE(SUBSTITUTE(SUBSTITUTE(SUBSTITUTE(LOWER(Registro!$E129),"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",LEN(Registro!$E129))),({1,2,3,4,5,6,7,8,9,10,11,12,13,14,15,16,17,18,19,20,21,22,23,24,25,26,27,28,29,30}-1)*LEN(Registro!$E129)+1,LEN(Registro!$E129))),FIND("x",TRIM(MID(SUBSTITUTE(SUBSTITUTE(SUBSTITUTE(SUBSTITUTE(SUBSTITUTE(LOWER(Registro!$E129),"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",LEN(Registro!$E129))),({1,2,3,4,5,6,7,8,9,10,11,12,13,14,15,16,17,18,19,20,21,22,23,24,25,26,27,28,29,30}-1)*LEN(Registro!$E129)+1,LEN(Registro!$E129)))&amp;"x")-1))),"Revisar formato")))</f>
        <v/>
      </c>
      <c r="E129" s="24" t="str">
        <f>IF(Registro!$E129="","",IF(ISERROR(FIND("x",LOWER(Registro!$E129))),"-",IFERROR(SUMPRODUCT(--("0"&amp;LEFT(TRIM(MID(SUBSTITUTE(SUBSTITUTE(SUBSTITUTE(SUBSTITUTE(SUBSTITUTE(LOWER(Registro!$E129),"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",LEN(Registro!$E129))),({1,2,3,4,5,6,7,8,9,10,11,12,13,14,15,16,17,18,19,20,21,22,23,24,25,26,27,28,29,30}-1)*LEN(Registro!$E129)+1,LEN(Registro!$E129))),FIND("x",TRIM(MID(SUBSTITUTE(SUBSTITUTE(SUBSTITUTE(SUBSTITUTE(SUBSTITUTE(LOWER(Registro!$E129),"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",LEN(Registro!$E129))),({1,2,3,4,5,6,7,8,9,10,11,12,13,14,15,16,17,18,19,20,21,22,23,24,25,26,27,28,29,30}-1)*LEN(Registro!$E129)+1,LEN(Registro!$E129)))&amp;"x")-1)),--("0"&amp;MID(TRIM(MID(SUBSTITUTE(SUBSTITUTE(SUBSTITUTE(SUBSTITUTE(SUBSTITUTE(LOWER(Registro!$E129),"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",LEN(Registro!$E129))),({1,2,3,4,5,6,7,8,9,10,11,12,13,14,15,16,17,18,19,20,21,22,23,24,25,26,27,28,29,30}-1)*LEN(Registro!$E129)+1,LEN(Registro!$E129))),FIND("x",TRIM(MID(SUBSTITUTE(SUBSTITUTE(SUBSTITUTE(SUBSTITUTE(SUBSTITUTE(LOWER(Registro!$E129),"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",LEN(Registro!$E129))),({1,2,3,4,5,6,7,8,9,10,11,12,13,14,15,16,17,18,19,20,21,22,23,24,25,26,27,28,29,30}-1)*LEN(Registro!$E129)+1,LEN(Registro!$E129)))&amp;"x")+1,20))),"Revisar formato")))</f>
        <v/>
      </c>
      <c r="F129" s="23" t="str">
        <f>IF(Registro!$F129="","",IF(ISERROR(FIND("x",LOWER(Registro!$F129))),"-",IFERROR(SUMPRODUCT(--("0"&amp;LEFT(TRIM(MID(SUBSTITUTE(SUBSTITUTE(SUBSTITUTE(SUBSTITUTE(SUBSTITUTE(LOWER(Registro!$F129)," ",""),CHAR(10),"|"),";","|"),"+","|"),"|",REPT(" ",LEN(Registro!$F129))),({1,2,3,4,5,6,7,8,9,10,11,12,13,14,15,16,17,18,19,20,21,22,23,24,25,26,27,28,29,30}-1)*LEN(Registro!$F129)+1,LEN(Registro!$F129))),FIND("x",TRIM(MID(SUBSTITUTE(SUBSTITUTE(SUBSTITUTE(SUBSTITUTE(SUBSTITUTE(LOWER(Registro!$F129)," ",""),CHAR(10),"|"),";","|"),"+","|"),"|",REPT(" ",LEN(Registro!$F129))),({1,2,3,4,5,6,7,8,9,10,11,12,13,14,15,16,17,18,19,20,21,22,23,24,25,26,27,28,29,30}-1)*LEN(Registro!$F129)+1,LEN(Registro!$F129)))&amp;"x")-1))),"Revisar formato")))</f>
        <v/>
      </c>
      <c r="G129" s="24" t="str">
        <f>IF(Registro!$F129="","",IF(ISERROR(FIND("x",LOWER(Registro!$F129))),N(Registro!$G129),IFERROR(SUMPRODUCT(--("0"&amp;LEFT(TRIM(MID(SUBSTITUTE(SUBSTITUTE(SUBSTITUTE(SUBSTITUTE(SUBSTITUTE(LOWER(Registro!$F129)," ",""),CHAR(10),"|"),";","|"),"+","|"),"|",REPT(" ",LEN(Registro!$F129))),({1,2,3,4,5,6,7,8,9,10,11,12,13,14,15,16,17,18,19,20,21,22,23,24,25,26,27,28,29,30}-1)*LEN(Registro!$F129)+1,LEN(Registro!$F129))),FIND("x",TRIM(MID(SUBSTITUTE(SUBSTITUTE(SUBSTITUTE(SUBSTITUTE(SUBSTITUTE(LOWER(Registro!$F129)," ",""),CHAR(10),"|"),";","|"),"+","|"),"|",REPT(" ",LEN(Registro!$F129))),({1,2,3,4,5,6,7,8,9,10,11,12,13,14,15,16,17,18,19,20,21,22,23,24,25,26,27,28,29,30}-1)*LEN(Registro!$F129)+1,LEN(Registro!$F129)))&amp;"x")-1)),--("0"&amp;MID(TRIM(MID(SUBSTITUTE(SUBSTITUTE(SUBSTITUTE(SUBSTITUTE(SUBSTITUTE(LOWER(Registro!$F129)," ",""),CHAR(10),"|"),";","|"),"+","|"),"|",REPT(" ",LEN(Registro!$F129))),({1,2,3,4,5,6,7,8,9,10,11,12,13,14,15,16,17,18,19,20,21,22,23,24,25,26,27,28,29,30}-1)*LEN(Registro!$F129)+1,LEN(Registro!$F129))),FIND("x",TRIM(MID(SUBSTITUTE(SUBSTITUTE(SUBSTITUTE(SUBSTITUTE(SUBSTITUTE(LOWER(Registro!$F129)," ",""),CHAR(10),"|"),";","|"),"+","|"),"|",REPT(" ",LEN(Registro!$F129))),({1,2,3,4,5,6,7,8,9,10,11,12,13,14,15,16,17,18,19,20,21,22,23,24,25,26,27,28,29,30}-1)*LEN(Registro!$F129)+1,LEN(Registro!$F129)))&amp;"x")+1,20))),"Revisar formato")))</f>
        <v/>
      </c>
      <c r="H129" s="21" t="str">
        <f>IF(AND(Registro!$E129="",Registro!$F129=""),"",IF(NOT(AND(ISNUMBER(G129),ISNUMBER(Registro!$G129))),"",IF(G129&lt;Registro!$G129,"FALTA BOLETOS",IF(G129=Registro!$G129,"CONFORME","DIFERENCIA"))))</f>
        <v/>
      </c>
      <c r="I129" s="24" t="str">
        <f>IF(Registro!$H129="","",IFERROR(SUMPRODUCT(--("0"&amp;TRIM(RIGHT(SUBSTITUTE(TRIM(MID(SUBSTITUTE(SUBSTITUTE(Registro!$H129,";",CHAR(10)),CHAR(10),REPT(" ",LEN(Registro!$H129))),({1,2,3,4,5,6,7,8,9,10,11,12,13,14,15,16,17,18,19,20,21,22,23,24,25,26,27,28,29,30}-1)*LEN(Registro!$H129)+1,LEN(Registro!$H129)))," ",REPT(" ",50)),50)))),"Revisar formato"))</f>
        <v/>
      </c>
      <c r="J129" s="24" t="str">
        <f>IF(Registro!$I129="","",IFERROR(SUMPRODUCT(--("0"&amp;TRIM(RIGHT(SUBSTITUTE(TRIM(MID(SUBSTITUTE(SUBSTITUTE(Registro!$I129,";",CHAR(10)),CHAR(10),REPT(" ",LEN(Registro!$I129))),({1,2,3,4,5,6,7,8,9,10,11,12,13,14,15,16,17,18,19,20,21,22,23,24,25,26,27,28,29,30}-1)*LEN(Registro!$I129)+1,LEN(Registro!$I129)))," ",REPT(" ",50)),50)))),"Revisar formato"))</f>
        <v/>
      </c>
      <c r="K129" s="24" t="str">
        <f>IF(AND(Registro!$G129="",Registro!$H129=""),"",IF(AND(ISTEXT(I129),I129&lt;&gt;""),"Revisar formato",N(Registro!$G129)-N(I129)))</f>
        <v/>
      </c>
      <c r="L129" s="24" t="str">
        <f t="shared" si="3"/>
        <v/>
      </c>
      <c r="M129" s="36" t="str">
        <f>IF(AND(A129=Consulta!$B$3,C129=Consulta!$H$3),B129*10000+ROW(),"")</f>
        <v/>
      </c>
    </row>
    <row r="130" spans="1:13" x14ac:dyDescent="0.25">
      <c r="A130" s="21" t="str">
        <f>IF(Registro!$A130="","",Registro!$A130)</f>
        <v/>
      </c>
      <c r="B130" s="20" t="str">
        <f>IF(Registro!$B130="","",Registro!$B130)</f>
        <v/>
      </c>
      <c r="C130" s="35" t="str">
        <f t="shared" ref="C130:C193" si="4">IF(ISNUMBER(B130),YEAR(B130)*100+MONTH(B130),"")</f>
        <v/>
      </c>
      <c r="D130" s="23" t="str">
        <f>IF(Registro!$E130="","",IF(ISERROR(FIND("x",LOWER(Registro!$E130))),"-",IFERROR(SUMPRODUCT(--("0"&amp;LEFT(TRIM(MID(SUBSTITUTE(SUBSTITUTE(SUBSTITUTE(SUBSTITUTE(SUBSTITUTE(LOWER(Registro!$E130),"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",LEN(Registro!$E130))),({1,2,3,4,5,6,7,8,9,10,11,12,13,14,15,16,17,18,19,20,21,22,23,24,25,26,27,28,29,30}-1)*LEN(Registro!$E130)+1,LEN(Registro!$E130))),FIND("x",TRIM(MID(SUBSTITUTE(SUBSTITUTE(SUBSTITUTE(SUBSTITUTE(SUBSTITUTE(LOWER(Registro!$E130),"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",LEN(Registro!$E130))),({1,2,3,4,5,6,7,8,9,10,11,12,13,14,15,16,17,18,19,20,21,22,23,24,25,26,27,28,29,30}-1)*LEN(Registro!$E130)+1,LEN(Registro!$E130)))&amp;"x")-1))),"Revisar formato")))</f>
        <v/>
      </c>
      <c r="E130" s="24" t="str">
        <f>IF(Registro!$E130="","",IF(ISERROR(FIND("x",LOWER(Registro!$E130))),"-",IFERROR(SUMPRODUCT(--("0"&amp;LEFT(TRIM(MID(SUBSTITUTE(SUBSTITUTE(SUBSTITUTE(SUBSTITUTE(SUBSTITUTE(LOWER(Registro!$E130),"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",LEN(Registro!$E130))),({1,2,3,4,5,6,7,8,9,10,11,12,13,14,15,16,17,18,19,20,21,22,23,24,25,26,27,28,29,30}-1)*LEN(Registro!$E130)+1,LEN(Registro!$E130))),FIND("x",TRIM(MID(SUBSTITUTE(SUBSTITUTE(SUBSTITUTE(SUBSTITUTE(SUBSTITUTE(LOWER(Registro!$E130),"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",LEN(Registro!$E130))),({1,2,3,4,5,6,7,8,9,10,11,12,13,14,15,16,17,18,19,20,21,22,23,24,25,26,27,28,29,30}-1)*LEN(Registro!$E130)+1,LEN(Registro!$E130)))&amp;"x")-1)),--("0"&amp;MID(TRIM(MID(SUBSTITUTE(SUBSTITUTE(SUBSTITUTE(SUBSTITUTE(SUBSTITUTE(LOWER(Registro!$E130),"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",LEN(Registro!$E130))),({1,2,3,4,5,6,7,8,9,10,11,12,13,14,15,16,17,18,19,20,21,22,23,24,25,26,27,28,29,30}-1)*LEN(Registro!$E130)+1,LEN(Registro!$E130))),FIND("x",TRIM(MID(SUBSTITUTE(SUBSTITUTE(SUBSTITUTE(SUBSTITUTE(SUBSTITUTE(LOWER(Registro!$E130),"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",LEN(Registro!$E130))),({1,2,3,4,5,6,7,8,9,10,11,12,13,14,15,16,17,18,19,20,21,22,23,24,25,26,27,28,29,30}-1)*LEN(Registro!$E130)+1,LEN(Registro!$E130)))&amp;"x")+1,20))),"Revisar formato")))</f>
        <v/>
      </c>
      <c r="F130" s="23" t="str">
        <f>IF(Registro!$F130="","",IF(ISERROR(FIND("x",LOWER(Registro!$F130))),"-",IFERROR(SUMPRODUCT(--("0"&amp;LEFT(TRIM(MID(SUBSTITUTE(SUBSTITUTE(SUBSTITUTE(SUBSTITUTE(SUBSTITUTE(LOWER(Registro!$F130)," ",""),CHAR(10),"|"),";","|"),"+","|"),"|",REPT(" ",LEN(Registro!$F130))),({1,2,3,4,5,6,7,8,9,10,11,12,13,14,15,16,17,18,19,20,21,22,23,24,25,26,27,28,29,30}-1)*LEN(Registro!$F130)+1,LEN(Registro!$F130))),FIND("x",TRIM(MID(SUBSTITUTE(SUBSTITUTE(SUBSTITUTE(SUBSTITUTE(SUBSTITUTE(LOWER(Registro!$F130)," ",""),CHAR(10),"|"),";","|"),"+","|"),"|",REPT(" ",LEN(Registro!$F130))),({1,2,3,4,5,6,7,8,9,10,11,12,13,14,15,16,17,18,19,20,21,22,23,24,25,26,27,28,29,30}-1)*LEN(Registro!$F130)+1,LEN(Registro!$F130)))&amp;"x")-1))),"Revisar formato")))</f>
        <v/>
      </c>
      <c r="G130" s="24" t="str">
        <f>IF(Registro!$F130="","",IF(ISERROR(FIND("x",LOWER(Registro!$F130))),N(Registro!$G130),IFERROR(SUMPRODUCT(--("0"&amp;LEFT(TRIM(MID(SUBSTITUTE(SUBSTITUTE(SUBSTITUTE(SUBSTITUTE(SUBSTITUTE(LOWER(Registro!$F130)," ",""),CHAR(10),"|"),";","|"),"+","|"),"|",REPT(" ",LEN(Registro!$F130))),({1,2,3,4,5,6,7,8,9,10,11,12,13,14,15,16,17,18,19,20,21,22,23,24,25,26,27,28,29,30}-1)*LEN(Registro!$F130)+1,LEN(Registro!$F130))),FIND("x",TRIM(MID(SUBSTITUTE(SUBSTITUTE(SUBSTITUTE(SUBSTITUTE(SUBSTITUTE(LOWER(Registro!$F130)," ",""),CHAR(10),"|"),";","|"),"+","|"),"|",REPT(" ",LEN(Registro!$F130))),({1,2,3,4,5,6,7,8,9,10,11,12,13,14,15,16,17,18,19,20,21,22,23,24,25,26,27,28,29,30}-1)*LEN(Registro!$F130)+1,LEN(Registro!$F130)))&amp;"x")-1)),--("0"&amp;MID(TRIM(MID(SUBSTITUTE(SUBSTITUTE(SUBSTITUTE(SUBSTITUTE(SUBSTITUTE(LOWER(Registro!$F130)," ",""),CHAR(10),"|"),";","|"),"+","|"),"|",REPT(" ",LEN(Registro!$F130))),({1,2,3,4,5,6,7,8,9,10,11,12,13,14,15,16,17,18,19,20,21,22,23,24,25,26,27,28,29,30}-1)*LEN(Registro!$F130)+1,LEN(Registro!$F130))),FIND("x",TRIM(MID(SUBSTITUTE(SUBSTITUTE(SUBSTITUTE(SUBSTITUTE(SUBSTITUTE(LOWER(Registro!$F130)," ",""),CHAR(10),"|"),";","|"),"+","|"),"|",REPT(" ",LEN(Registro!$F130))),({1,2,3,4,5,6,7,8,9,10,11,12,13,14,15,16,17,18,19,20,21,22,23,24,25,26,27,28,29,30}-1)*LEN(Registro!$F130)+1,LEN(Registro!$F130)))&amp;"x")+1,20))),"Revisar formato")))</f>
        <v/>
      </c>
      <c r="H130" s="21" t="str">
        <f>IF(AND(Registro!$E130="",Registro!$F130=""),"",IF(NOT(AND(ISNUMBER(G130),ISNUMBER(Registro!$G130))),"",IF(G130&lt;Registro!$G130,"FALTA BOLETOS",IF(G130=Registro!$G130,"CONFORME","DIFERENCIA"))))</f>
        <v/>
      </c>
      <c r="I130" s="24" t="str">
        <f>IF(Registro!$H130="","",IFERROR(SUMPRODUCT(--("0"&amp;TRIM(RIGHT(SUBSTITUTE(TRIM(MID(SUBSTITUTE(SUBSTITUTE(Registro!$H130,";",CHAR(10)),CHAR(10),REPT(" ",LEN(Registro!$H130))),({1,2,3,4,5,6,7,8,9,10,11,12,13,14,15,16,17,18,19,20,21,22,23,24,25,26,27,28,29,30}-1)*LEN(Registro!$H130)+1,LEN(Registro!$H130)))," ",REPT(" ",50)),50)))),"Revisar formato"))</f>
        <v/>
      </c>
      <c r="J130" s="24" t="str">
        <f>IF(Registro!$I130="","",IFERROR(SUMPRODUCT(--("0"&amp;TRIM(RIGHT(SUBSTITUTE(TRIM(MID(SUBSTITUTE(SUBSTITUTE(Registro!$I130,";",CHAR(10)),CHAR(10),REPT(" ",LEN(Registro!$I130))),({1,2,3,4,5,6,7,8,9,10,11,12,13,14,15,16,17,18,19,20,21,22,23,24,25,26,27,28,29,30}-1)*LEN(Registro!$I130)+1,LEN(Registro!$I130)))," ",REPT(" ",50)),50)))),"Revisar formato"))</f>
        <v/>
      </c>
      <c r="K130" s="24" t="str">
        <f>IF(AND(Registro!$G130="",Registro!$H130=""),"",IF(AND(ISTEXT(I130),I130&lt;&gt;""),"Revisar formato",N(Registro!$G130)-N(I130)))</f>
        <v/>
      </c>
      <c r="L130" s="24" t="str">
        <f t="shared" ref="L130:L193" si="5">IF(K130="","",IF(OR(K130="Revisar formato",AND(ISTEXT(J130),J130&lt;&gt;"")),"Revisar formato",K130-N(J130)))</f>
        <v/>
      </c>
      <c r="M130" s="36" t="str">
        <f>IF(AND(A130=Consulta!$B$3,C130=Consulta!$H$3),B130*10000+ROW(),"")</f>
        <v/>
      </c>
    </row>
    <row r="131" spans="1:13" x14ac:dyDescent="0.25">
      <c r="A131" s="21" t="str">
        <f>IF(Registro!$A131="","",Registro!$A131)</f>
        <v/>
      </c>
      <c r="B131" s="20" t="str">
        <f>IF(Registro!$B131="","",Registro!$B131)</f>
        <v/>
      </c>
      <c r="C131" s="35" t="str">
        <f t="shared" si="4"/>
        <v/>
      </c>
      <c r="D131" s="23" t="str">
        <f>IF(Registro!$E131="","",IF(ISERROR(FIND("x",LOWER(Registro!$E131))),"-",IFERROR(SUMPRODUCT(--("0"&amp;LEFT(TRIM(MID(SUBSTITUTE(SUBSTITUTE(SUBSTITUTE(SUBSTITUTE(SUBSTITUTE(LOWER(Registro!$E131),"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",LEN(Registro!$E131))),({1,2,3,4,5,6,7,8,9,10,11,12,13,14,15,16,17,18,19,20,21,22,23,24,25,26,27,28,29,30}-1)*LEN(Registro!$E131)+1,LEN(Registro!$E131))),FIND("x",TRIM(MID(SUBSTITUTE(SUBSTITUTE(SUBSTITUTE(SUBSTITUTE(SUBSTITUTE(LOWER(Registro!$E131),"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",LEN(Registro!$E131))),({1,2,3,4,5,6,7,8,9,10,11,12,13,14,15,16,17,18,19,20,21,22,23,24,25,26,27,28,29,30}-1)*LEN(Registro!$E131)+1,LEN(Registro!$E131)))&amp;"x")-1))),"Revisar formato")))</f>
        <v/>
      </c>
      <c r="E131" s="24" t="str">
        <f>IF(Registro!$E131="","",IF(ISERROR(FIND("x",LOWER(Registro!$E131))),"-",IFERROR(SUMPRODUCT(--("0"&amp;LEFT(TRIM(MID(SUBSTITUTE(SUBSTITUTE(SUBSTITUTE(SUBSTITUTE(SUBSTITUTE(LOWER(Registro!$E131),"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",LEN(Registro!$E131))),({1,2,3,4,5,6,7,8,9,10,11,12,13,14,15,16,17,18,19,20,21,22,23,24,25,26,27,28,29,30}-1)*LEN(Registro!$E131)+1,LEN(Registro!$E131))),FIND("x",TRIM(MID(SUBSTITUTE(SUBSTITUTE(SUBSTITUTE(SUBSTITUTE(SUBSTITUTE(LOWER(Registro!$E131),"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",LEN(Registro!$E131))),({1,2,3,4,5,6,7,8,9,10,11,12,13,14,15,16,17,18,19,20,21,22,23,24,25,26,27,28,29,30}-1)*LEN(Registro!$E131)+1,LEN(Registro!$E131)))&amp;"x")-1)),--("0"&amp;MID(TRIM(MID(SUBSTITUTE(SUBSTITUTE(SUBSTITUTE(SUBSTITUTE(SUBSTITUTE(LOWER(Registro!$E131),"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",LEN(Registro!$E131))),({1,2,3,4,5,6,7,8,9,10,11,12,13,14,15,16,17,18,19,20,21,22,23,24,25,26,27,28,29,30}-1)*LEN(Registro!$E131)+1,LEN(Registro!$E131))),FIND("x",TRIM(MID(SUBSTITUTE(SUBSTITUTE(SUBSTITUTE(SUBSTITUTE(SUBSTITUTE(LOWER(Registro!$E131),"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",LEN(Registro!$E131))),({1,2,3,4,5,6,7,8,9,10,11,12,13,14,15,16,17,18,19,20,21,22,23,24,25,26,27,28,29,30}-1)*LEN(Registro!$E131)+1,LEN(Registro!$E131)))&amp;"x")+1,20))),"Revisar formato")))</f>
        <v/>
      </c>
      <c r="F131" s="23" t="str">
        <f>IF(Registro!$F131="","",IF(ISERROR(FIND("x",LOWER(Registro!$F131))),"-",IFERROR(SUMPRODUCT(--("0"&amp;LEFT(TRIM(MID(SUBSTITUTE(SUBSTITUTE(SUBSTITUTE(SUBSTITUTE(SUBSTITUTE(LOWER(Registro!$F131)," ",""),CHAR(10),"|"),";","|"),"+","|"),"|",REPT(" ",LEN(Registro!$F131))),({1,2,3,4,5,6,7,8,9,10,11,12,13,14,15,16,17,18,19,20,21,22,23,24,25,26,27,28,29,30}-1)*LEN(Registro!$F131)+1,LEN(Registro!$F131))),FIND("x",TRIM(MID(SUBSTITUTE(SUBSTITUTE(SUBSTITUTE(SUBSTITUTE(SUBSTITUTE(LOWER(Registro!$F131)," ",""),CHAR(10),"|"),";","|"),"+","|"),"|",REPT(" ",LEN(Registro!$F131))),({1,2,3,4,5,6,7,8,9,10,11,12,13,14,15,16,17,18,19,20,21,22,23,24,25,26,27,28,29,30}-1)*LEN(Registro!$F131)+1,LEN(Registro!$F131)))&amp;"x")-1))),"Revisar formato")))</f>
        <v/>
      </c>
      <c r="G131" s="24" t="str">
        <f>IF(Registro!$F131="","",IF(ISERROR(FIND("x",LOWER(Registro!$F131))),N(Registro!$G131),IFERROR(SUMPRODUCT(--("0"&amp;LEFT(TRIM(MID(SUBSTITUTE(SUBSTITUTE(SUBSTITUTE(SUBSTITUTE(SUBSTITUTE(LOWER(Registro!$F131)," ",""),CHAR(10),"|"),";","|"),"+","|"),"|",REPT(" ",LEN(Registro!$F131))),({1,2,3,4,5,6,7,8,9,10,11,12,13,14,15,16,17,18,19,20,21,22,23,24,25,26,27,28,29,30}-1)*LEN(Registro!$F131)+1,LEN(Registro!$F131))),FIND("x",TRIM(MID(SUBSTITUTE(SUBSTITUTE(SUBSTITUTE(SUBSTITUTE(SUBSTITUTE(LOWER(Registro!$F131)," ",""),CHAR(10),"|"),";","|"),"+","|"),"|",REPT(" ",LEN(Registro!$F131))),({1,2,3,4,5,6,7,8,9,10,11,12,13,14,15,16,17,18,19,20,21,22,23,24,25,26,27,28,29,30}-1)*LEN(Registro!$F131)+1,LEN(Registro!$F131)))&amp;"x")-1)),--("0"&amp;MID(TRIM(MID(SUBSTITUTE(SUBSTITUTE(SUBSTITUTE(SUBSTITUTE(SUBSTITUTE(LOWER(Registro!$F131)," ",""),CHAR(10),"|"),";","|"),"+","|"),"|",REPT(" ",LEN(Registro!$F131))),({1,2,3,4,5,6,7,8,9,10,11,12,13,14,15,16,17,18,19,20,21,22,23,24,25,26,27,28,29,30}-1)*LEN(Registro!$F131)+1,LEN(Registro!$F131))),FIND("x",TRIM(MID(SUBSTITUTE(SUBSTITUTE(SUBSTITUTE(SUBSTITUTE(SUBSTITUTE(LOWER(Registro!$F131)," ",""),CHAR(10),"|"),";","|"),"+","|"),"|",REPT(" ",LEN(Registro!$F131))),({1,2,3,4,5,6,7,8,9,10,11,12,13,14,15,16,17,18,19,20,21,22,23,24,25,26,27,28,29,30}-1)*LEN(Registro!$F131)+1,LEN(Registro!$F131)))&amp;"x")+1,20))),"Revisar formato")))</f>
        <v/>
      </c>
      <c r="H131" s="21" t="str">
        <f>IF(AND(Registro!$E131="",Registro!$F131=""),"",IF(NOT(AND(ISNUMBER(G131),ISNUMBER(Registro!$G131))),"",IF(G131&lt;Registro!$G131,"FALTA BOLETOS",IF(G131=Registro!$G131,"CONFORME","DIFERENCIA"))))</f>
        <v/>
      </c>
      <c r="I131" s="24" t="str">
        <f>IF(Registro!$H131="","",IFERROR(SUMPRODUCT(--("0"&amp;TRIM(RIGHT(SUBSTITUTE(TRIM(MID(SUBSTITUTE(SUBSTITUTE(Registro!$H131,";",CHAR(10)),CHAR(10),REPT(" ",LEN(Registro!$H131))),({1,2,3,4,5,6,7,8,9,10,11,12,13,14,15,16,17,18,19,20,21,22,23,24,25,26,27,28,29,30}-1)*LEN(Registro!$H131)+1,LEN(Registro!$H131)))," ",REPT(" ",50)),50)))),"Revisar formato"))</f>
        <v/>
      </c>
      <c r="J131" s="24" t="str">
        <f>IF(Registro!$I131="","",IFERROR(SUMPRODUCT(--("0"&amp;TRIM(RIGHT(SUBSTITUTE(TRIM(MID(SUBSTITUTE(SUBSTITUTE(Registro!$I131,";",CHAR(10)),CHAR(10),REPT(" ",LEN(Registro!$I131))),({1,2,3,4,5,6,7,8,9,10,11,12,13,14,15,16,17,18,19,20,21,22,23,24,25,26,27,28,29,30}-1)*LEN(Registro!$I131)+1,LEN(Registro!$I131)))," ",REPT(" ",50)),50)))),"Revisar formato"))</f>
        <v/>
      </c>
      <c r="K131" s="24" t="str">
        <f>IF(AND(Registro!$G131="",Registro!$H131=""),"",IF(AND(ISTEXT(I131),I131&lt;&gt;""),"Revisar formato",N(Registro!$G131)-N(I131)))</f>
        <v/>
      </c>
      <c r="L131" s="24" t="str">
        <f t="shared" si="5"/>
        <v/>
      </c>
      <c r="M131" s="36" t="str">
        <f>IF(AND(A131=Consulta!$B$3,C131=Consulta!$H$3),B131*10000+ROW(),"")</f>
        <v/>
      </c>
    </row>
    <row r="132" spans="1:13" x14ac:dyDescent="0.25">
      <c r="A132" s="21" t="str">
        <f>IF(Registro!$A132="","",Registro!$A132)</f>
        <v/>
      </c>
      <c r="B132" s="20" t="str">
        <f>IF(Registro!$B132="","",Registro!$B132)</f>
        <v/>
      </c>
      <c r="C132" s="35" t="str">
        <f t="shared" si="4"/>
        <v/>
      </c>
      <c r="D132" s="23" t="str">
        <f>IF(Registro!$E132="","",IF(ISERROR(FIND("x",LOWER(Registro!$E132))),"-",IFERROR(SUMPRODUCT(--("0"&amp;LEFT(TRIM(MID(SUBSTITUTE(SUBSTITUTE(SUBSTITUTE(SUBSTITUTE(SUBSTITUTE(LOWER(Registro!$E132),"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",LEN(Registro!$E132))),({1,2,3,4,5,6,7,8,9,10,11,12,13,14,15,16,17,18,19,20,21,22,23,24,25,26,27,28,29,30}-1)*LEN(Registro!$E132)+1,LEN(Registro!$E132))),FIND("x",TRIM(MID(SUBSTITUTE(SUBSTITUTE(SUBSTITUTE(SUBSTITUTE(SUBSTITUTE(LOWER(Registro!$E132),"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",LEN(Registro!$E132))),({1,2,3,4,5,6,7,8,9,10,11,12,13,14,15,16,17,18,19,20,21,22,23,24,25,26,27,28,29,30}-1)*LEN(Registro!$E132)+1,LEN(Registro!$E132)))&amp;"x")-1))),"Revisar formato")))</f>
        <v/>
      </c>
      <c r="E132" s="24" t="str">
        <f>IF(Registro!$E132="","",IF(ISERROR(FIND("x",LOWER(Registro!$E132))),"-",IFERROR(SUMPRODUCT(--("0"&amp;LEFT(TRIM(MID(SUBSTITUTE(SUBSTITUTE(SUBSTITUTE(SUBSTITUTE(SUBSTITUTE(LOWER(Registro!$E132),"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",LEN(Registro!$E132))),({1,2,3,4,5,6,7,8,9,10,11,12,13,14,15,16,17,18,19,20,21,22,23,24,25,26,27,28,29,30}-1)*LEN(Registro!$E132)+1,LEN(Registro!$E132))),FIND("x",TRIM(MID(SUBSTITUTE(SUBSTITUTE(SUBSTITUTE(SUBSTITUTE(SUBSTITUTE(LOWER(Registro!$E132),"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",LEN(Registro!$E132))),({1,2,3,4,5,6,7,8,9,10,11,12,13,14,15,16,17,18,19,20,21,22,23,24,25,26,27,28,29,30}-1)*LEN(Registro!$E132)+1,LEN(Registro!$E132)))&amp;"x")-1)),--("0"&amp;MID(TRIM(MID(SUBSTITUTE(SUBSTITUTE(SUBSTITUTE(SUBSTITUTE(SUBSTITUTE(LOWER(Registro!$E132),"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",LEN(Registro!$E132))),({1,2,3,4,5,6,7,8,9,10,11,12,13,14,15,16,17,18,19,20,21,22,23,24,25,26,27,28,29,30}-1)*LEN(Registro!$E132)+1,LEN(Registro!$E132))),FIND("x",TRIM(MID(SUBSTITUTE(SUBSTITUTE(SUBSTITUTE(SUBSTITUTE(SUBSTITUTE(LOWER(Registro!$E132),"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",LEN(Registro!$E132))),({1,2,3,4,5,6,7,8,9,10,11,12,13,14,15,16,17,18,19,20,21,22,23,24,25,26,27,28,29,30}-1)*LEN(Registro!$E132)+1,LEN(Registro!$E132)))&amp;"x")+1,20))),"Revisar formato")))</f>
        <v/>
      </c>
      <c r="F132" s="23" t="str">
        <f>IF(Registro!$F132="","",IF(ISERROR(FIND("x",LOWER(Registro!$F132))),"-",IFERROR(SUMPRODUCT(--("0"&amp;LEFT(TRIM(MID(SUBSTITUTE(SUBSTITUTE(SUBSTITUTE(SUBSTITUTE(SUBSTITUTE(LOWER(Registro!$F132)," ",""),CHAR(10),"|"),";","|"),"+","|"),"|",REPT(" ",LEN(Registro!$F132))),({1,2,3,4,5,6,7,8,9,10,11,12,13,14,15,16,17,18,19,20,21,22,23,24,25,26,27,28,29,30}-1)*LEN(Registro!$F132)+1,LEN(Registro!$F132))),FIND("x",TRIM(MID(SUBSTITUTE(SUBSTITUTE(SUBSTITUTE(SUBSTITUTE(SUBSTITUTE(LOWER(Registro!$F132)," ",""),CHAR(10),"|"),";","|"),"+","|"),"|",REPT(" ",LEN(Registro!$F132))),({1,2,3,4,5,6,7,8,9,10,11,12,13,14,15,16,17,18,19,20,21,22,23,24,25,26,27,28,29,30}-1)*LEN(Registro!$F132)+1,LEN(Registro!$F132)))&amp;"x")-1))),"Revisar formato")))</f>
        <v/>
      </c>
      <c r="G132" s="24" t="str">
        <f>IF(Registro!$F132="","",IF(ISERROR(FIND("x",LOWER(Registro!$F132))),N(Registro!$G132),IFERROR(SUMPRODUCT(--("0"&amp;LEFT(TRIM(MID(SUBSTITUTE(SUBSTITUTE(SUBSTITUTE(SUBSTITUTE(SUBSTITUTE(LOWER(Registro!$F132)," ",""),CHAR(10),"|"),";","|"),"+","|"),"|",REPT(" ",LEN(Registro!$F132))),({1,2,3,4,5,6,7,8,9,10,11,12,13,14,15,16,17,18,19,20,21,22,23,24,25,26,27,28,29,30}-1)*LEN(Registro!$F132)+1,LEN(Registro!$F132))),FIND("x",TRIM(MID(SUBSTITUTE(SUBSTITUTE(SUBSTITUTE(SUBSTITUTE(SUBSTITUTE(LOWER(Registro!$F132)," ",""),CHAR(10),"|"),";","|"),"+","|"),"|",REPT(" ",LEN(Registro!$F132))),({1,2,3,4,5,6,7,8,9,10,11,12,13,14,15,16,17,18,19,20,21,22,23,24,25,26,27,28,29,30}-1)*LEN(Registro!$F132)+1,LEN(Registro!$F132)))&amp;"x")-1)),--("0"&amp;MID(TRIM(MID(SUBSTITUTE(SUBSTITUTE(SUBSTITUTE(SUBSTITUTE(SUBSTITUTE(LOWER(Registro!$F132)," ",""),CHAR(10),"|"),";","|"),"+","|"),"|",REPT(" ",LEN(Registro!$F132))),({1,2,3,4,5,6,7,8,9,10,11,12,13,14,15,16,17,18,19,20,21,22,23,24,25,26,27,28,29,30}-1)*LEN(Registro!$F132)+1,LEN(Registro!$F132))),FIND("x",TRIM(MID(SUBSTITUTE(SUBSTITUTE(SUBSTITUTE(SUBSTITUTE(SUBSTITUTE(LOWER(Registro!$F132)," ",""),CHAR(10),"|"),";","|"),"+","|"),"|",REPT(" ",LEN(Registro!$F132))),({1,2,3,4,5,6,7,8,9,10,11,12,13,14,15,16,17,18,19,20,21,22,23,24,25,26,27,28,29,30}-1)*LEN(Registro!$F132)+1,LEN(Registro!$F132)))&amp;"x")+1,20))),"Revisar formato")))</f>
        <v/>
      </c>
      <c r="H132" s="21" t="str">
        <f>IF(AND(Registro!$E132="",Registro!$F132=""),"",IF(NOT(AND(ISNUMBER(G132),ISNUMBER(Registro!$G132))),"",IF(G132&lt;Registro!$G132,"FALTA BOLETOS",IF(G132=Registro!$G132,"CONFORME","DIFERENCIA"))))</f>
        <v/>
      </c>
      <c r="I132" s="24" t="str">
        <f>IF(Registro!$H132="","",IFERROR(SUMPRODUCT(--("0"&amp;TRIM(RIGHT(SUBSTITUTE(TRIM(MID(SUBSTITUTE(SUBSTITUTE(Registro!$H132,";",CHAR(10)),CHAR(10),REPT(" ",LEN(Registro!$H132))),({1,2,3,4,5,6,7,8,9,10,11,12,13,14,15,16,17,18,19,20,21,22,23,24,25,26,27,28,29,30}-1)*LEN(Registro!$H132)+1,LEN(Registro!$H132)))," ",REPT(" ",50)),50)))),"Revisar formato"))</f>
        <v/>
      </c>
      <c r="J132" s="24" t="str">
        <f>IF(Registro!$I132="","",IFERROR(SUMPRODUCT(--("0"&amp;TRIM(RIGHT(SUBSTITUTE(TRIM(MID(SUBSTITUTE(SUBSTITUTE(Registro!$I132,";",CHAR(10)),CHAR(10),REPT(" ",LEN(Registro!$I132))),({1,2,3,4,5,6,7,8,9,10,11,12,13,14,15,16,17,18,19,20,21,22,23,24,25,26,27,28,29,30}-1)*LEN(Registro!$I132)+1,LEN(Registro!$I132)))," ",REPT(" ",50)),50)))),"Revisar formato"))</f>
        <v/>
      </c>
      <c r="K132" s="24" t="str">
        <f>IF(AND(Registro!$G132="",Registro!$H132=""),"",IF(AND(ISTEXT(I132),I132&lt;&gt;""),"Revisar formato",N(Registro!$G132)-N(I132)))</f>
        <v/>
      </c>
      <c r="L132" s="24" t="str">
        <f t="shared" si="5"/>
        <v/>
      </c>
      <c r="M132" s="36" t="str">
        <f>IF(AND(A132=Consulta!$B$3,C132=Consulta!$H$3),B132*10000+ROW(),"")</f>
        <v/>
      </c>
    </row>
    <row r="133" spans="1:13" x14ac:dyDescent="0.25">
      <c r="A133" s="21" t="str">
        <f>IF(Registro!$A133="","",Registro!$A133)</f>
        <v/>
      </c>
      <c r="B133" s="20" t="str">
        <f>IF(Registro!$B133="","",Registro!$B133)</f>
        <v/>
      </c>
      <c r="C133" s="35" t="str">
        <f t="shared" si="4"/>
        <v/>
      </c>
      <c r="D133" s="23" t="str">
        <f>IF(Registro!$E133="","",IF(ISERROR(FIND("x",LOWER(Registro!$E133))),"-",IFERROR(SUMPRODUCT(--("0"&amp;LEFT(TRIM(MID(SUBSTITUTE(SUBSTITUTE(SUBSTITUTE(SUBSTITUTE(SUBSTITUTE(LOWER(Registro!$E133),"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",LEN(Registro!$E133))),({1,2,3,4,5,6,7,8,9,10,11,12,13,14,15,16,17,18,19,20,21,22,23,24,25,26,27,28,29,30}-1)*LEN(Registro!$E133)+1,LEN(Registro!$E133))),FIND("x",TRIM(MID(SUBSTITUTE(SUBSTITUTE(SUBSTITUTE(SUBSTITUTE(SUBSTITUTE(LOWER(Registro!$E133),"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",LEN(Registro!$E133))),({1,2,3,4,5,6,7,8,9,10,11,12,13,14,15,16,17,18,19,20,21,22,23,24,25,26,27,28,29,30}-1)*LEN(Registro!$E133)+1,LEN(Registro!$E133)))&amp;"x")-1))),"Revisar formato")))</f>
        <v/>
      </c>
      <c r="E133" s="24" t="str">
        <f>IF(Registro!$E133="","",IF(ISERROR(FIND("x",LOWER(Registro!$E133))),"-",IFERROR(SUMPRODUCT(--("0"&amp;LEFT(TRIM(MID(SUBSTITUTE(SUBSTITUTE(SUBSTITUTE(SUBSTITUTE(SUBSTITUTE(LOWER(Registro!$E133),"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",LEN(Registro!$E133))),({1,2,3,4,5,6,7,8,9,10,11,12,13,14,15,16,17,18,19,20,21,22,23,24,25,26,27,28,29,30}-1)*LEN(Registro!$E133)+1,LEN(Registro!$E133))),FIND("x",TRIM(MID(SUBSTITUTE(SUBSTITUTE(SUBSTITUTE(SUBSTITUTE(SUBSTITUTE(LOWER(Registro!$E133),"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",LEN(Registro!$E133))),({1,2,3,4,5,6,7,8,9,10,11,12,13,14,15,16,17,18,19,20,21,22,23,24,25,26,27,28,29,30}-1)*LEN(Registro!$E133)+1,LEN(Registro!$E133)))&amp;"x")-1)),--("0"&amp;MID(TRIM(MID(SUBSTITUTE(SUBSTITUTE(SUBSTITUTE(SUBSTITUTE(SUBSTITUTE(LOWER(Registro!$E133),"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",LEN(Registro!$E133))),({1,2,3,4,5,6,7,8,9,10,11,12,13,14,15,16,17,18,19,20,21,22,23,24,25,26,27,28,29,30}-1)*LEN(Registro!$E133)+1,LEN(Registro!$E133))),FIND("x",TRIM(MID(SUBSTITUTE(SUBSTITUTE(SUBSTITUTE(SUBSTITUTE(SUBSTITUTE(LOWER(Registro!$E133),"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",LEN(Registro!$E133))),({1,2,3,4,5,6,7,8,9,10,11,12,13,14,15,16,17,18,19,20,21,22,23,24,25,26,27,28,29,30}-1)*LEN(Registro!$E133)+1,LEN(Registro!$E133)))&amp;"x")+1,20))),"Revisar formato")))</f>
        <v/>
      </c>
      <c r="F133" s="23" t="str">
        <f>IF(Registro!$F133="","",IF(ISERROR(FIND("x",LOWER(Registro!$F133))),"-",IFERROR(SUMPRODUCT(--("0"&amp;LEFT(TRIM(MID(SUBSTITUTE(SUBSTITUTE(SUBSTITUTE(SUBSTITUTE(SUBSTITUTE(LOWER(Registro!$F133)," ",""),CHAR(10),"|"),";","|"),"+","|"),"|",REPT(" ",LEN(Registro!$F133))),({1,2,3,4,5,6,7,8,9,10,11,12,13,14,15,16,17,18,19,20,21,22,23,24,25,26,27,28,29,30}-1)*LEN(Registro!$F133)+1,LEN(Registro!$F133))),FIND("x",TRIM(MID(SUBSTITUTE(SUBSTITUTE(SUBSTITUTE(SUBSTITUTE(SUBSTITUTE(LOWER(Registro!$F133)," ",""),CHAR(10),"|"),";","|"),"+","|"),"|",REPT(" ",LEN(Registro!$F133))),({1,2,3,4,5,6,7,8,9,10,11,12,13,14,15,16,17,18,19,20,21,22,23,24,25,26,27,28,29,30}-1)*LEN(Registro!$F133)+1,LEN(Registro!$F133)))&amp;"x")-1))),"Revisar formato")))</f>
        <v/>
      </c>
      <c r="G133" s="24" t="str">
        <f>IF(Registro!$F133="","",IF(ISERROR(FIND("x",LOWER(Registro!$F133))),N(Registro!$G133),IFERROR(SUMPRODUCT(--("0"&amp;LEFT(TRIM(MID(SUBSTITUTE(SUBSTITUTE(SUBSTITUTE(SUBSTITUTE(SUBSTITUTE(LOWER(Registro!$F133)," ",""),CHAR(10),"|"),";","|"),"+","|"),"|",REPT(" ",LEN(Registro!$F133))),({1,2,3,4,5,6,7,8,9,10,11,12,13,14,15,16,17,18,19,20,21,22,23,24,25,26,27,28,29,30}-1)*LEN(Registro!$F133)+1,LEN(Registro!$F133))),FIND("x",TRIM(MID(SUBSTITUTE(SUBSTITUTE(SUBSTITUTE(SUBSTITUTE(SUBSTITUTE(LOWER(Registro!$F133)," ",""),CHAR(10),"|"),";","|"),"+","|"),"|",REPT(" ",LEN(Registro!$F133))),({1,2,3,4,5,6,7,8,9,10,11,12,13,14,15,16,17,18,19,20,21,22,23,24,25,26,27,28,29,30}-1)*LEN(Registro!$F133)+1,LEN(Registro!$F133)))&amp;"x")-1)),--("0"&amp;MID(TRIM(MID(SUBSTITUTE(SUBSTITUTE(SUBSTITUTE(SUBSTITUTE(SUBSTITUTE(LOWER(Registro!$F133)," ",""),CHAR(10),"|"),";","|"),"+","|"),"|",REPT(" ",LEN(Registro!$F133))),({1,2,3,4,5,6,7,8,9,10,11,12,13,14,15,16,17,18,19,20,21,22,23,24,25,26,27,28,29,30}-1)*LEN(Registro!$F133)+1,LEN(Registro!$F133))),FIND("x",TRIM(MID(SUBSTITUTE(SUBSTITUTE(SUBSTITUTE(SUBSTITUTE(SUBSTITUTE(LOWER(Registro!$F133)," ",""),CHAR(10),"|"),";","|"),"+","|"),"|",REPT(" ",LEN(Registro!$F133))),({1,2,3,4,5,6,7,8,9,10,11,12,13,14,15,16,17,18,19,20,21,22,23,24,25,26,27,28,29,30}-1)*LEN(Registro!$F133)+1,LEN(Registro!$F133)))&amp;"x")+1,20))),"Revisar formato")))</f>
        <v/>
      </c>
      <c r="H133" s="21" t="str">
        <f>IF(AND(Registro!$E133="",Registro!$F133=""),"",IF(NOT(AND(ISNUMBER(G133),ISNUMBER(Registro!$G133))),"",IF(G133&lt;Registro!$G133,"FALTA BOLETOS",IF(G133=Registro!$G133,"CONFORME","DIFERENCIA"))))</f>
        <v/>
      </c>
      <c r="I133" s="24" t="str">
        <f>IF(Registro!$H133="","",IFERROR(SUMPRODUCT(--("0"&amp;TRIM(RIGHT(SUBSTITUTE(TRIM(MID(SUBSTITUTE(SUBSTITUTE(Registro!$H133,";",CHAR(10)),CHAR(10),REPT(" ",LEN(Registro!$H133))),({1,2,3,4,5,6,7,8,9,10,11,12,13,14,15,16,17,18,19,20,21,22,23,24,25,26,27,28,29,30}-1)*LEN(Registro!$H133)+1,LEN(Registro!$H133)))," ",REPT(" ",50)),50)))),"Revisar formato"))</f>
        <v/>
      </c>
      <c r="J133" s="24" t="str">
        <f>IF(Registro!$I133="","",IFERROR(SUMPRODUCT(--("0"&amp;TRIM(RIGHT(SUBSTITUTE(TRIM(MID(SUBSTITUTE(SUBSTITUTE(Registro!$I133,";",CHAR(10)),CHAR(10),REPT(" ",LEN(Registro!$I133))),({1,2,3,4,5,6,7,8,9,10,11,12,13,14,15,16,17,18,19,20,21,22,23,24,25,26,27,28,29,30}-1)*LEN(Registro!$I133)+1,LEN(Registro!$I133)))," ",REPT(" ",50)),50)))),"Revisar formato"))</f>
        <v/>
      </c>
      <c r="K133" s="24" t="str">
        <f>IF(AND(Registro!$G133="",Registro!$H133=""),"",IF(AND(ISTEXT(I133),I133&lt;&gt;""),"Revisar formato",N(Registro!$G133)-N(I133)))</f>
        <v/>
      </c>
      <c r="L133" s="24" t="str">
        <f t="shared" si="5"/>
        <v/>
      </c>
      <c r="M133" s="36" t="str">
        <f>IF(AND(A133=Consulta!$B$3,C133=Consulta!$H$3),B133*10000+ROW(),"")</f>
        <v/>
      </c>
    </row>
    <row r="134" spans="1:13" x14ac:dyDescent="0.25">
      <c r="A134" s="21" t="str">
        <f>IF(Registro!$A134="","",Registro!$A134)</f>
        <v/>
      </c>
      <c r="B134" s="20" t="str">
        <f>IF(Registro!$B134="","",Registro!$B134)</f>
        <v/>
      </c>
      <c r="C134" s="35" t="str">
        <f t="shared" si="4"/>
        <v/>
      </c>
      <c r="D134" s="23" t="str">
        <f>IF(Registro!$E134="","",IF(ISERROR(FIND("x",LOWER(Registro!$E134))),"-",IFERROR(SUMPRODUCT(--("0"&amp;LEFT(TRIM(MID(SUBSTITUTE(SUBSTITUTE(SUBSTITUTE(SUBSTITUTE(SUBSTITUTE(LOWER(Registro!$E134),"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",LEN(Registro!$E134))),({1,2,3,4,5,6,7,8,9,10,11,12,13,14,15,16,17,18,19,20,21,22,23,24,25,26,27,28,29,30}-1)*LEN(Registro!$E134)+1,LEN(Registro!$E134))),FIND("x",TRIM(MID(SUBSTITUTE(SUBSTITUTE(SUBSTITUTE(SUBSTITUTE(SUBSTITUTE(LOWER(Registro!$E134),"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",LEN(Registro!$E134))),({1,2,3,4,5,6,7,8,9,10,11,12,13,14,15,16,17,18,19,20,21,22,23,24,25,26,27,28,29,30}-1)*LEN(Registro!$E134)+1,LEN(Registro!$E134)))&amp;"x")-1))),"Revisar formato")))</f>
        <v/>
      </c>
      <c r="E134" s="24" t="str">
        <f>IF(Registro!$E134="","",IF(ISERROR(FIND("x",LOWER(Registro!$E134))),"-",IFERROR(SUMPRODUCT(--("0"&amp;LEFT(TRIM(MID(SUBSTITUTE(SUBSTITUTE(SUBSTITUTE(SUBSTITUTE(SUBSTITUTE(LOWER(Registro!$E134),"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",LEN(Registro!$E134))),({1,2,3,4,5,6,7,8,9,10,11,12,13,14,15,16,17,18,19,20,21,22,23,24,25,26,27,28,29,30}-1)*LEN(Registro!$E134)+1,LEN(Registro!$E134))),FIND("x",TRIM(MID(SUBSTITUTE(SUBSTITUTE(SUBSTITUTE(SUBSTITUTE(SUBSTITUTE(LOWER(Registro!$E134),"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",LEN(Registro!$E134))),({1,2,3,4,5,6,7,8,9,10,11,12,13,14,15,16,17,18,19,20,21,22,23,24,25,26,27,28,29,30}-1)*LEN(Registro!$E134)+1,LEN(Registro!$E134)))&amp;"x")-1)),--("0"&amp;MID(TRIM(MID(SUBSTITUTE(SUBSTITUTE(SUBSTITUTE(SUBSTITUTE(SUBSTITUTE(LOWER(Registro!$E134),"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",LEN(Registro!$E134))),({1,2,3,4,5,6,7,8,9,10,11,12,13,14,15,16,17,18,19,20,21,22,23,24,25,26,27,28,29,30}-1)*LEN(Registro!$E134)+1,LEN(Registro!$E134))),FIND("x",TRIM(MID(SUBSTITUTE(SUBSTITUTE(SUBSTITUTE(SUBSTITUTE(SUBSTITUTE(LOWER(Registro!$E134),"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",LEN(Registro!$E134))),({1,2,3,4,5,6,7,8,9,10,11,12,13,14,15,16,17,18,19,20,21,22,23,24,25,26,27,28,29,30}-1)*LEN(Registro!$E134)+1,LEN(Registro!$E134)))&amp;"x")+1,20))),"Revisar formato")))</f>
        <v/>
      </c>
      <c r="F134" s="23" t="str">
        <f>IF(Registro!$F134="","",IF(ISERROR(FIND("x",LOWER(Registro!$F134))),"-",IFERROR(SUMPRODUCT(--("0"&amp;LEFT(TRIM(MID(SUBSTITUTE(SUBSTITUTE(SUBSTITUTE(SUBSTITUTE(SUBSTITUTE(LOWER(Registro!$F134)," ",""),CHAR(10),"|"),";","|"),"+","|"),"|",REPT(" ",LEN(Registro!$F134))),({1,2,3,4,5,6,7,8,9,10,11,12,13,14,15,16,17,18,19,20,21,22,23,24,25,26,27,28,29,30}-1)*LEN(Registro!$F134)+1,LEN(Registro!$F134))),FIND("x",TRIM(MID(SUBSTITUTE(SUBSTITUTE(SUBSTITUTE(SUBSTITUTE(SUBSTITUTE(LOWER(Registro!$F134)," ",""),CHAR(10),"|"),";","|"),"+","|"),"|",REPT(" ",LEN(Registro!$F134))),({1,2,3,4,5,6,7,8,9,10,11,12,13,14,15,16,17,18,19,20,21,22,23,24,25,26,27,28,29,30}-1)*LEN(Registro!$F134)+1,LEN(Registro!$F134)))&amp;"x")-1))),"Revisar formato")))</f>
        <v/>
      </c>
      <c r="G134" s="24" t="str">
        <f>IF(Registro!$F134="","",IF(ISERROR(FIND("x",LOWER(Registro!$F134))),N(Registro!$G134),IFERROR(SUMPRODUCT(--("0"&amp;LEFT(TRIM(MID(SUBSTITUTE(SUBSTITUTE(SUBSTITUTE(SUBSTITUTE(SUBSTITUTE(LOWER(Registro!$F134)," ",""),CHAR(10),"|"),";","|"),"+","|"),"|",REPT(" ",LEN(Registro!$F134))),({1,2,3,4,5,6,7,8,9,10,11,12,13,14,15,16,17,18,19,20,21,22,23,24,25,26,27,28,29,30}-1)*LEN(Registro!$F134)+1,LEN(Registro!$F134))),FIND("x",TRIM(MID(SUBSTITUTE(SUBSTITUTE(SUBSTITUTE(SUBSTITUTE(SUBSTITUTE(LOWER(Registro!$F134)," ",""),CHAR(10),"|"),";","|"),"+","|"),"|",REPT(" ",LEN(Registro!$F134))),({1,2,3,4,5,6,7,8,9,10,11,12,13,14,15,16,17,18,19,20,21,22,23,24,25,26,27,28,29,30}-1)*LEN(Registro!$F134)+1,LEN(Registro!$F134)))&amp;"x")-1)),--("0"&amp;MID(TRIM(MID(SUBSTITUTE(SUBSTITUTE(SUBSTITUTE(SUBSTITUTE(SUBSTITUTE(LOWER(Registro!$F134)," ",""),CHAR(10),"|"),";","|"),"+","|"),"|",REPT(" ",LEN(Registro!$F134))),({1,2,3,4,5,6,7,8,9,10,11,12,13,14,15,16,17,18,19,20,21,22,23,24,25,26,27,28,29,30}-1)*LEN(Registro!$F134)+1,LEN(Registro!$F134))),FIND("x",TRIM(MID(SUBSTITUTE(SUBSTITUTE(SUBSTITUTE(SUBSTITUTE(SUBSTITUTE(LOWER(Registro!$F134)," ",""),CHAR(10),"|"),";","|"),"+","|"),"|",REPT(" ",LEN(Registro!$F134))),({1,2,3,4,5,6,7,8,9,10,11,12,13,14,15,16,17,18,19,20,21,22,23,24,25,26,27,28,29,30}-1)*LEN(Registro!$F134)+1,LEN(Registro!$F134)))&amp;"x")+1,20))),"Revisar formato")))</f>
        <v/>
      </c>
      <c r="H134" s="21" t="str">
        <f>IF(AND(Registro!$E134="",Registro!$F134=""),"",IF(NOT(AND(ISNUMBER(G134),ISNUMBER(Registro!$G134))),"",IF(G134&lt;Registro!$G134,"FALTA BOLETOS",IF(G134=Registro!$G134,"CONFORME","DIFERENCIA"))))</f>
        <v/>
      </c>
      <c r="I134" s="24" t="str">
        <f>IF(Registro!$H134="","",IFERROR(SUMPRODUCT(--("0"&amp;TRIM(RIGHT(SUBSTITUTE(TRIM(MID(SUBSTITUTE(SUBSTITUTE(Registro!$H134,";",CHAR(10)),CHAR(10),REPT(" ",LEN(Registro!$H134))),({1,2,3,4,5,6,7,8,9,10,11,12,13,14,15,16,17,18,19,20,21,22,23,24,25,26,27,28,29,30}-1)*LEN(Registro!$H134)+1,LEN(Registro!$H134)))," ",REPT(" ",50)),50)))),"Revisar formato"))</f>
        <v/>
      </c>
      <c r="J134" s="24" t="str">
        <f>IF(Registro!$I134="","",IFERROR(SUMPRODUCT(--("0"&amp;TRIM(RIGHT(SUBSTITUTE(TRIM(MID(SUBSTITUTE(SUBSTITUTE(Registro!$I134,";",CHAR(10)),CHAR(10),REPT(" ",LEN(Registro!$I134))),({1,2,3,4,5,6,7,8,9,10,11,12,13,14,15,16,17,18,19,20,21,22,23,24,25,26,27,28,29,30}-1)*LEN(Registro!$I134)+1,LEN(Registro!$I134)))," ",REPT(" ",50)),50)))),"Revisar formato"))</f>
        <v/>
      </c>
      <c r="K134" s="24" t="str">
        <f>IF(AND(Registro!$G134="",Registro!$H134=""),"",IF(AND(ISTEXT(I134),I134&lt;&gt;""),"Revisar formato",N(Registro!$G134)-N(I134)))</f>
        <v/>
      </c>
      <c r="L134" s="24" t="str">
        <f t="shared" si="5"/>
        <v/>
      </c>
      <c r="M134" s="36" t="str">
        <f>IF(AND(A134=Consulta!$B$3,C134=Consulta!$H$3),B134*10000+ROW(),"")</f>
        <v/>
      </c>
    </row>
    <row r="135" spans="1:13" x14ac:dyDescent="0.25">
      <c r="A135" s="21" t="str">
        <f>IF(Registro!$A135="","",Registro!$A135)</f>
        <v/>
      </c>
      <c r="B135" s="20" t="str">
        <f>IF(Registro!$B135="","",Registro!$B135)</f>
        <v/>
      </c>
      <c r="C135" s="35" t="str">
        <f t="shared" si="4"/>
        <v/>
      </c>
      <c r="D135" s="23" t="str">
        <f>IF(Registro!$E135="","",IF(ISERROR(FIND("x",LOWER(Registro!$E135))),"-",IFERROR(SUMPRODUCT(--("0"&amp;LEFT(TRIM(MID(SUBSTITUTE(SUBSTITUTE(SUBSTITUTE(SUBSTITUTE(SUBSTITUTE(LOWER(Registro!$E135),"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",LEN(Registro!$E135))),({1,2,3,4,5,6,7,8,9,10,11,12,13,14,15,16,17,18,19,20,21,22,23,24,25,26,27,28,29,30}-1)*LEN(Registro!$E135)+1,LEN(Registro!$E135))),FIND("x",TRIM(MID(SUBSTITUTE(SUBSTITUTE(SUBSTITUTE(SUBSTITUTE(SUBSTITUTE(LOWER(Registro!$E135),"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",LEN(Registro!$E135))),({1,2,3,4,5,6,7,8,9,10,11,12,13,14,15,16,17,18,19,20,21,22,23,24,25,26,27,28,29,30}-1)*LEN(Registro!$E135)+1,LEN(Registro!$E135)))&amp;"x")-1))),"Revisar formato")))</f>
        <v/>
      </c>
      <c r="E135" s="24" t="str">
        <f>IF(Registro!$E135="","",IF(ISERROR(FIND("x",LOWER(Registro!$E135))),"-",IFERROR(SUMPRODUCT(--("0"&amp;LEFT(TRIM(MID(SUBSTITUTE(SUBSTITUTE(SUBSTITUTE(SUBSTITUTE(SUBSTITUTE(LOWER(Registro!$E135),"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",LEN(Registro!$E135))),({1,2,3,4,5,6,7,8,9,10,11,12,13,14,15,16,17,18,19,20,21,22,23,24,25,26,27,28,29,30}-1)*LEN(Registro!$E135)+1,LEN(Registro!$E135))),FIND("x",TRIM(MID(SUBSTITUTE(SUBSTITUTE(SUBSTITUTE(SUBSTITUTE(SUBSTITUTE(LOWER(Registro!$E135),"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",LEN(Registro!$E135))),({1,2,3,4,5,6,7,8,9,10,11,12,13,14,15,16,17,18,19,20,21,22,23,24,25,26,27,28,29,30}-1)*LEN(Registro!$E135)+1,LEN(Registro!$E135)))&amp;"x")-1)),--("0"&amp;MID(TRIM(MID(SUBSTITUTE(SUBSTITUTE(SUBSTITUTE(SUBSTITUTE(SUBSTITUTE(LOWER(Registro!$E135),"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",LEN(Registro!$E135))),({1,2,3,4,5,6,7,8,9,10,11,12,13,14,15,16,17,18,19,20,21,22,23,24,25,26,27,28,29,30}-1)*LEN(Registro!$E135)+1,LEN(Registro!$E135))),FIND("x",TRIM(MID(SUBSTITUTE(SUBSTITUTE(SUBSTITUTE(SUBSTITUTE(SUBSTITUTE(LOWER(Registro!$E135),"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",LEN(Registro!$E135))),({1,2,3,4,5,6,7,8,9,10,11,12,13,14,15,16,17,18,19,20,21,22,23,24,25,26,27,28,29,30}-1)*LEN(Registro!$E135)+1,LEN(Registro!$E135)))&amp;"x")+1,20))),"Revisar formato")))</f>
        <v/>
      </c>
      <c r="F135" s="23" t="str">
        <f>IF(Registro!$F135="","",IF(ISERROR(FIND("x",LOWER(Registro!$F135))),"-",IFERROR(SUMPRODUCT(--("0"&amp;LEFT(TRIM(MID(SUBSTITUTE(SUBSTITUTE(SUBSTITUTE(SUBSTITUTE(SUBSTITUTE(LOWER(Registro!$F135)," ",""),CHAR(10),"|"),";","|"),"+","|"),"|",REPT(" ",LEN(Registro!$F135))),({1,2,3,4,5,6,7,8,9,10,11,12,13,14,15,16,17,18,19,20,21,22,23,24,25,26,27,28,29,30}-1)*LEN(Registro!$F135)+1,LEN(Registro!$F135))),FIND("x",TRIM(MID(SUBSTITUTE(SUBSTITUTE(SUBSTITUTE(SUBSTITUTE(SUBSTITUTE(LOWER(Registro!$F135)," ",""),CHAR(10),"|"),";","|"),"+","|"),"|",REPT(" ",LEN(Registro!$F135))),({1,2,3,4,5,6,7,8,9,10,11,12,13,14,15,16,17,18,19,20,21,22,23,24,25,26,27,28,29,30}-1)*LEN(Registro!$F135)+1,LEN(Registro!$F135)))&amp;"x")-1))),"Revisar formato")))</f>
        <v/>
      </c>
      <c r="G135" s="24" t="str">
        <f>IF(Registro!$F135="","",IF(ISERROR(FIND("x",LOWER(Registro!$F135))),N(Registro!$G135),IFERROR(SUMPRODUCT(--("0"&amp;LEFT(TRIM(MID(SUBSTITUTE(SUBSTITUTE(SUBSTITUTE(SUBSTITUTE(SUBSTITUTE(LOWER(Registro!$F135)," ",""),CHAR(10),"|"),";","|"),"+","|"),"|",REPT(" ",LEN(Registro!$F135))),({1,2,3,4,5,6,7,8,9,10,11,12,13,14,15,16,17,18,19,20,21,22,23,24,25,26,27,28,29,30}-1)*LEN(Registro!$F135)+1,LEN(Registro!$F135))),FIND("x",TRIM(MID(SUBSTITUTE(SUBSTITUTE(SUBSTITUTE(SUBSTITUTE(SUBSTITUTE(LOWER(Registro!$F135)," ",""),CHAR(10),"|"),";","|"),"+","|"),"|",REPT(" ",LEN(Registro!$F135))),({1,2,3,4,5,6,7,8,9,10,11,12,13,14,15,16,17,18,19,20,21,22,23,24,25,26,27,28,29,30}-1)*LEN(Registro!$F135)+1,LEN(Registro!$F135)))&amp;"x")-1)),--("0"&amp;MID(TRIM(MID(SUBSTITUTE(SUBSTITUTE(SUBSTITUTE(SUBSTITUTE(SUBSTITUTE(LOWER(Registro!$F135)," ",""),CHAR(10),"|"),";","|"),"+","|"),"|",REPT(" ",LEN(Registro!$F135))),({1,2,3,4,5,6,7,8,9,10,11,12,13,14,15,16,17,18,19,20,21,22,23,24,25,26,27,28,29,30}-1)*LEN(Registro!$F135)+1,LEN(Registro!$F135))),FIND("x",TRIM(MID(SUBSTITUTE(SUBSTITUTE(SUBSTITUTE(SUBSTITUTE(SUBSTITUTE(LOWER(Registro!$F135)," ",""),CHAR(10),"|"),";","|"),"+","|"),"|",REPT(" ",LEN(Registro!$F135))),({1,2,3,4,5,6,7,8,9,10,11,12,13,14,15,16,17,18,19,20,21,22,23,24,25,26,27,28,29,30}-1)*LEN(Registro!$F135)+1,LEN(Registro!$F135)))&amp;"x")+1,20))),"Revisar formato")))</f>
        <v/>
      </c>
      <c r="H135" s="21" t="str">
        <f>IF(AND(Registro!$E135="",Registro!$F135=""),"",IF(NOT(AND(ISNUMBER(G135),ISNUMBER(Registro!$G135))),"",IF(G135&lt;Registro!$G135,"FALTA BOLETOS",IF(G135=Registro!$G135,"CONFORME","DIFERENCIA"))))</f>
        <v/>
      </c>
      <c r="I135" s="24" t="str">
        <f>IF(Registro!$H135="","",IFERROR(SUMPRODUCT(--("0"&amp;TRIM(RIGHT(SUBSTITUTE(TRIM(MID(SUBSTITUTE(SUBSTITUTE(Registro!$H135,";",CHAR(10)),CHAR(10),REPT(" ",LEN(Registro!$H135))),({1,2,3,4,5,6,7,8,9,10,11,12,13,14,15,16,17,18,19,20,21,22,23,24,25,26,27,28,29,30}-1)*LEN(Registro!$H135)+1,LEN(Registro!$H135)))," ",REPT(" ",50)),50)))),"Revisar formato"))</f>
        <v/>
      </c>
      <c r="J135" s="24" t="str">
        <f>IF(Registro!$I135="","",IFERROR(SUMPRODUCT(--("0"&amp;TRIM(RIGHT(SUBSTITUTE(TRIM(MID(SUBSTITUTE(SUBSTITUTE(Registro!$I135,";",CHAR(10)),CHAR(10),REPT(" ",LEN(Registro!$I135))),({1,2,3,4,5,6,7,8,9,10,11,12,13,14,15,16,17,18,19,20,21,22,23,24,25,26,27,28,29,30}-1)*LEN(Registro!$I135)+1,LEN(Registro!$I135)))," ",REPT(" ",50)),50)))),"Revisar formato"))</f>
        <v/>
      </c>
      <c r="K135" s="24" t="str">
        <f>IF(AND(Registro!$G135="",Registro!$H135=""),"",IF(AND(ISTEXT(I135),I135&lt;&gt;""),"Revisar formato",N(Registro!$G135)-N(I135)))</f>
        <v/>
      </c>
      <c r="L135" s="24" t="str">
        <f t="shared" si="5"/>
        <v/>
      </c>
      <c r="M135" s="36" t="str">
        <f>IF(AND(A135=Consulta!$B$3,C135=Consulta!$H$3),B135*10000+ROW(),"")</f>
        <v/>
      </c>
    </row>
    <row r="136" spans="1:13" x14ac:dyDescent="0.25">
      <c r="A136" s="21" t="str">
        <f>IF(Registro!$A136="","",Registro!$A136)</f>
        <v/>
      </c>
      <c r="B136" s="20" t="str">
        <f>IF(Registro!$B136="","",Registro!$B136)</f>
        <v/>
      </c>
      <c r="C136" s="35" t="str">
        <f t="shared" si="4"/>
        <v/>
      </c>
      <c r="D136" s="23" t="str">
        <f>IF(Registro!$E136="","",IF(ISERROR(FIND("x",LOWER(Registro!$E136))),"-",IFERROR(SUMPRODUCT(--("0"&amp;LEFT(TRIM(MID(SUBSTITUTE(SUBSTITUTE(SUBSTITUTE(SUBSTITUTE(SUBSTITUTE(LOWER(Registro!$E136),"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",LEN(Registro!$E136))),({1,2,3,4,5,6,7,8,9,10,11,12,13,14,15,16,17,18,19,20,21,22,23,24,25,26,27,28,29,30}-1)*LEN(Registro!$E136)+1,LEN(Registro!$E136))),FIND("x",TRIM(MID(SUBSTITUTE(SUBSTITUTE(SUBSTITUTE(SUBSTITUTE(SUBSTITUTE(LOWER(Registro!$E136),"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",LEN(Registro!$E136))),({1,2,3,4,5,6,7,8,9,10,11,12,13,14,15,16,17,18,19,20,21,22,23,24,25,26,27,28,29,30}-1)*LEN(Registro!$E136)+1,LEN(Registro!$E136)))&amp;"x")-1))),"Revisar formato")))</f>
        <v/>
      </c>
      <c r="E136" s="24" t="str">
        <f>IF(Registro!$E136="","",IF(ISERROR(FIND("x",LOWER(Registro!$E136))),"-",IFERROR(SUMPRODUCT(--("0"&amp;LEFT(TRIM(MID(SUBSTITUTE(SUBSTITUTE(SUBSTITUTE(SUBSTITUTE(SUBSTITUTE(LOWER(Registro!$E136),"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",LEN(Registro!$E136))),({1,2,3,4,5,6,7,8,9,10,11,12,13,14,15,16,17,18,19,20,21,22,23,24,25,26,27,28,29,30}-1)*LEN(Registro!$E136)+1,LEN(Registro!$E136))),FIND("x",TRIM(MID(SUBSTITUTE(SUBSTITUTE(SUBSTITUTE(SUBSTITUTE(SUBSTITUTE(LOWER(Registro!$E136),"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",LEN(Registro!$E136))),({1,2,3,4,5,6,7,8,9,10,11,12,13,14,15,16,17,18,19,20,21,22,23,24,25,26,27,28,29,30}-1)*LEN(Registro!$E136)+1,LEN(Registro!$E136)))&amp;"x")-1)),--("0"&amp;MID(TRIM(MID(SUBSTITUTE(SUBSTITUTE(SUBSTITUTE(SUBSTITUTE(SUBSTITUTE(LOWER(Registro!$E136),"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",LEN(Registro!$E136))),({1,2,3,4,5,6,7,8,9,10,11,12,13,14,15,16,17,18,19,20,21,22,23,24,25,26,27,28,29,30}-1)*LEN(Registro!$E136)+1,LEN(Registro!$E136))),FIND("x",TRIM(MID(SUBSTITUTE(SUBSTITUTE(SUBSTITUTE(SUBSTITUTE(SUBSTITUTE(LOWER(Registro!$E136),"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",LEN(Registro!$E136))),({1,2,3,4,5,6,7,8,9,10,11,12,13,14,15,16,17,18,19,20,21,22,23,24,25,26,27,28,29,30}-1)*LEN(Registro!$E136)+1,LEN(Registro!$E136)))&amp;"x")+1,20))),"Revisar formato")))</f>
        <v/>
      </c>
      <c r="F136" s="23" t="str">
        <f>IF(Registro!$F136="","",IF(ISERROR(FIND("x",LOWER(Registro!$F136))),"-",IFERROR(SUMPRODUCT(--("0"&amp;LEFT(TRIM(MID(SUBSTITUTE(SUBSTITUTE(SUBSTITUTE(SUBSTITUTE(SUBSTITUTE(LOWER(Registro!$F136)," ",""),CHAR(10),"|"),";","|"),"+","|"),"|",REPT(" ",LEN(Registro!$F136))),({1,2,3,4,5,6,7,8,9,10,11,12,13,14,15,16,17,18,19,20,21,22,23,24,25,26,27,28,29,30}-1)*LEN(Registro!$F136)+1,LEN(Registro!$F136))),FIND("x",TRIM(MID(SUBSTITUTE(SUBSTITUTE(SUBSTITUTE(SUBSTITUTE(SUBSTITUTE(LOWER(Registro!$F136)," ",""),CHAR(10),"|"),";","|"),"+","|"),"|",REPT(" ",LEN(Registro!$F136))),({1,2,3,4,5,6,7,8,9,10,11,12,13,14,15,16,17,18,19,20,21,22,23,24,25,26,27,28,29,30}-1)*LEN(Registro!$F136)+1,LEN(Registro!$F136)))&amp;"x")-1))),"Revisar formato")))</f>
        <v/>
      </c>
      <c r="G136" s="24" t="str">
        <f>IF(Registro!$F136="","",IF(ISERROR(FIND("x",LOWER(Registro!$F136))),N(Registro!$G136),IFERROR(SUMPRODUCT(--("0"&amp;LEFT(TRIM(MID(SUBSTITUTE(SUBSTITUTE(SUBSTITUTE(SUBSTITUTE(SUBSTITUTE(LOWER(Registro!$F136)," ",""),CHAR(10),"|"),";","|"),"+","|"),"|",REPT(" ",LEN(Registro!$F136))),({1,2,3,4,5,6,7,8,9,10,11,12,13,14,15,16,17,18,19,20,21,22,23,24,25,26,27,28,29,30}-1)*LEN(Registro!$F136)+1,LEN(Registro!$F136))),FIND("x",TRIM(MID(SUBSTITUTE(SUBSTITUTE(SUBSTITUTE(SUBSTITUTE(SUBSTITUTE(LOWER(Registro!$F136)," ",""),CHAR(10),"|"),";","|"),"+","|"),"|",REPT(" ",LEN(Registro!$F136))),({1,2,3,4,5,6,7,8,9,10,11,12,13,14,15,16,17,18,19,20,21,22,23,24,25,26,27,28,29,30}-1)*LEN(Registro!$F136)+1,LEN(Registro!$F136)))&amp;"x")-1)),--("0"&amp;MID(TRIM(MID(SUBSTITUTE(SUBSTITUTE(SUBSTITUTE(SUBSTITUTE(SUBSTITUTE(LOWER(Registro!$F136)," ",""),CHAR(10),"|"),";","|"),"+","|"),"|",REPT(" ",LEN(Registro!$F136))),({1,2,3,4,5,6,7,8,9,10,11,12,13,14,15,16,17,18,19,20,21,22,23,24,25,26,27,28,29,30}-1)*LEN(Registro!$F136)+1,LEN(Registro!$F136))),FIND("x",TRIM(MID(SUBSTITUTE(SUBSTITUTE(SUBSTITUTE(SUBSTITUTE(SUBSTITUTE(LOWER(Registro!$F136)," ",""),CHAR(10),"|"),";","|"),"+","|"),"|",REPT(" ",LEN(Registro!$F136))),({1,2,3,4,5,6,7,8,9,10,11,12,13,14,15,16,17,18,19,20,21,22,23,24,25,26,27,28,29,30}-1)*LEN(Registro!$F136)+1,LEN(Registro!$F136)))&amp;"x")+1,20))),"Revisar formato")))</f>
        <v/>
      </c>
      <c r="H136" s="21" t="str">
        <f>IF(AND(Registro!$E136="",Registro!$F136=""),"",IF(NOT(AND(ISNUMBER(G136),ISNUMBER(Registro!$G136))),"",IF(G136&lt;Registro!$G136,"FALTA BOLETOS",IF(G136=Registro!$G136,"CONFORME","DIFERENCIA"))))</f>
        <v/>
      </c>
      <c r="I136" s="24" t="str">
        <f>IF(Registro!$H136="","",IFERROR(SUMPRODUCT(--("0"&amp;TRIM(RIGHT(SUBSTITUTE(TRIM(MID(SUBSTITUTE(SUBSTITUTE(Registro!$H136,";",CHAR(10)),CHAR(10),REPT(" ",LEN(Registro!$H136))),({1,2,3,4,5,6,7,8,9,10,11,12,13,14,15,16,17,18,19,20,21,22,23,24,25,26,27,28,29,30}-1)*LEN(Registro!$H136)+1,LEN(Registro!$H136)))," ",REPT(" ",50)),50)))),"Revisar formato"))</f>
        <v/>
      </c>
      <c r="J136" s="24" t="str">
        <f>IF(Registro!$I136="","",IFERROR(SUMPRODUCT(--("0"&amp;TRIM(RIGHT(SUBSTITUTE(TRIM(MID(SUBSTITUTE(SUBSTITUTE(Registro!$I136,";",CHAR(10)),CHAR(10),REPT(" ",LEN(Registro!$I136))),({1,2,3,4,5,6,7,8,9,10,11,12,13,14,15,16,17,18,19,20,21,22,23,24,25,26,27,28,29,30}-1)*LEN(Registro!$I136)+1,LEN(Registro!$I136)))," ",REPT(" ",50)),50)))),"Revisar formato"))</f>
        <v/>
      </c>
      <c r="K136" s="24" t="str">
        <f>IF(AND(Registro!$G136="",Registro!$H136=""),"",IF(AND(ISTEXT(I136),I136&lt;&gt;""),"Revisar formato",N(Registro!$G136)-N(I136)))</f>
        <v/>
      </c>
      <c r="L136" s="24" t="str">
        <f t="shared" si="5"/>
        <v/>
      </c>
      <c r="M136" s="36" t="str">
        <f>IF(AND(A136=Consulta!$B$3,C136=Consulta!$H$3),B136*10000+ROW(),"")</f>
        <v/>
      </c>
    </row>
    <row r="137" spans="1:13" x14ac:dyDescent="0.25">
      <c r="A137" s="21" t="str">
        <f>IF(Registro!$A137="","",Registro!$A137)</f>
        <v/>
      </c>
      <c r="B137" s="20" t="str">
        <f>IF(Registro!$B137="","",Registro!$B137)</f>
        <v/>
      </c>
      <c r="C137" s="35" t="str">
        <f t="shared" si="4"/>
        <v/>
      </c>
      <c r="D137" s="23" t="str">
        <f>IF(Registro!$E137="","",IF(ISERROR(FIND("x",LOWER(Registro!$E137))),"-",IFERROR(SUMPRODUCT(--("0"&amp;LEFT(TRIM(MID(SUBSTITUTE(SUBSTITUTE(SUBSTITUTE(SUBSTITUTE(SUBSTITUTE(LOWER(Registro!$E137),"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",LEN(Registro!$E137))),({1,2,3,4,5,6,7,8,9,10,11,12,13,14,15,16,17,18,19,20,21,22,23,24,25,26,27,28,29,30}-1)*LEN(Registro!$E137)+1,LEN(Registro!$E137))),FIND("x",TRIM(MID(SUBSTITUTE(SUBSTITUTE(SUBSTITUTE(SUBSTITUTE(SUBSTITUTE(LOWER(Registro!$E137),"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",LEN(Registro!$E137))),({1,2,3,4,5,6,7,8,9,10,11,12,13,14,15,16,17,18,19,20,21,22,23,24,25,26,27,28,29,30}-1)*LEN(Registro!$E137)+1,LEN(Registro!$E137)))&amp;"x")-1))),"Revisar formato")))</f>
        <v/>
      </c>
      <c r="E137" s="24" t="str">
        <f>IF(Registro!$E137="","",IF(ISERROR(FIND("x",LOWER(Registro!$E137))),"-",IFERROR(SUMPRODUCT(--("0"&amp;LEFT(TRIM(MID(SUBSTITUTE(SUBSTITUTE(SUBSTITUTE(SUBSTITUTE(SUBSTITUTE(LOWER(Registro!$E137),"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",LEN(Registro!$E137))),({1,2,3,4,5,6,7,8,9,10,11,12,13,14,15,16,17,18,19,20,21,22,23,24,25,26,27,28,29,30}-1)*LEN(Registro!$E137)+1,LEN(Registro!$E137))),FIND("x",TRIM(MID(SUBSTITUTE(SUBSTITUTE(SUBSTITUTE(SUBSTITUTE(SUBSTITUTE(LOWER(Registro!$E137),"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",LEN(Registro!$E137))),({1,2,3,4,5,6,7,8,9,10,11,12,13,14,15,16,17,18,19,20,21,22,23,24,25,26,27,28,29,30}-1)*LEN(Registro!$E137)+1,LEN(Registro!$E137)))&amp;"x")-1)),--("0"&amp;MID(TRIM(MID(SUBSTITUTE(SUBSTITUTE(SUBSTITUTE(SUBSTITUTE(SUBSTITUTE(LOWER(Registro!$E137),"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",LEN(Registro!$E137))),({1,2,3,4,5,6,7,8,9,10,11,12,13,14,15,16,17,18,19,20,21,22,23,24,25,26,27,28,29,30}-1)*LEN(Registro!$E137)+1,LEN(Registro!$E137))),FIND("x",TRIM(MID(SUBSTITUTE(SUBSTITUTE(SUBSTITUTE(SUBSTITUTE(SUBSTITUTE(LOWER(Registro!$E137),"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",LEN(Registro!$E137))),({1,2,3,4,5,6,7,8,9,10,11,12,13,14,15,16,17,18,19,20,21,22,23,24,25,26,27,28,29,30}-1)*LEN(Registro!$E137)+1,LEN(Registro!$E137)))&amp;"x")+1,20))),"Revisar formato")))</f>
        <v/>
      </c>
      <c r="F137" s="23" t="str">
        <f>IF(Registro!$F137="","",IF(ISERROR(FIND("x",LOWER(Registro!$F137))),"-",IFERROR(SUMPRODUCT(--("0"&amp;LEFT(TRIM(MID(SUBSTITUTE(SUBSTITUTE(SUBSTITUTE(SUBSTITUTE(SUBSTITUTE(LOWER(Registro!$F137)," ",""),CHAR(10),"|"),";","|"),"+","|"),"|",REPT(" ",LEN(Registro!$F137))),({1,2,3,4,5,6,7,8,9,10,11,12,13,14,15,16,17,18,19,20,21,22,23,24,25,26,27,28,29,30}-1)*LEN(Registro!$F137)+1,LEN(Registro!$F137))),FIND("x",TRIM(MID(SUBSTITUTE(SUBSTITUTE(SUBSTITUTE(SUBSTITUTE(SUBSTITUTE(LOWER(Registro!$F137)," ",""),CHAR(10),"|"),";","|"),"+","|"),"|",REPT(" ",LEN(Registro!$F137))),({1,2,3,4,5,6,7,8,9,10,11,12,13,14,15,16,17,18,19,20,21,22,23,24,25,26,27,28,29,30}-1)*LEN(Registro!$F137)+1,LEN(Registro!$F137)))&amp;"x")-1))),"Revisar formato")))</f>
        <v/>
      </c>
      <c r="G137" s="24" t="str">
        <f>IF(Registro!$F137="","",IF(ISERROR(FIND("x",LOWER(Registro!$F137))),N(Registro!$G137),IFERROR(SUMPRODUCT(--("0"&amp;LEFT(TRIM(MID(SUBSTITUTE(SUBSTITUTE(SUBSTITUTE(SUBSTITUTE(SUBSTITUTE(LOWER(Registro!$F137)," ",""),CHAR(10),"|"),";","|"),"+","|"),"|",REPT(" ",LEN(Registro!$F137))),({1,2,3,4,5,6,7,8,9,10,11,12,13,14,15,16,17,18,19,20,21,22,23,24,25,26,27,28,29,30}-1)*LEN(Registro!$F137)+1,LEN(Registro!$F137))),FIND("x",TRIM(MID(SUBSTITUTE(SUBSTITUTE(SUBSTITUTE(SUBSTITUTE(SUBSTITUTE(LOWER(Registro!$F137)," ",""),CHAR(10),"|"),";","|"),"+","|"),"|",REPT(" ",LEN(Registro!$F137))),({1,2,3,4,5,6,7,8,9,10,11,12,13,14,15,16,17,18,19,20,21,22,23,24,25,26,27,28,29,30}-1)*LEN(Registro!$F137)+1,LEN(Registro!$F137)))&amp;"x")-1)),--("0"&amp;MID(TRIM(MID(SUBSTITUTE(SUBSTITUTE(SUBSTITUTE(SUBSTITUTE(SUBSTITUTE(LOWER(Registro!$F137)," ",""),CHAR(10),"|"),";","|"),"+","|"),"|",REPT(" ",LEN(Registro!$F137))),({1,2,3,4,5,6,7,8,9,10,11,12,13,14,15,16,17,18,19,20,21,22,23,24,25,26,27,28,29,30}-1)*LEN(Registro!$F137)+1,LEN(Registro!$F137))),FIND("x",TRIM(MID(SUBSTITUTE(SUBSTITUTE(SUBSTITUTE(SUBSTITUTE(SUBSTITUTE(LOWER(Registro!$F137)," ",""),CHAR(10),"|"),";","|"),"+","|"),"|",REPT(" ",LEN(Registro!$F137))),({1,2,3,4,5,6,7,8,9,10,11,12,13,14,15,16,17,18,19,20,21,22,23,24,25,26,27,28,29,30}-1)*LEN(Registro!$F137)+1,LEN(Registro!$F137)))&amp;"x")+1,20))),"Revisar formato")))</f>
        <v/>
      </c>
      <c r="H137" s="21" t="str">
        <f>IF(AND(Registro!$E137="",Registro!$F137=""),"",IF(NOT(AND(ISNUMBER(G137),ISNUMBER(Registro!$G137))),"",IF(G137&lt;Registro!$G137,"FALTA BOLETOS",IF(G137=Registro!$G137,"CONFORME","DIFERENCIA"))))</f>
        <v/>
      </c>
      <c r="I137" s="24" t="str">
        <f>IF(Registro!$H137="","",IFERROR(SUMPRODUCT(--("0"&amp;TRIM(RIGHT(SUBSTITUTE(TRIM(MID(SUBSTITUTE(SUBSTITUTE(Registro!$H137,";",CHAR(10)),CHAR(10),REPT(" ",LEN(Registro!$H137))),({1,2,3,4,5,6,7,8,9,10,11,12,13,14,15,16,17,18,19,20,21,22,23,24,25,26,27,28,29,30}-1)*LEN(Registro!$H137)+1,LEN(Registro!$H137)))," ",REPT(" ",50)),50)))),"Revisar formato"))</f>
        <v/>
      </c>
      <c r="J137" s="24" t="str">
        <f>IF(Registro!$I137="","",IFERROR(SUMPRODUCT(--("0"&amp;TRIM(RIGHT(SUBSTITUTE(TRIM(MID(SUBSTITUTE(SUBSTITUTE(Registro!$I137,";",CHAR(10)),CHAR(10),REPT(" ",LEN(Registro!$I137))),({1,2,3,4,5,6,7,8,9,10,11,12,13,14,15,16,17,18,19,20,21,22,23,24,25,26,27,28,29,30}-1)*LEN(Registro!$I137)+1,LEN(Registro!$I137)))," ",REPT(" ",50)),50)))),"Revisar formato"))</f>
        <v/>
      </c>
      <c r="K137" s="24" t="str">
        <f>IF(AND(Registro!$G137="",Registro!$H137=""),"",IF(AND(ISTEXT(I137),I137&lt;&gt;""),"Revisar formato",N(Registro!$G137)-N(I137)))</f>
        <v/>
      </c>
      <c r="L137" s="24" t="str">
        <f t="shared" si="5"/>
        <v/>
      </c>
      <c r="M137" s="36" t="str">
        <f>IF(AND(A137=Consulta!$B$3,C137=Consulta!$H$3),B137*10000+ROW(),"")</f>
        <v/>
      </c>
    </row>
    <row r="138" spans="1:13" x14ac:dyDescent="0.25">
      <c r="A138" s="21" t="str">
        <f>IF(Registro!$A138="","",Registro!$A138)</f>
        <v/>
      </c>
      <c r="B138" s="20" t="str">
        <f>IF(Registro!$B138="","",Registro!$B138)</f>
        <v/>
      </c>
      <c r="C138" s="35" t="str">
        <f t="shared" si="4"/>
        <v/>
      </c>
      <c r="D138" s="23" t="str">
        <f>IF(Registro!$E138="","",IF(ISERROR(FIND("x",LOWER(Registro!$E138))),"-",IFERROR(SUMPRODUCT(--("0"&amp;LEFT(TRIM(MID(SUBSTITUTE(SUBSTITUTE(SUBSTITUTE(SUBSTITUTE(SUBSTITUTE(LOWER(Registro!$E138),"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",LEN(Registro!$E138))),({1,2,3,4,5,6,7,8,9,10,11,12,13,14,15,16,17,18,19,20,21,22,23,24,25,26,27,28,29,30}-1)*LEN(Registro!$E138)+1,LEN(Registro!$E138))),FIND("x",TRIM(MID(SUBSTITUTE(SUBSTITUTE(SUBSTITUTE(SUBSTITUTE(SUBSTITUTE(LOWER(Registro!$E138),"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",LEN(Registro!$E138))),({1,2,3,4,5,6,7,8,9,10,11,12,13,14,15,16,17,18,19,20,21,22,23,24,25,26,27,28,29,30}-1)*LEN(Registro!$E138)+1,LEN(Registro!$E138)))&amp;"x")-1))),"Revisar formato")))</f>
        <v/>
      </c>
      <c r="E138" s="24" t="str">
        <f>IF(Registro!$E138="","",IF(ISERROR(FIND("x",LOWER(Registro!$E138))),"-",IFERROR(SUMPRODUCT(--("0"&amp;LEFT(TRIM(MID(SUBSTITUTE(SUBSTITUTE(SUBSTITUTE(SUBSTITUTE(SUBSTITUTE(LOWER(Registro!$E138),"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",LEN(Registro!$E138))),({1,2,3,4,5,6,7,8,9,10,11,12,13,14,15,16,17,18,19,20,21,22,23,24,25,26,27,28,29,30}-1)*LEN(Registro!$E138)+1,LEN(Registro!$E138))),FIND("x",TRIM(MID(SUBSTITUTE(SUBSTITUTE(SUBSTITUTE(SUBSTITUTE(SUBSTITUTE(LOWER(Registro!$E138),"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",LEN(Registro!$E138))),({1,2,3,4,5,6,7,8,9,10,11,12,13,14,15,16,17,18,19,20,21,22,23,24,25,26,27,28,29,30}-1)*LEN(Registro!$E138)+1,LEN(Registro!$E138)))&amp;"x")-1)),--("0"&amp;MID(TRIM(MID(SUBSTITUTE(SUBSTITUTE(SUBSTITUTE(SUBSTITUTE(SUBSTITUTE(LOWER(Registro!$E138),"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",LEN(Registro!$E138))),({1,2,3,4,5,6,7,8,9,10,11,12,13,14,15,16,17,18,19,20,21,22,23,24,25,26,27,28,29,30}-1)*LEN(Registro!$E138)+1,LEN(Registro!$E138))),FIND("x",TRIM(MID(SUBSTITUTE(SUBSTITUTE(SUBSTITUTE(SUBSTITUTE(SUBSTITUTE(LOWER(Registro!$E138),"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",LEN(Registro!$E138))),({1,2,3,4,5,6,7,8,9,10,11,12,13,14,15,16,17,18,19,20,21,22,23,24,25,26,27,28,29,30}-1)*LEN(Registro!$E138)+1,LEN(Registro!$E138)))&amp;"x")+1,20))),"Revisar formato")))</f>
        <v/>
      </c>
      <c r="F138" s="23" t="str">
        <f>IF(Registro!$F138="","",IF(ISERROR(FIND("x",LOWER(Registro!$F138))),"-",IFERROR(SUMPRODUCT(--("0"&amp;LEFT(TRIM(MID(SUBSTITUTE(SUBSTITUTE(SUBSTITUTE(SUBSTITUTE(SUBSTITUTE(LOWER(Registro!$F138)," ",""),CHAR(10),"|"),";","|"),"+","|"),"|",REPT(" ",LEN(Registro!$F138))),({1,2,3,4,5,6,7,8,9,10,11,12,13,14,15,16,17,18,19,20,21,22,23,24,25,26,27,28,29,30}-1)*LEN(Registro!$F138)+1,LEN(Registro!$F138))),FIND("x",TRIM(MID(SUBSTITUTE(SUBSTITUTE(SUBSTITUTE(SUBSTITUTE(SUBSTITUTE(LOWER(Registro!$F138)," ",""),CHAR(10),"|"),";","|"),"+","|"),"|",REPT(" ",LEN(Registro!$F138))),({1,2,3,4,5,6,7,8,9,10,11,12,13,14,15,16,17,18,19,20,21,22,23,24,25,26,27,28,29,30}-1)*LEN(Registro!$F138)+1,LEN(Registro!$F138)))&amp;"x")-1))),"Revisar formato")))</f>
        <v/>
      </c>
      <c r="G138" s="24" t="str">
        <f>IF(Registro!$F138="","",IF(ISERROR(FIND("x",LOWER(Registro!$F138))),N(Registro!$G138),IFERROR(SUMPRODUCT(--("0"&amp;LEFT(TRIM(MID(SUBSTITUTE(SUBSTITUTE(SUBSTITUTE(SUBSTITUTE(SUBSTITUTE(LOWER(Registro!$F138)," ",""),CHAR(10),"|"),";","|"),"+","|"),"|",REPT(" ",LEN(Registro!$F138))),({1,2,3,4,5,6,7,8,9,10,11,12,13,14,15,16,17,18,19,20,21,22,23,24,25,26,27,28,29,30}-1)*LEN(Registro!$F138)+1,LEN(Registro!$F138))),FIND("x",TRIM(MID(SUBSTITUTE(SUBSTITUTE(SUBSTITUTE(SUBSTITUTE(SUBSTITUTE(LOWER(Registro!$F138)," ",""),CHAR(10),"|"),";","|"),"+","|"),"|",REPT(" ",LEN(Registro!$F138))),({1,2,3,4,5,6,7,8,9,10,11,12,13,14,15,16,17,18,19,20,21,22,23,24,25,26,27,28,29,30}-1)*LEN(Registro!$F138)+1,LEN(Registro!$F138)))&amp;"x")-1)),--("0"&amp;MID(TRIM(MID(SUBSTITUTE(SUBSTITUTE(SUBSTITUTE(SUBSTITUTE(SUBSTITUTE(LOWER(Registro!$F138)," ",""),CHAR(10),"|"),";","|"),"+","|"),"|",REPT(" ",LEN(Registro!$F138))),({1,2,3,4,5,6,7,8,9,10,11,12,13,14,15,16,17,18,19,20,21,22,23,24,25,26,27,28,29,30}-1)*LEN(Registro!$F138)+1,LEN(Registro!$F138))),FIND("x",TRIM(MID(SUBSTITUTE(SUBSTITUTE(SUBSTITUTE(SUBSTITUTE(SUBSTITUTE(LOWER(Registro!$F138)," ",""),CHAR(10),"|"),";","|"),"+","|"),"|",REPT(" ",LEN(Registro!$F138))),({1,2,3,4,5,6,7,8,9,10,11,12,13,14,15,16,17,18,19,20,21,22,23,24,25,26,27,28,29,30}-1)*LEN(Registro!$F138)+1,LEN(Registro!$F138)))&amp;"x")+1,20))),"Revisar formato")))</f>
        <v/>
      </c>
      <c r="H138" s="21" t="str">
        <f>IF(AND(Registro!$E138="",Registro!$F138=""),"",IF(NOT(AND(ISNUMBER(G138),ISNUMBER(Registro!$G138))),"",IF(G138&lt;Registro!$G138,"FALTA BOLETOS",IF(G138=Registro!$G138,"CONFORME","DIFERENCIA"))))</f>
        <v/>
      </c>
      <c r="I138" s="24" t="str">
        <f>IF(Registro!$H138="","",IFERROR(SUMPRODUCT(--("0"&amp;TRIM(RIGHT(SUBSTITUTE(TRIM(MID(SUBSTITUTE(SUBSTITUTE(Registro!$H138,";",CHAR(10)),CHAR(10),REPT(" ",LEN(Registro!$H138))),({1,2,3,4,5,6,7,8,9,10,11,12,13,14,15,16,17,18,19,20,21,22,23,24,25,26,27,28,29,30}-1)*LEN(Registro!$H138)+1,LEN(Registro!$H138)))," ",REPT(" ",50)),50)))),"Revisar formato"))</f>
        <v/>
      </c>
      <c r="J138" s="24" t="str">
        <f>IF(Registro!$I138="","",IFERROR(SUMPRODUCT(--("0"&amp;TRIM(RIGHT(SUBSTITUTE(TRIM(MID(SUBSTITUTE(SUBSTITUTE(Registro!$I138,";",CHAR(10)),CHAR(10),REPT(" ",LEN(Registro!$I138))),({1,2,3,4,5,6,7,8,9,10,11,12,13,14,15,16,17,18,19,20,21,22,23,24,25,26,27,28,29,30}-1)*LEN(Registro!$I138)+1,LEN(Registro!$I138)))," ",REPT(" ",50)),50)))),"Revisar formato"))</f>
        <v/>
      </c>
      <c r="K138" s="24" t="str">
        <f>IF(AND(Registro!$G138="",Registro!$H138=""),"",IF(AND(ISTEXT(I138),I138&lt;&gt;""),"Revisar formato",N(Registro!$G138)-N(I138)))</f>
        <v/>
      </c>
      <c r="L138" s="24" t="str">
        <f t="shared" si="5"/>
        <v/>
      </c>
      <c r="M138" s="36" t="str">
        <f>IF(AND(A138=Consulta!$B$3,C138=Consulta!$H$3),B138*10000+ROW(),"")</f>
        <v/>
      </c>
    </row>
    <row r="139" spans="1:13" x14ac:dyDescent="0.25">
      <c r="A139" s="21" t="str">
        <f>IF(Registro!$A139="","",Registro!$A139)</f>
        <v/>
      </c>
      <c r="B139" s="20" t="str">
        <f>IF(Registro!$B139="","",Registro!$B139)</f>
        <v/>
      </c>
      <c r="C139" s="35" t="str">
        <f t="shared" si="4"/>
        <v/>
      </c>
      <c r="D139" s="23" t="str">
        <f>IF(Registro!$E139="","",IF(ISERROR(FIND("x",LOWER(Registro!$E139))),"-",IFERROR(SUMPRODUCT(--("0"&amp;LEFT(TRIM(MID(SUBSTITUTE(SUBSTITUTE(SUBSTITUTE(SUBSTITUTE(SUBSTITUTE(LOWER(Registro!$E139),"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",LEN(Registro!$E139))),({1,2,3,4,5,6,7,8,9,10,11,12,13,14,15,16,17,18,19,20,21,22,23,24,25,26,27,28,29,30}-1)*LEN(Registro!$E139)+1,LEN(Registro!$E139))),FIND("x",TRIM(MID(SUBSTITUTE(SUBSTITUTE(SUBSTITUTE(SUBSTITUTE(SUBSTITUTE(LOWER(Registro!$E139),"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",LEN(Registro!$E139))),({1,2,3,4,5,6,7,8,9,10,11,12,13,14,15,16,17,18,19,20,21,22,23,24,25,26,27,28,29,30}-1)*LEN(Registro!$E139)+1,LEN(Registro!$E139)))&amp;"x")-1))),"Revisar formato")))</f>
        <v/>
      </c>
      <c r="E139" s="24" t="str">
        <f>IF(Registro!$E139="","",IF(ISERROR(FIND("x",LOWER(Registro!$E139))),"-",IFERROR(SUMPRODUCT(--("0"&amp;LEFT(TRIM(MID(SUBSTITUTE(SUBSTITUTE(SUBSTITUTE(SUBSTITUTE(SUBSTITUTE(LOWER(Registro!$E139),"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",LEN(Registro!$E139))),({1,2,3,4,5,6,7,8,9,10,11,12,13,14,15,16,17,18,19,20,21,22,23,24,25,26,27,28,29,30}-1)*LEN(Registro!$E139)+1,LEN(Registro!$E139))),FIND("x",TRIM(MID(SUBSTITUTE(SUBSTITUTE(SUBSTITUTE(SUBSTITUTE(SUBSTITUTE(LOWER(Registro!$E139),"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",LEN(Registro!$E139))),({1,2,3,4,5,6,7,8,9,10,11,12,13,14,15,16,17,18,19,20,21,22,23,24,25,26,27,28,29,30}-1)*LEN(Registro!$E139)+1,LEN(Registro!$E139)))&amp;"x")-1)),--("0"&amp;MID(TRIM(MID(SUBSTITUTE(SUBSTITUTE(SUBSTITUTE(SUBSTITUTE(SUBSTITUTE(LOWER(Registro!$E139),"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",LEN(Registro!$E139))),({1,2,3,4,5,6,7,8,9,10,11,12,13,14,15,16,17,18,19,20,21,22,23,24,25,26,27,28,29,30}-1)*LEN(Registro!$E139)+1,LEN(Registro!$E139))),FIND("x",TRIM(MID(SUBSTITUTE(SUBSTITUTE(SUBSTITUTE(SUBSTITUTE(SUBSTITUTE(LOWER(Registro!$E139),"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",LEN(Registro!$E139))),({1,2,3,4,5,6,7,8,9,10,11,12,13,14,15,16,17,18,19,20,21,22,23,24,25,26,27,28,29,30}-1)*LEN(Registro!$E139)+1,LEN(Registro!$E139)))&amp;"x")+1,20))),"Revisar formato")))</f>
        <v/>
      </c>
      <c r="F139" s="23" t="str">
        <f>IF(Registro!$F139="","",IF(ISERROR(FIND("x",LOWER(Registro!$F139))),"-",IFERROR(SUMPRODUCT(--("0"&amp;LEFT(TRIM(MID(SUBSTITUTE(SUBSTITUTE(SUBSTITUTE(SUBSTITUTE(SUBSTITUTE(LOWER(Registro!$F139)," ",""),CHAR(10),"|"),";","|"),"+","|"),"|",REPT(" ",LEN(Registro!$F139))),({1,2,3,4,5,6,7,8,9,10,11,12,13,14,15,16,17,18,19,20,21,22,23,24,25,26,27,28,29,30}-1)*LEN(Registro!$F139)+1,LEN(Registro!$F139))),FIND("x",TRIM(MID(SUBSTITUTE(SUBSTITUTE(SUBSTITUTE(SUBSTITUTE(SUBSTITUTE(LOWER(Registro!$F139)," ",""),CHAR(10),"|"),";","|"),"+","|"),"|",REPT(" ",LEN(Registro!$F139))),({1,2,3,4,5,6,7,8,9,10,11,12,13,14,15,16,17,18,19,20,21,22,23,24,25,26,27,28,29,30}-1)*LEN(Registro!$F139)+1,LEN(Registro!$F139)))&amp;"x")-1))),"Revisar formato")))</f>
        <v/>
      </c>
      <c r="G139" s="24" t="str">
        <f>IF(Registro!$F139="","",IF(ISERROR(FIND("x",LOWER(Registro!$F139))),N(Registro!$G139),IFERROR(SUMPRODUCT(--("0"&amp;LEFT(TRIM(MID(SUBSTITUTE(SUBSTITUTE(SUBSTITUTE(SUBSTITUTE(SUBSTITUTE(LOWER(Registro!$F139)," ",""),CHAR(10),"|"),";","|"),"+","|"),"|",REPT(" ",LEN(Registro!$F139))),({1,2,3,4,5,6,7,8,9,10,11,12,13,14,15,16,17,18,19,20,21,22,23,24,25,26,27,28,29,30}-1)*LEN(Registro!$F139)+1,LEN(Registro!$F139))),FIND("x",TRIM(MID(SUBSTITUTE(SUBSTITUTE(SUBSTITUTE(SUBSTITUTE(SUBSTITUTE(LOWER(Registro!$F139)," ",""),CHAR(10),"|"),";","|"),"+","|"),"|",REPT(" ",LEN(Registro!$F139))),({1,2,3,4,5,6,7,8,9,10,11,12,13,14,15,16,17,18,19,20,21,22,23,24,25,26,27,28,29,30}-1)*LEN(Registro!$F139)+1,LEN(Registro!$F139)))&amp;"x")-1)),--("0"&amp;MID(TRIM(MID(SUBSTITUTE(SUBSTITUTE(SUBSTITUTE(SUBSTITUTE(SUBSTITUTE(LOWER(Registro!$F139)," ",""),CHAR(10),"|"),";","|"),"+","|"),"|",REPT(" ",LEN(Registro!$F139))),({1,2,3,4,5,6,7,8,9,10,11,12,13,14,15,16,17,18,19,20,21,22,23,24,25,26,27,28,29,30}-1)*LEN(Registro!$F139)+1,LEN(Registro!$F139))),FIND("x",TRIM(MID(SUBSTITUTE(SUBSTITUTE(SUBSTITUTE(SUBSTITUTE(SUBSTITUTE(LOWER(Registro!$F139)," ",""),CHAR(10),"|"),";","|"),"+","|"),"|",REPT(" ",LEN(Registro!$F139))),({1,2,3,4,5,6,7,8,9,10,11,12,13,14,15,16,17,18,19,20,21,22,23,24,25,26,27,28,29,30}-1)*LEN(Registro!$F139)+1,LEN(Registro!$F139)))&amp;"x")+1,20))),"Revisar formato")))</f>
        <v/>
      </c>
      <c r="H139" s="21" t="str">
        <f>IF(AND(Registro!$E139="",Registro!$F139=""),"",IF(NOT(AND(ISNUMBER(G139),ISNUMBER(Registro!$G139))),"",IF(G139&lt;Registro!$G139,"FALTA BOLETOS",IF(G139=Registro!$G139,"CONFORME","DIFERENCIA"))))</f>
        <v/>
      </c>
      <c r="I139" s="24" t="str">
        <f>IF(Registro!$H139="","",IFERROR(SUMPRODUCT(--("0"&amp;TRIM(RIGHT(SUBSTITUTE(TRIM(MID(SUBSTITUTE(SUBSTITUTE(Registro!$H139,";",CHAR(10)),CHAR(10),REPT(" ",LEN(Registro!$H139))),({1,2,3,4,5,6,7,8,9,10,11,12,13,14,15,16,17,18,19,20,21,22,23,24,25,26,27,28,29,30}-1)*LEN(Registro!$H139)+1,LEN(Registro!$H139)))," ",REPT(" ",50)),50)))),"Revisar formato"))</f>
        <v/>
      </c>
      <c r="J139" s="24" t="str">
        <f>IF(Registro!$I139="","",IFERROR(SUMPRODUCT(--("0"&amp;TRIM(RIGHT(SUBSTITUTE(TRIM(MID(SUBSTITUTE(SUBSTITUTE(Registro!$I139,";",CHAR(10)),CHAR(10),REPT(" ",LEN(Registro!$I139))),({1,2,3,4,5,6,7,8,9,10,11,12,13,14,15,16,17,18,19,20,21,22,23,24,25,26,27,28,29,30}-1)*LEN(Registro!$I139)+1,LEN(Registro!$I139)))," ",REPT(" ",50)),50)))),"Revisar formato"))</f>
        <v/>
      </c>
      <c r="K139" s="24" t="str">
        <f>IF(AND(Registro!$G139="",Registro!$H139=""),"",IF(AND(ISTEXT(I139),I139&lt;&gt;""),"Revisar formato",N(Registro!$G139)-N(I139)))</f>
        <v/>
      </c>
      <c r="L139" s="24" t="str">
        <f t="shared" si="5"/>
        <v/>
      </c>
      <c r="M139" s="36" t="str">
        <f>IF(AND(A139=Consulta!$B$3,C139=Consulta!$H$3),B139*10000+ROW(),"")</f>
        <v/>
      </c>
    </row>
    <row r="140" spans="1:13" x14ac:dyDescent="0.25">
      <c r="A140" s="21" t="str">
        <f>IF(Registro!$A140="","",Registro!$A140)</f>
        <v/>
      </c>
      <c r="B140" s="20" t="str">
        <f>IF(Registro!$B140="","",Registro!$B140)</f>
        <v/>
      </c>
      <c r="C140" s="35" t="str">
        <f t="shared" si="4"/>
        <v/>
      </c>
      <c r="D140" s="23" t="str">
        <f>IF(Registro!$E140="","",IF(ISERROR(FIND("x",LOWER(Registro!$E140))),"-",IFERROR(SUMPRODUCT(--("0"&amp;LEFT(TRIM(MID(SUBSTITUTE(SUBSTITUTE(SUBSTITUTE(SUBSTITUTE(SUBSTITUTE(LOWER(Registro!$E140),"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",LEN(Registro!$E140))),({1,2,3,4,5,6,7,8,9,10,11,12,13,14,15,16,17,18,19,20,21,22,23,24,25,26,27,28,29,30}-1)*LEN(Registro!$E140)+1,LEN(Registro!$E140))),FIND("x",TRIM(MID(SUBSTITUTE(SUBSTITUTE(SUBSTITUTE(SUBSTITUTE(SUBSTITUTE(LOWER(Registro!$E140),"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",LEN(Registro!$E140))),({1,2,3,4,5,6,7,8,9,10,11,12,13,14,15,16,17,18,19,20,21,22,23,24,25,26,27,28,29,30}-1)*LEN(Registro!$E140)+1,LEN(Registro!$E140)))&amp;"x")-1))),"Revisar formato")))</f>
        <v/>
      </c>
      <c r="E140" s="24" t="str">
        <f>IF(Registro!$E140="","",IF(ISERROR(FIND("x",LOWER(Registro!$E140))),"-",IFERROR(SUMPRODUCT(--("0"&amp;LEFT(TRIM(MID(SUBSTITUTE(SUBSTITUTE(SUBSTITUTE(SUBSTITUTE(SUBSTITUTE(LOWER(Registro!$E140),"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",LEN(Registro!$E140))),({1,2,3,4,5,6,7,8,9,10,11,12,13,14,15,16,17,18,19,20,21,22,23,24,25,26,27,28,29,30}-1)*LEN(Registro!$E140)+1,LEN(Registro!$E140))),FIND("x",TRIM(MID(SUBSTITUTE(SUBSTITUTE(SUBSTITUTE(SUBSTITUTE(SUBSTITUTE(LOWER(Registro!$E140),"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",LEN(Registro!$E140))),({1,2,3,4,5,6,7,8,9,10,11,12,13,14,15,16,17,18,19,20,21,22,23,24,25,26,27,28,29,30}-1)*LEN(Registro!$E140)+1,LEN(Registro!$E140)))&amp;"x")-1)),--("0"&amp;MID(TRIM(MID(SUBSTITUTE(SUBSTITUTE(SUBSTITUTE(SUBSTITUTE(SUBSTITUTE(LOWER(Registro!$E140),"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",LEN(Registro!$E140))),({1,2,3,4,5,6,7,8,9,10,11,12,13,14,15,16,17,18,19,20,21,22,23,24,25,26,27,28,29,30}-1)*LEN(Registro!$E140)+1,LEN(Registro!$E140))),FIND("x",TRIM(MID(SUBSTITUTE(SUBSTITUTE(SUBSTITUTE(SUBSTITUTE(SUBSTITUTE(LOWER(Registro!$E140),"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",LEN(Registro!$E140))),({1,2,3,4,5,6,7,8,9,10,11,12,13,14,15,16,17,18,19,20,21,22,23,24,25,26,27,28,29,30}-1)*LEN(Registro!$E140)+1,LEN(Registro!$E140)))&amp;"x")+1,20))),"Revisar formato")))</f>
        <v/>
      </c>
      <c r="F140" s="23" t="str">
        <f>IF(Registro!$F140="","",IF(ISERROR(FIND("x",LOWER(Registro!$F140))),"-",IFERROR(SUMPRODUCT(--("0"&amp;LEFT(TRIM(MID(SUBSTITUTE(SUBSTITUTE(SUBSTITUTE(SUBSTITUTE(SUBSTITUTE(LOWER(Registro!$F140)," ",""),CHAR(10),"|"),";","|"),"+","|"),"|",REPT(" ",LEN(Registro!$F140))),({1,2,3,4,5,6,7,8,9,10,11,12,13,14,15,16,17,18,19,20,21,22,23,24,25,26,27,28,29,30}-1)*LEN(Registro!$F140)+1,LEN(Registro!$F140))),FIND("x",TRIM(MID(SUBSTITUTE(SUBSTITUTE(SUBSTITUTE(SUBSTITUTE(SUBSTITUTE(LOWER(Registro!$F140)," ",""),CHAR(10),"|"),";","|"),"+","|"),"|",REPT(" ",LEN(Registro!$F140))),({1,2,3,4,5,6,7,8,9,10,11,12,13,14,15,16,17,18,19,20,21,22,23,24,25,26,27,28,29,30}-1)*LEN(Registro!$F140)+1,LEN(Registro!$F140)))&amp;"x")-1))),"Revisar formato")))</f>
        <v/>
      </c>
      <c r="G140" s="24" t="str">
        <f>IF(Registro!$F140="","",IF(ISERROR(FIND("x",LOWER(Registro!$F140))),N(Registro!$G140),IFERROR(SUMPRODUCT(--("0"&amp;LEFT(TRIM(MID(SUBSTITUTE(SUBSTITUTE(SUBSTITUTE(SUBSTITUTE(SUBSTITUTE(LOWER(Registro!$F140)," ",""),CHAR(10),"|"),";","|"),"+","|"),"|",REPT(" ",LEN(Registro!$F140))),({1,2,3,4,5,6,7,8,9,10,11,12,13,14,15,16,17,18,19,20,21,22,23,24,25,26,27,28,29,30}-1)*LEN(Registro!$F140)+1,LEN(Registro!$F140))),FIND("x",TRIM(MID(SUBSTITUTE(SUBSTITUTE(SUBSTITUTE(SUBSTITUTE(SUBSTITUTE(LOWER(Registro!$F140)," ",""),CHAR(10),"|"),";","|"),"+","|"),"|",REPT(" ",LEN(Registro!$F140))),({1,2,3,4,5,6,7,8,9,10,11,12,13,14,15,16,17,18,19,20,21,22,23,24,25,26,27,28,29,30}-1)*LEN(Registro!$F140)+1,LEN(Registro!$F140)))&amp;"x")-1)),--("0"&amp;MID(TRIM(MID(SUBSTITUTE(SUBSTITUTE(SUBSTITUTE(SUBSTITUTE(SUBSTITUTE(LOWER(Registro!$F140)," ",""),CHAR(10),"|"),";","|"),"+","|"),"|",REPT(" ",LEN(Registro!$F140))),({1,2,3,4,5,6,7,8,9,10,11,12,13,14,15,16,17,18,19,20,21,22,23,24,25,26,27,28,29,30}-1)*LEN(Registro!$F140)+1,LEN(Registro!$F140))),FIND("x",TRIM(MID(SUBSTITUTE(SUBSTITUTE(SUBSTITUTE(SUBSTITUTE(SUBSTITUTE(LOWER(Registro!$F140)," ",""),CHAR(10),"|"),";","|"),"+","|"),"|",REPT(" ",LEN(Registro!$F140))),({1,2,3,4,5,6,7,8,9,10,11,12,13,14,15,16,17,18,19,20,21,22,23,24,25,26,27,28,29,30}-1)*LEN(Registro!$F140)+1,LEN(Registro!$F140)))&amp;"x")+1,20))),"Revisar formato")))</f>
        <v/>
      </c>
      <c r="H140" s="21" t="str">
        <f>IF(AND(Registro!$E140="",Registro!$F140=""),"",IF(NOT(AND(ISNUMBER(G140),ISNUMBER(Registro!$G140))),"",IF(G140&lt;Registro!$G140,"FALTA BOLETOS",IF(G140=Registro!$G140,"CONFORME","DIFERENCIA"))))</f>
        <v/>
      </c>
      <c r="I140" s="24" t="str">
        <f>IF(Registro!$H140="","",IFERROR(SUMPRODUCT(--("0"&amp;TRIM(RIGHT(SUBSTITUTE(TRIM(MID(SUBSTITUTE(SUBSTITUTE(Registro!$H140,";",CHAR(10)),CHAR(10),REPT(" ",LEN(Registro!$H140))),({1,2,3,4,5,6,7,8,9,10,11,12,13,14,15,16,17,18,19,20,21,22,23,24,25,26,27,28,29,30}-1)*LEN(Registro!$H140)+1,LEN(Registro!$H140)))," ",REPT(" ",50)),50)))),"Revisar formato"))</f>
        <v/>
      </c>
      <c r="J140" s="24" t="str">
        <f>IF(Registro!$I140="","",IFERROR(SUMPRODUCT(--("0"&amp;TRIM(RIGHT(SUBSTITUTE(TRIM(MID(SUBSTITUTE(SUBSTITUTE(Registro!$I140,";",CHAR(10)),CHAR(10),REPT(" ",LEN(Registro!$I140))),({1,2,3,4,5,6,7,8,9,10,11,12,13,14,15,16,17,18,19,20,21,22,23,24,25,26,27,28,29,30}-1)*LEN(Registro!$I140)+1,LEN(Registro!$I140)))," ",REPT(" ",50)),50)))),"Revisar formato"))</f>
        <v/>
      </c>
      <c r="K140" s="24" t="str">
        <f>IF(AND(Registro!$G140="",Registro!$H140=""),"",IF(AND(ISTEXT(I140),I140&lt;&gt;""),"Revisar formato",N(Registro!$G140)-N(I140)))</f>
        <v/>
      </c>
      <c r="L140" s="24" t="str">
        <f t="shared" si="5"/>
        <v/>
      </c>
      <c r="M140" s="36" t="str">
        <f>IF(AND(A140=Consulta!$B$3,C140=Consulta!$H$3),B140*10000+ROW(),"")</f>
        <v/>
      </c>
    </row>
    <row r="141" spans="1:13" x14ac:dyDescent="0.25">
      <c r="A141" s="21" t="str">
        <f>IF(Registro!$A141="","",Registro!$A141)</f>
        <v/>
      </c>
      <c r="B141" s="20" t="str">
        <f>IF(Registro!$B141="","",Registro!$B141)</f>
        <v/>
      </c>
      <c r="C141" s="35" t="str">
        <f t="shared" si="4"/>
        <v/>
      </c>
      <c r="D141" s="23" t="str">
        <f>IF(Registro!$E141="","",IF(ISERROR(FIND("x",LOWER(Registro!$E141))),"-",IFERROR(SUMPRODUCT(--("0"&amp;LEFT(TRIM(MID(SUBSTITUTE(SUBSTITUTE(SUBSTITUTE(SUBSTITUTE(SUBSTITUTE(LOWER(Registro!$E141),"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",LEN(Registro!$E141))),({1,2,3,4,5,6,7,8,9,10,11,12,13,14,15,16,17,18,19,20,21,22,23,24,25,26,27,28,29,30}-1)*LEN(Registro!$E141)+1,LEN(Registro!$E141))),FIND("x",TRIM(MID(SUBSTITUTE(SUBSTITUTE(SUBSTITUTE(SUBSTITUTE(SUBSTITUTE(LOWER(Registro!$E141),"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",LEN(Registro!$E141))),({1,2,3,4,5,6,7,8,9,10,11,12,13,14,15,16,17,18,19,20,21,22,23,24,25,26,27,28,29,30}-1)*LEN(Registro!$E141)+1,LEN(Registro!$E141)))&amp;"x")-1))),"Revisar formato")))</f>
        <v/>
      </c>
      <c r="E141" s="24" t="str">
        <f>IF(Registro!$E141="","",IF(ISERROR(FIND("x",LOWER(Registro!$E141))),"-",IFERROR(SUMPRODUCT(--("0"&amp;LEFT(TRIM(MID(SUBSTITUTE(SUBSTITUTE(SUBSTITUTE(SUBSTITUTE(SUBSTITUTE(LOWER(Registro!$E141),"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",LEN(Registro!$E141))),({1,2,3,4,5,6,7,8,9,10,11,12,13,14,15,16,17,18,19,20,21,22,23,24,25,26,27,28,29,30}-1)*LEN(Registro!$E141)+1,LEN(Registro!$E141))),FIND("x",TRIM(MID(SUBSTITUTE(SUBSTITUTE(SUBSTITUTE(SUBSTITUTE(SUBSTITUTE(LOWER(Registro!$E141),"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",LEN(Registro!$E141))),({1,2,3,4,5,6,7,8,9,10,11,12,13,14,15,16,17,18,19,20,21,22,23,24,25,26,27,28,29,30}-1)*LEN(Registro!$E141)+1,LEN(Registro!$E141)))&amp;"x")-1)),--("0"&amp;MID(TRIM(MID(SUBSTITUTE(SUBSTITUTE(SUBSTITUTE(SUBSTITUTE(SUBSTITUTE(LOWER(Registro!$E141),"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",LEN(Registro!$E141))),({1,2,3,4,5,6,7,8,9,10,11,12,13,14,15,16,17,18,19,20,21,22,23,24,25,26,27,28,29,30}-1)*LEN(Registro!$E141)+1,LEN(Registro!$E141))),FIND("x",TRIM(MID(SUBSTITUTE(SUBSTITUTE(SUBSTITUTE(SUBSTITUTE(SUBSTITUTE(LOWER(Registro!$E141),"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",LEN(Registro!$E141))),({1,2,3,4,5,6,7,8,9,10,11,12,13,14,15,16,17,18,19,20,21,22,23,24,25,26,27,28,29,30}-1)*LEN(Registro!$E141)+1,LEN(Registro!$E141)))&amp;"x")+1,20))),"Revisar formato")))</f>
        <v/>
      </c>
      <c r="F141" s="23" t="str">
        <f>IF(Registro!$F141="","",IF(ISERROR(FIND("x",LOWER(Registro!$F141))),"-",IFERROR(SUMPRODUCT(--("0"&amp;LEFT(TRIM(MID(SUBSTITUTE(SUBSTITUTE(SUBSTITUTE(SUBSTITUTE(SUBSTITUTE(LOWER(Registro!$F141)," ",""),CHAR(10),"|"),";","|"),"+","|"),"|",REPT(" ",LEN(Registro!$F141))),({1,2,3,4,5,6,7,8,9,10,11,12,13,14,15,16,17,18,19,20,21,22,23,24,25,26,27,28,29,30}-1)*LEN(Registro!$F141)+1,LEN(Registro!$F141))),FIND("x",TRIM(MID(SUBSTITUTE(SUBSTITUTE(SUBSTITUTE(SUBSTITUTE(SUBSTITUTE(LOWER(Registro!$F141)," ",""),CHAR(10),"|"),";","|"),"+","|"),"|",REPT(" ",LEN(Registro!$F141))),({1,2,3,4,5,6,7,8,9,10,11,12,13,14,15,16,17,18,19,20,21,22,23,24,25,26,27,28,29,30}-1)*LEN(Registro!$F141)+1,LEN(Registro!$F141)))&amp;"x")-1))),"Revisar formato")))</f>
        <v/>
      </c>
      <c r="G141" s="24" t="str">
        <f>IF(Registro!$F141="","",IF(ISERROR(FIND("x",LOWER(Registro!$F141))),N(Registro!$G141),IFERROR(SUMPRODUCT(--("0"&amp;LEFT(TRIM(MID(SUBSTITUTE(SUBSTITUTE(SUBSTITUTE(SUBSTITUTE(SUBSTITUTE(LOWER(Registro!$F141)," ",""),CHAR(10),"|"),";","|"),"+","|"),"|",REPT(" ",LEN(Registro!$F141))),({1,2,3,4,5,6,7,8,9,10,11,12,13,14,15,16,17,18,19,20,21,22,23,24,25,26,27,28,29,30}-1)*LEN(Registro!$F141)+1,LEN(Registro!$F141))),FIND("x",TRIM(MID(SUBSTITUTE(SUBSTITUTE(SUBSTITUTE(SUBSTITUTE(SUBSTITUTE(LOWER(Registro!$F141)," ",""),CHAR(10),"|"),";","|"),"+","|"),"|",REPT(" ",LEN(Registro!$F141))),({1,2,3,4,5,6,7,8,9,10,11,12,13,14,15,16,17,18,19,20,21,22,23,24,25,26,27,28,29,30}-1)*LEN(Registro!$F141)+1,LEN(Registro!$F141)))&amp;"x")-1)),--("0"&amp;MID(TRIM(MID(SUBSTITUTE(SUBSTITUTE(SUBSTITUTE(SUBSTITUTE(SUBSTITUTE(LOWER(Registro!$F141)," ",""),CHAR(10),"|"),";","|"),"+","|"),"|",REPT(" ",LEN(Registro!$F141))),({1,2,3,4,5,6,7,8,9,10,11,12,13,14,15,16,17,18,19,20,21,22,23,24,25,26,27,28,29,30}-1)*LEN(Registro!$F141)+1,LEN(Registro!$F141))),FIND("x",TRIM(MID(SUBSTITUTE(SUBSTITUTE(SUBSTITUTE(SUBSTITUTE(SUBSTITUTE(LOWER(Registro!$F141)," ",""),CHAR(10),"|"),";","|"),"+","|"),"|",REPT(" ",LEN(Registro!$F141))),({1,2,3,4,5,6,7,8,9,10,11,12,13,14,15,16,17,18,19,20,21,22,23,24,25,26,27,28,29,30}-1)*LEN(Registro!$F141)+1,LEN(Registro!$F141)))&amp;"x")+1,20))),"Revisar formato")))</f>
        <v/>
      </c>
      <c r="H141" s="21" t="str">
        <f>IF(AND(Registro!$E141="",Registro!$F141=""),"",IF(NOT(AND(ISNUMBER(G141),ISNUMBER(Registro!$G141))),"",IF(G141&lt;Registro!$G141,"FALTA BOLETOS",IF(G141=Registro!$G141,"CONFORME","DIFERENCIA"))))</f>
        <v/>
      </c>
      <c r="I141" s="24" t="str">
        <f>IF(Registro!$H141="","",IFERROR(SUMPRODUCT(--("0"&amp;TRIM(RIGHT(SUBSTITUTE(TRIM(MID(SUBSTITUTE(SUBSTITUTE(Registro!$H141,";",CHAR(10)),CHAR(10),REPT(" ",LEN(Registro!$H141))),({1,2,3,4,5,6,7,8,9,10,11,12,13,14,15,16,17,18,19,20,21,22,23,24,25,26,27,28,29,30}-1)*LEN(Registro!$H141)+1,LEN(Registro!$H141)))," ",REPT(" ",50)),50)))),"Revisar formato"))</f>
        <v/>
      </c>
      <c r="J141" s="24" t="str">
        <f>IF(Registro!$I141="","",IFERROR(SUMPRODUCT(--("0"&amp;TRIM(RIGHT(SUBSTITUTE(TRIM(MID(SUBSTITUTE(SUBSTITUTE(Registro!$I141,";",CHAR(10)),CHAR(10),REPT(" ",LEN(Registro!$I141))),({1,2,3,4,5,6,7,8,9,10,11,12,13,14,15,16,17,18,19,20,21,22,23,24,25,26,27,28,29,30}-1)*LEN(Registro!$I141)+1,LEN(Registro!$I141)))," ",REPT(" ",50)),50)))),"Revisar formato"))</f>
        <v/>
      </c>
      <c r="K141" s="24" t="str">
        <f>IF(AND(Registro!$G141="",Registro!$H141=""),"",IF(AND(ISTEXT(I141),I141&lt;&gt;""),"Revisar formato",N(Registro!$G141)-N(I141)))</f>
        <v/>
      </c>
      <c r="L141" s="24" t="str">
        <f t="shared" si="5"/>
        <v/>
      </c>
      <c r="M141" s="36" t="str">
        <f>IF(AND(A141=Consulta!$B$3,C141=Consulta!$H$3),B141*10000+ROW(),"")</f>
        <v/>
      </c>
    </row>
    <row r="142" spans="1:13" x14ac:dyDescent="0.25">
      <c r="A142" s="21" t="str">
        <f>IF(Registro!$A142="","",Registro!$A142)</f>
        <v/>
      </c>
      <c r="B142" s="20" t="str">
        <f>IF(Registro!$B142="","",Registro!$B142)</f>
        <v/>
      </c>
      <c r="C142" s="35" t="str">
        <f t="shared" si="4"/>
        <v/>
      </c>
      <c r="D142" s="23" t="str">
        <f>IF(Registro!$E142="","",IF(ISERROR(FIND("x",LOWER(Registro!$E142))),"-",IFERROR(SUMPRODUCT(--("0"&amp;LEFT(TRIM(MID(SUBSTITUTE(SUBSTITUTE(SUBSTITUTE(SUBSTITUTE(SUBSTITUTE(LOWER(Registro!$E142),"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",LEN(Registro!$E142))),({1,2,3,4,5,6,7,8,9,10,11,12,13,14,15,16,17,18,19,20,21,22,23,24,25,26,27,28,29,30}-1)*LEN(Registro!$E142)+1,LEN(Registro!$E142))),FIND("x",TRIM(MID(SUBSTITUTE(SUBSTITUTE(SUBSTITUTE(SUBSTITUTE(SUBSTITUTE(LOWER(Registro!$E142),"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",LEN(Registro!$E142))),({1,2,3,4,5,6,7,8,9,10,11,12,13,14,15,16,17,18,19,20,21,22,23,24,25,26,27,28,29,30}-1)*LEN(Registro!$E142)+1,LEN(Registro!$E142)))&amp;"x")-1))),"Revisar formato")))</f>
        <v/>
      </c>
      <c r="E142" s="24" t="str">
        <f>IF(Registro!$E142="","",IF(ISERROR(FIND("x",LOWER(Registro!$E142))),"-",IFERROR(SUMPRODUCT(--("0"&amp;LEFT(TRIM(MID(SUBSTITUTE(SUBSTITUTE(SUBSTITUTE(SUBSTITUTE(SUBSTITUTE(LOWER(Registro!$E142),"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",LEN(Registro!$E142))),({1,2,3,4,5,6,7,8,9,10,11,12,13,14,15,16,17,18,19,20,21,22,23,24,25,26,27,28,29,30}-1)*LEN(Registro!$E142)+1,LEN(Registro!$E142))),FIND("x",TRIM(MID(SUBSTITUTE(SUBSTITUTE(SUBSTITUTE(SUBSTITUTE(SUBSTITUTE(LOWER(Registro!$E142),"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",LEN(Registro!$E142))),({1,2,3,4,5,6,7,8,9,10,11,12,13,14,15,16,17,18,19,20,21,22,23,24,25,26,27,28,29,30}-1)*LEN(Registro!$E142)+1,LEN(Registro!$E142)))&amp;"x")-1)),--("0"&amp;MID(TRIM(MID(SUBSTITUTE(SUBSTITUTE(SUBSTITUTE(SUBSTITUTE(SUBSTITUTE(LOWER(Registro!$E142),"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",LEN(Registro!$E142))),({1,2,3,4,5,6,7,8,9,10,11,12,13,14,15,16,17,18,19,20,21,22,23,24,25,26,27,28,29,30}-1)*LEN(Registro!$E142)+1,LEN(Registro!$E142))),FIND("x",TRIM(MID(SUBSTITUTE(SUBSTITUTE(SUBSTITUTE(SUBSTITUTE(SUBSTITUTE(LOWER(Registro!$E142),"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",LEN(Registro!$E142))),({1,2,3,4,5,6,7,8,9,10,11,12,13,14,15,16,17,18,19,20,21,22,23,24,25,26,27,28,29,30}-1)*LEN(Registro!$E142)+1,LEN(Registro!$E142)))&amp;"x")+1,20))),"Revisar formato")))</f>
        <v/>
      </c>
      <c r="F142" s="23" t="str">
        <f>IF(Registro!$F142="","",IF(ISERROR(FIND("x",LOWER(Registro!$F142))),"-",IFERROR(SUMPRODUCT(--("0"&amp;LEFT(TRIM(MID(SUBSTITUTE(SUBSTITUTE(SUBSTITUTE(SUBSTITUTE(SUBSTITUTE(LOWER(Registro!$F142)," ",""),CHAR(10),"|"),";","|"),"+","|"),"|",REPT(" ",LEN(Registro!$F142))),({1,2,3,4,5,6,7,8,9,10,11,12,13,14,15,16,17,18,19,20,21,22,23,24,25,26,27,28,29,30}-1)*LEN(Registro!$F142)+1,LEN(Registro!$F142))),FIND("x",TRIM(MID(SUBSTITUTE(SUBSTITUTE(SUBSTITUTE(SUBSTITUTE(SUBSTITUTE(LOWER(Registro!$F142)," ",""),CHAR(10),"|"),";","|"),"+","|"),"|",REPT(" ",LEN(Registro!$F142))),({1,2,3,4,5,6,7,8,9,10,11,12,13,14,15,16,17,18,19,20,21,22,23,24,25,26,27,28,29,30}-1)*LEN(Registro!$F142)+1,LEN(Registro!$F142)))&amp;"x")-1))),"Revisar formato")))</f>
        <v/>
      </c>
      <c r="G142" s="24" t="str">
        <f>IF(Registro!$F142="","",IF(ISERROR(FIND("x",LOWER(Registro!$F142))),N(Registro!$G142),IFERROR(SUMPRODUCT(--("0"&amp;LEFT(TRIM(MID(SUBSTITUTE(SUBSTITUTE(SUBSTITUTE(SUBSTITUTE(SUBSTITUTE(LOWER(Registro!$F142)," ",""),CHAR(10),"|"),";","|"),"+","|"),"|",REPT(" ",LEN(Registro!$F142))),({1,2,3,4,5,6,7,8,9,10,11,12,13,14,15,16,17,18,19,20,21,22,23,24,25,26,27,28,29,30}-1)*LEN(Registro!$F142)+1,LEN(Registro!$F142))),FIND("x",TRIM(MID(SUBSTITUTE(SUBSTITUTE(SUBSTITUTE(SUBSTITUTE(SUBSTITUTE(LOWER(Registro!$F142)," ",""),CHAR(10),"|"),";","|"),"+","|"),"|",REPT(" ",LEN(Registro!$F142))),({1,2,3,4,5,6,7,8,9,10,11,12,13,14,15,16,17,18,19,20,21,22,23,24,25,26,27,28,29,30}-1)*LEN(Registro!$F142)+1,LEN(Registro!$F142)))&amp;"x")-1)),--("0"&amp;MID(TRIM(MID(SUBSTITUTE(SUBSTITUTE(SUBSTITUTE(SUBSTITUTE(SUBSTITUTE(LOWER(Registro!$F142)," ",""),CHAR(10),"|"),";","|"),"+","|"),"|",REPT(" ",LEN(Registro!$F142))),({1,2,3,4,5,6,7,8,9,10,11,12,13,14,15,16,17,18,19,20,21,22,23,24,25,26,27,28,29,30}-1)*LEN(Registro!$F142)+1,LEN(Registro!$F142))),FIND("x",TRIM(MID(SUBSTITUTE(SUBSTITUTE(SUBSTITUTE(SUBSTITUTE(SUBSTITUTE(LOWER(Registro!$F142)," ",""),CHAR(10),"|"),";","|"),"+","|"),"|",REPT(" ",LEN(Registro!$F142))),({1,2,3,4,5,6,7,8,9,10,11,12,13,14,15,16,17,18,19,20,21,22,23,24,25,26,27,28,29,30}-1)*LEN(Registro!$F142)+1,LEN(Registro!$F142)))&amp;"x")+1,20))),"Revisar formato")))</f>
        <v/>
      </c>
      <c r="H142" s="21" t="str">
        <f>IF(AND(Registro!$E142="",Registro!$F142=""),"",IF(NOT(AND(ISNUMBER(G142),ISNUMBER(Registro!$G142))),"",IF(G142&lt;Registro!$G142,"FALTA BOLETOS",IF(G142=Registro!$G142,"CONFORME","DIFERENCIA"))))</f>
        <v/>
      </c>
      <c r="I142" s="24" t="str">
        <f>IF(Registro!$H142="","",IFERROR(SUMPRODUCT(--("0"&amp;TRIM(RIGHT(SUBSTITUTE(TRIM(MID(SUBSTITUTE(SUBSTITUTE(Registro!$H142,";",CHAR(10)),CHAR(10),REPT(" ",LEN(Registro!$H142))),({1,2,3,4,5,6,7,8,9,10,11,12,13,14,15,16,17,18,19,20,21,22,23,24,25,26,27,28,29,30}-1)*LEN(Registro!$H142)+1,LEN(Registro!$H142)))," ",REPT(" ",50)),50)))),"Revisar formato"))</f>
        <v/>
      </c>
      <c r="J142" s="24" t="str">
        <f>IF(Registro!$I142="","",IFERROR(SUMPRODUCT(--("0"&amp;TRIM(RIGHT(SUBSTITUTE(TRIM(MID(SUBSTITUTE(SUBSTITUTE(Registro!$I142,";",CHAR(10)),CHAR(10),REPT(" ",LEN(Registro!$I142))),({1,2,3,4,5,6,7,8,9,10,11,12,13,14,15,16,17,18,19,20,21,22,23,24,25,26,27,28,29,30}-1)*LEN(Registro!$I142)+1,LEN(Registro!$I142)))," ",REPT(" ",50)),50)))),"Revisar formato"))</f>
        <v/>
      </c>
      <c r="K142" s="24" t="str">
        <f>IF(AND(Registro!$G142="",Registro!$H142=""),"",IF(AND(ISTEXT(I142),I142&lt;&gt;""),"Revisar formato",N(Registro!$G142)-N(I142)))</f>
        <v/>
      </c>
      <c r="L142" s="24" t="str">
        <f t="shared" si="5"/>
        <v/>
      </c>
      <c r="M142" s="36" t="str">
        <f>IF(AND(A142=Consulta!$B$3,C142=Consulta!$H$3),B142*10000+ROW(),"")</f>
        <v/>
      </c>
    </row>
    <row r="143" spans="1:13" x14ac:dyDescent="0.25">
      <c r="A143" s="21" t="str">
        <f>IF(Registro!$A143="","",Registro!$A143)</f>
        <v/>
      </c>
      <c r="B143" s="20" t="str">
        <f>IF(Registro!$B143="","",Registro!$B143)</f>
        <v/>
      </c>
      <c r="C143" s="35" t="str">
        <f t="shared" si="4"/>
        <v/>
      </c>
      <c r="D143" s="23" t="str">
        <f>IF(Registro!$E143="","",IF(ISERROR(FIND("x",LOWER(Registro!$E143))),"-",IFERROR(SUMPRODUCT(--("0"&amp;LEFT(TRIM(MID(SUBSTITUTE(SUBSTITUTE(SUBSTITUTE(SUBSTITUTE(SUBSTITUTE(LOWER(Registro!$E143),"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",LEN(Registro!$E143))),({1,2,3,4,5,6,7,8,9,10,11,12,13,14,15,16,17,18,19,20,21,22,23,24,25,26,27,28,29,30}-1)*LEN(Registro!$E143)+1,LEN(Registro!$E143))),FIND("x",TRIM(MID(SUBSTITUTE(SUBSTITUTE(SUBSTITUTE(SUBSTITUTE(SUBSTITUTE(LOWER(Registro!$E143),"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",LEN(Registro!$E143))),({1,2,3,4,5,6,7,8,9,10,11,12,13,14,15,16,17,18,19,20,21,22,23,24,25,26,27,28,29,30}-1)*LEN(Registro!$E143)+1,LEN(Registro!$E143)))&amp;"x")-1))),"Revisar formato")))</f>
        <v/>
      </c>
      <c r="E143" s="24" t="str">
        <f>IF(Registro!$E143="","",IF(ISERROR(FIND("x",LOWER(Registro!$E143))),"-",IFERROR(SUMPRODUCT(--("0"&amp;LEFT(TRIM(MID(SUBSTITUTE(SUBSTITUTE(SUBSTITUTE(SUBSTITUTE(SUBSTITUTE(LOWER(Registro!$E143),"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",LEN(Registro!$E143))),({1,2,3,4,5,6,7,8,9,10,11,12,13,14,15,16,17,18,19,20,21,22,23,24,25,26,27,28,29,30}-1)*LEN(Registro!$E143)+1,LEN(Registro!$E143))),FIND("x",TRIM(MID(SUBSTITUTE(SUBSTITUTE(SUBSTITUTE(SUBSTITUTE(SUBSTITUTE(LOWER(Registro!$E143),"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",LEN(Registro!$E143))),({1,2,3,4,5,6,7,8,9,10,11,12,13,14,15,16,17,18,19,20,21,22,23,24,25,26,27,28,29,30}-1)*LEN(Registro!$E143)+1,LEN(Registro!$E143)))&amp;"x")-1)),--("0"&amp;MID(TRIM(MID(SUBSTITUTE(SUBSTITUTE(SUBSTITUTE(SUBSTITUTE(SUBSTITUTE(LOWER(Registro!$E143),"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",LEN(Registro!$E143))),({1,2,3,4,5,6,7,8,9,10,11,12,13,14,15,16,17,18,19,20,21,22,23,24,25,26,27,28,29,30}-1)*LEN(Registro!$E143)+1,LEN(Registro!$E143))),FIND("x",TRIM(MID(SUBSTITUTE(SUBSTITUTE(SUBSTITUTE(SUBSTITUTE(SUBSTITUTE(LOWER(Registro!$E143),"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",LEN(Registro!$E143))),({1,2,3,4,5,6,7,8,9,10,11,12,13,14,15,16,17,18,19,20,21,22,23,24,25,26,27,28,29,30}-1)*LEN(Registro!$E143)+1,LEN(Registro!$E143)))&amp;"x")+1,20))),"Revisar formato")))</f>
        <v/>
      </c>
      <c r="F143" s="23" t="str">
        <f>IF(Registro!$F143="","",IF(ISERROR(FIND("x",LOWER(Registro!$F143))),"-",IFERROR(SUMPRODUCT(--("0"&amp;LEFT(TRIM(MID(SUBSTITUTE(SUBSTITUTE(SUBSTITUTE(SUBSTITUTE(SUBSTITUTE(LOWER(Registro!$F143)," ",""),CHAR(10),"|"),";","|"),"+","|"),"|",REPT(" ",LEN(Registro!$F143))),({1,2,3,4,5,6,7,8,9,10,11,12,13,14,15,16,17,18,19,20,21,22,23,24,25,26,27,28,29,30}-1)*LEN(Registro!$F143)+1,LEN(Registro!$F143))),FIND("x",TRIM(MID(SUBSTITUTE(SUBSTITUTE(SUBSTITUTE(SUBSTITUTE(SUBSTITUTE(LOWER(Registro!$F143)," ",""),CHAR(10),"|"),";","|"),"+","|"),"|",REPT(" ",LEN(Registro!$F143))),({1,2,3,4,5,6,7,8,9,10,11,12,13,14,15,16,17,18,19,20,21,22,23,24,25,26,27,28,29,30}-1)*LEN(Registro!$F143)+1,LEN(Registro!$F143)))&amp;"x")-1))),"Revisar formato")))</f>
        <v/>
      </c>
      <c r="G143" s="24" t="str">
        <f>IF(Registro!$F143="","",IF(ISERROR(FIND("x",LOWER(Registro!$F143))),N(Registro!$G143),IFERROR(SUMPRODUCT(--("0"&amp;LEFT(TRIM(MID(SUBSTITUTE(SUBSTITUTE(SUBSTITUTE(SUBSTITUTE(SUBSTITUTE(LOWER(Registro!$F143)," ",""),CHAR(10),"|"),";","|"),"+","|"),"|",REPT(" ",LEN(Registro!$F143))),({1,2,3,4,5,6,7,8,9,10,11,12,13,14,15,16,17,18,19,20,21,22,23,24,25,26,27,28,29,30}-1)*LEN(Registro!$F143)+1,LEN(Registro!$F143))),FIND("x",TRIM(MID(SUBSTITUTE(SUBSTITUTE(SUBSTITUTE(SUBSTITUTE(SUBSTITUTE(LOWER(Registro!$F143)," ",""),CHAR(10),"|"),";","|"),"+","|"),"|",REPT(" ",LEN(Registro!$F143))),({1,2,3,4,5,6,7,8,9,10,11,12,13,14,15,16,17,18,19,20,21,22,23,24,25,26,27,28,29,30}-1)*LEN(Registro!$F143)+1,LEN(Registro!$F143)))&amp;"x")-1)),--("0"&amp;MID(TRIM(MID(SUBSTITUTE(SUBSTITUTE(SUBSTITUTE(SUBSTITUTE(SUBSTITUTE(LOWER(Registro!$F143)," ",""),CHAR(10),"|"),";","|"),"+","|"),"|",REPT(" ",LEN(Registro!$F143))),({1,2,3,4,5,6,7,8,9,10,11,12,13,14,15,16,17,18,19,20,21,22,23,24,25,26,27,28,29,30}-1)*LEN(Registro!$F143)+1,LEN(Registro!$F143))),FIND("x",TRIM(MID(SUBSTITUTE(SUBSTITUTE(SUBSTITUTE(SUBSTITUTE(SUBSTITUTE(LOWER(Registro!$F143)," ",""),CHAR(10),"|"),";","|"),"+","|"),"|",REPT(" ",LEN(Registro!$F143))),({1,2,3,4,5,6,7,8,9,10,11,12,13,14,15,16,17,18,19,20,21,22,23,24,25,26,27,28,29,30}-1)*LEN(Registro!$F143)+1,LEN(Registro!$F143)))&amp;"x")+1,20))),"Revisar formato")))</f>
        <v/>
      </c>
      <c r="H143" s="21" t="str">
        <f>IF(AND(Registro!$E143="",Registro!$F143=""),"",IF(NOT(AND(ISNUMBER(G143),ISNUMBER(Registro!$G143))),"",IF(G143&lt;Registro!$G143,"FALTA BOLETOS",IF(G143=Registro!$G143,"CONFORME","DIFERENCIA"))))</f>
        <v/>
      </c>
      <c r="I143" s="24" t="str">
        <f>IF(Registro!$H143="","",IFERROR(SUMPRODUCT(--("0"&amp;TRIM(RIGHT(SUBSTITUTE(TRIM(MID(SUBSTITUTE(SUBSTITUTE(Registro!$H143,";",CHAR(10)),CHAR(10),REPT(" ",LEN(Registro!$H143))),({1,2,3,4,5,6,7,8,9,10,11,12,13,14,15,16,17,18,19,20,21,22,23,24,25,26,27,28,29,30}-1)*LEN(Registro!$H143)+1,LEN(Registro!$H143)))," ",REPT(" ",50)),50)))),"Revisar formato"))</f>
        <v/>
      </c>
      <c r="J143" s="24" t="str">
        <f>IF(Registro!$I143="","",IFERROR(SUMPRODUCT(--("0"&amp;TRIM(RIGHT(SUBSTITUTE(TRIM(MID(SUBSTITUTE(SUBSTITUTE(Registro!$I143,";",CHAR(10)),CHAR(10),REPT(" ",LEN(Registro!$I143))),({1,2,3,4,5,6,7,8,9,10,11,12,13,14,15,16,17,18,19,20,21,22,23,24,25,26,27,28,29,30}-1)*LEN(Registro!$I143)+1,LEN(Registro!$I143)))," ",REPT(" ",50)),50)))),"Revisar formato"))</f>
        <v/>
      </c>
      <c r="K143" s="24" t="str">
        <f>IF(AND(Registro!$G143="",Registro!$H143=""),"",IF(AND(ISTEXT(I143),I143&lt;&gt;""),"Revisar formato",N(Registro!$G143)-N(I143)))</f>
        <v/>
      </c>
      <c r="L143" s="24" t="str">
        <f t="shared" si="5"/>
        <v/>
      </c>
      <c r="M143" s="36" t="str">
        <f>IF(AND(A143=Consulta!$B$3,C143=Consulta!$H$3),B143*10000+ROW(),"")</f>
        <v/>
      </c>
    </row>
    <row r="144" spans="1:13" x14ac:dyDescent="0.25">
      <c r="A144" s="21" t="str">
        <f>IF(Registro!$A144="","",Registro!$A144)</f>
        <v/>
      </c>
      <c r="B144" s="20" t="str">
        <f>IF(Registro!$B144="","",Registro!$B144)</f>
        <v/>
      </c>
      <c r="C144" s="35" t="str">
        <f t="shared" si="4"/>
        <v/>
      </c>
      <c r="D144" s="23" t="str">
        <f>IF(Registro!$E144="","",IF(ISERROR(FIND("x",LOWER(Registro!$E144))),"-",IFERROR(SUMPRODUCT(--("0"&amp;LEFT(TRIM(MID(SUBSTITUTE(SUBSTITUTE(SUBSTITUTE(SUBSTITUTE(SUBSTITUTE(LOWER(Registro!$E144),"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",LEN(Registro!$E144))),({1,2,3,4,5,6,7,8,9,10,11,12,13,14,15,16,17,18,19,20,21,22,23,24,25,26,27,28,29,30}-1)*LEN(Registro!$E144)+1,LEN(Registro!$E144))),FIND("x",TRIM(MID(SUBSTITUTE(SUBSTITUTE(SUBSTITUTE(SUBSTITUTE(SUBSTITUTE(LOWER(Registro!$E144),"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",LEN(Registro!$E144))),({1,2,3,4,5,6,7,8,9,10,11,12,13,14,15,16,17,18,19,20,21,22,23,24,25,26,27,28,29,30}-1)*LEN(Registro!$E144)+1,LEN(Registro!$E144)))&amp;"x")-1))),"Revisar formato")))</f>
        <v/>
      </c>
      <c r="E144" s="24" t="str">
        <f>IF(Registro!$E144="","",IF(ISERROR(FIND("x",LOWER(Registro!$E144))),"-",IFERROR(SUMPRODUCT(--("0"&amp;LEFT(TRIM(MID(SUBSTITUTE(SUBSTITUTE(SUBSTITUTE(SUBSTITUTE(SUBSTITUTE(LOWER(Registro!$E144),"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",LEN(Registro!$E144))),({1,2,3,4,5,6,7,8,9,10,11,12,13,14,15,16,17,18,19,20,21,22,23,24,25,26,27,28,29,30}-1)*LEN(Registro!$E144)+1,LEN(Registro!$E144))),FIND("x",TRIM(MID(SUBSTITUTE(SUBSTITUTE(SUBSTITUTE(SUBSTITUTE(SUBSTITUTE(LOWER(Registro!$E144),"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",LEN(Registro!$E144))),({1,2,3,4,5,6,7,8,9,10,11,12,13,14,15,16,17,18,19,20,21,22,23,24,25,26,27,28,29,30}-1)*LEN(Registro!$E144)+1,LEN(Registro!$E144)))&amp;"x")-1)),--("0"&amp;MID(TRIM(MID(SUBSTITUTE(SUBSTITUTE(SUBSTITUTE(SUBSTITUTE(SUBSTITUTE(LOWER(Registro!$E144),"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",LEN(Registro!$E144))),({1,2,3,4,5,6,7,8,9,10,11,12,13,14,15,16,17,18,19,20,21,22,23,24,25,26,27,28,29,30}-1)*LEN(Registro!$E144)+1,LEN(Registro!$E144))),FIND("x",TRIM(MID(SUBSTITUTE(SUBSTITUTE(SUBSTITUTE(SUBSTITUTE(SUBSTITUTE(LOWER(Registro!$E144),"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",LEN(Registro!$E144))),({1,2,3,4,5,6,7,8,9,10,11,12,13,14,15,16,17,18,19,20,21,22,23,24,25,26,27,28,29,30}-1)*LEN(Registro!$E144)+1,LEN(Registro!$E144)))&amp;"x")+1,20))),"Revisar formato")))</f>
        <v/>
      </c>
      <c r="F144" s="23" t="str">
        <f>IF(Registro!$F144="","",IF(ISERROR(FIND("x",LOWER(Registro!$F144))),"-",IFERROR(SUMPRODUCT(--("0"&amp;LEFT(TRIM(MID(SUBSTITUTE(SUBSTITUTE(SUBSTITUTE(SUBSTITUTE(SUBSTITUTE(LOWER(Registro!$F144)," ",""),CHAR(10),"|"),";","|"),"+","|"),"|",REPT(" ",LEN(Registro!$F144))),({1,2,3,4,5,6,7,8,9,10,11,12,13,14,15,16,17,18,19,20,21,22,23,24,25,26,27,28,29,30}-1)*LEN(Registro!$F144)+1,LEN(Registro!$F144))),FIND("x",TRIM(MID(SUBSTITUTE(SUBSTITUTE(SUBSTITUTE(SUBSTITUTE(SUBSTITUTE(LOWER(Registro!$F144)," ",""),CHAR(10),"|"),";","|"),"+","|"),"|",REPT(" ",LEN(Registro!$F144))),({1,2,3,4,5,6,7,8,9,10,11,12,13,14,15,16,17,18,19,20,21,22,23,24,25,26,27,28,29,30}-1)*LEN(Registro!$F144)+1,LEN(Registro!$F144)))&amp;"x")-1))),"Revisar formato")))</f>
        <v/>
      </c>
      <c r="G144" s="24" t="str">
        <f>IF(Registro!$F144="","",IF(ISERROR(FIND("x",LOWER(Registro!$F144))),N(Registro!$G144),IFERROR(SUMPRODUCT(--("0"&amp;LEFT(TRIM(MID(SUBSTITUTE(SUBSTITUTE(SUBSTITUTE(SUBSTITUTE(SUBSTITUTE(LOWER(Registro!$F144)," ",""),CHAR(10),"|"),";","|"),"+","|"),"|",REPT(" ",LEN(Registro!$F144))),({1,2,3,4,5,6,7,8,9,10,11,12,13,14,15,16,17,18,19,20,21,22,23,24,25,26,27,28,29,30}-1)*LEN(Registro!$F144)+1,LEN(Registro!$F144))),FIND("x",TRIM(MID(SUBSTITUTE(SUBSTITUTE(SUBSTITUTE(SUBSTITUTE(SUBSTITUTE(LOWER(Registro!$F144)," ",""),CHAR(10),"|"),";","|"),"+","|"),"|",REPT(" ",LEN(Registro!$F144))),({1,2,3,4,5,6,7,8,9,10,11,12,13,14,15,16,17,18,19,20,21,22,23,24,25,26,27,28,29,30}-1)*LEN(Registro!$F144)+1,LEN(Registro!$F144)))&amp;"x")-1)),--("0"&amp;MID(TRIM(MID(SUBSTITUTE(SUBSTITUTE(SUBSTITUTE(SUBSTITUTE(SUBSTITUTE(LOWER(Registro!$F144)," ",""),CHAR(10),"|"),";","|"),"+","|"),"|",REPT(" ",LEN(Registro!$F144))),({1,2,3,4,5,6,7,8,9,10,11,12,13,14,15,16,17,18,19,20,21,22,23,24,25,26,27,28,29,30}-1)*LEN(Registro!$F144)+1,LEN(Registro!$F144))),FIND("x",TRIM(MID(SUBSTITUTE(SUBSTITUTE(SUBSTITUTE(SUBSTITUTE(SUBSTITUTE(LOWER(Registro!$F144)," ",""),CHAR(10),"|"),";","|"),"+","|"),"|",REPT(" ",LEN(Registro!$F144))),({1,2,3,4,5,6,7,8,9,10,11,12,13,14,15,16,17,18,19,20,21,22,23,24,25,26,27,28,29,30}-1)*LEN(Registro!$F144)+1,LEN(Registro!$F144)))&amp;"x")+1,20))),"Revisar formato")))</f>
        <v/>
      </c>
      <c r="H144" s="21" t="str">
        <f>IF(AND(Registro!$E144="",Registro!$F144=""),"",IF(NOT(AND(ISNUMBER(G144),ISNUMBER(Registro!$G144))),"",IF(G144&lt;Registro!$G144,"FALTA BOLETOS",IF(G144=Registro!$G144,"CONFORME","DIFERENCIA"))))</f>
        <v/>
      </c>
      <c r="I144" s="24" t="str">
        <f>IF(Registro!$H144="","",IFERROR(SUMPRODUCT(--("0"&amp;TRIM(RIGHT(SUBSTITUTE(TRIM(MID(SUBSTITUTE(SUBSTITUTE(Registro!$H144,";",CHAR(10)),CHAR(10),REPT(" ",LEN(Registro!$H144))),({1,2,3,4,5,6,7,8,9,10,11,12,13,14,15,16,17,18,19,20,21,22,23,24,25,26,27,28,29,30}-1)*LEN(Registro!$H144)+1,LEN(Registro!$H144)))," ",REPT(" ",50)),50)))),"Revisar formato"))</f>
        <v/>
      </c>
      <c r="J144" s="24" t="str">
        <f>IF(Registro!$I144="","",IFERROR(SUMPRODUCT(--("0"&amp;TRIM(RIGHT(SUBSTITUTE(TRIM(MID(SUBSTITUTE(SUBSTITUTE(Registro!$I144,";",CHAR(10)),CHAR(10),REPT(" ",LEN(Registro!$I144))),({1,2,3,4,5,6,7,8,9,10,11,12,13,14,15,16,17,18,19,20,21,22,23,24,25,26,27,28,29,30}-1)*LEN(Registro!$I144)+1,LEN(Registro!$I144)))," ",REPT(" ",50)),50)))),"Revisar formato"))</f>
        <v/>
      </c>
      <c r="K144" s="24" t="str">
        <f>IF(AND(Registro!$G144="",Registro!$H144=""),"",IF(AND(ISTEXT(I144),I144&lt;&gt;""),"Revisar formato",N(Registro!$G144)-N(I144)))</f>
        <v/>
      </c>
      <c r="L144" s="24" t="str">
        <f t="shared" si="5"/>
        <v/>
      </c>
      <c r="M144" s="36" t="str">
        <f>IF(AND(A144=Consulta!$B$3,C144=Consulta!$H$3),B144*10000+ROW(),"")</f>
        <v/>
      </c>
    </row>
    <row r="145" spans="1:13" x14ac:dyDescent="0.25">
      <c r="A145" s="21" t="str">
        <f>IF(Registro!$A145="","",Registro!$A145)</f>
        <v/>
      </c>
      <c r="B145" s="20" t="str">
        <f>IF(Registro!$B145="","",Registro!$B145)</f>
        <v/>
      </c>
      <c r="C145" s="35" t="str">
        <f t="shared" si="4"/>
        <v/>
      </c>
      <c r="D145" s="23" t="str">
        <f>IF(Registro!$E145="","",IF(ISERROR(FIND("x",LOWER(Registro!$E145))),"-",IFERROR(SUMPRODUCT(--("0"&amp;LEFT(TRIM(MID(SUBSTITUTE(SUBSTITUTE(SUBSTITUTE(SUBSTITUTE(SUBSTITUTE(LOWER(Registro!$E145),"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",LEN(Registro!$E145))),({1,2,3,4,5,6,7,8,9,10,11,12,13,14,15,16,17,18,19,20,21,22,23,24,25,26,27,28,29,30}-1)*LEN(Registro!$E145)+1,LEN(Registro!$E145))),FIND("x",TRIM(MID(SUBSTITUTE(SUBSTITUTE(SUBSTITUTE(SUBSTITUTE(SUBSTITUTE(LOWER(Registro!$E145),"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",LEN(Registro!$E145))),({1,2,3,4,5,6,7,8,9,10,11,12,13,14,15,16,17,18,19,20,21,22,23,24,25,26,27,28,29,30}-1)*LEN(Registro!$E145)+1,LEN(Registro!$E145)))&amp;"x")-1))),"Revisar formato")))</f>
        <v/>
      </c>
      <c r="E145" s="24" t="str">
        <f>IF(Registro!$E145="","",IF(ISERROR(FIND("x",LOWER(Registro!$E145))),"-",IFERROR(SUMPRODUCT(--("0"&amp;LEFT(TRIM(MID(SUBSTITUTE(SUBSTITUTE(SUBSTITUTE(SUBSTITUTE(SUBSTITUTE(LOWER(Registro!$E145),"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",LEN(Registro!$E145))),({1,2,3,4,5,6,7,8,9,10,11,12,13,14,15,16,17,18,19,20,21,22,23,24,25,26,27,28,29,30}-1)*LEN(Registro!$E145)+1,LEN(Registro!$E145))),FIND("x",TRIM(MID(SUBSTITUTE(SUBSTITUTE(SUBSTITUTE(SUBSTITUTE(SUBSTITUTE(LOWER(Registro!$E145),"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",LEN(Registro!$E145))),({1,2,3,4,5,6,7,8,9,10,11,12,13,14,15,16,17,18,19,20,21,22,23,24,25,26,27,28,29,30}-1)*LEN(Registro!$E145)+1,LEN(Registro!$E145)))&amp;"x")-1)),--("0"&amp;MID(TRIM(MID(SUBSTITUTE(SUBSTITUTE(SUBSTITUTE(SUBSTITUTE(SUBSTITUTE(LOWER(Registro!$E145),"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",LEN(Registro!$E145))),({1,2,3,4,5,6,7,8,9,10,11,12,13,14,15,16,17,18,19,20,21,22,23,24,25,26,27,28,29,30}-1)*LEN(Registro!$E145)+1,LEN(Registro!$E145))),FIND("x",TRIM(MID(SUBSTITUTE(SUBSTITUTE(SUBSTITUTE(SUBSTITUTE(SUBSTITUTE(LOWER(Registro!$E145),"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",LEN(Registro!$E145))),({1,2,3,4,5,6,7,8,9,10,11,12,13,14,15,16,17,18,19,20,21,22,23,24,25,26,27,28,29,30}-1)*LEN(Registro!$E145)+1,LEN(Registro!$E145)))&amp;"x")+1,20))),"Revisar formato")))</f>
        <v/>
      </c>
      <c r="F145" s="23" t="str">
        <f>IF(Registro!$F145="","",IF(ISERROR(FIND("x",LOWER(Registro!$F145))),"-",IFERROR(SUMPRODUCT(--("0"&amp;LEFT(TRIM(MID(SUBSTITUTE(SUBSTITUTE(SUBSTITUTE(SUBSTITUTE(SUBSTITUTE(LOWER(Registro!$F145)," ",""),CHAR(10),"|"),";","|"),"+","|"),"|",REPT(" ",LEN(Registro!$F145))),({1,2,3,4,5,6,7,8,9,10,11,12,13,14,15,16,17,18,19,20,21,22,23,24,25,26,27,28,29,30}-1)*LEN(Registro!$F145)+1,LEN(Registro!$F145))),FIND("x",TRIM(MID(SUBSTITUTE(SUBSTITUTE(SUBSTITUTE(SUBSTITUTE(SUBSTITUTE(LOWER(Registro!$F145)," ",""),CHAR(10),"|"),";","|"),"+","|"),"|",REPT(" ",LEN(Registro!$F145))),({1,2,3,4,5,6,7,8,9,10,11,12,13,14,15,16,17,18,19,20,21,22,23,24,25,26,27,28,29,30}-1)*LEN(Registro!$F145)+1,LEN(Registro!$F145)))&amp;"x")-1))),"Revisar formato")))</f>
        <v/>
      </c>
      <c r="G145" s="24" t="str">
        <f>IF(Registro!$F145="","",IF(ISERROR(FIND("x",LOWER(Registro!$F145))),N(Registro!$G145),IFERROR(SUMPRODUCT(--("0"&amp;LEFT(TRIM(MID(SUBSTITUTE(SUBSTITUTE(SUBSTITUTE(SUBSTITUTE(SUBSTITUTE(LOWER(Registro!$F145)," ",""),CHAR(10),"|"),";","|"),"+","|"),"|",REPT(" ",LEN(Registro!$F145))),({1,2,3,4,5,6,7,8,9,10,11,12,13,14,15,16,17,18,19,20,21,22,23,24,25,26,27,28,29,30}-1)*LEN(Registro!$F145)+1,LEN(Registro!$F145))),FIND("x",TRIM(MID(SUBSTITUTE(SUBSTITUTE(SUBSTITUTE(SUBSTITUTE(SUBSTITUTE(LOWER(Registro!$F145)," ",""),CHAR(10),"|"),";","|"),"+","|"),"|",REPT(" ",LEN(Registro!$F145))),({1,2,3,4,5,6,7,8,9,10,11,12,13,14,15,16,17,18,19,20,21,22,23,24,25,26,27,28,29,30}-1)*LEN(Registro!$F145)+1,LEN(Registro!$F145)))&amp;"x")-1)),--("0"&amp;MID(TRIM(MID(SUBSTITUTE(SUBSTITUTE(SUBSTITUTE(SUBSTITUTE(SUBSTITUTE(LOWER(Registro!$F145)," ",""),CHAR(10),"|"),";","|"),"+","|"),"|",REPT(" ",LEN(Registro!$F145))),({1,2,3,4,5,6,7,8,9,10,11,12,13,14,15,16,17,18,19,20,21,22,23,24,25,26,27,28,29,30}-1)*LEN(Registro!$F145)+1,LEN(Registro!$F145))),FIND("x",TRIM(MID(SUBSTITUTE(SUBSTITUTE(SUBSTITUTE(SUBSTITUTE(SUBSTITUTE(LOWER(Registro!$F145)," ",""),CHAR(10),"|"),";","|"),"+","|"),"|",REPT(" ",LEN(Registro!$F145))),({1,2,3,4,5,6,7,8,9,10,11,12,13,14,15,16,17,18,19,20,21,22,23,24,25,26,27,28,29,30}-1)*LEN(Registro!$F145)+1,LEN(Registro!$F145)))&amp;"x")+1,20))),"Revisar formato")))</f>
        <v/>
      </c>
      <c r="H145" s="21" t="str">
        <f>IF(AND(Registro!$E145="",Registro!$F145=""),"",IF(NOT(AND(ISNUMBER(G145),ISNUMBER(Registro!$G145))),"",IF(G145&lt;Registro!$G145,"FALTA BOLETOS",IF(G145=Registro!$G145,"CONFORME","DIFERENCIA"))))</f>
        <v/>
      </c>
      <c r="I145" s="24" t="str">
        <f>IF(Registro!$H145="","",IFERROR(SUMPRODUCT(--("0"&amp;TRIM(RIGHT(SUBSTITUTE(TRIM(MID(SUBSTITUTE(SUBSTITUTE(Registro!$H145,";",CHAR(10)),CHAR(10),REPT(" ",LEN(Registro!$H145))),({1,2,3,4,5,6,7,8,9,10,11,12,13,14,15,16,17,18,19,20,21,22,23,24,25,26,27,28,29,30}-1)*LEN(Registro!$H145)+1,LEN(Registro!$H145)))," ",REPT(" ",50)),50)))),"Revisar formato"))</f>
        <v/>
      </c>
      <c r="J145" s="24" t="str">
        <f>IF(Registro!$I145="","",IFERROR(SUMPRODUCT(--("0"&amp;TRIM(RIGHT(SUBSTITUTE(TRIM(MID(SUBSTITUTE(SUBSTITUTE(Registro!$I145,";",CHAR(10)),CHAR(10),REPT(" ",LEN(Registro!$I145))),({1,2,3,4,5,6,7,8,9,10,11,12,13,14,15,16,17,18,19,20,21,22,23,24,25,26,27,28,29,30}-1)*LEN(Registro!$I145)+1,LEN(Registro!$I145)))," ",REPT(" ",50)),50)))),"Revisar formato"))</f>
        <v/>
      </c>
      <c r="K145" s="24" t="str">
        <f>IF(AND(Registro!$G145="",Registro!$H145=""),"",IF(AND(ISTEXT(I145),I145&lt;&gt;""),"Revisar formato",N(Registro!$G145)-N(I145)))</f>
        <v/>
      </c>
      <c r="L145" s="24" t="str">
        <f t="shared" si="5"/>
        <v/>
      </c>
      <c r="M145" s="36" t="str">
        <f>IF(AND(A145=Consulta!$B$3,C145=Consulta!$H$3),B145*10000+ROW(),"")</f>
        <v/>
      </c>
    </row>
    <row r="146" spans="1:13" x14ac:dyDescent="0.25">
      <c r="A146" s="21" t="str">
        <f>IF(Registro!$A146="","",Registro!$A146)</f>
        <v/>
      </c>
      <c r="B146" s="20" t="str">
        <f>IF(Registro!$B146="","",Registro!$B146)</f>
        <v/>
      </c>
      <c r="C146" s="35" t="str">
        <f t="shared" si="4"/>
        <v/>
      </c>
      <c r="D146" s="23" t="str">
        <f>IF(Registro!$E146="","",IF(ISERROR(FIND("x",LOWER(Registro!$E146))),"-",IFERROR(SUMPRODUCT(--("0"&amp;LEFT(TRIM(MID(SUBSTITUTE(SUBSTITUTE(SUBSTITUTE(SUBSTITUTE(SUBSTITUTE(LOWER(Registro!$E146),"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",LEN(Registro!$E146))),({1,2,3,4,5,6,7,8,9,10,11,12,13,14,15,16,17,18,19,20,21,22,23,24,25,26,27,28,29,30}-1)*LEN(Registro!$E146)+1,LEN(Registro!$E146))),FIND("x",TRIM(MID(SUBSTITUTE(SUBSTITUTE(SUBSTITUTE(SUBSTITUTE(SUBSTITUTE(LOWER(Registro!$E146),"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",LEN(Registro!$E146))),({1,2,3,4,5,6,7,8,9,10,11,12,13,14,15,16,17,18,19,20,21,22,23,24,25,26,27,28,29,30}-1)*LEN(Registro!$E146)+1,LEN(Registro!$E146)))&amp;"x")-1))),"Revisar formato")))</f>
        <v/>
      </c>
      <c r="E146" s="24" t="str">
        <f>IF(Registro!$E146="","",IF(ISERROR(FIND("x",LOWER(Registro!$E146))),"-",IFERROR(SUMPRODUCT(--("0"&amp;LEFT(TRIM(MID(SUBSTITUTE(SUBSTITUTE(SUBSTITUTE(SUBSTITUTE(SUBSTITUTE(LOWER(Registro!$E146),"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",LEN(Registro!$E146))),({1,2,3,4,5,6,7,8,9,10,11,12,13,14,15,16,17,18,19,20,21,22,23,24,25,26,27,28,29,30}-1)*LEN(Registro!$E146)+1,LEN(Registro!$E146))),FIND("x",TRIM(MID(SUBSTITUTE(SUBSTITUTE(SUBSTITUTE(SUBSTITUTE(SUBSTITUTE(LOWER(Registro!$E146),"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",LEN(Registro!$E146))),({1,2,3,4,5,6,7,8,9,10,11,12,13,14,15,16,17,18,19,20,21,22,23,24,25,26,27,28,29,30}-1)*LEN(Registro!$E146)+1,LEN(Registro!$E146)))&amp;"x")-1)),--("0"&amp;MID(TRIM(MID(SUBSTITUTE(SUBSTITUTE(SUBSTITUTE(SUBSTITUTE(SUBSTITUTE(LOWER(Registro!$E146),"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",LEN(Registro!$E146))),({1,2,3,4,5,6,7,8,9,10,11,12,13,14,15,16,17,18,19,20,21,22,23,24,25,26,27,28,29,30}-1)*LEN(Registro!$E146)+1,LEN(Registro!$E146))),FIND("x",TRIM(MID(SUBSTITUTE(SUBSTITUTE(SUBSTITUTE(SUBSTITUTE(SUBSTITUTE(LOWER(Registro!$E146),"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",LEN(Registro!$E146))),({1,2,3,4,5,6,7,8,9,10,11,12,13,14,15,16,17,18,19,20,21,22,23,24,25,26,27,28,29,30}-1)*LEN(Registro!$E146)+1,LEN(Registro!$E146)))&amp;"x")+1,20))),"Revisar formato")))</f>
        <v/>
      </c>
      <c r="F146" s="23" t="str">
        <f>IF(Registro!$F146="","",IF(ISERROR(FIND("x",LOWER(Registro!$F146))),"-",IFERROR(SUMPRODUCT(--("0"&amp;LEFT(TRIM(MID(SUBSTITUTE(SUBSTITUTE(SUBSTITUTE(SUBSTITUTE(SUBSTITUTE(LOWER(Registro!$F146)," ",""),CHAR(10),"|"),";","|"),"+","|"),"|",REPT(" ",LEN(Registro!$F146))),({1,2,3,4,5,6,7,8,9,10,11,12,13,14,15,16,17,18,19,20,21,22,23,24,25,26,27,28,29,30}-1)*LEN(Registro!$F146)+1,LEN(Registro!$F146))),FIND("x",TRIM(MID(SUBSTITUTE(SUBSTITUTE(SUBSTITUTE(SUBSTITUTE(SUBSTITUTE(LOWER(Registro!$F146)," ",""),CHAR(10),"|"),";","|"),"+","|"),"|",REPT(" ",LEN(Registro!$F146))),({1,2,3,4,5,6,7,8,9,10,11,12,13,14,15,16,17,18,19,20,21,22,23,24,25,26,27,28,29,30}-1)*LEN(Registro!$F146)+1,LEN(Registro!$F146)))&amp;"x")-1))),"Revisar formato")))</f>
        <v/>
      </c>
      <c r="G146" s="24" t="str">
        <f>IF(Registro!$F146="","",IF(ISERROR(FIND("x",LOWER(Registro!$F146))),N(Registro!$G146),IFERROR(SUMPRODUCT(--("0"&amp;LEFT(TRIM(MID(SUBSTITUTE(SUBSTITUTE(SUBSTITUTE(SUBSTITUTE(SUBSTITUTE(LOWER(Registro!$F146)," ",""),CHAR(10),"|"),";","|"),"+","|"),"|",REPT(" ",LEN(Registro!$F146))),({1,2,3,4,5,6,7,8,9,10,11,12,13,14,15,16,17,18,19,20,21,22,23,24,25,26,27,28,29,30}-1)*LEN(Registro!$F146)+1,LEN(Registro!$F146))),FIND("x",TRIM(MID(SUBSTITUTE(SUBSTITUTE(SUBSTITUTE(SUBSTITUTE(SUBSTITUTE(LOWER(Registro!$F146)," ",""),CHAR(10),"|"),";","|"),"+","|"),"|",REPT(" ",LEN(Registro!$F146))),({1,2,3,4,5,6,7,8,9,10,11,12,13,14,15,16,17,18,19,20,21,22,23,24,25,26,27,28,29,30}-1)*LEN(Registro!$F146)+1,LEN(Registro!$F146)))&amp;"x")-1)),--("0"&amp;MID(TRIM(MID(SUBSTITUTE(SUBSTITUTE(SUBSTITUTE(SUBSTITUTE(SUBSTITUTE(LOWER(Registro!$F146)," ",""),CHAR(10),"|"),";","|"),"+","|"),"|",REPT(" ",LEN(Registro!$F146))),({1,2,3,4,5,6,7,8,9,10,11,12,13,14,15,16,17,18,19,20,21,22,23,24,25,26,27,28,29,30}-1)*LEN(Registro!$F146)+1,LEN(Registro!$F146))),FIND("x",TRIM(MID(SUBSTITUTE(SUBSTITUTE(SUBSTITUTE(SUBSTITUTE(SUBSTITUTE(LOWER(Registro!$F146)," ",""),CHAR(10),"|"),";","|"),"+","|"),"|",REPT(" ",LEN(Registro!$F146))),({1,2,3,4,5,6,7,8,9,10,11,12,13,14,15,16,17,18,19,20,21,22,23,24,25,26,27,28,29,30}-1)*LEN(Registro!$F146)+1,LEN(Registro!$F146)))&amp;"x")+1,20))),"Revisar formato")))</f>
        <v/>
      </c>
      <c r="H146" s="21" t="str">
        <f>IF(AND(Registro!$E146="",Registro!$F146=""),"",IF(NOT(AND(ISNUMBER(G146),ISNUMBER(Registro!$G146))),"",IF(G146&lt;Registro!$G146,"FALTA BOLETOS",IF(G146=Registro!$G146,"CONFORME","DIFERENCIA"))))</f>
        <v/>
      </c>
      <c r="I146" s="24" t="str">
        <f>IF(Registro!$H146="","",IFERROR(SUMPRODUCT(--("0"&amp;TRIM(RIGHT(SUBSTITUTE(TRIM(MID(SUBSTITUTE(SUBSTITUTE(Registro!$H146,";",CHAR(10)),CHAR(10),REPT(" ",LEN(Registro!$H146))),({1,2,3,4,5,6,7,8,9,10,11,12,13,14,15,16,17,18,19,20,21,22,23,24,25,26,27,28,29,30}-1)*LEN(Registro!$H146)+1,LEN(Registro!$H146)))," ",REPT(" ",50)),50)))),"Revisar formato"))</f>
        <v/>
      </c>
      <c r="J146" s="24" t="str">
        <f>IF(Registro!$I146="","",IFERROR(SUMPRODUCT(--("0"&amp;TRIM(RIGHT(SUBSTITUTE(TRIM(MID(SUBSTITUTE(SUBSTITUTE(Registro!$I146,";",CHAR(10)),CHAR(10),REPT(" ",LEN(Registro!$I146))),({1,2,3,4,5,6,7,8,9,10,11,12,13,14,15,16,17,18,19,20,21,22,23,24,25,26,27,28,29,30}-1)*LEN(Registro!$I146)+1,LEN(Registro!$I146)))," ",REPT(" ",50)),50)))),"Revisar formato"))</f>
        <v/>
      </c>
      <c r="K146" s="24" t="str">
        <f>IF(AND(Registro!$G146="",Registro!$H146=""),"",IF(AND(ISTEXT(I146),I146&lt;&gt;""),"Revisar formato",N(Registro!$G146)-N(I146)))</f>
        <v/>
      </c>
      <c r="L146" s="24" t="str">
        <f t="shared" si="5"/>
        <v/>
      </c>
      <c r="M146" s="36" t="str">
        <f>IF(AND(A146=Consulta!$B$3,C146=Consulta!$H$3),B146*10000+ROW(),"")</f>
        <v/>
      </c>
    </row>
    <row r="147" spans="1:13" x14ac:dyDescent="0.25">
      <c r="A147" s="21" t="str">
        <f>IF(Registro!$A147="","",Registro!$A147)</f>
        <v/>
      </c>
      <c r="B147" s="20" t="str">
        <f>IF(Registro!$B147="","",Registro!$B147)</f>
        <v/>
      </c>
      <c r="C147" s="35" t="str">
        <f t="shared" si="4"/>
        <v/>
      </c>
      <c r="D147" s="23" t="str">
        <f>IF(Registro!$E147="","",IF(ISERROR(FIND("x",LOWER(Registro!$E147))),"-",IFERROR(SUMPRODUCT(--("0"&amp;LEFT(TRIM(MID(SUBSTITUTE(SUBSTITUTE(SUBSTITUTE(SUBSTITUTE(SUBSTITUTE(LOWER(Registro!$E147),"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",LEN(Registro!$E147))),({1,2,3,4,5,6,7,8,9,10,11,12,13,14,15,16,17,18,19,20,21,22,23,24,25,26,27,28,29,30}-1)*LEN(Registro!$E147)+1,LEN(Registro!$E147))),FIND("x",TRIM(MID(SUBSTITUTE(SUBSTITUTE(SUBSTITUTE(SUBSTITUTE(SUBSTITUTE(LOWER(Registro!$E147),"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",LEN(Registro!$E147))),({1,2,3,4,5,6,7,8,9,10,11,12,13,14,15,16,17,18,19,20,21,22,23,24,25,26,27,28,29,30}-1)*LEN(Registro!$E147)+1,LEN(Registro!$E147)))&amp;"x")-1))),"Revisar formato")))</f>
        <v/>
      </c>
      <c r="E147" s="24" t="str">
        <f>IF(Registro!$E147="","",IF(ISERROR(FIND("x",LOWER(Registro!$E147))),"-",IFERROR(SUMPRODUCT(--("0"&amp;LEFT(TRIM(MID(SUBSTITUTE(SUBSTITUTE(SUBSTITUTE(SUBSTITUTE(SUBSTITUTE(LOWER(Registro!$E147),"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",LEN(Registro!$E147))),({1,2,3,4,5,6,7,8,9,10,11,12,13,14,15,16,17,18,19,20,21,22,23,24,25,26,27,28,29,30}-1)*LEN(Registro!$E147)+1,LEN(Registro!$E147))),FIND("x",TRIM(MID(SUBSTITUTE(SUBSTITUTE(SUBSTITUTE(SUBSTITUTE(SUBSTITUTE(LOWER(Registro!$E147),"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",LEN(Registro!$E147))),({1,2,3,4,5,6,7,8,9,10,11,12,13,14,15,16,17,18,19,20,21,22,23,24,25,26,27,28,29,30}-1)*LEN(Registro!$E147)+1,LEN(Registro!$E147)))&amp;"x")-1)),--("0"&amp;MID(TRIM(MID(SUBSTITUTE(SUBSTITUTE(SUBSTITUTE(SUBSTITUTE(SUBSTITUTE(LOWER(Registro!$E147),"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",LEN(Registro!$E147))),({1,2,3,4,5,6,7,8,9,10,11,12,13,14,15,16,17,18,19,20,21,22,23,24,25,26,27,28,29,30}-1)*LEN(Registro!$E147)+1,LEN(Registro!$E147))),FIND("x",TRIM(MID(SUBSTITUTE(SUBSTITUTE(SUBSTITUTE(SUBSTITUTE(SUBSTITUTE(LOWER(Registro!$E147),"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",LEN(Registro!$E147))),({1,2,3,4,5,6,7,8,9,10,11,12,13,14,15,16,17,18,19,20,21,22,23,24,25,26,27,28,29,30}-1)*LEN(Registro!$E147)+1,LEN(Registro!$E147)))&amp;"x")+1,20))),"Revisar formato")))</f>
        <v/>
      </c>
      <c r="F147" s="23" t="str">
        <f>IF(Registro!$F147="","",IF(ISERROR(FIND("x",LOWER(Registro!$F147))),"-",IFERROR(SUMPRODUCT(--("0"&amp;LEFT(TRIM(MID(SUBSTITUTE(SUBSTITUTE(SUBSTITUTE(SUBSTITUTE(SUBSTITUTE(LOWER(Registro!$F147)," ",""),CHAR(10),"|"),";","|"),"+","|"),"|",REPT(" ",LEN(Registro!$F147))),({1,2,3,4,5,6,7,8,9,10,11,12,13,14,15,16,17,18,19,20,21,22,23,24,25,26,27,28,29,30}-1)*LEN(Registro!$F147)+1,LEN(Registro!$F147))),FIND("x",TRIM(MID(SUBSTITUTE(SUBSTITUTE(SUBSTITUTE(SUBSTITUTE(SUBSTITUTE(LOWER(Registro!$F147)," ",""),CHAR(10),"|"),";","|"),"+","|"),"|",REPT(" ",LEN(Registro!$F147))),({1,2,3,4,5,6,7,8,9,10,11,12,13,14,15,16,17,18,19,20,21,22,23,24,25,26,27,28,29,30}-1)*LEN(Registro!$F147)+1,LEN(Registro!$F147)))&amp;"x")-1))),"Revisar formato")))</f>
        <v/>
      </c>
      <c r="G147" s="24" t="str">
        <f>IF(Registro!$F147="","",IF(ISERROR(FIND("x",LOWER(Registro!$F147))),N(Registro!$G147),IFERROR(SUMPRODUCT(--("0"&amp;LEFT(TRIM(MID(SUBSTITUTE(SUBSTITUTE(SUBSTITUTE(SUBSTITUTE(SUBSTITUTE(LOWER(Registro!$F147)," ",""),CHAR(10),"|"),";","|"),"+","|"),"|",REPT(" ",LEN(Registro!$F147))),({1,2,3,4,5,6,7,8,9,10,11,12,13,14,15,16,17,18,19,20,21,22,23,24,25,26,27,28,29,30}-1)*LEN(Registro!$F147)+1,LEN(Registro!$F147))),FIND("x",TRIM(MID(SUBSTITUTE(SUBSTITUTE(SUBSTITUTE(SUBSTITUTE(SUBSTITUTE(LOWER(Registro!$F147)," ",""),CHAR(10),"|"),";","|"),"+","|"),"|",REPT(" ",LEN(Registro!$F147))),({1,2,3,4,5,6,7,8,9,10,11,12,13,14,15,16,17,18,19,20,21,22,23,24,25,26,27,28,29,30}-1)*LEN(Registro!$F147)+1,LEN(Registro!$F147)))&amp;"x")-1)),--("0"&amp;MID(TRIM(MID(SUBSTITUTE(SUBSTITUTE(SUBSTITUTE(SUBSTITUTE(SUBSTITUTE(LOWER(Registro!$F147)," ",""),CHAR(10),"|"),";","|"),"+","|"),"|",REPT(" ",LEN(Registro!$F147))),({1,2,3,4,5,6,7,8,9,10,11,12,13,14,15,16,17,18,19,20,21,22,23,24,25,26,27,28,29,30}-1)*LEN(Registro!$F147)+1,LEN(Registro!$F147))),FIND("x",TRIM(MID(SUBSTITUTE(SUBSTITUTE(SUBSTITUTE(SUBSTITUTE(SUBSTITUTE(LOWER(Registro!$F147)," ",""),CHAR(10),"|"),";","|"),"+","|"),"|",REPT(" ",LEN(Registro!$F147))),({1,2,3,4,5,6,7,8,9,10,11,12,13,14,15,16,17,18,19,20,21,22,23,24,25,26,27,28,29,30}-1)*LEN(Registro!$F147)+1,LEN(Registro!$F147)))&amp;"x")+1,20))),"Revisar formato")))</f>
        <v/>
      </c>
      <c r="H147" s="21" t="str">
        <f>IF(AND(Registro!$E147="",Registro!$F147=""),"",IF(NOT(AND(ISNUMBER(G147),ISNUMBER(Registro!$G147))),"",IF(G147&lt;Registro!$G147,"FALTA BOLETOS",IF(G147=Registro!$G147,"CONFORME","DIFERENCIA"))))</f>
        <v/>
      </c>
      <c r="I147" s="24" t="str">
        <f>IF(Registro!$H147="","",IFERROR(SUMPRODUCT(--("0"&amp;TRIM(RIGHT(SUBSTITUTE(TRIM(MID(SUBSTITUTE(SUBSTITUTE(Registro!$H147,";",CHAR(10)),CHAR(10),REPT(" ",LEN(Registro!$H147))),({1,2,3,4,5,6,7,8,9,10,11,12,13,14,15,16,17,18,19,20,21,22,23,24,25,26,27,28,29,30}-1)*LEN(Registro!$H147)+1,LEN(Registro!$H147)))," ",REPT(" ",50)),50)))),"Revisar formato"))</f>
        <v/>
      </c>
      <c r="J147" s="24" t="str">
        <f>IF(Registro!$I147="","",IFERROR(SUMPRODUCT(--("0"&amp;TRIM(RIGHT(SUBSTITUTE(TRIM(MID(SUBSTITUTE(SUBSTITUTE(Registro!$I147,";",CHAR(10)),CHAR(10),REPT(" ",LEN(Registro!$I147))),({1,2,3,4,5,6,7,8,9,10,11,12,13,14,15,16,17,18,19,20,21,22,23,24,25,26,27,28,29,30}-1)*LEN(Registro!$I147)+1,LEN(Registro!$I147)))," ",REPT(" ",50)),50)))),"Revisar formato"))</f>
        <v/>
      </c>
      <c r="K147" s="24" t="str">
        <f>IF(AND(Registro!$G147="",Registro!$H147=""),"",IF(AND(ISTEXT(I147),I147&lt;&gt;""),"Revisar formato",N(Registro!$G147)-N(I147)))</f>
        <v/>
      </c>
      <c r="L147" s="24" t="str">
        <f t="shared" si="5"/>
        <v/>
      </c>
      <c r="M147" s="36" t="str">
        <f>IF(AND(A147=Consulta!$B$3,C147=Consulta!$H$3),B147*10000+ROW(),"")</f>
        <v/>
      </c>
    </row>
    <row r="148" spans="1:13" x14ac:dyDescent="0.25">
      <c r="A148" s="21" t="str">
        <f>IF(Registro!$A148="","",Registro!$A148)</f>
        <v/>
      </c>
      <c r="B148" s="20" t="str">
        <f>IF(Registro!$B148="","",Registro!$B148)</f>
        <v/>
      </c>
      <c r="C148" s="35" t="str">
        <f t="shared" si="4"/>
        <v/>
      </c>
      <c r="D148" s="23" t="str">
        <f>IF(Registro!$E148="","",IF(ISERROR(FIND("x",LOWER(Registro!$E148))),"-",IFERROR(SUMPRODUCT(--("0"&amp;LEFT(TRIM(MID(SUBSTITUTE(SUBSTITUTE(SUBSTITUTE(SUBSTITUTE(SUBSTITUTE(LOWER(Registro!$E148),"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",LEN(Registro!$E148))),({1,2,3,4,5,6,7,8,9,10,11,12,13,14,15,16,17,18,19,20,21,22,23,24,25,26,27,28,29,30}-1)*LEN(Registro!$E148)+1,LEN(Registro!$E148))),FIND("x",TRIM(MID(SUBSTITUTE(SUBSTITUTE(SUBSTITUTE(SUBSTITUTE(SUBSTITUTE(LOWER(Registro!$E148),"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",LEN(Registro!$E148))),({1,2,3,4,5,6,7,8,9,10,11,12,13,14,15,16,17,18,19,20,21,22,23,24,25,26,27,28,29,30}-1)*LEN(Registro!$E148)+1,LEN(Registro!$E148)))&amp;"x")-1))),"Revisar formato")))</f>
        <v/>
      </c>
      <c r="E148" s="24" t="str">
        <f>IF(Registro!$E148="","",IF(ISERROR(FIND("x",LOWER(Registro!$E148))),"-",IFERROR(SUMPRODUCT(--("0"&amp;LEFT(TRIM(MID(SUBSTITUTE(SUBSTITUTE(SUBSTITUTE(SUBSTITUTE(SUBSTITUTE(LOWER(Registro!$E148),"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",LEN(Registro!$E148))),({1,2,3,4,5,6,7,8,9,10,11,12,13,14,15,16,17,18,19,20,21,22,23,24,25,26,27,28,29,30}-1)*LEN(Registro!$E148)+1,LEN(Registro!$E148))),FIND("x",TRIM(MID(SUBSTITUTE(SUBSTITUTE(SUBSTITUTE(SUBSTITUTE(SUBSTITUTE(LOWER(Registro!$E148),"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",LEN(Registro!$E148))),({1,2,3,4,5,6,7,8,9,10,11,12,13,14,15,16,17,18,19,20,21,22,23,24,25,26,27,28,29,30}-1)*LEN(Registro!$E148)+1,LEN(Registro!$E148)))&amp;"x")-1)),--("0"&amp;MID(TRIM(MID(SUBSTITUTE(SUBSTITUTE(SUBSTITUTE(SUBSTITUTE(SUBSTITUTE(LOWER(Registro!$E148),"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",LEN(Registro!$E148))),({1,2,3,4,5,6,7,8,9,10,11,12,13,14,15,16,17,18,19,20,21,22,23,24,25,26,27,28,29,30}-1)*LEN(Registro!$E148)+1,LEN(Registro!$E148))),FIND("x",TRIM(MID(SUBSTITUTE(SUBSTITUTE(SUBSTITUTE(SUBSTITUTE(SUBSTITUTE(LOWER(Registro!$E148),"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",LEN(Registro!$E148))),({1,2,3,4,5,6,7,8,9,10,11,12,13,14,15,16,17,18,19,20,21,22,23,24,25,26,27,28,29,30}-1)*LEN(Registro!$E148)+1,LEN(Registro!$E148)))&amp;"x")+1,20))),"Revisar formato")))</f>
        <v/>
      </c>
      <c r="F148" s="23" t="str">
        <f>IF(Registro!$F148="","",IF(ISERROR(FIND("x",LOWER(Registro!$F148))),"-",IFERROR(SUMPRODUCT(--("0"&amp;LEFT(TRIM(MID(SUBSTITUTE(SUBSTITUTE(SUBSTITUTE(SUBSTITUTE(SUBSTITUTE(LOWER(Registro!$F148)," ",""),CHAR(10),"|"),";","|"),"+","|"),"|",REPT(" ",LEN(Registro!$F148))),({1,2,3,4,5,6,7,8,9,10,11,12,13,14,15,16,17,18,19,20,21,22,23,24,25,26,27,28,29,30}-1)*LEN(Registro!$F148)+1,LEN(Registro!$F148))),FIND("x",TRIM(MID(SUBSTITUTE(SUBSTITUTE(SUBSTITUTE(SUBSTITUTE(SUBSTITUTE(LOWER(Registro!$F148)," ",""),CHAR(10),"|"),";","|"),"+","|"),"|",REPT(" ",LEN(Registro!$F148))),({1,2,3,4,5,6,7,8,9,10,11,12,13,14,15,16,17,18,19,20,21,22,23,24,25,26,27,28,29,30}-1)*LEN(Registro!$F148)+1,LEN(Registro!$F148)))&amp;"x")-1))),"Revisar formato")))</f>
        <v/>
      </c>
      <c r="G148" s="24" t="str">
        <f>IF(Registro!$F148="","",IF(ISERROR(FIND("x",LOWER(Registro!$F148))),N(Registro!$G148),IFERROR(SUMPRODUCT(--("0"&amp;LEFT(TRIM(MID(SUBSTITUTE(SUBSTITUTE(SUBSTITUTE(SUBSTITUTE(SUBSTITUTE(LOWER(Registro!$F148)," ",""),CHAR(10),"|"),";","|"),"+","|"),"|",REPT(" ",LEN(Registro!$F148))),({1,2,3,4,5,6,7,8,9,10,11,12,13,14,15,16,17,18,19,20,21,22,23,24,25,26,27,28,29,30}-1)*LEN(Registro!$F148)+1,LEN(Registro!$F148))),FIND("x",TRIM(MID(SUBSTITUTE(SUBSTITUTE(SUBSTITUTE(SUBSTITUTE(SUBSTITUTE(LOWER(Registro!$F148)," ",""),CHAR(10),"|"),";","|"),"+","|"),"|",REPT(" ",LEN(Registro!$F148))),({1,2,3,4,5,6,7,8,9,10,11,12,13,14,15,16,17,18,19,20,21,22,23,24,25,26,27,28,29,30}-1)*LEN(Registro!$F148)+1,LEN(Registro!$F148)))&amp;"x")-1)),--("0"&amp;MID(TRIM(MID(SUBSTITUTE(SUBSTITUTE(SUBSTITUTE(SUBSTITUTE(SUBSTITUTE(LOWER(Registro!$F148)," ",""),CHAR(10),"|"),";","|"),"+","|"),"|",REPT(" ",LEN(Registro!$F148))),({1,2,3,4,5,6,7,8,9,10,11,12,13,14,15,16,17,18,19,20,21,22,23,24,25,26,27,28,29,30}-1)*LEN(Registro!$F148)+1,LEN(Registro!$F148))),FIND("x",TRIM(MID(SUBSTITUTE(SUBSTITUTE(SUBSTITUTE(SUBSTITUTE(SUBSTITUTE(LOWER(Registro!$F148)," ",""),CHAR(10),"|"),";","|"),"+","|"),"|",REPT(" ",LEN(Registro!$F148))),({1,2,3,4,5,6,7,8,9,10,11,12,13,14,15,16,17,18,19,20,21,22,23,24,25,26,27,28,29,30}-1)*LEN(Registro!$F148)+1,LEN(Registro!$F148)))&amp;"x")+1,20))),"Revisar formato")))</f>
        <v/>
      </c>
      <c r="H148" s="21" t="str">
        <f>IF(AND(Registro!$E148="",Registro!$F148=""),"",IF(NOT(AND(ISNUMBER(G148),ISNUMBER(Registro!$G148))),"",IF(G148&lt;Registro!$G148,"FALTA BOLETOS",IF(G148=Registro!$G148,"CONFORME","DIFERENCIA"))))</f>
        <v/>
      </c>
      <c r="I148" s="24" t="str">
        <f>IF(Registro!$H148="","",IFERROR(SUMPRODUCT(--("0"&amp;TRIM(RIGHT(SUBSTITUTE(TRIM(MID(SUBSTITUTE(SUBSTITUTE(Registro!$H148,";",CHAR(10)),CHAR(10),REPT(" ",LEN(Registro!$H148))),({1,2,3,4,5,6,7,8,9,10,11,12,13,14,15,16,17,18,19,20,21,22,23,24,25,26,27,28,29,30}-1)*LEN(Registro!$H148)+1,LEN(Registro!$H148)))," ",REPT(" ",50)),50)))),"Revisar formato"))</f>
        <v/>
      </c>
      <c r="J148" s="24" t="str">
        <f>IF(Registro!$I148="","",IFERROR(SUMPRODUCT(--("0"&amp;TRIM(RIGHT(SUBSTITUTE(TRIM(MID(SUBSTITUTE(SUBSTITUTE(Registro!$I148,";",CHAR(10)),CHAR(10),REPT(" ",LEN(Registro!$I148))),({1,2,3,4,5,6,7,8,9,10,11,12,13,14,15,16,17,18,19,20,21,22,23,24,25,26,27,28,29,30}-1)*LEN(Registro!$I148)+1,LEN(Registro!$I148)))," ",REPT(" ",50)),50)))),"Revisar formato"))</f>
        <v/>
      </c>
      <c r="K148" s="24" t="str">
        <f>IF(AND(Registro!$G148="",Registro!$H148=""),"",IF(AND(ISTEXT(I148),I148&lt;&gt;""),"Revisar formato",N(Registro!$G148)-N(I148)))</f>
        <v/>
      </c>
      <c r="L148" s="24" t="str">
        <f t="shared" si="5"/>
        <v/>
      </c>
      <c r="M148" s="36" t="str">
        <f>IF(AND(A148=Consulta!$B$3,C148=Consulta!$H$3),B148*10000+ROW(),"")</f>
        <v/>
      </c>
    </row>
    <row r="149" spans="1:13" x14ac:dyDescent="0.25">
      <c r="A149" s="21" t="str">
        <f>IF(Registro!$A149="","",Registro!$A149)</f>
        <v/>
      </c>
      <c r="B149" s="20" t="str">
        <f>IF(Registro!$B149="","",Registro!$B149)</f>
        <v/>
      </c>
      <c r="C149" s="35" t="str">
        <f t="shared" si="4"/>
        <v/>
      </c>
      <c r="D149" s="23" t="str">
        <f>IF(Registro!$E149="","",IF(ISERROR(FIND("x",LOWER(Registro!$E149))),"-",IFERROR(SUMPRODUCT(--("0"&amp;LEFT(TRIM(MID(SUBSTITUTE(SUBSTITUTE(SUBSTITUTE(SUBSTITUTE(SUBSTITUTE(LOWER(Registro!$E149),"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",LEN(Registro!$E149))),({1,2,3,4,5,6,7,8,9,10,11,12,13,14,15,16,17,18,19,20,21,22,23,24,25,26,27,28,29,30}-1)*LEN(Registro!$E149)+1,LEN(Registro!$E149))),FIND("x",TRIM(MID(SUBSTITUTE(SUBSTITUTE(SUBSTITUTE(SUBSTITUTE(SUBSTITUTE(LOWER(Registro!$E149),"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",LEN(Registro!$E149))),({1,2,3,4,5,6,7,8,9,10,11,12,13,14,15,16,17,18,19,20,21,22,23,24,25,26,27,28,29,30}-1)*LEN(Registro!$E149)+1,LEN(Registro!$E149)))&amp;"x")-1))),"Revisar formato")))</f>
        <v/>
      </c>
      <c r="E149" s="24" t="str">
        <f>IF(Registro!$E149="","",IF(ISERROR(FIND("x",LOWER(Registro!$E149))),"-",IFERROR(SUMPRODUCT(--("0"&amp;LEFT(TRIM(MID(SUBSTITUTE(SUBSTITUTE(SUBSTITUTE(SUBSTITUTE(SUBSTITUTE(LOWER(Registro!$E149),"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",LEN(Registro!$E149))),({1,2,3,4,5,6,7,8,9,10,11,12,13,14,15,16,17,18,19,20,21,22,23,24,25,26,27,28,29,30}-1)*LEN(Registro!$E149)+1,LEN(Registro!$E149))),FIND("x",TRIM(MID(SUBSTITUTE(SUBSTITUTE(SUBSTITUTE(SUBSTITUTE(SUBSTITUTE(LOWER(Registro!$E149),"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",LEN(Registro!$E149))),({1,2,3,4,5,6,7,8,9,10,11,12,13,14,15,16,17,18,19,20,21,22,23,24,25,26,27,28,29,30}-1)*LEN(Registro!$E149)+1,LEN(Registro!$E149)))&amp;"x")-1)),--("0"&amp;MID(TRIM(MID(SUBSTITUTE(SUBSTITUTE(SUBSTITUTE(SUBSTITUTE(SUBSTITUTE(LOWER(Registro!$E149),"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",LEN(Registro!$E149))),({1,2,3,4,5,6,7,8,9,10,11,12,13,14,15,16,17,18,19,20,21,22,23,24,25,26,27,28,29,30}-1)*LEN(Registro!$E149)+1,LEN(Registro!$E149))),FIND("x",TRIM(MID(SUBSTITUTE(SUBSTITUTE(SUBSTITUTE(SUBSTITUTE(SUBSTITUTE(LOWER(Registro!$E149),"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",LEN(Registro!$E149))),({1,2,3,4,5,6,7,8,9,10,11,12,13,14,15,16,17,18,19,20,21,22,23,24,25,26,27,28,29,30}-1)*LEN(Registro!$E149)+1,LEN(Registro!$E149)))&amp;"x")+1,20))),"Revisar formato")))</f>
        <v/>
      </c>
      <c r="F149" s="23" t="str">
        <f>IF(Registro!$F149="","",IF(ISERROR(FIND("x",LOWER(Registro!$F149))),"-",IFERROR(SUMPRODUCT(--("0"&amp;LEFT(TRIM(MID(SUBSTITUTE(SUBSTITUTE(SUBSTITUTE(SUBSTITUTE(SUBSTITUTE(LOWER(Registro!$F149)," ",""),CHAR(10),"|"),";","|"),"+","|"),"|",REPT(" ",LEN(Registro!$F149))),({1,2,3,4,5,6,7,8,9,10,11,12,13,14,15,16,17,18,19,20,21,22,23,24,25,26,27,28,29,30}-1)*LEN(Registro!$F149)+1,LEN(Registro!$F149))),FIND("x",TRIM(MID(SUBSTITUTE(SUBSTITUTE(SUBSTITUTE(SUBSTITUTE(SUBSTITUTE(LOWER(Registro!$F149)," ",""),CHAR(10),"|"),";","|"),"+","|"),"|",REPT(" ",LEN(Registro!$F149))),({1,2,3,4,5,6,7,8,9,10,11,12,13,14,15,16,17,18,19,20,21,22,23,24,25,26,27,28,29,30}-1)*LEN(Registro!$F149)+1,LEN(Registro!$F149)))&amp;"x")-1))),"Revisar formato")))</f>
        <v/>
      </c>
      <c r="G149" s="24" t="str">
        <f>IF(Registro!$F149="","",IF(ISERROR(FIND("x",LOWER(Registro!$F149))),N(Registro!$G149),IFERROR(SUMPRODUCT(--("0"&amp;LEFT(TRIM(MID(SUBSTITUTE(SUBSTITUTE(SUBSTITUTE(SUBSTITUTE(SUBSTITUTE(LOWER(Registro!$F149)," ",""),CHAR(10),"|"),";","|"),"+","|"),"|",REPT(" ",LEN(Registro!$F149))),({1,2,3,4,5,6,7,8,9,10,11,12,13,14,15,16,17,18,19,20,21,22,23,24,25,26,27,28,29,30}-1)*LEN(Registro!$F149)+1,LEN(Registro!$F149))),FIND("x",TRIM(MID(SUBSTITUTE(SUBSTITUTE(SUBSTITUTE(SUBSTITUTE(SUBSTITUTE(LOWER(Registro!$F149)," ",""),CHAR(10),"|"),";","|"),"+","|"),"|",REPT(" ",LEN(Registro!$F149))),({1,2,3,4,5,6,7,8,9,10,11,12,13,14,15,16,17,18,19,20,21,22,23,24,25,26,27,28,29,30}-1)*LEN(Registro!$F149)+1,LEN(Registro!$F149)))&amp;"x")-1)),--("0"&amp;MID(TRIM(MID(SUBSTITUTE(SUBSTITUTE(SUBSTITUTE(SUBSTITUTE(SUBSTITUTE(LOWER(Registro!$F149)," ",""),CHAR(10),"|"),";","|"),"+","|"),"|",REPT(" ",LEN(Registro!$F149))),({1,2,3,4,5,6,7,8,9,10,11,12,13,14,15,16,17,18,19,20,21,22,23,24,25,26,27,28,29,30}-1)*LEN(Registro!$F149)+1,LEN(Registro!$F149))),FIND("x",TRIM(MID(SUBSTITUTE(SUBSTITUTE(SUBSTITUTE(SUBSTITUTE(SUBSTITUTE(LOWER(Registro!$F149)," ",""),CHAR(10),"|"),";","|"),"+","|"),"|",REPT(" ",LEN(Registro!$F149))),({1,2,3,4,5,6,7,8,9,10,11,12,13,14,15,16,17,18,19,20,21,22,23,24,25,26,27,28,29,30}-1)*LEN(Registro!$F149)+1,LEN(Registro!$F149)))&amp;"x")+1,20))),"Revisar formato")))</f>
        <v/>
      </c>
      <c r="H149" s="21" t="str">
        <f>IF(AND(Registro!$E149="",Registro!$F149=""),"",IF(NOT(AND(ISNUMBER(G149),ISNUMBER(Registro!$G149))),"",IF(G149&lt;Registro!$G149,"FALTA BOLETOS",IF(G149=Registro!$G149,"CONFORME","DIFERENCIA"))))</f>
        <v/>
      </c>
      <c r="I149" s="24" t="str">
        <f>IF(Registro!$H149="","",IFERROR(SUMPRODUCT(--("0"&amp;TRIM(RIGHT(SUBSTITUTE(TRIM(MID(SUBSTITUTE(SUBSTITUTE(Registro!$H149,";",CHAR(10)),CHAR(10),REPT(" ",LEN(Registro!$H149))),({1,2,3,4,5,6,7,8,9,10,11,12,13,14,15,16,17,18,19,20,21,22,23,24,25,26,27,28,29,30}-1)*LEN(Registro!$H149)+1,LEN(Registro!$H149)))," ",REPT(" ",50)),50)))),"Revisar formato"))</f>
        <v/>
      </c>
      <c r="J149" s="24" t="str">
        <f>IF(Registro!$I149="","",IFERROR(SUMPRODUCT(--("0"&amp;TRIM(RIGHT(SUBSTITUTE(TRIM(MID(SUBSTITUTE(SUBSTITUTE(Registro!$I149,";",CHAR(10)),CHAR(10),REPT(" ",LEN(Registro!$I149))),({1,2,3,4,5,6,7,8,9,10,11,12,13,14,15,16,17,18,19,20,21,22,23,24,25,26,27,28,29,30}-1)*LEN(Registro!$I149)+1,LEN(Registro!$I149)))," ",REPT(" ",50)),50)))),"Revisar formato"))</f>
        <v/>
      </c>
      <c r="K149" s="24" t="str">
        <f>IF(AND(Registro!$G149="",Registro!$H149=""),"",IF(AND(ISTEXT(I149),I149&lt;&gt;""),"Revisar formato",N(Registro!$G149)-N(I149)))</f>
        <v/>
      </c>
      <c r="L149" s="24" t="str">
        <f t="shared" si="5"/>
        <v/>
      </c>
      <c r="M149" s="36" t="str">
        <f>IF(AND(A149=Consulta!$B$3,C149=Consulta!$H$3),B149*10000+ROW(),"")</f>
        <v/>
      </c>
    </row>
    <row r="150" spans="1:13" x14ac:dyDescent="0.25">
      <c r="A150" s="21" t="str">
        <f>IF(Registro!$A150="","",Registro!$A150)</f>
        <v/>
      </c>
      <c r="B150" s="20" t="str">
        <f>IF(Registro!$B150="","",Registro!$B150)</f>
        <v/>
      </c>
      <c r="C150" s="35" t="str">
        <f t="shared" si="4"/>
        <v/>
      </c>
      <c r="D150" s="23" t="str">
        <f>IF(Registro!$E150="","",IF(ISERROR(FIND("x",LOWER(Registro!$E150))),"-",IFERROR(SUMPRODUCT(--("0"&amp;LEFT(TRIM(MID(SUBSTITUTE(SUBSTITUTE(SUBSTITUTE(SUBSTITUTE(SUBSTITUTE(LOWER(Registro!$E150),"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",LEN(Registro!$E150))),({1,2,3,4,5,6,7,8,9,10,11,12,13,14,15,16,17,18,19,20,21,22,23,24,25,26,27,28,29,30}-1)*LEN(Registro!$E150)+1,LEN(Registro!$E150))),FIND("x",TRIM(MID(SUBSTITUTE(SUBSTITUTE(SUBSTITUTE(SUBSTITUTE(SUBSTITUTE(LOWER(Registro!$E150),"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",LEN(Registro!$E150))),({1,2,3,4,5,6,7,8,9,10,11,12,13,14,15,16,17,18,19,20,21,22,23,24,25,26,27,28,29,30}-1)*LEN(Registro!$E150)+1,LEN(Registro!$E150)))&amp;"x")-1))),"Revisar formato")))</f>
        <v/>
      </c>
      <c r="E150" s="24" t="str">
        <f>IF(Registro!$E150="","",IF(ISERROR(FIND("x",LOWER(Registro!$E150))),"-",IFERROR(SUMPRODUCT(--("0"&amp;LEFT(TRIM(MID(SUBSTITUTE(SUBSTITUTE(SUBSTITUTE(SUBSTITUTE(SUBSTITUTE(LOWER(Registro!$E150),"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",LEN(Registro!$E150))),({1,2,3,4,5,6,7,8,9,10,11,12,13,14,15,16,17,18,19,20,21,22,23,24,25,26,27,28,29,30}-1)*LEN(Registro!$E150)+1,LEN(Registro!$E150))),FIND("x",TRIM(MID(SUBSTITUTE(SUBSTITUTE(SUBSTITUTE(SUBSTITUTE(SUBSTITUTE(LOWER(Registro!$E150),"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",LEN(Registro!$E150))),({1,2,3,4,5,6,7,8,9,10,11,12,13,14,15,16,17,18,19,20,21,22,23,24,25,26,27,28,29,30}-1)*LEN(Registro!$E150)+1,LEN(Registro!$E150)))&amp;"x")-1)),--("0"&amp;MID(TRIM(MID(SUBSTITUTE(SUBSTITUTE(SUBSTITUTE(SUBSTITUTE(SUBSTITUTE(LOWER(Registro!$E150),"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",LEN(Registro!$E150))),({1,2,3,4,5,6,7,8,9,10,11,12,13,14,15,16,17,18,19,20,21,22,23,24,25,26,27,28,29,30}-1)*LEN(Registro!$E150)+1,LEN(Registro!$E150))),FIND("x",TRIM(MID(SUBSTITUTE(SUBSTITUTE(SUBSTITUTE(SUBSTITUTE(SUBSTITUTE(LOWER(Registro!$E150),"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",LEN(Registro!$E150))),({1,2,3,4,5,6,7,8,9,10,11,12,13,14,15,16,17,18,19,20,21,22,23,24,25,26,27,28,29,30}-1)*LEN(Registro!$E150)+1,LEN(Registro!$E150)))&amp;"x")+1,20))),"Revisar formato")))</f>
        <v/>
      </c>
      <c r="F150" s="23" t="str">
        <f>IF(Registro!$F150="","",IF(ISERROR(FIND("x",LOWER(Registro!$F150))),"-",IFERROR(SUMPRODUCT(--("0"&amp;LEFT(TRIM(MID(SUBSTITUTE(SUBSTITUTE(SUBSTITUTE(SUBSTITUTE(SUBSTITUTE(LOWER(Registro!$F150)," ",""),CHAR(10),"|"),";","|"),"+","|"),"|",REPT(" ",LEN(Registro!$F150))),({1,2,3,4,5,6,7,8,9,10,11,12,13,14,15,16,17,18,19,20,21,22,23,24,25,26,27,28,29,30}-1)*LEN(Registro!$F150)+1,LEN(Registro!$F150))),FIND("x",TRIM(MID(SUBSTITUTE(SUBSTITUTE(SUBSTITUTE(SUBSTITUTE(SUBSTITUTE(LOWER(Registro!$F150)," ",""),CHAR(10),"|"),";","|"),"+","|"),"|",REPT(" ",LEN(Registro!$F150))),({1,2,3,4,5,6,7,8,9,10,11,12,13,14,15,16,17,18,19,20,21,22,23,24,25,26,27,28,29,30}-1)*LEN(Registro!$F150)+1,LEN(Registro!$F150)))&amp;"x")-1))),"Revisar formato")))</f>
        <v/>
      </c>
      <c r="G150" s="24" t="str">
        <f>IF(Registro!$F150="","",IF(ISERROR(FIND("x",LOWER(Registro!$F150))),N(Registro!$G150),IFERROR(SUMPRODUCT(--("0"&amp;LEFT(TRIM(MID(SUBSTITUTE(SUBSTITUTE(SUBSTITUTE(SUBSTITUTE(SUBSTITUTE(LOWER(Registro!$F150)," ",""),CHAR(10),"|"),";","|"),"+","|"),"|",REPT(" ",LEN(Registro!$F150))),({1,2,3,4,5,6,7,8,9,10,11,12,13,14,15,16,17,18,19,20,21,22,23,24,25,26,27,28,29,30}-1)*LEN(Registro!$F150)+1,LEN(Registro!$F150))),FIND("x",TRIM(MID(SUBSTITUTE(SUBSTITUTE(SUBSTITUTE(SUBSTITUTE(SUBSTITUTE(LOWER(Registro!$F150)," ",""),CHAR(10),"|"),";","|"),"+","|"),"|",REPT(" ",LEN(Registro!$F150))),({1,2,3,4,5,6,7,8,9,10,11,12,13,14,15,16,17,18,19,20,21,22,23,24,25,26,27,28,29,30}-1)*LEN(Registro!$F150)+1,LEN(Registro!$F150)))&amp;"x")-1)),--("0"&amp;MID(TRIM(MID(SUBSTITUTE(SUBSTITUTE(SUBSTITUTE(SUBSTITUTE(SUBSTITUTE(LOWER(Registro!$F150)," ",""),CHAR(10),"|"),";","|"),"+","|"),"|",REPT(" ",LEN(Registro!$F150))),({1,2,3,4,5,6,7,8,9,10,11,12,13,14,15,16,17,18,19,20,21,22,23,24,25,26,27,28,29,30}-1)*LEN(Registro!$F150)+1,LEN(Registro!$F150))),FIND("x",TRIM(MID(SUBSTITUTE(SUBSTITUTE(SUBSTITUTE(SUBSTITUTE(SUBSTITUTE(LOWER(Registro!$F150)," ",""),CHAR(10),"|"),";","|"),"+","|"),"|",REPT(" ",LEN(Registro!$F150))),({1,2,3,4,5,6,7,8,9,10,11,12,13,14,15,16,17,18,19,20,21,22,23,24,25,26,27,28,29,30}-1)*LEN(Registro!$F150)+1,LEN(Registro!$F150)))&amp;"x")+1,20))),"Revisar formato")))</f>
        <v/>
      </c>
      <c r="H150" s="21" t="str">
        <f>IF(AND(Registro!$E150="",Registro!$F150=""),"",IF(NOT(AND(ISNUMBER(G150),ISNUMBER(Registro!$G150))),"",IF(G150&lt;Registro!$G150,"FALTA BOLETOS",IF(G150=Registro!$G150,"CONFORME","DIFERENCIA"))))</f>
        <v/>
      </c>
      <c r="I150" s="24" t="str">
        <f>IF(Registro!$H150="","",IFERROR(SUMPRODUCT(--("0"&amp;TRIM(RIGHT(SUBSTITUTE(TRIM(MID(SUBSTITUTE(SUBSTITUTE(Registro!$H150,";",CHAR(10)),CHAR(10),REPT(" ",LEN(Registro!$H150))),({1,2,3,4,5,6,7,8,9,10,11,12,13,14,15,16,17,18,19,20,21,22,23,24,25,26,27,28,29,30}-1)*LEN(Registro!$H150)+1,LEN(Registro!$H150)))," ",REPT(" ",50)),50)))),"Revisar formato"))</f>
        <v/>
      </c>
      <c r="J150" s="24" t="str">
        <f>IF(Registro!$I150="","",IFERROR(SUMPRODUCT(--("0"&amp;TRIM(RIGHT(SUBSTITUTE(TRIM(MID(SUBSTITUTE(SUBSTITUTE(Registro!$I150,";",CHAR(10)),CHAR(10),REPT(" ",LEN(Registro!$I150))),({1,2,3,4,5,6,7,8,9,10,11,12,13,14,15,16,17,18,19,20,21,22,23,24,25,26,27,28,29,30}-1)*LEN(Registro!$I150)+1,LEN(Registro!$I150)))," ",REPT(" ",50)),50)))),"Revisar formato"))</f>
        <v/>
      </c>
      <c r="K150" s="24" t="str">
        <f>IF(AND(Registro!$G150="",Registro!$H150=""),"",IF(AND(ISTEXT(I150),I150&lt;&gt;""),"Revisar formato",N(Registro!$G150)-N(I150)))</f>
        <v/>
      </c>
      <c r="L150" s="24" t="str">
        <f t="shared" si="5"/>
        <v/>
      </c>
      <c r="M150" s="36" t="str">
        <f>IF(AND(A150=Consulta!$B$3,C150=Consulta!$H$3),B150*10000+ROW(),"")</f>
        <v/>
      </c>
    </row>
    <row r="151" spans="1:13" x14ac:dyDescent="0.25">
      <c r="A151" s="21" t="str">
        <f>IF(Registro!$A151="","",Registro!$A151)</f>
        <v/>
      </c>
      <c r="B151" s="20" t="str">
        <f>IF(Registro!$B151="","",Registro!$B151)</f>
        <v/>
      </c>
      <c r="C151" s="35" t="str">
        <f t="shared" si="4"/>
        <v/>
      </c>
      <c r="D151" s="23" t="str">
        <f>IF(Registro!$E151="","",IF(ISERROR(FIND("x",LOWER(Registro!$E151))),"-",IFERROR(SUMPRODUCT(--("0"&amp;LEFT(TRIM(MID(SUBSTITUTE(SUBSTITUTE(SUBSTITUTE(SUBSTITUTE(SUBSTITUTE(LOWER(Registro!$E151),"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",LEN(Registro!$E151))),({1,2,3,4,5,6,7,8,9,10,11,12,13,14,15,16,17,18,19,20,21,22,23,24,25,26,27,28,29,30}-1)*LEN(Registro!$E151)+1,LEN(Registro!$E151))),FIND("x",TRIM(MID(SUBSTITUTE(SUBSTITUTE(SUBSTITUTE(SUBSTITUTE(SUBSTITUTE(LOWER(Registro!$E151),"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",LEN(Registro!$E151))),({1,2,3,4,5,6,7,8,9,10,11,12,13,14,15,16,17,18,19,20,21,22,23,24,25,26,27,28,29,30}-1)*LEN(Registro!$E151)+1,LEN(Registro!$E151)))&amp;"x")-1))),"Revisar formato")))</f>
        <v/>
      </c>
      <c r="E151" s="24" t="str">
        <f>IF(Registro!$E151="","",IF(ISERROR(FIND("x",LOWER(Registro!$E151))),"-",IFERROR(SUMPRODUCT(--("0"&amp;LEFT(TRIM(MID(SUBSTITUTE(SUBSTITUTE(SUBSTITUTE(SUBSTITUTE(SUBSTITUTE(LOWER(Registro!$E151),"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",LEN(Registro!$E151))),({1,2,3,4,5,6,7,8,9,10,11,12,13,14,15,16,17,18,19,20,21,22,23,24,25,26,27,28,29,30}-1)*LEN(Registro!$E151)+1,LEN(Registro!$E151))),FIND("x",TRIM(MID(SUBSTITUTE(SUBSTITUTE(SUBSTITUTE(SUBSTITUTE(SUBSTITUTE(LOWER(Registro!$E151),"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",LEN(Registro!$E151))),({1,2,3,4,5,6,7,8,9,10,11,12,13,14,15,16,17,18,19,20,21,22,23,24,25,26,27,28,29,30}-1)*LEN(Registro!$E151)+1,LEN(Registro!$E151)))&amp;"x")-1)),--("0"&amp;MID(TRIM(MID(SUBSTITUTE(SUBSTITUTE(SUBSTITUTE(SUBSTITUTE(SUBSTITUTE(LOWER(Registro!$E151),"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",LEN(Registro!$E151))),({1,2,3,4,5,6,7,8,9,10,11,12,13,14,15,16,17,18,19,20,21,22,23,24,25,26,27,28,29,30}-1)*LEN(Registro!$E151)+1,LEN(Registro!$E151))),FIND("x",TRIM(MID(SUBSTITUTE(SUBSTITUTE(SUBSTITUTE(SUBSTITUTE(SUBSTITUTE(LOWER(Registro!$E151),"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",LEN(Registro!$E151))),({1,2,3,4,5,6,7,8,9,10,11,12,13,14,15,16,17,18,19,20,21,22,23,24,25,26,27,28,29,30}-1)*LEN(Registro!$E151)+1,LEN(Registro!$E151)))&amp;"x")+1,20))),"Revisar formato")))</f>
        <v/>
      </c>
      <c r="F151" s="23" t="str">
        <f>IF(Registro!$F151="","",IF(ISERROR(FIND("x",LOWER(Registro!$F151))),"-",IFERROR(SUMPRODUCT(--("0"&amp;LEFT(TRIM(MID(SUBSTITUTE(SUBSTITUTE(SUBSTITUTE(SUBSTITUTE(SUBSTITUTE(LOWER(Registro!$F151)," ",""),CHAR(10),"|"),";","|"),"+","|"),"|",REPT(" ",LEN(Registro!$F151))),({1,2,3,4,5,6,7,8,9,10,11,12,13,14,15,16,17,18,19,20,21,22,23,24,25,26,27,28,29,30}-1)*LEN(Registro!$F151)+1,LEN(Registro!$F151))),FIND("x",TRIM(MID(SUBSTITUTE(SUBSTITUTE(SUBSTITUTE(SUBSTITUTE(SUBSTITUTE(LOWER(Registro!$F151)," ",""),CHAR(10),"|"),";","|"),"+","|"),"|",REPT(" ",LEN(Registro!$F151))),({1,2,3,4,5,6,7,8,9,10,11,12,13,14,15,16,17,18,19,20,21,22,23,24,25,26,27,28,29,30}-1)*LEN(Registro!$F151)+1,LEN(Registro!$F151)))&amp;"x")-1))),"Revisar formato")))</f>
        <v/>
      </c>
      <c r="G151" s="24" t="str">
        <f>IF(Registro!$F151="","",IF(ISERROR(FIND("x",LOWER(Registro!$F151))),N(Registro!$G151),IFERROR(SUMPRODUCT(--("0"&amp;LEFT(TRIM(MID(SUBSTITUTE(SUBSTITUTE(SUBSTITUTE(SUBSTITUTE(SUBSTITUTE(LOWER(Registro!$F151)," ",""),CHAR(10),"|"),";","|"),"+","|"),"|",REPT(" ",LEN(Registro!$F151))),({1,2,3,4,5,6,7,8,9,10,11,12,13,14,15,16,17,18,19,20,21,22,23,24,25,26,27,28,29,30}-1)*LEN(Registro!$F151)+1,LEN(Registro!$F151))),FIND("x",TRIM(MID(SUBSTITUTE(SUBSTITUTE(SUBSTITUTE(SUBSTITUTE(SUBSTITUTE(LOWER(Registro!$F151)," ",""),CHAR(10),"|"),";","|"),"+","|"),"|",REPT(" ",LEN(Registro!$F151))),({1,2,3,4,5,6,7,8,9,10,11,12,13,14,15,16,17,18,19,20,21,22,23,24,25,26,27,28,29,30}-1)*LEN(Registro!$F151)+1,LEN(Registro!$F151)))&amp;"x")-1)),--("0"&amp;MID(TRIM(MID(SUBSTITUTE(SUBSTITUTE(SUBSTITUTE(SUBSTITUTE(SUBSTITUTE(LOWER(Registro!$F151)," ",""),CHAR(10),"|"),";","|"),"+","|"),"|",REPT(" ",LEN(Registro!$F151))),({1,2,3,4,5,6,7,8,9,10,11,12,13,14,15,16,17,18,19,20,21,22,23,24,25,26,27,28,29,30}-1)*LEN(Registro!$F151)+1,LEN(Registro!$F151))),FIND("x",TRIM(MID(SUBSTITUTE(SUBSTITUTE(SUBSTITUTE(SUBSTITUTE(SUBSTITUTE(LOWER(Registro!$F151)," ",""),CHAR(10),"|"),";","|"),"+","|"),"|",REPT(" ",LEN(Registro!$F151))),({1,2,3,4,5,6,7,8,9,10,11,12,13,14,15,16,17,18,19,20,21,22,23,24,25,26,27,28,29,30}-1)*LEN(Registro!$F151)+1,LEN(Registro!$F151)))&amp;"x")+1,20))),"Revisar formato")))</f>
        <v/>
      </c>
      <c r="H151" s="21" t="str">
        <f>IF(AND(Registro!$E151="",Registro!$F151=""),"",IF(NOT(AND(ISNUMBER(G151),ISNUMBER(Registro!$G151))),"",IF(G151&lt;Registro!$G151,"FALTA BOLETOS",IF(G151=Registro!$G151,"CONFORME","DIFERENCIA"))))</f>
        <v/>
      </c>
      <c r="I151" s="24" t="str">
        <f>IF(Registro!$H151="","",IFERROR(SUMPRODUCT(--("0"&amp;TRIM(RIGHT(SUBSTITUTE(TRIM(MID(SUBSTITUTE(SUBSTITUTE(Registro!$H151,";",CHAR(10)),CHAR(10),REPT(" ",LEN(Registro!$H151))),({1,2,3,4,5,6,7,8,9,10,11,12,13,14,15,16,17,18,19,20,21,22,23,24,25,26,27,28,29,30}-1)*LEN(Registro!$H151)+1,LEN(Registro!$H151)))," ",REPT(" ",50)),50)))),"Revisar formato"))</f>
        <v/>
      </c>
      <c r="J151" s="24" t="str">
        <f>IF(Registro!$I151="","",IFERROR(SUMPRODUCT(--("0"&amp;TRIM(RIGHT(SUBSTITUTE(TRIM(MID(SUBSTITUTE(SUBSTITUTE(Registro!$I151,";",CHAR(10)),CHAR(10),REPT(" ",LEN(Registro!$I151))),({1,2,3,4,5,6,7,8,9,10,11,12,13,14,15,16,17,18,19,20,21,22,23,24,25,26,27,28,29,30}-1)*LEN(Registro!$I151)+1,LEN(Registro!$I151)))," ",REPT(" ",50)),50)))),"Revisar formato"))</f>
        <v/>
      </c>
      <c r="K151" s="24" t="str">
        <f>IF(AND(Registro!$G151="",Registro!$H151=""),"",IF(AND(ISTEXT(I151),I151&lt;&gt;""),"Revisar formato",N(Registro!$G151)-N(I151)))</f>
        <v/>
      </c>
      <c r="L151" s="24" t="str">
        <f t="shared" si="5"/>
        <v/>
      </c>
      <c r="M151" s="36" t="str">
        <f>IF(AND(A151=Consulta!$B$3,C151=Consulta!$H$3),B151*10000+ROW(),"")</f>
        <v/>
      </c>
    </row>
    <row r="152" spans="1:13" x14ac:dyDescent="0.25">
      <c r="A152" s="21" t="str">
        <f>IF(Registro!$A152="","",Registro!$A152)</f>
        <v/>
      </c>
      <c r="B152" s="20" t="str">
        <f>IF(Registro!$B152="","",Registro!$B152)</f>
        <v/>
      </c>
      <c r="C152" s="35" t="str">
        <f t="shared" si="4"/>
        <v/>
      </c>
      <c r="D152" s="23" t="str">
        <f>IF(Registro!$E152="","",IF(ISERROR(FIND("x",LOWER(Registro!$E152))),"-",IFERROR(SUMPRODUCT(--("0"&amp;LEFT(TRIM(MID(SUBSTITUTE(SUBSTITUTE(SUBSTITUTE(SUBSTITUTE(SUBSTITUTE(LOWER(Registro!$E152),"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",LEN(Registro!$E152))),({1,2,3,4,5,6,7,8,9,10,11,12,13,14,15,16,17,18,19,20,21,22,23,24,25,26,27,28,29,30}-1)*LEN(Registro!$E152)+1,LEN(Registro!$E152))),FIND("x",TRIM(MID(SUBSTITUTE(SUBSTITUTE(SUBSTITUTE(SUBSTITUTE(SUBSTITUTE(LOWER(Registro!$E152),"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",LEN(Registro!$E152))),({1,2,3,4,5,6,7,8,9,10,11,12,13,14,15,16,17,18,19,20,21,22,23,24,25,26,27,28,29,30}-1)*LEN(Registro!$E152)+1,LEN(Registro!$E152)))&amp;"x")-1))),"Revisar formato")))</f>
        <v/>
      </c>
      <c r="E152" s="24" t="str">
        <f>IF(Registro!$E152="","",IF(ISERROR(FIND("x",LOWER(Registro!$E152))),"-",IFERROR(SUMPRODUCT(--("0"&amp;LEFT(TRIM(MID(SUBSTITUTE(SUBSTITUTE(SUBSTITUTE(SUBSTITUTE(SUBSTITUTE(LOWER(Registro!$E152),"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",LEN(Registro!$E152))),({1,2,3,4,5,6,7,8,9,10,11,12,13,14,15,16,17,18,19,20,21,22,23,24,25,26,27,28,29,30}-1)*LEN(Registro!$E152)+1,LEN(Registro!$E152))),FIND("x",TRIM(MID(SUBSTITUTE(SUBSTITUTE(SUBSTITUTE(SUBSTITUTE(SUBSTITUTE(LOWER(Registro!$E152),"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",LEN(Registro!$E152))),({1,2,3,4,5,6,7,8,9,10,11,12,13,14,15,16,17,18,19,20,21,22,23,24,25,26,27,28,29,30}-1)*LEN(Registro!$E152)+1,LEN(Registro!$E152)))&amp;"x")-1)),--("0"&amp;MID(TRIM(MID(SUBSTITUTE(SUBSTITUTE(SUBSTITUTE(SUBSTITUTE(SUBSTITUTE(LOWER(Registro!$E152),"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",LEN(Registro!$E152))),({1,2,3,4,5,6,7,8,9,10,11,12,13,14,15,16,17,18,19,20,21,22,23,24,25,26,27,28,29,30}-1)*LEN(Registro!$E152)+1,LEN(Registro!$E152))),FIND("x",TRIM(MID(SUBSTITUTE(SUBSTITUTE(SUBSTITUTE(SUBSTITUTE(SUBSTITUTE(LOWER(Registro!$E152),"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",LEN(Registro!$E152))),({1,2,3,4,5,6,7,8,9,10,11,12,13,14,15,16,17,18,19,20,21,22,23,24,25,26,27,28,29,30}-1)*LEN(Registro!$E152)+1,LEN(Registro!$E152)))&amp;"x")+1,20))),"Revisar formato")))</f>
        <v/>
      </c>
      <c r="F152" s="23" t="str">
        <f>IF(Registro!$F152="","",IF(ISERROR(FIND("x",LOWER(Registro!$F152))),"-",IFERROR(SUMPRODUCT(--("0"&amp;LEFT(TRIM(MID(SUBSTITUTE(SUBSTITUTE(SUBSTITUTE(SUBSTITUTE(SUBSTITUTE(LOWER(Registro!$F152)," ",""),CHAR(10),"|"),";","|"),"+","|"),"|",REPT(" ",LEN(Registro!$F152))),({1,2,3,4,5,6,7,8,9,10,11,12,13,14,15,16,17,18,19,20,21,22,23,24,25,26,27,28,29,30}-1)*LEN(Registro!$F152)+1,LEN(Registro!$F152))),FIND("x",TRIM(MID(SUBSTITUTE(SUBSTITUTE(SUBSTITUTE(SUBSTITUTE(SUBSTITUTE(LOWER(Registro!$F152)," ",""),CHAR(10),"|"),";","|"),"+","|"),"|",REPT(" ",LEN(Registro!$F152))),({1,2,3,4,5,6,7,8,9,10,11,12,13,14,15,16,17,18,19,20,21,22,23,24,25,26,27,28,29,30}-1)*LEN(Registro!$F152)+1,LEN(Registro!$F152)))&amp;"x")-1))),"Revisar formato")))</f>
        <v/>
      </c>
      <c r="G152" s="24" t="str">
        <f>IF(Registro!$F152="","",IF(ISERROR(FIND("x",LOWER(Registro!$F152))),N(Registro!$G152),IFERROR(SUMPRODUCT(--("0"&amp;LEFT(TRIM(MID(SUBSTITUTE(SUBSTITUTE(SUBSTITUTE(SUBSTITUTE(SUBSTITUTE(LOWER(Registro!$F152)," ",""),CHAR(10),"|"),";","|"),"+","|"),"|",REPT(" ",LEN(Registro!$F152))),({1,2,3,4,5,6,7,8,9,10,11,12,13,14,15,16,17,18,19,20,21,22,23,24,25,26,27,28,29,30}-1)*LEN(Registro!$F152)+1,LEN(Registro!$F152))),FIND("x",TRIM(MID(SUBSTITUTE(SUBSTITUTE(SUBSTITUTE(SUBSTITUTE(SUBSTITUTE(LOWER(Registro!$F152)," ",""),CHAR(10),"|"),";","|"),"+","|"),"|",REPT(" ",LEN(Registro!$F152))),({1,2,3,4,5,6,7,8,9,10,11,12,13,14,15,16,17,18,19,20,21,22,23,24,25,26,27,28,29,30}-1)*LEN(Registro!$F152)+1,LEN(Registro!$F152)))&amp;"x")-1)),--("0"&amp;MID(TRIM(MID(SUBSTITUTE(SUBSTITUTE(SUBSTITUTE(SUBSTITUTE(SUBSTITUTE(LOWER(Registro!$F152)," ",""),CHAR(10),"|"),";","|"),"+","|"),"|",REPT(" ",LEN(Registro!$F152))),({1,2,3,4,5,6,7,8,9,10,11,12,13,14,15,16,17,18,19,20,21,22,23,24,25,26,27,28,29,30}-1)*LEN(Registro!$F152)+1,LEN(Registro!$F152))),FIND("x",TRIM(MID(SUBSTITUTE(SUBSTITUTE(SUBSTITUTE(SUBSTITUTE(SUBSTITUTE(LOWER(Registro!$F152)," ",""),CHAR(10),"|"),";","|"),"+","|"),"|",REPT(" ",LEN(Registro!$F152))),({1,2,3,4,5,6,7,8,9,10,11,12,13,14,15,16,17,18,19,20,21,22,23,24,25,26,27,28,29,30}-1)*LEN(Registro!$F152)+1,LEN(Registro!$F152)))&amp;"x")+1,20))),"Revisar formato")))</f>
        <v/>
      </c>
      <c r="H152" s="21" t="str">
        <f>IF(AND(Registro!$E152="",Registro!$F152=""),"",IF(NOT(AND(ISNUMBER(G152),ISNUMBER(Registro!$G152))),"",IF(G152&lt;Registro!$G152,"FALTA BOLETOS",IF(G152=Registro!$G152,"CONFORME","DIFERENCIA"))))</f>
        <v/>
      </c>
      <c r="I152" s="24" t="str">
        <f>IF(Registro!$H152="","",IFERROR(SUMPRODUCT(--("0"&amp;TRIM(RIGHT(SUBSTITUTE(TRIM(MID(SUBSTITUTE(SUBSTITUTE(Registro!$H152,";",CHAR(10)),CHAR(10),REPT(" ",LEN(Registro!$H152))),({1,2,3,4,5,6,7,8,9,10,11,12,13,14,15,16,17,18,19,20,21,22,23,24,25,26,27,28,29,30}-1)*LEN(Registro!$H152)+1,LEN(Registro!$H152)))," ",REPT(" ",50)),50)))),"Revisar formato"))</f>
        <v/>
      </c>
      <c r="J152" s="24" t="str">
        <f>IF(Registro!$I152="","",IFERROR(SUMPRODUCT(--("0"&amp;TRIM(RIGHT(SUBSTITUTE(TRIM(MID(SUBSTITUTE(SUBSTITUTE(Registro!$I152,";",CHAR(10)),CHAR(10),REPT(" ",LEN(Registro!$I152))),({1,2,3,4,5,6,7,8,9,10,11,12,13,14,15,16,17,18,19,20,21,22,23,24,25,26,27,28,29,30}-1)*LEN(Registro!$I152)+1,LEN(Registro!$I152)))," ",REPT(" ",50)),50)))),"Revisar formato"))</f>
        <v/>
      </c>
      <c r="K152" s="24" t="str">
        <f>IF(AND(Registro!$G152="",Registro!$H152=""),"",IF(AND(ISTEXT(I152),I152&lt;&gt;""),"Revisar formato",N(Registro!$G152)-N(I152)))</f>
        <v/>
      </c>
      <c r="L152" s="24" t="str">
        <f t="shared" si="5"/>
        <v/>
      </c>
      <c r="M152" s="36" t="str">
        <f>IF(AND(A152=Consulta!$B$3,C152=Consulta!$H$3),B152*10000+ROW(),"")</f>
        <v/>
      </c>
    </row>
    <row r="153" spans="1:13" x14ac:dyDescent="0.25">
      <c r="A153" s="21" t="str">
        <f>IF(Registro!$A153="","",Registro!$A153)</f>
        <v/>
      </c>
      <c r="B153" s="20" t="str">
        <f>IF(Registro!$B153="","",Registro!$B153)</f>
        <v/>
      </c>
      <c r="C153" s="35" t="str">
        <f t="shared" si="4"/>
        <v/>
      </c>
      <c r="D153" s="23" t="str">
        <f>IF(Registro!$E153="","",IF(ISERROR(FIND("x",LOWER(Registro!$E153))),"-",IFERROR(SUMPRODUCT(--("0"&amp;LEFT(TRIM(MID(SUBSTITUTE(SUBSTITUTE(SUBSTITUTE(SUBSTITUTE(SUBSTITUTE(LOWER(Registro!$E153),"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",LEN(Registro!$E153))),({1,2,3,4,5,6,7,8,9,10,11,12,13,14,15,16,17,18,19,20,21,22,23,24,25,26,27,28,29,30}-1)*LEN(Registro!$E153)+1,LEN(Registro!$E153))),FIND("x",TRIM(MID(SUBSTITUTE(SUBSTITUTE(SUBSTITUTE(SUBSTITUTE(SUBSTITUTE(LOWER(Registro!$E153),"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",LEN(Registro!$E153))),({1,2,3,4,5,6,7,8,9,10,11,12,13,14,15,16,17,18,19,20,21,22,23,24,25,26,27,28,29,30}-1)*LEN(Registro!$E153)+1,LEN(Registro!$E153)))&amp;"x")-1))),"Revisar formato")))</f>
        <v/>
      </c>
      <c r="E153" s="24" t="str">
        <f>IF(Registro!$E153="","",IF(ISERROR(FIND("x",LOWER(Registro!$E153))),"-",IFERROR(SUMPRODUCT(--("0"&amp;LEFT(TRIM(MID(SUBSTITUTE(SUBSTITUTE(SUBSTITUTE(SUBSTITUTE(SUBSTITUTE(LOWER(Registro!$E153),"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",LEN(Registro!$E153))),({1,2,3,4,5,6,7,8,9,10,11,12,13,14,15,16,17,18,19,20,21,22,23,24,25,26,27,28,29,30}-1)*LEN(Registro!$E153)+1,LEN(Registro!$E153))),FIND("x",TRIM(MID(SUBSTITUTE(SUBSTITUTE(SUBSTITUTE(SUBSTITUTE(SUBSTITUTE(LOWER(Registro!$E153),"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",LEN(Registro!$E153))),({1,2,3,4,5,6,7,8,9,10,11,12,13,14,15,16,17,18,19,20,21,22,23,24,25,26,27,28,29,30}-1)*LEN(Registro!$E153)+1,LEN(Registro!$E153)))&amp;"x")-1)),--("0"&amp;MID(TRIM(MID(SUBSTITUTE(SUBSTITUTE(SUBSTITUTE(SUBSTITUTE(SUBSTITUTE(LOWER(Registro!$E153),"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",LEN(Registro!$E153))),({1,2,3,4,5,6,7,8,9,10,11,12,13,14,15,16,17,18,19,20,21,22,23,24,25,26,27,28,29,30}-1)*LEN(Registro!$E153)+1,LEN(Registro!$E153))),FIND("x",TRIM(MID(SUBSTITUTE(SUBSTITUTE(SUBSTITUTE(SUBSTITUTE(SUBSTITUTE(LOWER(Registro!$E153),"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",LEN(Registro!$E153))),({1,2,3,4,5,6,7,8,9,10,11,12,13,14,15,16,17,18,19,20,21,22,23,24,25,26,27,28,29,30}-1)*LEN(Registro!$E153)+1,LEN(Registro!$E153)))&amp;"x")+1,20))),"Revisar formato")))</f>
        <v/>
      </c>
      <c r="F153" s="23" t="str">
        <f>IF(Registro!$F153="","",IF(ISERROR(FIND("x",LOWER(Registro!$F153))),"-",IFERROR(SUMPRODUCT(--("0"&amp;LEFT(TRIM(MID(SUBSTITUTE(SUBSTITUTE(SUBSTITUTE(SUBSTITUTE(SUBSTITUTE(LOWER(Registro!$F153)," ",""),CHAR(10),"|"),";","|"),"+","|"),"|",REPT(" ",LEN(Registro!$F153))),({1,2,3,4,5,6,7,8,9,10,11,12,13,14,15,16,17,18,19,20,21,22,23,24,25,26,27,28,29,30}-1)*LEN(Registro!$F153)+1,LEN(Registro!$F153))),FIND("x",TRIM(MID(SUBSTITUTE(SUBSTITUTE(SUBSTITUTE(SUBSTITUTE(SUBSTITUTE(LOWER(Registro!$F153)," ",""),CHAR(10),"|"),";","|"),"+","|"),"|",REPT(" ",LEN(Registro!$F153))),({1,2,3,4,5,6,7,8,9,10,11,12,13,14,15,16,17,18,19,20,21,22,23,24,25,26,27,28,29,30}-1)*LEN(Registro!$F153)+1,LEN(Registro!$F153)))&amp;"x")-1))),"Revisar formato")))</f>
        <v/>
      </c>
      <c r="G153" s="24" t="str">
        <f>IF(Registro!$F153="","",IF(ISERROR(FIND("x",LOWER(Registro!$F153))),N(Registro!$G153),IFERROR(SUMPRODUCT(--("0"&amp;LEFT(TRIM(MID(SUBSTITUTE(SUBSTITUTE(SUBSTITUTE(SUBSTITUTE(SUBSTITUTE(LOWER(Registro!$F153)," ",""),CHAR(10),"|"),";","|"),"+","|"),"|",REPT(" ",LEN(Registro!$F153))),({1,2,3,4,5,6,7,8,9,10,11,12,13,14,15,16,17,18,19,20,21,22,23,24,25,26,27,28,29,30}-1)*LEN(Registro!$F153)+1,LEN(Registro!$F153))),FIND("x",TRIM(MID(SUBSTITUTE(SUBSTITUTE(SUBSTITUTE(SUBSTITUTE(SUBSTITUTE(LOWER(Registro!$F153)," ",""),CHAR(10),"|"),";","|"),"+","|"),"|",REPT(" ",LEN(Registro!$F153))),({1,2,3,4,5,6,7,8,9,10,11,12,13,14,15,16,17,18,19,20,21,22,23,24,25,26,27,28,29,30}-1)*LEN(Registro!$F153)+1,LEN(Registro!$F153)))&amp;"x")-1)),--("0"&amp;MID(TRIM(MID(SUBSTITUTE(SUBSTITUTE(SUBSTITUTE(SUBSTITUTE(SUBSTITUTE(LOWER(Registro!$F153)," ",""),CHAR(10),"|"),";","|"),"+","|"),"|",REPT(" ",LEN(Registro!$F153))),({1,2,3,4,5,6,7,8,9,10,11,12,13,14,15,16,17,18,19,20,21,22,23,24,25,26,27,28,29,30}-1)*LEN(Registro!$F153)+1,LEN(Registro!$F153))),FIND("x",TRIM(MID(SUBSTITUTE(SUBSTITUTE(SUBSTITUTE(SUBSTITUTE(SUBSTITUTE(LOWER(Registro!$F153)," ",""),CHAR(10),"|"),";","|"),"+","|"),"|",REPT(" ",LEN(Registro!$F153))),({1,2,3,4,5,6,7,8,9,10,11,12,13,14,15,16,17,18,19,20,21,22,23,24,25,26,27,28,29,30}-1)*LEN(Registro!$F153)+1,LEN(Registro!$F153)))&amp;"x")+1,20))),"Revisar formato")))</f>
        <v/>
      </c>
      <c r="H153" s="21" t="str">
        <f>IF(AND(Registro!$E153="",Registro!$F153=""),"",IF(NOT(AND(ISNUMBER(G153),ISNUMBER(Registro!$G153))),"",IF(G153&lt;Registro!$G153,"FALTA BOLETOS",IF(G153=Registro!$G153,"CONFORME","DIFERENCIA"))))</f>
        <v/>
      </c>
      <c r="I153" s="24" t="str">
        <f>IF(Registro!$H153="","",IFERROR(SUMPRODUCT(--("0"&amp;TRIM(RIGHT(SUBSTITUTE(TRIM(MID(SUBSTITUTE(SUBSTITUTE(Registro!$H153,";",CHAR(10)),CHAR(10),REPT(" ",LEN(Registro!$H153))),({1,2,3,4,5,6,7,8,9,10,11,12,13,14,15,16,17,18,19,20,21,22,23,24,25,26,27,28,29,30}-1)*LEN(Registro!$H153)+1,LEN(Registro!$H153)))," ",REPT(" ",50)),50)))),"Revisar formato"))</f>
        <v/>
      </c>
      <c r="J153" s="24" t="str">
        <f>IF(Registro!$I153="","",IFERROR(SUMPRODUCT(--("0"&amp;TRIM(RIGHT(SUBSTITUTE(TRIM(MID(SUBSTITUTE(SUBSTITUTE(Registro!$I153,";",CHAR(10)),CHAR(10),REPT(" ",LEN(Registro!$I153))),({1,2,3,4,5,6,7,8,9,10,11,12,13,14,15,16,17,18,19,20,21,22,23,24,25,26,27,28,29,30}-1)*LEN(Registro!$I153)+1,LEN(Registro!$I153)))," ",REPT(" ",50)),50)))),"Revisar formato"))</f>
        <v/>
      </c>
      <c r="K153" s="24" t="str">
        <f>IF(AND(Registro!$G153="",Registro!$H153=""),"",IF(AND(ISTEXT(I153),I153&lt;&gt;""),"Revisar formato",N(Registro!$G153)-N(I153)))</f>
        <v/>
      </c>
      <c r="L153" s="24" t="str">
        <f t="shared" si="5"/>
        <v/>
      </c>
      <c r="M153" s="36" t="str">
        <f>IF(AND(A153=Consulta!$B$3,C153=Consulta!$H$3),B153*10000+ROW(),"")</f>
        <v/>
      </c>
    </row>
    <row r="154" spans="1:13" x14ac:dyDescent="0.25">
      <c r="A154" s="21" t="str">
        <f>IF(Registro!$A154="","",Registro!$A154)</f>
        <v/>
      </c>
      <c r="B154" s="20" t="str">
        <f>IF(Registro!$B154="","",Registro!$B154)</f>
        <v/>
      </c>
      <c r="C154" s="35" t="str">
        <f t="shared" si="4"/>
        <v/>
      </c>
      <c r="D154" s="23" t="str">
        <f>IF(Registro!$E154="","",IF(ISERROR(FIND("x",LOWER(Registro!$E154))),"-",IFERROR(SUMPRODUCT(--("0"&amp;LEFT(TRIM(MID(SUBSTITUTE(SUBSTITUTE(SUBSTITUTE(SUBSTITUTE(SUBSTITUTE(LOWER(Registro!$E154),"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",LEN(Registro!$E154))),({1,2,3,4,5,6,7,8,9,10,11,12,13,14,15,16,17,18,19,20,21,22,23,24,25,26,27,28,29,30}-1)*LEN(Registro!$E154)+1,LEN(Registro!$E154))),FIND("x",TRIM(MID(SUBSTITUTE(SUBSTITUTE(SUBSTITUTE(SUBSTITUTE(SUBSTITUTE(LOWER(Registro!$E154),"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",LEN(Registro!$E154))),({1,2,3,4,5,6,7,8,9,10,11,12,13,14,15,16,17,18,19,20,21,22,23,24,25,26,27,28,29,30}-1)*LEN(Registro!$E154)+1,LEN(Registro!$E154)))&amp;"x")-1))),"Revisar formato")))</f>
        <v/>
      </c>
      <c r="E154" s="24" t="str">
        <f>IF(Registro!$E154="","",IF(ISERROR(FIND("x",LOWER(Registro!$E154))),"-",IFERROR(SUMPRODUCT(--("0"&amp;LEFT(TRIM(MID(SUBSTITUTE(SUBSTITUTE(SUBSTITUTE(SUBSTITUTE(SUBSTITUTE(LOWER(Registro!$E154),"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",LEN(Registro!$E154))),({1,2,3,4,5,6,7,8,9,10,11,12,13,14,15,16,17,18,19,20,21,22,23,24,25,26,27,28,29,30}-1)*LEN(Registro!$E154)+1,LEN(Registro!$E154))),FIND("x",TRIM(MID(SUBSTITUTE(SUBSTITUTE(SUBSTITUTE(SUBSTITUTE(SUBSTITUTE(LOWER(Registro!$E154),"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",LEN(Registro!$E154))),({1,2,3,4,5,6,7,8,9,10,11,12,13,14,15,16,17,18,19,20,21,22,23,24,25,26,27,28,29,30}-1)*LEN(Registro!$E154)+1,LEN(Registro!$E154)))&amp;"x")-1)),--("0"&amp;MID(TRIM(MID(SUBSTITUTE(SUBSTITUTE(SUBSTITUTE(SUBSTITUTE(SUBSTITUTE(LOWER(Registro!$E154),"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",LEN(Registro!$E154))),({1,2,3,4,5,6,7,8,9,10,11,12,13,14,15,16,17,18,19,20,21,22,23,24,25,26,27,28,29,30}-1)*LEN(Registro!$E154)+1,LEN(Registro!$E154))),FIND("x",TRIM(MID(SUBSTITUTE(SUBSTITUTE(SUBSTITUTE(SUBSTITUTE(SUBSTITUTE(LOWER(Registro!$E154),"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",LEN(Registro!$E154))),({1,2,3,4,5,6,7,8,9,10,11,12,13,14,15,16,17,18,19,20,21,22,23,24,25,26,27,28,29,30}-1)*LEN(Registro!$E154)+1,LEN(Registro!$E154)))&amp;"x")+1,20))),"Revisar formato")))</f>
        <v/>
      </c>
      <c r="F154" s="23" t="str">
        <f>IF(Registro!$F154="","",IF(ISERROR(FIND("x",LOWER(Registro!$F154))),"-",IFERROR(SUMPRODUCT(--("0"&amp;LEFT(TRIM(MID(SUBSTITUTE(SUBSTITUTE(SUBSTITUTE(SUBSTITUTE(SUBSTITUTE(LOWER(Registro!$F154)," ",""),CHAR(10),"|"),";","|"),"+","|"),"|",REPT(" ",LEN(Registro!$F154))),({1,2,3,4,5,6,7,8,9,10,11,12,13,14,15,16,17,18,19,20,21,22,23,24,25,26,27,28,29,30}-1)*LEN(Registro!$F154)+1,LEN(Registro!$F154))),FIND("x",TRIM(MID(SUBSTITUTE(SUBSTITUTE(SUBSTITUTE(SUBSTITUTE(SUBSTITUTE(LOWER(Registro!$F154)," ",""),CHAR(10),"|"),";","|"),"+","|"),"|",REPT(" ",LEN(Registro!$F154))),({1,2,3,4,5,6,7,8,9,10,11,12,13,14,15,16,17,18,19,20,21,22,23,24,25,26,27,28,29,30}-1)*LEN(Registro!$F154)+1,LEN(Registro!$F154)))&amp;"x")-1))),"Revisar formato")))</f>
        <v/>
      </c>
      <c r="G154" s="24" t="str">
        <f>IF(Registro!$F154="","",IF(ISERROR(FIND("x",LOWER(Registro!$F154))),N(Registro!$G154),IFERROR(SUMPRODUCT(--("0"&amp;LEFT(TRIM(MID(SUBSTITUTE(SUBSTITUTE(SUBSTITUTE(SUBSTITUTE(SUBSTITUTE(LOWER(Registro!$F154)," ",""),CHAR(10),"|"),";","|"),"+","|"),"|",REPT(" ",LEN(Registro!$F154))),({1,2,3,4,5,6,7,8,9,10,11,12,13,14,15,16,17,18,19,20,21,22,23,24,25,26,27,28,29,30}-1)*LEN(Registro!$F154)+1,LEN(Registro!$F154))),FIND("x",TRIM(MID(SUBSTITUTE(SUBSTITUTE(SUBSTITUTE(SUBSTITUTE(SUBSTITUTE(LOWER(Registro!$F154)," ",""),CHAR(10),"|"),";","|"),"+","|"),"|",REPT(" ",LEN(Registro!$F154))),({1,2,3,4,5,6,7,8,9,10,11,12,13,14,15,16,17,18,19,20,21,22,23,24,25,26,27,28,29,30}-1)*LEN(Registro!$F154)+1,LEN(Registro!$F154)))&amp;"x")-1)),--("0"&amp;MID(TRIM(MID(SUBSTITUTE(SUBSTITUTE(SUBSTITUTE(SUBSTITUTE(SUBSTITUTE(LOWER(Registro!$F154)," ",""),CHAR(10),"|"),";","|"),"+","|"),"|",REPT(" ",LEN(Registro!$F154))),({1,2,3,4,5,6,7,8,9,10,11,12,13,14,15,16,17,18,19,20,21,22,23,24,25,26,27,28,29,30}-1)*LEN(Registro!$F154)+1,LEN(Registro!$F154))),FIND("x",TRIM(MID(SUBSTITUTE(SUBSTITUTE(SUBSTITUTE(SUBSTITUTE(SUBSTITUTE(LOWER(Registro!$F154)," ",""),CHAR(10),"|"),";","|"),"+","|"),"|",REPT(" ",LEN(Registro!$F154))),({1,2,3,4,5,6,7,8,9,10,11,12,13,14,15,16,17,18,19,20,21,22,23,24,25,26,27,28,29,30}-1)*LEN(Registro!$F154)+1,LEN(Registro!$F154)))&amp;"x")+1,20))),"Revisar formato")))</f>
        <v/>
      </c>
      <c r="H154" s="21" t="str">
        <f>IF(AND(Registro!$E154="",Registro!$F154=""),"",IF(NOT(AND(ISNUMBER(G154),ISNUMBER(Registro!$G154))),"",IF(G154&lt;Registro!$G154,"FALTA BOLETOS",IF(G154=Registro!$G154,"CONFORME","DIFERENCIA"))))</f>
        <v/>
      </c>
      <c r="I154" s="24" t="str">
        <f>IF(Registro!$H154="","",IFERROR(SUMPRODUCT(--("0"&amp;TRIM(RIGHT(SUBSTITUTE(TRIM(MID(SUBSTITUTE(SUBSTITUTE(Registro!$H154,";",CHAR(10)),CHAR(10),REPT(" ",LEN(Registro!$H154))),({1,2,3,4,5,6,7,8,9,10,11,12,13,14,15,16,17,18,19,20,21,22,23,24,25,26,27,28,29,30}-1)*LEN(Registro!$H154)+1,LEN(Registro!$H154)))," ",REPT(" ",50)),50)))),"Revisar formato"))</f>
        <v/>
      </c>
      <c r="J154" s="24" t="str">
        <f>IF(Registro!$I154="","",IFERROR(SUMPRODUCT(--("0"&amp;TRIM(RIGHT(SUBSTITUTE(TRIM(MID(SUBSTITUTE(SUBSTITUTE(Registro!$I154,";",CHAR(10)),CHAR(10),REPT(" ",LEN(Registro!$I154))),({1,2,3,4,5,6,7,8,9,10,11,12,13,14,15,16,17,18,19,20,21,22,23,24,25,26,27,28,29,30}-1)*LEN(Registro!$I154)+1,LEN(Registro!$I154)))," ",REPT(" ",50)),50)))),"Revisar formato"))</f>
        <v/>
      </c>
      <c r="K154" s="24" t="str">
        <f>IF(AND(Registro!$G154="",Registro!$H154=""),"",IF(AND(ISTEXT(I154),I154&lt;&gt;""),"Revisar formato",N(Registro!$G154)-N(I154)))</f>
        <v/>
      </c>
      <c r="L154" s="24" t="str">
        <f t="shared" si="5"/>
        <v/>
      </c>
      <c r="M154" s="36" t="str">
        <f>IF(AND(A154=Consulta!$B$3,C154=Consulta!$H$3),B154*10000+ROW(),"")</f>
        <v/>
      </c>
    </row>
    <row r="155" spans="1:13" x14ac:dyDescent="0.25">
      <c r="A155" s="21" t="str">
        <f>IF(Registro!$A155="","",Registro!$A155)</f>
        <v/>
      </c>
      <c r="B155" s="20" t="str">
        <f>IF(Registro!$B155="","",Registro!$B155)</f>
        <v/>
      </c>
      <c r="C155" s="35" t="str">
        <f t="shared" si="4"/>
        <v/>
      </c>
      <c r="D155" s="23" t="str">
        <f>IF(Registro!$E155="","",IF(ISERROR(FIND("x",LOWER(Registro!$E155))),"-",IFERROR(SUMPRODUCT(--("0"&amp;LEFT(TRIM(MID(SUBSTITUTE(SUBSTITUTE(SUBSTITUTE(SUBSTITUTE(SUBSTITUTE(LOWER(Registro!$E155),"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",LEN(Registro!$E155))),({1,2,3,4,5,6,7,8,9,10,11,12,13,14,15,16,17,18,19,20,21,22,23,24,25,26,27,28,29,30}-1)*LEN(Registro!$E155)+1,LEN(Registro!$E155))),FIND("x",TRIM(MID(SUBSTITUTE(SUBSTITUTE(SUBSTITUTE(SUBSTITUTE(SUBSTITUTE(LOWER(Registro!$E155),"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",LEN(Registro!$E155))),({1,2,3,4,5,6,7,8,9,10,11,12,13,14,15,16,17,18,19,20,21,22,23,24,25,26,27,28,29,30}-1)*LEN(Registro!$E155)+1,LEN(Registro!$E155)))&amp;"x")-1))),"Revisar formato")))</f>
        <v/>
      </c>
      <c r="E155" s="24" t="str">
        <f>IF(Registro!$E155="","",IF(ISERROR(FIND("x",LOWER(Registro!$E155))),"-",IFERROR(SUMPRODUCT(--("0"&amp;LEFT(TRIM(MID(SUBSTITUTE(SUBSTITUTE(SUBSTITUTE(SUBSTITUTE(SUBSTITUTE(LOWER(Registro!$E155),"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",LEN(Registro!$E155))),({1,2,3,4,5,6,7,8,9,10,11,12,13,14,15,16,17,18,19,20,21,22,23,24,25,26,27,28,29,30}-1)*LEN(Registro!$E155)+1,LEN(Registro!$E155))),FIND("x",TRIM(MID(SUBSTITUTE(SUBSTITUTE(SUBSTITUTE(SUBSTITUTE(SUBSTITUTE(LOWER(Registro!$E155),"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",LEN(Registro!$E155))),({1,2,3,4,5,6,7,8,9,10,11,12,13,14,15,16,17,18,19,20,21,22,23,24,25,26,27,28,29,30}-1)*LEN(Registro!$E155)+1,LEN(Registro!$E155)))&amp;"x")-1)),--("0"&amp;MID(TRIM(MID(SUBSTITUTE(SUBSTITUTE(SUBSTITUTE(SUBSTITUTE(SUBSTITUTE(LOWER(Registro!$E155),"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",LEN(Registro!$E155))),({1,2,3,4,5,6,7,8,9,10,11,12,13,14,15,16,17,18,19,20,21,22,23,24,25,26,27,28,29,30}-1)*LEN(Registro!$E155)+1,LEN(Registro!$E155))),FIND("x",TRIM(MID(SUBSTITUTE(SUBSTITUTE(SUBSTITUTE(SUBSTITUTE(SUBSTITUTE(LOWER(Registro!$E155),"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",LEN(Registro!$E155))),({1,2,3,4,5,6,7,8,9,10,11,12,13,14,15,16,17,18,19,20,21,22,23,24,25,26,27,28,29,30}-1)*LEN(Registro!$E155)+1,LEN(Registro!$E155)))&amp;"x")+1,20))),"Revisar formato")))</f>
        <v/>
      </c>
      <c r="F155" s="23" t="str">
        <f>IF(Registro!$F155="","",IF(ISERROR(FIND("x",LOWER(Registro!$F155))),"-",IFERROR(SUMPRODUCT(--("0"&amp;LEFT(TRIM(MID(SUBSTITUTE(SUBSTITUTE(SUBSTITUTE(SUBSTITUTE(SUBSTITUTE(LOWER(Registro!$F155)," ",""),CHAR(10),"|"),";","|"),"+","|"),"|",REPT(" ",LEN(Registro!$F155))),({1,2,3,4,5,6,7,8,9,10,11,12,13,14,15,16,17,18,19,20,21,22,23,24,25,26,27,28,29,30}-1)*LEN(Registro!$F155)+1,LEN(Registro!$F155))),FIND("x",TRIM(MID(SUBSTITUTE(SUBSTITUTE(SUBSTITUTE(SUBSTITUTE(SUBSTITUTE(LOWER(Registro!$F155)," ",""),CHAR(10),"|"),";","|"),"+","|"),"|",REPT(" ",LEN(Registro!$F155))),({1,2,3,4,5,6,7,8,9,10,11,12,13,14,15,16,17,18,19,20,21,22,23,24,25,26,27,28,29,30}-1)*LEN(Registro!$F155)+1,LEN(Registro!$F155)))&amp;"x")-1))),"Revisar formato")))</f>
        <v/>
      </c>
      <c r="G155" s="24" t="str">
        <f>IF(Registro!$F155="","",IF(ISERROR(FIND("x",LOWER(Registro!$F155))),N(Registro!$G155),IFERROR(SUMPRODUCT(--("0"&amp;LEFT(TRIM(MID(SUBSTITUTE(SUBSTITUTE(SUBSTITUTE(SUBSTITUTE(SUBSTITUTE(LOWER(Registro!$F155)," ",""),CHAR(10),"|"),";","|"),"+","|"),"|",REPT(" ",LEN(Registro!$F155))),({1,2,3,4,5,6,7,8,9,10,11,12,13,14,15,16,17,18,19,20,21,22,23,24,25,26,27,28,29,30}-1)*LEN(Registro!$F155)+1,LEN(Registro!$F155))),FIND("x",TRIM(MID(SUBSTITUTE(SUBSTITUTE(SUBSTITUTE(SUBSTITUTE(SUBSTITUTE(LOWER(Registro!$F155)," ",""),CHAR(10),"|"),";","|"),"+","|"),"|",REPT(" ",LEN(Registro!$F155))),({1,2,3,4,5,6,7,8,9,10,11,12,13,14,15,16,17,18,19,20,21,22,23,24,25,26,27,28,29,30}-1)*LEN(Registro!$F155)+1,LEN(Registro!$F155)))&amp;"x")-1)),--("0"&amp;MID(TRIM(MID(SUBSTITUTE(SUBSTITUTE(SUBSTITUTE(SUBSTITUTE(SUBSTITUTE(LOWER(Registro!$F155)," ",""),CHAR(10),"|"),";","|"),"+","|"),"|",REPT(" ",LEN(Registro!$F155))),({1,2,3,4,5,6,7,8,9,10,11,12,13,14,15,16,17,18,19,20,21,22,23,24,25,26,27,28,29,30}-1)*LEN(Registro!$F155)+1,LEN(Registro!$F155))),FIND("x",TRIM(MID(SUBSTITUTE(SUBSTITUTE(SUBSTITUTE(SUBSTITUTE(SUBSTITUTE(LOWER(Registro!$F155)," ",""),CHAR(10),"|"),";","|"),"+","|"),"|",REPT(" ",LEN(Registro!$F155))),({1,2,3,4,5,6,7,8,9,10,11,12,13,14,15,16,17,18,19,20,21,22,23,24,25,26,27,28,29,30}-1)*LEN(Registro!$F155)+1,LEN(Registro!$F155)))&amp;"x")+1,20))),"Revisar formato")))</f>
        <v/>
      </c>
      <c r="H155" s="21" t="str">
        <f>IF(AND(Registro!$E155="",Registro!$F155=""),"",IF(NOT(AND(ISNUMBER(G155),ISNUMBER(Registro!$G155))),"",IF(G155&lt;Registro!$G155,"FALTA BOLETOS",IF(G155=Registro!$G155,"CONFORME","DIFERENCIA"))))</f>
        <v/>
      </c>
      <c r="I155" s="24" t="str">
        <f>IF(Registro!$H155="","",IFERROR(SUMPRODUCT(--("0"&amp;TRIM(RIGHT(SUBSTITUTE(TRIM(MID(SUBSTITUTE(SUBSTITUTE(Registro!$H155,";",CHAR(10)),CHAR(10),REPT(" ",LEN(Registro!$H155))),({1,2,3,4,5,6,7,8,9,10,11,12,13,14,15,16,17,18,19,20,21,22,23,24,25,26,27,28,29,30}-1)*LEN(Registro!$H155)+1,LEN(Registro!$H155)))," ",REPT(" ",50)),50)))),"Revisar formato"))</f>
        <v/>
      </c>
      <c r="J155" s="24" t="str">
        <f>IF(Registro!$I155="","",IFERROR(SUMPRODUCT(--("0"&amp;TRIM(RIGHT(SUBSTITUTE(TRIM(MID(SUBSTITUTE(SUBSTITUTE(Registro!$I155,";",CHAR(10)),CHAR(10),REPT(" ",LEN(Registro!$I155))),({1,2,3,4,5,6,7,8,9,10,11,12,13,14,15,16,17,18,19,20,21,22,23,24,25,26,27,28,29,30}-1)*LEN(Registro!$I155)+1,LEN(Registro!$I155)))," ",REPT(" ",50)),50)))),"Revisar formato"))</f>
        <v/>
      </c>
      <c r="K155" s="24" t="str">
        <f>IF(AND(Registro!$G155="",Registro!$H155=""),"",IF(AND(ISTEXT(I155),I155&lt;&gt;""),"Revisar formato",N(Registro!$G155)-N(I155)))</f>
        <v/>
      </c>
      <c r="L155" s="24" t="str">
        <f t="shared" si="5"/>
        <v/>
      </c>
      <c r="M155" s="36" t="str">
        <f>IF(AND(A155=Consulta!$B$3,C155=Consulta!$H$3),B155*10000+ROW(),"")</f>
        <v/>
      </c>
    </row>
    <row r="156" spans="1:13" x14ac:dyDescent="0.25">
      <c r="A156" s="21" t="str">
        <f>IF(Registro!$A156="","",Registro!$A156)</f>
        <v/>
      </c>
      <c r="B156" s="20" t="str">
        <f>IF(Registro!$B156="","",Registro!$B156)</f>
        <v/>
      </c>
      <c r="C156" s="35" t="str">
        <f t="shared" si="4"/>
        <v/>
      </c>
      <c r="D156" s="23" t="str">
        <f>IF(Registro!$E156="","",IF(ISERROR(FIND("x",LOWER(Registro!$E156))),"-",IFERROR(SUMPRODUCT(--("0"&amp;LEFT(TRIM(MID(SUBSTITUTE(SUBSTITUTE(SUBSTITUTE(SUBSTITUTE(SUBSTITUTE(LOWER(Registro!$E156),"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",LEN(Registro!$E156))),({1,2,3,4,5,6,7,8,9,10,11,12,13,14,15,16,17,18,19,20,21,22,23,24,25,26,27,28,29,30}-1)*LEN(Registro!$E156)+1,LEN(Registro!$E156))),FIND("x",TRIM(MID(SUBSTITUTE(SUBSTITUTE(SUBSTITUTE(SUBSTITUTE(SUBSTITUTE(LOWER(Registro!$E156),"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",LEN(Registro!$E156))),({1,2,3,4,5,6,7,8,9,10,11,12,13,14,15,16,17,18,19,20,21,22,23,24,25,26,27,28,29,30}-1)*LEN(Registro!$E156)+1,LEN(Registro!$E156)))&amp;"x")-1))),"Revisar formato")))</f>
        <v/>
      </c>
      <c r="E156" s="24" t="str">
        <f>IF(Registro!$E156="","",IF(ISERROR(FIND("x",LOWER(Registro!$E156))),"-",IFERROR(SUMPRODUCT(--("0"&amp;LEFT(TRIM(MID(SUBSTITUTE(SUBSTITUTE(SUBSTITUTE(SUBSTITUTE(SUBSTITUTE(LOWER(Registro!$E156),"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",LEN(Registro!$E156))),({1,2,3,4,5,6,7,8,9,10,11,12,13,14,15,16,17,18,19,20,21,22,23,24,25,26,27,28,29,30}-1)*LEN(Registro!$E156)+1,LEN(Registro!$E156))),FIND("x",TRIM(MID(SUBSTITUTE(SUBSTITUTE(SUBSTITUTE(SUBSTITUTE(SUBSTITUTE(LOWER(Registro!$E156),"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",LEN(Registro!$E156))),({1,2,3,4,5,6,7,8,9,10,11,12,13,14,15,16,17,18,19,20,21,22,23,24,25,26,27,28,29,30}-1)*LEN(Registro!$E156)+1,LEN(Registro!$E156)))&amp;"x")-1)),--("0"&amp;MID(TRIM(MID(SUBSTITUTE(SUBSTITUTE(SUBSTITUTE(SUBSTITUTE(SUBSTITUTE(LOWER(Registro!$E156),"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",LEN(Registro!$E156))),({1,2,3,4,5,6,7,8,9,10,11,12,13,14,15,16,17,18,19,20,21,22,23,24,25,26,27,28,29,30}-1)*LEN(Registro!$E156)+1,LEN(Registro!$E156))),FIND("x",TRIM(MID(SUBSTITUTE(SUBSTITUTE(SUBSTITUTE(SUBSTITUTE(SUBSTITUTE(LOWER(Registro!$E156),"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",LEN(Registro!$E156))),({1,2,3,4,5,6,7,8,9,10,11,12,13,14,15,16,17,18,19,20,21,22,23,24,25,26,27,28,29,30}-1)*LEN(Registro!$E156)+1,LEN(Registro!$E156)))&amp;"x")+1,20))),"Revisar formato")))</f>
        <v/>
      </c>
      <c r="F156" s="23" t="str">
        <f>IF(Registro!$F156="","",IF(ISERROR(FIND("x",LOWER(Registro!$F156))),"-",IFERROR(SUMPRODUCT(--("0"&amp;LEFT(TRIM(MID(SUBSTITUTE(SUBSTITUTE(SUBSTITUTE(SUBSTITUTE(SUBSTITUTE(LOWER(Registro!$F156)," ",""),CHAR(10),"|"),";","|"),"+","|"),"|",REPT(" ",LEN(Registro!$F156))),({1,2,3,4,5,6,7,8,9,10,11,12,13,14,15,16,17,18,19,20,21,22,23,24,25,26,27,28,29,30}-1)*LEN(Registro!$F156)+1,LEN(Registro!$F156))),FIND("x",TRIM(MID(SUBSTITUTE(SUBSTITUTE(SUBSTITUTE(SUBSTITUTE(SUBSTITUTE(LOWER(Registro!$F156)," ",""),CHAR(10),"|"),";","|"),"+","|"),"|",REPT(" ",LEN(Registro!$F156))),({1,2,3,4,5,6,7,8,9,10,11,12,13,14,15,16,17,18,19,20,21,22,23,24,25,26,27,28,29,30}-1)*LEN(Registro!$F156)+1,LEN(Registro!$F156)))&amp;"x")-1))),"Revisar formato")))</f>
        <v/>
      </c>
      <c r="G156" s="24" t="str">
        <f>IF(Registro!$F156="","",IF(ISERROR(FIND("x",LOWER(Registro!$F156))),N(Registro!$G156),IFERROR(SUMPRODUCT(--("0"&amp;LEFT(TRIM(MID(SUBSTITUTE(SUBSTITUTE(SUBSTITUTE(SUBSTITUTE(SUBSTITUTE(LOWER(Registro!$F156)," ",""),CHAR(10),"|"),";","|"),"+","|"),"|",REPT(" ",LEN(Registro!$F156))),({1,2,3,4,5,6,7,8,9,10,11,12,13,14,15,16,17,18,19,20,21,22,23,24,25,26,27,28,29,30}-1)*LEN(Registro!$F156)+1,LEN(Registro!$F156))),FIND("x",TRIM(MID(SUBSTITUTE(SUBSTITUTE(SUBSTITUTE(SUBSTITUTE(SUBSTITUTE(LOWER(Registro!$F156)," ",""),CHAR(10),"|"),";","|"),"+","|"),"|",REPT(" ",LEN(Registro!$F156))),({1,2,3,4,5,6,7,8,9,10,11,12,13,14,15,16,17,18,19,20,21,22,23,24,25,26,27,28,29,30}-1)*LEN(Registro!$F156)+1,LEN(Registro!$F156)))&amp;"x")-1)),--("0"&amp;MID(TRIM(MID(SUBSTITUTE(SUBSTITUTE(SUBSTITUTE(SUBSTITUTE(SUBSTITUTE(LOWER(Registro!$F156)," ",""),CHAR(10),"|"),";","|"),"+","|"),"|",REPT(" ",LEN(Registro!$F156))),({1,2,3,4,5,6,7,8,9,10,11,12,13,14,15,16,17,18,19,20,21,22,23,24,25,26,27,28,29,30}-1)*LEN(Registro!$F156)+1,LEN(Registro!$F156))),FIND("x",TRIM(MID(SUBSTITUTE(SUBSTITUTE(SUBSTITUTE(SUBSTITUTE(SUBSTITUTE(LOWER(Registro!$F156)," ",""),CHAR(10),"|"),";","|"),"+","|"),"|",REPT(" ",LEN(Registro!$F156))),({1,2,3,4,5,6,7,8,9,10,11,12,13,14,15,16,17,18,19,20,21,22,23,24,25,26,27,28,29,30}-1)*LEN(Registro!$F156)+1,LEN(Registro!$F156)))&amp;"x")+1,20))),"Revisar formato")))</f>
        <v/>
      </c>
      <c r="H156" s="21" t="str">
        <f>IF(AND(Registro!$E156="",Registro!$F156=""),"",IF(NOT(AND(ISNUMBER(G156),ISNUMBER(Registro!$G156))),"",IF(G156&lt;Registro!$G156,"FALTA BOLETOS",IF(G156=Registro!$G156,"CONFORME","DIFERENCIA"))))</f>
        <v/>
      </c>
      <c r="I156" s="24" t="str">
        <f>IF(Registro!$H156="","",IFERROR(SUMPRODUCT(--("0"&amp;TRIM(RIGHT(SUBSTITUTE(TRIM(MID(SUBSTITUTE(SUBSTITUTE(Registro!$H156,";",CHAR(10)),CHAR(10),REPT(" ",LEN(Registro!$H156))),({1,2,3,4,5,6,7,8,9,10,11,12,13,14,15,16,17,18,19,20,21,22,23,24,25,26,27,28,29,30}-1)*LEN(Registro!$H156)+1,LEN(Registro!$H156)))," ",REPT(" ",50)),50)))),"Revisar formato"))</f>
        <v/>
      </c>
      <c r="J156" s="24" t="str">
        <f>IF(Registro!$I156="","",IFERROR(SUMPRODUCT(--("0"&amp;TRIM(RIGHT(SUBSTITUTE(TRIM(MID(SUBSTITUTE(SUBSTITUTE(Registro!$I156,";",CHAR(10)),CHAR(10),REPT(" ",LEN(Registro!$I156))),({1,2,3,4,5,6,7,8,9,10,11,12,13,14,15,16,17,18,19,20,21,22,23,24,25,26,27,28,29,30}-1)*LEN(Registro!$I156)+1,LEN(Registro!$I156)))," ",REPT(" ",50)),50)))),"Revisar formato"))</f>
        <v/>
      </c>
      <c r="K156" s="24" t="str">
        <f>IF(AND(Registro!$G156="",Registro!$H156=""),"",IF(AND(ISTEXT(I156),I156&lt;&gt;""),"Revisar formato",N(Registro!$G156)-N(I156)))</f>
        <v/>
      </c>
      <c r="L156" s="24" t="str">
        <f t="shared" si="5"/>
        <v/>
      </c>
      <c r="M156" s="36" t="str">
        <f>IF(AND(A156=Consulta!$B$3,C156=Consulta!$H$3),B156*10000+ROW(),"")</f>
        <v/>
      </c>
    </row>
    <row r="157" spans="1:13" x14ac:dyDescent="0.25">
      <c r="A157" s="21" t="str">
        <f>IF(Registro!$A157="","",Registro!$A157)</f>
        <v/>
      </c>
      <c r="B157" s="20" t="str">
        <f>IF(Registro!$B157="","",Registro!$B157)</f>
        <v/>
      </c>
      <c r="C157" s="35" t="str">
        <f t="shared" si="4"/>
        <v/>
      </c>
      <c r="D157" s="23" t="str">
        <f>IF(Registro!$E157="","",IF(ISERROR(FIND("x",LOWER(Registro!$E157))),"-",IFERROR(SUMPRODUCT(--("0"&amp;LEFT(TRIM(MID(SUBSTITUTE(SUBSTITUTE(SUBSTITUTE(SUBSTITUTE(SUBSTITUTE(LOWER(Registro!$E157),"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",LEN(Registro!$E157))),({1,2,3,4,5,6,7,8,9,10,11,12,13,14,15,16,17,18,19,20,21,22,23,24,25,26,27,28,29,30}-1)*LEN(Registro!$E157)+1,LEN(Registro!$E157))),FIND("x",TRIM(MID(SUBSTITUTE(SUBSTITUTE(SUBSTITUTE(SUBSTITUTE(SUBSTITUTE(LOWER(Registro!$E157),"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",LEN(Registro!$E157))),({1,2,3,4,5,6,7,8,9,10,11,12,13,14,15,16,17,18,19,20,21,22,23,24,25,26,27,28,29,30}-1)*LEN(Registro!$E157)+1,LEN(Registro!$E157)))&amp;"x")-1))),"Revisar formato")))</f>
        <v/>
      </c>
      <c r="E157" s="24" t="str">
        <f>IF(Registro!$E157="","",IF(ISERROR(FIND("x",LOWER(Registro!$E157))),"-",IFERROR(SUMPRODUCT(--("0"&amp;LEFT(TRIM(MID(SUBSTITUTE(SUBSTITUTE(SUBSTITUTE(SUBSTITUTE(SUBSTITUTE(LOWER(Registro!$E157),"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",LEN(Registro!$E157))),({1,2,3,4,5,6,7,8,9,10,11,12,13,14,15,16,17,18,19,20,21,22,23,24,25,26,27,28,29,30}-1)*LEN(Registro!$E157)+1,LEN(Registro!$E157))),FIND("x",TRIM(MID(SUBSTITUTE(SUBSTITUTE(SUBSTITUTE(SUBSTITUTE(SUBSTITUTE(LOWER(Registro!$E157),"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",LEN(Registro!$E157))),({1,2,3,4,5,6,7,8,9,10,11,12,13,14,15,16,17,18,19,20,21,22,23,24,25,26,27,28,29,30}-1)*LEN(Registro!$E157)+1,LEN(Registro!$E157)))&amp;"x")-1)),--("0"&amp;MID(TRIM(MID(SUBSTITUTE(SUBSTITUTE(SUBSTITUTE(SUBSTITUTE(SUBSTITUTE(LOWER(Registro!$E157),"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",LEN(Registro!$E157))),({1,2,3,4,5,6,7,8,9,10,11,12,13,14,15,16,17,18,19,20,21,22,23,24,25,26,27,28,29,30}-1)*LEN(Registro!$E157)+1,LEN(Registro!$E157))),FIND("x",TRIM(MID(SUBSTITUTE(SUBSTITUTE(SUBSTITUTE(SUBSTITUTE(SUBSTITUTE(LOWER(Registro!$E157),"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",LEN(Registro!$E157))),({1,2,3,4,5,6,7,8,9,10,11,12,13,14,15,16,17,18,19,20,21,22,23,24,25,26,27,28,29,30}-1)*LEN(Registro!$E157)+1,LEN(Registro!$E157)))&amp;"x")+1,20))),"Revisar formato")))</f>
        <v/>
      </c>
      <c r="F157" s="23" t="str">
        <f>IF(Registro!$F157="","",IF(ISERROR(FIND("x",LOWER(Registro!$F157))),"-",IFERROR(SUMPRODUCT(--("0"&amp;LEFT(TRIM(MID(SUBSTITUTE(SUBSTITUTE(SUBSTITUTE(SUBSTITUTE(SUBSTITUTE(LOWER(Registro!$F157)," ",""),CHAR(10),"|"),";","|"),"+","|"),"|",REPT(" ",LEN(Registro!$F157))),({1,2,3,4,5,6,7,8,9,10,11,12,13,14,15,16,17,18,19,20,21,22,23,24,25,26,27,28,29,30}-1)*LEN(Registro!$F157)+1,LEN(Registro!$F157))),FIND("x",TRIM(MID(SUBSTITUTE(SUBSTITUTE(SUBSTITUTE(SUBSTITUTE(SUBSTITUTE(LOWER(Registro!$F157)," ",""),CHAR(10),"|"),";","|"),"+","|"),"|",REPT(" ",LEN(Registro!$F157))),({1,2,3,4,5,6,7,8,9,10,11,12,13,14,15,16,17,18,19,20,21,22,23,24,25,26,27,28,29,30}-1)*LEN(Registro!$F157)+1,LEN(Registro!$F157)))&amp;"x")-1))),"Revisar formato")))</f>
        <v/>
      </c>
      <c r="G157" s="24" t="str">
        <f>IF(Registro!$F157="","",IF(ISERROR(FIND("x",LOWER(Registro!$F157))),N(Registro!$G157),IFERROR(SUMPRODUCT(--("0"&amp;LEFT(TRIM(MID(SUBSTITUTE(SUBSTITUTE(SUBSTITUTE(SUBSTITUTE(SUBSTITUTE(LOWER(Registro!$F157)," ",""),CHAR(10),"|"),";","|"),"+","|"),"|",REPT(" ",LEN(Registro!$F157))),({1,2,3,4,5,6,7,8,9,10,11,12,13,14,15,16,17,18,19,20,21,22,23,24,25,26,27,28,29,30}-1)*LEN(Registro!$F157)+1,LEN(Registro!$F157))),FIND("x",TRIM(MID(SUBSTITUTE(SUBSTITUTE(SUBSTITUTE(SUBSTITUTE(SUBSTITUTE(LOWER(Registro!$F157)," ",""),CHAR(10),"|"),";","|"),"+","|"),"|",REPT(" ",LEN(Registro!$F157))),({1,2,3,4,5,6,7,8,9,10,11,12,13,14,15,16,17,18,19,20,21,22,23,24,25,26,27,28,29,30}-1)*LEN(Registro!$F157)+1,LEN(Registro!$F157)))&amp;"x")-1)),--("0"&amp;MID(TRIM(MID(SUBSTITUTE(SUBSTITUTE(SUBSTITUTE(SUBSTITUTE(SUBSTITUTE(LOWER(Registro!$F157)," ",""),CHAR(10),"|"),";","|"),"+","|"),"|",REPT(" ",LEN(Registro!$F157))),({1,2,3,4,5,6,7,8,9,10,11,12,13,14,15,16,17,18,19,20,21,22,23,24,25,26,27,28,29,30}-1)*LEN(Registro!$F157)+1,LEN(Registro!$F157))),FIND("x",TRIM(MID(SUBSTITUTE(SUBSTITUTE(SUBSTITUTE(SUBSTITUTE(SUBSTITUTE(LOWER(Registro!$F157)," ",""),CHAR(10),"|"),";","|"),"+","|"),"|",REPT(" ",LEN(Registro!$F157))),({1,2,3,4,5,6,7,8,9,10,11,12,13,14,15,16,17,18,19,20,21,22,23,24,25,26,27,28,29,30}-1)*LEN(Registro!$F157)+1,LEN(Registro!$F157)))&amp;"x")+1,20))),"Revisar formato")))</f>
        <v/>
      </c>
      <c r="H157" s="21" t="str">
        <f>IF(AND(Registro!$E157="",Registro!$F157=""),"",IF(NOT(AND(ISNUMBER(G157),ISNUMBER(Registro!$G157))),"",IF(G157&lt;Registro!$G157,"FALTA BOLETOS",IF(G157=Registro!$G157,"CONFORME","DIFERENCIA"))))</f>
        <v/>
      </c>
      <c r="I157" s="24" t="str">
        <f>IF(Registro!$H157="","",IFERROR(SUMPRODUCT(--("0"&amp;TRIM(RIGHT(SUBSTITUTE(TRIM(MID(SUBSTITUTE(SUBSTITUTE(Registro!$H157,";",CHAR(10)),CHAR(10),REPT(" ",LEN(Registro!$H157))),({1,2,3,4,5,6,7,8,9,10,11,12,13,14,15,16,17,18,19,20,21,22,23,24,25,26,27,28,29,30}-1)*LEN(Registro!$H157)+1,LEN(Registro!$H157)))," ",REPT(" ",50)),50)))),"Revisar formato"))</f>
        <v/>
      </c>
      <c r="J157" s="24" t="str">
        <f>IF(Registro!$I157="","",IFERROR(SUMPRODUCT(--("0"&amp;TRIM(RIGHT(SUBSTITUTE(TRIM(MID(SUBSTITUTE(SUBSTITUTE(Registro!$I157,";",CHAR(10)),CHAR(10),REPT(" ",LEN(Registro!$I157))),({1,2,3,4,5,6,7,8,9,10,11,12,13,14,15,16,17,18,19,20,21,22,23,24,25,26,27,28,29,30}-1)*LEN(Registro!$I157)+1,LEN(Registro!$I157)))," ",REPT(" ",50)),50)))),"Revisar formato"))</f>
        <v/>
      </c>
      <c r="K157" s="24" t="str">
        <f>IF(AND(Registro!$G157="",Registro!$H157=""),"",IF(AND(ISTEXT(I157),I157&lt;&gt;""),"Revisar formato",N(Registro!$G157)-N(I157)))</f>
        <v/>
      </c>
      <c r="L157" s="24" t="str">
        <f t="shared" si="5"/>
        <v/>
      </c>
      <c r="M157" s="36" t="str">
        <f>IF(AND(A157=Consulta!$B$3,C157=Consulta!$H$3),B157*10000+ROW(),"")</f>
        <v/>
      </c>
    </row>
    <row r="158" spans="1:13" x14ac:dyDescent="0.25">
      <c r="A158" s="21" t="str">
        <f>IF(Registro!$A158="","",Registro!$A158)</f>
        <v/>
      </c>
      <c r="B158" s="20" t="str">
        <f>IF(Registro!$B158="","",Registro!$B158)</f>
        <v/>
      </c>
      <c r="C158" s="35" t="str">
        <f t="shared" si="4"/>
        <v/>
      </c>
      <c r="D158" s="23" t="str">
        <f>IF(Registro!$E158="","",IF(ISERROR(FIND("x",LOWER(Registro!$E158))),"-",IFERROR(SUMPRODUCT(--("0"&amp;LEFT(TRIM(MID(SUBSTITUTE(SUBSTITUTE(SUBSTITUTE(SUBSTITUTE(SUBSTITUTE(LOWER(Registro!$E158),"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",LEN(Registro!$E158))),({1,2,3,4,5,6,7,8,9,10,11,12,13,14,15,16,17,18,19,20,21,22,23,24,25,26,27,28,29,30}-1)*LEN(Registro!$E158)+1,LEN(Registro!$E158))),FIND("x",TRIM(MID(SUBSTITUTE(SUBSTITUTE(SUBSTITUTE(SUBSTITUTE(SUBSTITUTE(LOWER(Registro!$E158),"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",LEN(Registro!$E158))),({1,2,3,4,5,6,7,8,9,10,11,12,13,14,15,16,17,18,19,20,21,22,23,24,25,26,27,28,29,30}-1)*LEN(Registro!$E158)+1,LEN(Registro!$E158)))&amp;"x")-1))),"Revisar formato")))</f>
        <v/>
      </c>
      <c r="E158" s="24" t="str">
        <f>IF(Registro!$E158="","",IF(ISERROR(FIND("x",LOWER(Registro!$E158))),"-",IFERROR(SUMPRODUCT(--("0"&amp;LEFT(TRIM(MID(SUBSTITUTE(SUBSTITUTE(SUBSTITUTE(SUBSTITUTE(SUBSTITUTE(LOWER(Registro!$E158),"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",LEN(Registro!$E158))),({1,2,3,4,5,6,7,8,9,10,11,12,13,14,15,16,17,18,19,20,21,22,23,24,25,26,27,28,29,30}-1)*LEN(Registro!$E158)+1,LEN(Registro!$E158))),FIND("x",TRIM(MID(SUBSTITUTE(SUBSTITUTE(SUBSTITUTE(SUBSTITUTE(SUBSTITUTE(LOWER(Registro!$E158),"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",LEN(Registro!$E158))),({1,2,3,4,5,6,7,8,9,10,11,12,13,14,15,16,17,18,19,20,21,22,23,24,25,26,27,28,29,30}-1)*LEN(Registro!$E158)+1,LEN(Registro!$E158)))&amp;"x")-1)),--("0"&amp;MID(TRIM(MID(SUBSTITUTE(SUBSTITUTE(SUBSTITUTE(SUBSTITUTE(SUBSTITUTE(LOWER(Registro!$E158),"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",LEN(Registro!$E158))),({1,2,3,4,5,6,7,8,9,10,11,12,13,14,15,16,17,18,19,20,21,22,23,24,25,26,27,28,29,30}-1)*LEN(Registro!$E158)+1,LEN(Registro!$E158))),FIND("x",TRIM(MID(SUBSTITUTE(SUBSTITUTE(SUBSTITUTE(SUBSTITUTE(SUBSTITUTE(LOWER(Registro!$E158),"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",LEN(Registro!$E158))),({1,2,3,4,5,6,7,8,9,10,11,12,13,14,15,16,17,18,19,20,21,22,23,24,25,26,27,28,29,30}-1)*LEN(Registro!$E158)+1,LEN(Registro!$E158)))&amp;"x")+1,20))),"Revisar formato")))</f>
        <v/>
      </c>
      <c r="F158" s="23" t="str">
        <f>IF(Registro!$F158="","",IF(ISERROR(FIND("x",LOWER(Registro!$F158))),"-",IFERROR(SUMPRODUCT(--("0"&amp;LEFT(TRIM(MID(SUBSTITUTE(SUBSTITUTE(SUBSTITUTE(SUBSTITUTE(SUBSTITUTE(LOWER(Registro!$F158)," ",""),CHAR(10),"|"),";","|"),"+","|"),"|",REPT(" ",LEN(Registro!$F158))),({1,2,3,4,5,6,7,8,9,10,11,12,13,14,15,16,17,18,19,20,21,22,23,24,25,26,27,28,29,30}-1)*LEN(Registro!$F158)+1,LEN(Registro!$F158))),FIND("x",TRIM(MID(SUBSTITUTE(SUBSTITUTE(SUBSTITUTE(SUBSTITUTE(SUBSTITUTE(LOWER(Registro!$F158)," ",""),CHAR(10),"|"),";","|"),"+","|"),"|",REPT(" ",LEN(Registro!$F158))),({1,2,3,4,5,6,7,8,9,10,11,12,13,14,15,16,17,18,19,20,21,22,23,24,25,26,27,28,29,30}-1)*LEN(Registro!$F158)+1,LEN(Registro!$F158)))&amp;"x")-1))),"Revisar formato")))</f>
        <v/>
      </c>
      <c r="G158" s="24" t="str">
        <f>IF(Registro!$F158="","",IF(ISERROR(FIND("x",LOWER(Registro!$F158))),N(Registro!$G158),IFERROR(SUMPRODUCT(--("0"&amp;LEFT(TRIM(MID(SUBSTITUTE(SUBSTITUTE(SUBSTITUTE(SUBSTITUTE(SUBSTITUTE(LOWER(Registro!$F158)," ",""),CHAR(10),"|"),";","|"),"+","|"),"|",REPT(" ",LEN(Registro!$F158))),({1,2,3,4,5,6,7,8,9,10,11,12,13,14,15,16,17,18,19,20,21,22,23,24,25,26,27,28,29,30}-1)*LEN(Registro!$F158)+1,LEN(Registro!$F158))),FIND("x",TRIM(MID(SUBSTITUTE(SUBSTITUTE(SUBSTITUTE(SUBSTITUTE(SUBSTITUTE(LOWER(Registro!$F158)," ",""),CHAR(10),"|"),";","|"),"+","|"),"|",REPT(" ",LEN(Registro!$F158))),({1,2,3,4,5,6,7,8,9,10,11,12,13,14,15,16,17,18,19,20,21,22,23,24,25,26,27,28,29,30}-1)*LEN(Registro!$F158)+1,LEN(Registro!$F158)))&amp;"x")-1)),--("0"&amp;MID(TRIM(MID(SUBSTITUTE(SUBSTITUTE(SUBSTITUTE(SUBSTITUTE(SUBSTITUTE(LOWER(Registro!$F158)," ",""),CHAR(10),"|"),";","|"),"+","|"),"|",REPT(" ",LEN(Registro!$F158))),({1,2,3,4,5,6,7,8,9,10,11,12,13,14,15,16,17,18,19,20,21,22,23,24,25,26,27,28,29,30}-1)*LEN(Registro!$F158)+1,LEN(Registro!$F158))),FIND("x",TRIM(MID(SUBSTITUTE(SUBSTITUTE(SUBSTITUTE(SUBSTITUTE(SUBSTITUTE(LOWER(Registro!$F158)," ",""),CHAR(10),"|"),";","|"),"+","|"),"|",REPT(" ",LEN(Registro!$F158))),({1,2,3,4,5,6,7,8,9,10,11,12,13,14,15,16,17,18,19,20,21,22,23,24,25,26,27,28,29,30}-1)*LEN(Registro!$F158)+1,LEN(Registro!$F158)))&amp;"x")+1,20))),"Revisar formato")))</f>
        <v/>
      </c>
      <c r="H158" s="21" t="str">
        <f>IF(AND(Registro!$E158="",Registro!$F158=""),"",IF(NOT(AND(ISNUMBER(G158),ISNUMBER(Registro!$G158))),"",IF(G158&lt;Registro!$G158,"FALTA BOLETOS",IF(G158=Registro!$G158,"CONFORME","DIFERENCIA"))))</f>
        <v/>
      </c>
      <c r="I158" s="24" t="str">
        <f>IF(Registro!$H158="","",IFERROR(SUMPRODUCT(--("0"&amp;TRIM(RIGHT(SUBSTITUTE(TRIM(MID(SUBSTITUTE(SUBSTITUTE(Registro!$H158,";",CHAR(10)),CHAR(10),REPT(" ",LEN(Registro!$H158))),({1,2,3,4,5,6,7,8,9,10,11,12,13,14,15,16,17,18,19,20,21,22,23,24,25,26,27,28,29,30}-1)*LEN(Registro!$H158)+1,LEN(Registro!$H158)))," ",REPT(" ",50)),50)))),"Revisar formato"))</f>
        <v/>
      </c>
      <c r="J158" s="24" t="str">
        <f>IF(Registro!$I158="","",IFERROR(SUMPRODUCT(--("0"&amp;TRIM(RIGHT(SUBSTITUTE(TRIM(MID(SUBSTITUTE(SUBSTITUTE(Registro!$I158,";",CHAR(10)),CHAR(10),REPT(" ",LEN(Registro!$I158))),({1,2,3,4,5,6,7,8,9,10,11,12,13,14,15,16,17,18,19,20,21,22,23,24,25,26,27,28,29,30}-1)*LEN(Registro!$I158)+1,LEN(Registro!$I158)))," ",REPT(" ",50)),50)))),"Revisar formato"))</f>
        <v/>
      </c>
      <c r="K158" s="24" t="str">
        <f>IF(AND(Registro!$G158="",Registro!$H158=""),"",IF(AND(ISTEXT(I158),I158&lt;&gt;""),"Revisar formato",N(Registro!$G158)-N(I158)))</f>
        <v/>
      </c>
      <c r="L158" s="24" t="str">
        <f t="shared" si="5"/>
        <v/>
      </c>
      <c r="M158" s="36" t="str">
        <f>IF(AND(A158=Consulta!$B$3,C158=Consulta!$H$3),B158*10000+ROW(),"")</f>
        <v/>
      </c>
    </row>
    <row r="159" spans="1:13" x14ac:dyDescent="0.25">
      <c r="A159" s="21" t="str">
        <f>IF(Registro!$A159="","",Registro!$A159)</f>
        <v/>
      </c>
      <c r="B159" s="20" t="str">
        <f>IF(Registro!$B159="","",Registro!$B159)</f>
        <v/>
      </c>
      <c r="C159" s="35" t="str">
        <f t="shared" si="4"/>
        <v/>
      </c>
      <c r="D159" s="23" t="str">
        <f>IF(Registro!$E159="","",IF(ISERROR(FIND("x",LOWER(Registro!$E159))),"-",IFERROR(SUMPRODUCT(--("0"&amp;LEFT(TRIM(MID(SUBSTITUTE(SUBSTITUTE(SUBSTITUTE(SUBSTITUTE(SUBSTITUTE(LOWER(Registro!$E159),"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",LEN(Registro!$E159))),({1,2,3,4,5,6,7,8,9,10,11,12,13,14,15,16,17,18,19,20,21,22,23,24,25,26,27,28,29,30}-1)*LEN(Registro!$E159)+1,LEN(Registro!$E159))),FIND("x",TRIM(MID(SUBSTITUTE(SUBSTITUTE(SUBSTITUTE(SUBSTITUTE(SUBSTITUTE(LOWER(Registro!$E159),"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",LEN(Registro!$E159))),({1,2,3,4,5,6,7,8,9,10,11,12,13,14,15,16,17,18,19,20,21,22,23,24,25,26,27,28,29,30}-1)*LEN(Registro!$E159)+1,LEN(Registro!$E159)))&amp;"x")-1))),"Revisar formato")))</f>
        <v/>
      </c>
      <c r="E159" s="24" t="str">
        <f>IF(Registro!$E159="","",IF(ISERROR(FIND("x",LOWER(Registro!$E159))),"-",IFERROR(SUMPRODUCT(--("0"&amp;LEFT(TRIM(MID(SUBSTITUTE(SUBSTITUTE(SUBSTITUTE(SUBSTITUTE(SUBSTITUTE(LOWER(Registro!$E159),"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",LEN(Registro!$E159))),({1,2,3,4,5,6,7,8,9,10,11,12,13,14,15,16,17,18,19,20,21,22,23,24,25,26,27,28,29,30}-1)*LEN(Registro!$E159)+1,LEN(Registro!$E159))),FIND("x",TRIM(MID(SUBSTITUTE(SUBSTITUTE(SUBSTITUTE(SUBSTITUTE(SUBSTITUTE(LOWER(Registro!$E159),"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",LEN(Registro!$E159))),({1,2,3,4,5,6,7,8,9,10,11,12,13,14,15,16,17,18,19,20,21,22,23,24,25,26,27,28,29,30}-1)*LEN(Registro!$E159)+1,LEN(Registro!$E159)))&amp;"x")-1)),--("0"&amp;MID(TRIM(MID(SUBSTITUTE(SUBSTITUTE(SUBSTITUTE(SUBSTITUTE(SUBSTITUTE(LOWER(Registro!$E159),"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",LEN(Registro!$E159))),({1,2,3,4,5,6,7,8,9,10,11,12,13,14,15,16,17,18,19,20,21,22,23,24,25,26,27,28,29,30}-1)*LEN(Registro!$E159)+1,LEN(Registro!$E159))),FIND("x",TRIM(MID(SUBSTITUTE(SUBSTITUTE(SUBSTITUTE(SUBSTITUTE(SUBSTITUTE(LOWER(Registro!$E159),"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",LEN(Registro!$E159))),({1,2,3,4,5,6,7,8,9,10,11,12,13,14,15,16,17,18,19,20,21,22,23,24,25,26,27,28,29,30}-1)*LEN(Registro!$E159)+1,LEN(Registro!$E159)))&amp;"x")+1,20))),"Revisar formato")))</f>
        <v/>
      </c>
      <c r="F159" s="23" t="str">
        <f>IF(Registro!$F159="","",IF(ISERROR(FIND("x",LOWER(Registro!$F159))),"-",IFERROR(SUMPRODUCT(--("0"&amp;LEFT(TRIM(MID(SUBSTITUTE(SUBSTITUTE(SUBSTITUTE(SUBSTITUTE(SUBSTITUTE(LOWER(Registro!$F159)," ",""),CHAR(10),"|"),";","|"),"+","|"),"|",REPT(" ",LEN(Registro!$F159))),({1,2,3,4,5,6,7,8,9,10,11,12,13,14,15,16,17,18,19,20,21,22,23,24,25,26,27,28,29,30}-1)*LEN(Registro!$F159)+1,LEN(Registro!$F159))),FIND("x",TRIM(MID(SUBSTITUTE(SUBSTITUTE(SUBSTITUTE(SUBSTITUTE(SUBSTITUTE(LOWER(Registro!$F159)," ",""),CHAR(10),"|"),";","|"),"+","|"),"|",REPT(" ",LEN(Registro!$F159))),({1,2,3,4,5,6,7,8,9,10,11,12,13,14,15,16,17,18,19,20,21,22,23,24,25,26,27,28,29,30}-1)*LEN(Registro!$F159)+1,LEN(Registro!$F159)))&amp;"x")-1))),"Revisar formato")))</f>
        <v/>
      </c>
      <c r="G159" s="24" t="str">
        <f>IF(Registro!$F159="","",IF(ISERROR(FIND("x",LOWER(Registro!$F159))),N(Registro!$G159),IFERROR(SUMPRODUCT(--("0"&amp;LEFT(TRIM(MID(SUBSTITUTE(SUBSTITUTE(SUBSTITUTE(SUBSTITUTE(SUBSTITUTE(LOWER(Registro!$F159)," ",""),CHAR(10),"|"),";","|"),"+","|"),"|",REPT(" ",LEN(Registro!$F159))),({1,2,3,4,5,6,7,8,9,10,11,12,13,14,15,16,17,18,19,20,21,22,23,24,25,26,27,28,29,30}-1)*LEN(Registro!$F159)+1,LEN(Registro!$F159))),FIND("x",TRIM(MID(SUBSTITUTE(SUBSTITUTE(SUBSTITUTE(SUBSTITUTE(SUBSTITUTE(LOWER(Registro!$F159)," ",""),CHAR(10),"|"),";","|"),"+","|"),"|",REPT(" ",LEN(Registro!$F159))),({1,2,3,4,5,6,7,8,9,10,11,12,13,14,15,16,17,18,19,20,21,22,23,24,25,26,27,28,29,30}-1)*LEN(Registro!$F159)+1,LEN(Registro!$F159)))&amp;"x")-1)),--("0"&amp;MID(TRIM(MID(SUBSTITUTE(SUBSTITUTE(SUBSTITUTE(SUBSTITUTE(SUBSTITUTE(LOWER(Registro!$F159)," ",""),CHAR(10),"|"),";","|"),"+","|"),"|",REPT(" ",LEN(Registro!$F159))),({1,2,3,4,5,6,7,8,9,10,11,12,13,14,15,16,17,18,19,20,21,22,23,24,25,26,27,28,29,30}-1)*LEN(Registro!$F159)+1,LEN(Registro!$F159))),FIND("x",TRIM(MID(SUBSTITUTE(SUBSTITUTE(SUBSTITUTE(SUBSTITUTE(SUBSTITUTE(LOWER(Registro!$F159)," ",""),CHAR(10),"|"),";","|"),"+","|"),"|",REPT(" ",LEN(Registro!$F159))),({1,2,3,4,5,6,7,8,9,10,11,12,13,14,15,16,17,18,19,20,21,22,23,24,25,26,27,28,29,30}-1)*LEN(Registro!$F159)+1,LEN(Registro!$F159)))&amp;"x")+1,20))),"Revisar formato")))</f>
        <v/>
      </c>
      <c r="H159" s="21" t="str">
        <f>IF(AND(Registro!$E159="",Registro!$F159=""),"",IF(NOT(AND(ISNUMBER(G159),ISNUMBER(Registro!$G159))),"",IF(G159&lt;Registro!$G159,"FALTA BOLETOS",IF(G159=Registro!$G159,"CONFORME","DIFERENCIA"))))</f>
        <v/>
      </c>
      <c r="I159" s="24" t="str">
        <f>IF(Registro!$H159="","",IFERROR(SUMPRODUCT(--("0"&amp;TRIM(RIGHT(SUBSTITUTE(TRIM(MID(SUBSTITUTE(SUBSTITUTE(Registro!$H159,";",CHAR(10)),CHAR(10),REPT(" ",LEN(Registro!$H159))),({1,2,3,4,5,6,7,8,9,10,11,12,13,14,15,16,17,18,19,20,21,22,23,24,25,26,27,28,29,30}-1)*LEN(Registro!$H159)+1,LEN(Registro!$H159)))," ",REPT(" ",50)),50)))),"Revisar formato"))</f>
        <v/>
      </c>
      <c r="J159" s="24" t="str">
        <f>IF(Registro!$I159="","",IFERROR(SUMPRODUCT(--("0"&amp;TRIM(RIGHT(SUBSTITUTE(TRIM(MID(SUBSTITUTE(SUBSTITUTE(Registro!$I159,";",CHAR(10)),CHAR(10),REPT(" ",LEN(Registro!$I159))),({1,2,3,4,5,6,7,8,9,10,11,12,13,14,15,16,17,18,19,20,21,22,23,24,25,26,27,28,29,30}-1)*LEN(Registro!$I159)+1,LEN(Registro!$I159)))," ",REPT(" ",50)),50)))),"Revisar formato"))</f>
        <v/>
      </c>
      <c r="K159" s="24" t="str">
        <f>IF(AND(Registro!$G159="",Registro!$H159=""),"",IF(AND(ISTEXT(I159),I159&lt;&gt;""),"Revisar formato",N(Registro!$G159)-N(I159)))</f>
        <v/>
      </c>
      <c r="L159" s="24" t="str">
        <f t="shared" si="5"/>
        <v/>
      </c>
      <c r="M159" s="36" t="str">
        <f>IF(AND(A159=Consulta!$B$3,C159=Consulta!$H$3),B159*10000+ROW(),"")</f>
        <v/>
      </c>
    </row>
    <row r="160" spans="1:13" x14ac:dyDescent="0.25">
      <c r="A160" s="21" t="str">
        <f>IF(Registro!$A160="","",Registro!$A160)</f>
        <v/>
      </c>
      <c r="B160" s="20" t="str">
        <f>IF(Registro!$B160="","",Registro!$B160)</f>
        <v/>
      </c>
      <c r="C160" s="35" t="str">
        <f t="shared" si="4"/>
        <v/>
      </c>
      <c r="D160" s="23" t="str">
        <f>IF(Registro!$E160="","",IF(ISERROR(FIND("x",LOWER(Registro!$E160))),"-",IFERROR(SUMPRODUCT(--("0"&amp;LEFT(TRIM(MID(SUBSTITUTE(SUBSTITUTE(SUBSTITUTE(SUBSTITUTE(SUBSTITUTE(LOWER(Registro!$E160),"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",LEN(Registro!$E160))),({1,2,3,4,5,6,7,8,9,10,11,12,13,14,15,16,17,18,19,20,21,22,23,24,25,26,27,28,29,30}-1)*LEN(Registro!$E160)+1,LEN(Registro!$E160))),FIND("x",TRIM(MID(SUBSTITUTE(SUBSTITUTE(SUBSTITUTE(SUBSTITUTE(SUBSTITUTE(LOWER(Registro!$E160),"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",LEN(Registro!$E160))),({1,2,3,4,5,6,7,8,9,10,11,12,13,14,15,16,17,18,19,20,21,22,23,24,25,26,27,28,29,30}-1)*LEN(Registro!$E160)+1,LEN(Registro!$E160)))&amp;"x")-1))),"Revisar formato")))</f>
        <v/>
      </c>
      <c r="E160" s="24" t="str">
        <f>IF(Registro!$E160="","",IF(ISERROR(FIND("x",LOWER(Registro!$E160))),"-",IFERROR(SUMPRODUCT(--("0"&amp;LEFT(TRIM(MID(SUBSTITUTE(SUBSTITUTE(SUBSTITUTE(SUBSTITUTE(SUBSTITUTE(LOWER(Registro!$E160),"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",LEN(Registro!$E160))),({1,2,3,4,5,6,7,8,9,10,11,12,13,14,15,16,17,18,19,20,21,22,23,24,25,26,27,28,29,30}-1)*LEN(Registro!$E160)+1,LEN(Registro!$E160))),FIND("x",TRIM(MID(SUBSTITUTE(SUBSTITUTE(SUBSTITUTE(SUBSTITUTE(SUBSTITUTE(LOWER(Registro!$E160),"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",LEN(Registro!$E160))),({1,2,3,4,5,6,7,8,9,10,11,12,13,14,15,16,17,18,19,20,21,22,23,24,25,26,27,28,29,30}-1)*LEN(Registro!$E160)+1,LEN(Registro!$E160)))&amp;"x")-1)),--("0"&amp;MID(TRIM(MID(SUBSTITUTE(SUBSTITUTE(SUBSTITUTE(SUBSTITUTE(SUBSTITUTE(LOWER(Registro!$E160),"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",LEN(Registro!$E160))),({1,2,3,4,5,6,7,8,9,10,11,12,13,14,15,16,17,18,19,20,21,22,23,24,25,26,27,28,29,30}-1)*LEN(Registro!$E160)+1,LEN(Registro!$E160))),FIND("x",TRIM(MID(SUBSTITUTE(SUBSTITUTE(SUBSTITUTE(SUBSTITUTE(SUBSTITUTE(LOWER(Registro!$E160),"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",LEN(Registro!$E160))),({1,2,3,4,5,6,7,8,9,10,11,12,13,14,15,16,17,18,19,20,21,22,23,24,25,26,27,28,29,30}-1)*LEN(Registro!$E160)+1,LEN(Registro!$E160)))&amp;"x")+1,20))),"Revisar formato")))</f>
        <v/>
      </c>
      <c r="F160" s="23" t="str">
        <f>IF(Registro!$F160="","",IF(ISERROR(FIND("x",LOWER(Registro!$F160))),"-",IFERROR(SUMPRODUCT(--("0"&amp;LEFT(TRIM(MID(SUBSTITUTE(SUBSTITUTE(SUBSTITUTE(SUBSTITUTE(SUBSTITUTE(LOWER(Registro!$F160)," ",""),CHAR(10),"|"),";","|"),"+","|"),"|",REPT(" ",LEN(Registro!$F160))),({1,2,3,4,5,6,7,8,9,10,11,12,13,14,15,16,17,18,19,20,21,22,23,24,25,26,27,28,29,30}-1)*LEN(Registro!$F160)+1,LEN(Registro!$F160))),FIND("x",TRIM(MID(SUBSTITUTE(SUBSTITUTE(SUBSTITUTE(SUBSTITUTE(SUBSTITUTE(LOWER(Registro!$F160)," ",""),CHAR(10),"|"),";","|"),"+","|"),"|",REPT(" ",LEN(Registro!$F160))),({1,2,3,4,5,6,7,8,9,10,11,12,13,14,15,16,17,18,19,20,21,22,23,24,25,26,27,28,29,30}-1)*LEN(Registro!$F160)+1,LEN(Registro!$F160)))&amp;"x")-1))),"Revisar formato")))</f>
        <v/>
      </c>
      <c r="G160" s="24" t="str">
        <f>IF(Registro!$F160="","",IF(ISERROR(FIND("x",LOWER(Registro!$F160))),N(Registro!$G160),IFERROR(SUMPRODUCT(--("0"&amp;LEFT(TRIM(MID(SUBSTITUTE(SUBSTITUTE(SUBSTITUTE(SUBSTITUTE(SUBSTITUTE(LOWER(Registro!$F160)," ",""),CHAR(10),"|"),";","|"),"+","|"),"|",REPT(" ",LEN(Registro!$F160))),({1,2,3,4,5,6,7,8,9,10,11,12,13,14,15,16,17,18,19,20,21,22,23,24,25,26,27,28,29,30}-1)*LEN(Registro!$F160)+1,LEN(Registro!$F160))),FIND("x",TRIM(MID(SUBSTITUTE(SUBSTITUTE(SUBSTITUTE(SUBSTITUTE(SUBSTITUTE(LOWER(Registro!$F160)," ",""),CHAR(10),"|"),";","|"),"+","|"),"|",REPT(" ",LEN(Registro!$F160))),({1,2,3,4,5,6,7,8,9,10,11,12,13,14,15,16,17,18,19,20,21,22,23,24,25,26,27,28,29,30}-1)*LEN(Registro!$F160)+1,LEN(Registro!$F160)))&amp;"x")-1)),--("0"&amp;MID(TRIM(MID(SUBSTITUTE(SUBSTITUTE(SUBSTITUTE(SUBSTITUTE(SUBSTITUTE(LOWER(Registro!$F160)," ",""),CHAR(10),"|"),";","|"),"+","|"),"|",REPT(" ",LEN(Registro!$F160))),({1,2,3,4,5,6,7,8,9,10,11,12,13,14,15,16,17,18,19,20,21,22,23,24,25,26,27,28,29,30}-1)*LEN(Registro!$F160)+1,LEN(Registro!$F160))),FIND("x",TRIM(MID(SUBSTITUTE(SUBSTITUTE(SUBSTITUTE(SUBSTITUTE(SUBSTITUTE(LOWER(Registro!$F160)," ",""),CHAR(10),"|"),";","|"),"+","|"),"|",REPT(" ",LEN(Registro!$F160))),({1,2,3,4,5,6,7,8,9,10,11,12,13,14,15,16,17,18,19,20,21,22,23,24,25,26,27,28,29,30}-1)*LEN(Registro!$F160)+1,LEN(Registro!$F160)))&amp;"x")+1,20))),"Revisar formato")))</f>
        <v/>
      </c>
      <c r="H160" s="21" t="str">
        <f>IF(AND(Registro!$E160="",Registro!$F160=""),"",IF(NOT(AND(ISNUMBER(G160),ISNUMBER(Registro!$G160))),"",IF(G160&lt;Registro!$G160,"FALTA BOLETOS",IF(G160=Registro!$G160,"CONFORME","DIFERENCIA"))))</f>
        <v/>
      </c>
      <c r="I160" s="24" t="str">
        <f>IF(Registro!$H160="","",IFERROR(SUMPRODUCT(--("0"&amp;TRIM(RIGHT(SUBSTITUTE(TRIM(MID(SUBSTITUTE(SUBSTITUTE(Registro!$H160,";",CHAR(10)),CHAR(10),REPT(" ",LEN(Registro!$H160))),({1,2,3,4,5,6,7,8,9,10,11,12,13,14,15,16,17,18,19,20,21,22,23,24,25,26,27,28,29,30}-1)*LEN(Registro!$H160)+1,LEN(Registro!$H160)))," ",REPT(" ",50)),50)))),"Revisar formato"))</f>
        <v/>
      </c>
      <c r="J160" s="24" t="str">
        <f>IF(Registro!$I160="","",IFERROR(SUMPRODUCT(--("0"&amp;TRIM(RIGHT(SUBSTITUTE(TRIM(MID(SUBSTITUTE(SUBSTITUTE(Registro!$I160,";",CHAR(10)),CHAR(10),REPT(" ",LEN(Registro!$I160))),({1,2,3,4,5,6,7,8,9,10,11,12,13,14,15,16,17,18,19,20,21,22,23,24,25,26,27,28,29,30}-1)*LEN(Registro!$I160)+1,LEN(Registro!$I160)))," ",REPT(" ",50)),50)))),"Revisar formato"))</f>
        <v/>
      </c>
      <c r="K160" s="24" t="str">
        <f>IF(AND(Registro!$G160="",Registro!$H160=""),"",IF(AND(ISTEXT(I160),I160&lt;&gt;""),"Revisar formato",N(Registro!$G160)-N(I160)))</f>
        <v/>
      </c>
      <c r="L160" s="24" t="str">
        <f t="shared" si="5"/>
        <v/>
      </c>
      <c r="M160" s="36" t="str">
        <f>IF(AND(A160=Consulta!$B$3,C160=Consulta!$H$3),B160*10000+ROW(),"")</f>
        <v/>
      </c>
    </row>
    <row r="161" spans="1:13" x14ac:dyDescent="0.25">
      <c r="A161" s="21" t="str">
        <f>IF(Registro!$A161="","",Registro!$A161)</f>
        <v/>
      </c>
      <c r="B161" s="20" t="str">
        <f>IF(Registro!$B161="","",Registro!$B161)</f>
        <v/>
      </c>
      <c r="C161" s="35" t="str">
        <f t="shared" si="4"/>
        <v/>
      </c>
      <c r="D161" s="23" t="str">
        <f>IF(Registro!$E161="","",IF(ISERROR(FIND("x",LOWER(Registro!$E161))),"-",IFERROR(SUMPRODUCT(--("0"&amp;LEFT(TRIM(MID(SUBSTITUTE(SUBSTITUTE(SUBSTITUTE(SUBSTITUTE(SUBSTITUTE(LOWER(Registro!$E161),"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",LEN(Registro!$E161))),({1,2,3,4,5,6,7,8,9,10,11,12,13,14,15,16,17,18,19,20,21,22,23,24,25,26,27,28,29,30}-1)*LEN(Registro!$E161)+1,LEN(Registro!$E161))),FIND("x",TRIM(MID(SUBSTITUTE(SUBSTITUTE(SUBSTITUTE(SUBSTITUTE(SUBSTITUTE(LOWER(Registro!$E161),"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",LEN(Registro!$E161))),({1,2,3,4,5,6,7,8,9,10,11,12,13,14,15,16,17,18,19,20,21,22,23,24,25,26,27,28,29,30}-1)*LEN(Registro!$E161)+1,LEN(Registro!$E161)))&amp;"x")-1))),"Revisar formato")))</f>
        <v/>
      </c>
      <c r="E161" s="24" t="str">
        <f>IF(Registro!$E161="","",IF(ISERROR(FIND("x",LOWER(Registro!$E161))),"-",IFERROR(SUMPRODUCT(--("0"&amp;LEFT(TRIM(MID(SUBSTITUTE(SUBSTITUTE(SUBSTITUTE(SUBSTITUTE(SUBSTITUTE(LOWER(Registro!$E161),"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",LEN(Registro!$E161))),({1,2,3,4,5,6,7,8,9,10,11,12,13,14,15,16,17,18,19,20,21,22,23,24,25,26,27,28,29,30}-1)*LEN(Registro!$E161)+1,LEN(Registro!$E161))),FIND("x",TRIM(MID(SUBSTITUTE(SUBSTITUTE(SUBSTITUTE(SUBSTITUTE(SUBSTITUTE(LOWER(Registro!$E161),"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",LEN(Registro!$E161))),({1,2,3,4,5,6,7,8,9,10,11,12,13,14,15,16,17,18,19,20,21,22,23,24,25,26,27,28,29,30}-1)*LEN(Registro!$E161)+1,LEN(Registro!$E161)))&amp;"x")-1)),--("0"&amp;MID(TRIM(MID(SUBSTITUTE(SUBSTITUTE(SUBSTITUTE(SUBSTITUTE(SUBSTITUTE(LOWER(Registro!$E161),"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",LEN(Registro!$E161))),({1,2,3,4,5,6,7,8,9,10,11,12,13,14,15,16,17,18,19,20,21,22,23,24,25,26,27,28,29,30}-1)*LEN(Registro!$E161)+1,LEN(Registro!$E161))),FIND("x",TRIM(MID(SUBSTITUTE(SUBSTITUTE(SUBSTITUTE(SUBSTITUTE(SUBSTITUTE(LOWER(Registro!$E161),"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",LEN(Registro!$E161))),({1,2,3,4,5,6,7,8,9,10,11,12,13,14,15,16,17,18,19,20,21,22,23,24,25,26,27,28,29,30}-1)*LEN(Registro!$E161)+1,LEN(Registro!$E161)))&amp;"x")+1,20))),"Revisar formato")))</f>
        <v/>
      </c>
      <c r="F161" s="23" t="str">
        <f>IF(Registro!$F161="","",IF(ISERROR(FIND("x",LOWER(Registro!$F161))),"-",IFERROR(SUMPRODUCT(--("0"&amp;LEFT(TRIM(MID(SUBSTITUTE(SUBSTITUTE(SUBSTITUTE(SUBSTITUTE(SUBSTITUTE(LOWER(Registro!$F161)," ",""),CHAR(10),"|"),";","|"),"+","|"),"|",REPT(" ",LEN(Registro!$F161))),({1,2,3,4,5,6,7,8,9,10,11,12,13,14,15,16,17,18,19,20,21,22,23,24,25,26,27,28,29,30}-1)*LEN(Registro!$F161)+1,LEN(Registro!$F161))),FIND("x",TRIM(MID(SUBSTITUTE(SUBSTITUTE(SUBSTITUTE(SUBSTITUTE(SUBSTITUTE(LOWER(Registro!$F161)," ",""),CHAR(10),"|"),";","|"),"+","|"),"|",REPT(" ",LEN(Registro!$F161))),({1,2,3,4,5,6,7,8,9,10,11,12,13,14,15,16,17,18,19,20,21,22,23,24,25,26,27,28,29,30}-1)*LEN(Registro!$F161)+1,LEN(Registro!$F161)))&amp;"x")-1))),"Revisar formato")))</f>
        <v/>
      </c>
      <c r="G161" s="24" t="str">
        <f>IF(Registro!$F161="","",IF(ISERROR(FIND("x",LOWER(Registro!$F161))),N(Registro!$G161),IFERROR(SUMPRODUCT(--("0"&amp;LEFT(TRIM(MID(SUBSTITUTE(SUBSTITUTE(SUBSTITUTE(SUBSTITUTE(SUBSTITUTE(LOWER(Registro!$F161)," ",""),CHAR(10),"|"),";","|"),"+","|"),"|",REPT(" ",LEN(Registro!$F161))),({1,2,3,4,5,6,7,8,9,10,11,12,13,14,15,16,17,18,19,20,21,22,23,24,25,26,27,28,29,30}-1)*LEN(Registro!$F161)+1,LEN(Registro!$F161))),FIND("x",TRIM(MID(SUBSTITUTE(SUBSTITUTE(SUBSTITUTE(SUBSTITUTE(SUBSTITUTE(LOWER(Registro!$F161)," ",""),CHAR(10),"|"),";","|"),"+","|"),"|",REPT(" ",LEN(Registro!$F161))),({1,2,3,4,5,6,7,8,9,10,11,12,13,14,15,16,17,18,19,20,21,22,23,24,25,26,27,28,29,30}-1)*LEN(Registro!$F161)+1,LEN(Registro!$F161)))&amp;"x")-1)),--("0"&amp;MID(TRIM(MID(SUBSTITUTE(SUBSTITUTE(SUBSTITUTE(SUBSTITUTE(SUBSTITUTE(LOWER(Registro!$F161)," ",""),CHAR(10),"|"),";","|"),"+","|"),"|",REPT(" ",LEN(Registro!$F161))),({1,2,3,4,5,6,7,8,9,10,11,12,13,14,15,16,17,18,19,20,21,22,23,24,25,26,27,28,29,30}-1)*LEN(Registro!$F161)+1,LEN(Registro!$F161))),FIND("x",TRIM(MID(SUBSTITUTE(SUBSTITUTE(SUBSTITUTE(SUBSTITUTE(SUBSTITUTE(LOWER(Registro!$F161)," ",""),CHAR(10),"|"),";","|"),"+","|"),"|",REPT(" ",LEN(Registro!$F161))),({1,2,3,4,5,6,7,8,9,10,11,12,13,14,15,16,17,18,19,20,21,22,23,24,25,26,27,28,29,30}-1)*LEN(Registro!$F161)+1,LEN(Registro!$F161)))&amp;"x")+1,20))),"Revisar formato")))</f>
        <v/>
      </c>
      <c r="H161" s="21" t="str">
        <f>IF(AND(Registro!$E161="",Registro!$F161=""),"",IF(NOT(AND(ISNUMBER(G161),ISNUMBER(Registro!$G161))),"",IF(G161&lt;Registro!$G161,"FALTA BOLETOS",IF(G161=Registro!$G161,"CONFORME","DIFERENCIA"))))</f>
        <v/>
      </c>
      <c r="I161" s="24" t="str">
        <f>IF(Registro!$H161="","",IFERROR(SUMPRODUCT(--("0"&amp;TRIM(RIGHT(SUBSTITUTE(TRIM(MID(SUBSTITUTE(SUBSTITUTE(Registro!$H161,";",CHAR(10)),CHAR(10),REPT(" ",LEN(Registro!$H161))),({1,2,3,4,5,6,7,8,9,10,11,12,13,14,15,16,17,18,19,20,21,22,23,24,25,26,27,28,29,30}-1)*LEN(Registro!$H161)+1,LEN(Registro!$H161)))," ",REPT(" ",50)),50)))),"Revisar formato"))</f>
        <v/>
      </c>
      <c r="J161" s="24" t="str">
        <f>IF(Registro!$I161="","",IFERROR(SUMPRODUCT(--("0"&amp;TRIM(RIGHT(SUBSTITUTE(TRIM(MID(SUBSTITUTE(SUBSTITUTE(Registro!$I161,";",CHAR(10)),CHAR(10),REPT(" ",LEN(Registro!$I161))),({1,2,3,4,5,6,7,8,9,10,11,12,13,14,15,16,17,18,19,20,21,22,23,24,25,26,27,28,29,30}-1)*LEN(Registro!$I161)+1,LEN(Registro!$I161)))," ",REPT(" ",50)),50)))),"Revisar formato"))</f>
        <v/>
      </c>
      <c r="K161" s="24" t="str">
        <f>IF(AND(Registro!$G161="",Registro!$H161=""),"",IF(AND(ISTEXT(I161),I161&lt;&gt;""),"Revisar formato",N(Registro!$G161)-N(I161)))</f>
        <v/>
      </c>
      <c r="L161" s="24" t="str">
        <f t="shared" si="5"/>
        <v/>
      </c>
      <c r="M161" s="36" t="str">
        <f>IF(AND(A161=Consulta!$B$3,C161=Consulta!$H$3),B161*10000+ROW(),"")</f>
        <v/>
      </c>
    </row>
    <row r="162" spans="1:13" x14ac:dyDescent="0.25">
      <c r="A162" s="21" t="str">
        <f>IF(Registro!$A162="","",Registro!$A162)</f>
        <v/>
      </c>
      <c r="B162" s="20" t="str">
        <f>IF(Registro!$B162="","",Registro!$B162)</f>
        <v/>
      </c>
      <c r="C162" s="35" t="str">
        <f t="shared" si="4"/>
        <v/>
      </c>
      <c r="D162" s="23" t="str">
        <f>IF(Registro!$E162="","",IF(ISERROR(FIND("x",LOWER(Registro!$E162))),"-",IFERROR(SUMPRODUCT(--("0"&amp;LEFT(TRIM(MID(SUBSTITUTE(SUBSTITUTE(SUBSTITUTE(SUBSTITUTE(SUBSTITUTE(LOWER(Registro!$E162),"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",LEN(Registro!$E162))),({1,2,3,4,5,6,7,8,9,10,11,12,13,14,15,16,17,18,19,20,21,22,23,24,25,26,27,28,29,30}-1)*LEN(Registro!$E162)+1,LEN(Registro!$E162))),FIND("x",TRIM(MID(SUBSTITUTE(SUBSTITUTE(SUBSTITUTE(SUBSTITUTE(SUBSTITUTE(LOWER(Registro!$E162),"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",LEN(Registro!$E162))),({1,2,3,4,5,6,7,8,9,10,11,12,13,14,15,16,17,18,19,20,21,22,23,24,25,26,27,28,29,30}-1)*LEN(Registro!$E162)+1,LEN(Registro!$E162)))&amp;"x")-1))),"Revisar formato")))</f>
        <v/>
      </c>
      <c r="E162" s="24" t="str">
        <f>IF(Registro!$E162="","",IF(ISERROR(FIND("x",LOWER(Registro!$E162))),"-",IFERROR(SUMPRODUCT(--("0"&amp;LEFT(TRIM(MID(SUBSTITUTE(SUBSTITUTE(SUBSTITUTE(SUBSTITUTE(SUBSTITUTE(LOWER(Registro!$E162),"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",LEN(Registro!$E162))),({1,2,3,4,5,6,7,8,9,10,11,12,13,14,15,16,17,18,19,20,21,22,23,24,25,26,27,28,29,30}-1)*LEN(Registro!$E162)+1,LEN(Registro!$E162))),FIND("x",TRIM(MID(SUBSTITUTE(SUBSTITUTE(SUBSTITUTE(SUBSTITUTE(SUBSTITUTE(LOWER(Registro!$E162),"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",LEN(Registro!$E162))),({1,2,3,4,5,6,7,8,9,10,11,12,13,14,15,16,17,18,19,20,21,22,23,24,25,26,27,28,29,30}-1)*LEN(Registro!$E162)+1,LEN(Registro!$E162)))&amp;"x")-1)),--("0"&amp;MID(TRIM(MID(SUBSTITUTE(SUBSTITUTE(SUBSTITUTE(SUBSTITUTE(SUBSTITUTE(LOWER(Registro!$E162),"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",LEN(Registro!$E162))),({1,2,3,4,5,6,7,8,9,10,11,12,13,14,15,16,17,18,19,20,21,22,23,24,25,26,27,28,29,30}-1)*LEN(Registro!$E162)+1,LEN(Registro!$E162))),FIND("x",TRIM(MID(SUBSTITUTE(SUBSTITUTE(SUBSTITUTE(SUBSTITUTE(SUBSTITUTE(LOWER(Registro!$E162),"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",LEN(Registro!$E162))),({1,2,3,4,5,6,7,8,9,10,11,12,13,14,15,16,17,18,19,20,21,22,23,24,25,26,27,28,29,30}-1)*LEN(Registro!$E162)+1,LEN(Registro!$E162)))&amp;"x")+1,20))),"Revisar formato")))</f>
        <v/>
      </c>
      <c r="F162" s="23" t="str">
        <f>IF(Registro!$F162="","",IF(ISERROR(FIND("x",LOWER(Registro!$F162))),"-",IFERROR(SUMPRODUCT(--("0"&amp;LEFT(TRIM(MID(SUBSTITUTE(SUBSTITUTE(SUBSTITUTE(SUBSTITUTE(SUBSTITUTE(LOWER(Registro!$F162)," ",""),CHAR(10),"|"),";","|"),"+","|"),"|",REPT(" ",LEN(Registro!$F162))),({1,2,3,4,5,6,7,8,9,10,11,12,13,14,15,16,17,18,19,20,21,22,23,24,25,26,27,28,29,30}-1)*LEN(Registro!$F162)+1,LEN(Registro!$F162))),FIND("x",TRIM(MID(SUBSTITUTE(SUBSTITUTE(SUBSTITUTE(SUBSTITUTE(SUBSTITUTE(LOWER(Registro!$F162)," ",""),CHAR(10),"|"),";","|"),"+","|"),"|",REPT(" ",LEN(Registro!$F162))),({1,2,3,4,5,6,7,8,9,10,11,12,13,14,15,16,17,18,19,20,21,22,23,24,25,26,27,28,29,30}-1)*LEN(Registro!$F162)+1,LEN(Registro!$F162)))&amp;"x")-1))),"Revisar formato")))</f>
        <v/>
      </c>
      <c r="G162" s="24" t="str">
        <f>IF(Registro!$F162="","",IF(ISERROR(FIND("x",LOWER(Registro!$F162))),N(Registro!$G162),IFERROR(SUMPRODUCT(--("0"&amp;LEFT(TRIM(MID(SUBSTITUTE(SUBSTITUTE(SUBSTITUTE(SUBSTITUTE(SUBSTITUTE(LOWER(Registro!$F162)," ",""),CHAR(10),"|"),";","|"),"+","|"),"|",REPT(" ",LEN(Registro!$F162))),({1,2,3,4,5,6,7,8,9,10,11,12,13,14,15,16,17,18,19,20,21,22,23,24,25,26,27,28,29,30}-1)*LEN(Registro!$F162)+1,LEN(Registro!$F162))),FIND("x",TRIM(MID(SUBSTITUTE(SUBSTITUTE(SUBSTITUTE(SUBSTITUTE(SUBSTITUTE(LOWER(Registro!$F162)," ",""),CHAR(10),"|"),";","|"),"+","|"),"|",REPT(" ",LEN(Registro!$F162))),({1,2,3,4,5,6,7,8,9,10,11,12,13,14,15,16,17,18,19,20,21,22,23,24,25,26,27,28,29,30}-1)*LEN(Registro!$F162)+1,LEN(Registro!$F162)))&amp;"x")-1)),--("0"&amp;MID(TRIM(MID(SUBSTITUTE(SUBSTITUTE(SUBSTITUTE(SUBSTITUTE(SUBSTITUTE(LOWER(Registro!$F162)," ",""),CHAR(10),"|"),";","|"),"+","|"),"|",REPT(" ",LEN(Registro!$F162))),({1,2,3,4,5,6,7,8,9,10,11,12,13,14,15,16,17,18,19,20,21,22,23,24,25,26,27,28,29,30}-1)*LEN(Registro!$F162)+1,LEN(Registro!$F162))),FIND("x",TRIM(MID(SUBSTITUTE(SUBSTITUTE(SUBSTITUTE(SUBSTITUTE(SUBSTITUTE(LOWER(Registro!$F162)," ",""),CHAR(10),"|"),";","|"),"+","|"),"|",REPT(" ",LEN(Registro!$F162))),({1,2,3,4,5,6,7,8,9,10,11,12,13,14,15,16,17,18,19,20,21,22,23,24,25,26,27,28,29,30}-1)*LEN(Registro!$F162)+1,LEN(Registro!$F162)))&amp;"x")+1,20))),"Revisar formato")))</f>
        <v/>
      </c>
      <c r="H162" s="21" t="str">
        <f>IF(AND(Registro!$E162="",Registro!$F162=""),"",IF(NOT(AND(ISNUMBER(G162),ISNUMBER(Registro!$G162))),"",IF(G162&lt;Registro!$G162,"FALTA BOLETOS",IF(G162=Registro!$G162,"CONFORME","DIFERENCIA"))))</f>
        <v/>
      </c>
      <c r="I162" s="24" t="str">
        <f>IF(Registro!$H162="","",IFERROR(SUMPRODUCT(--("0"&amp;TRIM(RIGHT(SUBSTITUTE(TRIM(MID(SUBSTITUTE(SUBSTITUTE(Registro!$H162,";",CHAR(10)),CHAR(10),REPT(" ",LEN(Registro!$H162))),({1,2,3,4,5,6,7,8,9,10,11,12,13,14,15,16,17,18,19,20,21,22,23,24,25,26,27,28,29,30}-1)*LEN(Registro!$H162)+1,LEN(Registro!$H162)))," ",REPT(" ",50)),50)))),"Revisar formato"))</f>
        <v/>
      </c>
      <c r="J162" s="24" t="str">
        <f>IF(Registro!$I162="","",IFERROR(SUMPRODUCT(--("0"&amp;TRIM(RIGHT(SUBSTITUTE(TRIM(MID(SUBSTITUTE(SUBSTITUTE(Registro!$I162,";",CHAR(10)),CHAR(10),REPT(" ",LEN(Registro!$I162))),({1,2,3,4,5,6,7,8,9,10,11,12,13,14,15,16,17,18,19,20,21,22,23,24,25,26,27,28,29,30}-1)*LEN(Registro!$I162)+1,LEN(Registro!$I162)))," ",REPT(" ",50)),50)))),"Revisar formato"))</f>
        <v/>
      </c>
      <c r="K162" s="24" t="str">
        <f>IF(AND(Registro!$G162="",Registro!$H162=""),"",IF(AND(ISTEXT(I162),I162&lt;&gt;""),"Revisar formato",N(Registro!$G162)-N(I162)))</f>
        <v/>
      </c>
      <c r="L162" s="24" t="str">
        <f t="shared" si="5"/>
        <v/>
      </c>
      <c r="M162" s="36" t="str">
        <f>IF(AND(A162=Consulta!$B$3,C162=Consulta!$H$3),B162*10000+ROW(),"")</f>
        <v/>
      </c>
    </row>
    <row r="163" spans="1:13" x14ac:dyDescent="0.25">
      <c r="A163" s="21" t="str">
        <f>IF(Registro!$A163="","",Registro!$A163)</f>
        <v/>
      </c>
      <c r="B163" s="20" t="str">
        <f>IF(Registro!$B163="","",Registro!$B163)</f>
        <v/>
      </c>
      <c r="C163" s="35" t="str">
        <f t="shared" si="4"/>
        <v/>
      </c>
      <c r="D163" s="23" t="str">
        <f>IF(Registro!$E163="","",IF(ISERROR(FIND("x",LOWER(Registro!$E163))),"-",IFERROR(SUMPRODUCT(--("0"&amp;LEFT(TRIM(MID(SUBSTITUTE(SUBSTITUTE(SUBSTITUTE(SUBSTITUTE(SUBSTITUTE(LOWER(Registro!$E163),"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",LEN(Registro!$E163))),({1,2,3,4,5,6,7,8,9,10,11,12,13,14,15,16,17,18,19,20,21,22,23,24,25,26,27,28,29,30}-1)*LEN(Registro!$E163)+1,LEN(Registro!$E163))),FIND("x",TRIM(MID(SUBSTITUTE(SUBSTITUTE(SUBSTITUTE(SUBSTITUTE(SUBSTITUTE(LOWER(Registro!$E163),"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",LEN(Registro!$E163))),({1,2,3,4,5,6,7,8,9,10,11,12,13,14,15,16,17,18,19,20,21,22,23,24,25,26,27,28,29,30}-1)*LEN(Registro!$E163)+1,LEN(Registro!$E163)))&amp;"x")-1))),"Revisar formato")))</f>
        <v/>
      </c>
      <c r="E163" s="24" t="str">
        <f>IF(Registro!$E163="","",IF(ISERROR(FIND("x",LOWER(Registro!$E163))),"-",IFERROR(SUMPRODUCT(--("0"&amp;LEFT(TRIM(MID(SUBSTITUTE(SUBSTITUTE(SUBSTITUTE(SUBSTITUTE(SUBSTITUTE(LOWER(Registro!$E163),"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",LEN(Registro!$E163))),({1,2,3,4,5,6,7,8,9,10,11,12,13,14,15,16,17,18,19,20,21,22,23,24,25,26,27,28,29,30}-1)*LEN(Registro!$E163)+1,LEN(Registro!$E163))),FIND("x",TRIM(MID(SUBSTITUTE(SUBSTITUTE(SUBSTITUTE(SUBSTITUTE(SUBSTITUTE(LOWER(Registro!$E163),"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",LEN(Registro!$E163))),({1,2,3,4,5,6,7,8,9,10,11,12,13,14,15,16,17,18,19,20,21,22,23,24,25,26,27,28,29,30}-1)*LEN(Registro!$E163)+1,LEN(Registro!$E163)))&amp;"x")-1)),--("0"&amp;MID(TRIM(MID(SUBSTITUTE(SUBSTITUTE(SUBSTITUTE(SUBSTITUTE(SUBSTITUTE(LOWER(Registro!$E163),"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",LEN(Registro!$E163))),({1,2,3,4,5,6,7,8,9,10,11,12,13,14,15,16,17,18,19,20,21,22,23,24,25,26,27,28,29,30}-1)*LEN(Registro!$E163)+1,LEN(Registro!$E163))),FIND("x",TRIM(MID(SUBSTITUTE(SUBSTITUTE(SUBSTITUTE(SUBSTITUTE(SUBSTITUTE(LOWER(Registro!$E163),"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",LEN(Registro!$E163))),({1,2,3,4,5,6,7,8,9,10,11,12,13,14,15,16,17,18,19,20,21,22,23,24,25,26,27,28,29,30}-1)*LEN(Registro!$E163)+1,LEN(Registro!$E163)))&amp;"x")+1,20))),"Revisar formato")))</f>
        <v/>
      </c>
      <c r="F163" s="23" t="str">
        <f>IF(Registro!$F163="","",IF(ISERROR(FIND("x",LOWER(Registro!$F163))),"-",IFERROR(SUMPRODUCT(--("0"&amp;LEFT(TRIM(MID(SUBSTITUTE(SUBSTITUTE(SUBSTITUTE(SUBSTITUTE(SUBSTITUTE(LOWER(Registro!$F163)," ",""),CHAR(10),"|"),";","|"),"+","|"),"|",REPT(" ",LEN(Registro!$F163))),({1,2,3,4,5,6,7,8,9,10,11,12,13,14,15,16,17,18,19,20,21,22,23,24,25,26,27,28,29,30}-1)*LEN(Registro!$F163)+1,LEN(Registro!$F163))),FIND("x",TRIM(MID(SUBSTITUTE(SUBSTITUTE(SUBSTITUTE(SUBSTITUTE(SUBSTITUTE(LOWER(Registro!$F163)," ",""),CHAR(10),"|"),";","|"),"+","|"),"|",REPT(" ",LEN(Registro!$F163))),({1,2,3,4,5,6,7,8,9,10,11,12,13,14,15,16,17,18,19,20,21,22,23,24,25,26,27,28,29,30}-1)*LEN(Registro!$F163)+1,LEN(Registro!$F163)))&amp;"x")-1))),"Revisar formato")))</f>
        <v/>
      </c>
      <c r="G163" s="24" t="str">
        <f>IF(Registro!$F163="","",IF(ISERROR(FIND("x",LOWER(Registro!$F163))),N(Registro!$G163),IFERROR(SUMPRODUCT(--("0"&amp;LEFT(TRIM(MID(SUBSTITUTE(SUBSTITUTE(SUBSTITUTE(SUBSTITUTE(SUBSTITUTE(LOWER(Registro!$F163)," ",""),CHAR(10),"|"),";","|"),"+","|"),"|",REPT(" ",LEN(Registro!$F163))),({1,2,3,4,5,6,7,8,9,10,11,12,13,14,15,16,17,18,19,20,21,22,23,24,25,26,27,28,29,30}-1)*LEN(Registro!$F163)+1,LEN(Registro!$F163))),FIND("x",TRIM(MID(SUBSTITUTE(SUBSTITUTE(SUBSTITUTE(SUBSTITUTE(SUBSTITUTE(LOWER(Registro!$F163)," ",""),CHAR(10),"|"),";","|"),"+","|"),"|",REPT(" ",LEN(Registro!$F163))),({1,2,3,4,5,6,7,8,9,10,11,12,13,14,15,16,17,18,19,20,21,22,23,24,25,26,27,28,29,30}-1)*LEN(Registro!$F163)+1,LEN(Registro!$F163)))&amp;"x")-1)),--("0"&amp;MID(TRIM(MID(SUBSTITUTE(SUBSTITUTE(SUBSTITUTE(SUBSTITUTE(SUBSTITUTE(LOWER(Registro!$F163)," ",""),CHAR(10),"|"),";","|"),"+","|"),"|",REPT(" ",LEN(Registro!$F163))),({1,2,3,4,5,6,7,8,9,10,11,12,13,14,15,16,17,18,19,20,21,22,23,24,25,26,27,28,29,30}-1)*LEN(Registro!$F163)+1,LEN(Registro!$F163))),FIND("x",TRIM(MID(SUBSTITUTE(SUBSTITUTE(SUBSTITUTE(SUBSTITUTE(SUBSTITUTE(LOWER(Registro!$F163)," ",""),CHAR(10),"|"),";","|"),"+","|"),"|",REPT(" ",LEN(Registro!$F163))),({1,2,3,4,5,6,7,8,9,10,11,12,13,14,15,16,17,18,19,20,21,22,23,24,25,26,27,28,29,30}-1)*LEN(Registro!$F163)+1,LEN(Registro!$F163)))&amp;"x")+1,20))),"Revisar formato")))</f>
        <v/>
      </c>
      <c r="H163" s="21" t="str">
        <f>IF(AND(Registro!$E163="",Registro!$F163=""),"",IF(NOT(AND(ISNUMBER(G163),ISNUMBER(Registro!$G163))),"",IF(G163&lt;Registro!$G163,"FALTA BOLETOS",IF(G163=Registro!$G163,"CONFORME","DIFERENCIA"))))</f>
        <v/>
      </c>
      <c r="I163" s="24" t="str">
        <f>IF(Registro!$H163="","",IFERROR(SUMPRODUCT(--("0"&amp;TRIM(RIGHT(SUBSTITUTE(TRIM(MID(SUBSTITUTE(SUBSTITUTE(Registro!$H163,";",CHAR(10)),CHAR(10),REPT(" ",LEN(Registro!$H163))),({1,2,3,4,5,6,7,8,9,10,11,12,13,14,15,16,17,18,19,20,21,22,23,24,25,26,27,28,29,30}-1)*LEN(Registro!$H163)+1,LEN(Registro!$H163)))," ",REPT(" ",50)),50)))),"Revisar formato"))</f>
        <v/>
      </c>
      <c r="J163" s="24" t="str">
        <f>IF(Registro!$I163="","",IFERROR(SUMPRODUCT(--("0"&amp;TRIM(RIGHT(SUBSTITUTE(TRIM(MID(SUBSTITUTE(SUBSTITUTE(Registro!$I163,";",CHAR(10)),CHAR(10),REPT(" ",LEN(Registro!$I163))),({1,2,3,4,5,6,7,8,9,10,11,12,13,14,15,16,17,18,19,20,21,22,23,24,25,26,27,28,29,30}-1)*LEN(Registro!$I163)+1,LEN(Registro!$I163)))," ",REPT(" ",50)),50)))),"Revisar formato"))</f>
        <v/>
      </c>
      <c r="K163" s="24" t="str">
        <f>IF(AND(Registro!$G163="",Registro!$H163=""),"",IF(AND(ISTEXT(I163),I163&lt;&gt;""),"Revisar formato",N(Registro!$G163)-N(I163)))</f>
        <v/>
      </c>
      <c r="L163" s="24" t="str">
        <f t="shared" si="5"/>
        <v/>
      </c>
      <c r="M163" s="36" t="str">
        <f>IF(AND(A163=Consulta!$B$3,C163=Consulta!$H$3),B163*10000+ROW(),"")</f>
        <v/>
      </c>
    </row>
    <row r="164" spans="1:13" x14ac:dyDescent="0.25">
      <c r="A164" s="21" t="str">
        <f>IF(Registro!$A164="","",Registro!$A164)</f>
        <v/>
      </c>
      <c r="B164" s="20" t="str">
        <f>IF(Registro!$B164="","",Registro!$B164)</f>
        <v/>
      </c>
      <c r="C164" s="35" t="str">
        <f t="shared" si="4"/>
        <v/>
      </c>
      <c r="D164" s="23" t="str">
        <f>IF(Registro!$E164="","",IF(ISERROR(FIND("x",LOWER(Registro!$E164))),"-",IFERROR(SUMPRODUCT(--("0"&amp;LEFT(TRIM(MID(SUBSTITUTE(SUBSTITUTE(SUBSTITUTE(SUBSTITUTE(SUBSTITUTE(LOWER(Registro!$E164),"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",LEN(Registro!$E164))),({1,2,3,4,5,6,7,8,9,10,11,12,13,14,15,16,17,18,19,20,21,22,23,24,25,26,27,28,29,30}-1)*LEN(Registro!$E164)+1,LEN(Registro!$E164))),FIND("x",TRIM(MID(SUBSTITUTE(SUBSTITUTE(SUBSTITUTE(SUBSTITUTE(SUBSTITUTE(LOWER(Registro!$E164),"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",LEN(Registro!$E164))),({1,2,3,4,5,6,7,8,9,10,11,12,13,14,15,16,17,18,19,20,21,22,23,24,25,26,27,28,29,30}-1)*LEN(Registro!$E164)+1,LEN(Registro!$E164)))&amp;"x")-1))),"Revisar formato")))</f>
        <v/>
      </c>
      <c r="E164" s="24" t="str">
        <f>IF(Registro!$E164="","",IF(ISERROR(FIND("x",LOWER(Registro!$E164))),"-",IFERROR(SUMPRODUCT(--("0"&amp;LEFT(TRIM(MID(SUBSTITUTE(SUBSTITUTE(SUBSTITUTE(SUBSTITUTE(SUBSTITUTE(LOWER(Registro!$E164),"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",LEN(Registro!$E164))),({1,2,3,4,5,6,7,8,9,10,11,12,13,14,15,16,17,18,19,20,21,22,23,24,25,26,27,28,29,30}-1)*LEN(Registro!$E164)+1,LEN(Registro!$E164))),FIND("x",TRIM(MID(SUBSTITUTE(SUBSTITUTE(SUBSTITUTE(SUBSTITUTE(SUBSTITUTE(LOWER(Registro!$E164),"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",LEN(Registro!$E164))),({1,2,3,4,5,6,7,8,9,10,11,12,13,14,15,16,17,18,19,20,21,22,23,24,25,26,27,28,29,30}-1)*LEN(Registro!$E164)+1,LEN(Registro!$E164)))&amp;"x")-1)),--("0"&amp;MID(TRIM(MID(SUBSTITUTE(SUBSTITUTE(SUBSTITUTE(SUBSTITUTE(SUBSTITUTE(LOWER(Registro!$E164),"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",LEN(Registro!$E164))),({1,2,3,4,5,6,7,8,9,10,11,12,13,14,15,16,17,18,19,20,21,22,23,24,25,26,27,28,29,30}-1)*LEN(Registro!$E164)+1,LEN(Registro!$E164))),FIND("x",TRIM(MID(SUBSTITUTE(SUBSTITUTE(SUBSTITUTE(SUBSTITUTE(SUBSTITUTE(LOWER(Registro!$E164),"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",LEN(Registro!$E164))),({1,2,3,4,5,6,7,8,9,10,11,12,13,14,15,16,17,18,19,20,21,22,23,24,25,26,27,28,29,30}-1)*LEN(Registro!$E164)+1,LEN(Registro!$E164)))&amp;"x")+1,20))),"Revisar formato")))</f>
        <v/>
      </c>
      <c r="F164" s="23" t="str">
        <f>IF(Registro!$F164="","",IF(ISERROR(FIND("x",LOWER(Registro!$F164))),"-",IFERROR(SUMPRODUCT(--("0"&amp;LEFT(TRIM(MID(SUBSTITUTE(SUBSTITUTE(SUBSTITUTE(SUBSTITUTE(SUBSTITUTE(LOWER(Registro!$F164)," ",""),CHAR(10),"|"),";","|"),"+","|"),"|",REPT(" ",LEN(Registro!$F164))),({1,2,3,4,5,6,7,8,9,10,11,12,13,14,15,16,17,18,19,20,21,22,23,24,25,26,27,28,29,30}-1)*LEN(Registro!$F164)+1,LEN(Registro!$F164))),FIND("x",TRIM(MID(SUBSTITUTE(SUBSTITUTE(SUBSTITUTE(SUBSTITUTE(SUBSTITUTE(LOWER(Registro!$F164)," ",""),CHAR(10),"|"),";","|"),"+","|"),"|",REPT(" ",LEN(Registro!$F164))),({1,2,3,4,5,6,7,8,9,10,11,12,13,14,15,16,17,18,19,20,21,22,23,24,25,26,27,28,29,30}-1)*LEN(Registro!$F164)+1,LEN(Registro!$F164)))&amp;"x")-1))),"Revisar formato")))</f>
        <v/>
      </c>
      <c r="G164" s="24" t="str">
        <f>IF(Registro!$F164="","",IF(ISERROR(FIND("x",LOWER(Registro!$F164))),N(Registro!$G164),IFERROR(SUMPRODUCT(--("0"&amp;LEFT(TRIM(MID(SUBSTITUTE(SUBSTITUTE(SUBSTITUTE(SUBSTITUTE(SUBSTITUTE(LOWER(Registro!$F164)," ",""),CHAR(10),"|"),";","|"),"+","|"),"|",REPT(" ",LEN(Registro!$F164))),({1,2,3,4,5,6,7,8,9,10,11,12,13,14,15,16,17,18,19,20,21,22,23,24,25,26,27,28,29,30}-1)*LEN(Registro!$F164)+1,LEN(Registro!$F164))),FIND("x",TRIM(MID(SUBSTITUTE(SUBSTITUTE(SUBSTITUTE(SUBSTITUTE(SUBSTITUTE(LOWER(Registro!$F164)," ",""),CHAR(10),"|"),";","|"),"+","|"),"|",REPT(" ",LEN(Registro!$F164))),({1,2,3,4,5,6,7,8,9,10,11,12,13,14,15,16,17,18,19,20,21,22,23,24,25,26,27,28,29,30}-1)*LEN(Registro!$F164)+1,LEN(Registro!$F164)))&amp;"x")-1)),--("0"&amp;MID(TRIM(MID(SUBSTITUTE(SUBSTITUTE(SUBSTITUTE(SUBSTITUTE(SUBSTITUTE(LOWER(Registro!$F164)," ",""),CHAR(10),"|"),";","|"),"+","|"),"|",REPT(" ",LEN(Registro!$F164))),({1,2,3,4,5,6,7,8,9,10,11,12,13,14,15,16,17,18,19,20,21,22,23,24,25,26,27,28,29,30}-1)*LEN(Registro!$F164)+1,LEN(Registro!$F164))),FIND("x",TRIM(MID(SUBSTITUTE(SUBSTITUTE(SUBSTITUTE(SUBSTITUTE(SUBSTITUTE(LOWER(Registro!$F164)," ",""),CHAR(10),"|"),";","|"),"+","|"),"|",REPT(" ",LEN(Registro!$F164))),({1,2,3,4,5,6,7,8,9,10,11,12,13,14,15,16,17,18,19,20,21,22,23,24,25,26,27,28,29,30}-1)*LEN(Registro!$F164)+1,LEN(Registro!$F164)))&amp;"x")+1,20))),"Revisar formato")))</f>
        <v/>
      </c>
      <c r="H164" s="21" t="str">
        <f>IF(AND(Registro!$E164="",Registro!$F164=""),"",IF(NOT(AND(ISNUMBER(G164),ISNUMBER(Registro!$G164))),"",IF(G164&lt;Registro!$G164,"FALTA BOLETOS",IF(G164=Registro!$G164,"CONFORME","DIFERENCIA"))))</f>
        <v/>
      </c>
      <c r="I164" s="24" t="str">
        <f>IF(Registro!$H164="","",IFERROR(SUMPRODUCT(--("0"&amp;TRIM(RIGHT(SUBSTITUTE(TRIM(MID(SUBSTITUTE(SUBSTITUTE(Registro!$H164,";",CHAR(10)),CHAR(10),REPT(" ",LEN(Registro!$H164))),({1,2,3,4,5,6,7,8,9,10,11,12,13,14,15,16,17,18,19,20,21,22,23,24,25,26,27,28,29,30}-1)*LEN(Registro!$H164)+1,LEN(Registro!$H164)))," ",REPT(" ",50)),50)))),"Revisar formato"))</f>
        <v/>
      </c>
      <c r="J164" s="24" t="str">
        <f>IF(Registro!$I164="","",IFERROR(SUMPRODUCT(--("0"&amp;TRIM(RIGHT(SUBSTITUTE(TRIM(MID(SUBSTITUTE(SUBSTITUTE(Registro!$I164,";",CHAR(10)),CHAR(10),REPT(" ",LEN(Registro!$I164))),({1,2,3,4,5,6,7,8,9,10,11,12,13,14,15,16,17,18,19,20,21,22,23,24,25,26,27,28,29,30}-1)*LEN(Registro!$I164)+1,LEN(Registro!$I164)))," ",REPT(" ",50)),50)))),"Revisar formato"))</f>
        <v/>
      </c>
      <c r="K164" s="24" t="str">
        <f>IF(AND(Registro!$G164="",Registro!$H164=""),"",IF(AND(ISTEXT(I164),I164&lt;&gt;""),"Revisar formato",N(Registro!$G164)-N(I164)))</f>
        <v/>
      </c>
      <c r="L164" s="24" t="str">
        <f t="shared" si="5"/>
        <v/>
      </c>
      <c r="M164" s="36" t="str">
        <f>IF(AND(A164=Consulta!$B$3,C164=Consulta!$H$3),B164*10000+ROW(),"")</f>
        <v/>
      </c>
    </row>
    <row r="165" spans="1:13" x14ac:dyDescent="0.25">
      <c r="A165" s="21" t="str">
        <f>IF(Registro!$A165="","",Registro!$A165)</f>
        <v/>
      </c>
      <c r="B165" s="20" t="str">
        <f>IF(Registro!$B165="","",Registro!$B165)</f>
        <v/>
      </c>
      <c r="C165" s="35" t="str">
        <f t="shared" si="4"/>
        <v/>
      </c>
      <c r="D165" s="23" t="str">
        <f>IF(Registro!$E165="","",IF(ISERROR(FIND("x",LOWER(Registro!$E165))),"-",IFERROR(SUMPRODUCT(--("0"&amp;LEFT(TRIM(MID(SUBSTITUTE(SUBSTITUTE(SUBSTITUTE(SUBSTITUTE(SUBSTITUTE(LOWER(Registro!$E165),"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",LEN(Registro!$E165))),({1,2,3,4,5,6,7,8,9,10,11,12,13,14,15,16,17,18,19,20,21,22,23,24,25,26,27,28,29,30}-1)*LEN(Registro!$E165)+1,LEN(Registro!$E165))),FIND("x",TRIM(MID(SUBSTITUTE(SUBSTITUTE(SUBSTITUTE(SUBSTITUTE(SUBSTITUTE(LOWER(Registro!$E165),"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",LEN(Registro!$E165))),({1,2,3,4,5,6,7,8,9,10,11,12,13,14,15,16,17,18,19,20,21,22,23,24,25,26,27,28,29,30}-1)*LEN(Registro!$E165)+1,LEN(Registro!$E165)))&amp;"x")-1))),"Revisar formato")))</f>
        <v/>
      </c>
      <c r="E165" s="24" t="str">
        <f>IF(Registro!$E165="","",IF(ISERROR(FIND("x",LOWER(Registro!$E165))),"-",IFERROR(SUMPRODUCT(--("0"&amp;LEFT(TRIM(MID(SUBSTITUTE(SUBSTITUTE(SUBSTITUTE(SUBSTITUTE(SUBSTITUTE(LOWER(Registro!$E165),"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",LEN(Registro!$E165))),({1,2,3,4,5,6,7,8,9,10,11,12,13,14,15,16,17,18,19,20,21,22,23,24,25,26,27,28,29,30}-1)*LEN(Registro!$E165)+1,LEN(Registro!$E165))),FIND("x",TRIM(MID(SUBSTITUTE(SUBSTITUTE(SUBSTITUTE(SUBSTITUTE(SUBSTITUTE(LOWER(Registro!$E165),"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",LEN(Registro!$E165))),({1,2,3,4,5,6,7,8,9,10,11,12,13,14,15,16,17,18,19,20,21,22,23,24,25,26,27,28,29,30}-1)*LEN(Registro!$E165)+1,LEN(Registro!$E165)))&amp;"x")-1)),--("0"&amp;MID(TRIM(MID(SUBSTITUTE(SUBSTITUTE(SUBSTITUTE(SUBSTITUTE(SUBSTITUTE(LOWER(Registro!$E165),"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",LEN(Registro!$E165))),({1,2,3,4,5,6,7,8,9,10,11,12,13,14,15,16,17,18,19,20,21,22,23,24,25,26,27,28,29,30}-1)*LEN(Registro!$E165)+1,LEN(Registro!$E165))),FIND("x",TRIM(MID(SUBSTITUTE(SUBSTITUTE(SUBSTITUTE(SUBSTITUTE(SUBSTITUTE(LOWER(Registro!$E165),"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",LEN(Registro!$E165))),({1,2,3,4,5,6,7,8,9,10,11,12,13,14,15,16,17,18,19,20,21,22,23,24,25,26,27,28,29,30}-1)*LEN(Registro!$E165)+1,LEN(Registro!$E165)))&amp;"x")+1,20))),"Revisar formato")))</f>
        <v/>
      </c>
      <c r="F165" s="23" t="str">
        <f>IF(Registro!$F165="","",IF(ISERROR(FIND("x",LOWER(Registro!$F165))),"-",IFERROR(SUMPRODUCT(--("0"&amp;LEFT(TRIM(MID(SUBSTITUTE(SUBSTITUTE(SUBSTITUTE(SUBSTITUTE(SUBSTITUTE(LOWER(Registro!$F165)," ",""),CHAR(10),"|"),";","|"),"+","|"),"|",REPT(" ",LEN(Registro!$F165))),({1,2,3,4,5,6,7,8,9,10,11,12,13,14,15,16,17,18,19,20,21,22,23,24,25,26,27,28,29,30}-1)*LEN(Registro!$F165)+1,LEN(Registro!$F165))),FIND("x",TRIM(MID(SUBSTITUTE(SUBSTITUTE(SUBSTITUTE(SUBSTITUTE(SUBSTITUTE(LOWER(Registro!$F165)," ",""),CHAR(10),"|"),";","|"),"+","|"),"|",REPT(" ",LEN(Registro!$F165))),({1,2,3,4,5,6,7,8,9,10,11,12,13,14,15,16,17,18,19,20,21,22,23,24,25,26,27,28,29,30}-1)*LEN(Registro!$F165)+1,LEN(Registro!$F165)))&amp;"x")-1))),"Revisar formato")))</f>
        <v/>
      </c>
      <c r="G165" s="24" t="str">
        <f>IF(Registro!$F165="","",IF(ISERROR(FIND("x",LOWER(Registro!$F165))),N(Registro!$G165),IFERROR(SUMPRODUCT(--("0"&amp;LEFT(TRIM(MID(SUBSTITUTE(SUBSTITUTE(SUBSTITUTE(SUBSTITUTE(SUBSTITUTE(LOWER(Registro!$F165)," ",""),CHAR(10),"|"),";","|"),"+","|"),"|",REPT(" ",LEN(Registro!$F165))),({1,2,3,4,5,6,7,8,9,10,11,12,13,14,15,16,17,18,19,20,21,22,23,24,25,26,27,28,29,30}-1)*LEN(Registro!$F165)+1,LEN(Registro!$F165))),FIND("x",TRIM(MID(SUBSTITUTE(SUBSTITUTE(SUBSTITUTE(SUBSTITUTE(SUBSTITUTE(LOWER(Registro!$F165)," ",""),CHAR(10),"|"),";","|"),"+","|"),"|",REPT(" ",LEN(Registro!$F165))),({1,2,3,4,5,6,7,8,9,10,11,12,13,14,15,16,17,18,19,20,21,22,23,24,25,26,27,28,29,30}-1)*LEN(Registro!$F165)+1,LEN(Registro!$F165)))&amp;"x")-1)),--("0"&amp;MID(TRIM(MID(SUBSTITUTE(SUBSTITUTE(SUBSTITUTE(SUBSTITUTE(SUBSTITUTE(LOWER(Registro!$F165)," ",""),CHAR(10),"|"),";","|"),"+","|"),"|",REPT(" ",LEN(Registro!$F165))),({1,2,3,4,5,6,7,8,9,10,11,12,13,14,15,16,17,18,19,20,21,22,23,24,25,26,27,28,29,30}-1)*LEN(Registro!$F165)+1,LEN(Registro!$F165))),FIND("x",TRIM(MID(SUBSTITUTE(SUBSTITUTE(SUBSTITUTE(SUBSTITUTE(SUBSTITUTE(LOWER(Registro!$F165)," ",""),CHAR(10),"|"),";","|"),"+","|"),"|",REPT(" ",LEN(Registro!$F165))),({1,2,3,4,5,6,7,8,9,10,11,12,13,14,15,16,17,18,19,20,21,22,23,24,25,26,27,28,29,30}-1)*LEN(Registro!$F165)+1,LEN(Registro!$F165)))&amp;"x")+1,20))),"Revisar formato")))</f>
        <v/>
      </c>
      <c r="H165" s="21" t="str">
        <f>IF(AND(Registro!$E165="",Registro!$F165=""),"",IF(NOT(AND(ISNUMBER(G165),ISNUMBER(Registro!$G165))),"",IF(G165&lt;Registro!$G165,"FALTA BOLETOS",IF(G165=Registro!$G165,"CONFORME","DIFERENCIA"))))</f>
        <v/>
      </c>
      <c r="I165" s="24" t="str">
        <f>IF(Registro!$H165="","",IFERROR(SUMPRODUCT(--("0"&amp;TRIM(RIGHT(SUBSTITUTE(TRIM(MID(SUBSTITUTE(SUBSTITUTE(Registro!$H165,";",CHAR(10)),CHAR(10),REPT(" ",LEN(Registro!$H165))),({1,2,3,4,5,6,7,8,9,10,11,12,13,14,15,16,17,18,19,20,21,22,23,24,25,26,27,28,29,30}-1)*LEN(Registro!$H165)+1,LEN(Registro!$H165)))," ",REPT(" ",50)),50)))),"Revisar formato"))</f>
        <v/>
      </c>
      <c r="J165" s="24" t="str">
        <f>IF(Registro!$I165="","",IFERROR(SUMPRODUCT(--("0"&amp;TRIM(RIGHT(SUBSTITUTE(TRIM(MID(SUBSTITUTE(SUBSTITUTE(Registro!$I165,";",CHAR(10)),CHAR(10),REPT(" ",LEN(Registro!$I165))),({1,2,3,4,5,6,7,8,9,10,11,12,13,14,15,16,17,18,19,20,21,22,23,24,25,26,27,28,29,30}-1)*LEN(Registro!$I165)+1,LEN(Registro!$I165)))," ",REPT(" ",50)),50)))),"Revisar formato"))</f>
        <v/>
      </c>
      <c r="K165" s="24" t="str">
        <f>IF(AND(Registro!$G165="",Registro!$H165=""),"",IF(AND(ISTEXT(I165),I165&lt;&gt;""),"Revisar formato",N(Registro!$G165)-N(I165)))</f>
        <v/>
      </c>
      <c r="L165" s="24" t="str">
        <f t="shared" si="5"/>
        <v/>
      </c>
      <c r="M165" s="36" t="str">
        <f>IF(AND(A165=Consulta!$B$3,C165=Consulta!$H$3),B165*10000+ROW(),"")</f>
        <v/>
      </c>
    </row>
    <row r="166" spans="1:13" x14ac:dyDescent="0.25">
      <c r="A166" s="21" t="str">
        <f>IF(Registro!$A166="","",Registro!$A166)</f>
        <v/>
      </c>
      <c r="B166" s="20" t="str">
        <f>IF(Registro!$B166="","",Registro!$B166)</f>
        <v/>
      </c>
      <c r="C166" s="35" t="str">
        <f t="shared" si="4"/>
        <v/>
      </c>
      <c r="D166" s="23" t="str">
        <f>IF(Registro!$E166="","",IF(ISERROR(FIND("x",LOWER(Registro!$E166))),"-",IFERROR(SUMPRODUCT(--("0"&amp;LEFT(TRIM(MID(SUBSTITUTE(SUBSTITUTE(SUBSTITUTE(SUBSTITUTE(SUBSTITUTE(LOWER(Registro!$E166),"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",LEN(Registro!$E166))),({1,2,3,4,5,6,7,8,9,10,11,12,13,14,15,16,17,18,19,20,21,22,23,24,25,26,27,28,29,30}-1)*LEN(Registro!$E166)+1,LEN(Registro!$E166))),FIND("x",TRIM(MID(SUBSTITUTE(SUBSTITUTE(SUBSTITUTE(SUBSTITUTE(SUBSTITUTE(LOWER(Registro!$E166),"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",LEN(Registro!$E166))),({1,2,3,4,5,6,7,8,9,10,11,12,13,14,15,16,17,18,19,20,21,22,23,24,25,26,27,28,29,30}-1)*LEN(Registro!$E166)+1,LEN(Registro!$E166)))&amp;"x")-1))),"Revisar formato")))</f>
        <v/>
      </c>
      <c r="E166" s="24" t="str">
        <f>IF(Registro!$E166="","",IF(ISERROR(FIND("x",LOWER(Registro!$E166))),"-",IFERROR(SUMPRODUCT(--("0"&amp;LEFT(TRIM(MID(SUBSTITUTE(SUBSTITUTE(SUBSTITUTE(SUBSTITUTE(SUBSTITUTE(LOWER(Registro!$E166),"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",LEN(Registro!$E166))),({1,2,3,4,5,6,7,8,9,10,11,12,13,14,15,16,17,18,19,20,21,22,23,24,25,26,27,28,29,30}-1)*LEN(Registro!$E166)+1,LEN(Registro!$E166))),FIND("x",TRIM(MID(SUBSTITUTE(SUBSTITUTE(SUBSTITUTE(SUBSTITUTE(SUBSTITUTE(LOWER(Registro!$E166),"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",LEN(Registro!$E166))),({1,2,3,4,5,6,7,8,9,10,11,12,13,14,15,16,17,18,19,20,21,22,23,24,25,26,27,28,29,30}-1)*LEN(Registro!$E166)+1,LEN(Registro!$E166)))&amp;"x")-1)),--("0"&amp;MID(TRIM(MID(SUBSTITUTE(SUBSTITUTE(SUBSTITUTE(SUBSTITUTE(SUBSTITUTE(LOWER(Registro!$E166),"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",LEN(Registro!$E166))),({1,2,3,4,5,6,7,8,9,10,11,12,13,14,15,16,17,18,19,20,21,22,23,24,25,26,27,28,29,30}-1)*LEN(Registro!$E166)+1,LEN(Registro!$E166))),FIND("x",TRIM(MID(SUBSTITUTE(SUBSTITUTE(SUBSTITUTE(SUBSTITUTE(SUBSTITUTE(LOWER(Registro!$E166),"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",LEN(Registro!$E166))),({1,2,3,4,5,6,7,8,9,10,11,12,13,14,15,16,17,18,19,20,21,22,23,24,25,26,27,28,29,30}-1)*LEN(Registro!$E166)+1,LEN(Registro!$E166)))&amp;"x")+1,20))),"Revisar formato")))</f>
        <v/>
      </c>
      <c r="F166" s="23" t="str">
        <f>IF(Registro!$F166="","",IF(ISERROR(FIND("x",LOWER(Registro!$F166))),"-",IFERROR(SUMPRODUCT(--("0"&amp;LEFT(TRIM(MID(SUBSTITUTE(SUBSTITUTE(SUBSTITUTE(SUBSTITUTE(SUBSTITUTE(LOWER(Registro!$F166)," ",""),CHAR(10),"|"),";","|"),"+","|"),"|",REPT(" ",LEN(Registro!$F166))),({1,2,3,4,5,6,7,8,9,10,11,12,13,14,15,16,17,18,19,20,21,22,23,24,25,26,27,28,29,30}-1)*LEN(Registro!$F166)+1,LEN(Registro!$F166))),FIND("x",TRIM(MID(SUBSTITUTE(SUBSTITUTE(SUBSTITUTE(SUBSTITUTE(SUBSTITUTE(LOWER(Registro!$F166)," ",""),CHAR(10),"|"),";","|"),"+","|"),"|",REPT(" ",LEN(Registro!$F166))),({1,2,3,4,5,6,7,8,9,10,11,12,13,14,15,16,17,18,19,20,21,22,23,24,25,26,27,28,29,30}-1)*LEN(Registro!$F166)+1,LEN(Registro!$F166)))&amp;"x")-1))),"Revisar formato")))</f>
        <v/>
      </c>
      <c r="G166" s="24" t="str">
        <f>IF(Registro!$F166="","",IF(ISERROR(FIND("x",LOWER(Registro!$F166))),N(Registro!$G166),IFERROR(SUMPRODUCT(--("0"&amp;LEFT(TRIM(MID(SUBSTITUTE(SUBSTITUTE(SUBSTITUTE(SUBSTITUTE(SUBSTITUTE(LOWER(Registro!$F166)," ",""),CHAR(10),"|"),";","|"),"+","|"),"|",REPT(" ",LEN(Registro!$F166))),({1,2,3,4,5,6,7,8,9,10,11,12,13,14,15,16,17,18,19,20,21,22,23,24,25,26,27,28,29,30}-1)*LEN(Registro!$F166)+1,LEN(Registro!$F166))),FIND("x",TRIM(MID(SUBSTITUTE(SUBSTITUTE(SUBSTITUTE(SUBSTITUTE(SUBSTITUTE(LOWER(Registro!$F166)," ",""),CHAR(10),"|"),";","|"),"+","|"),"|",REPT(" ",LEN(Registro!$F166))),({1,2,3,4,5,6,7,8,9,10,11,12,13,14,15,16,17,18,19,20,21,22,23,24,25,26,27,28,29,30}-1)*LEN(Registro!$F166)+1,LEN(Registro!$F166)))&amp;"x")-1)),--("0"&amp;MID(TRIM(MID(SUBSTITUTE(SUBSTITUTE(SUBSTITUTE(SUBSTITUTE(SUBSTITUTE(LOWER(Registro!$F166)," ",""),CHAR(10),"|"),";","|"),"+","|"),"|",REPT(" ",LEN(Registro!$F166))),({1,2,3,4,5,6,7,8,9,10,11,12,13,14,15,16,17,18,19,20,21,22,23,24,25,26,27,28,29,30}-1)*LEN(Registro!$F166)+1,LEN(Registro!$F166))),FIND("x",TRIM(MID(SUBSTITUTE(SUBSTITUTE(SUBSTITUTE(SUBSTITUTE(SUBSTITUTE(LOWER(Registro!$F166)," ",""),CHAR(10),"|"),";","|"),"+","|"),"|",REPT(" ",LEN(Registro!$F166))),({1,2,3,4,5,6,7,8,9,10,11,12,13,14,15,16,17,18,19,20,21,22,23,24,25,26,27,28,29,30}-1)*LEN(Registro!$F166)+1,LEN(Registro!$F166)))&amp;"x")+1,20))),"Revisar formato")))</f>
        <v/>
      </c>
      <c r="H166" s="21" t="str">
        <f>IF(AND(Registro!$E166="",Registro!$F166=""),"",IF(NOT(AND(ISNUMBER(G166),ISNUMBER(Registro!$G166))),"",IF(G166&lt;Registro!$G166,"FALTA BOLETOS",IF(G166=Registro!$G166,"CONFORME","DIFERENCIA"))))</f>
        <v/>
      </c>
      <c r="I166" s="24" t="str">
        <f>IF(Registro!$H166="","",IFERROR(SUMPRODUCT(--("0"&amp;TRIM(RIGHT(SUBSTITUTE(TRIM(MID(SUBSTITUTE(SUBSTITUTE(Registro!$H166,";",CHAR(10)),CHAR(10),REPT(" ",LEN(Registro!$H166))),({1,2,3,4,5,6,7,8,9,10,11,12,13,14,15,16,17,18,19,20,21,22,23,24,25,26,27,28,29,30}-1)*LEN(Registro!$H166)+1,LEN(Registro!$H166)))," ",REPT(" ",50)),50)))),"Revisar formato"))</f>
        <v/>
      </c>
      <c r="J166" s="24" t="str">
        <f>IF(Registro!$I166="","",IFERROR(SUMPRODUCT(--("0"&amp;TRIM(RIGHT(SUBSTITUTE(TRIM(MID(SUBSTITUTE(SUBSTITUTE(Registro!$I166,";",CHAR(10)),CHAR(10),REPT(" ",LEN(Registro!$I166))),({1,2,3,4,5,6,7,8,9,10,11,12,13,14,15,16,17,18,19,20,21,22,23,24,25,26,27,28,29,30}-1)*LEN(Registro!$I166)+1,LEN(Registro!$I166)))," ",REPT(" ",50)),50)))),"Revisar formato"))</f>
        <v/>
      </c>
      <c r="K166" s="24" t="str">
        <f>IF(AND(Registro!$G166="",Registro!$H166=""),"",IF(AND(ISTEXT(I166),I166&lt;&gt;""),"Revisar formato",N(Registro!$G166)-N(I166)))</f>
        <v/>
      </c>
      <c r="L166" s="24" t="str">
        <f t="shared" si="5"/>
        <v/>
      </c>
      <c r="M166" s="36" t="str">
        <f>IF(AND(A166=Consulta!$B$3,C166=Consulta!$H$3),B166*10000+ROW(),"")</f>
        <v/>
      </c>
    </row>
    <row r="167" spans="1:13" x14ac:dyDescent="0.25">
      <c r="A167" s="21" t="str">
        <f>IF(Registro!$A167="","",Registro!$A167)</f>
        <v/>
      </c>
      <c r="B167" s="20" t="str">
        <f>IF(Registro!$B167="","",Registro!$B167)</f>
        <v/>
      </c>
      <c r="C167" s="35" t="str">
        <f t="shared" si="4"/>
        <v/>
      </c>
      <c r="D167" s="23" t="str">
        <f>IF(Registro!$E167="","",IF(ISERROR(FIND("x",LOWER(Registro!$E167))),"-",IFERROR(SUMPRODUCT(--("0"&amp;LEFT(TRIM(MID(SUBSTITUTE(SUBSTITUTE(SUBSTITUTE(SUBSTITUTE(SUBSTITUTE(LOWER(Registro!$E167),"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",LEN(Registro!$E167))),({1,2,3,4,5,6,7,8,9,10,11,12,13,14,15,16,17,18,19,20,21,22,23,24,25,26,27,28,29,30}-1)*LEN(Registro!$E167)+1,LEN(Registro!$E167))),FIND("x",TRIM(MID(SUBSTITUTE(SUBSTITUTE(SUBSTITUTE(SUBSTITUTE(SUBSTITUTE(LOWER(Registro!$E167),"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",LEN(Registro!$E167))),({1,2,3,4,5,6,7,8,9,10,11,12,13,14,15,16,17,18,19,20,21,22,23,24,25,26,27,28,29,30}-1)*LEN(Registro!$E167)+1,LEN(Registro!$E167)))&amp;"x")-1))),"Revisar formato")))</f>
        <v/>
      </c>
      <c r="E167" s="24" t="str">
        <f>IF(Registro!$E167="","",IF(ISERROR(FIND("x",LOWER(Registro!$E167))),"-",IFERROR(SUMPRODUCT(--("0"&amp;LEFT(TRIM(MID(SUBSTITUTE(SUBSTITUTE(SUBSTITUTE(SUBSTITUTE(SUBSTITUTE(LOWER(Registro!$E167),"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",LEN(Registro!$E167))),({1,2,3,4,5,6,7,8,9,10,11,12,13,14,15,16,17,18,19,20,21,22,23,24,25,26,27,28,29,30}-1)*LEN(Registro!$E167)+1,LEN(Registro!$E167))),FIND("x",TRIM(MID(SUBSTITUTE(SUBSTITUTE(SUBSTITUTE(SUBSTITUTE(SUBSTITUTE(LOWER(Registro!$E167),"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",LEN(Registro!$E167))),({1,2,3,4,5,6,7,8,9,10,11,12,13,14,15,16,17,18,19,20,21,22,23,24,25,26,27,28,29,30}-1)*LEN(Registro!$E167)+1,LEN(Registro!$E167)))&amp;"x")-1)),--("0"&amp;MID(TRIM(MID(SUBSTITUTE(SUBSTITUTE(SUBSTITUTE(SUBSTITUTE(SUBSTITUTE(LOWER(Registro!$E167),"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",LEN(Registro!$E167))),({1,2,3,4,5,6,7,8,9,10,11,12,13,14,15,16,17,18,19,20,21,22,23,24,25,26,27,28,29,30}-1)*LEN(Registro!$E167)+1,LEN(Registro!$E167))),FIND("x",TRIM(MID(SUBSTITUTE(SUBSTITUTE(SUBSTITUTE(SUBSTITUTE(SUBSTITUTE(LOWER(Registro!$E167),"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",LEN(Registro!$E167))),({1,2,3,4,5,6,7,8,9,10,11,12,13,14,15,16,17,18,19,20,21,22,23,24,25,26,27,28,29,30}-1)*LEN(Registro!$E167)+1,LEN(Registro!$E167)))&amp;"x")+1,20))),"Revisar formato")))</f>
        <v/>
      </c>
      <c r="F167" s="23" t="str">
        <f>IF(Registro!$F167="","",IF(ISERROR(FIND("x",LOWER(Registro!$F167))),"-",IFERROR(SUMPRODUCT(--("0"&amp;LEFT(TRIM(MID(SUBSTITUTE(SUBSTITUTE(SUBSTITUTE(SUBSTITUTE(SUBSTITUTE(LOWER(Registro!$F167)," ",""),CHAR(10),"|"),";","|"),"+","|"),"|",REPT(" ",LEN(Registro!$F167))),({1,2,3,4,5,6,7,8,9,10,11,12,13,14,15,16,17,18,19,20,21,22,23,24,25,26,27,28,29,30}-1)*LEN(Registro!$F167)+1,LEN(Registro!$F167))),FIND("x",TRIM(MID(SUBSTITUTE(SUBSTITUTE(SUBSTITUTE(SUBSTITUTE(SUBSTITUTE(LOWER(Registro!$F167)," ",""),CHAR(10),"|"),";","|"),"+","|"),"|",REPT(" ",LEN(Registro!$F167))),({1,2,3,4,5,6,7,8,9,10,11,12,13,14,15,16,17,18,19,20,21,22,23,24,25,26,27,28,29,30}-1)*LEN(Registro!$F167)+1,LEN(Registro!$F167)))&amp;"x")-1))),"Revisar formato")))</f>
        <v/>
      </c>
      <c r="G167" s="24" t="str">
        <f>IF(Registro!$F167="","",IF(ISERROR(FIND("x",LOWER(Registro!$F167))),N(Registro!$G167),IFERROR(SUMPRODUCT(--("0"&amp;LEFT(TRIM(MID(SUBSTITUTE(SUBSTITUTE(SUBSTITUTE(SUBSTITUTE(SUBSTITUTE(LOWER(Registro!$F167)," ",""),CHAR(10),"|"),";","|"),"+","|"),"|",REPT(" ",LEN(Registro!$F167))),({1,2,3,4,5,6,7,8,9,10,11,12,13,14,15,16,17,18,19,20,21,22,23,24,25,26,27,28,29,30}-1)*LEN(Registro!$F167)+1,LEN(Registro!$F167))),FIND("x",TRIM(MID(SUBSTITUTE(SUBSTITUTE(SUBSTITUTE(SUBSTITUTE(SUBSTITUTE(LOWER(Registro!$F167)," ",""),CHAR(10),"|"),";","|"),"+","|"),"|",REPT(" ",LEN(Registro!$F167))),({1,2,3,4,5,6,7,8,9,10,11,12,13,14,15,16,17,18,19,20,21,22,23,24,25,26,27,28,29,30}-1)*LEN(Registro!$F167)+1,LEN(Registro!$F167)))&amp;"x")-1)),--("0"&amp;MID(TRIM(MID(SUBSTITUTE(SUBSTITUTE(SUBSTITUTE(SUBSTITUTE(SUBSTITUTE(LOWER(Registro!$F167)," ",""),CHAR(10),"|"),";","|"),"+","|"),"|",REPT(" ",LEN(Registro!$F167))),({1,2,3,4,5,6,7,8,9,10,11,12,13,14,15,16,17,18,19,20,21,22,23,24,25,26,27,28,29,30}-1)*LEN(Registro!$F167)+1,LEN(Registro!$F167))),FIND("x",TRIM(MID(SUBSTITUTE(SUBSTITUTE(SUBSTITUTE(SUBSTITUTE(SUBSTITUTE(LOWER(Registro!$F167)," ",""),CHAR(10),"|"),";","|"),"+","|"),"|",REPT(" ",LEN(Registro!$F167))),({1,2,3,4,5,6,7,8,9,10,11,12,13,14,15,16,17,18,19,20,21,22,23,24,25,26,27,28,29,30}-1)*LEN(Registro!$F167)+1,LEN(Registro!$F167)))&amp;"x")+1,20))),"Revisar formato")))</f>
        <v/>
      </c>
      <c r="H167" s="21" t="str">
        <f>IF(AND(Registro!$E167="",Registro!$F167=""),"",IF(NOT(AND(ISNUMBER(G167),ISNUMBER(Registro!$G167))),"",IF(G167&lt;Registro!$G167,"FALTA BOLETOS",IF(G167=Registro!$G167,"CONFORME","DIFERENCIA"))))</f>
        <v/>
      </c>
      <c r="I167" s="24" t="str">
        <f>IF(Registro!$H167="","",IFERROR(SUMPRODUCT(--("0"&amp;TRIM(RIGHT(SUBSTITUTE(TRIM(MID(SUBSTITUTE(SUBSTITUTE(Registro!$H167,";",CHAR(10)),CHAR(10),REPT(" ",LEN(Registro!$H167))),({1,2,3,4,5,6,7,8,9,10,11,12,13,14,15,16,17,18,19,20,21,22,23,24,25,26,27,28,29,30}-1)*LEN(Registro!$H167)+1,LEN(Registro!$H167)))," ",REPT(" ",50)),50)))),"Revisar formato"))</f>
        <v/>
      </c>
      <c r="J167" s="24" t="str">
        <f>IF(Registro!$I167="","",IFERROR(SUMPRODUCT(--("0"&amp;TRIM(RIGHT(SUBSTITUTE(TRIM(MID(SUBSTITUTE(SUBSTITUTE(Registro!$I167,";",CHAR(10)),CHAR(10),REPT(" ",LEN(Registro!$I167))),({1,2,3,4,5,6,7,8,9,10,11,12,13,14,15,16,17,18,19,20,21,22,23,24,25,26,27,28,29,30}-1)*LEN(Registro!$I167)+1,LEN(Registro!$I167)))," ",REPT(" ",50)),50)))),"Revisar formato"))</f>
        <v/>
      </c>
      <c r="K167" s="24" t="str">
        <f>IF(AND(Registro!$G167="",Registro!$H167=""),"",IF(AND(ISTEXT(I167),I167&lt;&gt;""),"Revisar formato",N(Registro!$G167)-N(I167)))</f>
        <v/>
      </c>
      <c r="L167" s="24" t="str">
        <f t="shared" si="5"/>
        <v/>
      </c>
      <c r="M167" s="36" t="str">
        <f>IF(AND(A167=Consulta!$B$3,C167=Consulta!$H$3),B167*10000+ROW(),"")</f>
        <v/>
      </c>
    </row>
    <row r="168" spans="1:13" x14ac:dyDescent="0.25">
      <c r="A168" s="21" t="str">
        <f>IF(Registro!$A168="","",Registro!$A168)</f>
        <v/>
      </c>
      <c r="B168" s="20" t="str">
        <f>IF(Registro!$B168="","",Registro!$B168)</f>
        <v/>
      </c>
      <c r="C168" s="35" t="str">
        <f t="shared" si="4"/>
        <v/>
      </c>
      <c r="D168" s="23" t="str">
        <f>IF(Registro!$E168="","",IF(ISERROR(FIND("x",LOWER(Registro!$E168))),"-",IFERROR(SUMPRODUCT(--("0"&amp;LEFT(TRIM(MID(SUBSTITUTE(SUBSTITUTE(SUBSTITUTE(SUBSTITUTE(SUBSTITUTE(LOWER(Registro!$E168),"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",LEN(Registro!$E168))),({1,2,3,4,5,6,7,8,9,10,11,12,13,14,15,16,17,18,19,20,21,22,23,24,25,26,27,28,29,30}-1)*LEN(Registro!$E168)+1,LEN(Registro!$E168))),FIND("x",TRIM(MID(SUBSTITUTE(SUBSTITUTE(SUBSTITUTE(SUBSTITUTE(SUBSTITUTE(LOWER(Registro!$E168),"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",LEN(Registro!$E168))),({1,2,3,4,5,6,7,8,9,10,11,12,13,14,15,16,17,18,19,20,21,22,23,24,25,26,27,28,29,30}-1)*LEN(Registro!$E168)+1,LEN(Registro!$E168)))&amp;"x")-1))),"Revisar formato")))</f>
        <v/>
      </c>
      <c r="E168" s="24" t="str">
        <f>IF(Registro!$E168="","",IF(ISERROR(FIND("x",LOWER(Registro!$E168))),"-",IFERROR(SUMPRODUCT(--("0"&amp;LEFT(TRIM(MID(SUBSTITUTE(SUBSTITUTE(SUBSTITUTE(SUBSTITUTE(SUBSTITUTE(LOWER(Registro!$E168),"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",LEN(Registro!$E168))),({1,2,3,4,5,6,7,8,9,10,11,12,13,14,15,16,17,18,19,20,21,22,23,24,25,26,27,28,29,30}-1)*LEN(Registro!$E168)+1,LEN(Registro!$E168))),FIND("x",TRIM(MID(SUBSTITUTE(SUBSTITUTE(SUBSTITUTE(SUBSTITUTE(SUBSTITUTE(LOWER(Registro!$E168),"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",LEN(Registro!$E168))),({1,2,3,4,5,6,7,8,9,10,11,12,13,14,15,16,17,18,19,20,21,22,23,24,25,26,27,28,29,30}-1)*LEN(Registro!$E168)+1,LEN(Registro!$E168)))&amp;"x")-1)),--("0"&amp;MID(TRIM(MID(SUBSTITUTE(SUBSTITUTE(SUBSTITUTE(SUBSTITUTE(SUBSTITUTE(LOWER(Registro!$E168),"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",LEN(Registro!$E168))),({1,2,3,4,5,6,7,8,9,10,11,12,13,14,15,16,17,18,19,20,21,22,23,24,25,26,27,28,29,30}-1)*LEN(Registro!$E168)+1,LEN(Registro!$E168))),FIND("x",TRIM(MID(SUBSTITUTE(SUBSTITUTE(SUBSTITUTE(SUBSTITUTE(SUBSTITUTE(LOWER(Registro!$E168),"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",LEN(Registro!$E168))),({1,2,3,4,5,6,7,8,9,10,11,12,13,14,15,16,17,18,19,20,21,22,23,24,25,26,27,28,29,30}-1)*LEN(Registro!$E168)+1,LEN(Registro!$E168)))&amp;"x")+1,20))),"Revisar formato")))</f>
        <v/>
      </c>
      <c r="F168" s="23" t="str">
        <f>IF(Registro!$F168="","",IF(ISERROR(FIND("x",LOWER(Registro!$F168))),"-",IFERROR(SUMPRODUCT(--("0"&amp;LEFT(TRIM(MID(SUBSTITUTE(SUBSTITUTE(SUBSTITUTE(SUBSTITUTE(SUBSTITUTE(LOWER(Registro!$F168)," ",""),CHAR(10),"|"),";","|"),"+","|"),"|",REPT(" ",LEN(Registro!$F168))),({1,2,3,4,5,6,7,8,9,10,11,12,13,14,15,16,17,18,19,20,21,22,23,24,25,26,27,28,29,30}-1)*LEN(Registro!$F168)+1,LEN(Registro!$F168))),FIND("x",TRIM(MID(SUBSTITUTE(SUBSTITUTE(SUBSTITUTE(SUBSTITUTE(SUBSTITUTE(LOWER(Registro!$F168)," ",""),CHAR(10),"|"),";","|"),"+","|"),"|",REPT(" ",LEN(Registro!$F168))),({1,2,3,4,5,6,7,8,9,10,11,12,13,14,15,16,17,18,19,20,21,22,23,24,25,26,27,28,29,30}-1)*LEN(Registro!$F168)+1,LEN(Registro!$F168)))&amp;"x")-1))),"Revisar formato")))</f>
        <v/>
      </c>
      <c r="G168" s="24" t="str">
        <f>IF(Registro!$F168="","",IF(ISERROR(FIND("x",LOWER(Registro!$F168))),N(Registro!$G168),IFERROR(SUMPRODUCT(--("0"&amp;LEFT(TRIM(MID(SUBSTITUTE(SUBSTITUTE(SUBSTITUTE(SUBSTITUTE(SUBSTITUTE(LOWER(Registro!$F168)," ",""),CHAR(10),"|"),";","|"),"+","|"),"|",REPT(" ",LEN(Registro!$F168))),({1,2,3,4,5,6,7,8,9,10,11,12,13,14,15,16,17,18,19,20,21,22,23,24,25,26,27,28,29,30}-1)*LEN(Registro!$F168)+1,LEN(Registro!$F168))),FIND("x",TRIM(MID(SUBSTITUTE(SUBSTITUTE(SUBSTITUTE(SUBSTITUTE(SUBSTITUTE(LOWER(Registro!$F168)," ",""),CHAR(10),"|"),";","|"),"+","|"),"|",REPT(" ",LEN(Registro!$F168))),({1,2,3,4,5,6,7,8,9,10,11,12,13,14,15,16,17,18,19,20,21,22,23,24,25,26,27,28,29,30}-1)*LEN(Registro!$F168)+1,LEN(Registro!$F168)))&amp;"x")-1)),--("0"&amp;MID(TRIM(MID(SUBSTITUTE(SUBSTITUTE(SUBSTITUTE(SUBSTITUTE(SUBSTITUTE(LOWER(Registro!$F168)," ",""),CHAR(10),"|"),";","|"),"+","|"),"|",REPT(" ",LEN(Registro!$F168))),({1,2,3,4,5,6,7,8,9,10,11,12,13,14,15,16,17,18,19,20,21,22,23,24,25,26,27,28,29,30}-1)*LEN(Registro!$F168)+1,LEN(Registro!$F168))),FIND("x",TRIM(MID(SUBSTITUTE(SUBSTITUTE(SUBSTITUTE(SUBSTITUTE(SUBSTITUTE(LOWER(Registro!$F168)," ",""),CHAR(10),"|"),";","|"),"+","|"),"|",REPT(" ",LEN(Registro!$F168))),({1,2,3,4,5,6,7,8,9,10,11,12,13,14,15,16,17,18,19,20,21,22,23,24,25,26,27,28,29,30}-1)*LEN(Registro!$F168)+1,LEN(Registro!$F168)))&amp;"x")+1,20))),"Revisar formato")))</f>
        <v/>
      </c>
      <c r="H168" s="21" t="str">
        <f>IF(AND(Registro!$E168="",Registro!$F168=""),"",IF(NOT(AND(ISNUMBER(G168),ISNUMBER(Registro!$G168))),"",IF(G168&lt;Registro!$G168,"FALTA BOLETOS",IF(G168=Registro!$G168,"CONFORME","DIFERENCIA"))))</f>
        <v/>
      </c>
      <c r="I168" s="24" t="str">
        <f>IF(Registro!$H168="","",IFERROR(SUMPRODUCT(--("0"&amp;TRIM(RIGHT(SUBSTITUTE(TRIM(MID(SUBSTITUTE(SUBSTITUTE(Registro!$H168,";",CHAR(10)),CHAR(10),REPT(" ",LEN(Registro!$H168))),({1,2,3,4,5,6,7,8,9,10,11,12,13,14,15,16,17,18,19,20,21,22,23,24,25,26,27,28,29,30}-1)*LEN(Registro!$H168)+1,LEN(Registro!$H168)))," ",REPT(" ",50)),50)))),"Revisar formato"))</f>
        <v/>
      </c>
      <c r="J168" s="24" t="str">
        <f>IF(Registro!$I168="","",IFERROR(SUMPRODUCT(--("0"&amp;TRIM(RIGHT(SUBSTITUTE(TRIM(MID(SUBSTITUTE(SUBSTITUTE(Registro!$I168,";",CHAR(10)),CHAR(10),REPT(" ",LEN(Registro!$I168))),({1,2,3,4,5,6,7,8,9,10,11,12,13,14,15,16,17,18,19,20,21,22,23,24,25,26,27,28,29,30}-1)*LEN(Registro!$I168)+1,LEN(Registro!$I168)))," ",REPT(" ",50)),50)))),"Revisar formato"))</f>
        <v/>
      </c>
      <c r="K168" s="24" t="str">
        <f>IF(AND(Registro!$G168="",Registro!$H168=""),"",IF(AND(ISTEXT(I168),I168&lt;&gt;""),"Revisar formato",N(Registro!$G168)-N(I168)))</f>
        <v/>
      </c>
      <c r="L168" s="24" t="str">
        <f t="shared" si="5"/>
        <v/>
      </c>
      <c r="M168" s="36" t="str">
        <f>IF(AND(A168=Consulta!$B$3,C168=Consulta!$H$3),B168*10000+ROW(),"")</f>
        <v/>
      </c>
    </row>
    <row r="169" spans="1:13" x14ac:dyDescent="0.25">
      <c r="A169" s="21" t="str">
        <f>IF(Registro!$A169="","",Registro!$A169)</f>
        <v/>
      </c>
      <c r="B169" s="20" t="str">
        <f>IF(Registro!$B169="","",Registro!$B169)</f>
        <v/>
      </c>
      <c r="C169" s="35" t="str">
        <f t="shared" si="4"/>
        <v/>
      </c>
      <c r="D169" s="23" t="str">
        <f>IF(Registro!$E169="","",IF(ISERROR(FIND("x",LOWER(Registro!$E169))),"-",IFERROR(SUMPRODUCT(--("0"&amp;LEFT(TRIM(MID(SUBSTITUTE(SUBSTITUTE(SUBSTITUTE(SUBSTITUTE(SUBSTITUTE(LOWER(Registro!$E169),"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",LEN(Registro!$E169))),({1,2,3,4,5,6,7,8,9,10,11,12,13,14,15,16,17,18,19,20,21,22,23,24,25,26,27,28,29,30}-1)*LEN(Registro!$E169)+1,LEN(Registro!$E169))),FIND("x",TRIM(MID(SUBSTITUTE(SUBSTITUTE(SUBSTITUTE(SUBSTITUTE(SUBSTITUTE(LOWER(Registro!$E169),"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",LEN(Registro!$E169))),({1,2,3,4,5,6,7,8,9,10,11,12,13,14,15,16,17,18,19,20,21,22,23,24,25,26,27,28,29,30}-1)*LEN(Registro!$E169)+1,LEN(Registro!$E169)))&amp;"x")-1))),"Revisar formato")))</f>
        <v/>
      </c>
      <c r="E169" s="24" t="str">
        <f>IF(Registro!$E169="","",IF(ISERROR(FIND("x",LOWER(Registro!$E169))),"-",IFERROR(SUMPRODUCT(--("0"&amp;LEFT(TRIM(MID(SUBSTITUTE(SUBSTITUTE(SUBSTITUTE(SUBSTITUTE(SUBSTITUTE(LOWER(Registro!$E169),"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",LEN(Registro!$E169))),({1,2,3,4,5,6,7,8,9,10,11,12,13,14,15,16,17,18,19,20,21,22,23,24,25,26,27,28,29,30}-1)*LEN(Registro!$E169)+1,LEN(Registro!$E169))),FIND("x",TRIM(MID(SUBSTITUTE(SUBSTITUTE(SUBSTITUTE(SUBSTITUTE(SUBSTITUTE(LOWER(Registro!$E169),"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",LEN(Registro!$E169))),({1,2,3,4,5,6,7,8,9,10,11,12,13,14,15,16,17,18,19,20,21,22,23,24,25,26,27,28,29,30}-1)*LEN(Registro!$E169)+1,LEN(Registro!$E169)))&amp;"x")-1)),--("0"&amp;MID(TRIM(MID(SUBSTITUTE(SUBSTITUTE(SUBSTITUTE(SUBSTITUTE(SUBSTITUTE(LOWER(Registro!$E169),"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",LEN(Registro!$E169))),({1,2,3,4,5,6,7,8,9,10,11,12,13,14,15,16,17,18,19,20,21,22,23,24,25,26,27,28,29,30}-1)*LEN(Registro!$E169)+1,LEN(Registro!$E169))),FIND("x",TRIM(MID(SUBSTITUTE(SUBSTITUTE(SUBSTITUTE(SUBSTITUTE(SUBSTITUTE(LOWER(Registro!$E169),"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",LEN(Registro!$E169))),({1,2,3,4,5,6,7,8,9,10,11,12,13,14,15,16,17,18,19,20,21,22,23,24,25,26,27,28,29,30}-1)*LEN(Registro!$E169)+1,LEN(Registro!$E169)))&amp;"x")+1,20))),"Revisar formato")))</f>
        <v/>
      </c>
      <c r="F169" s="23" t="str">
        <f>IF(Registro!$F169="","",IF(ISERROR(FIND("x",LOWER(Registro!$F169))),"-",IFERROR(SUMPRODUCT(--("0"&amp;LEFT(TRIM(MID(SUBSTITUTE(SUBSTITUTE(SUBSTITUTE(SUBSTITUTE(SUBSTITUTE(LOWER(Registro!$F169)," ",""),CHAR(10),"|"),";","|"),"+","|"),"|",REPT(" ",LEN(Registro!$F169))),({1,2,3,4,5,6,7,8,9,10,11,12,13,14,15,16,17,18,19,20,21,22,23,24,25,26,27,28,29,30}-1)*LEN(Registro!$F169)+1,LEN(Registro!$F169))),FIND("x",TRIM(MID(SUBSTITUTE(SUBSTITUTE(SUBSTITUTE(SUBSTITUTE(SUBSTITUTE(LOWER(Registro!$F169)," ",""),CHAR(10),"|"),";","|"),"+","|"),"|",REPT(" ",LEN(Registro!$F169))),({1,2,3,4,5,6,7,8,9,10,11,12,13,14,15,16,17,18,19,20,21,22,23,24,25,26,27,28,29,30}-1)*LEN(Registro!$F169)+1,LEN(Registro!$F169)))&amp;"x")-1))),"Revisar formato")))</f>
        <v/>
      </c>
      <c r="G169" s="24" t="str">
        <f>IF(Registro!$F169="","",IF(ISERROR(FIND("x",LOWER(Registro!$F169))),N(Registro!$G169),IFERROR(SUMPRODUCT(--("0"&amp;LEFT(TRIM(MID(SUBSTITUTE(SUBSTITUTE(SUBSTITUTE(SUBSTITUTE(SUBSTITUTE(LOWER(Registro!$F169)," ",""),CHAR(10),"|"),";","|"),"+","|"),"|",REPT(" ",LEN(Registro!$F169))),({1,2,3,4,5,6,7,8,9,10,11,12,13,14,15,16,17,18,19,20,21,22,23,24,25,26,27,28,29,30}-1)*LEN(Registro!$F169)+1,LEN(Registro!$F169))),FIND("x",TRIM(MID(SUBSTITUTE(SUBSTITUTE(SUBSTITUTE(SUBSTITUTE(SUBSTITUTE(LOWER(Registro!$F169)," ",""),CHAR(10),"|"),";","|"),"+","|"),"|",REPT(" ",LEN(Registro!$F169))),({1,2,3,4,5,6,7,8,9,10,11,12,13,14,15,16,17,18,19,20,21,22,23,24,25,26,27,28,29,30}-1)*LEN(Registro!$F169)+1,LEN(Registro!$F169)))&amp;"x")-1)),--("0"&amp;MID(TRIM(MID(SUBSTITUTE(SUBSTITUTE(SUBSTITUTE(SUBSTITUTE(SUBSTITUTE(LOWER(Registro!$F169)," ",""),CHAR(10),"|"),";","|"),"+","|"),"|",REPT(" ",LEN(Registro!$F169))),({1,2,3,4,5,6,7,8,9,10,11,12,13,14,15,16,17,18,19,20,21,22,23,24,25,26,27,28,29,30}-1)*LEN(Registro!$F169)+1,LEN(Registro!$F169))),FIND("x",TRIM(MID(SUBSTITUTE(SUBSTITUTE(SUBSTITUTE(SUBSTITUTE(SUBSTITUTE(LOWER(Registro!$F169)," ",""),CHAR(10),"|"),";","|"),"+","|"),"|",REPT(" ",LEN(Registro!$F169))),({1,2,3,4,5,6,7,8,9,10,11,12,13,14,15,16,17,18,19,20,21,22,23,24,25,26,27,28,29,30}-1)*LEN(Registro!$F169)+1,LEN(Registro!$F169)))&amp;"x")+1,20))),"Revisar formato")))</f>
        <v/>
      </c>
      <c r="H169" s="21" t="str">
        <f>IF(AND(Registro!$E169="",Registro!$F169=""),"",IF(NOT(AND(ISNUMBER(G169),ISNUMBER(Registro!$G169))),"",IF(G169&lt;Registro!$G169,"FALTA BOLETOS",IF(G169=Registro!$G169,"CONFORME","DIFERENCIA"))))</f>
        <v/>
      </c>
      <c r="I169" s="24" t="str">
        <f>IF(Registro!$H169="","",IFERROR(SUMPRODUCT(--("0"&amp;TRIM(RIGHT(SUBSTITUTE(TRIM(MID(SUBSTITUTE(SUBSTITUTE(Registro!$H169,";",CHAR(10)),CHAR(10),REPT(" ",LEN(Registro!$H169))),({1,2,3,4,5,6,7,8,9,10,11,12,13,14,15,16,17,18,19,20,21,22,23,24,25,26,27,28,29,30}-1)*LEN(Registro!$H169)+1,LEN(Registro!$H169)))," ",REPT(" ",50)),50)))),"Revisar formato"))</f>
        <v/>
      </c>
      <c r="J169" s="24" t="str">
        <f>IF(Registro!$I169="","",IFERROR(SUMPRODUCT(--("0"&amp;TRIM(RIGHT(SUBSTITUTE(TRIM(MID(SUBSTITUTE(SUBSTITUTE(Registro!$I169,";",CHAR(10)),CHAR(10),REPT(" ",LEN(Registro!$I169))),({1,2,3,4,5,6,7,8,9,10,11,12,13,14,15,16,17,18,19,20,21,22,23,24,25,26,27,28,29,30}-1)*LEN(Registro!$I169)+1,LEN(Registro!$I169)))," ",REPT(" ",50)),50)))),"Revisar formato"))</f>
        <v/>
      </c>
      <c r="K169" s="24" t="str">
        <f>IF(AND(Registro!$G169="",Registro!$H169=""),"",IF(AND(ISTEXT(I169),I169&lt;&gt;""),"Revisar formato",N(Registro!$G169)-N(I169)))</f>
        <v/>
      </c>
      <c r="L169" s="24" t="str">
        <f t="shared" si="5"/>
        <v/>
      </c>
      <c r="M169" s="36" t="str">
        <f>IF(AND(A169=Consulta!$B$3,C169=Consulta!$H$3),B169*10000+ROW(),"")</f>
        <v/>
      </c>
    </row>
    <row r="170" spans="1:13" x14ac:dyDescent="0.25">
      <c r="A170" s="21" t="str">
        <f>IF(Registro!$A170="","",Registro!$A170)</f>
        <v/>
      </c>
      <c r="B170" s="20" t="str">
        <f>IF(Registro!$B170="","",Registro!$B170)</f>
        <v/>
      </c>
      <c r="C170" s="35" t="str">
        <f t="shared" si="4"/>
        <v/>
      </c>
      <c r="D170" s="23" t="str">
        <f>IF(Registro!$E170="","",IF(ISERROR(FIND("x",LOWER(Registro!$E170))),"-",IFERROR(SUMPRODUCT(--("0"&amp;LEFT(TRIM(MID(SUBSTITUTE(SUBSTITUTE(SUBSTITUTE(SUBSTITUTE(SUBSTITUTE(LOWER(Registro!$E170),"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",LEN(Registro!$E170))),({1,2,3,4,5,6,7,8,9,10,11,12,13,14,15,16,17,18,19,20,21,22,23,24,25,26,27,28,29,30}-1)*LEN(Registro!$E170)+1,LEN(Registro!$E170))),FIND("x",TRIM(MID(SUBSTITUTE(SUBSTITUTE(SUBSTITUTE(SUBSTITUTE(SUBSTITUTE(LOWER(Registro!$E170),"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",LEN(Registro!$E170))),({1,2,3,4,5,6,7,8,9,10,11,12,13,14,15,16,17,18,19,20,21,22,23,24,25,26,27,28,29,30}-1)*LEN(Registro!$E170)+1,LEN(Registro!$E170)))&amp;"x")-1))),"Revisar formato")))</f>
        <v/>
      </c>
      <c r="E170" s="24" t="str">
        <f>IF(Registro!$E170="","",IF(ISERROR(FIND("x",LOWER(Registro!$E170))),"-",IFERROR(SUMPRODUCT(--("0"&amp;LEFT(TRIM(MID(SUBSTITUTE(SUBSTITUTE(SUBSTITUTE(SUBSTITUTE(SUBSTITUTE(LOWER(Registro!$E170),"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",LEN(Registro!$E170))),({1,2,3,4,5,6,7,8,9,10,11,12,13,14,15,16,17,18,19,20,21,22,23,24,25,26,27,28,29,30}-1)*LEN(Registro!$E170)+1,LEN(Registro!$E170))),FIND("x",TRIM(MID(SUBSTITUTE(SUBSTITUTE(SUBSTITUTE(SUBSTITUTE(SUBSTITUTE(LOWER(Registro!$E170),"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",LEN(Registro!$E170))),({1,2,3,4,5,6,7,8,9,10,11,12,13,14,15,16,17,18,19,20,21,22,23,24,25,26,27,28,29,30}-1)*LEN(Registro!$E170)+1,LEN(Registro!$E170)))&amp;"x")-1)),--("0"&amp;MID(TRIM(MID(SUBSTITUTE(SUBSTITUTE(SUBSTITUTE(SUBSTITUTE(SUBSTITUTE(LOWER(Registro!$E170),"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",LEN(Registro!$E170))),({1,2,3,4,5,6,7,8,9,10,11,12,13,14,15,16,17,18,19,20,21,22,23,24,25,26,27,28,29,30}-1)*LEN(Registro!$E170)+1,LEN(Registro!$E170))),FIND("x",TRIM(MID(SUBSTITUTE(SUBSTITUTE(SUBSTITUTE(SUBSTITUTE(SUBSTITUTE(LOWER(Registro!$E170),"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",LEN(Registro!$E170))),({1,2,3,4,5,6,7,8,9,10,11,12,13,14,15,16,17,18,19,20,21,22,23,24,25,26,27,28,29,30}-1)*LEN(Registro!$E170)+1,LEN(Registro!$E170)))&amp;"x")+1,20))),"Revisar formato")))</f>
        <v/>
      </c>
      <c r="F170" s="23" t="str">
        <f>IF(Registro!$F170="","",IF(ISERROR(FIND("x",LOWER(Registro!$F170))),"-",IFERROR(SUMPRODUCT(--("0"&amp;LEFT(TRIM(MID(SUBSTITUTE(SUBSTITUTE(SUBSTITUTE(SUBSTITUTE(SUBSTITUTE(LOWER(Registro!$F170)," ",""),CHAR(10),"|"),";","|"),"+","|"),"|",REPT(" ",LEN(Registro!$F170))),({1,2,3,4,5,6,7,8,9,10,11,12,13,14,15,16,17,18,19,20,21,22,23,24,25,26,27,28,29,30}-1)*LEN(Registro!$F170)+1,LEN(Registro!$F170))),FIND("x",TRIM(MID(SUBSTITUTE(SUBSTITUTE(SUBSTITUTE(SUBSTITUTE(SUBSTITUTE(LOWER(Registro!$F170)," ",""),CHAR(10),"|"),";","|"),"+","|"),"|",REPT(" ",LEN(Registro!$F170))),({1,2,3,4,5,6,7,8,9,10,11,12,13,14,15,16,17,18,19,20,21,22,23,24,25,26,27,28,29,30}-1)*LEN(Registro!$F170)+1,LEN(Registro!$F170)))&amp;"x")-1))),"Revisar formato")))</f>
        <v/>
      </c>
      <c r="G170" s="24" t="str">
        <f>IF(Registro!$F170="","",IF(ISERROR(FIND("x",LOWER(Registro!$F170))),N(Registro!$G170),IFERROR(SUMPRODUCT(--("0"&amp;LEFT(TRIM(MID(SUBSTITUTE(SUBSTITUTE(SUBSTITUTE(SUBSTITUTE(SUBSTITUTE(LOWER(Registro!$F170)," ",""),CHAR(10),"|"),";","|"),"+","|"),"|",REPT(" ",LEN(Registro!$F170))),({1,2,3,4,5,6,7,8,9,10,11,12,13,14,15,16,17,18,19,20,21,22,23,24,25,26,27,28,29,30}-1)*LEN(Registro!$F170)+1,LEN(Registro!$F170))),FIND("x",TRIM(MID(SUBSTITUTE(SUBSTITUTE(SUBSTITUTE(SUBSTITUTE(SUBSTITUTE(LOWER(Registro!$F170)," ",""),CHAR(10),"|"),";","|"),"+","|"),"|",REPT(" ",LEN(Registro!$F170))),({1,2,3,4,5,6,7,8,9,10,11,12,13,14,15,16,17,18,19,20,21,22,23,24,25,26,27,28,29,30}-1)*LEN(Registro!$F170)+1,LEN(Registro!$F170)))&amp;"x")-1)),--("0"&amp;MID(TRIM(MID(SUBSTITUTE(SUBSTITUTE(SUBSTITUTE(SUBSTITUTE(SUBSTITUTE(LOWER(Registro!$F170)," ",""),CHAR(10),"|"),";","|"),"+","|"),"|",REPT(" ",LEN(Registro!$F170))),({1,2,3,4,5,6,7,8,9,10,11,12,13,14,15,16,17,18,19,20,21,22,23,24,25,26,27,28,29,30}-1)*LEN(Registro!$F170)+1,LEN(Registro!$F170))),FIND("x",TRIM(MID(SUBSTITUTE(SUBSTITUTE(SUBSTITUTE(SUBSTITUTE(SUBSTITUTE(LOWER(Registro!$F170)," ",""),CHAR(10),"|"),";","|"),"+","|"),"|",REPT(" ",LEN(Registro!$F170))),({1,2,3,4,5,6,7,8,9,10,11,12,13,14,15,16,17,18,19,20,21,22,23,24,25,26,27,28,29,30}-1)*LEN(Registro!$F170)+1,LEN(Registro!$F170)))&amp;"x")+1,20))),"Revisar formato")))</f>
        <v/>
      </c>
      <c r="H170" s="21" t="str">
        <f>IF(AND(Registro!$E170="",Registro!$F170=""),"",IF(NOT(AND(ISNUMBER(G170),ISNUMBER(Registro!$G170))),"",IF(G170&lt;Registro!$G170,"FALTA BOLETOS",IF(G170=Registro!$G170,"CONFORME","DIFERENCIA"))))</f>
        <v/>
      </c>
      <c r="I170" s="24" t="str">
        <f>IF(Registro!$H170="","",IFERROR(SUMPRODUCT(--("0"&amp;TRIM(RIGHT(SUBSTITUTE(TRIM(MID(SUBSTITUTE(SUBSTITUTE(Registro!$H170,";",CHAR(10)),CHAR(10),REPT(" ",LEN(Registro!$H170))),({1,2,3,4,5,6,7,8,9,10,11,12,13,14,15,16,17,18,19,20,21,22,23,24,25,26,27,28,29,30}-1)*LEN(Registro!$H170)+1,LEN(Registro!$H170)))," ",REPT(" ",50)),50)))),"Revisar formato"))</f>
        <v/>
      </c>
      <c r="J170" s="24" t="str">
        <f>IF(Registro!$I170="","",IFERROR(SUMPRODUCT(--("0"&amp;TRIM(RIGHT(SUBSTITUTE(TRIM(MID(SUBSTITUTE(SUBSTITUTE(Registro!$I170,";",CHAR(10)),CHAR(10),REPT(" ",LEN(Registro!$I170))),({1,2,3,4,5,6,7,8,9,10,11,12,13,14,15,16,17,18,19,20,21,22,23,24,25,26,27,28,29,30}-1)*LEN(Registro!$I170)+1,LEN(Registro!$I170)))," ",REPT(" ",50)),50)))),"Revisar formato"))</f>
        <v/>
      </c>
      <c r="K170" s="24" t="str">
        <f>IF(AND(Registro!$G170="",Registro!$H170=""),"",IF(AND(ISTEXT(I170),I170&lt;&gt;""),"Revisar formato",N(Registro!$G170)-N(I170)))</f>
        <v/>
      </c>
      <c r="L170" s="24" t="str">
        <f t="shared" si="5"/>
        <v/>
      </c>
      <c r="M170" s="36" t="str">
        <f>IF(AND(A170=Consulta!$B$3,C170=Consulta!$H$3),B170*10000+ROW(),"")</f>
        <v/>
      </c>
    </row>
    <row r="171" spans="1:13" x14ac:dyDescent="0.25">
      <c r="A171" s="21" t="str">
        <f>IF(Registro!$A171="","",Registro!$A171)</f>
        <v/>
      </c>
      <c r="B171" s="20" t="str">
        <f>IF(Registro!$B171="","",Registro!$B171)</f>
        <v/>
      </c>
      <c r="C171" s="35" t="str">
        <f t="shared" si="4"/>
        <v/>
      </c>
      <c r="D171" s="23" t="str">
        <f>IF(Registro!$E171="","",IF(ISERROR(FIND("x",LOWER(Registro!$E171))),"-",IFERROR(SUMPRODUCT(--("0"&amp;LEFT(TRIM(MID(SUBSTITUTE(SUBSTITUTE(SUBSTITUTE(SUBSTITUTE(SUBSTITUTE(LOWER(Registro!$E171),"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",LEN(Registro!$E171))),({1,2,3,4,5,6,7,8,9,10,11,12,13,14,15,16,17,18,19,20,21,22,23,24,25,26,27,28,29,30}-1)*LEN(Registro!$E171)+1,LEN(Registro!$E171))),FIND("x",TRIM(MID(SUBSTITUTE(SUBSTITUTE(SUBSTITUTE(SUBSTITUTE(SUBSTITUTE(LOWER(Registro!$E171),"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",LEN(Registro!$E171))),({1,2,3,4,5,6,7,8,9,10,11,12,13,14,15,16,17,18,19,20,21,22,23,24,25,26,27,28,29,30}-1)*LEN(Registro!$E171)+1,LEN(Registro!$E171)))&amp;"x")-1))),"Revisar formato")))</f>
        <v/>
      </c>
      <c r="E171" s="24" t="str">
        <f>IF(Registro!$E171="","",IF(ISERROR(FIND("x",LOWER(Registro!$E171))),"-",IFERROR(SUMPRODUCT(--("0"&amp;LEFT(TRIM(MID(SUBSTITUTE(SUBSTITUTE(SUBSTITUTE(SUBSTITUTE(SUBSTITUTE(LOWER(Registro!$E171),"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",LEN(Registro!$E171))),({1,2,3,4,5,6,7,8,9,10,11,12,13,14,15,16,17,18,19,20,21,22,23,24,25,26,27,28,29,30}-1)*LEN(Registro!$E171)+1,LEN(Registro!$E171))),FIND("x",TRIM(MID(SUBSTITUTE(SUBSTITUTE(SUBSTITUTE(SUBSTITUTE(SUBSTITUTE(LOWER(Registro!$E171),"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",LEN(Registro!$E171))),({1,2,3,4,5,6,7,8,9,10,11,12,13,14,15,16,17,18,19,20,21,22,23,24,25,26,27,28,29,30}-1)*LEN(Registro!$E171)+1,LEN(Registro!$E171)))&amp;"x")-1)),--("0"&amp;MID(TRIM(MID(SUBSTITUTE(SUBSTITUTE(SUBSTITUTE(SUBSTITUTE(SUBSTITUTE(LOWER(Registro!$E171),"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",LEN(Registro!$E171))),({1,2,3,4,5,6,7,8,9,10,11,12,13,14,15,16,17,18,19,20,21,22,23,24,25,26,27,28,29,30}-1)*LEN(Registro!$E171)+1,LEN(Registro!$E171))),FIND("x",TRIM(MID(SUBSTITUTE(SUBSTITUTE(SUBSTITUTE(SUBSTITUTE(SUBSTITUTE(LOWER(Registro!$E171),"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",LEN(Registro!$E171))),({1,2,3,4,5,6,7,8,9,10,11,12,13,14,15,16,17,18,19,20,21,22,23,24,25,26,27,28,29,30}-1)*LEN(Registro!$E171)+1,LEN(Registro!$E171)))&amp;"x")+1,20))),"Revisar formato")))</f>
        <v/>
      </c>
      <c r="F171" s="23" t="str">
        <f>IF(Registro!$F171="","",IF(ISERROR(FIND("x",LOWER(Registro!$F171))),"-",IFERROR(SUMPRODUCT(--("0"&amp;LEFT(TRIM(MID(SUBSTITUTE(SUBSTITUTE(SUBSTITUTE(SUBSTITUTE(SUBSTITUTE(LOWER(Registro!$F171)," ",""),CHAR(10),"|"),";","|"),"+","|"),"|",REPT(" ",LEN(Registro!$F171))),({1,2,3,4,5,6,7,8,9,10,11,12,13,14,15,16,17,18,19,20,21,22,23,24,25,26,27,28,29,30}-1)*LEN(Registro!$F171)+1,LEN(Registro!$F171))),FIND("x",TRIM(MID(SUBSTITUTE(SUBSTITUTE(SUBSTITUTE(SUBSTITUTE(SUBSTITUTE(LOWER(Registro!$F171)," ",""),CHAR(10),"|"),";","|"),"+","|"),"|",REPT(" ",LEN(Registro!$F171))),({1,2,3,4,5,6,7,8,9,10,11,12,13,14,15,16,17,18,19,20,21,22,23,24,25,26,27,28,29,30}-1)*LEN(Registro!$F171)+1,LEN(Registro!$F171)))&amp;"x")-1))),"Revisar formato")))</f>
        <v/>
      </c>
      <c r="G171" s="24" t="str">
        <f>IF(Registro!$F171="","",IF(ISERROR(FIND("x",LOWER(Registro!$F171))),N(Registro!$G171),IFERROR(SUMPRODUCT(--("0"&amp;LEFT(TRIM(MID(SUBSTITUTE(SUBSTITUTE(SUBSTITUTE(SUBSTITUTE(SUBSTITUTE(LOWER(Registro!$F171)," ",""),CHAR(10),"|"),";","|"),"+","|"),"|",REPT(" ",LEN(Registro!$F171))),({1,2,3,4,5,6,7,8,9,10,11,12,13,14,15,16,17,18,19,20,21,22,23,24,25,26,27,28,29,30}-1)*LEN(Registro!$F171)+1,LEN(Registro!$F171))),FIND("x",TRIM(MID(SUBSTITUTE(SUBSTITUTE(SUBSTITUTE(SUBSTITUTE(SUBSTITUTE(LOWER(Registro!$F171)," ",""),CHAR(10),"|"),";","|"),"+","|"),"|",REPT(" ",LEN(Registro!$F171))),({1,2,3,4,5,6,7,8,9,10,11,12,13,14,15,16,17,18,19,20,21,22,23,24,25,26,27,28,29,30}-1)*LEN(Registro!$F171)+1,LEN(Registro!$F171)))&amp;"x")-1)),--("0"&amp;MID(TRIM(MID(SUBSTITUTE(SUBSTITUTE(SUBSTITUTE(SUBSTITUTE(SUBSTITUTE(LOWER(Registro!$F171)," ",""),CHAR(10),"|"),";","|"),"+","|"),"|",REPT(" ",LEN(Registro!$F171))),({1,2,3,4,5,6,7,8,9,10,11,12,13,14,15,16,17,18,19,20,21,22,23,24,25,26,27,28,29,30}-1)*LEN(Registro!$F171)+1,LEN(Registro!$F171))),FIND("x",TRIM(MID(SUBSTITUTE(SUBSTITUTE(SUBSTITUTE(SUBSTITUTE(SUBSTITUTE(LOWER(Registro!$F171)," ",""),CHAR(10),"|"),";","|"),"+","|"),"|",REPT(" ",LEN(Registro!$F171))),({1,2,3,4,5,6,7,8,9,10,11,12,13,14,15,16,17,18,19,20,21,22,23,24,25,26,27,28,29,30}-1)*LEN(Registro!$F171)+1,LEN(Registro!$F171)))&amp;"x")+1,20))),"Revisar formato")))</f>
        <v/>
      </c>
      <c r="H171" s="21" t="str">
        <f>IF(AND(Registro!$E171="",Registro!$F171=""),"",IF(NOT(AND(ISNUMBER(G171),ISNUMBER(Registro!$G171))),"",IF(G171&lt;Registro!$G171,"FALTA BOLETOS",IF(G171=Registro!$G171,"CONFORME","DIFERENCIA"))))</f>
        <v/>
      </c>
      <c r="I171" s="24" t="str">
        <f>IF(Registro!$H171="","",IFERROR(SUMPRODUCT(--("0"&amp;TRIM(RIGHT(SUBSTITUTE(TRIM(MID(SUBSTITUTE(SUBSTITUTE(Registro!$H171,";",CHAR(10)),CHAR(10),REPT(" ",LEN(Registro!$H171))),({1,2,3,4,5,6,7,8,9,10,11,12,13,14,15,16,17,18,19,20,21,22,23,24,25,26,27,28,29,30}-1)*LEN(Registro!$H171)+1,LEN(Registro!$H171)))," ",REPT(" ",50)),50)))),"Revisar formato"))</f>
        <v/>
      </c>
      <c r="J171" s="24" t="str">
        <f>IF(Registro!$I171="","",IFERROR(SUMPRODUCT(--("0"&amp;TRIM(RIGHT(SUBSTITUTE(TRIM(MID(SUBSTITUTE(SUBSTITUTE(Registro!$I171,";",CHAR(10)),CHAR(10),REPT(" ",LEN(Registro!$I171))),({1,2,3,4,5,6,7,8,9,10,11,12,13,14,15,16,17,18,19,20,21,22,23,24,25,26,27,28,29,30}-1)*LEN(Registro!$I171)+1,LEN(Registro!$I171)))," ",REPT(" ",50)),50)))),"Revisar formato"))</f>
        <v/>
      </c>
      <c r="K171" s="24" t="str">
        <f>IF(AND(Registro!$G171="",Registro!$H171=""),"",IF(AND(ISTEXT(I171),I171&lt;&gt;""),"Revisar formato",N(Registro!$G171)-N(I171)))</f>
        <v/>
      </c>
      <c r="L171" s="24" t="str">
        <f t="shared" si="5"/>
        <v/>
      </c>
      <c r="M171" s="36" t="str">
        <f>IF(AND(A171=Consulta!$B$3,C171=Consulta!$H$3),B171*10000+ROW(),"")</f>
        <v/>
      </c>
    </row>
    <row r="172" spans="1:13" x14ac:dyDescent="0.25">
      <c r="A172" s="21" t="str">
        <f>IF(Registro!$A172="","",Registro!$A172)</f>
        <v/>
      </c>
      <c r="B172" s="20" t="str">
        <f>IF(Registro!$B172="","",Registro!$B172)</f>
        <v/>
      </c>
      <c r="C172" s="35" t="str">
        <f t="shared" si="4"/>
        <v/>
      </c>
      <c r="D172" s="23" t="str">
        <f>IF(Registro!$E172="","",IF(ISERROR(FIND("x",LOWER(Registro!$E172))),"-",IFERROR(SUMPRODUCT(--("0"&amp;LEFT(TRIM(MID(SUBSTITUTE(SUBSTITUTE(SUBSTITUTE(SUBSTITUTE(SUBSTITUTE(LOWER(Registro!$E172),"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",LEN(Registro!$E172))),({1,2,3,4,5,6,7,8,9,10,11,12,13,14,15,16,17,18,19,20,21,22,23,24,25,26,27,28,29,30}-1)*LEN(Registro!$E172)+1,LEN(Registro!$E172))),FIND("x",TRIM(MID(SUBSTITUTE(SUBSTITUTE(SUBSTITUTE(SUBSTITUTE(SUBSTITUTE(LOWER(Registro!$E172),"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",LEN(Registro!$E172))),({1,2,3,4,5,6,7,8,9,10,11,12,13,14,15,16,17,18,19,20,21,22,23,24,25,26,27,28,29,30}-1)*LEN(Registro!$E172)+1,LEN(Registro!$E172)))&amp;"x")-1))),"Revisar formato")))</f>
        <v/>
      </c>
      <c r="E172" s="24" t="str">
        <f>IF(Registro!$E172="","",IF(ISERROR(FIND("x",LOWER(Registro!$E172))),"-",IFERROR(SUMPRODUCT(--("0"&amp;LEFT(TRIM(MID(SUBSTITUTE(SUBSTITUTE(SUBSTITUTE(SUBSTITUTE(SUBSTITUTE(LOWER(Registro!$E172),"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",LEN(Registro!$E172))),({1,2,3,4,5,6,7,8,9,10,11,12,13,14,15,16,17,18,19,20,21,22,23,24,25,26,27,28,29,30}-1)*LEN(Registro!$E172)+1,LEN(Registro!$E172))),FIND("x",TRIM(MID(SUBSTITUTE(SUBSTITUTE(SUBSTITUTE(SUBSTITUTE(SUBSTITUTE(LOWER(Registro!$E172),"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",LEN(Registro!$E172))),({1,2,3,4,5,6,7,8,9,10,11,12,13,14,15,16,17,18,19,20,21,22,23,24,25,26,27,28,29,30}-1)*LEN(Registro!$E172)+1,LEN(Registro!$E172)))&amp;"x")-1)),--("0"&amp;MID(TRIM(MID(SUBSTITUTE(SUBSTITUTE(SUBSTITUTE(SUBSTITUTE(SUBSTITUTE(LOWER(Registro!$E172),"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",LEN(Registro!$E172))),({1,2,3,4,5,6,7,8,9,10,11,12,13,14,15,16,17,18,19,20,21,22,23,24,25,26,27,28,29,30}-1)*LEN(Registro!$E172)+1,LEN(Registro!$E172))),FIND("x",TRIM(MID(SUBSTITUTE(SUBSTITUTE(SUBSTITUTE(SUBSTITUTE(SUBSTITUTE(LOWER(Registro!$E172),"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",LEN(Registro!$E172))),({1,2,3,4,5,6,7,8,9,10,11,12,13,14,15,16,17,18,19,20,21,22,23,24,25,26,27,28,29,30}-1)*LEN(Registro!$E172)+1,LEN(Registro!$E172)))&amp;"x")+1,20))),"Revisar formato")))</f>
        <v/>
      </c>
      <c r="F172" s="23" t="str">
        <f>IF(Registro!$F172="","",IF(ISERROR(FIND("x",LOWER(Registro!$F172))),"-",IFERROR(SUMPRODUCT(--("0"&amp;LEFT(TRIM(MID(SUBSTITUTE(SUBSTITUTE(SUBSTITUTE(SUBSTITUTE(SUBSTITUTE(LOWER(Registro!$F172)," ",""),CHAR(10),"|"),";","|"),"+","|"),"|",REPT(" ",LEN(Registro!$F172))),({1,2,3,4,5,6,7,8,9,10,11,12,13,14,15,16,17,18,19,20,21,22,23,24,25,26,27,28,29,30}-1)*LEN(Registro!$F172)+1,LEN(Registro!$F172))),FIND("x",TRIM(MID(SUBSTITUTE(SUBSTITUTE(SUBSTITUTE(SUBSTITUTE(SUBSTITUTE(LOWER(Registro!$F172)," ",""),CHAR(10),"|"),";","|"),"+","|"),"|",REPT(" ",LEN(Registro!$F172))),({1,2,3,4,5,6,7,8,9,10,11,12,13,14,15,16,17,18,19,20,21,22,23,24,25,26,27,28,29,30}-1)*LEN(Registro!$F172)+1,LEN(Registro!$F172)))&amp;"x")-1))),"Revisar formato")))</f>
        <v/>
      </c>
      <c r="G172" s="24" t="str">
        <f>IF(Registro!$F172="","",IF(ISERROR(FIND("x",LOWER(Registro!$F172))),N(Registro!$G172),IFERROR(SUMPRODUCT(--("0"&amp;LEFT(TRIM(MID(SUBSTITUTE(SUBSTITUTE(SUBSTITUTE(SUBSTITUTE(SUBSTITUTE(LOWER(Registro!$F172)," ",""),CHAR(10),"|"),";","|"),"+","|"),"|",REPT(" ",LEN(Registro!$F172))),({1,2,3,4,5,6,7,8,9,10,11,12,13,14,15,16,17,18,19,20,21,22,23,24,25,26,27,28,29,30}-1)*LEN(Registro!$F172)+1,LEN(Registro!$F172))),FIND("x",TRIM(MID(SUBSTITUTE(SUBSTITUTE(SUBSTITUTE(SUBSTITUTE(SUBSTITUTE(LOWER(Registro!$F172)," ",""),CHAR(10),"|"),";","|"),"+","|"),"|",REPT(" ",LEN(Registro!$F172))),({1,2,3,4,5,6,7,8,9,10,11,12,13,14,15,16,17,18,19,20,21,22,23,24,25,26,27,28,29,30}-1)*LEN(Registro!$F172)+1,LEN(Registro!$F172)))&amp;"x")-1)),--("0"&amp;MID(TRIM(MID(SUBSTITUTE(SUBSTITUTE(SUBSTITUTE(SUBSTITUTE(SUBSTITUTE(LOWER(Registro!$F172)," ",""),CHAR(10),"|"),";","|"),"+","|"),"|",REPT(" ",LEN(Registro!$F172))),({1,2,3,4,5,6,7,8,9,10,11,12,13,14,15,16,17,18,19,20,21,22,23,24,25,26,27,28,29,30}-1)*LEN(Registro!$F172)+1,LEN(Registro!$F172))),FIND("x",TRIM(MID(SUBSTITUTE(SUBSTITUTE(SUBSTITUTE(SUBSTITUTE(SUBSTITUTE(LOWER(Registro!$F172)," ",""),CHAR(10),"|"),";","|"),"+","|"),"|",REPT(" ",LEN(Registro!$F172))),({1,2,3,4,5,6,7,8,9,10,11,12,13,14,15,16,17,18,19,20,21,22,23,24,25,26,27,28,29,30}-1)*LEN(Registro!$F172)+1,LEN(Registro!$F172)))&amp;"x")+1,20))),"Revisar formato")))</f>
        <v/>
      </c>
      <c r="H172" s="21" t="str">
        <f>IF(AND(Registro!$E172="",Registro!$F172=""),"",IF(NOT(AND(ISNUMBER(G172),ISNUMBER(Registro!$G172))),"",IF(G172&lt;Registro!$G172,"FALTA BOLETOS",IF(G172=Registro!$G172,"CONFORME","DIFERENCIA"))))</f>
        <v/>
      </c>
      <c r="I172" s="24" t="str">
        <f>IF(Registro!$H172="","",IFERROR(SUMPRODUCT(--("0"&amp;TRIM(RIGHT(SUBSTITUTE(TRIM(MID(SUBSTITUTE(SUBSTITUTE(Registro!$H172,";",CHAR(10)),CHAR(10),REPT(" ",LEN(Registro!$H172))),({1,2,3,4,5,6,7,8,9,10,11,12,13,14,15,16,17,18,19,20,21,22,23,24,25,26,27,28,29,30}-1)*LEN(Registro!$H172)+1,LEN(Registro!$H172)))," ",REPT(" ",50)),50)))),"Revisar formato"))</f>
        <v/>
      </c>
      <c r="J172" s="24" t="str">
        <f>IF(Registro!$I172="","",IFERROR(SUMPRODUCT(--("0"&amp;TRIM(RIGHT(SUBSTITUTE(TRIM(MID(SUBSTITUTE(SUBSTITUTE(Registro!$I172,";",CHAR(10)),CHAR(10),REPT(" ",LEN(Registro!$I172))),({1,2,3,4,5,6,7,8,9,10,11,12,13,14,15,16,17,18,19,20,21,22,23,24,25,26,27,28,29,30}-1)*LEN(Registro!$I172)+1,LEN(Registro!$I172)))," ",REPT(" ",50)),50)))),"Revisar formato"))</f>
        <v/>
      </c>
      <c r="K172" s="24" t="str">
        <f>IF(AND(Registro!$G172="",Registro!$H172=""),"",IF(AND(ISTEXT(I172),I172&lt;&gt;""),"Revisar formato",N(Registro!$G172)-N(I172)))</f>
        <v/>
      </c>
      <c r="L172" s="24" t="str">
        <f t="shared" si="5"/>
        <v/>
      </c>
      <c r="M172" s="36" t="str">
        <f>IF(AND(A172=Consulta!$B$3,C172=Consulta!$H$3),B172*10000+ROW(),"")</f>
        <v/>
      </c>
    </row>
    <row r="173" spans="1:13" x14ac:dyDescent="0.25">
      <c r="A173" s="21" t="str">
        <f>IF(Registro!$A173="","",Registro!$A173)</f>
        <v/>
      </c>
      <c r="B173" s="20" t="str">
        <f>IF(Registro!$B173="","",Registro!$B173)</f>
        <v/>
      </c>
      <c r="C173" s="35" t="str">
        <f t="shared" si="4"/>
        <v/>
      </c>
      <c r="D173" s="23" t="str">
        <f>IF(Registro!$E173="","",IF(ISERROR(FIND("x",LOWER(Registro!$E173))),"-",IFERROR(SUMPRODUCT(--("0"&amp;LEFT(TRIM(MID(SUBSTITUTE(SUBSTITUTE(SUBSTITUTE(SUBSTITUTE(SUBSTITUTE(LOWER(Registro!$E173),"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",LEN(Registro!$E173))),({1,2,3,4,5,6,7,8,9,10,11,12,13,14,15,16,17,18,19,20,21,22,23,24,25,26,27,28,29,30}-1)*LEN(Registro!$E173)+1,LEN(Registro!$E173))),FIND("x",TRIM(MID(SUBSTITUTE(SUBSTITUTE(SUBSTITUTE(SUBSTITUTE(SUBSTITUTE(LOWER(Registro!$E173),"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",LEN(Registro!$E173))),({1,2,3,4,5,6,7,8,9,10,11,12,13,14,15,16,17,18,19,20,21,22,23,24,25,26,27,28,29,30}-1)*LEN(Registro!$E173)+1,LEN(Registro!$E173)))&amp;"x")-1))),"Revisar formato")))</f>
        <v/>
      </c>
      <c r="E173" s="24" t="str">
        <f>IF(Registro!$E173="","",IF(ISERROR(FIND("x",LOWER(Registro!$E173))),"-",IFERROR(SUMPRODUCT(--("0"&amp;LEFT(TRIM(MID(SUBSTITUTE(SUBSTITUTE(SUBSTITUTE(SUBSTITUTE(SUBSTITUTE(LOWER(Registro!$E173),"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",LEN(Registro!$E173))),({1,2,3,4,5,6,7,8,9,10,11,12,13,14,15,16,17,18,19,20,21,22,23,24,25,26,27,28,29,30}-1)*LEN(Registro!$E173)+1,LEN(Registro!$E173))),FIND("x",TRIM(MID(SUBSTITUTE(SUBSTITUTE(SUBSTITUTE(SUBSTITUTE(SUBSTITUTE(LOWER(Registro!$E173),"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",LEN(Registro!$E173))),({1,2,3,4,5,6,7,8,9,10,11,12,13,14,15,16,17,18,19,20,21,22,23,24,25,26,27,28,29,30}-1)*LEN(Registro!$E173)+1,LEN(Registro!$E173)))&amp;"x")-1)),--("0"&amp;MID(TRIM(MID(SUBSTITUTE(SUBSTITUTE(SUBSTITUTE(SUBSTITUTE(SUBSTITUTE(LOWER(Registro!$E173),"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",LEN(Registro!$E173))),({1,2,3,4,5,6,7,8,9,10,11,12,13,14,15,16,17,18,19,20,21,22,23,24,25,26,27,28,29,30}-1)*LEN(Registro!$E173)+1,LEN(Registro!$E173))),FIND("x",TRIM(MID(SUBSTITUTE(SUBSTITUTE(SUBSTITUTE(SUBSTITUTE(SUBSTITUTE(LOWER(Registro!$E173),"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",LEN(Registro!$E173))),({1,2,3,4,5,6,7,8,9,10,11,12,13,14,15,16,17,18,19,20,21,22,23,24,25,26,27,28,29,30}-1)*LEN(Registro!$E173)+1,LEN(Registro!$E173)))&amp;"x")+1,20))),"Revisar formato")))</f>
        <v/>
      </c>
      <c r="F173" s="23" t="str">
        <f>IF(Registro!$F173="","",IF(ISERROR(FIND("x",LOWER(Registro!$F173))),"-",IFERROR(SUMPRODUCT(--("0"&amp;LEFT(TRIM(MID(SUBSTITUTE(SUBSTITUTE(SUBSTITUTE(SUBSTITUTE(SUBSTITUTE(LOWER(Registro!$F173)," ",""),CHAR(10),"|"),";","|"),"+","|"),"|",REPT(" ",LEN(Registro!$F173))),({1,2,3,4,5,6,7,8,9,10,11,12,13,14,15,16,17,18,19,20,21,22,23,24,25,26,27,28,29,30}-1)*LEN(Registro!$F173)+1,LEN(Registro!$F173))),FIND("x",TRIM(MID(SUBSTITUTE(SUBSTITUTE(SUBSTITUTE(SUBSTITUTE(SUBSTITUTE(LOWER(Registro!$F173)," ",""),CHAR(10),"|"),";","|"),"+","|"),"|",REPT(" ",LEN(Registro!$F173))),({1,2,3,4,5,6,7,8,9,10,11,12,13,14,15,16,17,18,19,20,21,22,23,24,25,26,27,28,29,30}-1)*LEN(Registro!$F173)+1,LEN(Registro!$F173)))&amp;"x")-1))),"Revisar formato")))</f>
        <v/>
      </c>
      <c r="G173" s="24" t="str">
        <f>IF(Registro!$F173="","",IF(ISERROR(FIND("x",LOWER(Registro!$F173))),N(Registro!$G173),IFERROR(SUMPRODUCT(--("0"&amp;LEFT(TRIM(MID(SUBSTITUTE(SUBSTITUTE(SUBSTITUTE(SUBSTITUTE(SUBSTITUTE(LOWER(Registro!$F173)," ",""),CHAR(10),"|"),";","|"),"+","|"),"|",REPT(" ",LEN(Registro!$F173))),({1,2,3,4,5,6,7,8,9,10,11,12,13,14,15,16,17,18,19,20,21,22,23,24,25,26,27,28,29,30}-1)*LEN(Registro!$F173)+1,LEN(Registro!$F173))),FIND("x",TRIM(MID(SUBSTITUTE(SUBSTITUTE(SUBSTITUTE(SUBSTITUTE(SUBSTITUTE(LOWER(Registro!$F173)," ",""),CHAR(10),"|"),";","|"),"+","|"),"|",REPT(" ",LEN(Registro!$F173))),({1,2,3,4,5,6,7,8,9,10,11,12,13,14,15,16,17,18,19,20,21,22,23,24,25,26,27,28,29,30}-1)*LEN(Registro!$F173)+1,LEN(Registro!$F173)))&amp;"x")-1)),--("0"&amp;MID(TRIM(MID(SUBSTITUTE(SUBSTITUTE(SUBSTITUTE(SUBSTITUTE(SUBSTITUTE(LOWER(Registro!$F173)," ",""),CHAR(10),"|"),";","|"),"+","|"),"|",REPT(" ",LEN(Registro!$F173))),({1,2,3,4,5,6,7,8,9,10,11,12,13,14,15,16,17,18,19,20,21,22,23,24,25,26,27,28,29,30}-1)*LEN(Registro!$F173)+1,LEN(Registro!$F173))),FIND("x",TRIM(MID(SUBSTITUTE(SUBSTITUTE(SUBSTITUTE(SUBSTITUTE(SUBSTITUTE(LOWER(Registro!$F173)," ",""),CHAR(10),"|"),";","|"),"+","|"),"|",REPT(" ",LEN(Registro!$F173))),({1,2,3,4,5,6,7,8,9,10,11,12,13,14,15,16,17,18,19,20,21,22,23,24,25,26,27,28,29,30}-1)*LEN(Registro!$F173)+1,LEN(Registro!$F173)))&amp;"x")+1,20))),"Revisar formato")))</f>
        <v/>
      </c>
      <c r="H173" s="21" t="str">
        <f>IF(AND(Registro!$E173="",Registro!$F173=""),"",IF(NOT(AND(ISNUMBER(G173),ISNUMBER(Registro!$G173))),"",IF(G173&lt;Registro!$G173,"FALTA BOLETOS",IF(G173=Registro!$G173,"CONFORME","DIFERENCIA"))))</f>
        <v/>
      </c>
      <c r="I173" s="24" t="str">
        <f>IF(Registro!$H173="","",IFERROR(SUMPRODUCT(--("0"&amp;TRIM(RIGHT(SUBSTITUTE(TRIM(MID(SUBSTITUTE(SUBSTITUTE(Registro!$H173,";",CHAR(10)),CHAR(10),REPT(" ",LEN(Registro!$H173))),({1,2,3,4,5,6,7,8,9,10,11,12,13,14,15,16,17,18,19,20,21,22,23,24,25,26,27,28,29,30}-1)*LEN(Registro!$H173)+1,LEN(Registro!$H173)))," ",REPT(" ",50)),50)))),"Revisar formato"))</f>
        <v/>
      </c>
      <c r="J173" s="24" t="str">
        <f>IF(Registro!$I173="","",IFERROR(SUMPRODUCT(--("0"&amp;TRIM(RIGHT(SUBSTITUTE(TRIM(MID(SUBSTITUTE(SUBSTITUTE(Registro!$I173,";",CHAR(10)),CHAR(10),REPT(" ",LEN(Registro!$I173))),({1,2,3,4,5,6,7,8,9,10,11,12,13,14,15,16,17,18,19,20,21,22,23,24,25,26,27,28,29,30}-1)*LEN(Registro!$I173)+1,LEN(Registro!$I173)))," ",REPT(" ",50)),50)))),"Revisar formato"))</f>
        <v/>
      </c>
      <c r="K173" s="24" t="str">
        <f>IF(AND(Registro!$G173="",Registro!$H173=""),"",IF(AND(ISTEXT(I173),I173&lt;&gt;""),"Revisar formato",N(Registro!$G173)-N(I173)))</f>
        <v/>
      </c>
      <c r="L173" s="24" t="str">
        <f t="shared" si="5"/>
        <v/>
      </c>
      <c r="M173" s="36" t="str">
        <f>IF(AND(A173=Consulta!$B$3,C173=Consulta!$H$3),B173*10000+ROW(),"")</f>
        <v/>
      </c>
    </row>
    <row r="174" spans="1:13" x14ac:dyDescent="0.25">
      <c r="A174" s="21" t="str">
        <f>IF(Registro!$A174="","",Registro!$A174)</f>
        <v/>
      </c>
      <c r="B174" s="20" t="str">
        <f>IF(Registro!$B174="","",Registro!$B174)</f>
        <v/>
      </c>
      <c r="C174" s="35" t="str">
        <f t="shared" si="4"/>
        <v/>
      </c>
      <c r="D174" s="23" t="str">
        <f>IF(Registro!$E174="","",IF(ISERROR(FIND("x",LOWER(Registro!$E174))),"-",IFERROR(SUMPRODUCT(--("0"&amp;LEFT(TRIM(MID(SUBSTITUTE(SUBSTITUTE(SUBSTITUTE(SUBSTITUTE(SUBSTITUTE(LOWER(Registro!$E174),"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",LEN(Registro!$E174))),({1,2,3,4,5,6,7,8,9,10,11,12,13,14,15,16,17,18,19,20,21,22,23,24,25,26,27,28,29,30}-1)*LEN(Registro!$E174)+1,LEN(Registro!$E174))),FIND("x",TRIM(MID(SUBSTITUTE(SUBSTITUTE(SUBSTITUTE(SUBSTITUTE(SUBSTITUTE(LOWER(Registro!$E174),"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",LEN(Registro!$E174))),({1,2,3,4,5,6,7,8,9,10,11,12,13,14,15,16,17,18,19,20,21,22,23,24,25,26,27,28,29,30}-1)*LEN(Registro!$E174)+1,LEN(Registro!$E174)))&amp;"x")-1))),"Revisar formato")))</f>
        <v/>
      </c>
      <c r="E174" s="24" t="str">
        <f>IF(Registro!$E174="","",IF(ISERROR(FIND("x",LOWER(Registro!$E174))),"-",IFERROR(SUMPRODUCT(--("0"&amp;LEFT(TRIM(MID(SUBSTITUTE(SUBSTITUTE(SUBSTITUTE(SUBSTITUTE(SUBSTITUTE(LOWER(Registro!$E174),"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",LEN(Registro!$E174))),({1,2,3,4,5,6,7,8,9,10,11,12,13,14,15,16,17,18,19,20,21,22,23,24,25,26,27,28,29,30}-1)*LEN(Registro!$E174)+1,LEN(Registro!$E174))),FIND("x",TRIM(MID(SUBSTITUTE(SUBSTITUTE(SUBSTITUTE(SUBSTITUTE(SUBSTITUTE(LOWER(Registro!$E174),"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",LEN(Registro!$E174))),({1,2,3,4,5,6,7,8,9,10,11,12,13,14,15,16,17,18,19,20,21,22,23,24,25,26,27,28,29,30}-1)*LEN(Registro!$E174)+1,LEN(Registro!$E174)))&amp;"x")-1)),--("0"&amp;MID(TRIM(MID(SUBSTITUTE(SUBSTITUTE(SUBSTITUTE(SUBSTITUTE(SUBSTITUTE(LOWER(Registro!$E174),"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",LEN(Registro!$E174))),({1,2,3,4,5,6,7,8,9,10,11,12,13,14,15,16,17,18,19,20,21,22,23,24,25,26,27,28,29,30}-1)*LEN(Registro!$E174)+1,LEN(Registro!$E174))),FIND("x",TRIM(MID(SUBSTITUTE(SUBSTITUTE(SUBSTITUTE(SUBSTITUTE(SUBSTITUTE(LOWER(Registro!$E174),"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",LEN(Registro!$E174))),({1,2,3,4,5,6,7,8,9,10,11,12,13,14,15,16,17,18,19,20,21,22,23,24,25,26,27,28,29,30}-1)*LEN(Registro!$E174)+1,LEN(Registro!$E174)))&amp;"x")+1,20))),"Revisar formato")))</f>
        <v/>
      </c>
      <c r="F174" s="23" t="str">
        <f>IF(Registro!$F174="","",IF(ISERROR(FIND("x",LOWER(Registro!$F174))),"-",IFERROR(SUMPRODUCT(--("0"&amp;LEFT(TRIM(MID(SUBSTITUTE(SUBSTITUTE(SUBSTITUTE(SUBSTITUTE(SUBSTITUTE(LOWER(Registro!$F174)," ",""),CHAR(10),"|"),";","|"),"+","|"),"|",REPT(" ",LEN(Registro!$F174))),({1,2,3,4,5,6,7,8,9,10,11,12,13,14,15,16,17,18,19,20,21,22,23,24,25,26,27,28,29,30}-1)*LEN(Registro!$F174)+1,LEN(Registro!$F174))),FIND("x",TRIM(MID(SUBSTITUTE(SUBSTITUTE(SUBSTITUTE(SUBSTITUTE(SUBSTITUTE(LOWER(Registro!$F174)," ",""),CHAR(10),"|"),";","|"),"+","|"),"|",REPT(" ",LEN(Registro!$F174))),({1,2,3,4,5,6,7,8,9,10,11,12,13,14,15,16,17,18,19,20,21,22,23,24,25,26,27,28,29,30}-1)*LEN(Registro!$F174)+1,LEN(Registro!$F174)))&amp;"x")-1))),"Revisar formato")))</f>
        <v/>
      </c>
      <c r="G174" s="24" t="str">
        <f>IF(Registro!$F174="","",IF(ISERROR(FIND("x",LOWER(Registro!$F174))),N(Registro!$G174),IFERROR(SUMPRODUCT(--("0"&amp;LEFT(TRIM(MID(SUBSTITUTE(SUBSTITUTE(SUBSTITUTE(SUBSTITUTE(SUBSTITUTE(LOWER(Registro!$F174)," ",""),CHAR(10),"|"),";","|"),"+","|"),"|",REPT(" ",LEN(Registro!$F174))),({1,2,3,4,5,6,7,8,9,10,11,12,13,14,15,16,17,18,19,20,21,22,23,24,25,26,27,28,29,30}-1)*LEN(Registro!$F174)+1,LEN(Registro!$F174))),FIND("x",TRIM(MID(SUBSTITUTE(SUBSTITUTE(SUBSTITUTE(SUBSTITUTE(SUBSTITUTE(LOWER(Registro!$F174)," ",""),CHAR(10),"|"),";","|"),"+","|"),"|",REPT(" ",LEN(Registro!$F174))),({1,2,3,4,5,6,7,8,9,10,11,12,13,14,15,16,17,18,19,20,21,22,23,24,25,26,27,28,29,30}-1)*LEN(Registro!$F174)+1,LEN(Registro!$F174)))&amp;"x")-1)),--("0"&amp;MID(TRIM(MID(SUBSTITUTE(SUBSTITUTE(SUBSTITUTE(SUBSTITUTE(SUBSTITUTE(LOWER(Registro!$F174)," ",""),CHAR(10),"|"),";","|"),"+","|"),"|",REPT(" ",LEN(Registro!$F174))),({1,2,3,4,5,6,7,8,9,10,11,12,13,14,15,16,17,18,19,20,21,22,23,24,25,26,27,28,29,30}-1)*LEN(Registro!$F174)+1,LEN(Registro!$F174))),FIND("x",TRIM(MID(SUBSTITUTE(SUBSTITUTE(SUBSTITUTE(SUBSTITUTE(SUBSTITUTE(LOWER(Registro!$F174)," ",""),CHAR(10),"|"),";","|"),"+","|"),"|",REPT(" ",LEN(Registro!$F174))),({1,2,3,4,5,6,7,8,9,10,11,12,13,14,15,16,17,18,19,20,21,22,23,24,25,26,27,28,29,30}-1)*LEN(Registro!$F174)+1,LEN(Registro!$F174)))&amp;"x")+1,20))),"Revisar formato")))</f>
        <v/>
      </c>
      <c r="H174" s="21" t="str">
        <f>IF(AND(Registro!$E174="",Registro!$F174=""),"",IF(NOT(AND(ISNUMBER(G174),ISNUMBER(Registro!$G174))),"",IF(G174&lt;Registro!$G174,"FALTA BOLETOS",IF(G174=Registro!$G174,"CONFORME","DIFERENCIA"))))</f>
        <v/>
      </c>
      <c r="I174" s="24" t="str">
        <f>IF(Registro!$H174="","",IFERROR(SUMPRODUCT(--("0"&amp;TRIM(RIGHT(SUBSTITUTE(TRIM(MID(SUBSTITUTE(SUBSTITUTE(Registro!$H174,";",CHAR(10)),CHAR(10),REPT(" ",LEN(Registro!$H174))),({1,2,3,4,5,6,7,8,9,10,11,12,13,14,15,16,17,18,19,20,21,22,23,24,25,26,27,28,29,30}-1)*LEN(Registro!$H174)+1,LEN(Registro!$H174)))," ",REPT(" ",50)),50)))),"Revisar formato"))</f>
        <v/>
      </c>
      <c r="J174" s="24" t="str">
        <f>IF(Registro!$I174="","",IFERROR(SUMPRODUCT(--("0"&amp;TRIM(RIGHT(SUBSTITUTE(TRIM(MID(SUBSTITUTE(SUBSTITUTE(Registro!$I174,";",CHAR(10)),CHAR(10),REPT(" ",LEN(Registro!$I174))),({1,2,3,4,5,6,7,8,9,10,11,12,13,14,15,16,17,18,19,20,21,22,23,24,25,26,27,28,29,30}-1)*LEN(Registro!$I174)+1,LEN(Registro!$I174)))," ",REPT(" ",50)),50)))),"Revisar formato"))</f>
        <v/>
      </c>
      <c r="K174" s="24" t="str">
        <f>IF(AND(Registro!$G174="",Registro!$H174=""),"",IF(AND(ISTEXT(I174),I174&lt;&gt;""),"Revisar formato",N(Registro!$G174)-N(I174)))</f>
        <v/>
      </c>
      <c r="L174" s="24" t="str">
        <f t="shared" si="5"/>
        <v/>
      </c>
      <c r="M174" s="36" t="str">
        <f>IF(AND(A174=Consulta!$B$3,C174=Consulta!$H$3),B174*10000+ROW(),"")</f>
        <v/>
      </c>
    </row>
    <row r="175" spans="1:13" x14ac:dyDescent="0.25">
      <c r="A175" s="21" t="str">
        <f>IF(Registro!$A175="","",Registro!$A175)</f>
        <v/>
      </c>
      <c r="B175" s="20" t="str">
        <f>IF(Registro!$B175="","",Registro!$B175)</f>
        <v/>
      </c>
      <c r="C175" s="35" t="str">
        <f t="shared" si="4"/>
        <v/>
      </c>
      <c r="D175" s="23" t="str">
        <f>IF(Registro!$E175="","",IF(ISERROR(FIND("x",LOWER(Registro!$E175))),"-",IFERROR(SUMPRODUCT(--("0"&amp;LEFT(TRIM(MID(SUBSTITUTE(SUBSTITUTE(SUBSTITUTE(SUBSTITUTE(SUBSTITUTE(LOWER(Registro!$E175),"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",LEN(Registro!$E175))),({1,2,3,4,5,6,7,8,9,10,11,12,13,14,15,16,17,18,19,20,21,22,23,24,25,26,27,28,29,30}-1)*LEN(Registro!$E175)+1,LEN(Registro!$E175))),FIND("x",TRIM(MID(SUBSTITUTE(SUBSTITUTE(SUBSTITUTE(SUBSTITUTE(SUBSTITUTE(LOWER(Registro!$E175),"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",LEN(Registro!$E175))),({1,2,3,4,5,6,7,8,9,10,11,12,13,14,15,16,17,18,19,20,21,22,23,24,25,26,27,28,29,30}-1)*LEN(Registro!$E175)+1,LEN(Registro!$E175)))&amp;"x")-1))),"Revisar formato")))</f>
        <v/>
      </c>
      <c r="E175" s="24" t="str">
        <f>IF(Registro!$E175="","",IF(ISERROR(FIND("x",LOWER(Registro!$E175))),"-",IFERROR(SUMPRODUCT(--("0"&amp;LEFT(TRIM(MID(SUBSTITUTE(SUBSTITUTE(SUBSTITUTE(SUBSTITUTE(SUBSTITUTE(LOWER(Registro!$E175),"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",LEN(Registro!$E175))),({1,2,3,4,5,6,7,8,9,10,11,12,13,14,15,16,17,18,19,20,21,22,23,24,25,26,27,28,29,30}-1)*LEN(Registro!$E175)+1,LEN(Registro!$E175))),FIND("x",TRIM(MID(SUBSTITUTE(SUBSTITUTE(SUBSTITUTE(SUBSTITUTE(SUBSTITUTE(LOWER(Registro!$E175),"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",LEN(Registro!$E175))),({1,2,3,4,5,6,7,8,9,10,11,12,13,14,15,16,17,18,19,20,21,22,23,24,25,26,27,28,29,30}-1)*LEN(Registro!$E175)+1,LEN(Registro!$E175)))&amp;"x")-1)),--("0"&amp;MID(TRIM(MID(SUBSTITUTE(SUBSTITUTE(SUBSTITUTE(SUBSTITUTE(SUBSTITUTE(LOWER(Registro!$E175),"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",LEN(Registro!$E175))),({1,2,3,4,5,6,7,8,9,10,11,12,13,14,15,16,17,18,19,20,21,22,23,24,25,26,27,28,29,30}-1)*LEN(Registro!$E175)+1,LEN(Registro!$E175))),FIND("x",TRIM(MID(SUBSTITUTE(SUBSTITUTE(SUBSTITUTE(SUBSTITUTE(SUBSTITUTE(LOWER(Registro!$E175),"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",LEN(Registro!$E175))),({1,2,3,4,5,6,7,8,9,10,11,12,13,14,15,16,17,18,19,20,21,22,23,24,25,26,27,28,29,30}-1)*LEN(Registro!$E175)+1,LEN(Registro!$E175)))&amp;"x")+1,20))),"Revisar formato")))</f>
        <v/>
      </c>
      <c r="F175" s="23" t="str">
        <f>IF(Registro!$F175="","",IF(ISERROR(FIND("x",LOWER(Registro!$F175))),"-",IFERROR(SUMPRODUCT(--("0"&amp;LEFT(TRIM(MID(SUBSTITUTE(SUBSTITUTE(SUBSTITUTE(SUBSTITUTE(SUBSTITUTE(LOWER(Registro!$F175)," ",""),CHAR(10),"|"),";","|"),"+","|"),"|",REPT(" ",LEN(Registro!$F175))),({1,2,3,4,5,6,7,8,9,10,11,12,13,14,15,16,17,18,19,20,21,22,23,24,25,26,27,28,29,30}-1)*LEN(Registro!$F175)+1,LEN(Registro!$F175))),FIND("x",TRIM(MID(SUBSTITUTE(SUBSTITUTE(SUBSTITUTE(SUBSTITUTE(SUBSTITUTE(LOWER(Registro!$F175)," ",""),CHAR(10),"|"),";","|"),"+","|"),"|",REPT(" ",LEN(Registro!$F175))),({1,2,3,4,5,6,7,8,9,10,11,12,13,14,15,16,17,18,19,20,21,22,23,24,25,26,27,28,29,30}-1)*LEN(Registro!$F175)+1,LEN(Registro!$F175)))&amp;"x")-1))),"Revisar formato")))</f>
        <v/>
      </c>
      <c r="G175" s="24" t="str">
        <f>IF(Registro!$F175="","",IF(ISERROR(FIND("x",LOWER(Registro!$F175))),N(Registro!$G175),IFERROR(SUMPRODUCT(--("0"&amp;LEFT(TRIM(MID(SUBSTITUTE(SUBSTITUTE(SUBSTITUTE(SUBSTITUTE(SUBSTITUTE(LOWER(Registro!$F175)," ",""),CHAR(10),"|"),";","|"),"+","|"),"|",REPT(" ",LEN(Registro!$F175))),({1,2,3,4,5,6,7,8,9,10,11,12,13,14,15,16,17,18,19,20,21,22,23,24,25,26,27,28,29,30}-1)*LEN(Registro!$F175)+1,LEN(Registro!$F175))),FIND("x",TRIM(MID(SUBSTITUTE(SUBSTITUTE(SUBSTITUTE(SUBSTITUTE(SUBSTITUTE(LOWER(Registro!$F175)," ",""),CHAR(10),"|"),";","|"),"+","|"),"|",REPT(" ",LEN(Registro!$F175))),({1,2,3,4,5,6,7,8,9,10,11,12,13,14,15,16,17,18,19,20,21,22,23,24,25,26,27,28,29,30}-1)*LEN(Registro!$F175)+1,LEN(Registro!$F175)))&amp;"x")-1)),--("0"&amp;MID(TRIM(MID(SUBSTITUTE(SUBSTITUTE(SUBSTITUTE(SUBSTITUTE(SUBSTITUTE(LOWER(Registro!$F175)," ",""),CHAR(10),"|"),";","|"),"+","|"),"|",REPT(" ",LEN(Registro!$F175))),({1,2,3,4,5,6,7,8,9,10,11,12,13,14,15,16,17,18,19,20,21,22,23,24,25,26,27,28,29,30}-1)*LEN(Registro!$F175)+1,LEN(Registro!$F175))),FIND("x",TRIM(MID(SUBSTITUTE(SUBSTITUTE(SUBSTITUTE(SUBSTITUTE(SUBSTITUTE(LOWER(Registro!$F175)," ",""),CHAR(10),"|"),";","|"),"+","|"),"|",REPT(" ",LEN(Registro!$F175))),({1,2,3,4,5,6,7,8,9,10,11,12,13,14,15,16,17,18,19,20,21,22,23,24,25,26,27,28,29,30}-1)*LEN(Registro!$F175)+1,LEN(Registro!$F175)))&amp;"x")+1,20))),"Revisar formato")))</f>
        <v/>
      </c>
      <c r="H175" s="21" t="str">
        <f>IF(AND(Registro!$E175="",Registro!$F175=""),"",IF(NOT(AND(ISNUMBER(G175),ISNUMBER(Registro!$G175))),"",IF(G175&lt;Registro!$G175,"FALTA BOLETOS",IF(G175=Registro!$G175,"CONFORME","DIFERENCIA"))))</f>
        <v/>
      </c>
      <c r="I175" s="24" t="str">
        <f>IF(Registro!$H175="","",IFERROR(SUMPRODUCT(--("0"&amp;TRIM(RIGHT(SUBSTITUTE(TRIM(MID(SUBSTITUTE(SUBSTITUTE(Registro!$H175,";",CHAR(10)),CHAR(10),REPT(" ",LEN(Registro!$H175))),({1,2,3,4,5,6,7,8,9,10,11,12,13,14,15,16,17,18,19,20,21,22,23,24,25,26,27,28,29,30}-1)*LEN(Registro!$H175)+1,LEN(Registro!$H175)))," ",REPT(" ",50)),50)))),"Revisar formato"))</f>
        <v/>
      </c>
      <c r="J175" s="24" t="str">
        <f>IF(Registro!$I175="","",IFERROR(SUMPRODUCT(--("0"&amp;TRIM(RIGHT(SUBSTITUTE(TRIM(MID(SUBSTITUTE(SUBSTITUTE(Registro!$I175,";",CHAR(10)),CHAR(10),REPT(" ",LEN(Registro!$I175))),({1,2,3,4,5,6,7,8,9,10,11,12,13,14,15,16,17,18,19,20,21,22,23,24,25,26,27,28,29,30}-1)*LEN(Registro!$I175)+1,LEN(Registro!$I175)))," ",REPT(" ",50)),50)))),"Revisar formato"))</f>
        <v/>
      </c>
      <c r="K175" s="24" t="str">
        <f>IF(AND(Registro!$G175="",Registro!$H175=""),"",IF(AND(ISTEXT(I175),I175&lt;&gt;""),"Revisar formato",N(Registro!$G175)-N(I175)))</f>
        <v/>
      </c>
      <c r="L175" s="24" t="str">
        <f t="shared" si="5"/>
        <v/>
      </c>
      <c r="M175" s="36" t="str">
        <f>IF(AND(A175=Consulta!$B$3,C175=Consulta!$H$3),B175*10000+ROW(),"")</f>
        <v/>
      </c>
    </row>
    <row r="176" spans="1:13" x14ac:dyDescent="0.25">
      <c r="A176" s="21" t="str">
        <f>IF(Registro!$A176="","",Registro!$A176)</f>
        <v/>
      </c>
      <c r="B176" s="20" t="str">
        <f>IF(Registro!$B176="","",Registro!$B176)</f>
        <v/>
      </c>
      <c r="C176" s="35" t="str">
        <f t="shared" si="4"/>
        <v/>
      </c>
      <c r="D176" s="23" t="str">
        <f>IF(Registro!$E176="","",IF(ISERROR(FIND("x",LOWER(Registro!$E176))),"-",IFERROR(SUMPRODUCT(--("0"&amp;LEFT(TRIM(MID(SUBSTITUTE(SUBSTITUTE(SUBSTITUTE(SUBSTITUTE(SUBSTITUTE(LOWER(Registro!$E176),"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",LEN(Registro!$E176))),({1,2,3,4,5,6,7,8,9,10,11,12,13,14,15,16,17,18,19,20,21,22,23,24,25,26,27,28,29,30}-1)*LEN(Registro!$E176)+1,LEN(Registro!$E176))),FIND("x",TRIM(MID(SUBSTITUTE(SUBSTITUTE(SUBSTITUTE(SUBSTITUTE(SUBSTITUTE(LOWER(Registro!$E176),"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",LEN(Registro!$E176))),({1,2,3,4,5,6,7,8,9,10,11,12,13,14,15,16,17,18,19,20,21,22,23,24,25,26,27,28,29,30}-1)*LEN(Registro!$E176)+1,LEN(Registro!$E176)))&amp;"x")-1))),"Revisar formato")))</f>
        <v/>
      </c>
      <c r="E176" s="24" t="str">
        <f>IF(Registro!$E176="","",IF(ISERROR(FIND("x",LOWER(Registro!$E176))),"-",IFERROR(SUMPRODUCT(--("0"&amp;LEFT(TRIM(MID(SUBSTITUTE(SUBSTITUTE(SUBSTITUTE(SUBSTITUTE(SUBSTITUTE(LOWER(Registro!$E176),"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",LEN(Registro!$E176))),({1,2,3,4,5,6,7,8,9,10,11,12,13,14,15,16,17,18,19,20,21,22,23,24,25,26,27,28,29,30}-1)*LEN(Registro!$E176)+1,LEN(Registro!$E176))),FIND("x",TRIM(MID(SUBSTITUTE(SUBSTITUTE(SUBSTITUTE(SUBSTITUTE(SUBSTITUTE(LOWER(Registro!$E176),"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",LEN(Registro!$E176))),({1,2,3,4,5,6,7,8,9,10,11,12,13,14,15,16,17,18,19,20,21,22,23,24,25,26,27,28,29,30}-1)*LEN(Registro!$E176)+1,LEN(Registro!$E176)))&amp;"x")-1)),--("0"&amp;MID(TRIM(MID(SUBSTITUTE(SUBSTITUTE(SUBSTITUTE(SUBSTITUTE(SUBSTITUTE(LOWER(Registro!$E176),"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",LEN(Registro!$E176))),({1,2,3,4,5,6,7,8,9,10,11,12,13,14,15,16,17,18,19,20,21,22,23,24,25,26,27,28,29,30}-1)*LEN(Registro!$E176)+1,LEN(Registro!$E176))),FIND("x",TRIM(MID(SUBSTITUTE(SUBSTITUTE(SUBSTITUTE(SUBSTITUTE(SUBSTITUTE(LOWER(Registro!$E176),"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",LEN(Registro!$E176))),({1,2,3,4,5,6,7,8,9,10,11,12,13,14,15,16,17,18,19,20,21,22,23,24,25,26,27,28,29,30}-1)*LEN(Registro!$E176)+1,LEN(Registro!$E176)))&amp;"x")+1,20))),"Revisar formato")))</f>
        <v/>
      </c>
      <c r="F176" s="23" t="str">
        <f>IF(Registro!$F176="","",IF(ISERROR(FIND("x",LOWER(Registro!$F176))),"-",IFERROR(SUMPRODUCT(--("0"&amp;LEFT(TRIM(MID(SUBSTITUTE(SUBSTITUTE(SUBSTITUTE(SUBSTITUTE(SUBSTITUTE(LOWER(Registro!$F176)," ",""),CHAR(10),"|"),";","|"),"+","|"),"|",REPT(" ",LEN(Registro!$F176))),({1,2,3,4,5,6,7,8,9,10,11,12,13,14,15,16,17,18,19,20,21,22,23,24,25,26,27,28,29,30}-1)*LEN(Registro!$F176)+1,LEN(Registro!$F176))),FIND("x",TRIM(MID(SUBSTITUTE(SUBSTITUTE(SUBSTITUTE(SUBSTITUTE(SUBSTITUTE(LOWER(Registro!$F176)," ",""),CHAR(10),"|"),";","|"),"+","|"),"|",REPT(" ",LEN(Registro!$F176))),({1,2,3,4,5,6,7,8,9,10,11,12,13,14,15,16,17,18,19,20,21,22,23,24,25,26,27,28,29,30}-1)*LEN(Registro!$F176)+1,LEN(Registro!$F176)))&amp;"x")-1))),"Revisar formato")))</f>
        <v/>
      </c>
      <c r="G176" s="24" t="str">
        <f>IF(Registro!$F176="","",IF(ISERROR(FIND("x",LOWER(Registro!$F176))),N(Registro!$G176),IFERROR(SUMPRODUCT(--("0"&amp;LEFT(TRIM(MID(SUBSTITUTE(SUBSTITUTE(SUBSTITUTE(SUBSTITUTE(SUBSTITUTE(LOWER(Registro!$F176)," ",""),CHAR(10),"|"),";","|"),"+","|"),"|",REPT(" ",LEN(Registro!$F176))),({1,2,3,4,5,6,7,8,9,10,11,12,13,14,15,16,17,18,19,20,21,22,23,24,25,26,27,28,29,30}-1)*LEN(Registro!$F176)+1,LEN(Registro!$F176))),FIND("x",TRIM(MID(SUBSTITUTE(SUBSTITUTE(SUBSTITUTE(SUBSTITUTE(SUBSTITUTE(LOWER(Registro!$F176)," ",""),CHAR(10),"|"),";","|"),"+","|"),"|",REPT(" ",LEN(Registro!$F176))),({1,2,3,4,5,6,7,8,9,10,11,12,13,14,15,16,17,18,19,20,21,22,23,24,25,26,27,28,29,30}-1)*LEN(Registro!$F176)+1,LEN(Registro!$F176)))&amp;"x")-1)),--("0"&amp;MID(TRIM(MID(SUBSTITUTE(SUBSTITUTE(SUBSTITUTE(SUBSTITUTE(SUBSTITUTE(LOWER(Registro!$F176)," ",""),CHAR(10),"|"),";","|"),"+","|"),"|",REPT(" ",LEN(Registro!$F176))),({1,2,3,4,5,6,7,8,9,10,11,12,13,14,15,16,17,18,19,20,21,22,23,24,25,26,27,28,29,30}-1)*LEN(Registro!$F176)+1,LEN(Registro!$F176))),FIND("x",TRIM(MID(SUBSTITUTE(SUBSTITUTE(SUBSTITUTE(SUBSTITUTE(SUBSTITUTE(LOWER(Registro!$F176)," ",""),CHAR(10),"|"),";","|"),"+","|"),"|",REPT(" ",LEN(Registro!$F176))),({1,2,3,4,5,6,7,8,9,10,11,12,13,14,15,16,17,18,19,20,21,22,23,24,25,26,27,28,29,30}-1)*LEN(Registro!$F176)+1,LEN(Registro!$F176)))&amp;"x")+1,20))),"Revisar formato")))</f>
        <v/>
      </c>
      <c r="H176" s="21" t="str">
        <f>IF(AND(Registro!$E176="",Registro!$F176=""),"",IF(NOT(AND(ISNUMBER(G176),ISNUMBER(Registro!$G176))),"",IF(G176&lt;Registro!$G176,"FALTA BOLETOS",IF(G176=Registro!$G176,"CONFORME","DIFERENCIA"))))</f>
        <v/>
      </c>
      <c r="I176" s="24" t="str">
        <f>IF(Registro!$H176="","",IFERROR(SUMPRODUCT(--("0"&amp;TRIM(RIGHT(SUBSTITUTE(TRIM(MID(SUBSTITUTE(SUBSTITUTE(Registro!$H176,";",CHAR(10)),CHAR(10),REPT(" ",LEN(Registro!$H176))),({1,2,3,4,5,6,7,8,9,10,11,12,13,14,15,16,17,18,19,20,21,22,23,24,25,26,27,28,29,30}-1)*LEN(Registro!$H176)+1,LEN(Registro!$H176)))," ",REPT(" ",50)),50)))),"Revisar formato"))</f>
        <v/>
      </c>
      <c r="J176" s="24" t="str">
        <f>IF(Registro!$I176="","",IFERROR(SUMPRODUCT(--("0"&amp;TRIM(RIGHT(SUBSTITUTE(TRIM(MID(SUBSTITUTE(SUBSTITUTE(Registro!$I176,";",CHAR(10)),CHAR(10),REPT(" ",LEN(Registro!$I176))),({1,2,3,4,5,6,7,8,9,10,11,12,13,14,15,16,17,18,19,20,21,22,23,24,25,26,27,28,29,30}-1)*LEN(Registro!$I176)+1,LEN(Registro!$I176)))," ",REPT(" ",50)),50)))),"Revisar formato"))</f>
        <v/>
      </c>
      <c r="K176" s="24" t="str">
        <f>IF(AND(Registro!$G176="",Registro!$H176=""),"",IF(AND(ISTEXT(I176),I176&lt;&gt;""),"Revisar formato",N(Registro!$G176)-N(I176)))</f>
        <v/>
      </c>
      <c r="L176" s="24" t="str">
        <f t="shared" si="5"/>
        <v/>
      </c>
      <c r="M176" s="36" t="str">
        <f>IF(AND(A176=Consulta!$B$3,C176=Consulta!$H$3),B176*10000+ROW(),"")</f>
        <v/>
      </c>
    </row>
    <row r="177" spans="1:13" x14ac:dyDescent="0.25">
      <c r="A177" s="21" t="str">
        <f>IF(Registro!$A177="","",Registro!$A177)</f>
        <v/>
      </c>
      <c r="B177" s="20" t="str">
        <f>IF(Registro!$B177="","",Registro!$B177)</f>
        <v/>
      </c>
      <c r="C177" s="35" t="str">
        <f t="shared" si="4"/>
        <v/>
      </c>
      <c r="D177" s="23" t="str">
        <f>IF(Registro!$E177="","",IF(ISERROR(FIND("x",LOWER(Registro!$E177))),"-",IFERROR(SUMPRODUCT(--("0"&amp;LEFT(TRIM(MID(SUBSTITUTE(SUBSTITUTE(SUBSTITUTE(SUBSTITUTE(SUBSTITUTE(LOWER(Registro!$E177),"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",LEN(Registro!$E177))),({1,2,3,4,5,6,7,8,9,10,11,12,13,14,15,16,17,18,19,20,21,22,23,24,25,26,27,28,29,30}-1)*LEN(Registro!$E177)+1,LEN(Registro!$E177))),FIND("x",TRIM(MID(SUBSTITUTE(SUBSTITUTE(SUBSTITUTE(SUBSTITUTE(SUBSTITUTE(LOWER(Registro!$E177),"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",LEN(Registro!$E177))),({1,2,3,4,5,6,7,8,9,10,11,12,13,14,15,16,17,18,19,20,21,22,23,24,25,26,27,28,29,30}-1)*LEN(Registro!$E177)+1,LEN(Registro!$E177)))&amp;"x")-1))),"Revisar formato")))</f>
        <v/>
      </c>
      <c r="E177" s="24" t="str">
        <f>IF(Registro!$E177="","",IF(ISERROR(FIND("x",LOWER(Registro!$E177))),"-",IFERROR(SUMPRODUCT(--("0"&amp;LEFT(TRIM(MID(SUBSTITUTE(SUBSTITUTE(SUBSTITUTE(SUBSTITUTE(SUBSTITUTE(LOWER(Registro!$E177),"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",LEN(Registro!$E177))),({1,2,3,4,5,6,7,8,9,10,11,12,13,14,15,16,17,18,19,20,21,22,23,24,25,26,27,28,29,30}-1)*LEN(Registro!$E177)+1,LEN(Registro!$E177))),FIND("x",TRIM(MID(SUBSTITUTE(SUBSTITUTE(SUBSTITUTE(SUBSTITUTE(SUBSTITUTE(LOWER(Registro!$E177),"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",LEN(Registro!$E177))),({1,2,3,4,5,6,7,8,9,10,11,12,13,14,15,16,17,18,19,20,21,22,23,24,25,26,27,28,29,30}-1)*LEN(Registro!$E177)+1,LEN(Registro!$E177)))&amp;"x")-1)),--("0"&amp;MID(TRIM(MID(SUBSTITUTE(SUBSTITUTE(SUBSTITUTE(SUBSTITUTE(SUBSTITUTE(LOWER(Registro!$E177),"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",LEN(Registro!$E177))),({1,2,3,4,5,6,7,8,9,10,11,12,13,14,15,16,17,18,19,20,21,22,23,24,25,26,27,28,29,30}-1)*LEN(Registro!$E177)+1,LEN(Registro!$E177))),FIND("x",TRIM(MID(SUBSTITUTE(SUBSTITUTE(SUBSTITUTE(SUBSTITUTE(SUBSTITUTE(LOWER(Registro!$E177),"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",LEN(Registro!$E177))),({1,2,3,4,5,6,7,8,9,10,11,12,13,14,15,16,17,18,19,20,21,22,23,24,25,26,27,28,29,30}-1)*LEN(Registro!$E177)+1,LEN(Registro!$E177)))&amp;"x")+1,20))),"Revisar formato")))</f>
        <v/>
      </c>
      <c r="F177" s="23" t="str">
        <f>IF(Registro!$F177="","",IF(ISERROR(FIND("x",LOWER(Registro!$F177))),"-",IFERROR(SUMPRODUCT(--("0"&amp;LEFT(TRIM(MID(SUBSTITUTE(SUBSTITUTE(SUBSTITUTE(SUBSTITUTE(SUBSTITUTE(LOWER(Registro!$F177)," ",""),CHAR(10),"|"),";","|"),"+","|"),"|",REPT(" ",LEN(Registro!$F177))),({1,2,3,4,5,6,7,8,9,10,11,12,13,14,15,16,17,18,19,20,21,22,23,24,25,26,27,28,29,30}-1)*LEN(Registro!$F177)+1,LEN(Registro!$F177))),FIND("x",TRIM(MID(SUBSTITUTE(SUBSTITUTE(SUBSTITUTE(SUBSTITUTE(SUBSTITUTE(LOWER(Registro!$F177)," ",""),CHAR(10),"|"),";","|"),"+","|"),"|",REPT(" ",LEN(Registro!$F177))),({1,2,3,4,5,6,7,8,9,10,11,12,13,14,15,16,17,18,19,20,21,22,23,24,25,26,27,28,29,30}-1)*LEN(Registro!$F177)+1,LEN(Registro!$F177)))&amp;"x")-1))),"Revisar formato")))</f>
        <v/>
      </c>
      <c r="G177" s="24" t="str">
        <f>IF(Registro!$F177="","",IF(ISERROR(FIND("x",LOWER(Registro!$F177))),N(Registro!$G177),IFERROR(SUMPRODUCT(--("0"&amp;LEFT(TRIM(MID(SUBSTITUTE(SUBSTITUTE(SUBSTITUTE(SUBSTITUTE(SUBSTITUTE(LOWER(Registro!$F177)," ",""),CHAR(10),"|"),";","|"),"+","|"),"|",REPT(" ",LEN(Registro!$F177))),({1,2,3,4,5,6,7,8,9,10,11,12,13,14,15,16,17,18,19,20,21,22,23,24,25,26,27,28,29,30}-1)*LEN(Registro!$F177)+1,LEN(Registro!$F177))),FIND("x",TRIM(MID(SUBSTITUTE(SUBSTITUTE(SUBSTITUTE(SUBSTITUTE(SUBSTITUTE(LOWER(Registro!$F177)," ",""),CHAR(10),"|"),";","|"),"+","|"),"|",REPT(" ",LEN(Registro!$F177))),({1,2,3,4,5,6,7,8,9,10,11,12,13,14,15,16,17,18,19,20,21,22,23,24,25,26,27,28,29,30}-1)*LEN(Registro!$F177)+1,LEN(Registro!$F177)))&amp;"x")-1)),--("0"&amp;MID(TRIM(MID(SUBSTITUTE(SUBSTITUTE(SUBSTITUTE(SUBSTITUTE(SUBSTITUTE(LOWER(Registro!$F177)," ",""),CHAR(10),"|"),";","|"),"+","|"),"|",REPT(" ",LEN(Registro!$F177))),({1,2,3,4,5,6,7,8,9,10,11,12,13,14,15,16,17,18,19,20,21,22,23,24,25,26,27,28,29,30}-1)*LEN(Registro!$F177)+1,LEN(Registro!$F177))),FIND("x",TRIM(MID(SUBSTITUTE(SUBSTITUTE(SUBSTITUTE(SUBSTITUTE(SUBSTITUTE(LOWER(Registro!$F177)," ",""),CHAR(10),"|"),";","|"),"+","|"),"|",REPT(" ",LEN(Registro!$F177))),({1,2,3,4,5,6,7,8,9,10,11,12,13,14,15,16,17,18,19,20,21,22,23,24,25,26,27,28,29,30}-1)*LEN(Registro!$F177)+1,LEN(Registro!$F177)))&amp;"x")+1,20))),"Revisar formato")))</f>
        <v/>
      </c>
      <c r="H177" s="21" t="str">
        <f>IF(AND(Registro!$E177="",Registro!$F177=""),"",IF(NOT(AND(ISNUMBER(G177),ISNUMBER(Registro!$G177))),"",IF(G177&lt;Registro!$G177,"FALTA BOLETOS",IF(G177=Registro!$G177,"CONFORME","DIFERENCIA"))))</f>
        <v/>
      </c>
      <c r="I177" s="24" t="str">
        <f>IF(Registro!$H177="","",IFERROR(SUMPRODUCT(--("0"&amp;TRIM(RIGHT(SUBSTITUTE(TRIM(MID(SUBSTITUTE(SUBSTITUTE(Registro!$H177,";",CHAR(10)),CHAR(10),REPT(" ",LEN(Registro!$H177))),({1,2,3,4,5,6,7,8,9,10,11,12,13,14,15,16,17,18,19,20,21,22,23,24,25,26,27,28,29,30}-1)*LEN(Registro!$H177)+1,LEN(Registro!$H177)))," ",REPT(" ",50)),50)))),"Revisar formato"))</f>
        <v/>
      </c>
      <c r="J177" s="24" t="str">
        <f>IF(Registro!$I177="","",IFERROR(SUMPRODUCT(--("0"&amp;TRIM(RIGHT(SUBSTITUTE(TRIM(MID(SUBSTITUTE(SUBSTITUTE(Registro!$I177,";",CHAR(10)),CHAR(10),REPT(" ",LEN(Registro!$I177))),({1,2,3,4,5,6,7,8,9,10,11,12,13,14,15,16,17,18,19,20,21,22,23,24,25,26,27,28,29,30}-1)*LEN(Registro!$I177)+1,LEN(Registro!$I177)))," ",REPT(" ",50)),50)))),"Revisar formato"))</f>
        <v/>
      </c>
      <c r="K177" s="24" t="str">
        <f>IF(AND(Registro!$G177="",Registro!$H177=""),"",IF(AND(ISTEXT(I177),I177&lt;&gt;""),"Revisar formato",N(Registro!$G177)-N(I177)))</f>
        <v/>
      </c>
      <c r="L177" s="24" t="str">
        <f t="shared" si="5"/>
        <v/>
      </c>
      <c r="M177" s="36" t="str">
        <f>IF(AND(A177=Consulta!$B$3,C177=Consulta!$H$3),B177*10000+ROW(),"")</f>
        <v/>
      </c>
    </row>
    <row r="178" spans="1:13" x14ac:dyDescent="0.25">
      <c r="A178" s="21" t="str">
        <f>IF(Registro!$A178="","",Registro!$A178)</f>
        <v/>
      </c>
      <c r="B178" s="20" t="str">
        <f>IF(Registro!$B178="","",Registro!$B178)</f>
        <v/>
      </c>
      <c r="C178" s="35" t="str">
        <f t="shared" si="4"/>
        <v/>
      </c>
      <c r="D178" s="23" t="str">
        <f>IF(Registro!$E178="","",IF(ISERROR(FIND("x",LOWER(Registro!$E178))),"-",IFERROR(SUMPRODUCT(--("0"&amp;LEFT(TRIM(MID(SUBSTITUTE(SUBSTITUTE(SUBSTITUTE(SUBSTITUTE(SUBSTITUTE(LOWER(Registro!$E178),"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",LEN(Registro!$E178))),({1,2,3,4,5,6,7,8,9,10,11,12,13,14,15,16,17,18,19,20,21,22,23,24,25,26,27,28,29,30}-1)*LEN(Registro!$E178)+1,LEN(Registro!$E178))),FIND("x",TRIM(MID(SUBSTITUTE(SUBSTITUTE(SUBSTITUTE(SUBSTITUTE(SUBSTITUTE(LOWER(Registro!$E178),"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",LEN(Registro!$E178))),({1,2,3,4,5,6,7,8,9,10,11,12,13,14,15,16,17,18,19,20,21,22,23,24,25,26,27,28,29,30}-1)*LEN(Registro!$E178)+1,LEN(Registro!$E178)))&amp;"x")-1))),"Revisar formato")))</f>
        <v/>
      </c>
      <c r="E178" s="24" t="str">
        <f>IF(Registro!$E178="","",IF(ISERROR(FIND("x",LOWER(Registro!$E178))),"-",IFERROR(SUMPRODUCT(--("0"&amp;LEFT(TRIM(MID(SUBSTITUTE(SUBSTITUTE(SUBSTITUTE(SUBSTITUTE(SUBSTITUTE(LOWER(Registro!$E178),"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",LEN(Registro!$E178))),({1,2,3,4,5,6,7,8,9,10,11,12,13,14,15,16,17,18,19,20,21,22,23,24,25,26,27,28,29,30}-1)*LEN(Registro!$E178)+1,LEN(Registro!$E178))),FIND("x",TRIM(MID(SUBSTITUTE(SUBSTITUTE(SUBSTITUTE(SUBSTITUTE(SUBSTITUTE(LOWER(Registro!$E178),"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",LEN(Registro!$E178))),({1,2,3,4,5,6,7,8,9,10,11,12,13,14,15,16,17,18,19,20,21,22,23,24,25,26,27,28,29,30}-1)*LEN(Registro!$E178)+1,LEN(Registro!$E178)))&amp;"x")-1)),--("0"&amp;MID(TRIM(MID(SUBSTITUTE(SUBSTITUTE(SUBSTITUTE(SUBSTITUTE(SUBSTITUTE(LOWER(Registro!$E178),"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",LEN(Registro!$E178))),({1,2,3,4,5,6,7,8,9,10,11,12,13,14,15,16,17,18,19,20,21,22,23,24,25,26,27,28,29,30}-1)*LEN(Registro!$E178)+1,LEN(Registro!$E178))),FIND("x",TRIM(MID(SUBSTITUTE(SUBSTITUTE(SUBSTITUTE(SUBSTITUTE(SUBSTITUTE(LOWER(Registro!$E178),"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",LEN(Registro!$E178))),({1,2,3,4,5,6,7,8,9,10,11,12,13,14,15,16,17,18,19,20,21,22,23,24,25,26,27,28,29,30}-1)*LEN(Registro!$E178)+1,LEN(Registro!$E178)))&amp;"x")+1,20))),"Revisar formato")))</f>
        <v/>
      </c>
      <c r="F178" s="23" t="str">
        <f>IF(Registro!$F178="","",IF(ISERROR(FIND("x",LOWER(Registro!$F178))),"-",IFERROR(SUMPRODUCT(--("0"&amp;LEFT(TRIM(MID(SUBSTITUTE(SUBSTITUTE(SUBSTITUTE(SUBSTITUTE(SUBSTITUTE(LOWER(Registro!$F178)," ",""),CHAR(10),"|"),";","|"),"+","|"),"|",REPT(" ",LEN(Registro!$F178))),({1,2,3,4,5,6,7,8,9,10,11,12,13,14,15,16,17,18,19,20,21,22,23,24,25,26,27,28,29,30}-1)*LEN(Registro!$F178)+1,LEN(Registro!$F178))),FIND("x",TRIM(MID(SUBSTITUTE(SUBSTITUTE(SUBSTITUTE(SUBSTITUTE(SUBSTITUTE(LOWER(Registro!$F178)," ",""),CHAR(10),"|"),";","|"),"+","|"),"|",REPT(" ",LEN(Registro!$F178))),({1,2,3,4,5,6,7,8,9,10,11,12,13,14,15,16,17,18,19,20,21,22,23,24,25,26,27,28,29,30}-1)*LEN(Registro!$F178)+1,LEN(Registro!$F178)))&amp;"x")-1))),"Revisar formato")))</f>
        <v/>
      </c>
      <c r="G178" s="24" t="str">
        <f>IF(Registro!$F178="","",IF(ISERROR(FIND("x",LOWER(Registro!$F178))),N(Registro!$G178),IFERROR(SUMPRODUCT(--("0"&amp;LEFT(TRIM(MID(SUBSTITUTE(SUBSTITUTE(SUBSTITUTE(SUBSTITUTE(SUBSTITUTE(LOWER(Registro!$F178)," ",""),CHAR(10),"|"),";","|"),"+","|"),"|",REPT(" ",LEN(Registro!$F178))),({1,2,3,4,5,6,7,8,9,10,11,12,13,14,15,16,17,18,19,20,21,22,23,24,25,26,27,28,29,30}-1)*LEN(Registro!$F178)+1,LEN(Registro!$F178))),FIND("x",TRIM(MID(SUBSTITUTE(SUBSTITUTE(SUBSTITUTE(SUBSTITUTE(SUBSTITUTE(LOWER(Registro!$F178)," ",""),CHAR(10),"|"),";","|"),"+","|"),"|",REPT(" ",LEN(Registro!$F178))),({1,2,3,4,5,6,7,8,9,10,11,12,13,14,15,16,17,18,19,20,21,22,23,24,25,26,27,28,29,30}-1)*LEN(Registro!$F178)+1,LEN(Registro!$F178)))&amp;"x")-1)),--("0"&amp;MID(TRIM(MID(SUBSTITUTE(SUBSTITUTE(SUBSTITUTE(SUBSTITUTE(SUBSTITUTE(LOWER(Registro!$F178)," ",""),CHAR(10),"|"),";","|"),"+","|"),"|",REPT(" ",LEN(Registro!$F178))),({1,2,3,4,5,6,7,8,9,10,11,12,13,14,15,16,17,18,19,20,21,22,23,24,25,26,27,28,29,30}-1)*LEN(Registro!$F178)+1,LEN(Registro!$F178))),FIND("x",TRIM(MID(SUBSTITUTE(SUBSTITUTE(SUBSTITUTE(SUBSTITUTE(SUBSTITUTE(LOWER(Registro!$F178)," ",""),CHAR(10),"|"),";","|"),"+","|"),"|",REPT(" ",LEN(Registro!$F178))),({1,2,3,4,5,6,7,8,9,10,11,12,13,14,15,16,17,18,19,20,21,22,23,24,25,26,27,28,29,30}-1)*LEN(Registro!$F178)+1,LEN(Registro!$F178)))&amp;"x")+1,20))),"Revisar formato")))</f>
        <v/>
      </c>
      <c r="H178" s="21" t="str">
        <f>IF(AND(Registro!$E178="",Registro!$F178=""),"",IF(NOT(AND(ISNUMBER(G178),ISNUMBER(Registro!$G178))),"",IF(G178&lt;Registro!$G178,"FALTA BOLETOS",IF(G178=Registro!$G178,"CONFORME","DIFERENCIA"))))</f>
        <v/>
      </c>
      <c r="I178" s="24" t="str">
        <f>IF(Registro!$H178="","",IFERROR(SUMPRODUCT(--("0"&amp;TRIM(RIGHT(SUBSTITUTE(TRIM(MID(SUBSTITUTE(SUBSTITUTE(Registro!$H178,";",CHAR(10)),CHAR(10),REPT(" ",LEN(Registro!$H178))),({1,2,3,4,5,6,7,8,9,10,11,12,13,14,15,16,17,18,19,20,21,22,23,24,25,26,27,28,29,30}-1)*LEN(Registro!$H178)+1,LEN(Registro!$H178)))," ",REPT(" ",50)),50)))),"Revisar formato"))</f>
        <v/>
      </c>
      <c r="J178" s="24" t="str">
        <f>IF(Registro!$I178="","",IFERROR(SUMPRODUCT(--("0"&amp;TRIM(RIGHT(SUBSTITUTE(TRIM(MID(SUBSTITUTE(SUBSTITUTE(Registro!$I178,";",CHAR(10)),CHAR(10),REPT(" ",LEN(Registro!$I178))),({1,2,3,4,5,6,7,8,9,10,11,12,13,14,15,16,17,18,19,20,21,22,23,24,25,26,27,28,29,30}-1)*LEN(Registro!$I178)+1,LEN(Registro!$I178)))," ",REPT(" ",50)),50)))),"Revisar formato"))</f>
        <v/>
      </c>
      <c r="K178" s="24" t="str">
        <f>IF(AND(Registro!$G178="",Registro!$H178=""),"",IF(AND(ISTEXT(I178),I178&lt;&gt;""),"Revisar formato",N(Registro!$G178)-N(I178)))</f>
        <v/>
      </c>
      <c r="L178" s="24" t="str">
        <f t="shared" si="5"/>
        <v/>
      </c>
      <c r="M178" s="36" t="str">
        <f>IF(AND(A178=Consulta!$B$3,C178=Consulta!$H$3),B178*10000+ROW(),"")</f>
        <v/>
      </c>
    </row>
    <row r="179" spans="1:13" x14ac:dyDescent="0.25">
      <c r="A179" s="21" t="str">
        <f>IF(Registro!$A179="","",Registro!$A179)</f>
        <v/>
      </c>
      <c r="B179" s="20" t="str">
        <f>IF(Registro!$B179="","",Registro!$B179)</f>
        <v/>
      </c>
      <c r="C179" s="35" t="str">
        <f t="shared" si="4"/>
        <v/>
      </c>
      <c r="D179" s="23" t="str">
        <f>IF(Registro!$E179="","",IF(ISERROR(FIND("x",LOWER(Registro!$E179))),"-",IFERROR(SUMPRODUCT(--("0"&amp;LEFT(TRIM(MID(SUBSTITUTE(SUBSTITUTE(SUBSTITUTE(SUBSTITUTE(SUBSTITUTE(LOWER(Registro!$E179),"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",LEN(Registro!$E179))),({1,2,3,4,5,6,7,8,9,10,11,12,13,14,15,16,17,18,19,20,21,22,23,24,25,26,27,28,29,30}-1)*LEN(Registro!$E179)+1,LEN(Registro!$E179))),FIND("x",TRIM(MID(SUBSTITUTE(SUBSTITUTE(SUBSTITUTE(SUBSTITUTE(SUBSTITUTE(LOWER(Registro!$E179),"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",LEN(Registro!$E179))),({1,2,3,4,5,6,7,8,9,10,11,12,13,14,15,16,17,18,19,20,21,22,23,24,25,26,27,28,29,30}-1)*LEN(Registro!$E179)+1,LEN(Registro!$E179)))&amp;"x")-1))),"Revisar formato")))</f>
        <v/>
      </c>
      <c r="E179" s="24" t="str">
        <f>IF(Registro!$E179="","",IF(ISERROR(FIND("x",LOWER(Registro!$E179))),"-",IFERROR(SUMPRODUCT(--("0"&amp;LEFT(TRIM(MID(SUBSTITUTE(SUBSTITUTE(SUBSTITUTE(SUBSTITUTE(SUBSTITUTE(LOWER(Registro!$E179),"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",LEN(Registro!$E179))),({1,2,3,4,5,6,7,8,9,10,11,12,13,14,15,16,17,18,19,20,21,22,23,24,25,26,27,28,29,30}-1)*LEN(Registro!$E179)+1,LEN(Registro!$E179))),FIND("x",TRIM(MID(SUBSTITUTE(SUBSTITUTE(SUBSTITUTE(SUBSTITUTE(SUBSTITUTE(LOWER(Registro!$E179),"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",LEN(Registro!$E179))),({1,2,3,4,5,6,7,8,9,10,11,12,13,14,15,16,17,18,19,20,21,22,23,24,25,26,27,28,29,30}-1)*LEN(Registro!$E179)+1,LEN(Registro!$E179)))&amp;"x")-1)),--("0"&amp;MID(TRIM(MID(SUBSTITUTE(SUBSTITUTE(SUBSTITUTE(SUBSTITUTE(SUBSTITUTE(LOWER(Registro!$E179),"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",LEN(Registro!$E179))),({1,2,3,4,5,6,7,8,9,10,11,12,13,14,15,16,17,18,19,20,21,22,23,24,25,26,27,28,29,30}-1)*LEN(Registro!$E179)+1,LEN(Registro!$E179))),FIND("x",TRIM(MID(SUBSTITUTE(SUBSTITUTE(SUBSTITUTE(SUBSTITUTE(SUBSTITUTE(LOWER(Registro!$E179),"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",LEN(Registro!$E179))),({1,2,3,4,5,6,7,8,9,10,11,12,13,14,15,16,17,18,19,20,21,22,23,24,25,26,27,28,29,30}-1)*LEN(Registro!$E179)+1,LEN(Registro!$E179)))&amp;"x")+1,20))),"Revisar formato")))</f>
        <v/>
      </c>
      <c r="F179" s="23" t="str">
        <f>IF(Registro!$F179="","",IF(ISERROR(FIND("x",LOWER(Registro!$F179))),"-",IFERROR(SUMPRODUCT(--("0"&amp;LEFT(TRIM(MID(SUBSTITUTE(SUBSTITUTE(SUBSTITUTE(SUBSTITUTE(SUBSTITUTE(LOWER(Registro!$F179)," ",""),CHAR(10),"|"),";","|"),"+","|"),"|",REPT(" ",LEN(Registro!$F179))),({1,2,3,4,5,6,7,8,9,10,11,12,13,14,15,16,17,18,19,20,21,22,23,24,25,26,27,28,29,30}-1)*LEN(Registro!$F179)+1,LEN(Registro!$F179))),FIND("x",TRIM(MID(SUBSTITUTE(SUBSTITUTE(SUBSTITUTE(SUBSTITUTE(SUBSTITUTE(LOWER(Registro!$F179)," ",""),CHAR(10),"|"),";","|"),"+","|"),"|",REPT(" ",LEN(Registro!$F179))),({1,2,3,4,5,6,7,8,9,10,11,12,13,14,15,16,17,18,19,20,21,22,23,24,25,26,27,28,29,30}-1)*LEN(Registro!$F179)+1,LEN(Registro!$F179)))&amp;"x")-1))),"Revisar formato")))</f>
        <v/>
      </c>
      <c r="G179" s="24" t="str">
        <f>IF(Registro!$F179="","",IF(ISERROR(FIND("x",LOWER(Registro!$F179))),N(Registro!$G179),IFERROR(SUMPRODUCT(--("0"&amp;LEFT(TRIM(MID(SUBSTITUTE(SUBSTITUTE(SUBSTITUTE(SUBSTITUTE(SUBSTITUTE(LOWER(Registro!$F179)," ",""),CHAR(10),"|"),";","|"),"+","|"),"|",REPT(" ",LEN(Registro!$F179))),({1,2,3,4,5,6,7,8,9,10,11,12,13,14,15,16,17,18,19,20,21,22,23,24,25,26,27,28,29,30}-1)*LEN(Registro!$F179)+1,LEN(Registro!$F179))),FIND("x",TRIM(MID(SUBSTITUTE(SUBSTITUTE(SUBSTITUTE(SUBSTITUTE(SUBSTITUTE(LOWER(Registro!$F179)," ",""),CHAR(10),"|"),";","|"),"+","|"),"|",REPT(" ",LEN(Registro!$F179))),({1,2,3,4,5,6,7,8,9,10,11,12,13,14,15,16,17,18,19,20,21,22,23,24,25,26,27,28,29,30}-1)*LEN(Registro!$F179)+1,LEN(Registro!$F179)))&amp;"x")-1)),--("0"&amp;MID(TRIM(MID(SUBSTITUTE(SUBSTITUTE(SUBSTITUTE(SUBSTITUTE(SUBSTITUTE(LOWER(Registro!$F179)," ",""),CHAR(10),"|"),";","|"),"+","|"),"|",REPT(" ",LEN(Registro!$F179))),({1,2,3,4,5,6,7,8,9,10,11,12,13,14,15,16,17,18,19,20,21,22,23,24,25,26,27,28,29,30}-1)*LEN(Registro!$F179)+1,LEN(Registro!$F179))),FIND("x",TRIM(MID(SUBSTITUTE(SUBSTITUTE(SUBSTITUTE(SUBSTITUTE(SUBSTITUTE(LOWER(Registro!$F179)," ",""),CHAR(10),"|"),";","|"),"+","|"),"|",REPT(" ",LEN(Registro!$F179))),({1,2,3,4,5,6,7,8,9,10,11,12,13,14,15,16,17,18,19,20,21,22,23,24,25,26,27,28,29,30}-1)*LEN(Registro!$F179)+1,LEN(Registro!$F179)))&amp;"x")+1,20))),"Revisar formato")))</f>
        <v/>
      </c>
      <c r="H179" s="21" t="str">
        <f>IF(AND(Registro!$E179="",Registro!$F179=""),"",IF(NOT(AND(ISNUMBER(G179),ISNUMBER(Registro!$G179))),"",IF(G179&lt;Registro!$G179,"FALTA BOLETOS",IF(G179=Registro!$G179,"CONFORME","DIFERENCIA"))))</f>
        <v/>
      </c>
      <c r="I179" s="24" t="str">
        <f>IF(Registro!$H179="","",IFERROR(SUMPRODUCT(--("0"&amp;TRIM(RIGHT(SUBSTITUTE(TRIM(MID(SUBSTITUTE(SUBSTITUTE(Registro!$H179,";",CHAR(10)),CHAR(10),REPT(" ",LEN(Registro!$H179))),({1,2,3,4,5,6,7,8,9,10,11,12,13,14,15,16,17,18,19,20,21,22,23,24,25,26,27,28,29,30}-1)*LEN(Registro!$H179)+1,LEN(Registro!$H179)))," ",REPT(" ",50)),50)))),"Revisar formato"))</f>
        <v/>
      </c>
      <c r="J179" s="24" t="str">
        <f>IF(Registro!$I179="","",IFERROR(SUMPRODUCT(--("0"&amp;TRIM(RIGHT(SUBSTITUTE(TRIM(MID(SUBSTITUTE(SUBSTITUTE(Registro!$I179,";",CHAR(10)),CHAR(10),REPT(" ",LEN(Registro!$I179))),({1,2,3,4,5,6,7,8,9,10,11,12,13,14,15,16,17,18,19,20,21,22,23,24,25,26,27,28,29,30}-1)*LEN(Registro!$I179)+1,LEN(Registro!$I179)))," ",REPT(" ",50)),50)))),"Revisar formato"))</f>
        <v/>
      </c>
      <c r="K179" s="24" t="str">
        <f>IF(AND(Registro!$G179="",Registro!$H179=""),"",IF(AND(ISTEXT(I179),I179&lt;&gt;""),"Revisar formato",N(Registro!$G179)-N(I179)))</f>
        <v/>
      </c>
      <c r="L179" s="24" t="str">
        <f t="shared" si="5"/>
        <v/>
      </c>
      <c r="M179" s="36" t="str">
        <f>IF(AND(A179=Consulta!$B$3,C179=Consulta!$H$3),B179*10000+ROW(),"")</f>
        <v/>
      </c>
    </row>
    <row r="180" spans="1:13" x14ac:dyDescent="0.25">
      <c r="A180" s="21" t="str">
        <f>IF(Registro!$A180="","",Registro!$A180)</f>
        <v/>
      </c>
      <c r="B180" s="20" t="str">
        <f>IF(Registro!$B180="","",Registro!$B180)</f>
        <v/>
      </c>
      <c r="C180" s="35" t="str">
        <f t="shared" si="4"/>
        <v/>
      </c>
      <c r="D180" s="23" t="str">
        <f>IF(Registro!$E180="","",IF(ISERROR(FIND("x",LOWER(Registro!$E180))),"-",IFERROR(SUMPRODUCT(--("0"&amp;LEFT(TRIM(MID(SUBSTITUTE(SUBSTITUTE(SUBSTITUTE(SUBSTITUTE(SUBSTITUTE(LOWER(Registro!$E180),"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",LEN(Registro!$E180))),({1,2,3,4,5,6,7,8,9,10,11,12,13,14,15,16,17,18,19,20,21,22,23,24,25,26,27,28,29,30}-1)*LEN(Registro!$E180)+1,LEN(Registro!$E180))),FIND("x",TRIM(MID(SUBSTITUTE(SUBSTITUTE(SUBSTITUTE(SUBSTITUTE(SUBSTITUTE(LOWER(Registro!$E180),"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",LEN(Registro!$E180))),({1,2,3,4,5,6,7,8,9,10,11,12,13,14,15,16,17,18,19,20,21,22,23,24,25,26,27,28,29,30}-1)*LEN(Registro!$E180)+1,LEN(Registro!$E180)))&amp;"x")-1))),"Revisar formato")))</f>
        <v/>
      </c>
      <c r="E180" s="24" t="str">
        <f>IF(Registro!$E180="","",IF(ISERROR(FIND("x",LOWER(Registro!$E180))),"-",IFERROR(SUMPRODUCT(--("0"&amp;LEFT(TRIM(MID(SUBSTITUTE(SUBSTITUTE(SUBSTITUTE(SUBSTITUTE(SUBSTITUTE(LOWER(Registro!$E180),"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",LEN(Registro!$E180))),({1,2,3,4,5,6,7,8,9,10,11,12,13,14,15,16,17,18,19,20,21,22,23,24,25,26,27,28,29,30}-1)*LEN(Registro!$E180)+1,LEN(Registro!$E180))),FIND("x",TRIM(MID(SUBSTITUTE(SUBSTITUTE(SUBSTITUTE(SUBSTITUTE(SUBSTITUTE(LOWER(Registro!$E180),"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",LEN(Registro!$E180))),({1,2,3,4,5,6,7,8,9,10,11,12,13,14,15,16,17,18,19,20,21,22,23,24,25,26,27,28,29,30}-1)*LEN(Registro!$E180)+1,LEN(Registro!$E180)))&amp;"x")-1)),--("0"&amp;MID(TRIM(MID(SUBSTITUTE(SUBSTITUTE(SUBSTITUTE(SUBSTITUTE(SUBSTITUTE(LOWER(Registro!$E180),"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",LEN(Registro!$E180))),({1,2,3,4,5,6,7,8,9,10,11,12,13,14,15,16,17,18,19,20,21,22,23,24,25,26,27,28,29,30}-1)*LEN(Registro!$E180)+1,LEN(Registro!$E180))),FIND("x",TRIM(MID(SUBSTITUTE(SUBSTITUTE(SUBSTITUTE(SUBSTITUTE(SUBSTITUTE(LOWER(Registro!$E180),"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",LEN(Registro!$E180))),({1,2,3,4,5,6,7,8,9,10,11,12,13,14,15,16,17,18,19,20,21,22,23,24,25,26,27,28,29,30}-1)*LEN(Registro!$E180)+1,LEN(Registro!$E180)))&amp;"x")+1,20))),"Revisar formato")))</f>
        <v/>
      </c>
      <c r="F180" s="23" t="str">
        <f>IF(Registro!$F180="","",IF(ISERROR(FIND("x",LOWER(Registro!$F180))),"-",IFERROR(SUMPRODUCT(--("0"&amp;LEFT(TRIM(MID(SUBSTITUTE(SUBSTITUTE(SUBSTITUTE(SUBSTITUTE(SUBSTITUTE(LOWER(Registro!$F180)," ",""),CHAR(10),"|"),";","|"),"+","|"),"|",REPT(" ",LEN(Registro!$F180))),({1,2,3,4,5,6,7,8,9,10,11,12,13,14,15,16,17,18,19,20,21,22,23,24,25,26,27,28,29,30}-1)*LEN(Registro!$F180)+1,LEN(Registro!$F180))),FIND("x",TRIM(MID(SUBSTITUTE(SUBSTITUTE(SUBSTITUTE(SUBSTITUTE(SUBSTITUTE(LOWER(Registro!$F180)," ",""),CHAR(10),"|"),";","|"),"+","|"),"|",REPT(" ",LEN(Registro!$F180))),({1,2,3,4,5,6,7,8,9,10,11,12,13,14,15,16,17,18,19,20,21,22,23,24,25,26,27,28,29,30}-1)*LEN(Registro!$F180)+1,LEN(Registro!$F180)))&amp;"x")-1))),"Revisar formato")))</f>
        <v/>
      </c>
      <c r="G180" s="24" t="str">
        <f>IF(Registro!$F180="","",IF(ISERROR(FIND("x",LOWER(Registro!$F180))),N(Registro!$G180),IFERROR(SUMPRODUCT(--("0"&amp;LEFT(TRIM(MID(SUBSTITUTE(SUBSTITUTE(SUBSTITUTE(SUBSTITUTE(SUBSTITUTE(LOWER(Registro!$F180)," ",""),CHAR(10),"|"),";","|"),"+","|"),"|",REPT(" ",LEN(Registro!$F180))),({1,2,3,4,5,6,7,8,9,10,11,12,13,14,15,16,17,18,19,20,21,22,23,24,25,26,27,28,29,30}-1)*LEN(Registro!$F180)+1,LEN(Registro!$F180))),FIND("x",TRIM(MID(SUBSTITUTE(SUBSTITUTE(SUBSTITUTE(SUBSTITUTE(SUBSTITUTE(LOWER(Registro!$F180)," ",""),CHAR(10),"|"),";","|"),"+","|"),"|",REPT(" ",LEN(Registro!$F180))),({1,2,3,4,5,6,7,8,9,10,11,12,13,14,15,16,17,18,19,20,21,22,23,24,25,26,27,28,29,30}-1)*LEN(Registro!$F180)+1,LEN(Registro!$F180)))&amp;"x")-1)),--("0"&amp;MID(TRIM(MID(SUBSTITUTE(SUBSTITUTE(SUBSTITUTE(SUBSTITUTE(SUBSTITUTE(LOWER(Registro!$F180)," ",""),CHAR(10),"|"),";","|"),"+","|"),"|",REPT(" ",LEN(Registro!$F180))),({1,2,3,4,5,6,7,8,9,10,11,12,13,14,15,16,17,18,19,20,21,22,23,24,25,26,27,28,29,30}-1)*LEN(Registro!$F180)+1,LEN(Registro!$F180))),FIND("x",TRIM(MID(SUBSTITUTE(SUBSTITUTE(SUBSTITUTE(SUBSTITUTE(SUBSTITUTE(LOWER(Registro!$F180)," ",""),CHAR(10),"|"),";","|"),"+","|"),"|",REPT(" ",LEN(Registro!$F180))),({1,2,3,4,5,6,7,8,9,10,11,12,13,14,15,16,17,18,19,20,21,22,23,24,25,26,27,28,29,30}-1)*LEN(Registro!$F180)+1,LEN(Registro!$F180)))&amp;"x")+1,20))),"Revisar formato")))</f>
        <v/>
      </c>
      <c r="H180" s="21" t="str">
        <f>IF(AND(Registro!$E180="",Registro!$F180=""),"",IF(NOT(AND(ISNUMBER(G180),ISNUMBER(Registro!$G180))),"",IF(G180&lt;Registro!$G180,"FALTA BOLETOS",IF(G180=Registro!$G180,"CONFORME","DIFERENCIA"))))</f>
        <v/>
      </c>
      <c r="I180" s="24" t="str">
        <f>IF(Registro!$H180="","",IFERROR(SUMPRODUCT(--("0"&amp;TRIM(RIGHT(SUBSTITUTE(TRIM(MID(SUBSTITUTE(SUBSTITUTE(Registro!$H180,";",CHAR(10)),CHAR(10),REPT(" ",LEN(Registro!$H180))),({1,2,3,4,5,6,7,8,9,10,11,12,13,14,15,16,17,18,19,20,21,22,23,24,25,26,27,28,29,30}-1)*LEN(Registro!$H180)+1,LEN(Registro!$H180)))," ",REPT(" ",50)),50)))),"Revisar formato"))</f>
        <v/>
      </c>
      <c r="J180" s="24" t="str">
        <f>IF(Registro!$I180="","",IFERROR(SUMPRODUCT(--("0"&amp;TRIM(RIGHT(SUBSTITUTE(TRIM(MID(SUBSTITUTE(SUBSTITUTE(Registro!$I180,";",CHAR(10)),CHAR(10),REPT(" ",LEN(Registro!$I180))),({1,2,3,4,5,6,7,8,9,10,11,12,13,14,15,16,17,18,19,20,21,22,23,24,25,26,27,28,29,30}-1)*LEN(Registro!$I180)+1,LEN(Registro!$I180)))," ",REPT(" ",50)),50)))),"Revisar formato"))</f>
        <v/>
      </c>
      <c r="K180" s="24" t="str">
        <f>IF(AND(Registro!$G180="",Registro!$H180=""),"",IF(AND(ISTEXT(I180),I180&lt;&gt;""),"Revisar formato",N(Registro!$G180)-N(I180)))</f>
        <v/>
      </c>
      <c r="L180" s="24" t="str">
        <f t="shared" si="5"/>
        <v/>
      </c>
      <c r="M180" s="36" t="str">
        <f>IF(AND(A180=Consulta!$B$3,C180=Consulta!$H$3),B180*10000+ROW(),"")</f>
        <v/>
      </c>
    </row>
    <row r="181" spans="1:13" x14ac:dyDescent="0.25">
      <c r="A181" s="21" t="str">
        <f>IF(Registro!$A181="","",Registro!$A181)</f>
        <v/>
      </c>
      <c r="B181" s="20" t="str">
        <f>IF(Registro!$B181="","",Registro!$B181)</f>
        <v/>
      </c>
      <c r="C181" s="35" t="str">
        <f t="shared" si="4"/>
        <v/>
      </c>
      <c r="D181" s="23" t="str">
        <f>IF(Registro!$E181="","",IF(ISERROR(FIND("x",LOWER(Registro!$E181))),"-",IFERROR(SUMPRODUCT(--("0"&amp;LEFT(TRIM(MID(SUBSTITUTE(SUBSTITUTE(SUBSTITUTE(SUBSTITUTE(SUBSTITUTE(LOWER(Registro!$E181),"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",LEN(Registro!$E181))),({1,2,3,4,5,6,7,8,9,10,11,12,13,14,15,16,17,18,19,20,21,22,23,24,25,26,27,28,29,30}-1)*LEN(Registro!$E181)+1,LEN(Registro!$E181))),FIND("x",TRIM(MID(SUBSTITUTE(SUBSTITUTE(SUBSTITUTE(SUBSTITUTE(SUBSTITUTE(LOWER(Registro!$E181),"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",LEN(Registro!$E181))),({1,2,3,4,5,6,7,8,9,10,11,12,13,14,15,16,17,18,19,20,21,22,23,24,25,26,27,28,29,30}-1)*LEN(Registro!$E181)+1,LEN(Registro!$E181)))&amp;"x")-1))),"Revisar formato")))</f>
        <v/>
      </c>
      <c r="E181" s="24" t="str">
        <f>IF(Registro!$E181="","",IF(ISERROR(FIND("x",LOWER(Registro!$E181))),"-",IFERROR(SUMPRODUCT(--("0"&amp;LEFT(TRIM(MID(SUBSTITUTE(SUBSTITUTE(SUBSTITUTE(SUBSTITUTE(SUBSTITUTE(LOWER(Registro!$E181),"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",LEN(Registro!$E181))),({1,2,3,4,5,6,7,8,9,10,11,12,13,14,15,16,17,18,19,20,21,22,23,24,25,26,27,28,29,30}-1)*LEN(Registro!$E181)+1,LEN(Registro!$E181))),FIND("x",TRIM(MID(SUBSTITUTE(SUBSTITUTE(SUBSTITUTE(SUBSTITUTE(SUBSTITUTE(LOWER(Registro!$E181),"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",LEN(Registro!$E181))),({1,2,3,4,5,6,7,8,9,10,11,12,13,14,15,16,17,18,19,20,21,22,23,24,25,26,27,28,29,30}-1)*LEN(Registro!$E181)+1,LEN(Registro!$E181)))&amp;"x")-1)),--("0"&amp;MID(TRIM(MID(SUBSTITUTE(SUBSTITUTE(SUBSTITUTE(SUBSTITUTE(SUBSTITUTE(LOWER(Registro!$E181),"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",LEN(Registro!$E181))),({1,2,3,4,5,6,7,8,9,10,11,12,13,14,15,16,17,18,19,20,21,22,23,24,25,26,27,28,29,30}-1)*LEN(Registro!$E181)+1,LEN(Registro!$E181))),FIND("x",TRIM(MID(SUBSTITUTE(SUBSTITUTE(SUBSTITUTE(SUBSTITUTE(SUBSTITUTE(LOWER(Registro!$E181),"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",LEN(Registro!$E181))),({1,2,3,4,5,6,7,8,9,10,11,12,13,14,15,16,17,18,19,20,21,22,23,24,25,26,27,28,29,30}-1)*LEN(Registro!$E181)+1,LEN(Registro!$E181)))&amp;"x")+1,20))),"Revisar formato")))</f>
        <v/>
      </c>
      <c r="F181" s="23" t="str">
        <f>IF(Registro!$F181="","",IF(ISERROR(FIND("x",LOWER(Registro!$F181))),"-",IFERROR(SUMPRODUCT(--("0"&amp;LEFT(TRIM(MID(SUBSTITUTE(SUBSTITUTE(SUBSTITUTE(SUBSTITUTE(SUBSTITUTE(LOWER(Registro!$F181)," ",""),CHAR(10),"|"),";","|"),"+","|"),"|",REPT(" ",LEN(Registro!$F181))),({1,2,3,4,5,6,7,8,9,10,11,12,13,14,15,16,17,18,19,20,21,22,23,24,25,26,27,28,29,30}-1)*LEN(Registro!$F181)+1,LEN(Registro!$F181))),FIND("x",TRIM(MID(SUBSTITUTE(SUBSTITUTE(SUBSTITUTE(SUBSTITUTE(SUBSTITUTE(LOWER(Registro!$F181)," ",""),CHAR(10),"|"),";","|"),"+","|"),"|",REPT(" ",LEN(Registro!$F181))),({1,2,3,4,5,6,7,8,9,10,11,12,13,14,15,16,17,18,19,20,21,22,23,24,25,26,27,28,29,30}-1)*LEN(Registro!$F181)+1,LEN(Registro!$F181)))&amp;"x")-1))),"Revisar formato")))</f>
        <v/>
      </c>
      <c r="G181" s="24" t="str">
        <f>IF(Registro!$F181="","",IF(ISERROR(FIND("x",LOWER(Registro!$F181))),N(Registro!$G181),IFERROR(SUMPRODUCT(--("0"&amp;LEFT(TRIM(MID(SUBSTITUTE(SUBSTITUTE(SUBSTITUTE(SUBSTITUTE(SUBSTITUTE(LOWER(Registro!$F181)," ",""),CHAR(10),"|"),";","|"),"+","|"),"|",REPT(" ",LEN(Registro!$F181))),({1,2,3,4,5,6,7,8,9,10,11,12,13,14,15,16,17,18,19,20,21,22,23,24,25,26,27,28,29,30}-1)*LEN(Registro!$F181)+1,LEN(Registro!$F181))),FIND("x",TRIM(MID(SUBSTITUTE(SUBSTITUTE(SUBSTITUTE(SUBSTITUTE(SUBSTITUTE(LOWER(Registro!$F181)," ",""),CHAR(10),"|"),";","|"),"+","|"),"|",REPT(" ",LEN(Registro!$F181))),({1,2,3,4,5,6,7,8,9,10,11,12,13,14,15,16,17,18,19,20,21,22,23,24,25,26,27,28,29,30}-1)*LEN(Registro!$F181)+1,LEN(Registro!$F181)))&amp;"x")-1)),--("0"&amp;MID(TRIM(MID(SUBSTITUTE(SUBSTITUTE(SUBSTITUTE(SUBSTITUTE(SUBSTITUTE(LOWER(Registro!$F181)," ",""),CHAR(10),"|"),";","|"),"+","|"),"|",REPT(" ",LEN(Registro!$F181))),({1,2,3,4,5,6,7,8,9,10,11,12,13,14,15,16,17,18,19,20,21,22,23,24,25,26,27,28,29,30}-1)*LEN(Registro!$F181)+1,LEN(Registro!$F181))),FIND("x",TRIM(MID(SUBSTITUTE(SUBSTITUTE(SUBSTITUTE(SUBSTITUTE(SUBSTITUTE(LOWER(Registro!$F181)," ",""),CHAR(10),"|"),";","|"),"+","|"),"|",REPT(" ",LEN(Registro!$F181))),({1,2,3,4,5,6,7,8,9,10,11,12,13,14,15,16,17,18,19,20,21,22,23,24,25,26,27,28,29,30}-1)*LEN(Registro!$F181)+1,LEN(Registro!$F181)))&amp;"x")+1,20))),"Revisar formato")))</f>
        <v/>
      </c>
      <c r="H181" s="21" t="str">
        <f>IF(AND(Registro!$E181="",Registro!$F181=""),"",IF(NOT(AND(ISNUMBER(G181),ISNUMBER(Registro!$G181))),"",IF(G181&lt;Registro!$G181,"FALTA BOLETOS",IF(G181=Registro!$G181,"CONFORME","DIFERENCIA"))))</f>
        <v/>
      </c>
      <c r="I181" s="24" t="str">
        <f>IF(Registro!$H181="","",IFERROR(SUMPRODUCT(--("0"&amp;TRIM(RIGHT(SUBSTITUTE(TRIM(MID(SUBSTITUTE(SUBSTITUTE(Registro!$H181,";",CHAR(10)),CHAR(10),REPT(" ",LEN(Registro!$H181))),({1,2,3,4,5,6,7,8,9,10,11,12,13,14,15,16,17,18,19,20,21,22,23,24,25,26,27,28,29,30}-1)*LEN(Registro!$H181)+1,LEN(Registro!$H181)))," ",REPT(" ",50)),50)))),"Revisar formato"))</f>
        <v/>
      </c>
      <c r="J181" s="24" t="str">
        <f>IF(Registro!$I181="","",IFERROR(SUMPRODUCT(--("0"&amp;TRIM(RIGHT(SUBSTITUTE(TRIM(MID(SUBSTITUTE(SUBSTITUTE(Registro!$I181,";",CHAR(10)),CHAR(10),REPT(" ",LEN(Registro!$I181))),({1,2,3,4,5,6,7,8,9,10,11,12,13,14,15,16,17,18,19,20,21,22,23,24,25,26,27,28,29,30}-1)*LEN(Registro!$I181)+1,LEN(Registro!$I181)))," ",REPT(" ",50)),50)))),"Revisar formato"))</f>
        <v/>
      </c>
      <c r="K181" s="24" t="str">
        <f>IF(AND(Registro!$G181="",Registro!$H181=""),"",IF(AND(ISTEXT(I181),I181&lt;&gt;""),"Revisar formato",N(Registro!$G181)-N(I181)))</f>
        <v/>
      </c>
      <c r="L181" s="24" t="str">
        <f t="shared" si="5"/>
        <v/>
      </c>
      <c r="M181" s="36" t="str">
        <f>IF(AND(A181=Consulta!$B$3,C181=Consulta!$H$3),B181*10000+ROW(),"")</f>
        <v/>
      </c>
    </row>
    <row r="182" spans="1:13" x14ac:dyDescent="0.25">
      <c r="A182" s="21" t="str">
        <f>IF(Registro!$A182="","",Registro!$A182)</f>
        <v/>
      </c>
      <c r="B182" s="20" t="str">
        <f>IF(Registro!$B182="","",Registro!$B182)</f>
        <v/>
      </c>
      <c r="C182" s="35" t="str">
        <f t="shared" si="4"/>
        <v/>
      </c>
      <c r="D182" s="23" t="str">
        <f>IF(Registro!$E182="","",IF(ISERROR(FIND("x",LOWER(Registro!$E182))),"-",IFERROR(SUMPRODUCT(--("0"&amp;LEFT(TRIM(MID(SUBSTITUTE(SUBSTITUTE(SUBSTITUTE(SUBSTITUTE(SUBSTITUTE(LOWER(Registro!$E182),"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",LEN(Registro!$E182))),({1,2,3,4,5,6,7,8,9,10,11,12,13,14,15,16,17,18,19,20,21,22,23,24,25,26,27,28,29,30}-1)*LEN(Registro!$E182)+1,LEN(Registro!$E182))),FIND("x",TRIM(MID(SUBSTITUTE(SUBSTITUTE(SUBSTITUTE(SUBSTITUTE(SUBSTITUTE(LOWER(Registro!$E182),"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",LEN(Registro!$E182))),({1,2,3,4,5,6,7,8,9,10,11,12,13,14,15,16,17,18,19,20,21,22,23,24,25,26,27,28,29,30}-1)*LEN(Registro!$E182)+1,LEN(Registro!$E182)))&amp;"x")-1))),"Revisar formato")))</f>
        <v/>
      </c>
      <c r="E182" s="24" t="str">
        <f>IF(Registro!$E182="","",IF(ISERROR(FIND("x",LOWER(Registro!$E182))),"-",IFERROR(SUMPRODUCT(--("0"&amp;LEFT(TRIM(MID(SUBSTITUTE(SUBSTITUTE(SUBSTITUTE(SUBSTITUTE(SUBSTITUTE(LOWER(Registro!$E182),"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",LEN(Registro!$E182))),({1,2,3,4,5,6,7,8,9,10,11,12,13,14,15,16,17,18,19,20,21,22,23,24,25,26,27,28,29,30}-1)*LEN(Registro!$E182)+1,LEN(Registro!$E182))),FIND("x",TRIM(MID(SUBSTITUTE(SUBSTITUTE(SUBSTITUTE(SUBSTITUTE(SUBSTITUTE(LOWER(Registro!$E182),"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",LEN(Registro!$E182))),({1,2,3,4,5,6,7,8,9,10,11,12,13,14,15,16,17,18,19,20,21,22,23,24,25,26,27,28,29,30}-1)*LEN(Registro!$E182)+1,LEN(Registro!$E182)))&amp;"x")-1)),--("0"&amp;MID(TRIM(MID(SUBSTITUTE(SUBSTITUTE(SUBSTITUTE(SUBSTITUTE(SUBSTITUTE(LOWER(Registro!$E182),"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",LEN(Registro!$E182))),({1,2,3,4,5,6,7,8,9,10,11,12,13,14,15,16,17,18,19,20,21,22,23,24,25,26,27,28,29,30}-1)*LEN(Registro!$E182)+1,LEN(Registro!$E182))),FIND("x",TRIM(MID(SUBSTITUTE(SUBSTITUTE(SUBSTITUTE(SUBSTITUTE(SUBSTITUTE(LOWER(Registro!$E182),"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",LEN(Registro!$E182))),({1,2,3,4,5,6,7,8,9,10,11,12,13,14,15,16,17,18,19,20,21,22,23,24,25,26,27,28,29,30}-1)*LEN(Registro!$E182)+1,LEN(Registro!$E182)))&amp;"x")+1,20))),"Revisar formato")))</f>
        <v/>
      </c>
      <c r="F182" s="23" t="str">
        <f>IF(Registro!$F182="","",IF(ISERROR(FIND("x",LOWER(Registro!$F182))),"-",IFERROR(SUMPRODUCT(--("0"&amp;LEFT(TRIM(MID(SUBSTITUTE(SUBSTITUTE(SUBSTITUTE(SUBSTITUTE(SUBSTITUTE(LOWER(Registro!$F182)," ",""),CHAR(10),"|"),";","|"),"+","|"),"|",REPT(" ",LEN(Registro!$F182))),({1,2,3,4,5,6,7,8,9,10,11,12,13,14,15,16,17,18,19,20,21,22,23,24,25,26,27,28,29,30}-1)*LEN(Registro!$F182)+1,LEN(Registro!$F182))),FIND("x",TRIM(MID(SUBSTITUTE(SUBSTITUTE(SUBSTITUTE(SUBSTITUTE(SUBSTITUTE(LOWER(Registro!$F182)," ",""),CHAR(10),"|"),";","|"),"+","|"),"|",REPT(" ",LEN(Registro!$F182))),({1,2,3,4,5,6,7,8,9,10,11,12,13,14,15,16,17,18,19,20,21,22,23,24,25,26,27,28,29,30}-1)*LEN(Registro!$F182)+1,LEN(Registro!$F182)))&amp;"x")-1))),"Revisar formato")))</f>
        <v/>
      </c>
      <c r="G182" s="24" t="str">
        <f>IF(Registro!$F182="","",IF(ISERROR(FIND("x",LOWER(Registro!$F182))),N(Registro!$G182),IFERROR(SUMPRODUCT(--("0"&amp;LEFT(TRIM(MID(SUBSTITUTE(SUBSTITUTE(SUBSTITUTE(SUBSTITUTE(SUBSTITUTE(LOWER(Registro!$F182)," ",""),CHAR(10),"|"),";","|"),"+","|"),"|",REPT(" ",LEN(Registro!$F182))),({1,2,3,4,5,6,7,8,9,10,11,12,13,14,15,16,17,18,19,20,21,22,23,24,25,26,27,28,29,30}-1)*LEN(Registro!$F182)+1,LEN(Registro!$F182))),FIND("x",TRIM(MID(SUBSTITUTE(SUBSTITUTE(SUBSTITUTE(SUBSTITUTE(SUBSTITUTE(LOWER(Registro!$F182)," ",""),CHAR(10),"|"),";","|"),"+","|"),"|",REPT(" ",LEN(Registro!$F182))),({1,2,3,4,5,6,7,8,9,10,11,12,13,14,15,16,17,18,19,20,21,22,23,24,25,26,27,28,29,30}-1)*LEN(Registro!$F182)+1,LEN(Registro!$F182)))&amp;"x")-1)),--("0"&amp;MID(TRIM(MID(SUBSTITUTE(SUBSTITUTE(SUBSTITUTE(SUBSTITUTE(SUBSTITUTE(LOWER(Registro!$F182)," ",""),CHAR(10),"|"),";","|"),"+","|"),"|",REPT(" ",LEN(Registro!$F182))),({1,2,3,4,5,6,7,8,9,10,11,12,13,14,15,16,17,18,19,20,21,22,23,24,25,26,27,28,29,30}-1)*LEN(Registro!$F182)+1,LEN(Registro!$F182))),FIND("x",TRIM(MID(SUBSTITUTE(SUBSTITUTE(SUBSTITUTE(SUBSTITUTE(SUBSTITUTE(LOWER(Registro!$F182)," ",""),CHAR(10),"|"),";","|"),"+","|"),"|",REPT(" ",LEN(Registro!$F182))),({1,2,3,4,5,6,7,8,9,10,11,12,13,14,15,16,17,18,19,20,21,22,23,24,25,26,27,28,29,30}-1)*LEN(Registro!$F182)+1,LEN(Registro!$F182)))&amp;"x")+1,20))),"Revisar formato")))</f>
        <v/>
      </c>
      <c r="H182" s="21" t="str">
        <f>IF(AND(Registro!$E182="",Registro!$F182=""),"",IF(NOT(AND(ISNUMBER(G182),ISNUMBER(Registro!$G182))),"",IF(G182&lt;Registro!$G182,"FALTA BOLETOS",IF(G182=Registro!$G182,"CONFORME","DIFERENCIA"))))</f>
        <v/>
      </c>
      <c r="I182" s="24" t="str">
        <f>IF(Registro!$H182="","",IFERROR(SUMPRODUCT(--("0"&amp;TRIM(RIGHT(SUBSTITUTE(TRIM(MID(SUBSTITUTE(SUBSTITUTE(Registro!$H182,";",CHAR(10)),CHAR(10),REPT(" ",LEN(Registro!$H182))),({1,2,3,4,5,6,7,8,9,10,11,12,13,14,15,16,17,18,19,20,21,22,23,24,25,26,27,28,29,30}-1)*LEN(Registro!$H182)+1,LEN(Registro!$H182)))," ",REPT(" ",50)),50)))),"Revisar formato"))</f>
        <v/>
      </c>
      <c r="J182" s="24" t="str">
        <f>IF(Registro!$I182="","",IFERROR(SUMPRODUCT(--("0"&amp;TRIM(RIGHT(SUBSTITUTE(TRIM(MID(SUBSTITUTE(SUBSTITUTE(Registro!$I182,";",CHAR(10)),CHAR(10),REPT(" ",LEN(Registro!$I182))),({1,2,3,4,5,6,7,8,9,10,11,12,13,14,15,16,17,18,19,20,21,22,23,24,25,26,27,28,29,30}-1)*LEN(Registro!$I182)+1,LEN(Registro!$I182)))," ",REPT(" ",50)),50)))),"Revisar formato"))</f>
        <v/>
      </c>
      <c r="K182" s="24" t="str">
        <f>IF(AND(Registro!$G182="",Registro!$H182=""),"",IF(AND(ISTEXT(I182),I182&lt;&gt;""),"Revisar formato",N(Registro!$G182)-N(I182)))</f>
        <v/>
      </c>
      <c r="L182" s="24" t="str">
        <f t="shared" si="5"/>
        <v/>
      </c>
      <c r="M182" s="36" t="str">
        <f>IF(AND(A182=Consulta!$B$3,C182=Consulta!$H$3),B182*10000+ROW(),"")</f>
        <v/>
      </c>
    </row>
    <row r="183" spans="1:13" x14ac:dyDescent="0.25">
      <c r="A183" s="21" t="str">
        <f>IF(Registro!$A183="","",Registro!$A183)</f>
        <v/>
      </c>
      <c r="B183" s="20" t="str">
        <f>IF(Registro!$B183="","",Registro!$B183)</f>
        <v/>
      </c>
      <c r="C183" s="35" t="str">
        <f t="shared" si="4"/>
        <v/>
      </c>
      <c r="D183" s="23" t="str">
        <f>IF(Registro!$E183="","",IF(ISERROR(FIND("x",LOWER(Registro!$E183))),"-",IFERROR(SUMPRODUCT(--("0"&amp;LEFT(TRIM(MID(SUBSTITUTE(SUBSTITUTE(SUBSTITUTE(SUBSTITUTE(SUBSTITUTE(LOWER(Registro!$E183),"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",LEN(Registro!$E183))),({1,2,3,4,5,6,7,8,9,10,11,12,13,14,15,16,17,18,19,20,21,22,23,24,25,26,27,28,29,30}-1)*LEN(Registro!$E183)+1,LEN(Registro!$E183))),FIND("x",TRIM(MID(SUBSTITUTE(SUBSTITUTE(SUBSTITUTE(SUBSTITUTE(SUBSTITUTE(LOWER(Registro!$E183),"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",LEN(Registro!$E183))),({1,2,3,4,5,6,7,8,9,10,11,12,13,14,15,16,17,18,19,20,21,22,23,24,25,26,27,28,29,30}-1)*LEN(Registro!$E183)+1,LEN(Registro!$E183)))&amp;"x")-1))),"Revisar formato")))</f>
        <v/>
      </c>
      <c r="E183" s="24" t="str">
        <f>IF(Registro!$E183="","",IF(ISERROR(FIND("x",LOWER(Registro!$E183))),"-",IFERROR(SUMPRODUCT(--("0"&amp;LEFT(TRIM(MID(SUBSTITUTE(SUBSTITUTE(SUBSTITUTE(SUBSTITUTE(SUBSTITUTE(LOWER(Registro!$E183),"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",LEN(Registro!$E183))),({1,2,3,4,5,6,7,8,9,10,11,12,13,14,15,16,17,18,19,20,21,22,23,24,25,26,27,28,29,30}-1)*LEN(Registro!$E183)+1,LEN(Registro!$E183))),FIND("x",TRIM(MID(SUBSTITUTE(SUBSTITUTE(SUBSTITUTE(SUBSTITUTE(SUBSTITUTE(LOWER(Registro!$E183),"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",LEN(Registro!$E183))),({1,2,3,4,5,6,7,8,9,10,11,12,13,14,15,16,17,18,19,20,21,22,23,24,25,26,27,28,29,30}-1)*LEN(Registro!$E183)+1,LEN(Registro!$E183)))&amp;"x")-1)),--("0"&amp;MID(TRIM(MID(SUBSTITUTE(SUBSTITUTE(SUBSTITUTE(SUBSTITUTE(SUBSTITUTE(LOWER(Registro!$E183),"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",LEN(Registro!$E183))),({1,2,3,4,5,6,7,8,9,10,11,12,13,14,15,16,17,18,19,20,21,22,23,24,25,26,27,28,29,30}-1)*LEN(Registro!$E183)+1,LEN(Registro!$E183))),FIND("x",TRIM(MID(SUBSTITUTE(SUBSTITUTE(SUBSTITUTE(SUBSTITUTE(SUBSTITUTE(LOWER(Registro!$E183),"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",LEN(Registro!$E183))),({1,2,3,4,5,6,7,8,9,10,11,12,13,14,15,16,17,18,19,20,21,22,23,24,25,26,27,28,29,30}-1)*LEN(Registro!$E183)+1,LEN(Registro!$E183)))&amp;"x")+1,20))),"Revisar formato")))</f>
        <v/>
      </c>
      <c r="F183" s="23" t="str">
        <f>IF(Registro!$F183="","",IF(ISERROR(FIND("x",LOWER(Registro!$F183))),"-",IFERROR(SUMPRODUCT(--("0"&amp;LEFT(TRIM(MID(SUBSTITUTE(SUBSTITUTE(SUBSTITUTE(SUBSTITUTE(SUBSTITUTE(LOWER(Registro!$F183)," ",""),CHAR(10),"|"),";","|"),"+","|"),"|",REPT(" ",LEN(Registro!$F183))),({1,2,3,4,5,6,7,8,9,10,11,12,13,14,15,16,17,18,19,20,21,22,23,24,25,26,27,28,29,30}-1)*LEN(Registro!$F183)+1,LEN(Registro!$F183))),FIND("x",TRIM(MID(SUBSTITUTE(SUBSTITUTE(SUBSTITUTE(SUBSTITUTE(SUBSTITUTE(LOWER(Registro!$F183)," ",""),CHAR(10),"|"),";","|"),"+","|"),"|",REPT(" ",LEN(Registro!$F183))),({1,2,3,4,5,6,7,8,9,10,11,12,13,14,15,16,17,18,19,20,21,22,23,24,25,26,27,28,29,30}-1)*LEN(Registro!$F183)+1,LEN(Registro!$F183)))&amp;"x")-1))),"Revisar formato")))</f>
        <v/>
      </c>
      <c r="G183" s="24" t="str">
        <f>IF(Registro!$F183="","",IF(ISERROR(FIND("x",LOWER(Registro!$F183))),N(Registro!$G183),IFERROR(SUMPRODUCT(--("0"&amp;LEFT(TRIM(MID(SUBSTITUTE(SUBSTITUTE(SUBSTITUTE(SUBSTITUTE(SUBSTITUTE(LOWER(Registro!$F183)," ",""),CHAR(10),"|"),";","|"),"+","|"),"|",REPT(" ",LEN(Registro!$F183))),({1,2,3,4,5,6,7,8,9,10,11,12,13,14,15,16,17,18,19,20,21,22,23,24,25,26,27,28,29,30}-1)*LEN(Registro!$F183)+1,LEN(Registro!$F183))),FIND("x",TRIM(MID(SUBSTITUTE(SUBSTITUTE(SUBSTITUTE(SUBSTITUTE(SUBSTITUTE(LOWER(Registro!$F183)," ",""),CHAR(10),"|"),";","|"),"+","|"),"|",REPT(" ",LEN(Registro!$F183))),({1,2,3,4,5,6,7,8,9,10,11,12,13,14,15,16,17,18,19,20,21,22,23,24,25,26,27,28,29,30}-1)*LEN(Registro!$F183)+1,LEN(Registro!$F183)))&amp;"x")-1)),--("0"&amp;MID(TRIM(MID(SUBSTITUTE(SUBSTITUTE(SUBSTITUTE(SUBSTITUTE(SUBSTITUTE(LOWER(Registro!$F183)," ",""),CHAR(10),"|"),";","|"),"+","|"),"|",REPT(" ",LEN(Registro!$F183))),({1,2,3,4,5,6,7,8,9,10,11,12,13,14,15,16,17,18,19,20,21,22,23,24,25,26,27,28,29,30}-1)*LEN(Registro!$F183)+1,LEN(Registro!$F183))),FIND("x",TRIM(MID(SUBSTITUTE(SUBSTITUTE(SUBSTITUTE(SUBSTITUTE(SUBSTITUTE(LOWER(Registro!$F183)," ",""),CHAR(10),"|"),";","|"),"+","|"),"|",REPT(" ",LEN(Registro!$F183))),({1,2,3,4,5,6,7,8,9,10,11,12,13,14,15,16,17,18,19,20,21,22,23,24,25,26,27,28,29,30}-1)*LEN(Registro!$F183)+1,LEN(Registro!$F183)))&amp;"x")+1,20))),"Revisar formato")))</f>
        <v/>
      </c>
      <c r="H183" s="21" t="str">
        <f>IF(AND(Registro!$E183="",Registro!$F183=""),"",IF(NOT(AND(ISNUMBER(G183),ISNUMBER(Registro!$G183))),"",IF(G183&lt;Registro!$G183,"FALTA BOLETOS",IF(G183=Registro!$G183,"CONFORME","DIFERENCIA"))))</f>
        <v/>
      </c>
      <c r="I183" s="24" t="str">
        <f>IF(Registro!$H183="","",IFERROR(SUMPRODUCT(--("0"&amp;TRIM(RIGHT(SUBSTITUTE(TRIM(MID(SUBSTITUTE(SUBSTITUTE(Registro!$H183,";",CHAR(10)),CHAR(10),REPT(" ",LEN(Registro!$H183))),({1,2,3,4,5,6,7,8,9,10,11,12,13,14,15,16,17,18,19,20,21,22,23,24,25,26,27,28,29,30}-1)*LEN(Registro!$H183)+1,LEN(Registro!$H183)))," ",REPT(" ",50)),50)))),"Revisar formato"))</f>
        <v/>
      </c>
      <c r="J183" s="24" t="str">
        <f>IF(Registro!$I183="","",IFERROR(SUMPRODUCT(--("0"&amp;TRIM(RIGHT(SUBSTITUTE(TRIM(MID(SUBSTITUTE(SUBSTITUTE(Registro!$I183,";",CHAR(10)),CHAR(10),REPT(" ",LEN(Registro!$I183))),({1,2,3,4,5,6,7,8,9,10,11,12,13,14,15,16,17,18,19,20,21,22,23,24,25,26,27,28,29,30}-1)*LEN(Registro!$I183)+1,LEN(Registro!$I183)))," ",REPT(" ",50)),50)))),"Revisar formato"))</f>
        <v/>
      </c>
      <c r="K183" s="24" t="str">
        <f>IF(AND(Registro!$G183="",Registro!$H183=""),"",IF(AND(ISTEXT(I183),I183&lt;&gt;""),"Revisar formato",N(Registro!$G183)-N(I183)))</f>
        <v/>
      </c>
      <c r="L183" s="24" t="str">
        <f t="shared" si="5"/>
        <v/>
      </c>
      <c r="M183" s="36" t="str">
        <f>IF(AND(A183=Consulta!$B$3,C183=Consulta!$H$3),B183*10000+ROW(),"")</f>
        <v/>
      </c>
    </row>
    <row r="184" spans="1:13" x14ac:dyDescent="0.25">
      <c r="A184" s="21" t="str">
        <f>IF(Registro!$A184="","",Registro!$A184)</f>
        <v/>
      </c>
      <c r="B184" s="20" t="str">
        <f>IF(Registro!$B184="","",Registro!$B184)</f>
        <v/>
      </c>
      <c r="C184" s="35" t="str">
        <f t="shared" si="4"/>
        <v/>
      </c>
      <c r="D184" s="23" t="str">
        <f>IF(Registro!$E184="","",IF(ISERROR(FIND("x",LOWER(Registro!$E184))),"-",IFERROR(SUMPRODUCT(--("0"&amp;LEFT(TRIM(MID(SUBSTITUTE(SUBSTITUTE(SUBSTITUTE(SUBSTITUTE(SUBSTITUTE(LOWER(Registro!$E184),"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",LEN(Registro!$E184))),({1,2,3,4,5,6,7,8,9,10,11,12,13,14,15,16,17,18,19,20,21,22,23,24,25,26,27,28,29,30}-1)*LEN(Registro!$E184)+1,LEN(Registro!$E184))),FIND("x",TRIM(MID(SUBSTITUTE(SUBSTITUTE(SUBSTITUTE(SUBSTITUTE(SUBSTITUTE(LOWER(Registro!$E184),"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",LEN(Registro!$E184))),({1,2,3,4,5,6,7,8,9,10,11,12,13,14,15,16,17,18,19,20,21,22,23,24,25,26,27,28,29,30}-1)*LEN(Registro!$E184)+1,LEN(Registro!$E184)))&amp;"x")-1))),"Revisar formato")))</f>
        <v/>
      </c>
      <c r="E184" s="24" t="str">
        <f>IF(Registro!$E184="","",IF(ISERROR(FIND("x",LOWER(Registro!$E184))),"-",IFERROR(SUMPRODUCT(--("0"&amp;LEFT(TRIM(MID(SUBSTITUTE(SUBSTITUTE(SUBSTITUTE(SUBSTITUTE(SUBSTITUTE(LOWER(Registro!$E184),"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",LEN(Registro!$E184))),({1,2,3,4,5,6,7,8,9,10,11,12,13,14,15,16,17,18,19,20,21,22,23,24,25,26,27,28,29,30}-1)*LEN(Registro!$E184)+1,LEN(Registro!$E184))),FIND("x",TRIM(MID(SUBSTITUTE(SUBSTITUTE(SUBSTITUTE(SUBSTITUTE(SUBSTITUTE(LOWER(Registro!$E184),"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",LEN(Registro!$E184))),({1,2,3,4,5,6,7,8,9,10,11,12,13,14,15,16,17,18,19,20,21,22,23,24,25,26,27,28,29,30}-1)*LEN(Registro!$E184)+1,LEN(Registro!$E184)))&amp;"x")-1)),--("0"&amp;MID(TRIM(MID(SUBSTITUTE(SUBSTITUTE(SUBSTITUTE(SUBSTITUTE(SUBSTITUTE(LOWER(Registro!$E184),"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",LEN(Registro!$E184))),({1,2,3,4,5,6,7,8,9,10,11,12,13,14,15,16,17,18,19,20,21,22,23,24,25,26,27,28,29,30}-1)*LEN(Registro!$E184)+1,LEN(Registro!$E184))),FIND("x",TRIM(MID(SUBSTITUTE(SUBSTITUTE(SUBSTITUTE(SUBSTITUTE(SUBSTITUTE(LOWER(Registro!$E184),"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",LEN(Registro!$E184))),({1,2,3,4,5,6,7,8,9,10,11,12,13,14,15,16,17,18,19,20,21,22,23,24,25,26,27,28,29,30}-1)*LEN(Registro!$E184)+1,LEN(Registro!$E184)))&amp;"x")+1,20))),"Revisar formato")))</f>
        <v/>
      </c>
      <c r="F184" s="23" t="str">
        <f>IF(Registro!$F184="","",IF(ISERROR(FIND("x",LOWER(Registro!$F184))),"-",IFERROR(SUMPRODUCT(--("0"&amp;LEFT(TRIM(MID(SUBSTITUTE(SUBSTITUTE(SUBSTITUTE(SUBSTITUTE(SUBSTITUTE(LOWER(Registro!$F184)," ",""),CHAR(10),"|"),";","|"),"+","|"),"|",REPT(" ",LEN(Registro!$F184))),({1,2,3,4,5,6,7,8,9,10,11,12,13,14,15,16,17,18,19,20,21,22,23,24,25,26,27,28,29,30}-1)*LEN(Registro!$F184)+1,LEN(Registro!$F184))),FIND("x",TRIM(MID(SUBSTITUTE(SUBSTITUTE(SUBSTITUTE(SUBSTITUTE(SUBSTITUTE(LOWER(Registro!$F184)," ",""),CHAR(10),"|"),";","|"),"+","|"),"|",REPT(" ",LEN(Registro!$F184))),({1,2,3,4,5,6,7,8,9,10,11,12,13,14,15,16,17,18,19,20,21,22,23,24,25,26,27,28,29,30}-1)*LEN(Registro!$F184)+1,LEN(Registro!$F184)))&amp;"x")-1))),"Revisar formato")))</f>
        <v/>
      </c>
      <c r="G184" s="24" t="str">
        <f>IF(Registro!$F184="","",IF(ISERROR(FIND("x",LOWER(Registro!$F184))),N(Registro!$G184),IFERROR(SUMPRODUCT(--("0"&amp;LEFT(TRIM(MID(SUBSTITUTE(SUBSTITUTE(SUBSTITUTE(SUBSTITUTE(SUBSTITUTE(LOWER(Registro!$F184)," ",""),CHAR(10),"|"),";","|"),"+","|"),"|",REPT(" ",LEN(Registro!$F184))),({1,2,3,4,5,6,7,8,9,10,11,12,13,14,15,16,17,18,19,20,21,22,23,24,25,26,27,28,29,30}-1)*LEN(Registro!$F184)+1,LEN(Registro!$F184))),FIND("x",TRIM(MID(SUBSTITUTE(SUBSTITUTE(SUBSTITUTE(SUBSTITUTE(SUBSTITUTE(LOWER(Registro!$F184)," ",""),CHAR(10),"|"),";","|"),"+","|"),"|",REPT(" ",LEN(Registro!$F184))),({1,2,3,4,5,6,7,8,9,10,11,12,13,14,15,16,17,18,19,20,21,22,23,24,25,26,27,28,29,30}-1)*LEN(Registro!$F184)+1,LEN(Registro!$F184)))&amp;"x")-1)),--("0"&amp;MID(TRIM(MID(SUBSTITUTE(SUBSTITUTE(SUBSTITUTE(SUBSTITUTE(SUBSTITUTE(LOWER(Registro!$F184)," ",""),CHAR(10),"|"),";","|"),"+","|"),"|",REPT(" ",LEN(Registro!$F184))),({1,2,3,4,5,6,7,8,9,10,11,12,13,14,15,16,17,18,19,20,21,22,23,24,25,26,27,28,29,30}-1)*LEN(Registro!$F184)+1,LEN(Registro!$F184))),FIND("x",TRIM(MID(SUBSTITUTE(SUBSTITUTE(SUBSTITUTE(SUBSTITUTE(SUBSTITUTE(LOWER(Registro!$F184)," ",""),CHAR(10),"|"),";","|"),"+","|"),"|",REPT(" ",LEN(Registro!$F184))),({1,2,3,4,5,6,7,8,9,10,11,12,13,14,15,16,17,18,19,20,21,22,23,24,25,26,27,28,29,30}-1)*LEN(Registro!$F184)+1,LEN(Registro!$F184)))&amp;"x")+1,20))),"Revisar formato")))</f>
        <v/>
      </c>
      <c r="H184" s="21" t="str">
        <f>IF(AND(Registro!$E184="",Registro!$F184=""),"",IF(NOT(AND(ISNUMBER(G184),ISNUMBER(Registro!$G184))),"",IF(G184&lt;Registro!$G184,"FALTA BOLETOS",IF(G184=Registro!$G184,"CONFORME","DIFERENCIA"))))</f>
        <v/>
      </c>
      <c r="I184" s="24" t="str">
        <f>IF(Registro!$H184="","",IFERROR(SUMPRODUCT(--("0"&amp;TRIM(RIGHT(SUBSTITUTE(TRIM(MID(SUBSTITUTE(SUBSTITUTE(Registro!$H184,";",CHAR(10)),CHAR(10),REPT(" ",LEN(Registro!$H184))),({1,2,3,4,5,6,7,8,9,10,11,12,13,14,15,16,17,18,19,20,21,22,23,24,25,26,27,28,29,30}-1)*LEN(Registro!$H184)+1,LEN(Registro!$H184)))," ",REPT(" ",50)),50)))),"Revisar formato"))</f>
        <v/>
      </c>
      <c r="J184" s="24" t="str">
        <f>IF(Registro!$I184="","",IFERROR(SUMPRODUCT(--("0"&amp;TRIM(RIGHT(SUBSTITUTE(TRIM(MID(SUBSTITUTE(SUBSTITUTE(Registro!$I184,";",CHAR(10)),CHAR(10),REPT(" ",LEN(Registro!$I184))),({1,2,3,4,5,6,7,8,9,10,11,12,13,14,15,16,17,18,19,20,21,22,23,24,25,26,27,28,29,30}-1)*LEN(Registro!$I184)+1,LEN(Registro!$I184)))," ",REPT(" ",50)),50)))),"Revisar formato"))</f>
        <v/>
      </c>
      <c r="K184" s="24" t="str">
        <f>IF(AND(Registro!$G184="",Registro!$H184=""),"",IF(AND(ISTEXT(I184),I184&lt;&gt;""),"Revisar formato",N(Registro!$G184)-N(I184)))</f>
        <v/>
      </c>
      <c r="L184" s="24" t="str">
        <f t="shared" si="5"/>
        <v/>
      </c>
      <c r="M184" s="36" t="str">
        <f>IF(AND(A184=Consulta!$B$3,C184=Consulta!$H$3),B184*10000+ROW(),"")</f>
        <v/>
      </c>
    </row>
    <row r="185" spans="1:13" x14ac:dyDescent="0.25">
      <c r="A185" s="21" t="str">
        <f>IF(Registro!$A185="","",Registro!$A185)</f>
        <v/>
      </c>
      <c r="B185" s="20" t="str">
        <f>IF(Registro!$B185="","",Registro!$B185)</f>
        <v/>
      </c>
      <c r="C185" s="35" t="str">
        <f t="shared" si="4"/>
        <v/>
      </c>
      <c r="D185" s="23" t="str">
        <f>IF(Registro!$E185="","",IF(ISERROR(FIND("x",LOWER(Registro!$E185))),"-",IFERROR(SUMPRODUCT(--("0"&amp;LEFT(TRIM(MID(SUBSTITUTE(SUBSTITUTE(SUBSTITUTE(SUBSTITUTE(SUBSTITUTE(LOWER(Registro!$E185),"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",LEN(Registro!$E185))),({1,2,3,4,5,6,7,8,9,10,11,12,13,14,15,16,17,18,19,20,21,22,23,24,25,26,27,28,29,30}-1)*LEN(Registro!$E185)+1,LEN(Registro!$E185))),FIND("x",TRIM(MID(SUBSTITUTE(SUBSTITUTE(SUBSTITUTE(SUBSTITUTE(SUBSTITUTE(LOWER(Registro!$E185),"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",LEN(Registro!$E185))),({1,2,3,4,5,6,7,8,9,10,11,12,13,14,15,16,17,18,19,20,21,22,23,24,25,26,27,28,29,30}-1)*LEN(Registro!$E185)+1,LEN(Registro!$E185)))&amp;"x")-1))),"Revisar formato")))</f>
        <v/>
      </c>
      <c r="E185" s="24" t="str">
        <f>IF(Registro!$E185="","",IF(ISERROR(FIND("x",LOWER(Registro!$E185))),"-",IFERROR(SUMPRODUCT(--("0"&amp;LEFT(TRIM(MID(SUBSTITUTE(SUBSTITUTE(SUBSTITUTE(SUBSTITUTE(SUBSTITUTE(LOWER(Registro!$E185),"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",LEN(Registro!$E185))),({1,2,3,4,5,6,7,8,9,10,11,12,13,14,15,16,17,18,19,20,21,22,23,24,25,26,27,28,29,30}-1)*LEN(Registro!$E185)+1,LEN(Registro!$E185))),FIND("x",TRIM(MID(SUBSTITUTE(SUBSTITUTE(SUBSTITUTE(SUBSTITUTE(SUBSTITUTE(LOWER(Registro!$E185),"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",LEN(Registro!$E185))),({1,2,3,4,5,6,7,8,9,10,11,12,13,14,15,16,17,18,19,20,21,22,23,24,25,26,27,28,29,30}-1)*LEN(Registro!$E185)+1,LEN(Registro!$E185)))&amp;"x")-1)),--("0"&amp;MID(TRIM(MID(SUBSTITUTE(SUBSTITUTE(SUBSTITUTE(SUBSTITUTE(SUBSTITUTE(LOWER(Registro!$E185),"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",LEN(Registro!$E185))),({1,2,3,4,5,6,7,8,9,10,11,12,13,14,15,16,17,18,19,20,21,22,23,24,25,26,27,28,29,30}-1)*LEN(Registro!$E185)+1,LEN(Registro!$E185))),FIND("x",TRIM(MID(SUBSTITUTE(SUBSTITUTE(SUBSTITUTE(SUBSTITUTE(SUBSTITUTE(LOWER(Registro!$E185),"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",LEN(Registro!$E185))),({1,2,3,4,5,6,7,8,9,10,11,12,13,14,15,16,17,18,19,20,21,22,23,24,25,26,27,28,29,30}-1)*LEN(Registro!$E185)+1,LEN(Registro!$E185)))&amp;"x")+1,20))),"Revisar formato")))</f>
        <v/>
      </c>
      <c r="F185" s="23" t="str">
        <f>IF(Registro!$F185="","",IF(ISERROR(FIND("x",LOWER(Registro!$F185))),"-",IFERROR(SUMPRODUCT(--("0"&amp;LEFT(TRIM(MID(SUBSTITUTE(SUBSTITUTE(SUBSTITUTE(SUBSTITUTE(SUBSTITUTE(LOWER(Registro!$F185)," ",""),CHAR(10),"|"),";","|"),"+","|"),"|",REPT(" ",LEN(Registro!$F185))),({1,2,3,4,5,6,7,8,9,10,11,12,13,14,15,16,17,18,19,20,21,22,23,24,25,26,27,28,29,30}-1)*LEN(Registro!$F185)+1,LEN(Registro!$F185))),FIND("x",TRIM(MID(SUBSTITUTE(SUBSTITUTE(SUBSTITUTE(SUBSTITUTE(SUBSTITUTE(LOWER(Registro!$F185)," ",""),CHAR(10),"|"),";","|"),"+","|"),"|",REPT(" ",LEN(Registro!$F185))),({1,2,3,4,5,6,7,8,9,10,11,12,13,14,15,16,17,18,19,20,21,22,23,24,25,26,27,28,29,30}-1)*LEN(Registro!$F185)+1,LEN(Registro!$F185)))&amp;"x")-1))),"Revisar formato")))</f>
        <v/>
      </c>
      <c r="G185" s="24" t="str">
        <f>IF(Registro!$F185="","",IF(ISERROR(FIND("x",LOWER(Registro!$F185))),N(Registro!$G185),IFERROR(SUMPRODUCT(--("0"&amp;LEFT(TRIM(MID(SUBSTITUTE(SUBSTITUTE(SUBSTITUTE(SUBSTITUTE(SUBSTITUTE(LOWER(Registro!$F185)," ",""),CHAR(10),"|"),";","|"),"+","|"),"|",REPT(" ",LEN(Registro!$F185))),({1,2,3,4,5,6,7,8,9,10,11,12,13,14,15,16,17,18,19,20,21,22,23,24,25,26,27,28,29,30}-1)*LEN(Registro!$F185)+1,LEN(Registro!$F185))),FIND("x",TRIM(MID(SUBSTITUTE(SUBSTITUTE(SUBSTITUTE(SUBSTITUTE(SUBSTITUTE(LOWER(Registro!$F185)," ",""),CHAR(10),"|"),";","|"),"+","|"),"|",REPT(" ",LEN(Registro!$F185))),({1,2,3,4,5,6,7,8,9,10,11,12,13,14,15,16,17,18,19,20,21,22,23,24,25,26,27,28,29,30}-1)*LEN(Registro!$F185)+1,LEN(Registro!$F185)))&amp;"x")-1)),--("0"&amp;MID(TRIM(MID(SUBSTITUTE(SUBSTITUTE(SUBSTITUTE(SUBSTITUTE(SUBSTITUTE(LOWER(Registro!$F185)," ",""),CHAR(10),"|"),";","|"),"+","|"),"|",REPT(" ",LEN(Registro!$F185))),({1,2,3,4,5,6,7,8,9,10,11,12,13,14,15,16,17,18,19,20,21,22,23,24,25,26,27,28,29,30}-1)*LEN(Registro!$F185)+1,LEN(Registro!$F185))),FIND("x",TRIM(MID(SUBSTITUTE(SUBSTITUTE(SUBSTITUTE(SUBSTITUTE(SUBSTITUTE(LOWER(Registro!$F185)," ",""),CHAR(10),"|"),";","|"),"+","|"),"|",REPT(" ",LEN(Registro!$F185))),({1,2,3,4,5,6,7,8,9,10,11,12,13,14,15,16,17,18,19,20,21,22,23,24,25,26,27,28,29,30}-1)*LEN(Registro!$F185)+1,LEN(Registro!$F185)))&amp;"x")+1,20))),"Revisar formato")))</f>
        <v/>
      </c>
      <c r="H185" s="21" t="str">
        <f>IF(AND(Registro!$E185="",Registro!$F185=""),"",IF(NOT(AND(ISNUMBER(G185),ISNUMBER(Registro!$G185))),"",IF(G185&lt;Registro!$G185,"FALTA BOLETOS",IF(G185=Registro!$G185,"CONFORME","DIFERENCIA"))))</f>
        <v/>
      </c>
      <c r="I185" s="24" t="str">
        <f>IF(Registro!$H185="","",IFERROR(SUMPRODUCT(--("0"&amp;TRIM(RIGHT(SUBSTITUTE(TRIM(MID(SUBSTITUTE(SUBSTITUTE(Registro!$H185,";",CHAR(10)),CHAR(10),REPT(" ",LEN(Registro!$H185))),({1,2,3,4,5,6,7,8,9,10,11,12,13,14,15,16,17,18,19,20,21,22,23,24,25,26,27,28,29,30}-1)*LEN(Registro!$H185)+1,LEN(Registro!$H185)))," ",REPT(" ",50)),50)))),"Revisar formato"))</f>
        <v/>
      </c>
      <c r="J185" s="24" t="str">
        <f>IF(Registro!$I185="","",IFERROR(SUMPRODUCT(--("0"&amp;TRIM(RIGHT(SUBSTITUTE(TRIM(MID(SUBSTITUTE(SUBSTITUTE(Registro!$I185,";",CHAR(10)),CHAR(10),REPT(" ",LEN(Registro!$I185))),({1,2,3,4,5,6,7,8,9,10,11,12,13,14,15,16,17,18,19,20,21,22,23,24,25,26,27,28,29,30}-1)*LEN(Registro!$I185)+1,LEN(Registro!$I185)))," ",REPT(" ",50)),50)))),"Revisar formato"))</f>
        <v/>
      </c>
      <c r="K185" s="24" t="str">
        <f>IF(AND(Registro!$G185="",Registro!$H185=""),"",IF(AND(ISTEXT(I185),I185&lt;&gt;""),"Revisar formato",N(Registro!$G185)-N(I185)))</f>
        <v/>
      </c>
      <c r="L185" s="24" t="str">
        <f t="shared" si="5"/>
        <v/>
      </c>
      <c r="M185" s="36" t="str">
        <f>IF(AND(A185=Consulta!$B$3,C185=Consulta!$H$3),B185*10000+ROW(),"")</f>
        <v/>
      </c>
    </row>
    <row r="186" spans="1:13" x14ac:dyDescent="0.25">
      <c r="A186" s="21" t="str">
        <f>IF(Registro!$A186="","",Registro!$A186)</f>
        <v/>
      </c>
      <c r="B186" s="20" t="str">
        <f>IF(Registro!$B186="","",Registro!$B186)</f>
        <v/>
      </c>
      <c r="C186" s="35" t="str">
        <f t="shared" si="4"/>
        <v/>
      </c>
      <c r="D186" s="23" t="str">
        <f>IF(Registro!$E186="","",IF(ISERROR(FIND("x",LOWER(Registro!$E186))),"-",IFERROR(SUMPRODUCT(--("0"&amp;LEFT(TRIM(MID(SUBSTITUTE(SUBSTITUTE(SUBSTITUTE(SUBSTITUTE(SUBSTITUTE(LOWER(Registro!$E186),"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",LEN(Registro!$E186))),({1,2,3,4,5,6,7,8,9,10,11,12,13,14,15,16,17,18,19,20,21,22,23,24,25,26,27,28,29,30}-1)*LEN(Registro!$E186)+1,LEN(Registro!$E186))),FIND("x",TRIM(MID(SUBSTITUTE(SUBSTITUTE(SUBSTITUTE(SUBSTITUTE(SUBSTITUTE(LOWER(Registro!$E186),"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",LEN(Registro!$E186))),({1,2,3,4,5,6,7,8,9,10,11,12,13,14,15,16,17,18,19,20,21,22,23,24,25,26,27,28,29,30}-1)*LEN(Registro!$E186)+1,LEN(Registro!$E186)))&amp;"x")-1))),"Revisar formato")))</f>
        <v/>
      </c>
      <c r="E186" s="24" t="str">
        <f>IF(Registro!$E186="","",IF(ISERROR(FIND("x",LOWER(Registro!$E186))),"-",IFERROR(SUMPRODUCT(--("0"&amp;LEFT(TRIM(MID(SUBSTITUTE(SUBSTITUTE(SUBSTITUTE(SUBSTITUTE(SUBSTITUTE(LOWER(Registro!$E186),"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",LEN(Registro!$E186))),({1,2,3,4,5,6,7,8,9,10,11,12,13,14,15,16,17,18,19,20,21,22,23,24,25,26,27,28,29,30}-1)*LEN(Registro!$E186)+1,LEN(Registro!$E186))),FIND("x",TRIM(MID(SUBSTITUTE(SUBSTITUTE(SUBSTITUTE(SUBSTITUTE(SUBSTITUTE(LOWER(Registro!$E186),"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",LEN(Registro!$E186))),({1,2,3,4,5,6,7,8,9,10,11,12,13,14,15,16,17,18,19,20,21,22,23,24,25,26,27,28,29,30}-1)*LEN(Registro!$E186)+1,LEN(Registro!$E186)))&amp;"x")-1)),--("0"&amp;MID(TRIM(MID(SUBSTITUTE(SUBSTITUTE(SUBSTITUTE(SUBSTITUTE(SUBSTITUTE(LOWER(Registro!$E186),"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",LEN(Registro!$E186))),({1,2,3,4,5,6,7,8,9,10,11,12,13,14,15,16,17,18,19,20,21,22,23,24,25,26,27,28,29,30}-1)*LEN(Registro!$E186)+1,LEN(Registro!$E186))),FIND("x",TRIM(MID(SUBSTITUTE(SUBSTITUTE(SUBSTITUTE(SUBSTITUTE(SUBSTITUTE(LOWER(Registro!$E186),"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",LEN(Registro!$E186))),({1,2,3,4,5,6,7,8,9,10,11,12,13,14,15,16,17,18,19,20,21,22,23,24,25,26,27,28,29,30}-1)*LEN(Registro!$E186)+1,LEN(Registro!$E186)))&amp;"x")+1,20))),"Revisar formato")))</f>
        <v/>
      </c>
      <c r="F186" s="23" t="str">
        <f>IF(Registro!$F186="","",IF(ISERROR(FIND("x",LOWER(Registro!$F186))),"-",IFERROR(SUMPRODUCT(--("0"&amp;LEFT(TRIM(MID(SUBSTITUTE(SUBSTITUTE(SUBSTITUTE(SUBSTITUTE(SUBSTITUTE(LOWER(Registro!$F186)," ",""),CHAR(10),"|"),";","|"),"+","|"),"|",REPT(" ",LEN(Registro!$F186))),({1,2,3,4,5,6,7,8,9,10,11,12,13,14,15,16,17,18,19,20,21,22,23,24,25,26,27,28,29,30}-1)*LEN(Registro!$F186)+1,LEN(Registro!$F186))),FIND("x",TRIM(MID(SUBSTITUTE(SUBSTITUTE(SUBSTITUTE(SUBSTITUTE(SUBSTITUTE(LOWER(Registro!$F186)," ",""),CHAR(10),"|"),";","|"),"+","|"),"|",REPT(" ",LEN(Registro!$F186))),({1,2,3,4,5,6,7,8,9,10,11,12,13,14,15,16,17,18,19,20,21,22,23,24,25,26,27,28,29,30}-1)*LEN(Registro!$F186)+1,LEN(Registro!$F186)))&amp;"x")-1))),"Revisar formato")))</f>
        <v/>
      </c>
      <c r="G186" s="24" t="str">
        <f>IF(Registro!$F186="","",IF(ISERROR(FIND("x",LOWER(Registro!$F186))),N(Registro!$G186),IFERROR(SUMPRODUCT(--("0"&amp;LEFT(TRIM(MID(SUBSTITUTE(SUBSTITUTE(SUBSTITUTE(SUBSTITUTE(SUBSTITUTE(LOWER(Registro!$F186)," ",""),CHAR(10),"|"),";","|"),"+","|"),"|",REPT(" ",LEN(Registro!$F186))),({1,2,3,4,5,6,7,8,9,10,11,12,13,14,15,16,17,18,19,20,21,22,23,24,25,26,27,28,29,30}-1)*LEN(Registro!$F186)+1,LEN(Registro!$F186))),FIND("x",TRIM(MID(SUBSTITUTE(SUBSTITUTE(SUBSTITUTE(SUBSTITUTE(SUBSTITUTE(LOWER(Registro!$F186)," ",""),CHAR(10),"|"),";","|"),"+","|"),"|",REPT(" ",LEN(Registro!$F186))),({1,2,3,4,5,6,7,8,9,10,11,12,13,14,15,16,17,18,19,20,21,22,23,24,25,26,27,28,29,30}-1)*LEN(Registro!$F186)+1,LEN(Registro!$F186)))&amp;"x")-1)),--("0"&amp;MID(TRIM(MID(SUBSTITUTE(SUBSTITUTE(SUBSTITUTE(SUBSTITUTE(SUBSTITUTE(LOWER(Registro!$F186)," ",""),CHAR(10),"|"),";","|"),"+","|"),"|",REPT(" ",LEN(Registro!$F186))),({1,2,3,4,5,6,7,8,9,10,11,12,13,14,15,16,17,18,19,20,21,22,23,24,25,26,27,28,29,30}-1)*LEN(Registro!$F186)+1,LEN(Registro!$F186))),FIND("x",TRIM(MID(SUBSTITUTE(SUBSTITUTE(SUBSTITUTE(SUBSTITUTE(SUBSTITUTE(LOWER(Registro!$F186)," ",""),CHAR(10),"|"),";","|"),"+","|"),"|",REPT(" ",LEN(Registro!$F186))),({1,2,3,4,5,6,7,8,9,10,11,12,13,14,15,16,17,18,19,20,21,22,23,24,25,26,27,28,29,30}-1)*LEN(Registro!$F186)+1,LEN(Registro!$F186)))&amp;"x")+1,20))),"Revisar formato")))</f>
        <v/>
      </c>
      <c r="H186" s="21" t="str">
        <f>IF(AND(Registro!$E186="",Registro!$F186=""),"",IF(NOT(AND(ISNUMBER(G186),ISNUMBER(Registro!$G186))),"",IF(G186&lt;Registro!$G186,"FALTA BOLETOS",IF(G186=Registro!$G186,"CONFORME","DIFERENCIA"))))</f>
        <v/>
      </c>
      <c r="I186" s="24" t="str">
        <f>IF(Registro!$H186="","",IFERROR(SUMPRODUCT(--("0"&amp;TRIM(RIGHT(SUBSTITUTE(TRIM(MID(SUBSTITUTE(SUBSTITUTE(Registro!$H186,";",CHAR(10)),CHAR(10),REPT(" ",LEN(Registro!$H186))),({1,2,3,4,5,6,7,8,9,10,11,12,13,14,15,16,17,18,19,20,21,22,23,24,25,26,27,28,29,30}-1)*LEN(Registro!$H186)+1,LEN(Registro!$H186)))," ",REPT(" ",50)),50)))),"Revisar formato"))</f>
        <v/>
      </c>
      <c r="J186" s="24" t="str">
        <f>IF(Registro!$I186="","",IFERROR(SUMPRODUCT(--("0"&amp;TRIM(RIGHT(SUBSTITUTE(TRIM(MID(SUBSTITUTE(SUBSTITUTE(Registro!$I186,";",CHAR(10)),CHAR(10),REPT(" ",LEN(Registro!$I186))),({1,2,3,4,5,6,7,8,9,10,11,12,13,14,15,16,17,18,19,20,21,22,23,24,25,26,27,28,29,30}-1)*LEN(Registro!$I186)+1,LEN(Registro!$I186)))," ",REPT(" ",50)),50)))),"Revisar formato"))</f>
        <v/>
      </c>
      <c r="K186" s="24" t="str">
        <f>IF(AND(Registro!$G186="",Registro!$H186=""),"",IF(AND(ISTEXT(I186),I186&lt;&gt;""),"Revisar formato",N(Registro!$G186)-N(I186)))</f>
        <v/>
      </c>
      <c r="L186" s="24" t="str">
        <f t="shared" si="5"/>
        <v/>
      </c>
      <c r="M186" s="36" t="str">
        <f>IF(AND(A186=Consulta!$B$3,C186=Consulta!$H$3),B186*10000+ROW(),"")</f>
        <v/>
      </c>
    </row>
    <row r="187" spans="1:13" x14ac:dyDescent="0.25">
      <c r="A187" s="21" t="str">
        <f>IF(Registro!$A187="","",Registro!$A187)</f>
        <v/>
      </c>
      <c r="B187" s="20" t="str">
        <f>IF(Registro!$B187="","",Registro!$B187)</f>
        <v/>
      </c>
      <c r="C187" s="35" t="str">
        <f t="shared" si="4"/>
        <v/>
      </c>
      <c r="D187" s="23" t="str">
        <f>IF(Registro!$E187="","",IF(ISERROR(FIND("x",LOWER(Registro!$E187))),"-",IFERROR(SUMPRODUCT(--("0"&amp;LEFT(TRIM(MID(SUBSTITUTE(SUBSTITUTE(SUBSTITUTE(SUBSTITUTE(SUBSTITUTE(LOWER(Registro!$E187),"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",LEN(Registro!$E187))),({1,2,3,4,5,6,7,8,9,10,11,12,13,14,15,16,17,18,19,20,21,22,23,24,25,26,27,28,29,30}-1)*LEN(Registro!$E187)+1,LEN(Registro!$E187))),FIND("x",TRIM(MID(SUBSTITUTE(SUBSTITUTE(SUBSTITUTE(SUBSTITUTE(SUBSTITUTE(LOWER(Registro!$E187),"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",LEN(Registro!$E187))),({1,2,3,4,5,6,7,8,9,10,11,12,13,14,15,16,17,18,19,20,21,22,23,24,25,26,27,28,29,30}-1)*LEN(Registro!$E187)+1,LEN(Registro!$E187)))&amp;"x")-1))),"Revisar formato")))</f>
        <v/>
      </c>
      <c r="E187" s="24" t="str">
        <f>IF(Registro!$E187="","",IF(ISERROR(FIND("x",LOWER(Registro!$E187))),"-",IFERROR(SUMPRODUCT(--("0"&amp;LEFT(TRIM(MID(SUBSTITUTE(SUBSTITUTE(SUBSTITUTE(SUBSTITUTE(SUBSTITUTE(LOWER(Registro!$E187),"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",LEN(Registro!$E187))),({1,2,3,4,5,6,7,8,9,10,11,12,13,14,15,16,17,18,19,20,21,22,23,24,25,26,27,28,29,30}-1)*LEN(Registro!$E187)+1,LEN(Registro!$E187))),FIND("x",TRIM(MID(SUBSTITUTE(SUBSTITUTE(SUBSTITUTE(SUBSTITUTE(SUBSTITUTE(LOWER(Registro!$E187),"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",LEN(Registro!$E187))),({1,2,3,4,5,6,7,8,9,10,11,12,13,14,15,16,17,18,19,20,21,22,23,24,25,26,27,28,29,30}-1)*LEN(Registro!$E187)+1,LEN(Registro!$E187)))&amp;"x")-1)),--("0"&amp;MID(TRIM(MID(SUBSTITUTE(SUBSTITUTE(SUBSTITUTE(SUBSTITUTE(SUBSTITUTE(LOWER(Registro!$E187),"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",LEN(Registro!$E187))),({1,2,3,4,5,6,7,8,9,10,11,12,13,14,15,16,17,18,19,20,21,22,23,24,25,26,27,28,29,30}-1)*LEN(Registro!$E187)+1,LEN(Registro!$E187))),FIND("x",TRIM(MID(SUBSTITUTE(SUBSTITUTE(SUBSTITUTE(SUBSTITUTE(SUBSTITUTE(LOWER(Registro!$E187),"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",LEN(Registro!$E187))),({1,2,3,4,5,6,7,8,9,10,11,12,13,14,15,16,17,18,19,20,21,22,23,24,25,26,27,28,29,30}-1)*LEN(Registro!$E187)+1,LEN(Registro!$E187)))&amp;"x")+1,20))),"Revisar formato")))</f>
        <v/>
      </c>
      <c r="F187" s="23" t="str">
        <f>IF(Registro!$F187="","",IF(ISERROR(FIND("x",LOWER(Registro!$F187))),"-",IFERROR(SUMPRODUCT(--("0"&amp;LEFT(TRIM(MID(SUBSTITUTE(SUBSTITUTE(SUBSTITUTE(SUBSTITUTE(SUBSTITUTE(LOWER(Registro!$F187)," ",""),CHAR(10),"|"),";","|"),"+","|"),"|",REPT(" ",LEN(Registro!$F187))),({1,2,3,4,5,6,7,8,9,10,11,12,13,14,15,16,17,18,19,20,21,22,23,24,25,26,27,28,29,30}-1)*LEN(Registro!$F187)+1,LEN(Registro!$F187))),FIND("x",TRIM(MID(SUBSTITUTE(SUBSTITUTE(SUBSTITUTE(SUBSTITUTE(SUBSTITUTE(LOWER(Registro!$F187)," ",""),CHAR(10),"|"),";","|"),"+","|"),"|",REPT(" ",LEN(Registro!$F187))),({1,2,3,4,5,6,7,8,9,10,11,12,13,14,15,16,17,18,19,20,21,22,23,24,25,26,27,28,29,30}-1)*LEN(Registro!$F187)+1,LEN(Registro!$F187)))&amp;"x")-1))),"Revisar formato")))</f>
        <v/>
      </c>
      <c r="G187" s="24" t="str">
        <f>IF(Registro!$F187="","",IF(ISERROR(FIND("x",LOWER(Registro!$F187))),N(Registro!$G187),IFERROR(SUMPRODUCT(--("0"&amp;LEFT(TRIM(MID(SUBSTITUTE(SUBSTITUTE(SUBSTITUTE(SUBSTITUTE(SUBSTITUTE(LOWER(Registro!$F187)," ",""),CHAR(10),"|"),";","|"),"+","|"),"|",REPT(" ",LEN(Registro!$F187))),({1,2,3,4,5,6,7,8,9,10,11,12,13,14,15,16,17,18,19,20,21,22,23,24,25,26,27,28,29,30}-1)*LEN(Registro!$F187)+1,LEN(Registro!$F187))),FIND("x",TRIM(MID(SUBSTITUTE(SUBSTITUTE(SUBSTITUTE(SUBSTITUTE(SUBSTITUTE(LOWER(Registro!$F187)," ",""),CHAR(10),"|"),";","|"),"+","|"),"|",REPT(" ",LEN(Registro!$F187))),({1,2,3,4,5,6,7,8,9,10,11,12,13,14,15,16,17,18,19,20,21,22,23,24,25,26,27,28,29,30}-1)*LEN(Registro!$F187)+1,LEN(Registro!$F187)))&amp;"x")-1)),--("0"&amp;MID(TRIM(MID(SUBSTITUTE(SUBSTITUTE(SUBSTITUTE(SUBSTITUTE(SUBSTITUTE(LOWER(Registro!$F187)," ",""),CHAR(10),"|"),";","|"),"+","|"),"|",REPT(" ",LEN(Registro!$F187))),({1,2,3,4,5,6,7,8,9,10,11,12,13,14,15,16,17,18,19,20,21,22,23,24,25,26,27,28,29,30}-1)*LEN(Registro!$F187)+1,LEN(Registro!$F187))),FIND("x",TRIM(MID(SUBSTITUTE(SUBSTITUTE(SUBSTITUTE(SUBSTITUTE(SUBSTITUTE(LOWER(Registro!$F187)," ",""),CHAR(10),"|"),";","|"),"+","|"),"|",REPT(" ",LEN(Registro!$F187))),({1,2,3,4,5,6,7,8,9,10,11,12,13,14,15,16,17,18,19,20,21,22,23,24,25,26,27,28,29,30}-1)*LEN(Registro!$F187)+1,LEN(Registro!$F187)))&amp;"x")+1,20))),"Revisar formato")))</f>
        <v/>
      </c>
      <c r="H187" s="21" t="str">
        <f>IF(AND(Registro!$E187="",Registro!$F187=""),"",IF(NOT(AND(ISNUMBER(G187),ISNUMBER(Registro!$G187))),"",IF(G187&lt;Registro!$G187,"FALTA BOLETOS",IF(G187=Registro!$G187,"CONFORME","DIFERENCIA"))))</f>
        <v/>
      </c>
      <c r="I187" s="24" t="str">
        <f>IF(Registro!$H187="","",IFERROR(SUMPRODUCT(--("0"&amp;TRIM(RIGHT(SUBSTITUTE(TRIM(MID(SUBSTITUTE(SUBSTITUTE(Registro!$H187,";",CHAR(10)),CHAR(10),REPT(" ",LEN(Registro!$H187))),({1,2,3,4,5,6,7,8,9,10,11,12,13,14,15,16,17,18,19,20,21,22,23,24,25,26,27,28,29,30}-1)*LEN(Registro!$H187)+1,LEN(Registro!$H187)))," ",REPT(" ",50)),50)))),"Revisar formato"))</f>
        <v/>
      </c>
      <c r="J187" s="24" t="str">
        <f>IF(Registro!$I187="","",IFERROR(SUMPRODUCT(--("0"&amp;TRIM(RIGHT(SUBSTITUTE(TRIM(MID(SUBSTITUTE(SUBSTITUTE(Registro!$I187,";",CHAR(10)),CHAR(10),REPT(" ",LEN(Registro!$I187))),({1,2,3,4,5,6,7,8,9,10,11,12,13,14,15,16,17,18,19,20,21,22,23,24,25,26,27,28,29,30}-1)*LEN(Registro!$I187)+1,LEN(Registro!$I187)))," ",REPT(" ",50)),50)))),"Revisar formato"))</f>
        <v/>
      </c>
      <c r="K187" s="24" t="str">
        <f>IF(AND(Registro!$G187="",Registro!$H187=""),"",IF(AND(ISTEXT(I187),I187&lt;&gt;""),"Revisar formato",N(Registro!$G187)-N(I187)))</f>
        <v/>
      </c>
      <c r="L187" s="24" t="str">
        <f t="shared" si="5"/>
        <v/>
      </c>
      <c r="M187" s="36" t="str">
        <f>IF(AND(A187=Consulta!$B$3,C187=Consulta!$H$3),B187*10000+ROW(),"")</f>
        <v/>
      </c>
    </row>
    <row r="188" spans="1:13" x14ac:dyDescent="0.25">
      <c r="A188" s="21" t="str">
        <f>IF(Registro!$A188="","",Registro!$A188)</f>
        <v/>
      </c>
      <c r="B188" s="20" t="str">
        <f>IF(Registro!$B188="","",Registro!$B188)</f>
        <v/>
      </c>
      <c r="C188" s="35" t="str">
        <f t="shared" si="4"/>
        <v/>
      </c>
      <c r="D188" s="23" t="str">
        <f>IF(Registro!$E188="","",IF(ISERROR(FIND("x",LOWER(Registro!$E188))),"-",IFERROR(SUMPRODUCT(--("0"&amp;LEFT(TRIM(MID(SUBSTITUTE(SUBSTITUTE(SUBSTITUTE(SUBSTITUTE(SUBSTITUTE(LOWER(Registro!$E188),"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",LEN(Registro!$E188))),({1,2,3,4,5,6,7,8,9,10,11,12,13,14,15,16,17,18,19,20,21,22,23,24,25,26,27,28,29,30}-1)*LEN(Registro!$E188)+1,LEN(Registro!$E188))),FIND("x",TRIM(MID(SUBSTITUTE(SUBSTITUTE(SUBSTITUTE(SUBSTITUTE(SUBSTITUTE(LOWER(Registro!$E188),"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",LEN(Registro!$E188))),({1,2,3,4,5,6,7,8,9,10,11,12,13,14,15,16,17,18,19,20,21,22,23,24,25,26,27,28,29,30}-1)*LEN(Registro!$E188)+1,LEN(Registro!$E188)))&amp;"x")-1))),"Revisar formato")))</f>
        <v/>
      </c>
      <c r="E188" s="24" t="str">
        <f>IF(Registro!$E188="","",IF(ISERROR(FIND("x",LOWER(Registro!$E188))),"-",IFERROR(SUMPRODUCT(--("0"&amp;LEFT(TRIM(MID(SUBSTITUTE(SUBSTITUTE(SUBSTITUTE(SUBSTITUTE(SUBSTITUTE(LOWER(Registro!$E188),"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",LEN(Registro!$E188))),({1,2,3,4,5,6,7,8,9,10,11,12,13,14,15,16,17,18,19,20,21,22,23,24,25,26,27,28,29,30}-1)*LEN(Registro!$E188)+1,LEN(Registro!$E188))),FIND("x",TRIM(MID(SUBSTITUTE(SUBSTITUTE(SUBSTITUTE(SUBSTITUTE(SUBSTITUTE(LOWER(Registro!$E188),"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",LEN(Registro!$E188))),({1,2,3,4,5,6,7,8,9,10,11,12,13,14,15,16,17,18,19,20,21,22,23,24,25,26,27,28,29,30}-1)*LEN(Registro!$E188)+1,LEN(Registro!$E188)))&amp;"x")-1)),--("0"&amp;MID(TRIM(MID(SUBSTITUTE(SUBSTITUTE(SUBSTITUTE(SUBSTITUTE(SUBSTITUTE(LOWER(Registro!$E188),"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",LEN(Registro!$E188))),({1,2,3,4,5,6,7,8,9,10,11,12,13,14,15,16,17,18,19,20,21,22,23,24,25,26,27,28,29,30}-1)*LEN(Registro!$E188)+1,LEN(Registro!$E188))),FIND("x",TRIM(MID(SUBSTITUTE(SUBSTITUTE(SUBSTITUTE(SUBSTITUTE(SUBSTITUTE(LOWER(Registro!$E188),"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",LEN(Registro!$E188))),({1,2,3,4,5,6,7,8,9,10,11,12,13,14,15,16,17,18,19,20,21,22,23,24,25,26,27,28,29,30}-1)*LEN(Registro!$E188)+1,LEN(Registro!$E188)))&amp;"x")+1,20))),"Revisar formato")))</f>
        <v/>
      </c>
      <c r="F188" s="23" t="str">
        <f>IF(Registro!$F188="","",IF(ISERROR(FIND("x",LOWER(Registro!$F188))),"-",IFERROR(SUMPRODUCT(--("0"&amp;LEFT(TRIM(MID(SUBSTITUTE(SUBSTITUTE(SUBSTITUTE(SUBSTITUTE(SUBSTITUTE(LOWER(Registro!$F188)," ",""),CHAR(10),"|"),";","|"),"+","|"),"|",REPT(" ",LEN(Registro!$F188))),({1,2,3,4,5,6,7,8,9,10,11,12,13,14,15,16,17,18,19,20,21,22,23,24,25,26,27,28,29,30}-1)*LEN(Registro!$F188)+1,LEN(Registro!$F188))),FIND("x",TRIM(MID(SUBSTITUTE(SUBSTITUTE(SUBSTITUTE(SUBSTITUTE(SUBSTITUTE(LOWER(Registro!$F188)," ",""),CHAR(10),"|"),";","|"),"+","|"),"|",REPT(" ",LEN(Registro!$F188))),({1,2,3,4,5,6,7,8,9,10,11,12,13,14,15,16,17,18,19,20,21,22,23,24,25,26,27,28,29,30}-1)*LEN(Registro!$F188)+1,LEN(Registro!$F188)))&amp;"x")-1))),"Revisar formato")))</f>
        <v/>
      </c>
      <c r="G188" s="24" t="str">
        <f>IF(Registro!$F188="","",IF(ISERROR(FIND("x",LOWER(Registro!$F188))),N(Registro!$G188),IFERROR(SUMPRODUCT(--("0"&amp;LEFT(TRIM(MID(SUBSTITUTE(SUBSTITUTE(SUBSTITUTE(SUBSTITUTE(SUBSTITUTE(LOWER(Registro!$F188)," ",""),CHAR(10),"|"),";","|"),"+","|"),"|",REPT(" ",LEN(Registro!$F188))),({1,2,3,4,5,6,7,8,9,10,11,12,13,14,15,16,17,18,19,20,21,22,23,24,25,26,27,28,29,30}-1)*LEN(Registro!$F188)+1,LEN(Registro!$F188))),FIND("x",TRIM(MID(SUBSTITUTE(SUBSTITUTE(SUBSTITUTE(SUBSTITUTE(SUBSTITUTE(LOWER(Registro!$F188)," ",""),CHAR(10),"|"),";","|"),"+","|"),"|",REPT(" ",LEN(Registro!$F188))),({1,2,3,4,5,6,7,8,9,10,11,12,13,14,15,16,17,18,19,20,21,22,23,24,25,26,27,28,29,30}-1)*LEN(Registro!$F188)+1,LEN(Registro!$F188)))&amp;"x")-1)),--("0"&amp;MID(TRIM(MID(SUBSTITUTE(SUBSTITUTE(SUBSTITUTE(SUBSTITUTE(SUBSTITUTE(LOWER(Registro!$F188)," ",""),CHAR(10),"|"),";","|"),"+","|"),"|",REPT(" ",LEN(Registro!$F188))),({1,2,3,4,5,6,7,8,9,10,11,12,13,14,15,16,17,18,19,20,21,22,23,24,25,26,27,28,29,30}-1)*LEN(Registro!$F188)+1,LEN(Registro!$F188))),FIND("x",TRIM(MID(SUBSTITUTE(SUBSTITUTE(SUBSTITUTE(SUBSTITUTE(SUBSTITUTE(LOWER(Registro!$F188)," ",""),CHAR(10),"|"),";","|"),"+","|"),"|",REPT(" ",LEN(Registro!$F188))),({1,2,3,4,5,6,7,8,9,10,11,12,13,14,15,16,17,18,19,20,21,22,23,24,25,26,27,28,29,30}-1)*LEN(Registro!$F188)+1,LEN(Registro!$F188)))&amp;"x")+1,20))),"Revisar formato")))</f>
        <v/>
      </c>
      <c r="H188" s="21" t="str">
        <f>IF(AND(Registro!$E188="",Registro!$F188=""),"",IF(NOT(AND(ISNUMBER(G188),ISNUMBER(Registro!$G188))),"",IF(G188&lt;Registro!$G188,"FALTA BOLETOS",IF(G188=Registro!$G188,"CONFORME","DIFERENCIA"))))</f>
        <v/>
      </c>
      <c r="I188" s="24" t="str">
        <f>IF(Registro!$H188="","",IFERROR(SUMPRODUCT(--("0"&amp;TRIM(RIGHT(SUBSTITUTE(TRIM(MID(SUBSTITUTE(SUBSTITUTE(Registro!$H188,";",CHAR(10)),CHAR(10),REPT(" ",LEN(Registro!$H188))),({1,2,3,4,5,6,7,8,9,10,11,12,13,14,15,16,17,18,19,20,21,22,23,24,25,26,27,28,29,30}-1)*LEN(Registro!$H188)+1,LEN(Registro!$H188)))," ",REPT(" ",50)),50)))),"Revisar formato"))</f>
        <v/>
      </c>
      <c r="J188" s="24" t="str">
        <f>IF(Registro!$I188="","",IFERROR(SUMPRODUCT(--("0"&amp;TRIM(RIGHT(SUBSTITUTE(TRIM(MID(SUBSTITUTE(SUBSTITUTE(Registro!$I188,";",CHAR(10)),CHAR(10),REPT(" ",LEN(Registro!$I188))),({1,2,3,4,5,6,7,8,9,10,11,12,13,14,15,16,17,18,19,20,21,22,23,24,25,26,27,28,29,30}-1)*LEN(Registro!$I188)+1,LEN(Registro!$I188)))," ",REPT(" ",50)),50)))),"Revisar formato"))</f>
        <v/>
      </c>
      <c r="K188" s="24" t="str">
        <f>IF(AND(Registro!$G188="",Registro!$H188=""),"",IF(AND(ISTEXT(I188),I188&lt;&gt;""),"Revisar formato",N(Registro!$G188)-N(I188)))</f>
        <v/>
      </c>
      <c r="L188" s="24" t="str">
        <f t="shared" si="5"/>
        <v/>
      </c>
      <c r="M188" s="36" t="str">
        <f>IF(AND(A188=Consulta!$B$3,C188=Consulta!$H$3),B188*10000+ROW(),"")</f>
        <v/>
      </c>
    </row>
    <row r="189" spans="1:13" x14ac:dyDescent="0.25">
      <c r="A189" s="21" t="str">
        <f>IF(Registro!$A189="","",Registro!$A189)</f>
        <v/>
      </c>
      <c r="B189" s="20" t="str">
        <f>IF(Registro!$B189="","",Registro!$B189)</f>
        <v/>
      </c>
      <c r="C189" s="35" t="str">
        <f t="shared" si="4"/>
        <v/>
      </c>
      <c r="D189" s="23" t="str">
        <f>IF(Registro!$E189="","",IF(ISERROR(FIND("x",LOWER(Registro!$E189))),"-",IFERROR(SUMPRODUCT(--("0"&amp;LEFT(TRIM(MID(SUBSTITUTE(SUBSTITUTE(SUBSTITUTE(SUBSTITUTE(SUBSTITUTE(LOWER(Registro!$E189),"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",LEN(Registro!$E189))),({1,2,3,4,5,6,7,8,9,10,11,12,13,14,15,16,17,18,19,20,21,22,23,24,25,26,27,28,29,30}-1)*LEN(Registro!$E189)+1,LEN(Registro!$E189))),FIND("x",TRIM(MID(SUBSTITUTE(SUBSTITUTE(SUBSTITUTE(SUBSTITUTE(SUBSTITUTE(LOWER(Registro!$E189),"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",LEN(Registro!$E189))),({1,2,3,4,5,6,7,8,9,10,11,12,13,14,15,16,17,18,19,20,21,22,23,24,25,26,27,28,29,30}-1)*LEN(Registro!$E189)+1,LEN(Registro!$E189)))&amp;"x")-1))),"Revisar formato")))</f>
        <v/>
      </c>
      <c r="E189" s="24" t="str">
        <f>IF(Registro!$E189="","",IF(ISERROR(FIND("x",LOWER(Registro!$E189))),"-",IFERROR(SUMPRODUCT(--("0"&amp;LEFT(TRIM(MID(SUBSTITUTE(SUBSTITUTE(SUBSTITUTE(SUBSTITUTE(SUBSTITUTE(LOWER(Registro!$E189),"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",LEN(Registro!$E189))),({1,2,3,4,5,6,7,8,9,10,11,12,13,14,15,16,17,18,19,20,21,22,23,24,25,26,27,28,29,30}-1)*LEN(Registro!$E189)+1,LEN(Registro!$E189))),FIND("x",TRIM(MID(SUBSTITUTE(SUBSTITUTE(SUBSTITUTE(SUBSTITUTE(SUBSTITUTE(LOWER(Registro!$E189),"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",LEN(Registro!$E189))),({1,2,3,4,5,6,7,8,9,10,11,12,13,14,15,16,17,18,19,20,21,22,23,24,25,26,27,28,29,30}-1)*LEN(Registro!$E189)+1,LEN(Registro!$E189)))&amp;"x")-1)),--("0"&amp;MID(TRIM(MID(SUBSTITUTE(SUBSTITUTE(SUBSTITUTE(SUBSTITUTE(SUBSTITUTE(LOWER(Registro!$E189),"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",LEN(Registro!$E189))),({1,2,3,4,5,6,7,8,9,10,11,12,13,14,15,16,17,18,19,20,21,22,23,24,25,26,27,28,29,30}-1)*LEN(Registro!$E189)+1,LEN(Registro!$E189))),FIND("x",TRIM(MID(SUBSTITUTE(SUBSTITUTE(SUBSTITUTE(SUBSTITUTE(SUBSTITUTE(LOWER(Registro!$E189),"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",LEN(Registro!$E189))),({1,2,3,4,5,6,7,8,9,10,11,12,13,14,15,16,17,18,19,20,21,22,23,24,25,26,27,28,29,30}-1)*LEN(Registro!$E189)+1,LEN(Registro!$E189)))&amp;"x")+1,20))),"Revisar formato")))</f>
        <v/>
      </c>
      <c r="F189" s="23" t="str">
        <f>IF(Registro!$F189="","",IF(ISERROR(FIND("x",LOWER(Registro!$F189))),"-",IFERROR(SUMPRODUCT(--("0"&amp;LEFT(TRIM(MID(SUBSTITUTE(SUBSTITUTE(SUBSTITUTE(SUBSTITUTE(SUBSTITUTE(LOWER(Registro!$F189)," ",""),CHAR(10),"|"),";","|"),"+","|"),"|",REPT(" ",LEN(Registro!$F189))),({1,2,3,4,5,6,7,8,9,10,11,12,13,14,15,16,17,18,19,20,21,22,23,24,25,26,27,28,29,30}-1)*LEN(Registro!$F189)+1,LEN(Registro!$F189))),FIND("x",TRIM(MID(SUBSTITUTE(SUBSTITUTE(SUBSTITUTE(SUBSTITUTE(SUBSTITUTE(LOWER(Registro!$F189)," ",""),CHAR(10),"|"),";","|"),"+","|"),"|",REPT(" ",LEN(Registro!$F189))),({1,2,3,4,5,6,7,8,9,10,11,12,13,14,15,16,17,18,19,20,21,22,23,24,25,26,27,28,29,30}-1)*LEN(Registro!$F189)+1,LEN(Registro!$F189)))&amp;"x")-1))),"Revisar formato")))</f>
        <v/>
      </c>
      <c r="G189" s="24" t="str">
        <f>IF(Registro!$F189="","",IF(ISERROR(FIND("x",LOWER(Registro!$F189))),N(Registro!$G189),IFERROR(SUMPRODUCT(--("0"&amp;LEFT(TRIM(MID(SUBSTITUTE(SUBSTITUTE(SUBSTITUTE(SUBSTITUTE(SUBSTITUTE(LOWER(Registro!$F189)," ",""),CHAR(10),"|"),";","|"),"+","|"),"|",REPT(" ",LEN(Registro!$F189))),({1,2,3,4,5,6,7,8,9,10,11,12,13,14,15,16,17,18,19,20,21,22,23,24,25,26,27,28,29,30}-1)*LEN(Registro!$F189)+1,LEN(Registro!$F189))),FIND("x",TRIM(MID(SUBSTITUTE(SUBSTITUTE(SUBSTITUTE(SUBSTITUTE(SUBSTITUTE(LOWER(Registro!$F189)," ",""),CHAR(10),"|"),";","|"),"+","|"),"|",REPT(" ",LEN(Registro!$F189))),({1,2,3,4,5,6,7,8,9,10,11,12,13,14,15,16,17,18,19,20,21,22,23,24,25,26,27,28,29,30}-1)*LEN(Registro!$F189)+1,LEN(Registro!$F189)))&amp;"x")-1)),--("0"&amp;MID(TRIM(MID(SUBSTITUTE(SUBSTITUTE(SUBSTITUTE(SUBSTITUTE(SUBSTITUTE(LOWER(Registro!$F189)," ",""),CHAR(10),"|"),";","|"),"+","|"),"|",REPT(" ",LEN(Registro!$F189))),({1,2,3,4,5,6,7,8,9,10,11,12,13,14,15,16,17,18,19,20,21,22,23,24,25,26,27,28,29,30}-1)*LEN(Registro!$F189)+1,LEN(Registro!$F189))),FIND("x",TRIM(MID(SUBSTITUTE(SUBSTITUTE(SUBSTITUTE(SUBSTITUTE(SUBSTITUTE(LOWER(Registro!$F189)," ",""),CHAR(10),"|"),";","|"),"+","|"),"|",REPT(" ",LEN(Registro!$F189))),({1,2,3,4,5,6,7,8,9,10,11,12,13,14,15,16,17,18,19,20,21,22,23,24,25,26,27,28,29,30}-1)*LEN(Registro!$F189)+1,LEN(Registro!$F189)))&amp;"x")+1,20))),"Revisar formato")))</f>
        <v/>
      </c>
      <c r="H189" s="21" t="str">
        <f>IF(AND(Registro!$E189="",Registro!$F189=""),"",IF(NOT(AND(ISNUMBER(G189),ISNUMBER(Registro!$G189))),"",IF(G189&lt;Registro!$G189,"FALTA BOLETOS",IF(G189=Registro!$G189,"CONFORME","DIFERENCIA"))))</f>
        <v/>
      </c>
      <c r="I189" s="24" t="str">
        <f>IF(Registro!$H189="","",IFERROR(SUMPRODUCT(--("0"&amp;TRIM(RIGHT(SUBSTITUTE(TRIM(MID(SUBSTITUTE(SUBSTITUTE(Registro!$H189,";",CHAR(10)),CHAR(10),REPT(" ",LEN(Registro!$H189))),({1,2,3,4,5,6,7,8,9,10,11,12,13,14,15,16,17,18,19,20,21,22,23,24,25,26,27,28,29,30}-1)*LEN(Registro!$H189)+1,LEN(Registro!$H189)))," ",REPT(" ",50)),50)))),"Revisar formato"))</f>
        <v/>
      </c>
      <c r="J189" s="24" t="str">
        <f>IF(Registro!$I189="","",IFERROR(SUMPRODUCT(--("0"&amp;TRIM(RIGHT(SUBSTITUTE(TRIM(MID(SUBSTITUTE(SUBSTITUTE(Registro!$I189,";",CHAR(10)),CHAR(10),REPT(" ",LEN(Registro!$I189))),({1,2,3,4,5,6,7,8,9,10,11,12,13,14,15,16,17,18,19,20,21,22,23,24,25,26,27,28,29,30}-1)*LEN(Registro!$I189)+1,LEN(Registro!$I189)))," ",REPT(" ",50)),50)))),"Revisar formato"))</f>
        <v/>
      </c>
      <c r="K189" s="24" t="str">
        <f>IF(AND(Registro!$G189="",Registro!$H189=""),"",IF(AND(ISTEXT(I189),I189&lt;&gt;""),"Revisar formato",N(Registro!$G189)-N(I189)))</f>
        <v/>
      </c>
      <c r="L189" s="24" t="str">
        <f t="shared" si="5"/>
        <v/>
      </c>
      <c r="M189" s="36" t="str">
        <f>IF(AND(A189=Consulta!$B$3,C189=Consulta!$H$3),B189*10000+ROW(),"")</f>
        <v/>
      </c>
    </row>
    <row r="190" spans="1:13" x14ac:dyDescent="0.25">
      <c r="A190" s="21" t="str">
        <f>IF(Registro!$A190="","",Registro!$A190)</f>
        <v/>
      </c>
      <c r="B190" s="20" t="str">
        <f>IF(Registro!$B190="","",Registro!$B190)</f>
        <v/>
      </c>
      <c r="C190" s="35" t="str">
        <f t="shared" si="4"/>
        <v/>
      </c>
      <c r="D190" s="23" t="str">
        <f>IF(Registro!$E190="","",IF(ISERROR(FIND("x",LOWER(Registro!$E190))),"-",IFERROR(SUMPRODUCT(--("0"&amp;LEFT(TRIM(MID(SUBSTITUTE(SUBSTITUTE(SUBSTITUTE(SUBSTITUTE(SUBSTITUTE(LOWER(Registro!$E190),"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",LEN(Registro!$E190))),({1,2,3,4,5,6,7,8,9,10,11,12,13,14,15,16,17,18,19,20,21,22,23,24,25,26,27,28,29,30}-1)*LEN(Registro!$E190)+1,LEN(Registro!$E190))),FIND("x",TRIM(MID(SUBSTITUTE(SUBSTITUTE(SUBSTITUTE(SUBSTITUTE(SUBSTITUTE(LOWER(Registro!$E190),"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",LEN(Registro!$E190))),({1,2,3,4,5,6,7,8,9,10,11,12,13,14,15,16,17,18,19,20,21,22,23,24,25,26,27,28,29,30}-1)*LEN(Registro!$E190)+1,LEN(Registro!$E190)))&amp;"x")-1))),"Revisar formato")))</f>
        <v/>
      </c>
      <c r="E190" s="24" t="str">
        <f>IF(Registro!$E190="","",IF(ISERROR(FIND("x",LOWER(Registro!$E190))),"-",IFERROR(SUMPRODUCT(--("0"&amp;LEFT(TRIM(MID(SUBSTITUTE(SUBSTITUTE(SUBSTITUTE(SUBSTITUTE(SUBSTITUTE(LOWER(Registro!$E190),"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",LEN(Registro!$E190))),({1,2,3,4,5,6,7,8,9,10,11,12,13,14,15,16,17,18,19,20,21,22,23,24,25,26,27,28,29,30}-1)*LEN(Registro!$E190)+1,LEN(Registro!$E190))),FIND("x",TRIM(MID(SUBSTITUTE(SUBSTITUTE(SUBSTITUTE(SUBSTITUTE(SUBSTITUTE(LOWER(Registro!$E190),"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",LEN(Registro!$E190))),({1,2,3,4,5,6,7,8,9,10,11,12,13,14,15,16,17,18,19,20,21,22,23,24,25,26,27,28,29,30}-1)*LEN(Registro!$E190)+1,LEN(Registro!$E190)))&amp;"x")-1)),--("0"&amp;MID(TRIM(MID(SUBSTITUTE(SUBSTITUTE(SUBSTITUTE(SUBSTITUTE(SUBSTITUTE(LOWER(Registro!$E190),"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",LEN(Registro!$E190))),({1,2,3,4,5,6,7,8,9,10,11,12,13,14,15,16,17,18,19,20,21,22,23,24,25,26,27,28,29,30}-1)*LEN(Registro!$E190)+1,LEN(Registro!$E190))),FIND("x",TRIM(MID(SUBSTITUTE(SUBSTITUTE(SUBSTITUTE(SUBSTITUTE(SUBSTITUTE(LOWER(Registro!$E190),"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",LEN(Registro!$E190))),({1,2,3,4,5,6,7,8,9,10,11,12,13,14,15,16,17,18,19,20,21,22,23,24,25,26,27,28,29,30}-1)*LEN(Registro!$E190)+1,LEN(Registro!$E190)))&amp;"x")+1,20))),"Revisar formato")))</f>
        <v/>
      </c>
      <c r="F190" s="23" t="str">
        <f>IF(Registro!$F190="","",IF(ISERROR(FIND("x",LOWER(Registro!$F190))),"-",IFERROR(SUMPRODUCT(--("0"&amp;LEFT(TRIM(MID(SUBSTITUTE(SUBSTITUTE(SUBSTITUTE(SUBSTITUTE(SUBSTITUTE(LOWER(Registro!$F190)," ",""),CHAR(10),"|"),";","|"),"+","|"),"|",REPT(" ",LEN(Registro!$F190))),({1,2,3,4,5,6,7,8,9,10,11,12,13,14,15,16,17,18,19,20,21,22,23,24,25,26,27,28,29,30}-1)*LEN(Registro!$F190)+1,LEN(Registro!$F190))),FIND("x",TRIM(MID(SUBSTITUTE(SUBSTITUTE(SUBSTITUTE(SUBSTITUTE(SUBSTITUTE(LOWER(Registro!$F190)," ",""),CHAR(10),"|"),";","|"),"+","|"),"|",REPT(" ",LEN(Registro!$F190))),({1,2,3,4,5,6,7,8,9,10,11,12,13,14,15,16,17,18,19,20,21,22,23,24,25,26,27,28,29,30}-1)*LEN(Registro!$F190)+1,LEN(Registro!$F190)))&amp;"x")-1))),"Revisar formato")))</f>
        <v/>
      </c>
      <c r="G190" s="24" t="str">
        <f>IF(Registro!$F190="","",IF(ISERROR(FIND("x",LOWER(Registro!$F190))),N(Registro!$G190),IFERROR(SUMPRODUCT(--("0"&amp;LEFT(TRIM(MID(SUBSTITUTE(SUBSTITUTE(SUBSTITUTE(SUBSTITUTE(SUBSTITUTE(LOWER(Registro!$F190)," ",""),CHAR(10),"|"),";","|"),"+","|"),"|",REPT(" ",LEN(Registro!$F190))),({1,2,3,4,5,6,7,8,9,10,11,12,13,14,15,16,17,18,19,20,21,22,23,24,25,26,27,28,29,30}-1)*LEN(Registro!$F190)+1,LEN(Registro!$F190))),FIND("x",TRIM(MID(SUBSTITUTE(SUBSTITUTE(SUBSTITUTE(SUBSTITUTE(SUBSTITUTE(LOWER(Registro!$F190)," ",""),CHAR(10),"|"),";","|"),"+","|"),"|",REPT(" ",LEN(Registro!$F190))),({1,2,3,4,5,6,7,8,9,10,11,12,13,14,15,16,17,18,19,20,21,22,23,24,25,26,27,28,29,30}-1)*LEN(Registro!$F190)+1,LEN(Registro!$F190)))&amp;"x")-1)),--("0"&amp;MID(TRIM(MID(SUBSTITUTE(SUBSTITUTE(SUBSTITUTE(SUBSTITUTE(SUBSTITUTE(LOWER(Registro!$F190)," ",""),CHAR(10),"|"),";","|"),"+","|"),"|",REPT(" ",LEN(Registro!$F190))),({1,2,3,4,5,6,7,8,9,10,11,12,13,14,15,16,17,18,19,20,21,22,23,24,25,26,27,28,29,30}-1)*LEN(Registro!$F190)+1,LEN(Registro!$F190))),FIND("x",TRIM(MID(SUBSTITUTE(SUBSTITUTE(SUBSTITUTE(SUBSTITUTE(SUBSTITUTE(LOWER(Registro!$F190)," ",""),CHAR(10),"|"),";","|"),"+","|"),"|",REPT(" ",LEN(Registro!$F190))),({1,2,3,4,5,6,7,8,9,10,11,12,13,14,15,16,17,18,19,20,21,22,23,24,25,26,27,28,29,30}-1)*LEN(Registro!$F190)+1,LEN(Registro!$F190)))&amp;"x")+1,20))),"Revisar formato")))</f>
        <v/>
      </c>
      <c r="H190" s="21" t="str">
        <f>IF(AND(Registro!$E190="",Registro!$F190=""),"",IF(NOT(AND(ISNUMBER(G190),ISNUMBER(Registro!$G190))),"",IF(G190&lt;Registro!$G190,"FALTA BOLETOS",IF(G190=Registro!$G190,"CONFORME","DIFERENCIA"))))</f>
        <v/>
      </c>
      <c r="I190" s="24" t="str">
        <f>IF(Registro!$H190="","",IFERROR(SUMPRODUCT(--("0"&amp;TRIM(RIGHT(SUBSTITUTE(TRIM(MID(SUBSTITUTE(SUBSTITUTE(Registro!$H190,";",CHAR(10)),CHAR(10),REPT(" ",LEN(Registro!$H190))),({1,2,3,4,5,6,7,8,9,10,11,12,13,14,15,16,17,18,19,20,21,22,23,24,25,26,27,28,29,30}-1)*LEN(Registro!$H190)+1,LEN(Registro!$H190)))," ",REPT(" ",50)),50)))),"Revisar formato"))</f>
        <v/>
      </c>
      <c r="J190" s="24" t="str">
        <f>IF(Registro!$I190="","",IFERROR(SUMPRODUCT(--("0"&amp;TRIM(RIGHT(SUBSTITUTE(TRIM(MID(SUBSTITUTE(SUBSTITUTE(Registro!$I190,";",CHAR(10)),CHAR(10),REPT(" ",LEN(Registro!$I190))),({1,2,3,4,5,6,7,8,9,10,11,12,13,14,15,16,17,18,19,20,21,22,23,24,25,26,27,28,29,30}-1)*LEN(Registro!$I190)+1,LEN(Registro!$I190)))," ",REPT(" ",50)),50)))),"Revisar formato"))</f>
        <v/>
      </c>
      <c r="K190" s="24" t="str">
        <f>IF(AND(Registro!$G190="",Registro!$H190=""),"",IF(AND(ISTEXT(I190),I190&lt;&gt;""),"Revisar formato",N(Registro!$G190)-N(I190)))</f>
        <v/>
      </c>
      <c r="L190" s="24" t="str">
        <f t="shared" si="5"/>
        <v/>
      </c>
      <c r="M190" s="36" t="str">
        <f>IF(AND(A190=Consulta!$B$3,C190=Consulta!$H$3),B190*10000+ROW(),"")</f>
        <v/>
      </c>
    </row>
    <row r="191" spans="1:13" x14ac:dyDescent="0.25">
      <c r="A191" s="21" t="str">
        <f>IF(Registro!$A191="","",Registro!$A191)</f>
        <v/>
      </c>
      <c r="B191" s="20" t="str">
        <f>IF(Registro!$B191="","",Registro!$B191)</f>
        <v/>
      </c>
      <c r="C191" s="35" t="str">
        <f t="shared" si="4"/>
        <v/>
      </c>
      <c r="D191" s="23" t="str">
        <f>IF(Registro!$E191="","",IF(ISERROR(FIND("x",LOWER(Registro!$E191))),"-",IFERROR(SUMPRODUCT(--("0"&amp;LEFT(TRIM(MID(SUBSTITUTE(SUBSTITUTE(SUBSTITUTE(SUBSTITUTE(SUBSTITUTE(LOWER(Registro!$E191),"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",LEN(Registro!$E191))),({1,2,3,4,5,6,7,8,9,10,11,12,13,14,15,16,17,18,19,20,21,22,23,24,25,26,27,28,29,30}-1)*LEN(Registro!$E191)+1,LEN(Registro!$E191))),FIND("x",TRIM(MID(SUBSTITUTE(SUBSTITUTE(SUBSTITUTE(SUBSTITUTE(SUBSTITUTE(LOWER(Registro!$E191),"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",LEN(Registro!$E191))),({1,2,3,4,5,6,7,8,9,10,11,12,13,14,15,16,17,18,19,20,21,22,23,24,25,26,27,28,29,30}-1)*LEN(Registro!$E191)+1,LEN(Registro!$E191)))&amp;"x")-1))),"Revisar formato")))</f>
        <v/>
      </c>
      <c r="E191" s="24" t="str">
        <f>IF(Registro!$E191="","",IF(ISERROR(FIND("x",LOWER(Registro!$E191))),"-",IFERROR(SUMPRODUCT(--("0"&amp;LEFT(TRIM(MID(SUBSTITUTE(SUBSTITUTE(SUBSTITUTE(SUBSTITUTE(SUBSTITUTE(LOWER(Registro!$E191),"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",LEN(Registro!$E191))),({1,2,3,4,5,6,7,8,9,10,11,12,13,14,15,16,17,18,19,20,21,22,23,24,25,26,27,28,29,30}-1)*LEN(Registro!$E191)+1,LEN(Registro!$E191))),FIND("x",TRIM(MID(SUBSTITUTE(SUBSTITUTE(SUBSTITUTE(SUBSTITUTE(SUBSTITUTE(LOWER(Registro!$E191),"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",LEN(Registro!$E191))),({1,2,3,4,5,6,7,8,9,10,11,12,13,14,15,16,17,18,19,20,21,22,23,24,25,26,27,28,29,30}-1)*LEN(Registro!$E191)+1,LEN(Registro!$E191)))&amp;"x")-1)),--("0"&amp;MID(TRIM(MID(SUBSTITUTE(SUBSTITUTE(SUBSTITUTE(SUBSTITUTE(SUBSTITUTE(LOWER(Registro!$E191),"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",LEN(Registro!$E191))),({1,2,3,4,5,6,7,8,9,10,11,12,13,14,15,16,17,18,19,20,21,22,23,24,25,26,27,28,29,30}-1)*LEN(Registro!$E191)+1,LEN(Registro!$E191))),FIND("x",TRIM(MID(SUBSTITUTE(SUBSTITUTE(SUBSTITUTE(SUBSTITUTE(SUBSTITUTE(LOWER(Registro!$E191),"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",LEN(Registro!$E191))),({1,2,3,4,5,6,7,8,9,10,11,12,13,14,15,16,17,18,19,20,21,22,23,24,25,26,27,28,29,30}-1)*LEN(Registro!$E191)+1,LEN(Registro!$E191)))&amp;"x")+1,20))),"Revisar formato")))</f>
        <v/>
      </c>
      <c r="F191" s="23" t="str">
        <f>IF(Registro!$F191="","",IF(ISERROR(FIND("x",LOWER(Registro!$F191))),"-",IFERROR(SUMPRODUCT(--("0"&amp;LEFT(TRIM(MID(SUBSTITUTE(SUBSTITUTE(SUBSTITUTE(SUBSTITUTE(SUBSTITUTE(LOWER(Registro!$F191)," ",""),CHAR(10),"|"),";","|"),"+","|"),"|",REPT(" ",LEN(Registro!$F191))),({1,2,3,4,5,6,7,8,9,10,11,12,13,14,15,16,17,18,19,20,21,22,23,24,25,26,27,28,29,30}-1)*LEN(Registro!$F191)+1,LEN(Registro!$F191))),FIND("x",TRIM(MID(SUBSTITUTE(SUBSTITUTE(SUBSTITUTE(SUBSTITUTE(SUBSTITUTE(LOWER(Registro!$F191)," ",""),CHAR(10),"|"),";","|"),"+","|"),"|",REPT(" ",LEN(Registro!$F191))),({1,2,3,4,5,6,7,8,9,10,11,12,13,14,15,16,17,18,19,20,21,22,23,24,25,26,27,28,29,30}-1)*LEN(Registro!$F191)+1,LEN(Registro!$F191)))&amp;"x")-1))),"Revisar formato")))</f>
        <v/>
      </c>
      <c r="G191" s="24" t="str">
        <f>IF(Registro!$F191="","",IF(ISERROR(FIND("x",LOWER(Registro!$F191))),N(Registro!$G191),IFERROR(SUMPRODUCT(--("0"&amp;LEFT(TRIM(MID(SUBSTITUTE(SUBSTITUTE(SUBSTITUTE(SUBSTITUTE(SUBSTITUTE(LOWER(Registro!$F191)," ",""),CHAR(10),"|"),";","|"),"+","|"),"|",REPT(" ",LEN(Registro!$F191))),({1,2,3,4,5,6,7,8,9,10,11,12,13,14,15,16,17,18,19,20,21,22,23,24,25,26,27,28,29,30}-1)*LEN(Registro!$F191)+1,LEN(Registro!$F191))),FIND("x",TRIM(MID(SUBSTITUTE(SUBSTITUTE(SUBSTITUTE(SUBSTITUTE(SUBSTITUTE(LOWER(Registro!$F191)," ",""),CHAR(10),"|"),";","|"),"+","|"),"|",REPT(" ",LEN(Registro!$F191))),({1,2,3,4,5,6,7,8,9,10,11,12,13,14,15,16,17,18,19,20,21,22,23,24,25,26,27,28,29,30}-1)*LEN(Registro!$F191)+1,LEN(Registro!$F191)))&amp;"x")-1)),--("0"&amp;MID(TRIM(MID(SUBSTITUTE(SUBSTITUTE(SUBSTITUTE(SUBSTITUTE(SUBSTITUTE(LOWER(Registro!$F191)," ",""),CHAR(10),"|"),";","|"),"+","|"),"|",REPT(" ",LEN(Registro!$F191))),({1,2,3,4,5,6,7,8,9,10,11,12,13,14,15,16,17,18,19,20,21,22,23,24,25,26,27,28,29,30}-1)*LEN(Registro!$F191)+1,LEN(Registro!$F191))),FIND("x",TRIM(MID(SUBSTITUTE(SUBSTITUTE(SUBSTITUTE(SUBSTITUTE(SUBSTITUTE(LOWER(Registro!$F191)," ",""),CHAR(10),"|"),";","|"),"+","|"),"|",REPT(" ",LEN(Registro!$F191))),({1,2,3,4,5,6,7,8,9,10,11,12,13,14,15,16,17,18,19,20,21,22,23,24,25,26,27,28,29,30}-1)*LEN(Registro!$F191)+1,LEN(Registro!$F191)))&amp;"x")+1,20))),"Revisar formato")))</f>
        <v/>
      </c>
      <c r="H191" s="21" t="str">
        <f>IF(AND(Registro!$E191="",Registro!$F191=""),"",IF(NOT(AND(ISNUMBER(G191),ISNUMBER(Registro!$G191))),"",IF(G191&lt;Registro!$G191,"FALTA BOLETOS",IF(G191=Registro!$G191,"CONFORME","DIFERENCIA"))))</f>
        <v/>
      </c>
      <c r="I191" s="24" t="str">
        <f>IF(Registro!$H191="","",IFERROR(SUMPRODUCT(--("0"&amp;TRIM(RIGHT(SUBSTITUTE(TRIM(MID(SUBSTITUTE(SUBSTITUTE(Registro!$H191,";",CHAR(10)),CHAR(10),REPT(" ",LEN(Registro!$H191))),({1,2,3,4,5,6,7,8,9,10,11,12,13,14,15,16,17,18,19,20,21,22,23,24,25,26,27,28,29,30}-1)*LEN(Registro!$H191)+1,LEN(Registro!$H191)))," ",REPT(" ",50)),50)))),"Revisar formato"))</f>
        <v/>
      </c>
      <c r="J191" s="24" t="str">
        <f>IF(Registro!$I191="","",IFERROR(SUMPRODUCT(--("0"&amp;TRIM(RIGHT(SUBSTITUTE(TRIM(MID(SUBSTITUTE(SUBSTITUTE(Registro!$I191,";",CHAR(10)),CHAR(10),REPT(" ",LEN(Registro!$I191))),({1,2,3,4,5,6,7,8,9,10,11,12,13,14,15,16,17,18,19,20,21,22,23,24,25,26,27,28,29,30}-1)*LEN(Registro!$I191)+1,LEN(Registro!$I191)))," ",REPT(" ",50)),50)))),"Revisar formato"))</f>
        <v/>
      </c>
      <c r="K191" s="24" t="str">
        <f>IF(AND(Registro!$G191="",Registro!$H191=""),"",IF(AND(ISTEXT(I191),I191&lt;&gt;""),"Revisar formato",N(Registro!$G191)-N(I191)))</f>
        <v/>
      </c>
      <c r="L191" s="24" t="str">
        <f t="shared" si="5"/>
        <v/>
      </c>
      <c r="M191" s="36" t="str">
        <f>IF(AND(A191=Consulta!$B$3,C191=Consulta!$H$3),B191*10000+ROW(),"")</f>
        <v/>
      </c>
    </row>
    <row r="192" spans="1:13" x14ac:dyDescent="0.25">
      <c r="A192" s="21" t="str">
        <f>IF(Registro!$A192="","",Registro!$A192)</f>
        <v/>
      </c>
      <c r="B192" s="20" t="str">
        <f>IF(Registro!$B192="","",Registro!$B192)</f>
        <v/>
      </c>
      <c r="C192" s="35" t="str">
        <f t="shared" si="4"/>
        <v/>
      </c>
      <c r="D192" s="23" t="str">
        <f>IF(Registro!$E192="","",IF(ISERROR(FIND("x",LOWER(Registro!$E192))),"-",IFERROR(SUMPRODUCT(--("0"&amp;LEFT(TRIM(MID(SUBSTITUTE(SUBSTITUTE(SUBSTITUTE(SUBSTITUTE(SUBSTITUTE(LOWER(Registro!$E192),"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",LEN(Registro!$E192))),({1,2,3,4,5,6,7,8,9,10,11,12,13,14,15,16,17,18,19,20,21,22,23,24,25,26,27,28,29,30}-1)*LEN(Registro!$E192)+1,LEN(Registro!$E192))),FIND("x",TRIM(MID(SUBSTITUTE(SUBSTITUTE(SUBSTITUTE(SUBSTITUTE(SUBSTITUTE(LOWER(Registro!$E192),"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",LEN(Registro!$E192))),({1,2,3,4,5,6,7,8,9,10,11,12,13,14,15,16,17,18,19,20,21,22,23,24,25,26,27,28,29,30}-1)*LEN(Registro!$E192)+1,LEN(Registro!$E192)))&amp;"x")-1))),"Revisar formato")))</f>
        <v/>
      </c>
      <c r="E192" s="24" t="str">
        <f>IF(Registro!$E192="","",IF(ISERROR(FIND("x",LOWER(Registro!$E192))),"-",IFERROR(SUMPRODUCT(--("0"&amp;LEFT(TRIM(MID(SUBSTITUTE(SUBSTITUTE(SUBSTITUTE(SUBSTITUTE(SUBSTITUTE(LOWER(Registro!$E192),"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",LEN(Registro!$E192))),({1,2,3,4,5,6,7,8,9,10,11,12,13,14,15,16,17,18,19,20,21,22,23,24,25,26,27,28,29,30}-1)*LEN(Registro!$E192)+1,LEN(Registro!$E192))),FIND("x",TRIM(MID(SUBSTITUTE(SUBSTITUTE(SUBSTITUTE(SUBSTITUTE(SUBSTITUTE(LOWER(Registro!$E192),"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",LEN(Registro!$E192))),({1,2,3,4,5,6,7,8,9,10,11,12,13,14,15,16,17,18,19,20,21,22,23,24,25,26,27,28,29,30}-1)*LEN(Registro!$E192)+1,LEN(Registro!$E192)))&amp;"x")-1)),--("0"&amp;MID(TRIM(MID(SUBSTITUTE(SUBSTITUTE(SUBSTITUTE(SUBSTITUTE(SUBSTITUTE(LOWER(Registro!$E192),"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",LEN(Registro!$E192))),({1,2,3,4,5,6,7,8,9,10,11,12,13,14,15,16,17,18,19,20,21,22,23,24,25,26,27,28,29,30}-1)*LEN(Registro!$E192)+1,LEN(Registro!$E192))),FIND("x",TRIM(MID(SUBSTITUTE(SUBSTITUTE(SUBSTITUTE(SUBSTITUTE(SUBSTITUTE(LOWER(Registro!$E192),"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",LEN(Registro!$E192))),({1,2,3,4,5,6,7,8,9,10,11,12,13,14,15,16,17,18,19,20,21,22,23,24,25,26,27,28,29,30}-1)*LEN(Registro!$E192)+1,LEN(Registro!$E192)))&amp;"x")+1,20))),"Revisar formato")))</f>
        <v/>
      </c>
      <c r="F192" s="23" t="str">
        <f>IF(Registro!$F192="","",IF(ISERROR(FIND("x",LOWER(Registro!$F192))),"-",IFERROR(SUMPRODUCT(--("0"&amp;LEFT(TRIM(MID(SUBSTITUTE(SUBSTITUTE(SUBSTITUTE(SUBSTITUTE(SUBSTITUTE(LOWER(Registro!$F192)," ",""),CHAR(10),"|"),";","|"),"+","|"),"|",REPT(" ",LEN(Registro!$F192))),({1,2,3,4,5,6,7,8,9,10,11,12,13,14,15,16,17,18,19,20,21,22,23,24,25,26,27,28,29,30}-1)*LEN(Registro!$F192)+1,LEN(Registro!$F192))),FIND("x",TRIM(MID(SUBSTITUTE(SUBSTITUTE(SUBSTITUTE(SUBSTITUTE(SUBSTITUTE(LOWER(Registro!$F192)," ",""),CHAR(10),"|"),";","|"),"+","|"),"|",REPT(" ",LEN(Registro!$F192))),({1,2,3,4,5,6,7,8,9,10,11,12,13,14,15,16,17,18,19,20,21,22,23,24,25,26,27,28,29,30}-1)*LEN(Registro!$F192)+1,LEN(Registro!$F192)))&amp;"x")-1))),"Revisar formato")))</f>
        <v/>
      </c>
      <c r="G192" s="24" t="str">
        <f>IF(Registro!$F192="","",IF(ISERROR(FIND("x",LOWER(Registro!$F192))),N(Registro!$G192),IFERROR(SUMPRODUCT(--("0"&amp;LEFT(TRIM(MID(SUBSTITUTE(SUBSTITUTE(SUBSTITUTE(SUBSTITUTE(SUBSTITUTE(LOWER(Registro!$F192)," ",""),CHAR(10),"|"),";","|"),"+","|"),"|",REPT(" ",LEN(Registro!$F192))),({1,2,3,4,5,6,7,8,9,10,11,12,13,14,15,16,17,18,19,20,21,22,23,24,25,26,27,28,29,30}-1)*LEN(Registro!$F192)+1,LEN(Registro!$F192))),FIND("x",TRIM(MID(SUBSTITUTE(SUBSTITUTE(SUBSTITUTE(SUBSTITUTE(SUBSTITUTE(LOWER(Registro!$F192)," ",""),CHAR(10),"|"),";","|"),"+","|"),"|",REPT(" ",LEN(Registro!$F192))),({1,2,3,4,5,6,7,8,9,10,11,12,13,14,15,16,17,18,19,20,21,22,23,24,25,26,27,28,29,30}-1)*LEN(Registro!$F192)+1,LEN(Registro!$F192)))&amp;"x")-1)),--("0"&amp;MID(TRIM(MID(SUBSTITUTE(SUBSTITUTE(SUBSTITUTE(SUBSTITUTE(SUBSTITUTE(LOWER(Registro!$F192)," ",""),CHAR(10),"|"),";","|"),"+","|"),"|",REPT(" ",LEN(Registro!$F192))),({1,2,3,4,5,6,7,8,9,10,11,12,13,14,15,16,17,18,19,20,21,22,23,24,25,26,27,28,29,30}-1)*LEN(Registro!$F192)+1,LEN(Registro!$F192))),FIND("x",TRIM(MID(SUBSTITUTE(SUBSTITUTE(SUBSTITUTE(SUBSTITUTE(SUBSTITUTE(LOWER(Registro!$F192)," ",""),CHAR(10),"|"),";","|"),"+","|"),"|",REPT(" ",LEN(Registro!$F192))),({1,2,3,4,5,6,7,8,9,10,11,12,13,14,15,16,17,18,19,20,21,22,23,24,25,26,27,28,29,30}-1)*LEN(Registro!$F192)+1,LEN(Registro!$F192)))&amp;"x")+1,20))),"Revisar formato")))</f>
        <v/>
      </c>
      <c r="H192" s="21" t="str">
        <f>IF(AND(Registro!$E192="",Registro!$F192=""),"",IF(NOT(AND(ISNUMBER(G192),ISNUMBER(Registro!$G192))),"",IF(G192&lt;Registro!$G192,"FALTA BOLETOS",IF(G192=Registro!$G192,"CONFORME","DIFERENCIA"))))</f>
        <v/>
      </c>
      <c r="I192" s="24" t="str">
        <f>IF(Registro!$H192="","",IFERROR(SUMPRODUCT(--("0"&amp;TRIM(RIGHT(SUBSTITUTE(TRIM(MID(SUBSTITUTE(SUBSTITUTE(Registro!$H192,";",CHAR(10)),CHAR(10),REPT(" ",LEN(Registro!$H192))),({1,2,3,4,5,6,7,8,9,10,11,12,13,14,15,16,17,18,19,20,21,22,23,24,25,26,27,28,29,30}-1)*LEN(Registro!$H192)+1,LEN(Registro!$H192)))," ",REPT(" ",50)),50)))),"Revisar formato"))</f>
        <v/>
      </c>
      <c r="J192" s="24" t="str">
        <f>IF(Registro!$I192="","",IFERROR(SUMPRODUCT(--("0"&amp;TRIM(RIGHT(SUBSTITUTE(TRIM(MID(SUBSTITUTE(SUBSTITUTE(Registro!$I192,";",CHAR(10)),CHAR(10),REPT(" ",LEN(Registro!$I192))),({1,2,3,4,5,6,7,8,9,10,11,12,13,14,15,16,17,18,19,20,21,22,23,24,25,26,27,28,29,30}-1)*LEN(Registro!$I192)+1,LEN(Registro!$I192)))," ",REPT(" ",50)),50)))),"Revisar formato"))</f>
        <v/>
      </c>
      <c r="K192" s="24" t="str">
        <f>IF(AND(Registro!$G192="",Registro!$H192=""),"",IF(AND(ISTEXT(I192),I192&lt;&gt;""),"Revisar formato",N(Registro!$G192)-N(I192)))</f>
        <v/>
      </c>
      <c r="L192" s="24" t="str">
        <f t="shared" si="5"/>
        <v/>
      </c>
      <c r="M192" s="36" t="str">
        <f>IF(AND(A192=Consulta!$B$3,C192=Consulta!$H$3),B192*10000+ROW(),"")</f>
        <v/>
      </c>
    </row>
    <row r="193" spans="1:13" x14ac:dyDescent="0.25">
      <c r="A193" s="21" t="str">
        <f>IF(Registro!$A193="","",Registro!$A193)</f>
        <v/>
      </c>
      <c r="B193" s="20" t="str">
        <f>IF(Registro!$B193="","",Registro!$B193)</f>
        <v/>
      </c>
      <c r="C193" s="35" t="str">
        <f t="shared" si="4"/>
        <v/>
      </c>
      <c r="D193" s="23" t="str">
        <f>IF(Registro!$E193="","",IF(ISERROR(FIND("x",LOWER(Registro!$E193))),"-",IFERROR(SUMPRODUCT(--("0"&amp;LEFT(TRIM(MID(SUBSTITUTE(SUBSTITUTE(SUBSTITUTE(SUBSTITUTE(SUBSTITUTE(LOWER(Registro!$E193),"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",LEN(Registro!$E193))),({1,2,3,4,5,6,7,8,9,10,11,12,13,14,15,16,17,18,19,20,21,22,23,24,25,26,27,28,29,30}-1)*LEN(Registro!$E193)+1,LEN(Registro!$E193))),FIND("x",TRIM(MID(SUBSTITUTE(SUBSTITUTE(SUBSTITUTE(SUBSTITUTE(SUBSTITUTE(LOWER(Registro!$E193),"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",LEN(Registro!$E193))),({1,2,3,4,5,6,7,8,9,10,11,12,13,14,15,16,17,18,19,20,21,22,23,24,25,26,27,28,29,30}-1)*LEN(Registro!$E193)+1,LEN(Registro!$E193)))&amp;"x")-1))),"Revisar formato")))</f>
        <v/>
      </c>
      <c r="E193" s="24" t="str">
        <f>IF(Registro!$E193="","",IF(ISERROR(FIND("x",LOWER(Registro!$E193))),"-",IFERROR(SUMPRODUCT(--("0"&amp;LEFT(TRIM(MID(SUBSTITUTE(SUBSTITUTE(SUBSTITUTE(SUBSTITUTE(SUBSTITUTE(LOWER(Registro!$E193),"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",LEN(Registro!$E193))),({1,2,3,4,5,6,7,8,9,10,11,12,13,14,15,16,17,18,19,20,21,22,23,24,25,26,27,28,29,30}-1)*LEN(Registro!$E193)+1,LEN(Registro!$E193))),FIND("x",TRIM(MID(SUBSTITUTE(SUBSTITUTE(SUBSTITUTE(SUBSTITUTE(SUBSTITUTE(LOWER(Registro!$E193),"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",LEN(Registro!$E193))),({1,2,3,4,5,6,7,8,9,10,11,12,13,14,15,16,17,18,19,20,21,22,23,24,25,26,27,28,29,30}-1)*LEN(Registro!$E193)+1,LEN(Registro!$E193)))&amp;"x")-1)),--("0"&amp;MID(TRIM(MID(SUBSTITUTE(SUBSTITUTE(SUBSTITUTE(SUBSTITUTE(SUBSTITUTE(LOWER(Registro!$E193),"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",LEN(Registro!$E193))),({1,2,3,4,5,6,7,8,9,10,11,12,13,14,15,16,17,18,19,20,21,22,23,24,25,26,27,28,29,30}-1)*LEN(Registro!$E193)+1,LEN(Registro!$E193))),FIND("x",TRIM(MID(SUBSTITUTE(SUBSTITUTE(SUBSTITUTE(SUBSTITUTE(SUBSTITUTE(LOWER(Registro!$E193),"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",LEN(Registro!$E193))),({1,2,3,4,5,6,7,8,9,10,11,12,13,14,15,16,17,18,19,20,21,22,23,24,25,26,27,28,29,30}-1)*LEN(Registro!$E193)+1,LEN(Registro!$E193)))&amp;"x")+1,20))),"Revisar formato")))</f>
        <v/>
      </c>
      <c r="F193" s="23" t="str">
        <f>IF(Registro!$F193="","",IF(ISERROR(FIND("x",LOWER(Registro!$F193))),"-",IFERROR(SUMPRODUCT(--("0"&amp;LEFT(TRIM(MID(SUBSTITUTE(SUBSTITUTE(SUBSTITUTE(SUBSTITUTE(SUBSTITUTE(LOWER(Registro!$F193)," ",""),CHAR(10),"|"),";","|"),"+","|"),"|",REPT(" ",LEN(Registro!$F193))),({1,2,3,4,5,6,7,8,9,10,11,12,13,14,15,16,17,18,19,20,21,22,23,24,25,26,27,28,29,30}-1)*LEN(Registro!$F193)+1,LEN(Registro!$F193))),FIND("x",TRIM(MID(SUBSTITUTE(SUBSTITUTE(SUBSTITUTE(SUBSTITUTE(SUBSTITUTE(LOWER(Registro!$F193)," ",""),CHAR(10),"|"),";","|"),"+","|"),"|",REPT(" ",LEN(Registro!$F193))),({1,2,3,4,5,6,7,8,9,10,11,12,13,14,15,16,17,18,19,20,21,22,23,24,25,26,27,28,29,30}-1)*LEN(Registro!$F193)+1,LEN(Registro!$F193)))&amp;"x")-1))),"Revisar formato")))</f>
        <v/>
      </c>
      <c r="G193" s="24" t="str">
        <f>IF(Registro!$F193="","",IF(ISERROR(FIND("x",LOWER(Registro!$F193))),N(Registro!$G193),IFERROR(SUMPRODUCT(--("0"&amp;LEFT(TRIM(MID(SUBSTITUTE(SUBSTITUTE(SUBSTITUTE(SUBSTITUTE(SUBSTITUTE(LOWER(Registro!$F193)," ",""),CHAR(10),"|"),";","|"),"+","|"),"|",REPT(" ",LEN(Registro!$F193))),({1,2,3,4,5,6,7,8,9,10,11,12,13,14,15,16,17,18,19,20,21,22,23,24,25,26,27,28,29,30}-1)*LEN(Registro!$F193)+1,LEN(Registro!$F193))),FIND("x",TRIM(MID(SUBSTITUTE(SUBSTITUTE(SUBSTITUTE(SUBSTITUTE(SUBSTITUTE(LOWER(Registro!$F193)," ",""),CHAR(10),"|"),";","|"),"+","|"),"|",REPT(" ",LEN(Registro!$F193))),({1,2,3,4,5,6,7,8,9,10,11,12,13,14,15,16,17,18,19,20,21,22,23,24,25,26,27,28,29,30}-1)*LEN(Registro!$F193)+1,LEN(Registro!$F193)))&amp;"x")-1)),--("0"&amp;MID(TRIM(MID(SUBSTITUTE(SUBSTITUTE(SUBSTITUTE(SUBSTITUTE(SUBSTITUTE(LOWER(Registro!$F193)," ",""),CHAR(10),"|"),";","|"),"+","|"),"|",REPT(" ",LEN(Registro!$F193))),({1,2,3,4,5,6,7,8,9,10,11,12,13,14,15,16,17,18,19,20,21,22,23,24,25,26,27,28,29,30}-1)*LEN(Registro!$F193)+1,LEN(Registro!$F193))),FIND("x",TRIM(MID(SUBSTITUTE(SUBSTITUTE(SUBSTITUTE(SUBSTITUTE(SUBSTITUTE(LOWER(Registro!$F193)," ",""),CHAR(10),"|"),";","|"),"+","|"),"|",REPT(" ",LEN(Registro!$F193))),({1,2,3,4,5,6,7,8,9,10,11,12,13,14,15,16,17,18,19,20,21,22,23,24,25,26,27,28,29,30}-1)*LEN(Registro!$F193)+1,LEN(Registro!$F193)))&amp;"x")+1,20))),"Revisar formato")))</f>
        <v/>
      </c>
      <c r="H193" s="21" t="str">
        <f>IF(AND(Registro!$E193="",Registro!$F193=""),"",IF(NOT(AND(ISNUMBER(G193),ISNUMBER(Registro!$G193))),"",IF(G193&lt;Registro!$G193,"FALTA BOLETOS",IF(G193=Registro!$G193,"CONFORME","DIFERENCIA"))))</f>
        <v/>
      </c>
      <c r="I193" s="24" t="str">
        <f>IF(Registro!$H193="","",IFERROR(SUMPRODUCT(--("0"&amp;TRIM(RIGHT(SUBSTITUTE(TRIM(MID(SUBSTITUTE(SUBSTITUTE(Registro!$H193,";",CHAR(10)),CHAR(10),REPT(" ",LEN(Registro!$H193))),({1,2,3,4,5,6,7,8,9,10,11,12,13,14,15,16,17,18,19,20,21,22,23,24,25,26,27,28,29,30}-1)*LEN(Registro!$H193)+1,LEN(Registro!$H193)))," ",REPT(" ",50)),50)))),"Revisar formato"))</f>
        <v/>
      </c>
      <c r="J193" s="24" t="str">
        <f>IF(Registro!$I193="","",IFERROR(SUMPRODUCT(--("0"&amp;TRIM(RIGHT(SUBSTITUTE(TRIM(MID(SUBSTITUTE(SUBSTITUTE(Registro!$I193,";",CHAR(10)),CHAR(10),REPT(" ",LEN(Registro!$I193))),({1,2,3,4,5,6,7,8,9,10,11,12,13,14,15,16,17,18,19,20,21,22,23,24,25,26,27,28,29,30}-1)*LEN(Registro!$I193)+1,LEN(Registro!$I193)))," ",REPT(" ",50)),50)))),"Revisar formato"))</f>
        <v/>
      </c>
      <c r="K193" s="24" t="str">
        <f>IF(AND(Registro!$G193="",Registro!$H193=""),"",IF(AND(ISTEXT(I193),I193&lt;&gt;""),"Revisar formato",N(Registro!$G193)-N(I193)))</f>
        <v/>
      </c>
      <c r="L193" s="24" t="str">
        <f t="shared" si="5"/>
        <v/>
      </c>
      <c r="M193" s="36" t="str">
        <f>IF(AND(A193=Consulta!$B$3,C193=Consulta!$H$3),B193*10000+ROW(),"")</f>
        <v/>
      </c>
    </row>
    <row r="194" spans="1:13" x14ac:dyDescent="0.25">
      <c r="A194" s="21" t="str">
        <f>IF(Registro!$A194="","",Registro!$A194)</f>
        <v/>
      </c>
      <c r="B194" s="20" t="str">
        <f>IF(Registro!$B194="","",Registro!$B194)</f>
        <v/>
      </c>
      <c r="C194" s="35" t="str">
        <f t="shared" ref="C194:C257" si="6">IF(ISNUMBER(B194),YEAR(B194)*100+MONTH(B194),"")</f>
        <v/>
      </c>
      <c r="D194" s="23" t="str">
        <f>IF(Registro!$E194="","",IF(ISERROR(FIND("x",LOWER(Registro!$E194))),"-",IFERROR(SUMPRODUCT(--("0"&amp;LEFT(TRIM(MID(SUBSTITUTE(SUBSTITUTE(SUBSTITUTE(SUBSTITUTE(SUBSTITUTE(LOWER(Registro!$E194),"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",LEN(Registro!$E194))),({1,2,3,4,5,6,7,8,9,10,11,12,13,14,15,16,17,18,19,20,21,22,23,24,25,26,27,28,29,30}-1)*LEN(Registro!$E194)+1,LEN(Registro!$E194))),FIND("x",TRIM(MID(SUBSTITUTE(SUBSTITUTE(SUBSTITUTE(SUBSTITUTE(SUBSTITUTE(LOWER(Registro!$E194),"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",LEN(Registro!$E194))),({1,2,3,4,5,6,7,8,9,10,11,12,13,14,15,16,17,18,19,20,21,22,23,24,25,26,27,28,29,30}-1)*LEN(Registro!$E194)+1,LEN(Registro!$E194)))&amp;"x")-1))),"Revisar formato")))</f>
        <v/>
      </c>
      <c r="E194" s="24" t="str">
        <f>IF(Registro!$E194="","",IF(ISERROR(FIND("x",LOWER(Registro!$E194))),"-",IFERROR(SUMPRODUCT(--("0"&amp;LEFT(TRIM(MID(SUBSTITUTE(SUBSTITUTE(SUBSTITUTE(SUBSTITUTE(SUBSTITUTE(LOWER(Registro!$E194),"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",LEN(Registro!$E194))),({1,2,3,4,5,6,7,8,9,10,11,12,13,14,15,16,17,18,19,20,21,22,23,24,25,26,27,28,29,30}-1)*LEN(Registro!$E194)+1,LEN(Registro!$E194))),FIND("x",TRIM(MID(SUBSTITUTE(SUBSTITUTE(SUBSTITUTE(SUBSTITUTE(SUBSTITUTE(LOWER(Registro!$E194),"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",LEN(Registro!$E194))),({1,2,3,4,5,6,7,8,9,10,11,12,13,14,15,16,17,18,19,20,21,22,23,24,25,26,27,28,29,30}-1)*LEN(Registro!$E194)+1,LEN(Registro!$E194)))&amp;"x")-1)),--("0"&amp;MID(TRIM(MID(SUBSTITUTE(SUBSTITUTE(SUBSTITUTE(SUBSTITUTE(SUBSTITUTE(LOWER(Registro!$E194),"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",LEN(Registro!$E194))),({1,2,3,4,5,6,7,8,9,10,11,12,13,14,15,16,17,18,19,20,21,22,23,24,25,26,27,28,29,30}-1)*LEN(Registro!$E194)+1,LEN(Registro!$E194))),FIND("x",TRIM(MID(SUBSTITUTE(SUBSTITUTE(SUBSTITUTE(SUBSTITUTE(SUBSTITUTE(LOWER(Registro!$E194),"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",LEN(Registro!$E194))),({1,2,3,4,5,6,7,8,9,10,11,12,13,14,15,16,17,18,19,20,21,22,23,24,25,26,27,28,29,30}-1)*LEN(Registro!$E194)+1,LEN(Registro!$E194)))&amp;"x")+1,20))),"Revisar formato")))</f>
        <v/>
      </c>
      <c r="F194" s="23" t="str">
        <f>IF(Registro!$F194="","",IF(ISERROR(FIND("x",LOWER(Registro!$F194))),"-",IFERROR(SUMPRODUCT(--("0"&amp;LEFT(TRIM(MID(SUBSTITUTE(SUBSTITUTE(SUBSTITUTE(SUBSTITUTE(SUBSTITUTE(LOWER(Registro!$F194)," ",""),CHAR(10),"|"),";","|"),"+","|"),"|",REPT(" ",LEN(Registro!$F194))),({1,2,3,4,5,6,7,8,9,10,11,12,13,14,15,16,17,18,19,20,21,22,23,24,25,26,27,28,29,30}-1)*LEN(Registro!$F194)+1,LEN(Registro!$F194))),FIND("x",TRIM(MID(SUBSTITUTE(SUBSTITUTE(SUBSTITUTE(SUBSTITUTE(SUBSTITUTE(LOWER(Registro!$F194)," ",""),CHAR(10),"|"),";","|"),"+","|"),"|",REPT(" ",LEN(Registro!$F194))),({1,2,3,4,5,6,7,8,9,10,11,12,13,14,15,16,17,18,19,20,21,22,23,24,25,26,27,28,29,30}-1)*LEN(Registro!$F194)+1,LEN(Registro!$F194)))&amp;"x")-1))),"Revisar formato")))</f>
        <v/>
      </c>
      <c r="G194" s="24" t="str">
        <f>IF(Registro!$F194="","",IF(ISERROR(FIND("x",LOWER(Registro!$F194))),N(Registro!$G194),IFERROR(SUMPRODUCT(--("0"&amp;LEFT(TRIM(MID(SUBSTITUTE(SUBSTITUTE(SUBSTITUTE(SUBSTITUTE(SUBSTITUTE(LOWER(Registro!$F194)," ",""),CHAR(10),"|"),";","|"),"+","|"),"|",REPT(" ",LEN(Registro!$F194))),({1,2,3,4,5,6,7,8,9,10,11,12,13,14,15,16,17,18,19,20,21,22,23,24,25,26,27,28,29,30}-1)*LEN(Registro!$F194)+1,LEN(Registro!$F194))),FIND("x",TRIM(MID(SUBSTITUTE(SUBSTITUTE(SUBSTITUTE(SUBSTITUTE(SUBSTITUTE(LOWER(Registro!$F194)," ",""),CHAR(10),"|"),";","|"),"+","|"),"|",REPT(" ",LEN(Registro!$F194))),({1,2,3,4,5,6,7,8,9,10,11,12,13,14,15,16,17,18,19,20,21,22,23,24,25,26,27,28,29,30}-1)*LEN(Registro!$F194)+1,LEN(Registro!$F194)))&amp;"x")-1)),--("0"&amp;MID(TRIM(MID(SUBSTITUTE(SUBSTITUTE(SUBSTITUTE(SUBSTITUTE(SUBSTITUTE(LOWER(Registro!$F194)," ",""),CHAR(10),"|"),";","|"),"+","|"),"|",REPT(" ",LEN(Registro!$F194))),({1,2,3,4,5,6,7,8,9,10,11,12,13,14,15,16,17,18,19,20,21,22,23,24,25,26,27,28,29,30}-1)*LEN(Registro!$F194)+1,LEN(Registro!$F194))),FIND("x",TRIM(MID(SUBSTITUTE(SUBSTITUTE(SUBSTITUTE(SUBSTITUTE(SUBSTITUTE(LOWER(Registro!$F194)," ",""),CHAR(10),"|"),";","|"),"+","|"),"|",REPT(" ",LEN(Registro!$F194))),({1,2,3,4,5,6,7,8,9,10,11,12,13,14,15,16,17,18,19,20,21,22,23,24,25,26,27,28,29,30}-1)*LEN(Registro!$F194)+1,LEN(Registro!$F194)))&amp;"x")+1,20))),"Revisar formato")))</f>
        <v/>
      </c>
      <c r="H194" s="21" t="str">
        <f>IF(AND(Registro!$E194="",Registro!$F194=""),"",IF(NOT(AND(ISNUMBER(G194),ISNUMBER(Registro!$G194))),"",IF(G194&lt;Registro!$G194,"FALTA BOLETOS",IF(G194=Registro!$G194,"CONFORME","DIFERENCIA"))))</f>
        <v/>
      </c>
      <c r="I194" s="24" t="str">
        <f>IF(Registro!$H194="","",IFERROR(SUMPRODUCT(--("0"&amp;TRIM(RIGHT(SUBSTITUTE(TRIM(MID(SUBSTITUTE(SUBSTITUTE(Registro!$H194,";",CHAR(10)),CHAR(10),REPT(" ",LEN(Registro!$H194))),({1,2,3,4,5,6,7,8,9,10,11,12,13,14,15,16,17,18,19,20,21,22,23,24,25,26,27,28,29,30}-1)*LEN(Registro!$H194)+1,LEN(Registro!$H194)))," ",REPT(" ",50)),50)))),"Revisar formato"))</f>
        <v/>
      </c>
      <c r="J194" s="24" t="str">
        <f>IF(Registro!$I194="","",IFERROR(SUMPRODUCT(--("0"&amp;TRIM(RIGHT(SUBSTITUTE(TRIM(MID(SUBSTITUTE(SUBSTITUTE(Registro!$I194,";",CHAR(10)),CHAR(10),REPT(" ",LEN(Registro!$I194))),({1,2,3,4,5,6,7,8,9,10,11,12,13,14,15,16,17,18,19,20,21,22,23,24,25,26,27,28,29,30}-1)*LEN(Registro!$I194)+1,LEN(Registro!$I194)))," ",REPT(" ",50)),50)))),"Revisar formato"))</f>
        <v/>
      </c>
      <c r="K194" s="24" t="str">
        <f>IF(AND(Registro!$G194="",Registro!$H194=""),"",IF(AND(ISTEXT(I194),I194&lt;&gt;""),"Revisar formato",N(Registro!$G194)-N(I194)))</f>
        <v/>
      </c>
      <c r="L194" s="24" t="str">
        <f t="shared" ref="L194:L257" si="7">IF(K194="","",IF(OR(K194="Revisar formato",AND(ISTEXT(J194),J194&lt;&gt;"")),"Revisar formato",K194-N(J194)))</f>
        <v/>
      </c>
      <c r="M194" s="36" t="str">
        <f>IF(AND(A194=Consulta!$B$3,C194=Consulta!$H$3),B194*10000+ROW(),"")</f>
        <v/>
      </c>
    </row>
    <row r="195" spans="1:13" x14ac:dyDescent="0.25">
      <c r="A195" s="21" t="str">
        <f>IF(Registro!$A195="","",Registro!$A195)</f>
        <v/>
      </c>
      <c r="B195" s="20" t="str">
        <f>IF(Registro!$B195="","",Registro!$B195)</f>
        <v/>
      </c>
      <c r="C195" s="35" t="str">
        <f t="shared" si="6"/>
        <v/>
      </c>
      <c r="D195" s="23" t="str">
        <f>IF(Registro!$E195="","",IF(ISERROR(FIND("x",LOWER(Registro!$E195))),"-",IFERROR(SUMPRODUCT(--("0"&amp;LEFT(TRIM(MID(SUBSTITUTE(SUBSTITUTE(SUBSTITUTE(SUBSTITUTE(SUBSTITUTE(LOWER(Registro!$E195),"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",LEN(Registro!$E195))),({1,2,3,4,5,6,7,8,9,10,11,12,13,14,15,16,17,18,19,20,21,22,23,24,25,26,27,28,29,30}-1)*LEN(Registro!$E195)+1,LEN(Registro!$E195))),FIND("x",TRIM(MID(SUBSTITUTE(SUBSTITUTE(SUBSTITUTE(SUBSTITUTE(SUBSTITUTE(LOWER(Registro!$E195),"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",LEN(Registro!$E195))),({1,2,3,4,5,6,7,8,9,10,11,12,13,14,15,16,17,18,19,20,21,22,23,24,25,26,27,28,29,30}-1)*LEN(Registro!$E195)+1,LEN(Registro!$E195)))&amp;"x")-1))),"Revisar formato")))</f>
        <v/>
      </c>
      <c r="E195" s="24" t="str">
        <f>IF(Registro!$E195="","",IF(ISERROR(FIND("x",LOWER(Registro!$E195))),"-",IFERROR(SUMPRODUCT(--("0"&amp;LEFT(TRIM(MID(SUBSTITUTE(SUBSTITUTE(SUBSTITUTE(SUBSTITUTE(SUBSTITUTE(LOWER(Registro!$E195),"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",LEN(Registro!$E195))),({1,2,3,4,5,6,7,8,9,10,11,12,13,14,15,16,17,18,19,20,21,22,23,24,25,26,27,28,29,30}-1)*LEN(Registro!$E195)+1,LEN(Registro!$E195))),FIND("x",TRIM(MID(SUBSTITUTE(SUBSTITUTE(SUBSTITUTE(SUBSTITUTE(SUBSTITUTE(LOWER(Registro!$E195),"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",LEN(Registro!$E195))),({1,2,3,4,5,6,7,8,9,10,11,12,13,14,15,16,17,18,19,20,21,22,23,24,25,26,27,28,29,30}-1)*LEN(Registro!$E195)+1,LEN(Registro!$E195)))&amp;"x")-1)),--("0"&amp;MID(TRIM(MID(SUBSTITUTE(SUBSTITUTE(SUBSTITUTE(SUBSTITUTE(SUBSTITUTE(LOWER(Registro!$E195),"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",LEN(Registro!$E195))),({1,2,3,4,5,6,7,8,9,10,11,12,13,14,15,16,17,18,19,20,21,22,23,24,25,26,27,28,29,30}-1)*LEN(Registro!$E195)+1,LEN(Registro!$E195))),FIND("x",TRIM(MID(SUBSTITUTE(SUBSTITUTE(SUBSTITUTE(SUBSTITUTE(SUBSTITUTE(LOWER(Registro!$E195),"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",LEN(Registro!$E195))),({1,2,3,4,5,6,7,8,9,10,11,12,13,14,15,16,17,18,19,20,21,22,23,24,25,26,27,28,29,30}-1)*LEN(Registro!$E195)+1,LEN(Registro!$E195)))&amp;"x")+1,20))),"Revisar formato")))</f>
        <v/>
      </c>
      <c r="F195" s="23" t="str">
        <f>IF(Registro!$F195="","",IF(ISERROR(FIND("x",LOWER(Registro!$F195))),"-",IFERROR(SUMPRODUCT(--("0"&amp;LEFT(TRIM(MID(SUBSTITUTE(SUBSTITUTE(SUBSTITUTE(SUBSTITUTE(SUBSTITUTE(LOWER(Registro!$F195)," ",""),CHAR(10),"|"),";","|"),"+","|"),"|",REPT(" ",LEN(Registro!$F195))),({1,2,3,4,5,6,7,8,9,10,11,12,13,14,15,16,17,18,19,20,21,22,23,24,25,26,27,28,29,30}-1)*LEN(Registro!$F195)+1,LEN(Registro!$F195))),FIND("x",TRIM(MID(SUBSTITUTE(SUBSTITUTE(SUBSTITUTE(SUBSTITUTE(SUBSTITUTE(LOWER(Registro!$F195)," ",""),CHAR(10),"|"),";","|"),"+","|"),"|",REPT(" ",LEN(Registro!$F195))),({1,2,3,4,5,6,7,8,9,10,11,12,13,14,15,16,17,18,19,20,21,22,23,24,25,26,27,28,29,30}-1)*LEN(Registro!$F195)+1,LEN(Registro!$F195)))&amp;"x")-1))),"Revisar formato")))</f>
        <v/>
      </c>
      <c r="G195" s="24" t="str">
        <f>IF(Registro!$F195="","",IF(ISERROR(FIND("x",LOWER(Registro!$F195))),N(Registro!$G195),IFERROR(SUMPRODUCT(--("0"&amp;LEFT(TRIM(MID(SUBSTITUTE(SUBSTITUTE(SUBSTITUTE(SUBSTITUTE(SUBSTITUTE(LOWER(Registro!$F195)," ",""),CHAR(10),"|"),";","|"),"+","|"),"|",REPT(" ",LEN(Registro!$F195))),({1,2,3,4,5,6,7,8,9,10,11,12,13,14,15,16,17,18,19,20,21,22,23,24,25,26,27,28,29,30}-1)*LEN(Registro!$F195)+1,LEN(Registro!$F195))),FIND("x",TRIM(MID(SUBSTITUTE(SUBSTITUTE(SUBSTITUTE(SUBSTITUTE(SUBSTITUTE(LOWER(Registro!$F195)," ",""),CHAR(10),"|"),";","|"),"+","|"),"|",REPT(" ",LEN(Registro!$F195))),({1,2,3,4,5,6,7,8,9,10,11,12,13,14,15,16,17,18,19,20,21,22,23,24,25,26,27,28,29,30}-1)*LEN(Registro!$F195)+1,LEN(Registro!$F195)))&amp;"x")-1)),--("0"&amp;MID(TRIM(MID(SUBSTITUTE(SUBSTITUTE(SUBSTITUTE(SUBSTITUTE(SUBSTITUTE(LOWER(Registro!$F195)," ",""),CHAR(10),"|"),";","|"),"+","|"),"|",REPT(" ",LEN(Registro!$F195))),({1,2,3,4,5,6,7,8,9,10,11,12,13,14,15,16,17,18,19,20,21,22,23,24,25,26,27,28,29,30}-1)*LEN(Registro!$F195)+1,LEN(Registro!$F195))),FIND("x",TRIM(MID(SUBSTITUTE(SUBSTITUTE(SUBSTITUTE(SUBSTITUTE(SUBSTITUTE(LOWER(Registro!$F195)," ",""),CHAR(10),"|"),";","|"),"+","|"),"|",REPT(" ",LEN(Registro!$F195))),({1,2,3,4,5,6,7,8,9,10,11,12,13,14,15,16,17,18,19,20,21,22,23,24,25,26,27,28,29,30}-1)*LEN(Registro!$F195)+1,LEN(Registro!$F195)))&amp;"x")+1,20))),"Revisar formato")))</f>
        <v/>
      </c>
      <c r="H195" s="21" t="str">
        <f>IF(AND(Registro!$E195="",Registro!$F195=""),"",IF(NOT(AND(ISNUMBER(G195),ISNUMBER(Registro!$G195))),"",IF(G195&lt;Registro!$G195,"FALTA BOLETOS",IF(G195=Registro!$G195,"CONFORME","DIFERENCIA"))))</f>
        <v/>
      </c>
      <c r="I195" s="24" t="str">
        <f>IF(Registro!$H195="","",IFERROR(SUMPRODUCT(--("0"&amp;TRIM(RIGHT(SUBSTITUTE(TRIM(MID(SUBSTITUTE(SUBSTITUTE(Registro!$H195,";",CHAR(10)),CHAR(10),REPT(" ",LEN(Registro!$H195))),({1,2,3,4,5,6,7,8,9,10,11,12,13,14,15,16,17,18,19,20,21,22,23,24,25,26,27,28,29,30}-1)*LEN(Registro!$H195)+1,LEN(Registro!$H195)))," ",REPT(" ",50)),50)))),"Revisar formato"))</f>
        <v/>
      </c>
      <c r="J195" s="24" t="str">
        <f>IF(Registro!$I195="","",IFERROR(SUMPRODUCT(--("0"&amp;TRIM(RIGHT(SUBSTITUTE(TRIM(MID(SUBSTITUTE(SUBSTITUTE(Registro!$I195,";",CHAR(10)),CHAR(10),REPT(" ",LEN(Registro!$I195))),({1,2,3,4,5,6,7,8,9,10,11,12,13,14,15,16,17,18,19,20,21,22,23,24,25,26,27,28,29,30}-1)*LEN(Registro!$I195)+1,LEN(Registro!$I195)))," ",REPT(" ",50)),50)))),"Revisar formato"))</f>
        <v/>
      </c>
      <c r="K195" s="24" t="str">
        <f>IF(AND(Registro!$G195="",Registro!$H195=""),"",IF(AND(ISTEXT(I195),I195&lt;&gt;""),"Revisar formato",N(Registro!$G195)-N(I195)))</f>
        <v/>
      </c>
      <c r="L195" s="24" t="str">
        <f t="shared" si="7"/>
        <v/>
      </c>
      <c r="M195" s="36" t="str">
        <f>IF(AND(A195=Consulta!$B$3,C195=Consulta!$H$3),B195*10000+ROW(),"")</f>
        <v/>
      </c>
    </row>
    <row r="196" spans="1:13" x14ac:dyDescent="0.25">
      <c r="A196" s="21" t="str">
        <f>IF(Registro!$A196="","",Registro!$A196)</f>
        <v/>
      </c>
      <c r="B196" s="20" t="str">
        <f>IF(Registro!$B196="","",Registro!$B196)</f>
        <v/>
      </c>
      <c r="C196" s="35" t="str">
        <f t="shared" si="6"/>
        <v/>
      </c>
      <c r="D196" s="23" t="str">
        <f>IF(Registro!$E196="","",IF(ISERROR(FIND("x",LOWER(Registro!$E196))),"-",IFERROR(SUMPRODUCT(--("0"&amp;LEFT(TRIM(MID(SUBSTITUTE(SUBSTITUTE(SUBSTITUTE(SUBSTITUTE(SUBSTITUTE(LOWER(Registro!$E196),"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",LEN(Registro!$E196))),({1,2,3,4,5,6,7,8,9,10,11,12,13,14,15,16,17,18,19,20,21,22,23,24,25,26,27,28,29,30}-1)*LEN(Registro!$E196)+1,LEN(Registro!$E196))),FIND("x",TRIM(MID(SUBSTITUTE(SUBSTITUTE(SUBSTITUTE(SUBSTITUTE(SUBSTITUTE(LOWER(Registro!$E196),"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",LEN(Registro!$E196))),({1,2,3,4,5,6,7,8,9,10,11,12,13,14,15,16,17,18,19,20,21,22,23,24,25,26,27,28,29,30}-1)*LEN(Registro!$E196)+1,LEN(Registro!$E196)))&amp;"x")-1))),"Revisar formato")))</f>
        <v/>
      </c>
      <c r="E196" s="24" t="str">
        <f>IF(Registro!$E196="","",IF(ISERROR(FIND("x",LOWER(Registro!$E196))),"-",IFERROR(SUMPRODUCT(--("0"&amp;LEFT(TRIM(MID(SUBSTITUTE(SUBSTITUTE(SUBSTITUTE(SUBSTITUTE(SUBSTITUTE(LOWER(Registro!$E196),"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",LEN(Registro!$E196))),({1,2,3,4,5,6,7,8,9,10,11,12,13,14,15,16,17,18,19,20,21,22,23,24,25,26,27,28,29,30}-1)*LEN(Registro!$E196)+1,LEN(Registro!$E196))),FIND("x",TRIM(MID(SUBSTITUTE(SUBSTITUTE(SUBSTITUTE(SUBSTITUTE(SUBSTITUTE(LOWER(Registro!$E196),"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",LEN(Registro!$E196))),({1,2,3,4,5,6,7,8,9,10,11,12,13,14,15,16,17,18,19,20,21,22,23,24,25,26,27,28,29,30}-1)*LEN(Registro!$E196)+1,LEN(Registro!$E196)))&amp;"x")-1)),--("0"&amp;MID(TRIM(MID(SUBSTITUTE(SUBSTITUTE(SUBSTITUTE(SUBSTITUTE(SUBSTITUTE(LOWER(Registro!$E196),"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",LEN(Registro!$E196))),({1,2,3,4,5,6,7,8,9,10,11,12,13,14,15,16,17,18,19,20,21,22,23,24,25,26,27,28,29,30}-1)*LEN(Registro!$E196)+1,LEN(Registro!$E196))),FIND("x",TRIM(MID(SUBSTITUTE(SUBSTITUTE(SUBSTITUTE(SUBSTITUTE(SUBSTITUTE(LOWER(Registro!$E196),"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",LEN(Registro!$E196))),({1,2,3,4,5,6,7,8,9,10,11,12,13,14,15,16,17,18,19,20,21,22,23,24,25,26,27,28,29,30}-1)*LEN(Registro!$E196)+1,LEN(Registro!$E196)))&amp;"x")+1,20))),"Revisar formato")))</f>
        <v/>
      </c>
      <c r="F196" s="23" t="str">
        <f>IF(Registro!$F196="","",IF(ISERROR(FIND("x",LOWER(Registro!$F196))),"-",IFERROR(SUMPRODUCT(--("0"&amp;LEFT(TRIM(MID(SUBSTITUTE(SUBSTITUTE(SUBSTITUTE(SUBSTITUTE(SUBSTITUTE(LOWER(Registro!$F196)," ",""),CHAR(10),"|"),";","|"),"+","|"),"|",REPT(" ",LEN(Registro!$F196))),({1,2,3,4,5,6,7,8,9,10,11,12,13,14,15,16,17,18,19,20,21,22,23,24,25,26,27,28,29,30}-1)*LEN(Registro!$F196)+1,LEN(Registro!$F196))),FIND("x",TRIM(MID(SUBSTITUTE(SUBSTITUTE(SUBSTITUTE(SUBSTITUTE(SUBSTITUTE(LOWER(Registro!$F196)," ",""),CHAR(10),"|"),";","|"),"+","|"),"|",REPT(" ",LEN(Registro!$F196))),({1,2,3,4,5,6,7,8,9,10,11,12,13,14,15,16,17,18,19,20,21,22,23,24,25,26,27,28,29,30}-1)*LEN(Registro!$F196)+1,LEN(Registro!$F196)))&amp;"x")-1))),"Revisar formato")))</f>
        <v/>
      </c>
      <c r="G196" s="24" t="str">
        <f>IF(Registro!$F196="","",IF(ISERROR(FIND("x",LOWER(Registro!$F196))),N(Registro!$G196),IFERROR(SUMPRODUCT(--("0"&amp;LEFT(TRIM(MID(SUBSTITUTE(SUBSTITUTE(SUBSTITUTE(SUBSTITUTE(SUBSTITUTE(LOWER(Registro!$F196)," ",""),CHAR(10),"|"),";","|"),"+","|"),"|",REPT(" ",LEN(Registro!$F196))),({1,2,3,4,5,6,7,8,9,10,11,12,13,14,15,16,17,18,19,20,21,22,23,24,25,26,27,28,29,30}-1)*LEN(Registro!$F196)+1,LEN(Registro!$F196))),FIND("x",TRIM(MID(SUBSTITUTE(SUBSTITUTE(SUBSTITUTE(SUBSTITUTE(SUBSTITUTE(LOWER(Registro!$F196)," ",""),CHAR(10),"|"),";","|"),"+","|"),"|",REPT(" ",LEN(Registro!$F196))),({1,2,3,4,5,6,7,8,9,10,11,12,13,14,15,16,17,18,19,20,21,22,23,24,25,26,27,28,29,30}-1)*LEN(Registro!$F196)+1,LEN(Registro!$F196)))&amp;"x")-1)),--("0"&amp;MID(TRIM(MID(SUBSTITUTE(SUBSTITUTE(SUBSTITUTE(SUBSTITUTE(SUBSTITUTE(LOWER(Registro!$F196)," ",""),CHAR(10),"|"),";","|"),"+","|"),"|",REPT(" ",LEN(Registro!$F196))),({1,2,3,4,5,6,7,8,9,10,11,12,13,14,15,16,17,18,19,20,21,22,23,24,25,26,27,28,29,30}-1)*LEN(Registro!$F196)+1,LEN(Registro!$F196))),FIND("x",TRIM(MID(SUBSTITUTE(SUBSTITUTE(SUBSTITUTE(SUBSTITUTE(SUBSTITUTE(LOWER(Registro!$F196)," ",""),CHAR(10),"|"),";","|"),"+","|"),"|",REPT(" ",LEN(Registro!$F196))),({1,2,3,4,5,6,7,8,9,10,11,12,13,14,15,16,17,18,19,20,21,22,23,24,25,26,27,28,29,30}-1)*LEN(Registro!$F196)+1,LEN(Registro!$F196)))&amp;"x")+1,20))),"Revisar formato")))</f>
        <v/>
      </c>
      <c r="H196" s="21" t="str">
        <f>IF(AND(Registro!$E196="",Registro!$F196=""),"",IF(NOT(AND(ISNUMBER(G196),ISNUMBER(Registro!$G196))),"",IF(G196&lt;Registro!$G196,"FALTA BOLETOS",IF(G196=Registro!$G196,"CONFORME","DIFERENCIA"))))</f>
        <v/>
      </c>
      <c r="I196" s="24" t="str">
        <f>IF(Registro!$H196="","",IFERROR(SUMPRODUCT(--("0"&amp;TRIM(RIGHT(SUBSTITUTE(TRIM(MID(SUBSTITUTE(SUBSTITUTE(Registro!$H196,";",CHAR(10)),CHAR(10),REPT(" ",LEN(Registro!$H196))),({1,2,3,4,5,6,7,8,9,10,11,12,13,14,15,16,17,18,19,20,21,22,23,24,25,26,27,28,29,30}-1)*LEN(Registro!$H196)+1,LEN(Registro!$H196)))," ",REPT(" ",50)),50)))),"Revisar formato"))</f>
        <v/>
      </c>
      <c r="J196" s="24" t="str">
        <f>IF(Registro!$I196="","",IFERROR(SUMPRODUCT(--("0"&amp;TRIM(RIGHT(SUBSTITUTE(TRIM(MID(SUBSTITUTE(SUBSTITUTE(Registro!$I196,";",CHAR(10)),CHAR(10),REPT(" ",LEN(Registro!$I196))),({1,2,3,4,5,6,7,8,9,10,11,12,13,14,15,16,17,18,19,20,21,22,23,24,25,26,27,28,29,30}-1)*LEN(Registro!$I196)+1,LEN(Registro!$I196)))," ",REPT(" ",50)),50)))),"Revisar formato"))</f>
        <v/>
      </c>
      <c r="K196" s="24" t="str">
        <f>IF(AND(Registro!$G196="",Registro!$H196=""),"",IF(AND(ISTEXT(I196),I196&lt;&gt;""),"Revisar formato",N(Registro!$G196)-N(I196)))</f>
        <v/>
      </c>
      <c r="L196" s="24" t="str">
        <f t="shared" si="7"/>
        <v/>
      </c>
      <c r="M196" s="36" t="str">
        <f>IF(AND(A196=Consulta!$B$3,C196=Consulta!$H$3),B196*10000+ROW(),"")</f>
        <v/>
      </c>
    </row>
    <row r="197" spans="1:13" x14ac:dyDescent="0.25">
      <c r="A197" s="21" t="str">
        <f>IF(Registro!$A197="","",Registro!$A197)</f>
        <v/>
      </c>
      <c r="B197" s="20" t="str">
        <f>IF(Registro!$B197="","",Registro!$B197)</f>
        <v/>
      </c>
      <c r="C197" s="35" t="str">
        <f t="shared" si="6"/>
        <v/>
      </c>
      <c r="D197" s="23" t="str">
        <f>IF(Registro!$E197="","",IF(ISERROR(FIND("x",LOWER(Registro!$E197))),"-",IFERROR(SUMPRODUCT(--("0"&amp;LEFT(TRIM(MID(SUBSTITUTE(SUBSTITUTE(SUBSTITUTE(SUBSTITUTE(SUBSTITUTE(LOWER(Registro!$E197),"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",LEN(Registro!$E197))),({1,2,3,4,5,6,7,8,9,10,11,12,13,14,15,16,17,18,19,20,21,22,23,24,25,26,27,28,29,30}-1)*LEN(Registro!$E197)+1,LEN(Registro!$E197))),FIND("x",TRIM(MID(SUBSTITUTE(SUBSTITUTE(SUBSTITUTE(SUBSTITUTE(SUBSTITUTE(LOWER(Registro!$E197),"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",LEN(Registro!$E197))),({1,2,3,4,5,6,7,8,9,10,11,12,13,14,15,16,17,18,19,20,21,22,23,24,25,26,27,28,29,30}-1)*LEN(Registro!$E197)+1,LEN(Registro!$E197)))&amp;"x")-1))),"Revisar formato")))</f>
        <v/>
      </c>
      <c r="E197" s="24" t="str">
        <f>IF(Registro!$E197="","",IF(ISERROR(FIND("x",LOWER(Registro!$E197))),"-",IFERROR(SUMPRODUCT(--("0"&amp;LEFT(TRIM(MID(SUBSTITUTE(SUBSTITUTE(SUBSTITUTE(SUBSTITUTE(SUBSTITUTE(LOWER(Registro!$E197),"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",LEN(Registro!$E197))),({1,2,3,4,5,6,7,8,9,10,11,12,13,14,15,16,17,18,19,20,21,22,23,24,25,26,27,28,29,30}-1)*LEN(Registro!$E197)+1,LEN(Registro!$E197))),FIND("x",TRIM(MID(SUBSTITUTE(SUBSTITUTE(SUBSTITUTE(SUBSTITUTE(SUBSTITUTE(LOWER(Registro!$E197),"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",LEN(Registro!$E197))),({1,2,3,4,5,6,7,8,9,10,11,12,13,14,15,16,17,18,19,20,21,22,23,24,25,26,27,28,29,30}-1)*LEN(Registro!$E197)+1,LEN(Registro!$E197)))&amp;"x")-1)),--("0"&amp;MID(TRIM(MID(SUBSTITUTE(SUBSTITUTE(SUBSTITUTE(SUBSTITUTE(SUBSTITUTE(LOWER(Registro!$E197),"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",LEN(Registro!$E197))),({1,2,3,4,5,6,7,8,9,10,11,12,13,14,15,16,17,18,19,20,21,22,23,24,25,26,27,28,29,30}-1)*LEN(Registro!$E197)+1,LEN(Registro!$E197))),FIND("x",TRIM(MID(SUBSTITUTE(SUBSTITUTE(SUBSTITUTE(SUBSTITUTE(SUBSTITUTE(LOWER(Registro!$E197),"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",LEN(Registro!$E197))),({1,2,3,4,5,6,7,8,9,10,11,12,13,14,15,16,17,18,19,20,21,22,23,24,25,26,27,28,29,30}-1)*LEN(Registro!$E197)+1,LEN(Registro!$E197)))&amp;"x")+1,20))),"Revisar formato")))</f>
        <v/>
      </c>
      <c r="F197" s="23" t="str">
        <f>IF(Registro!$F197="","",IF(ISERROR(FIND("x",LOWER(Registro!$F197))),"-",IFERROR(SUMPRODUCT(--("0"&amp;LEFT(TRIM(MID(SUBSTITUTE(SUBSTITUTE(SUBSTITUTE(SUBSTITUTE(SUBSTITUTE(LOWER(Registro!$F197)," ",""),CHAR(10),"|"),";","|"),"+","|"),"|",REPT(" ",LEN(Registro!$F197))),({1,2,3,4,5,6,7,8,9,10,11,12,13,14,15,16,17,18,19,20,21,22,23,24,25,26,27,28,29,30}-1)*LEN(Registro!$F197)+1,LEN(Registro!$F197))),FIND("x",TRIM(MID(SUBSTITUTE(SUBSTITUTE(SUBSTITUTE(SUBSTITUTE(SUBSTITUTE(LOWER(Registro!$F197)," ",""),CHAR(10),"|"),";","|"),"+","|"),"|",REPT(" ",LEN(Registro!$F197))),({1,2,3,4,5,6,7,8,9,10,11,12,13,14,15,16,17,18,19,20,21,22,23,24,25,26,27,28,29,30}-1)*LEN(Registro!$F197)+1,LEN(Registro!$F197)))&amp;"x")-1))),"Revisar formato")))</f>
        <v/>
      </c>
      <c r="G197" s="24" t="str">
        <f>IF(Registro!$F197="","",IF(ISERROR(FIND("x",LOWER(Registro!$F197))),N(Registro!$G197),IFERROR(SUMPRODUCT(--("0"&amp;LEFT(TRIM(MID(SUBSTITUTE(SUBSTITUTE(SUBSTITUTE(SUBSTITUTE(SUBSTITUTE(LOWER(Registro!$F197)," ",""),CHAR(10),"|"),";","|"),"+","|"),"|",REPT(" ",LEN(Registro!$F197))),({1,2,3,4,5,6,7,8,9,10,11,12,13,14,15,16,17,18,19,20,21,22,23,24,25,26,27,28,29,30}-1)*LEN(Registro!$F197)+1,LEN(Registro!$F197))),FIND("x",TRIM(MID(SUBSTITUTE(SUBSTITUTE(SUBSTITUTE(SUBSTITUTE(SUBSTITUTE(LOWER(Registro!$F197)," ",""),CHAR(10),"|"),";","|"),"+","|"),"|",REPT(" ",LEN(Registro!$F197))),({1,2,3,4,5,6,7,8,9,10,11,12,13,14,15,16,17,18,19,20,21,22,23,24,25,26,27,28,29,30}-1)*LEN(Registro!$F197)+1,LEN(Registro!$F197)))&amp;"x")-1)),--("0"&amp;MID(TRIM(MID(SUBSTITUTE(SUBSTITUTE(SUBSTITUTE(SUBSTITUTE(SUBSTITUTE(LOWER(Registro!$F197)," ",""),CHAR(10),"|"),";","|"),"+","|"),"|",REPT(" ",LEN(Registro!$F197))),({1,2,3,4,5,6,7,8,9,10,11,12,13,14,15,16,17,18,19,20,21,22,23,24,25,26,27,28,29,30}-1)*LEN(Registro!$F197)+1,LEN(Registro!$F197))),FIND("x",TRIM(MID(SUBSTITUTE(SUBSTITUTE(SUBSTITUTE(SUBSTITUTE(SUBSTITUTE(LOWER(Registro!$F197)," ",""),CHAR(10),"|"),";","|"),"+","|"),"|",REPT(" ",LEN(Registro!$F197))),({1,2,3,4,5,6,7,8,9,10,11,12,13,14,15,16,17,18,19,20,21,22,23,24,25,26,27,28,29,30}-1)*LEN(Registro!$F197)+1,LEN(Registro!$F197)))&amp;"x")+1,20))),"Revisar formato")))</f>
        <v/>
      </c>
      <c r="H197" s="21" t="str">
        <f>IF(AND(Registro!$E197="",Registro!$F197=""),"",IF(NOT(AND(ISNUMBER(G197),ISNUMBER(Registro!$G197))),"",IF(G197&lt;Registro!$G197,"FALTA BOLETOS",IF(G197=Registro!$G197,"CONFORME","DIFERENCIA"))))</f>
        <v/>
      </c>
      <c r="I197" s="24" t="str">
        <f>IF(Registro!$H197="","",IFERROR(SUMPRODUCT(--("0"&amp;TRIM(RIGHT(SUBSTITUTE(TRIM(MID(SUBSTITUTE(SUBSTITUTE(Registro!$H197,";",CHAR(10)),CHAR(10),REPT(" ",LEN(Registro!$H197))),({1,2,3,4,5,6,7,8,9,10,11,12,13,14,15,16,17,18,19,20,21,22,23,24,25,26,27,28,29,30}-1)*LEN(Registro!$H197)+1,LEN(Registro!$H197)))," ",REPT(" ",50)),50)))),"Revisar formato"))</f>
        <v/>
      </c>
      <c r="J197" s="24" t="str">
        <f>IF(Registro!$I197="","",IFERROR(SUMPRODUCT(--("0"&amp;TRIM(RIGHT(SUBSTITUTE(TRIM(MID(SUBSTITUTE(SUBSTITUTE(Registro!$I197,";",CHAR(10)),CHAR(10),REPT(" ",LEN(Registro!$I197))),({1,2,3,4,5,6,7,8,9,10,11,12,13,14,15,16,17,18,19,20,21,22,23,24,25,26,27,28,29,30}-1)*LEN(Registro!$I197)+1,LEN(Registro!$I197)))," ",REPT(" ",50)),50)))),"Revisar formato"))</f>
        <v/>
      </c>
      <c r="K197" s="24" t="str">
        <f>IF(AND(Registro!$G197="",Registro!$H197=""),"",IF(AND(ISTEXT(I197),I197&lt;&gt;""),"Revisar formato",N(Registro!$G197)-N(I197)))</f>
        <v/>
      </c>
      <c r="L197" s="24" t="str">
        <f t="shared" si="7"/>
        <v/>
      </c>
      <c r="M197" s="36" t="str">
        <f>IF(AND(A197=Consulta!$B$3,C197=Consulta!$H$3),B197*10000+ROW(),"")</f>
        <v/>
      </c>
    </row>
    <row r="198" spans="1:13" x14ac:dyDescent="0.25">
      <c r="A198" s="21" t="str">
        <f>IF(Registro!$A198="","",Registro!$A198)</f>
        <v/>
      </c>
      <c r="B198" s="20" t="str">
        <f>IF(Registro!$B198="","",Registro!$B198)</f>
        <v/>
      </c>
      <c r="C198" s="35" t="str">
        <f t="shared" si="6"/>
        <v/>
      </c>
      <c r="D198" s="23" t="str">
        <f>IF(Registro!$E198="","",IF(ISERROR(FIND("x",LOWER(Registro!$E198))),"-",IFERROR(SUMPRODUCT(--("0"&amp;LEFT(TRIM(MID(SUBSTITUTE(SUBSTITUTE(SUBSTITUTE(SUBSTITUTE(SUBSTITUTE(LOWER(Registro!$E198),"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",LEN(Registro!$E198))),({1,2,3,4,5,6,7,8,9,10,11,12,13,14,15,16,17,18,19,20,21,22,23,24,25,26,27,28,29,30}-1)*LEN(Registro!$E198)+1,LEN(Registro!$E198))),FIND("x",TRIM(MID(SUBSTITUTE(SUBSTITUTE(SUBSTITUTE(SUBSTITUTE(SUBSTITUTE(LOWER(Registro!$E198),"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",LEN(Registro!$E198))),({1,2,3,4,5,6,7,8,9,10,11,12,13,14,15,16,17,18,19,20,21,22,23,24,25,26,27,28,29,30}-1)*LEN(Registro!$E198)+1,LEN(Registro!$E198)))&amp;"x")-1))),"Revisar formato")))</f>
        <v/>
      </c>
      <c r="E198" s="24" t="str">
        <f>IF(Registro!$E198="","",IF(ISERROR(FIND("x",LOWER(Registro!$E198))),"-",IFERROR(SUMPRODUCT(--("0"&amp;LEFT(TRIM(MID(SUBSTITUTE(SUBSTITUTE(SUBSTITUTE(SUBSTITUTE(SUBSTITUTE(LOWER(Registro!$E198),"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",LEN(Registro!$E198))),({1,2,3,4,5,6,7,8,9,10,11,12,13,14,15,16,17,18,19,20,21,22,23,24,25,26,27,28,29,30}-1)*LEN(Registro!$E198)+1,LEN(Registro!$E198))),FIND("x",TRIM(MID(SUBSTITUTE(SUBSTITUTE(SUBSTITUTE(SUBSTITUTE(SUBSTITUTE(LOWER(Registro!$E198),"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",LEN(Registro!$E198))),({1,2,3,4,5,6,7,8,9,10,11,12,13,14,15,16,17,18,19,20,21,22,23,24,25,26,27,28,29,30}-1)*LEN(Registro!$E198)+1,LEN(Registro!$E198)))&amp;"x")-1)),--("0"&amp;MID(TRIM(MID(SUBSTITUTE(SUBSTITUTE(SUBSTITUTE(SUBSTITUTE(SUBSTITUTE(LOWER(Registro!$E198),"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",LEN(Registro!$E198))),({1,2,3,4,5,6,7,8,9,10,11,12,13,14,15,16,17,18,19,20,21,22,23,24,25,26,27,28,29,30}-1)*LEN(Registro!$E198)+1,LEN(Registro!$E198))),FIND("x",TRIM(MID(SUBSTITUTE(SUBSTITUTE(SUBSTITUTE(SUBSTITUTE(SUBSTITUTE(LOWER(Registro!$E198),"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",LEN(Registro!$E198))),({1,2,3,4,5,6,7,8,9,10,11,12,13,14,15,16,17,18,19,20,21,22,23,24,25,26,27,28,29,30}-1)*LEN(Registro!$E198)+1,LEN(Registro!$E198)))&amp;"x")+1,20))),"Revisar formato")))</f>
        <v/>
      </c>
      <c r="F198" s="23" t="str">
        <f>IF(Registro!$F198="","",IF(ISERROR(FIND("x",LOWER(Registro!$F198))),"-",IFERROR(SUMPRODUCT(--("0"&amp;LEFT(TRIM(MID(SUBSTITUTE(SUBSTITUTE(SUBSTITUTE(SUBSTITUTE(SUBSTITUTE(LOWER(Registro!$F198)," ",""),CHAR(10),"|"),";","|"),"+","|"),"|",REPT(" ",LEN(Registro!$F198))),({1,2,3,4,5,6,7,8,9,10,11,12,13,14,15,16,17,18,19,20,21,22,23,24,25,26,27,28,29,30}-1)*LEN(Registro!$F198)+1,LEN(Registro!$F198))),FIND("x",TRIM(MID(SUBSTITUTE(SUBSTITUTE(SUBSTITUTE(SUBSTITUTE(SUBSTITUTE(LOWER(Registro!$F198)," ",""),CHAR(10),"|"),";","|"),"+","|"),"|",REPT(" ",LEN(Registro!$F198))),({1,2,3,4,5,6,7,8,9,10,11,12,13,14,15,16,17,18,19,20,21,22,23,24,25,26,27,28,29,30}-1)*LEN(Registro!$F198)+1,LEN(Registro!$F198)))&amp;"x")-1))),"Revisar formato")))</f>
        <v/>
      </c>
      <c r="G198" s="24" t="str">
        <f>IF(Registro!$F198="","",IF(ISERROR(FIND("x",LOWER(Registro!$F198))),N(Registro!$G198),IFERROR(SUMPRODUCT(--("0"&amp;LEFT(TRIM(MID(SUBSTITUTE(SUBSTITUTE(SUBSTITUTE(SUBSTITUTE(SUBSTITUTE(LOWER(Registro!$F198)," ",""),CHAR(10),"|"),";","|"),"+","|"),"|",REPT(" ",LEN(Registro!$F198))),({1,2,3,4,5,6,7,8,9,10,11,12,13,14,15,16,17,18,19,20,21,22,23,24,25,26,27,28,29,30}-1)*LEN(Registro!$F198)+1,LEN(Registro!$F198))),FIND("x",TRIM(MID(SUBSTITUTE(SUBSTITUTE(SUBSTITUTE(SUBSTITUTE(SUBSTITUTE(LOWER(Registro!$F198)," ",""),CHAR(10),"|"),";","|"),"+","|"),"|",REPT(" ",LEN(Registro!$F198))),({1,2,3,4,5,6,7,8,9,10,11,12,13,14,15,16,17,18,19,20,21,22,23,24,25,26,27,28,29,30}-1)*LEN(Registro!$F198)+1,LEN(Registro!$F198)))&amp;"x")-1)),--("0"&amp;MID(TRIM(MID(SUBSTITUTE(SUBSTITUTE(SUBSTITUTE(SUBSTITUTE(SUBSTITUTE(LOWER(Registro!$F198)," ",""),CHAR(10),"|"),";","|"),"+","|"),"|",REPT(" ",LEN(Registro!$F198))),({1,2,3,4,5,6,7,8,9,10,11,12,13,14,15,16,17,18,19,20,21,22,23,24,25,26,27,28,29,30}-1)*LEN(Registro!$F198)+1,LEN(Registro!$F198))),FIND("x",TRIM(MID(SUBSTITUTE(SUBSTITUTE(SUBSTITUTE(SUBSTITUTE(SUBSTITUTE(LOWER(Registro!$F198)," ",""),CHAR(10),"|"),";","|"),"+","|"),"|",REPT(" ",LEN(Registro!$F198))),({1,2,3,4,5,6,7,8,9,10,11,12,13,14,15,16,17,18,19,20,21,22,23,24,25,26,27,28,29,30}-1)*LEN(Registro!$F198)+1,LEN(Registro!$F198)))&amp;"x")+1,20))),"Revisar formato")))</f>
        <v/>
      </c>
      <c r="H198" s="21" t="str">
        <f>IF(AND(Registro!$E198="",Registro!$F198=""),"",IF(NOT(AND(ISNUMBER(G198),ISNUMBER(Registro!$G198))),"",IF(G198&lt;Registro!$G198,"FALTA BOLETOS",IF(G198=Registro!$G198,"CONFORME","DIFERENCIA"))))</f>
        <v/>
      </c>
      <c r="I198" s="24" t="str">
        <f>IF(Registro!$H198="","",IFERROR(SUMPRODUCT(--("0"&amp;TRIM(RIGHT(SUBSTITUTE(TRIM(MID(SUBSTITUTE(SUBSTITUTE(Registro!$H198,";",CHAR(10)),CHAR(10),REPT(" ",LEN(Registro!$H198))),({1,2,3,4,5,6,7,8,9,10,11,12,13,14,15,16,17,18,19,20,21,22,23,24,25,26,27,28,29,30}-1)*LEN(Registro!$H198)+1,LEN(Registro!$H198)))," ",REPT(" ",50)),50)))),"Revisar formato"))</f>
        <v/>
      </c>
      <c r="J198" s="24" t="str">
        <f>IF(Registro!$I198="","",IFERROR(SUMPRODUCT(--("0"&amp;TRIM(RIGHT(SUBSTITUTE(TRIM(MID(SUBSTITUTE(SUBSTITUTE(Registro!$I198,";",CHAR(10)),CHAR(10),REPT(" ",LEN(Registro!$I198))),({1,2,3,4,5,6,7,8,9,10,11,12,13,14,15,16,17,18,19,20,21,22,23,24,25,26,27,28,29,30}-1)*LEN(Registro!$I198)+1,LEN(Registro!$I198)))," ",REPT(" ",50)),50)))),"Revisar formato"))</f>
        <v/>
      </c>
      <c r="K198" s="24" t="str">
        <f>IF(AND(Registro!$G198="",Registro!$H198=""),"",IF(AND(ISTEXT(I198),I198&lt;&gt;""),"Revisar formato",N(Registro!$G198)-N(I198)))</f>
        <v/>
      </c>
      <c r="L198" s="24" t="str">
        <f t="shared" si="7"/>
        <v/>
      </c>
      <c r="M198" s="36" t="str">
        <f>IF(AND(A198=Consulta!$B$3,C198=Consulta!$H$3),B198*10000+ROW(),"")</f>
        <v/>
      </c>
    </row>
    <row r="199" spans="1:13" x14ac:dyDescent="0.25">
      <c r="A199" s="21" t="str">
        <f>IF(Registro!$A199="","",Registro!$A199)</f>
        <v/>
      </c>
      <c r="B199" s="20" t="str">
        <f>IF(Registro!$B199="","",Registro!$B199)</f>
        <v/>
      </c>
      <c r="C199" s="35" t="str">
        <f t="shared" si="6"/>
        <v/>
      </c>
      <c r="D199" s="23" t="str">
        <f>IF(Registro!$E199="","",IF(ISERROR(FIND("x",LOWER(Registro!$E199))),"-",IFERROR(SUMPRODUCT(--("0"&amp;LEFT(TRIM(MID(SUBSTITUTE(SUBSTITUTE(SUBSTITUTE(SUBSTITUTE(SUBSTITUTE(LOWER(Registro!$E199),"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",LEN(Registro!$E199))),({1,2,3,4,5,6,7,8,9,10,11,12,13,14,15,16,17,18,19,20,21,22,23,24,25,26,27,28,29,30}-1)*LEN(Registro!$E199)+1,LEN(Registro!$E199))),FIND("x",TRIM(MID(SUBSTITUTE(SUBSTITUTE(SUBSTITUTE(SUBSTITUTE(SUBSTITUTE(LOWER(Registro!$E199),"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",LEN(Registro!$E199))),({1,2,3,4,5,6,7,8,9,10,11,12,13,14,15,16,17,18,19,20,21,22,23,24,25,26,27,28,29,30}-1)*LEN(Registro!$E199)+1,LEN(Registro!$E199)))&amp;"x")-1))),"Revisar formato")))</f>
        <v/>
      </c>
      <c r="E199" s="24" t="str">
        <f>IF(Registro!$E199="","",IF(ISERROR(FIND("x",LOWER(Registro!$E199))),"-",IFERROR(SUMPRODUCT(--("0"&amp;LEFT(TRIM(MID(SUBSTITUTE(SUBSTITUTE(SUBSTITUTE(SUBSTITUTE(SUBSTITUTE(LOWER(Registro!$E199),"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",LEN(Registro!$E199))),({1,2,3,4,5,6,7,8,9,10,11,12,13,14,15,16,17,18,19,20,21,22,23,24,25,26,27,28,29,30}-1)*LEN(Registro!$E199)+1,LEN(Registro!$E199))),FIND("x",TRIM(MID(SUBSTITUTE(SUBSTITUTE(SUBSTITUTE(SUBSTITUTE(SUBSTITUTE(LOWER(Registro!$E199),"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",LEN(Registro!$E199))),({1,2,3,4,5,6,7,8,9,10,11,12,13,14,15,16,17,18,19,20,21,22,23,24,25,26,27,28,29,30}-1)*LEN(Registro!$E199)+1,LEN(Registro!$E199)))&amp;"x")-1)),--("0"&amp;MID(TRIM(MID(SUBSTITUTE(SUBSTITUTE(SUBSTITUTE(SUBSTITUTE(SUBSTITUTE(LOWER(Registro!$E199),"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",LEN(Registro!$E199))),({1,2,3,4,5,6,7,8,9,10,11,12,13,14,15,16,17,18,19,20,21,22,23,24,25,26,27,28,29,30}-1)*LEN(Registro!$E199)+1,LEN(Registro!$E199))),FIND("x",TRIM(MID(SUBSTITUTE(SUBSTITUTE(SUBSTITUTE(SUBSTITUTE(SUBSTITUTE(LOWER(Registro!$E199),"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",LEN(Registro!$E199))),({1,2,3,4,5,6,7,8,9,10,11,12,13,14,15,16,17,18,19,20,21,22,23,24,25,26,27,28,29,30}-1)*LEN(Registro!$E199)+1,LEN(Registro!$E199)))&amp;"x")+1,20))),"Revisar formato")))</f>
        <v/>
      </c>
      <c r="F199" s="23" t="str">
        <f>IF(Registro!$F199="","",IF(ISERROR(FIND("x",LOWER(Registro!$F199))),"-",IFERROR(SUMPRODUCT(--("0"&amp;LEFT(TRIM(MID(SUBSTITUTE(SUBSTITUTE(SUBSTITUTE(SUBSTITUTE(SUBSTITUTE(LOWER(Registro!$F199)," ",""),CHAR(10),"|"),";","|"),"+","|"),"|",REPT(" ",LEN(Registro!$F199))),({1,2,3,4,5,6,7,8,9,10,11,12,13,14,15,16,17,18,19,20,21,22,23,24,25,26,27,28,29,30}-1)*LEN(Registro!$F199)+1,LEN(Registro!$F199))),FIND("x",TRIM(MID(SUBSTITUTE(SUBSTITUTE(SUBSTITUTE(SUBSTITUTE(SUBSTITUTE(LOWER(Registro!$F199)," ",""),CHAR(10),"|"),";","|"),"+","|"),"|",REPT(" ",LEN(Registro!$F199))),({1,2,3,4,5,6,7,8,9,10,11,12,13,14,15,16,17,18,19,20,21,22,23,24,25,26,27,28,29,30}-1)*LEN(Registro!$F199)+1,LEN(Registro!$F199)))&amp;"x")-1))),"Revisar formato")))</f>
        <v/>
      </c>
      <c r="G199" s="24" t="str">
        <f>IF(Registro!$F199="","",IF(ISERROR(FIND("x",LOWER(Registro!$F199))),N(Registro!$G199),IFERROR(SUMPRODUCT(--("0"&amp;LEFT(TRIM(MID(SUBSTITUTE(SUBSTITUTE(SUBSTITUTE(SUBSTITUTE(SUBSTITUTE(LOWER(Registro!$F199)," ",""),CHAR(10),"|"),";","|"),"+","|"),"|",REPT(" ",LEN(Registro!$F199))),({1,2,3,4,5,6,7,8,9,10,11,12,13,14,15,16,17,18,19,20,21,22,23,24,25,26,27,28,29,30}-1)*LEN(Registro!$F199)+1,LEN(Registro!$F199))),FIND("x",TRIM(MID(SUBSTITUTE(SUBSTITUTE(SUBSTITUTE(SUBSTITUTE(SUBSTITUTE(LOWER(Registro!$F199)," ",""),CHAR(10),"|"),";","|"),"+","|"),"|",REPT(" ",LEN(Registro!$F199))),({1,2,3,4,5,6,7,8,9,10,11,12,13,14,15,16,17,18,19,20,21,22,23,24,25,26,27,28,29,30}-1)*LEN(Registro!$F199)+1,LEN(Registro!$F199)))&amp;"x")-1)),--("0"&amp;MID(TRIM(MID(SUBSTITUTE(SUBSTITUTE(SUBSTITUTE(SUBSTITUTE(SUBSTITUTE(LOWER(Registro!$F199)," ",""),CHAR(10),"|"),";","|"),"+","|"),"|",REPT(" ",LEN(Registro!$F199))),({1,2,3,4,5,6,7,8,9,10,11,12,13,14,15,16,17,18,19,20,21,22,23,24,25,26,27,28,29,30}-1)*LEN(Registro!$F199)+1,LEN(Registro!$F199))),FIND("x",TRIM(MID(SUBSTITUTE(SUBSTITUTE(SUBSTITUTE(SUBSTITUTE(SUBSTITUTE(LOWER(Registro!$F199)," ",""),CHAR(10),"|"),";","|"),"+","|"),"|",REPT(" ",LEN(Registro!$F199))),({1,2,3,4,5,6,7,8,9,10,11,12,13,14,15,16,17,18,19,20,21,22,23,24,25,26,27,28,29,30}-1)*LEN(Registro!$F199)+1,LEN(Registro!$F199)))&amp;"x")+1,20))),"Revisar formato")))</f>
        <v/>
      </c>
      <c r="H199" s="21" t="str">
        <f>IF(AND(Registro!$E199="",Registro!$F199=""),"",IF(NOT(AND(ISNUMBER(G199),ISNUMBER(Registro!$G199))),"",IF(G199&lt;Registro!$G199,"FALTA BOLETOS",IF(G199=Registro!$G199,"CONFORME","DIFERENCIA"))))</f>
        <v/>
      </c>
      <c r="I199" s="24" t="str">
        <f>IF(Registro!$H199="","",IFERROR(SUMPRODUCT(--("0"&amp;TRIM(RIGHT(SUBSTITUTE(TRIM(MID(SUBSTITUTE(SUBSTITUTE(Registro!$H199,";",CHAR(10)),CHAR(10),REPT(" ",LEN(Registro!$H199))),({1,2,3,4,5,6,7,8,9,10,11,12,13,14,15,16,17,18,19,20,21,22,23,24,25,26,27,28,29,30}-1)*LEN(Registro!$H199)+1,LEN(Registro!$H199)))," ",REPT(" ",50)),50)))),"Revisar formato"))</f>
        <v/>
      </c>
      <c r="J199" s="24" t="str">
        <f>IF(Registro!$I199="","",IFERROR(SUMPRODUCT(--("0"&amp;TRIM(RIGHT(SUBSTITUTE(TRIM(MID(SUBSTITUTE(SUBSTITUTE(Registro!$I199,";",CHAR(10)),CHAR(10),REPT(" ",LEN(Registro!$I199))),({1,2,3,4,5,6,7,8,9,10,11,12,13,14,15,16,17,18,19,20,21,22,23,24,25,26,27,28,29,30}-1)*LEN(Registro!$I199)+1,LEN(Registro!$I199)))," ",REPT(" ",50)),50)))),"Revisar formato"))</f>
        <v/>
      </c>
      <c r="K199" s="24" t="str">
        <f>IF(AND(Registro!$G199="",Registro!$H199=""),"",IF(AND(ISTEXT(I199),I199&lt;&gt;""),"Revisar formato",N(Registro!$G199)-N(I199)))</f>
        <v/>
      </c>
      <c r="L199" s="24" t="str">
        <f t="shared" si="7"/>
        <v/>
      </c>
      <c r="M199" s="36" t="str">
        <f>IF(AND(A199=Consulta!$B$3,C199=Consulta!$H$3),B199*10000+ROW(),"")</f>
        <v/>
      </c>
    </row>
    <row r="200" spans="1:13" x14ac:dyDescent="0.25">
      <c r="A200" s="21" t="str">
        <f>IF(Registro!$A200="","",Registro!$A200)</f>
        <v/>
      </c>
      <c r="B200" s="20" t="str">
        <f>IF(Registro!$B200="","",Registro!$B200)</f>
        <v/>
      </c>
      <c r="C200" s="35" t="str">
        <f t="shared" si="6"/>
        <v/>
      </c>
      <c r="D200" s="23" t="str">
        <f>IF(Registro!$E200="","",IF(ISERROR(FIND("x",LOWER(Registro!$E200))),"-",IFERROR(SUMPRODUCT(--("0"&amp;LEFT(TRIM(MID(SUBSTITUTE(SUBSTITUTE(SUBSTITUTE(SUBSTITUTE(SUBSTITUTE(LOWER(Registro!$E200),"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",LEN(Registro!$E200))),({1,2,3,4,5,6,7,8,9,10,11,12,13,14,15,16,17,18,19,20,21,22,23,24,25,26,27,28,29,30}-1)*LEN(Registro!$E200)+1,LEN(Registro!$E200))),FIND("x",TRIM(MID(SUBSTITUTE(SUBSTITUTE(SUBSTITUTE(SUBSTITUTE(SUBSTITUTE(LOWER(Registro!$E200),"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",LEN(Registro!$E200))),({1,2,3,4,5,6,7,8,9,10,11,12,13,14,15,16,17,18,19,20,21,22,23,24,25,26,27,28,29,30}-1)*LEN(Registro!$E200)+1,LEN(Registro!$E200)))&amp;"x")-1))),"Revisar formato")))</f>
        <v/>
      </c>
      <c r="E200" s="24" t="str">
        <f>IF(Registro!$E200="","",IF(ISERROR(FIND("x",LOWER(Registro!$E200))),"-",IFERROR(SUMPRODUCT(--("0"&amp;LEFT(TRIM(MID(SUBSTITUTE(SUBSTITUTE(SUBSTITUTE(SUBSTITUTE(SUBSTITUTE(LOWER(Registro!$E200),"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",LEN(Registro!$E200))),({1,2,3,4,5,6,7,8,9,10,11,12,13,14,15,16,17,18,19,20,21,22,23,24,25,26,27,28,29,30}-1)*LEN(Registro!$E200)+1,LEN(Registro!$E200))),FIND("x",TRIM(MID(SUBSTITUTE(SUBSTITUTE(SUBSTITUTE(SUBSTITUTE(SUBSTITUTE(LOWER(Registro!$E200),"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",LEN(Registro!$E200))),({1,2,3,4,5,6,7,8,9,10,11,12,13,14,15,16,17,18,19,20,21,22,23,24,25,26,27,28,29,30}-1)*LEN(Registro!$E200)+1,LEN(Registro!$E200)))&amp;"x")-1)),--("0"&amp;MID(TRIM(MID(SUBSTITUTE(SUBSTITUTE(SUBSTITUTE(SUBSTITUTE(SUBSTITUTE(LOWER(Registro!$E200),"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",LEN(Registro!$E200))),({1,2,3,4,5,6,7,8,9,10,11,12,13,14,15,16,17,18,19,20,21,22,23,24,25,26,27,28,29,30}-1)*LEN(Registro!$E200)+1,LEN(Registro!$E200))),FIND("x",TRIM(MID(SUBSTITUTE(SUBSTITUTE(SUBSTITUTE(SUBSTITUTE(SUBSTITUTE(LOWER(Registro!$E200),"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",LEN(Registro!$E200))),({1,2,3,4,5,6,7,8,9,10,11,12,13,14,15,16,17,18,19,20,21,22,23,24,25,26,27,28,29,30}-1)*LEN(Registro!$E200)+1,LEN(Registro!$E200)))&amp;"x")+1,20))),"Revisar formato")))</f>
        <v/>
      </c>
      <c r="F200" s="23" t="str">
        <f>IF(Registro!$F200="","",IF(ISERROR(FIND("x",LOWER(Registro!$F200))),"-",IFERROR(SUMPRODUCT(--("0"&amp;LEFT(TRIM(MID(SUBSTITUTE(SUBSTITUTE(SUBSTITUTE(SUBSTITUTE(SUBSTITUTE(LOWER(Registro!$F200)," ",""),CHAR(10),"|"),";","|"),"+","|"),"|",REPT(" ",LEN(Registro!$F200))),({1,2,3,4,5,6,7,8,9,10,11,12,13,14,15,16,17,18,19,20,21,22,23,24,25,26,27,28,29,30}-1)*LEN(Registro!$F200)+1,LEN(Registro!$F200))),FIND("x",TRIM(MID(SUBSTITUTE(SUBSTITUTE(SUBSTITUTE(SUBSTITUTE(SUBSTITUTE(LOWER(Registro!$F200)," ",""),CHAR(10),"|"),";","|"),"+","|"),"|",REPT(" ",LEN(Registro!$F200))),({1,2,3,4,5,6,7,8,9,10,11,12,13,14,15,16,17,18,19,20,21,22,23,24,25,26,27,28,29,30}-1)*LEN(Registro!$F200)+1,LEN(Registro!$F200)))&amp;"x")-1))),"Revisar formato")))</f>
        <v/>
      </c>
      <c r="G200" s="24" t="str">
        <f>IF(Registro!$F200="","",IF(ISERROR(FIND("x",LOWER(Registro!$F200))),N(Registro!$G200),IFERROR(SUMPRODUCT(--("0"&amp;LEFT(TRIM(MID(SUBSTITUTE(SUBSTITUTE(SUBSTITUTE(SUBSTITUTE(SUBSTITUTE(LOWER(Registro!$F200)," ",""),CHAR(10),"|"),";","|"),"+","|"),"|",REPT(" ",LEN(Registro!$F200))),({1,2,3,4,5,6,7,8,9,10,11,12,13,14,15,16,17,18,19,20,21,22,23,24,25,26,27,28,29,30}-1)*LEN(Registro!$F200)+1,LEN(Registro!$F200))),FIND("x",TRIM(MID(SUBSTITUTE(SUBSTITUTE(SUBSTITUTE(SUBSTITUTE(SUBSTITUTE(LOWER(Registro!$F200)," ",""),CHAR(10),"|"),";","|"),"+","|"),"|",REPT(" ",LEN(Registro!$F200))),({1,2,3,4,5,6,7,8,9,10,11,12,13,14,15,16,17,18,19,20,21,22,23,24,25,26,27,28,29,30}-1)*LEN(Registro!$F200)+1,LEN(Registro!$F200)))&amp;"x")-1)),--("0"&amp;MID(TRIM(MID(SUBSTITUTE(SUBSTITUTE(SUBSTITUTE(SUBSTITUTE(SUBSTITUTE(LOWER(Registro!$F200)," ",""),CHAR(10),"|"),";","|"),"+","|"),"|",REPT(" ",LEN(Registro!$F200))),({1,2,3,4,5,6,7,8,9,10,11,12,13,14,15,16,17,18,19,20,21,22,23,24,25,26,27,28,29,30}-1)*LEN(Registro!$F200)+1,LEN(Registro!$F200))),FIND("x",TRIM(MID(SUBSTITUTE(SUBSTITUTE(SUBSTITUTE(SUBSTITUTE(SUBSTITUTE(LOWER(Registro!$F200)," ",""),CHAR(10),"|"),";","|"),"+","|"),"|",REPT(" ",LEN(Registro!$F200))),({1,2,3,4,5,6,7,8,9,10,11,12,13,14,15,16,17,18,19,20,21,22,23,24,25,26,27,28,29,30}-1)*LEN(Registro!$F200)+1,LEN(Registro!$F200)))&amp;"x")+1,20))),"Revisar formato")))</f>
        <v/>
      </c>
      <c r="H200" s="21" t="str">
        <f>IF(AND(Registro!$E200="",Registro!$F200=""),"",IF(NOT(AND(ISNUMBER(G200),ISNUMBER(Registro!$G200))),"",IF(G200&lt;Registro!$G200,"FALTA BOLETOS",IF(G200=Registro!$G200,"CONFORME","DIFERENCIA"))))</f>
        <v/>
      </c>
      <c r="I200" s="24" t="str">
        <f>IF(Registro!$H200="","",IFERROR(SUMPRODUCT(--("0"&amp;TRIM(RIGHT(SUBSTITUTE(TRIM(MID(SUBSTITUTE(SUBSTITUTE(Registro!$H200,";",CHAR(10)),CHAR(10),REPT(" ",LEN(Registro!$H200))),({1,2,3,4,5,6,7,8,9,10,11,12,13,14,15,16,17,18,19,20,21,22,23,24,25,26,27,28,29,30}-1)*LEN(Registro!$H200)+1,LEN(Registro!$H200)))," ",REPT(" ",50)),50)))),"Revisar formato"))</f>
        <v/>
      </c>
      <c r="J200" s="24" t="str">
        <f>IF(Registro!$I200="","",IFERROR(SUMPRODUCT(--("0"&amp;TRIM(RIGHT(SUBSTITUTE(TRIM(MID(SUBSTITUTE(SUBSTITUTE(Registro!$I200,";",CHAR(10)),CHAR(10),REPT(" ",LEN(Registro!$I200))),({1,2,3,4,5,6,7,8,9,10,11,12,13,14,15,16,17,18,19,20,21,22,23,24,25,26,27,28,29,30}-1)*LEN(Registro!$I200)+1,LEN(Registro!$I200)))," ",REPT(" ",50)),50)))),"Revisar formato"))</f>
        <v/>
      </c>
      <c r="K200" s="24" t="str">
        <f>IF(AND(Registro!$G200="",Registro!$H200=""),"",IF(AND(ISTEXT(I200),I200&lt;&gt;""),"Revisar formato",N(Registro!$G200)-N(I200)))</f>
        <v/>
      </c>
      <c r="L200" s="24" t="str">
        <f t="shared" si="7"/>
        <v/>
      </c>
      <c r="M200" s="36" t="str">
        <f>IF(AND(A200=Consulta!$B$3,C200=Consulta!$H$3),B200*10000+ROW(),"")</f>
        <v/>
      </c>
    </row>
    <row r="201" spans="1:13" x14ac:dyDescent="0.25">
      <c r="A201" s="21" t="str">
        <f>IF(Registro!$A201="","",Registro!$A201)</f>
        <v/>
      </c>
      <c r="B201" s="20" t="str">
        <f>IF(Registro!$B201="","",Registro!$B201)</f>
        <v/>
      </c>
      <c r="C201" s="35" t="str">
        <f t="shared" si="6"/>
        <v/>
      </c>
      <c r="D201" s="23" t="str">
        <f>IF(Registro!$E201="","",IF(ISERROR(FIND("x",LOWER(Registro!$E201))),"-",IFERROR(SUMPRODUCT(--("0"&amp;LEFT(TRIM(MID(SUBSTITUTE(SUBSTITUTE(SUBSTITUTE(SUBSTITUTE(SUBSTITUTE(LOWER(Registro!$E201),"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",LEN(Registro!$E201))),({1,2,3,4,5,6,7,8,9,10,11,12,13,14,15,16,17,18,19,20,21,22,23,24,25,26,27,28,29,30}-1)*LEN(Registro!$E201)+1,LEN(Registro!$E201))),FIND("x",TRIM(MID(SUBSTITUTE(SUBSTITUTE(SUBSTITUTE(SUBSTITUTE(SUBSTITUTE(LOWER(Registro!$E201),"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",LEN(Registro!$E201))),({1,2,3,4,5,6,7,8,9,10,11,12,13,14,15,16,17,18,19,20,21,22,23,24,25,26,27,28,29,30}-1)*LEN(Registro!$E201)+1,LEN(Registro!$E201)))&amp;"x")-1))),"Revisar formato")))</f>
        <v/>
      </c>
      <c r="E201" s="24" t="str">
        <f>IF(Registro!$E201="","",IF(ISERROR(FIND("x",LOWER(Registro!$E201))),"-",IFERROR(SUMPRODUCT(--("0"&amp;LEFT(TRIM(MID(SUBSTITUTE(SUBSTITUTE(SUBSTITUTE(SUBSTITUTE(SUBSTITUTE(LOWER(Registro!$E201),"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",LEN(Registro!$E201))),({1,2,3,4,5,6,7,8,9,10,11,12,13,14,15,16,17,18,19,20,21,22,23,24,25,26,27,28,29,30}-1)*LEN(Registro!$E201)+1,LEN(Registro!$E201))),FIND("x",TRIM(MID(SUBSTITUTE(SUBSTITUTE(SUBSTITUTE(SUBSTITUTE(SUBSTITUTE(LOWER(Registro!$E201),"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",LEN(Registro!$E201))),({1,2,3,4,5,6,7,8,9,10,11,12,13,14,15,16,17,18,19,20,21,22,23,24,25,26,27,28,29,30}-1)*LEN(Registro!$E201)+1,LEN(Registro!$E201)))&amp;"x")-1)),--("0"&amp;MID(TRIM(MID(SUBSTITUTE(SUBSTITUTE(SUBSTITUTE(SUBSTITUTE(SUBSTITUTE(LOWER(Registro!$E201),"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",LEN(Registro!$E201))),({1,2,3,4,5,6,7,8,9,10,11,12,13,14,15,16,17,18,19,20,21,22,23,24,25,26,27,28,29,30}-1)*LEN(Registro!$E201)+1,LEN(Registro!$E201))),FIND("x",TRIM(MID(SUBSTITUTE(SUBSTITUTE(SUBSTITUTE(SUBSTITUTE(SUBSTITUTE(LOWER(Registro!$E201),"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",LEN(Registro!$E201))),({1,2,3,4,5,6,7,8,9,10,11,12,13,14,15,16,17,18,19,20,21,22,23,24,25,26,27,28,29,30}-1)*LEN(Registro!$E201)+1,LEN(Registro!$E201)))&amp;"x")+1,20))),"Revisar formato")))</f>
        <v/>
      </c>
      <c r="F201" s="23" t="str">
        <f>IF(Registro!$F201="","",IF(ISERROR(FIND("x",LOWER(Registro!$F201))),"-",IFERROR(SUMPRODUCT(--("0"&amp;LEFT(TRIM(MID(SUBSTITUTE(SUBSTITUTE(SUBSTITUTE(SUBSTITUTE(SUBSTITUTE(LOWER(Registro!$F201)," ",""),CHAR(10),"|"),";","|"),"+","|"),"|",REPT(" ",LEN(Registro!$F201))),({1,2,3,4,5,6,7,8,9,10,11,12,13,14,15,16,17,18,19,20,21,22,23,24,25,26,27,28,29,30}-1)*LEN(Registro!$F201)+1,LEN(Registro!$F201))),FIND("x",TRIM(MID(SUBSTITUTE(SUBSTITUTE(SUBSTITUTE(SUBSTITUTE(SUBSTITUTE(LOWER(Registro!$F201)," ",""),CHAR(10),"|"),";","|"),"+","|"),"|",REPT(" ",LEN(Registro!$F201))),({1,2,3,4,5,6,7,8,9,10,11,12,13,14,15,16,17,18,19,20,21,22,23,24,25,26,27,28,29,30}-1)*LEN(Registro!$F201)+1,LEN(Registro!$F201)))&amp;"x")-1))),"Revisar formato")))</f>
        <v/>
      </c>
      <c r="G201" s="24" t="str">
        <f>IF(Registro!$F201="","",IF(ISERROR(FIND("x",LOWER(Registro!$F201))),N(Registro!$G201),IFERROR(SUMPRODUCT(--("0"&amp;LEFT(TRIM(MID(SUBSTITUTE(SUBSTITUTE(SUBSTITUTE(SUBSTITUTE(SUBSTITUTE(LOWER(Registro!$F201)," ",""),CHAR(10),"|"),";","|"),"+","|"),"|",REPT(" ",LEN(Registro!$F201))),({1,2,3,4,5,6,7,8,9,10,11,12,13,14,15,16,17,18,19,20,21,22,23,24,25,26,27,28,29,30}-1)*LEN(Registro!$F201)+1,LEN(Registro!$F201))),FIND("x",TRIM(MID(SUBSTITUTE(SUBSTITUTE(SUBSTITUTE(SUBSTITUTE(SUBSTITUTE(LOWER(Registro!$F201)," ",""),CHAR(10),"|"),";","|"),"+","|"),"|",REPT(" ",LEN(Registro!$F201))),({1,2,3,4,5,6,7,8,9,10,11,12,13,14,15,16,17,18,19,20,21,22,23,24,25,26,27,28,29,30}-1)*LEN(Registro!$F201)+1,LEN(Registro!$F201)))&amp;"x")-1)),--("0"&amp;MID(TRIM(MID(SUBSTITUTE(SUBSTITUTE(SUBSTITUTE(SUBSTITUTE(SUBSTITUTE(LOWER(Registro!$F201)," ",""),CHAR(10),"|"),";","|"),"+","|"),"|",REPT(" ",LEN(Registro!$F201))),({1,2,3,4,5,6,7,8,9,10,11,12,13,14,15,16,17,18,19,20,21,22,23,24,25,26,27,28,29,30}-1)*LEN(Registro!$F201)+1,LEN(Registro!$F201))),FIND("x",TRIM(MID(SUBSTITUTE(SUBSTITUTE(SUBSTITUTE(SUBSTITUTE(SUBSTITUTE(LOWER(Registro!$F201)," ",""),CHAR(10),"|"),";","|"),"+","|"),"|",REPT(" ",LEN(Registro!$F201))),({1,2,3,4,5,6,7,8,9,10,11,12,13,14,15,16,17,18,19,20,21,22,23,24,25,26,27,28,29,30}-1)*LEN(Registro!$F201)+1,LEN(Registro!$F201)))&amp;"x")+1,20))),"Revisar formato")))</f>
        <v/>
      </c>
      <c r="H201" s="21" t="str">
        <f>IF(AND(Registro!$E201="",Registro!$F201=""),"",IF(NOT(AND(ISNUMBER(G201),ISNUMBER(Registro!$G201))),"",IF(G201&lt;Registro!$G201,"FALTA BOLETOS",IF(G201=Registro!$G201,"CONFORME","DIFERENCIA"))))</f>
        <v/>
      </c>
      <c r="I201" s="24" t="str">
        <f>IF(Registro!$H201="","",IFERROR(SUMPRODUCT(--("0"&amp;TRIM(RIGHT(SUBSTITUTE(TRIM(MID(SUBSTITUTE(SUBSTITUTE(Registro!$H201,";",CHAR(10)),CHAR(10),REPT(" ",LEN(Registro!$H201))),({1,2,3,4,5,6,7,8,9,10,11,12,13,14,15,16,17,18,19,20,21,22,23,24,25,26,27,28,29,30}-1)*LEN(Registro!$H201)+1,LEN(Registro!$H201)))," ",REPT(" ",50)),50)))),"Revisar formato"))</f>
        <v/>
      </c>
      <c r="J201" s="24" t="str">
        <f>IF(Registro!$I201="","",IFERROR(SUMPRODUCT(--("0"&amp;TRIM(RIGHT(SUBSTITUTE(TRIM(MID(SUBSTITUTE(SUBSTITUTE(Registro!$I201,";",CHAR(10)),CHAR(10),REPT(" ",LEN(Registro!$I201))),({1,2,3,4,5,6,7,8,9,10,11,12,13,14,15,16,17,18,19,20,21,22,23,24,25,26,27,28,29,30}-1)*LEN(Registro!$I201)+1,LEN(Registro!$I201)))," ",REPT(" ",50)),50)))),"Revisar formato"))</f>
        <v/>
      </c>
      <c r="K201" s="24" t="str">
        <f>IF(AND(Registro!$G201="",Registro!$H201=""),"",IF(AND(ISTEXT(I201),I201&lt;&gt;""),"Revisar formato",N(Registro!$G201)-N(I201)))</f>
        <v/>
      </c>
      <c r="L201" s="24" t="str">
        <f t="shared" si="7"/>
        <v/>
      </c>
      <c r="M201" s="36" t="str">
        <f>IF(AND(A201=Consulta!$B$3,C201=Consulta!$H$3),B201*10000+ROW(),"")</f>
        <v/>
      </c>
    </row>
    <row r="202" spans="1:13" x14ac:dyDescent="0.25">
      <c r="A202" s="21" t="str">
        <f>IF(Registro!$A202="","",Registro!$A202)</f>
        <v/>
      </c>
      <c r="B202" s="20" t="str">
        <f>IF(Registro!$B202="","",Registro!$B202)</f>
        <v/>
      </c>
      <c r="C202" s="35" t="str">
        <f t="shared" si="6"/>
        <v/>
      </c>
      <c r="D202" s="23" t="str">
        <f>IF(Registro!$E202="","",IF(ISERROR(FIND("x",LOWER(Registro!$E202))),"-",IFERROR(SUMPRODUCT(--("0"&amp;LEFT(TRIM(MID(SUBSTITUTE(SUBSTITUTE(SUBSTITUTE(SUBSTITUTE(SUBSTITUTE(LOWER(Registro!$E202),"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",LEN(Registro!$E202))),({1,2,3,4,5,6,7,8,9,10,11,12,13,14,15,16,17,18,19,20,21,22,23,24,25,26,27,28,29,30}-1)*LEN(Registro!$E202)+1,LEN(Registro!$E202))),FIND("x",TRIM(MID(SUBSTITUTE(SUBSTITUTE(SUBSTITUTE(SUBSTITUTE(SUBSTITUTE(LOWER(Registro!$E202),"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",LEN(Registro!$E202))),({1,2,3,4,5,6,7,8,9,10,11,12,13,14,15,16,17,18,19,20,21,22,23,24,25,26,27,28,29,30}-1)*LEN(Registro!$E202)+1,LEN(Registro!$E202)))&amp;"x")-1))),"Revisar formato")))</f>
        <v/>
      </c>
      <c r="E202" s="24" t="str">
        <f>IF(Registro!$E202="","",IF(ISERROR(FIND("x",LOWER(Registro!$E202))),"-",IFERROR(SUMPRODUCT(--("0"&amp;LEFT(TRIM(MID(SUBSTITUTE(SUBSTITUTE(SUBSTITUTE(SUBSTITUTE(SUBSTITUTE(LOWER(Registro!$E202),"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",LEN(Registro!$E202))),({1,2,3,4,5,6,7,8,9,10,11,12,13,14,15,16,17,18,19,20,21,22,23,24,25,26,27,28,29,30}-1)*LEN(Registro!$E202)+1,LEN(Registro!$E202))),FIND("x",TRIM(MID(SUBSTITUTE(SUBSTITUTE(SUBSTITUTE(SUBSTITUTE(SUBSTITUTE(LOWER(Registro!$E202),"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",LEN(Registro!$E202))),({1,2,3,4,5,6,7,8,9,10,11,12,13,14,15,16,17,18,19,20,21,22,23,24,25,26,27,28,29,30}-1)*LEN(Registro!$E202)+1,LEN(Registro!$E202)))&amp;"x")-1)),--("0"&amp;MID(TRIM(MID(SUBSTITUTE(SUBSTITUTE(SUBSTITUTE(SUBSTITUTE(SUBSTITUTE(LOWER(Registro!$E202),"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",LEN(Registro!$E202))),({1,2,3,4,5,6,7,8,9,10,11,12,13,14,15,16,17,18,19,20,21,22,23,24,25,26,27,28,29,30}-1)*LEN(Registro!$E202)+1,LEN(Registro!$E202))),FIND("x",TRIM(MID(SUBSTITUTE(SUBSTITUTE(SUBSTITUTE(SUBSTITUTE(SUBSTITUTE(LOWER(Registro!$E202),"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",LEN(Registro!$E202))),({1,2,3,4,5,6,7,8,9,10,11,12,13,14,15,16,17,18,19,20,21,22,23,24,25,26,27,28,29,30}-1)*LEN(Registro!$E202)+1,LEN(Registro!$E202)))&amp;"x")+1,20))),"Revisar formato")))</f>
        <v/>
      </c>
      <c r="F202" s="23" t="str">
        <f>IF(Registro!$F202="","",IF(ISERROR(FIND("x",LOWER(Registro!$F202))),"-",IFERROR(SUMPRODUCT(--("0"&amp;LEFT(TRIM(MID(SUBSTITUTE(SUBSTITUTE(SUBSTITUTE(SUBSTITUTE(SUBSTITUTE(LOWER(Registro!$F202)," ",""),CHAR(10),"|"),";","|"),"+","|"),"|",REPT(" ",LEN(Registro!$F202))),({1,2,3,4,5,6,7,8,9,10,11,12,13,14,15,16,17,18,19,20,21,22,23,24,25,26,27,28,29,30}-1)*LEN(Registro!$F202)+1,LEN(Registro!$F202))),FIND("x",TRIM(MID(SUBSTITUTE(SUBSTITUTE(SUBSTITUTE(SUBSTITUTE(SUBSTITUTE(LOWER(Registro!$F202)," ",""),CHAR(10),"|"),";","|"),"+","|"),"|",REPT(" ",LEN(Registro!$F202))),({1,2,3,4,5,6,7,8,9,10,11,12,13,14,15,16,17,18,19,20,21,22,23,24,25,26,27,28,29,30}-1)*LEN(Registro!$F202)+1,LEN(Registro!$F202)))&amp;"x")-1))),"Revisar formato")))</f>
        <v/>
      </c>
      <c r="G202" s="24" t="str">
        <f>IF(Registro!$F202="","",IF(ISERROR(FIND("x",LOWER(Registro!$F202))),N(Registro!$G202),IFERROR(SUMPRODUCT(--("0"&amp;LEFT(TRIM(MID(SUBSTITUTE(SUBSTITUTE(SUBSTITUTE(SUBSTITUTE(SUBSTITUTE(LOWER(Registro!$F202)," ",""),CHAR(10),"|"),";","|"),"+","|"),"|",REPT(" ",LEN(Registro!$F202))),({1,2,3,4,5,6,7,8,9,10,11,12,13,14,15,16,17,18,19,20,21,22,23,24,25,26,27,28,29,30}-1)*LEN(Registro!$F202)+1,LEN(Registro!$F202))),FIND("x",TRIM(MID(SUBSTITUTE(SUBSTITUTE(SUBSTITUTE(SUBSTITUTE(SUBSTITUTE(LOWER(Registro!$F202)," ",""),CHAR(10),"|"),";","|"),"+","|"),"|",REPT(" ",LEN(Registro!$F202))),({1,2,3,4,5,6,7,8,9,10,11,12,13,14,15,16,17,18,19,20,21,22,23,24,25,26,27,28,29,30}-1)*LEN(Registro!$F202)+1,LEN(Registro!$F202)))&amp;"x")-1)),--("0"&amp;MID(TRIM(MID(SUBSTITUTE(SUBSTITUTE(SUBSTITUTE(SUBSTITUTE(SUBSTITUTE(LOWER(Registro!$F202)," ",""),CHAR(10),"|"),";","|"),"+","|"),"|",REPT(" ",LEN(Registro!$F202))),({1,2,3,4,5,6,7,8,9,10,11,12,13,14,15,16,17,18,19,20,21,22,23,24,25,26,27,28,29,30}-1)*LEN(Registro!$F202)+1,LEN(Registro!$F202))),FIND("x",TRIM(MID(SUBSTITUTE(SUBSTITUTE(SUBSTITUTE(SUBSTITUTE(SUBSTITUTE(LOWER(Registro!$F202)," ",""),CHAR(10),"|"),";","|"),"+","|"),"|",REPT(" ",LEN(Registro!$F202))),({1,2,3,4,5,6,7,8,9,10,11,12,13,14,15,16,17,18,19,20,21,22,23,24,25,26,27,28,29,30}-1)*LEN(Registro!$F202)+1,LEN(Registro!$F202)))&amp;"x")+1,20))),"Revisar formato")))</f>
        <v/>
      </c>
      <c r="H202" s="21" t="str">
        <f>IF(AND(Registro!$E202="",Registro!$F202=""),"",IF(NOT(AND(ISNUMBER(G202),ISNUMBER(Registro!$G202))),"",IF(G202&lt;Registro!$G202,"FALTA BOLETOS",IF(G202=Registro!$G202,"CONFORME","DIFERENCIA"))))</f>
        <v/>
      </c>
      <c r="I202" s="24" t="str">
        <f>IF(Registro!$H202="","",IFERROR(SUMPRODUCT(--("0"&amp;TRIM(RIGHT(SUBSTITUTE(TRIM(MID(SUBSTITUTE(SUBSTITUTE(Registro!$H202,";",CHAR(10)),CHAR(10),REPT(" ",LEN(Registro!$H202))),({1,2,3,4,5,6,7,8,9,10,11,12,13,14,15,16,17,18,19,20,21,22,23,24,25,26,27,28,29,30}-1)*LEN(Registro!$H202)+1,LEN(Registro!$H202)))," ",REPT(" ",50)),50)))),"Revisar formato"))</f>
        <v/>
      </c>
      <c r="J202" s="24" t="str">
        <f>IF(Registro!$I202="","",IFERROR(SUMPRODUCT(--("0"&amp;TRIM(RIGHT(SUBSTITUTE(TRIM(MID(SUBSTITUTE(SUBSTITUTE(Registro!$I202,";",CHAR(10)),CHAR(10),REPT(" ",LEN(Registro!$I202))),({1,2,3,4,5,6,7,8,9,10,11,12,13,14,15,16,17,18,19,20,21,22,23,24,25,26,27,28,29,30}-1)*LEN(Registro!$I202)+1,LEN(Registro!$I202)))," ",REPT(" ",50)),50)))),"Revisar formato"))</f>
        <v/>
      </c>
      <c r="K202" s="24" t="str">
        <f>IF(AND(Registro!$G202="",Registro!$H202=""),"",IF(AND(ISTEXT(I202),I202&lt;&gt;""),"Revisar formato",N(Registro!$G202)-N(I202)))</f>
        <v/>
      </c>
      <c r="L202" s="24" t="str">
        <f t="shared" si="7"/>
        <v/>
      </c>
      <c r="M202" s="36" t="str">
        <f>IF(AND(A202=Consulta!$B$3,C202=Consulta!$H$3),B202*10000+ROW(),"")</f>
        <v/>
      </c>
    </row>
    <row r="203" spans="1:13" x14ac:dyDescent="0.25">
      <c r="A203" s="21" t="str">
        <f>IF(Registro!$A203="","",Registro!$A203)</f>
        <v/>
      </c>
      <c r="B203" s="20" t="str">
        <f>IF(Registro!$B203="","",Registro!$B203)</f>
        <v/>
      </c>
      <c r="C203" s="35" t="str">
        <f t="shared" si="6"/>
        <v/>
      </c>
      <c r="D203" s="23" t="str">
        <f>IF(Registro!$E203="","",IF(ISERROR(FIND("x",LOWER(Registro!$E203))),"-",IFERROR(SUMPRODUCT(--("0"&amp;LEFT(TRIM(MID(SUBSTITUTE(SUBSTITUTE(SUBSTITUTE(SUBSTITUTE(SUBSTITUTE(LOWER(Registro!$E203),"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",LEN(Registro!$E203))),({1,2,3,4,5,6,7,8,9,10,11,12,13,14,15,16,17,18,19,20,21,22,23,24,25,26,27,28,29,30}-1)*LEN(Registro!$E203)+1,LEN(Registro!$E203))),FIND("x",TRIM(MID(SUBSTITUTE(SUBSTITUTE(SUBSTITUTE(SUBSTITUTE(SUBSTITUTE(LOWER(Registro!$E203),"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",LEN(Registro!$E203))),({1,2,3,4,5,6,7,8,9,10,11,12,13,14,15,16,17,18,19,20,21,22,23,24,25,26,27,28,29,30}-1)*LEN(Registro!$E203)+1,LEN(Registro!$E203)))&amp;"x")-1))),"Revisar formato")))</f>
        <v/>
      </c>
      <c r="E203" s="24" t="str">
        <f>IF(Registro!$E203="","",IF(ISERROR(FIND("x",LOWER(Registro!$E203))),"-",IFERROR(SUMPRODUCT(--("0"&amp;LEFT(TRIM(MID(SUBSTITUTE(SUBSTITUTE(SUBSTITUTE(SUBSTITUTE(SUBSTITUTE(LOWER(Registro!$E203),"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",LEN(Registro!$E203))),({1,2,3,4,5,6,7,8,9,10,11,12,13,14,15,16,17,18,19,20,21,22,23,24,25,26,27,28,29,30}-1)*LEN(Registro!$E203)+1,LEN(Registro!$E203))),FIND("x",TRIM(MID(SUBSTITUTE(SUBSTITUTE(SUBSTITUTE(SUBSTITUTE(SUBSTITUTE(LOWER(Registro!$E203),"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",LEN(Registro!$E203))),({1,2,3,4,5,6,7,8,9,10,11,12,13,14,15,16,17,18,19,20,21,22,23,24,25,26,27,28,29,30}-1)*LEN(Registro!$E203)+1,LEN(Registro!$E203)))&amp;"x")-1)),--("0"&amp;MID(TRIM(MID(SUBSTITUTE(SUBSTITUTE(SUBSTITUTE(SUBSTITUTE(SUBSTITUTE(LOWER(Registro!$E203),"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",LEN(Registro!$E203))),({1,2,3,4,5,6,7,8,9,10,11,12,13,14,15,16,17,18,19,20,21,22,23,24,25,26,27,28,29,30}-1)*LEN(Registro!$E203)+1,LEN(Registro!$E203))),FIND("x",TRIM(MID(SUBSTITUTE(SUBSTITUTE(SUBSTITUTE(SUBSTITUTE(SUBSTITUTE(LOWER(Registro!$E203),"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",LEN(Registro!$E203))),({1,2,3,4,5,6,7,8,9,10,11,12,13,14,15,16,17,18,19,20,21,22,23,24,25,26,27,28,29,30}-1)*LEN(Registro!$E203)+1,LEN(Registro!$E203)))&amp;"x")+1,20))),"Revisar formato")))</f>
        <v/>
      </c>
      <c r="F203" s="23" t="str">
        <f>IF(Registro!$F203="","",IF(ISERROR(FIND("x",LOWER(Registro!$F203))),"-",IFERROR(SUMPRODUCT(--("0"&amp;LEFT(TRIM(MID(SUBSTITUTE(SUBSTITUTE(SUBSTITUTE(SUBSTITUTE(SUBSTITUTE(LOWER(Registro!$F203)," ",""),CHAR(10),"|"),";","|"),"+","|"),"|",REPT(" ",LEN(Registro!$F203))),({1,2,3,4,5,6,7,8,9,10,11,12,13,14,15,16,17,18,19,20,21,22,23,24,25,26,27,28,29,30}-1)*LEN(Registro!$F203)+1,LEN(Registro!$F203))),FIND("x",TRIM(MID(SUBSTITUTE(SUBSTITUTE(SUBSTITUTE(SUBSTITUTE(SUBSTITUTE(LOWER(Registro!$F203)," ",""),CHAR(10),"|"),";","|"),"+","|"),"|",REPT(" ",LEN(Registro!$F203))),({1,2,3,4,5,6,7,8,9,10,11,12,13,14,15,16,17,18,19,20,21,22,23,24,25,26,27,28,29,30}-1)*LEN(Registro!$F203)+1,LEN(Registro!$F203)))&amp;"x")-1))),"Revisar formato")))</f>
        <v/>
      </c>
      <c r="G203" s="24" t="str">
        <f>IF(Registro!$F203="","",IF(ISERROR(FIND("x",LOWER(Registro!$F203))),N(Registro!$G203),IFERROR(SUMPRODUCT(--("0"&amp;LEFT(TRIM(MID(SUBSTITUTE(SUBSTITUTE(SUBSTITUTE(SUBSTITUTE(SUBSTITUTE(LOWER(Registro!$F203)," ",""),CHAR(10),"|"),";","|"),"+","|"),"|",REPT(" ",LEN(Registro!$F203))),({1,2,3,4,5,6,7,8,9,10,11,12,13,14,15,16,17,18,19,20,21,22,23,24,25,26,27,28,29,30}-1)*LEN(Registro!$F203)+1,LEN(Registro!$F203))),FIND("x",TRIM(MID(SUBSTITUTE(SUBSTITUTE(SUBSTITUTE(SUBSTITUTE(SUBSTITUTE(LOWER(Registro!$F203)," ",""),CHAR(10),"|"),";","|"),"+","|"),"|",REPT(" ",LEN(Registro!$F203))),({1,2,3,4,5,6,7,8,9,10,11,12,13,14,15,16,17,18,19,20,21,22,23,24,25,26,27,28,29,30}-1)*LEN(Registro!$F203)+1,LEN(Registro!$F203)))&amp;"x")-1)),--("0"&amp;MID(TRIM(MID(SUBSTITUTE(SUBSTITUTE(SUBSTITUTE(SUBSTITUTE(SUBSTITUTE(LOWER(Registro!$F203)," ",""),CHAR(10),"|"),";","|"),"+","|"),"|",REPT(" ",LEN(Registro!$F203))),({1,2,3,4,5,6,7,8,9,10,11,12,13,14,15,16,17,18,19,20,21,22,23,24,25,26,27,28,29,30}-1)*LEN(Registro!$F203)+1,LEN(Registro!$F203))),FIND("x",TRIM(MID(SUBSTITUTE(SUBSTITUTE(SUBSTITUTE(SUBSTITUTE(SUBSTITUTE(LOWER(Registro!$F203)," ",""),CHAR(10),"|"),";","|"),"+","|"),"|",REPT(" ",LEN(Registro!$F203))),({1,2,3,4,5,6,7,8,9,10,11,12,13,14,15,16,17,18,19,20,21,22,23,24,25,26,27,28,29,30}-1)*LEN(Registro!$F203)+1,LEN(Registro!$F203)))&amp;"x")+1,20))),"Revisar formato")))</f>
        <v/>
      </c>
      <c r="H203" s="21" t="str">
        <f>IF(AND(Registro!$E203="",Registro!$F203=""),"",IF(NOT(AND(ISNUMBER(G203),ISNUMBER(Registro!$G203))),"",IF(G203&lt;Registro!$G203,"FALTA BOLETOS",IF(G203=Registro!$G203,"CONFORME","DIFERENCIA"))))</f>
        <v/>
      </c>
      <c r="I203" s="24" t="str">
        <f>IF(Registro!$H203="","",IFERROR(SUMPRODUCT(--("0"&amp;TRIM(RIGHT(SUBSTITUTE(TRIM(MID(SUBSTITUTE(SUBSTITUTE(Registro!$H203,";",CHAR(10)),CHAR(10),REPT(" ",LEN(Registro!$H203))),({1,2,3,4,5,6,7,8,9,10,11,12,13,14,15,16,17,18,19,20,21,22,23,24,25,26,27,28,29,30}-1)*LEN(Registro!$H203)+1,LEN(Registro!$H203)))," ",REPT(" ",50)),50)))),"Revisar formato"))</f>
        <v/>
      </c>
      <c r="J203" s="24" t="str">
        <f>IF(Registro!$I203="","",IFERROR(SUMPRODUCT(--("0"&amp;TRIM(RIGHT(SUBSTITUTE(TRIM(MID(SUBSTITUTE(SUBSTITUTE(Registro!$I203,";",CHAR(10)),CHAR(10),REPT(" ",LEN(Registro!$I203))),({1,2,3,4,5,6,7,8,9,10,11,12,13,14,15,16,17,18,19,20,21,22,23,24,25,26,27,28,29,30}-1)*LEN(Registro!$I203)+1,LEN(Registro!$I203)))," ",REPT(" ",50)),50)))),"Revisar formato"))</f>
        <v/>
      </c>
      <c r="K203" s="24" t="str">
        <f>IF(AND(Registro!$G203="",Registro!$H203=""),"",IF(AND(ISTEXT(I203),I203&lt;&gt;""),"Revisar formato",N(Registro!$G203)-N(I203)))</f>
        <v/>
      </c>
      <c r="L203" s="24" t="str">
        <f t="shared" si="7"/>
        <v/>
      </c>
      <c r="M203" s="36" t="str">
        <f>IF(AND(A203=Consulta!$B$3,C203=Consulta!$H$3),B203*10000+ROW(),"")</f>
        <v/>
      </c>
    </row>
    <row r="204" spans="1:13" x14ac:dyDescent="0.25">
      <c r="A204" s="21" t="str">
        <f>IF(Registro!$A204="","",Registro!$A204)</f>
        <v/>
      </c>
      <c r="B204" s="20" t="str">
        <f>IF(Registro!$B204="","",Registro!$B204)</f>
        <v/>
      </c>
      <c r="C204" s="35" t="str">
        <f t="shared" si="6"/>
        <v/>
      </c>
      <c r="D204" s="23" t="str">
        <f>IF(Registro!$E204="","",IF(ISERROR(FIND("x",LOWER(Registro!$E204))),"-",IFERROR(SUMPRODUCT(--("0"&amp;LEFT(TRIM(MID(SUBSTITUTE(SUBSTITUTE(SUBSTITUTE(SUBSTITUTE(SUBSTITUTE(LOWER(Registro!$E204),"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",LEN(Registro!$E204))),({1,2,3,4,5,6,7,8,9,10,11,12,13,14,15,16,17,18,19,20,21,22,23,24,25,26,27,28,29,30}-1)*LEN(Registro!$E204)+1,LEN(Registro!$E204))),FIND("x",TRIM(MID(SUBSTITUTE(SUBSTITUTE(SUBSTITUTE(SUBSTITUTE(SUBSTITUTE(LOWER(Registro!$E204),"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",LEN(Registro!$E204))),({1,2,3,4,5,6,7,8,9,10,11,12,13,14,15,16,17,18,19,20,21,22,23,24,25,26,27,28,29,30}-1)*LEN(Registro!$E204)+1,LEN(Registro!$E204)))&amp;"x")-1))),"Revisar formato")))</f>
        <v/>
      </c>
      <c r="E204" s="24" t="str">
        <f>IF(Registro!$E204="","",IF(ISERROR(FIND("x",LOWER(Registro!$E204))),"-",IFERROR(SUMPRODUCT(--("0"&amp;LEFT(TRIM(MID(SUBSTITUTE(SUBSTITUTE(SUBSTITUTE(SUBSTITUTE(SUBSTITUTE(LOWER(Registro!$E204),"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",LEN(Registro!$E204))),({1,2,3,4,5,6,7,8,9,10,11,12,13,14,15,16,17,18,19,20,21,22,23,24,25,26,27,28,29,30}-1)*LEN(Registro!$E204)+1,LEN(Registro!$E204))),FIND("x",TRIM(MID(SUBSTITUTE(SUBSTITUTE(SUBSTITUTE(SUBSTITUTE(SUBSTITUTE(LOWER(Registro!$E204),"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",LEN(Registro!$E204))),({1,2,3,4,5,6,7,8,9,10,11,12,13,14,15,16,17,18,19,20,21,22,23,24,25,26,27,28,29,30}-1)*LEN(Registro!$E204)+1,LEN(Registro!$E204)))&amp;"x")-1)),--("0"&amp;MID(TRIM(MID(SUBSTITUTE(SUBSTITUTE(SUBSTITUTE(SUBSTITUTE(SUBSTITUTE(LOWER(Registro!$E204),"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",LEN(Registro!$E204))),({1,2,3,4,5,6,7,8,9,10,11,12,13,14,15,16,17,18,19,20,21,22,23,24,25,26,27,28,29,30}-1)*LEN(Registro!$E204)+1,LEN(Registro!$E204))),FIND("x",TRIM(MID(SUBSTITUTE(SUBSTITUTE(SUBSTITUTE(SUBSTITUTE(SUBSTITUTE(LOWER(Registro!$E204),"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",LEN(Registro!$E204))),({1,2,3,4,5,6,7,8,9,10,11,12,13,14,15,16,17,18,19,20,21,22,23,24,25,26,27,28,29,30}-1)*LEN(Registro!$E204)+1,LEN(Registro!$E204)))&amp;"x")+1,20))),"Revisar formato")))</f>
        <v/>
      </c>
      <c r="F204" s="23" t="str">
        <f>IF(Registro!$F204="","",IF(ISERROR(FIND("x",LOWER(Registro!$F204))),"-",IFERROR(SUMPRODUCT(--("0"&amp;LEFT(TRIM(MID(SUBSTITUTE(SUBSTITUTE(SUBSTITUTE(SUBSTITUTE(SUBSTITUTE(LOWER(Registro!$F204)," ",""),CHAR(10),"|"),";","|"),"+","|"),"|",REPT(" ",LEN(Registro!$F204))),({1,2,3,4,5,6,7,8,9,10,11,12,13,14,15,16,17,18,19,20,21,22,23,24,25,26,27,28,29,30}-1)*LEN(Registro!$F204)+1,LEN(Registro!$F204))),FIND("x",TRIM(MID(SUBSTITUTE(SUBSTITUTE(SUBSTITUTE(SUBSTITUTE(SUBSTITUTE(LOWER(Registro!$F204)," ",""),CHAR(10),"|"),";","|"),"+","|"),"|",REPT(" ",LEN(Registro!$F204))),({1,2,3,4,5,6,7,8,9,10,11,12,13,14,15,16,17,18,19,20,21,22,23,24,25,26,27,28,29,30}-1)*LEN(Registro!$F204)+1,LEN(Registro!$F204)))&amp;"x")-1))),"Revisar formato")))</f>
        <v/>
      </c>
      <c r="G204" s="24" t="str">
        <f>IF(Registro!$F204="","",IF(ISERROR(FIND("x",LOWER(Registro!$F204))),N(Registro!$G204),IFERROR(SUMPRODUCT(--("0"&amp;LEFT(TRIM(MID(SUBSTITUTE(SUBSTITUTE(SUBSTITUTE(SUBSTITUTE(SUBSTITUTE(LOWER(Registro!$F204)," ",""),CHAR(10),"|"),";","|"),"+","|"),"|",REPT(" ",LEN(Registro!$F204))),({1,2,3,4,5,6,7,8,9,10,11,12,13,14,15,16,17,18,19,20,21,22,23,24,25,26,27,28,29,30}-1)*LEN(Registro!$F204)+1,LEN(Registro!$F204))),FIND("x",TRIM(MID(SUBSTITUTE(SUBSTITUTE(SUBSTITUTE(SUBSTITUTE(SUBSTITUTE(LOWER(Registro!$F204)," ",""),CHAR(10),"|"),";","|"),"+","|"),"|",REPT(" ",LEN(Registro!$F204))),({1,2,3,4,5,6,7,8,9,10,11,12,13,14,15,16,17,18,19,20,21,22,23,24,25,26,27,28,29,30}-1)*LEN(Registro!$F204)+1,LEN(Registro!$F204)))&amp;"x")-1)),--("0"&amp;MID(TRIM(MID(SUBSTITUTE(SUBSTITUTE(SUBSTITUTE(SUBSTITUTE(SUBSTITUTE(LOWER(Registro!$F204)," ",""),CHAR(10),"|"),";","|"),"+","|"),"|",REPT(" ",LEN(Registro!$F204))),({1,2,3,4,5,6,7,8,9,10,11,12,13,14,15,16,17,18,19,20,21,22,23,24,25,26,27,28,29,30}-1)*LEN(Registro!$F204)+1,LEN(Registro!$F204))),FIND("x",TRIM(MID(SUBSTITUTE(SUBSTITUTE(SUBSTITUTE(SUBSTITUTE(SUBSTITUTE(LOWER(Registro!$F204)," ",""),CHAR(10),"|"),";","|"),"+","|"),"|",REPT(" ",LEN(Registro!$F204))),({1,2,3,4,5,6,7,8,9,10,11,12,13,14,15,16,17,18,19,20,21,22,23,24,25,26,27,28,29,30}-1)*LEN(Registro!$F204)+1,LEN(Registro!$F204)))&amp;"x")+1,20))),"Revisar formato")))</f>
        <v/>
      </c>
      <c r="H204" s="21" t="str">
        <f>IF(AND(Registro!$E204="",Registro!$F204=""),"",IF(NOT(AND(ISNUMBER(G204),ISNUMBER(Registro!$G204))),"",IF(G204&lt;Registro!$G204,"FALTA BOLETOS",IF(G204=Registro!$G204,"CONFORME","DIFERENCIA"))))</f>
        <v/>
      </c>
      <c r="I204" s="24" t="str">
        <f>IF(Registro!$H204="","",IFERROR(SUMPRODUCT(--("0"&amp;TRIM(RIGHT(SUBSTITUTE(TRIM(MID(SUBSTITUTE(SUBSTITUTE(Registro!$H204,";",CHAR(10)),CHAR(10),REPT(" ",LEN(Registro!$H204))),({1,2,3,4,5,6,7,8,9,10,11,12,13,14,15,16,17,18,19,20,21,22,23,24,25,26,27,28,29,30}-1)*LEN(Registro!$H204)+1,LEN(Registro!$H204)))," ",REPT(" ",50)),50)))),"Revisar formato"))</f>
        <v/>
      </c>
      <c r="J204" s="24" t="str">
        <f>IF(Registro!$I204="","",IFERROR(SUMPRODUCT(--("0"&amp;TRIM(RIGHT(SUBSTITUTE(TRIM(MID(SUBSTITUTE(SUBSTITUTE(Registro!$I204,";",CHAR(10)),CHAR(10),REPT(" ",LEN(Registro!$I204))),({1,2,3,4,5,6,7,8,9,10,11,12,13,14,15,16,17,18,19,20,21,22,23,24,25,26,27,28,29,30}-1)*LEN(Registro!$I204)+1,LEN(Registro!$I204)))," ",REPT(" ",50)),50)))),"Revisar formato"))</f>
        <v/>
      </c>
      <c r="K204" s="24" t="str">
        <f>IF(AND(Registro!$G204="",Registro!$H204=""),"",IF(AND(ISTEXT(I204),I204&lt;&gt;""),"Revisar formato",N(Registro!$G204)-N(I204)))</f>
        <v/>
      </c>
      <c r="L204" s="24" t="str">
        <f t="shared" si="7"/>
        <v/>
      </c>
      <c r="M204" s="36" t="str">
        <f>IF(AND(A204=Consulta!$B$3,C204=Consulta!$H$3),B204*10000+ROW(),"")</f>
        <v/>
      </c>
    </row>
    <row r="205" spans="1:13" x14ac:dyDescent="0.25">
      <c r="A205" s="21" t="str">
        <f>IF(Registro!$A205="","",Registro!$A205)</f>
        <v/>
      </c>
      <c r="B205" s="20" t="str">
        <f>IF(Registro!$B205="","",Registro!$B205)</f>
        <v/>
      </c>
      <c r="C205" s="35" t="str">
        <f t="shared" si="6"/>
        <v/>
      </c>
      <c r="D205" s="23" t="str">
        <f>IF(Registro!$E205="","",IF(ISERROR(FIND("x",LOWER(Registro!$E205))),"-",IFERROR(SUMPRODUCT(--("0"&amp;LEFT(TRIM(MID(SUBSTITUTE(SUBSTITUTE(SUBSTITUTE(SUBSTITUTE(SUBSTITUTE(LOWER(Registro!$E205),"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",LEN(Registro!$E205))),({1,2,3,4,5,6,7,8,9,10,11,12,13,14,15,16,17,18,19,20,21,22,23,24,25,26,27,28,29,30}-1)*LEN(Registro!$E205)+1,LEN(Registro!$E205))),FIND("x",TRIM(MID(SUBSTITUTE(SUBSTITUTE(SUBSTITUTE(SUBSTITUTE(SUBSTITUTE(LOWER(Registro!$E205),"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",LEN(Registro!$E205))),({1,2,3,4,5,6,7,8,9,10,11,12,13,14,15,16,17,18,19,20,21,22,23,24,25,26,27,28,29,30}-1)*LEN(Registro!$E205)+1,LEN(Registro!$E205)))&amp;"x")-1))),"Revisar formato")))</f>
        <v/>
      </c>
      <c r="E205" s="24" t="str">
        <f>IF(Registro!$E205="","",IF(ISERROR(FIND("x",LOWER(Registro!$E205))),"-",IFERROR(SUMPRODUCT(--("0"&amp;LEFT(TRIM(MID(SUBSTITUTE(SUBSTITUTE(SUBSTITUTE(SUBSTITUTE(SUBSTITUTE(LOWER(Registro!$E205),"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",LEN(Registro!$E205))),({1,2,3,4,5,6,7,8,9,10,11,12,13,14,15,16,17,18,19,20,21,22,23,24,25,26,27,28,29,30}-1)*LEN(Registro!$E205)+1,LEN(Registro!$E205))),FIND("x",TRIM(MID(SUBSTITUTE(SUBSTITUTE(SUBSTITUTE(SUBSTITUTE(SUBSTITUTE(LOWER(Registro!$E205),"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",LEN(Registro!$E205))),({1,2,3,4,5,6,7,8,9,10,11,12,13,14,15,16,17,18,19,20,21,22,23,24,25,26,27,28,29,30}-1)*LEN(Registro!$E205)+1,LEN(Registro!$E205)))&amp;"x")-1)),--("0"&amp;MID(TRIM(MID(SUBSTITUTE(SUBSTITUTE(SUBSTITUTE(SUBSTITUTE(SUBSTITUTE(LOWER(Registro!$E205),"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",LEN(Registro!$E205))),({1,2,3,4,5,6,7,8,9,10,11,12,13,14,15,16,17,18,19,20,21,22,23,24,25,26,27,28,29,30}-1)*LEN(Registro!$E205)+1,LEN(Registro!$E205))),FIND("x",TRIM(MID(SUBSTITUTE(SUBSTITUTE(SUBSTITUTE(SUBSTITUTE(SUBSTITUTE(LOWER(Registro!$E205),"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",LEN(Registro!$E205))),({1,2,3,4,5,6,7,8,9,10,11,12,13,14,15,16,17,18,19,20,21,22,23,24,25,26,27,28,29,30}-1)*LEN(Registro!$E205)+1,LEN(Registro!$E205)))&amp;"x")+1,20))),"Revisar formato")))</f>
        <v/>
      </c>
      <c r="F205" s="23" t="str">
        <f>IF(Registro!$F205="","",IF(ISERROR(FIND("x",LOWER(Registro!$F205))),"-",IFERROR(SUMPRODUCT(--("0"&amp;LEFT(TRIM(MID(SUBSTITUTE(SUBSTITUTE(SUBSTITUTE(SUBSTITUTE(SUBSTITUTE(LOWER(Registro!$F205)," ",""),CHAR(10),"|"),";","|"),"+","|"),"|",REPT(" ",LEN(Registro!$F205))),({1,2,3,4,5,6,7,8,9,10,11,12,13,14,15,16,17,18,19,20,21,22,23,24,25,26,27,28,29,30}-1)*LEN(Registro!$F205)+1,LEN(Registro!$F205))),FIND("x",TRIM(MID(SUBSTITUTE(SUBSTITUTE(SUBSTITUTE(SUBSTITUTE(SUBSTITUTE(LOWER(Registro!$F205)," ",""),CHAR(10),"|"),";","|"),"+","|"),"|",REPT(" ",LEN(Registro!$F205))),({1,2,3,4,5,6,7,8,9,10,11,12,13,14,15,16,17,18,19,20,21,22,23,24,25,26,27,28,29,30}-1)*LEN(Registro!$F205)+1,LEN(Registro!$F205)))&amp;"x")-1))),"Revisar formato")))</f>
        <v/>
      </c>
      <c r="G205" s="24" t="str">
        <f>IF(Registro!$F205="","",IF(ISERROR(FIND("x",LOWER(Registro!$F205))),N(Registro!$G205),IFERROR(SUMPRODUCT(--("0"&amp;LEFT(TRIM(MID(SUBSTITUTE(SUBSTITUTE(SUBSTITUTE(SUBSTITUTE(SUBSTITUTE(LOWER(Registro!$F205)," ",""),CHAR(10),"|"),";","|"),"+","|"),"|",REPT(" ",LEN(Registro!$F205))),({1,2,3,4,5,6,7,8,9,10,11,12,13,14,15,16,17,18,19,20,21,22,23,24,25,26,27,28,29,30}-1)*LEN(Registro!$F205)+1,LEN(Registro!$F205))),FIND("x",TRIM(MID(SUBSTITUTE(SUBSTITUTE(SUBSTITUTE(SUBSTITUTE(SUBSTITUTE(LOWER(Registro!$F205)," ",""),CHAR(10),"|"),";","|"),"+","|"),"|",REPT(" ",LEN(Registro!$F205))),({1,2,3,4,5,6,7,8,9,10,11,12,13,14,15,16,17,18,19,20,21,22,23,24,25,26,27,28,29,30}-1)*LEN(Registro!$F205)+1,LEN(Registro!$F205)))&amp;"x")-1)),--("0"&amp;MID(TRIM(MID(SUBSTITUTE(SUBSTITUTE(SUBSTITUTE(SUBSTITUTE(SUBSTITUTE(LOWER(Registro!$F205)," ",""),CHAR(10),"|"),";","|"),"+","|"),"|",REPT(" ",LEN(Registro!$F205))),({1,2,3,4,5,6,7,8,9,10,11,12,13,14,15,16,17,18,19,20,21,22,23,24,25,26,27,28,29,30}-1)*LEN(Registro!$F205)+1,LEN(Registro!$F205))),FIND("x",TRIM(MID(SUBSTITUTE(SUBSTITUTE(SUBSTITUTE(SUBSTITUTE(SUBSTITUTE(LOWER(Registro!$F205)," ",""),CHAR(10),"|"),";","|"),"+","|"),"|",REPT(" ",LEN(Registro!$F205))),({1,2,3,4,5,6,7,8,9,10,11,12,13,14,15,16,17,18,19,20,21,22,23,24,25,26,27,28,29,30}-1)*LEN(Registro!$F205)+1,LEN(Registro!$F205)))&amp;"x")+1,20))),"Revisar formato")))</f>
        <v/>
      </c>
      <c r="H205" s="21" t="str">
        <f>IF(AND(Registro!$E205="",Registro!$F205=""),"",IF(NOT(AND(ISNUMBER(G205),ISNUMBER(Registro!$G205))),"",IF(G205&lt;Registro!$G205,"FALTA BOLETOS",IF(G205=Registro!$G205,"CONFORME","DIFERENCIA"))))</f>
        <v/>
      </c>
      <c r="I205" s="24" t="str">
        <f>IF(Registro!$H205="","",IFERROR(SUMPRODUCT(--("0"&amp;TRIM(RIGHT(SUBSTITUTE(TRIM(MID(SUBSTITUTE(SUBSTITUTE(Registro!$H205,";",CHAR(10)),CHAR(10),REPT(" ",LEN(Registro!$H205))),({1,2,3,4,5,6,7,8,9,10,11,12,13,14,15,16,17,18,19,20,21,22,23,24,25,26,27,28,29,30}-1)*LEN(Registro!$H205)+1,LEN(Registro!$H205)))," ",REPT(" ",50)),50)))),"Revisar formato"))</f>
        <v/>
      </c>
      <c r="J205" s="24" t="str">
        <f>IF(Registro!$I205="","",IFERROR(SUMPRODUCT(--("0"&amp;TRIM(RIGHT(SUBSTITUTE(TRIM(MID(SUBSTITUTE(SUBSTITUTE(Registro!$I205,";",CHAR(10)),CHAR(10),REPT(" ",LEN(Registro!$I205))),({1,2,3,4,5,6,7,8,9,10,11,12,13,14,15,16,17,18,19,20,21,22,23,24,25,26,27,28,29,30}-1)*LEN(Registro!$I205)+1,LEN(Registro!$I205)))," ",REPT(" ",50)),50)))),"Revisar formato"))</f>
        <v/>
      </c>
      <c r="K205" s="24" t="str">
        <f>IF(AND(Registro!$G205="",Registro!$H205=""),"",IF(AND(ISTEXT(I205),I205&lt;&gt;""),"Revisar formato",N(Registro!$G205)-N(I205)))</f>
        <v/>
      </c>
      <c r="L205" s="24" t="str">
        <f t="shared" si="7"/>
        <v/>
      </c>
      <c r="M205" s="36" t="str">
        <f>IF(AND(A205=Consulta!$B$3,C205=Consulta!$H$3),B205*10000+ROW(),"")</f>
        <v/>
      </c>
    </row>
    <row r="206" spans="1:13" x14ac:dyDescent="0.25">
      <c r="A206" s="21" t="str">
        <f>IF(Registro!$A206="","",Registro!$A206)</f>
        <v/>
      </c>
      <c r="B206" s="20" t="str">
        <f>IF(Registro!$B206="","",Registro!$B206)</f>
        <v/>
      </c>
      <c r="C206" s="35" t="str">
        <f t="shared" si="6"/>
        <v/>
      </c>
      <c r="D206" s="23" t="str">
        <f>IF(Registro!$E206="","",IF(ISERROR(FIND("x",LOWER(Registro!$E206))),"-",IFERROR(SUMPRODUCT(--("0"&amp;LEFT(TRIM(MID(SUBSTITUTE(SUBSTITUTE(SUBSTITUTE(SUBSTITUTE(SUBSTITUTE(LOWER(Registro!$E206),"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",LEN(Registro!$E206))),({1,2,3,4,5,6,7,8,9,10,11,12,13,14,15,16,17,18,19,20,21,22,23,24,25,26,27,28,29,30}-1)*LEN(Registro!$E206)+1,LEN(Registro!$E206))),FIND("x",TRIM(MID(SUBSTITUTE(SUBSTITUTE(SUBSTITUTE(SUBSTITUTE(SUBSTITUTE(LOWER(Registro!$E206),"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",LEN(Registro!$E206))),({1,2,3,4,5,6,7,8,9,10,11,12,13,14,15,16,17,18,19,20,21,22,23,24,25,26,27,28,29,30}-1)*LEN(Registro!$E206)+1,LEN(Registro!$E206)))&amp;"x")-1))),"Revisar formato")))</f>
        <v/>
      </c>
      <c r="E206" s="24" t="str">
        <f>IF(Registro!$E206="","",IF(ISERROR(FIND("x",LOWER(Registro!$E206))),"-",IFERROR(SUMPRODUCT(--("0"&amp;LEFT(TRIM(MID(SUBSTITUTE(SUBSTITUTE(SUBSTITUTE(SUBSTITUTE(SUBSTITUTE(LOWER(Registro!$E206),"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",LEN(Registro!$E206))),({1,2,3,4,5,6,7,8,9,10,11,12,13,14,15,16,17,18,19,20,21,22,23,24,25,26,27,28,29,30}-1)*LEN(Registro!$E206)+1,LEN(Registro!$E206))),FIND("x",TRIM(MID(SUBSTITUTE(SUBSTITUTE(SUBSTITUTE(SUBSTITUTE(SUBSTITUTE(LOWER(Registro!$E206),"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",LEN(Registro!$E206))),({1,2,3,4,5,6,7,8,9,10,11,12,13,14,15,16,17,18,19,20,21,22,23,24,25,26,27,28,29,30}-1)*LEN(Registro!$E206)+1,LEN(Registro!$E206)))&amp;"x")-1)),--("0"&amp;MID(TRIM(MID(SUBSTITUTE(SUBSTITUTE(SUBSTITUTE(SUBSTITUTE(SUBSTITUTE(LOWER(Registro!$E206),"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",LEN(Registro!$E206))),({1,2,3,4,5,6,7,8,9,10,11,12,13,14,15,16,17,18,19,20,21,22,23,24,25,26,27,28,29,30}-1)*LEN(Registro!$E206)+1,LEN(Registro!$E206))),FIND("x",TRIM(MID(SUBSTITUTE(SUBSTITUTE(SUBSTITUTE(SUBSTITUTE(SUBSTITUTE(LOWER(Registro!$E206),"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",LEN(Registro!$E206))),({1,2,3,4,5,6,7,8,9,10,11,12,13,14,15,16,17,18,19,20,21,22,23,24,25,26,27,28,29,30}-1)*LEN(Registro!$E206)+1,LEN(Registro!$E206)))&amp;"x")+1,20))),"Revisar formato")))</f>
        <v/>
      </c>
      <c r="F206" s="23" t="str">
        <f>IF(Registro!$F206="","",IF(ISERROR(FIND("x",LOWER(Registro!$F206))),"-",IFERROR(SUMPRODUCT(--("0"&amp;LEFT(TRIM(MID(SUBSTITUTE(SUBSTITUTE(SUBSTITUTE(SUBSTITUTE(SUBSTITUTE(LOWER(Registro!$F206)," ",""),CHAR(10),"|"),";","|"),"+","|"),"|",REPT(" ",LEN(Registro!$F206))),({1,2,3,4,5,6,7,8,9,10,11,12,13,14,15,16,17,18,19,20,21,22,23,24,25,26,27,28,29,30}-1)*LEN(Registro!$F206)+1,LEN(Registro!$F206))),FIND("x",TRIM(MID(SUBSTITUTE(SUBSTITUTE(SUBSTITUTE(SUBSTITUTE(SUBSTITUTE(LOWER(Registro!$F206)," ",""),CHAR(10),"|"),";","|"),"+","|"),"|",REPT(" ",LEN(Registro!$F206))),({1,2,3,4,5,6,7,8,9,10,11,12,13,14,15,16,17,18,19,20,21,22,23,24,25,26,27,28,29,30}-1)*LEN(Registro!$F206)+1,LEN(Registro!$F206)))&amp;"x")-1))),"Revisar formato")))</f>
        <v/>
      </c>
      <c r="G206" s="24" t="str">
        <f>IF(Registro!$F206="","",IF(ISERROR(FIND("x",LOWER(Registro!$F206))),N(Registro!$G206),IFERROR(SUMPRODUCT(--("0"&amp;LEFT(TRIM(MID(SUBSTITUTE(SUBSTITUTE(SUBSTITUTE(SUBSTITUTE(SUBSTITUTE(LOWER(Registro!$F206)," ",""),CHAR(10),"|"),";","|"),"+","|"),"|",REPT(" ",LEN(Registro!$F206))),({1,2,3,4,5,6,7,8,9,10,11,12,13,14,15,16,17,18,19,20,21,22,23,24,25,26,27,28,29,30}-1)*LEN(Registro!$F206)+1,LEN(Registro!$F206))),FIND("x",TRIM(MID(SUBSTITUTE(SUBSTITUTE(SUBSTITUTE(SUBSTITUTE(SUBSTITUTE(LOWER(Registro!$F206)," ",""),CHAR(10),"|"),";","|"),"+","|"),"|",REPT(" ",LEN(Registro!$F206))),({1,2,3,4,5,6,7,8,9,10,11,12,13,14,15,16,17,18,19,20,21,22,23,24,25,26,27,28,29,30}-1)*LEN(Registro!$F206)+1,LEN(Registro!$F206)))&amp;"x")-1)),--("0"&amp;MID(TRIM(MID(SUBSTITUTE(SUBSTITUTE(SUBSTITUTE(SUBSTITUTE(SUBSTITUTE(LOWER(Registro!$F206)," ",""),CHAR(10),"|"),";","|"),"+","|"),"|",REPT(" ",LEN(Registro!$F206))),({1,2,3,4,5,6,7,8,9,10,11,12,13,14,15,16,17,18,19,20,21,22,23,24,25,26,27,28,29,30}-1)*LEN(Registro!$F206)+1,LEN(Registro!$F206))),FIND("x",TRIM(MID(SUBSTITUTE(SUBSTITUTE(SUBSTITUTE(SUBSTITUTE(SUBSTITUTE(LOWER(Registro!$F206)," ",""),CHAR(10),"|"),";","|"),"+","|"),"|",REPT(" ",LEN(Registro!$F206))),({1,2,3,4,5,6,7,8,9,10,11,12,13,14,15,16,17,18,19,20,21,22,23,24,25,26,27,28,29,30}-1)*LEN(Registro!$F206)+1,LEN(Registro!$F206)))&amp;"x")+1,20))),"Revisar formato")))</f>
        <v/>
      </c>
      <c r="H206" s="21" t="str">
        <f>IF(AND(Registro!$E206="",Registro!$F206=""),"",IF(NOT(AND(ISNUMBER(G206),ISNUMBER(Registro!$G206))),"",IF(G206&lt;Registro!$G206,"FALTA BOLETOS",IF(G206=Registro!$G206,"CONFORME","DIFERENCIA"))))</f>
        <v/>
      </c>
      <c r="I206" s="24" t="str">
        <f>IF(Registro!$H206="","",IFERROR(SUMPRODUCT(--("0"&amp;TRIM(RIGHT(SUBSTITUTE(TRIM(MID(SUBSTITUTE(SUBSTITUTE(Registro!$H206,";",CHAR(10)),CHAR(10),REPT(" ",LEN(Registro!$H206))),({1,2,3,4,5,6,7,8,9,10,11,12,13,14,15,16,17,18,19,20,21,22,23,24,25,26,27,28,29,30}-1)*LEN(Registro!$H206)+1,LEN(Registro!$H206)))," ",REPT(" ",50)),50)))),"Revisar formato"))</f>
        <v/>
      </c>
      <c r="J206" s="24" t="str">
        <f>IF(Registro!$I206="","",IFERROR(SUMPRODUCT(--("0"&amp;TRIM(RIGHT(SUBSTITUTE(TRIM(MID(SUBSTITUTE(SUBSTITUTE(Registro!$I206,";",CHAR(10)),CHAR(10),REPT(" ",LEN(Registro!$I206))),({1,2,3,4,5,6,7,8,9,10,11,12,13,14,15,16,17,18,19,20,21,22,23,24,25,26,27,28,29,30}-1)*LEN(Registro!$I206)+1,LEN(Registro!$I206)))," ",REPT(" ",50)),50)))),"Revisar formato"))</f>
        <v/>
      </c>
      <c r="K206" s="24" t="str">
        <f>IF(AND(Registro!$G206="",Registro!$H206=""),"",IF(AND(ISTEXT(I206),I206&lt;&gt;""),"Revisar formato",N(Registro!$G206)-N(I206)))</f>
        <v/>
      </c>
      <c r="L206" s="24" t="str">
        <f t="shared" si="7"/>
        <v/>
      </c>
      <c r="M206" s="36" t="str">
        <f>IF(AND(A206=Consulta!$B$3,C206=Consulta!$H$3),B206*10000+ROW(),"")</f>
        <v/>
      </c>
    </row>
    <row r="207" spans="1:13" x14ac:dyDescent="0.25">
      <c r="A207" s="21" t="str">
        <f>IF(Registro!$A207="","",Registro!$A207)</f>
        <v/>
      </c>
      <c r="B207" s="20" t="str">
        <f>IF(Registro!$B207="","",Registro!$B207)</f>
        <v/>
      </c>
      <c r="C207" s="35" t="str">
        <f t="shared" si="6"/>
        <v/>
      </c>
      <c r="D207" s="23" t="str">
        <f>IF(Registro!$E207="","",IF(ISERROR(FIND("x",LOWER(Registro!$E207))),"-",IFERROR(SUMPRODUCT(--("0"&amp;LEFT(TRIM(MID(SUBSTITUTE(SUBSTITUTE(SUBSTITUTE(SUBSTITUTE(SUBSTITUTE(LOWER(Registro!$E207),"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",LEN(Registro!$E207))),({1,2,3,4,5,6,7,8,9,10,11,12,13,14,15,16,17,18,19,20,21,22,23,24,25,26,27,28,29,30}-1)*LEN(Registro!$E207)+1,LEN(Registro!$E207))),FIND("x",TRIM(MID(SUBSTITUTE(SUBSTITUTE(SUBSTITUTE(SUBSTITUTE(SUBSTITUTE(LOWER(Registro!$E207),"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",LEN(Registro!$E207))),({1,2,3,4,5,6,7,8,9,10,11,12,13,14,15,16,17,18,19,20,21,22,23,24,25,26,27,28,29,30}-1)*LEN(Registro!$E207)+1,LEN(Registro!$E207)))&amp;"x")-1))),"Revisar formato")))</f>
        <v/>
      </c>
      <c r="E207" s="24" t="str">
        <f>IF(Registro!$E207="","",IF(ISERROR(FIND("x",LOWER(Registro!$E207))),"-",IFERROR(SUMPRODUCT(--("0"&amp;LEFT(TRIM(MID(SUBSTITUTE(SUBSTITUTE(SUBSTITUTE(SUBSTITUTE(SUBSTITUTE(LOWER(Registro!$E207),"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",LEN(Registro!$E207))),({1,2,3,4,5,6,7,8,9,10,11,12,13,14,15,16,17,18,19,20,21,22,23,24,25,26,27,28,29,30}-1)*LEN(Registro!$E207)+1,LEN(Registro!$E207))),FIND("x",TRIM(MID(SUBSTITUTE(SUBSTITUTE(SUBSTITUTE(SUBSTITUTE(SUBSTITUTE(LOWER(Registro!$E207),"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",LEN(Registro!$E207))),({1,2,3,4,5,6,7,8,9,10,11,12,13,14,15,16,17,18,19,20,21,22,23,24,25,26,27,28,29,30}-1)*LEN(Registro!$E207)+1,LEN(Registro!$E207)))&amp;"x")-1)),--("0"&amp;MID(TRIM(MID(SUBSTITUTE(SUBSTITUTE(SUBSTITUTE(SUBSTITUTE(SUBSTITUTE(LOWER(Registro!$E207),"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",LEN(Registro!$E207))),({1,2,3,4,5,6,7,8,9,10,11,12,13,14,15,16,17,18,19,20,21,22,23,24,25,26,27,28,29,30}-1)*LEN(Registro!$E207)+1,LEN(Registro!$E207))),FIND("x",TRIM(MID(SUBSTITUTE(SUBSTITUTE(SUBSTITUTE(SUBSTITUTE(SUBSTITUTE(LOWER(Registro!$E207),"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",LEN(Registro!$E207))),({1,2,3,4,5,6,7,8,9,10,11,12,13,14,15,16,17,18,19,20,21,22,23,24,25,26,27,28,29,30}-1)*LEN(Registro!$E207)+1,LEN(Registro!$E207)))&amp;"x")+1,20))),"Revisar formato")))</f>
        <v/>
      </c>
      <c r="F207" s="23" t="str">
        <f>IF(Registro!$F207="","",IF(ISERROR(FIND("x",LOWER(Registro!$F207))),"-",IFERROR(SUMPRODUCT(--("0"&amp;LEFT(TRIM(MID(SUBSTITUTE(SUBSTITUTE(SUBSTITUTE(SUBSTITUTE(SUBSTITUTE(LOWER(Registro!$F207)," ",""),CHAR(10),"|"),";","|"),"+","|"),"|",REPT(" ",LEN(Registro!$F207))),({1,2,3,4,5,6,7,8,9,10,11,12,13,14,15,16,17,18,19,20,21,22,23,24,25,26,27,28,29,30}-1)*LEN(Registro!$F207)+1,LEN(Registro!$F207))),FIND("x",TRIM(MID(SUBSTITUTE(SUBSTITUTE(SUBSTITUTE(SUBSTITUTE(SUBSTITUTE(LOWER(Registro!$F207)," ",""),CHAR(10),"|"),";","|"),"+","|"),"|",REPT(" ",LEN(Registro!$F207))),({1,2,3,4,5,6,7,8,9,10,11,12,13,14,15,16,17,18,19,20,21,22,23,24,25,26,27,28,29,30}-1)*LEN(Registro!$F207)+1,LEN(Registro!$F207)))&amp;"x")-1))),"Revisar formato")))</f>
        <v/>
      </c>
      <c r="G207" s="24" t="str">
        <f>IF(Registro!$F207="","",IF(ISERROR(FIND("x",LOWER(Registro!$F207))),N(Registro!$G207),IFERROR(SUMPRODUCT(--("0"&amp;LEFT(TRIM(MID(SUBSTITUTE(SUBSTITUTE(SUBSTITUTE(SUBSTITUTE(SUBSTITUTE(LOWER(Registro!$F207)," ",""),CHAR(10),"|"),";","|"),"+","|"),"|",REPT(" ",LEN(Registro!$F207))),({1,2,3,4,5,6,7,8,9,10,11,12,13,14,15,16,17,18,19,20,21,22,23,24,25,26,27,28,29,30}-1)*LEN(Registro!$F207)+1,LEN(Registro!$F207))),FIND("x",TRIM(MID(SUBSTITUTE(SUBSTITUTE(SUBSTITUTE(SUBSTITUTE(SUBSTITUTE(LOWER(Registro!$F207)," ",""),CHAR(10),"|"),";","|"),"+","|"),"|",REPT(" ",LEN(Registro!$F207))),({1,2,3,4,5,6,7,8,9,10,11,12,13,14,15,16,17,18,19,20,21,22,23,24,25,26,27,28,29,30}-1)*LEN(Registro!$F207)+1,LEN(Registro!$F207)))&amp;"x")-1)),--("0"&amp;MID(TRIM(MID(SUBSTITUTE(SUBSTITUTE(SUBSTITUTE(SUBSTITUTE(SUBSTITUTE(LOWER(Registro!$F207)," ",""),CHAR(10),"|"),";","|"),"+","|"),"|",REPT(" ",LEN(Registro!$F207))),({1,2,3,4,5,6,7,8,9,10,11,12,13,14,15,16,17,18,19,20,21,22,23,24,25,26,27,28,29,30}-1)*LEN(Registro!$F207)+1,LEN(Registro!$F207))),FIND("x",TRIM(MID(SUBSTITUTE(SUBSTITUTE(SUBSTITUTE(SUBSTITUTE(SUBSTITUTE(LOWER(Registro!$F207)," ",""),CHAR(10),"|"),";","|"),"+","|"),"|",REPT(" ",LEN(Registro!$F207))),({1,2,3,4,5,6,7,8,9,10,11,12,13,14,15,16,17,18,19,20,21,22,23,24,25,26,27,28,29,30}-1)*LEN(Registro!$F207)+1,LEN(Registro!$F207)))&amp;"x")+1,20))),"Revisar formato")))</f>
        <v/>
      </c>
      <c r="H207" s="21" t="str">
        <f>IF(AND(Registro!$E207="",Registro!$F207=""),"",IF(NOT(AND(ISNUMBER(G207),ISNUMBER(Registro!$G207))),"",IF(G207&lt;Registro!$G207,"FALTA BOLETOS",IF(G207=Registro!$G207,"CONFORME","DIFERENCIA"))))</f>
        <v/>
      </c>
      <c r="I207" s="24" t="str">
        <f>IF(Registro!$H207="","",IFERROR(SUMPRODUCT(--("0"&amp;TRIM(RIGHT(SUBSTITUTE(TRIM(MID(SUBSTITUTE(SUBSTITUTE(Registro!$H207,";",CHAR(10)),CHAR(10),REPT(" ",LEN(Registro!$H207))),({1,2,3,4,5,6,7,8,9,10,11,12,13,14,15,16,17,18,19,20,21,22,23,24,25,26,27,28,29,30}-1)*LEN(Registro!$H207)+1,LEN(Registro!$H207)))," ",REPT(" ",50)),50)))),"Revisar formato"))</f>
        <v/>
      </c>
      <c r="J207" s="24" t="str">
        <f>IF(Registro!$I207="","",IFERROR(SUMPRODUCT(--("0"&amp;TRIM(RIGHT(SUBSTITUTE(TRIM(MID(SUBSTITUTE(SUBSTITUTE(Registro!$I207,";",CHAR(10)),CHAR(10),REPT(" ",LEN(Registro!$I207))),({1,2,3,4,5,6,7,8,9,10,11,12,13,14,15,16,17,18,19,20,21,22,23,24,25,26,27,28,29,30}-1)*LEN(Registro!$I207)+1,LEN(Registro!$I207)))," ",REPT(" ",50)),50)))),"Revisar formato"))</f>
        <v/>
      </c>
      <c r="K207" s="24" t="str">
        <f>IF(AND(Registro!$G207="",Registro!$H207=""),"",IF(AND(ISTEXT(I207),I207&lt;&gt;""),"Revisar formato",N(Registro!$G207)-N(I207)))</f>
        <v/>
      </c>
      <c r="L207" s="24" t="str">
        <f t="shared" si="7"/>
        <v/>
      </c>
      <c r="M207" s="36" t="str">
        <f>IF(AND(A207=Consulta!$B$3,C207=Consulta!$H$3),B207*10000+ROW(),"")</f>
        <v/>
      </c>
    </row>
    <row r="208" spans="1:13" x14ac:dyDescent="0.25">
      <c r="A208" s="21" t="str">
        <f>IF(Registro!$A208="","",Registro!$A208)</f>
        <v/>
      </c>
      <c r="B208" s="20" t="str">
        <f>IF(Registro!$B208="","",Registro!$B208)</f>
        <v/>
      </c>
      <c r="C208" s="35" t="str">
        <f t="shared" si="6"/>
        <v/>
      </c>
      <c r="D208" s="23" t="str">
        <f>IF(Registro!$E208="","",IF(ISERROR(FIND("x",LOWER(Registro!$E208))),"-",IFERROR(SUMPRODUCT(--("0"&amp;LEFT(TRIM(MID(SUBSTITUTE(SUBSTITUTE(SUBSTITUTE(SUBSTITUTE(SUBSTITUTE(LOWER(Registro!$E208),"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",LEN(Registro!$E208))),({1,2,3,4,5,6,7,8,9,10,11,12,13,14,15,16,17,18,19,20,21,22,23,24,25,26,27,28,29,30}-1)*LEN(Registro!$E208)+1,LEN(Registro!$E208))),FIND("x",TRIM(MID(SUBSTITUTE(SUBSTITUTE(SUBSTITUTE(SUBSTITUTE(SUBSTITUTE(LOWER(Registro!$E208),"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",LEN(Registro!$E208))),({1,2,3,4,5,6,7,8,9,10,11,12,13,14,15,16,17,18,19,20,21,22,23,24,25,26,27,28,29,30}-1)*LEN(Registro!$E208)+1,LEN(Registro!$E208)))&amp;"x")-1))),"Revisar formato")))</f>
        <v/>
      </c>
      <c r="E208" s="24" t="str">
        <f>IF(Registro!$E208="","",IF(ISERROR(FIND("x",LOWER(Registro!$E208))),"-",IFERROR(SUMPRODUCT(--("0"&amp;LEFT(TRIM(MID(SUBSTITUTE(SUBSTITUTE(SUBSTITUTE(SUBSTITUTE(SUBSTITUTE(LOWER(Registro!$E208),"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",LEN(Registro!$E208))),({1,2,3,4,5,6,7,8,9,10,11,12,13,14,15,16,17,18,19,20,21,22,23,24,25,26,27,28,29,30}-1)*LEN(Registro!$E208)+1,LEN(Registro!$E208))),FIND("x",TRIM(MID(SUBSTITUTE(SUBSTITUTE(SUBSTITUTE(SUBSTITUTE(SUBSTITUTE(LOWER(Registro!$E208),"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",LEN(Registro!$E208))),({1,2,3,4,5,6,7,8,9,10,11,12,13,14,15,16,17,18,19,20,21,22,23,24,25,26,27,28,29,30}-1)*LEN(Registro!$E208)+1,LEN(Registro!$E208)))&amp;"x")-1)),--("0"&amp;MID(TRIM(MID(SUBSTITUTE(SUBSTITUTE(SUBSTITUTE(SUBSTITUTE(SUBSTITUTE(LOWER(Registro!$E208),"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",LEN(Registro!$E208))),({1,2,3,4,5,6,7,8,9,10,11,12,13,14,15,16,17,18,19,20,21,22,23,24,25,26,27,28,29,30}-1)*LEN(Registro!$E208)+1,LEN(Registro!$E208))),FIND("x",TRIM(MID(SUBSTITUTE(SUBSTITUTE(SUBSTITUTE(SUBSTITUTE(SUBSTITUTE(LOWER(Registro!$E208),"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",LEN(Registro!$E208))),({1,2,3,4,5,6,7,8,9,10,11,12,13,14,15,16,17,18,19,20,21,22,23,24,25,26,27,28,29,30}-1)*LEN(Registro!$E208)+1,LEN(Registro!$E208)))&amp;"x")+1,20))),"Revisar formato")))</f>
        <v/>
      </c>
      <c r="F208" s="23" t="str">
        <f>IF(Registro!$F208="","",IF(ISERROR(FIND("x",LOWER(Registro!$F208))),"-",IFERROR(SUMPRODUCT(--("0"&amp;LEFT(TRIM(MID(SUBSTITUTE(SUBSTITUTE(SUBSTITUTE(SUBSTITUTE(SUBSTITUTE(LOWER(Registro!$F208)," ",""),CHAR(10),"|"),";","|"),"+","|"),"|",REPT(" ",LEN(Registro!$F208))),({1,2,3,4,5,6,7,8,9,10,11,12,13,14,15,16,17,18,19,20,21,22,23,24,25,26,27,28,29,30}-1)*LEN(Registro!$F208)+1,LEN(Registro!$F208))),FIND("x",TRIM(MID(SUBSTITUTE(SUBSTITUTE(SUBSTITUTE(SUBSTITUTE(SUBSTITUTE(LOWER(Registro!$F208)," ",""),CHAR(10),"|"),";","|"),"+","|"),"|",REPT(" ",LEN(Registro!$F208))),({1,2,3,4,5,6,7,8,9,10,11,12,13,14,15,16,17,18,19,20,21,22,23,24,25,26,27,28,29,30}-1)*LEN(Registro!$F208)+1,LEN(Registro!$F208)))&amp;"x")-1))),"Revisar formato")))</f>
        <v/>
      </c>
      <c r="G208" s="24" t="str">
        <f>IF(Registro!$F208="","",IF(ISERROR(FIND("x",LOWER(Registro!$F208))),N(Registro!$G208),IFERROR(SUMPRODUCT(--("0"&amp;LEFT(TRIM(MID(SUBSTITUTE(SUBSTITUTE(SUBSTITUTE(SUBSTITUTE(SUBSTITUTE(LOWER(Registro!$F208)," ",""),CHAR(10),"|"),";","|"),"+","|"),"|",REPT(" ",LEN(Registro!$F208))),({1,2,3,4,5,6,7,8,9,10,11,12,13,14,15,16,17,18,19,20,21,22,23,24,25,26,27,28,29,30}-1)*LEN(Registro!$F208)+1,LEN(Registro!$F208))),FIND("x",TRIM(MID(SUBSTITUTE(SUBSTITUTE(SUBSTITUTE(SUBSTITUTE(SUBSTITUTE(LOWER(Registro!$F208)," ",""),CHAR(10),"|"),";","|"),"+","|"),"|",REPT(" ",LEN(Registro!$F208))),({1,2,3,4,5,6,7,8,9,10,11,12,13,14,15,16,17,18,19,20,21,22,23,24,25,26,27,28,29,30}-1)*LEN(Registro!$F208)+1,LEN(Registro!$F208)))&amp;"x")-1)),--("0"&amp;MID(TRIM(MID(SUBSTITUTE(SUBSTITUTE(SUBSTITUTE(SUBSTITUTE(SUBSTITUTE(LOWER(Registro!$F208)," ",""),CHAR(10),"|"),";","|"),"+","|"),"|",REPT(" ",LEN(Registro!$F208))),({1,2,3,4,5,6,7,8,9,10,11,12,13,14,15,16,17,18,19,20,21,22,23,24,25,26,27,28,29,30}-1)*LEN(Registro!$F208)+1,LEN(Registro!$F208))),FIND("x",TRIM(MID(SUBSTITUTE(SUBSTITUTE(SUBSTITUTE(SUBSTITUTE(SUBSTITUTE(LOWER(Registro!$F208)," ",""),CHAR(10),"|"),";","|"),"+","|"),"|",REPT(" ",LEN(Registro!$F208))),({1,2,3,4,5,6,7,8,9,10,11,12,13,14,15,16,17,18,19,20,21,22,23,24,25,26,27,28,29,30}-1)*LEN(Registro!$F208)+1,LEN(Registro!$F208)))&amp;"x")+1,20))),"Revisar formato")))</f>
        <v/>
      </c>
      <c r="H208" s="21" t="str">
        <f>IF(AND(Registro!$E208="",Registro!$F208=""),"",IF(NOT(AND(ISNUMBER(G208),ISNUMBER(Registro!$G208))),"",IF(G208&lt;Registro!$G208,"FALTA BOLETOS",IF(G208=Registro!$G208,"CONFORME","DIFERENCIA"))))</f>
        <v/>
      </c>
      <c r="I208" s="24" t="str">
        <f>IF(Registro!$H208="","",IFERROR(SUMPRODUCT(--("0"&amp;TRIM(RIGHT(SUBSTITUTE(TRIM(MID(SUBSTITUTE(SUBSTITUTE(Registro!$H208,";",CHAR(10)),CHAR(10),REPT(" ",LEN(Registro!$H208))),({1,2,3,4,5,6,7,8,9,10,11,12,13,14,15,16,17,18,19,20,21,22,23,24,25,26,27,28,29,30}-1)*LEN(Registro!$H208)+1,LEN(Registro!$H208)))," ",REPT(" ",50)),50)))),"Revisar formato"))</f>
        <v/>
      </c>
      <c r="J208" s="24" t="str">
        <f>IF(Registro!$I208="","",IFERROR(SUMPRODUCT(--("0"&amp;TRIM(RIGHT(SUBSTITUTE(TRIM(MID(SUBSTITUTE(SUBSTITUTE(Registro!$I208,";",CHAR(10)),CHAR(10),REPT(" ",LEN(Registro!$I208))),({1,2,3,4,5,6,7,8,9,10,11,12,13,14,15,16,17,18,19,20,21,22,23,24,25,26,27,28,29,30}-1)*LEN(Registro!$I208)+1,LEN(Registro!$I208)))," ",REPT(" ",50)),50)))),"Revisar formato"))</f>
        <v/>
      </c>
      <c r="K208" s="24" t="str">
        <f>IF(AND(Registro!$G208="",Registro!$H208=""),"",IF(AND(ISTEXT(I208),I208&lt;&gt;""),"Revisar formato",N(Registro!$G208)-N(I208)))</f>
        <v/>
      </c>
      <c r="L208" s="24" t="str">
        <f t="shared" si="7"/>
        <v/>
      </c>
      <c r="M208" s="36" t="str">
        <f>IF(AND(A208=Consulta!$B$3,C208=Consulta!$H$3),B208*10000+ROW(),"")</f>
        <v/>
      </c>
    </row>
    <row r="209" spans="1:13" x14ac:dyDescent="0.25">
      <c r="A209" s="21" t="str">
        <f>IF(Registro!$A209="","",Registro!$A209)</f>
        <v/>
      </c>
      <c r="B209" s="20" t="str">
        <f>IF(Registro!$B209="","",Registro!$B209)</f>
        <v/>
      </c>
      <c r="C209" s="35" t="str">
        <f t="shared" si="6"/>
        <v/>
      </c>
      <c r="D209" s="23" t="str">
        <f>IF(Registro!$E209="","",IF(ISERROR(FIND("x",LOWER(Registro!$E209))),"-",IFERROR(SUMPRODUCT(--("0"&amp;LEFT(TRIM(MID(SUBSTITUTE(SUBSTITUTE(SUBSTITUTE(SUBSTITUTE(SUBSTITUTE(LOWER(Registro!$E209),"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",LEN(Registro!$E209))),({1,2,3,4,5,6,7,8,9,10,11,12,13,14,15,16,17,18,19,20,21,22,23,24,25,26,27,28,29,30}-1)*LEN(Registro!$E209)+1,LEN(Registro!$E209))),FIND("x",TRIM(MID(SUBSTITUTE(SUBSTITUTE(SUBSTITUTE(SUBSTITUTE(SUBSTITUTE(LOWER(Registro!$E209),"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",LEN(Registro!$E209))),({1,2,3,4,5,6,7,8,9,10,11,12,13,14,15,16,17,18,19,20,21,22,23,24,25,26,27,28,29,30}-1)*LEN(Registro!$E209)+1,LEN(Registro!$E209)))&amp;"x")-1))),"Revisar formato")))</f>
        <v/>
      </c>
      <c r="E209" s="24" t="str">
        <f>IF(Registro!$E209="","",IF(ISERROR(FIND("x",LOWER(Registro!$E209))),"-",IFERROR(SUMPRODUCT(--("0"&amp;LEFT(TRIM(MID(SUBSTITUTE(SUBSTITUTE(SUBSTITUTE(SUBSTITUTE(SUBSTITUTE(LOWER(Registro!$E209),"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",LEN(Registro!$E209))),({1,2,3,4,5,6,7,8,9,10,11,12,13,14,15,16,17,18,19,20,21,22,23,24,25,26,27,28,29,30}-1)*LEN(Registro!$E209)+1,LEN(Registro!$E209))),FIND("x",TRIM(MID(SUBSTITUTE(SUBSTITUTE(SUBSTITUTE(SUBSTITUTE(SUBSTITUTE(LOWER(Registro!$E209),"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",LEN(Registro!$E209))),({1,2,3,4,5,6,7,8,9,10,11,12,13,14,15,16,17,18,19,20,21,22,23,24,25,26,27,28,29,30}-1)*LEN(Registro!$E209)+1,LEN(Registro!$E209)))&amp;"x")-1)),--("0"&amp;MID(TRIM(MID(SUBSTITUTE(SUBSTITUTE(SUBSTITUTE(SUBSTITUTE(SUBSTITUTE(LOWER(Registro!$E209),"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",LEN(Registro!$E209))),({1,2,3,4,5,6,7,8,9,10,11,12,13,14,15,16,17,18,19,20,21,22,23,24,25,26,27,28,29,30}-1)*LEN(Registro!$E209)+1,LEN(Registro!$E209))),FIND("x",TRIM(MID(SUBSTITUTE(SUBSTITUTE(SUBSTITUTE(SUBSTITUTE(SUBSTITUTE(LOWER(Registro!$E209),"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",LEN(Registro!$E209))),({1,2,3,4,5,6,7,8,9,10,11,12,13,14,15,16,17,18,19,20,21,22,23,24,25,26,27,28,29,30}-1)*LEN(Registro!$E209)+1,LEN(Registro!$E209)))&amp;"x")+1,20))),"Revisar formato")))</f>
        <v/>
      </c>
      <c r="F209" s="23" t="str">
        <f>IF(Registro!$F209="","",IF(ISERROR(FIND("x",LOWER(Registro!$F209))),"-",IFERROR(SUMPRODUCT(--("0"&amp;LEFT(TRIM(MID(SUBSTITUTE(SUBSTITUTE(SUBSTITUTE(SUBSTITUTE(SUBSTITUTE(LOWER(Registro!$F209)," ",""),CHAR(10),"|"),";","|"),"+","|"),"|",REPT(" ",LEN(Registro!$F209))),({1,2,3,4,5,6,7,8,9,10,11,12,13,14,15,16,17,18,19,20,21,22,23,24,25,26,27,28,29,30}-1)*LEN(Registro!$F209)+1,LEN(Registro!$F209))),FIND("x",TRIM(MID(SUBSTITUTE(SUBSTITUTE(SUBSTITUTE(SUBSTITUTE(SUBSTITUTE(LOWER(Registro!$F209)," ",""),CHAR(10),"|"),";","|"),"+","|"),"|",REPT(" ",LEN(Registro!$F209))),({1,2,3,4,5,6,7,8,9,10,11,12,13,14,15,16,17,18,19,20,21,22,23,24,25,26,27,28,29,30}-1)*LEN(Registro!$F209)+1,LEN(Registro!$F209)))&amp;"x")-1))),"Revisar formato")))</f>
        <v/>
      </c>
      <c r="G209" s="24" t="str">
        <f>IF(Registro!$F209="","",IF(ISERROR(FIND("x",LOWER(Registro!$F209))),N(Registro!$G209),IFERROR(SUMPRODUCT(--("0"&amp;LEFT(TRIM(MID(SUBSTITUTE(SUBSTITUTE(SUBSTITUTE(SUBSTITUTE(SUBSTITUTE(LOWER(Registro!$F209)," ",""),CHAR(10),"|"),";","|"),"+","|"),"|",REPT(" ",LEN(Registro!$F209))),({1,2,3,4,5,6,7,8,9,10,11,12,13,14,15,16,17,18,19,20,21,22,23,24,25,26,27,28,29,30}-1)*LEN(Registro!$F209)+1,LEN(Registro!$F209))),FIND("x",TRIM(MID(SUBSTITUTE(SUBSTITUTE(SUBSTITUTE(SUBSTITUTE(SUBSTITUTE(LOWER(Registro!$F209)," ",""),CHAR(10),"|"),";","|"),"+","|"),"|",REPT(" ",LEN(Registro!$F209))),({1,2,3,4,5,6,7,8,9,10,11,12,13,14,15,16,17,18,19,20,21,22,23,24,25,26,27,28,29,30}-1)*LEN(Registro!$F209)+1,LEN(Registro!$F209)))&amp;"x")-1)),--("0"&amp;MID(TRIM(MID(SUBSTITUTE(SUBSTITUTE(SUBSTITUTE(SUBSTITUTE(SUBSTITUTE(LOWER(Registro!$F209)," ",""),CHAR(10),"|"),";","|"),"+","|"),"|",REPT(" ",LEN(Registro!$F209))),({1,2,3,4,5,6,7,8,9,10,11,12,13,14,15,16,17,18,19,20,21,22,23,24,25,26,27,28,29,30}-1)*LEN(Registro!$F209)+1,LEN(Registro!$F209))),FIND("x",TRIM(MID(SUBSTITUTE(SUBSTITUTE(SUBSTITUTE(SUBSTITUTE(SUBSTITUTE(LOWER(Registro!$F209)," ",""),CHAR(10),"|"),";","|"),"+","|"),"|",REPT(" ",LEN(Registro!$F209))),({1,2,3,4,5,6,7,8,9,10,11,12,13,14,15,16,17,18,19,20,21,22,23,24,25,26,27,28,29,30}-1)*LEN(Registro!$F209)+1,LEN(Registro!$F209)))&amp;"x")+1,20))),"Revisar formato")))</f>
        <v/>
      </c>
      <c r="H209" s="21" t="str">
        <f>IF(AND(Registro!$E209="",Registro!$F209=""),"",IF(NOT(AND(ISNUMBER(G209),ISNUMBER(Registro!$G209))),"",IF(G209&lt;Registro!$G209,"FALTA BOLETOS",IF(G209=Registro!$G209,"CONFORME","DIFERENCIA"))))</f>
        <v/>
      </c>
      <c r="I209" s="24" t="str">
        <f>IF(Registro!$H209="","",IFERROR(SUMPRODUCT(--("0"&amp;TRIM(RIGHT(SUBSTITUTE(TRIM(MID(SUBSTITUTE(SUBSTITUTE(Registro!$H209,";",CHAR(10)),CHAR(10),REPT(" ",LEN(Registro!$H209))),({1,2,3,4,5,6,7,8,9,10,11,12,13,14,15,16,17,18,19,20,21,22,23,24,25,26,27,28,29,30}-1)*LEN(Registro!$H209)+1,LEN(Registro!$H209)))," ",REPT(" ",50)),50)))),"Revisar formato"))</f>
        <v/>
      </c>
      <c r="J209" s="24" t="str">
        <f>IF(Registro!$I209="","",IFERROR(SUMPRODUCT(--("0"&amp;TRIM(RIGHT(SUBSTITUTE(TRIM(MID(SUBSTITUTE(SUBSTITUTE(Registro!$I209,";",CHAR(10)),CHAR(10),REPT(" ",LEN(Registro!$I209))),({1,2,3,4,5,6,7,8,9,10,11,12,13,14,15,16,17,18,19,20,21,22,23,24,25,26,27,28,29,30}-1)*LEN(Registro!$I209)+1,LEN(Registro!$I209)))," ",REPT(" ",50)),50)))),"Revisar formato"))</f>
        <v/>
      </c>
      <c r="K209" s="24" t="str">
        <f>IF(AND(Registro!$G209="",Registro!$H209=""),"",IF(AND(ISTEXT(I209),I209&lt;&gt;""),"Revisar formato",N(Registro!$G209)-N(I209)))</f>
        <v/>
      </c>
      <c r="L209" s="24" t="str">
        <f t="shared" si="7"/>
        <v/>
      </c>
      <c r="M209" s="36" t="str">
        <f>IF(AND(A209=Consulta!$B$3,C209=Consulta!$H$3),B209*10000+ROW(),"")</f>
        <v/>
      </c>
    </row>
    <row r="210" spans="1:13" x14ac:dyDescent="0.25">
      <c r="A210" s="21" t="str">
        <f>IF(Registro!$A210="","",Registro!$A210)</f>
        <v/>
      </c>
      <c r="B210" s="20" t="str">
        <f>IF(Registro!$B210="","",Registro!$B210)</f>
        <v/>
      </c>
      <c r="C210" s="35" t="str">
        <f t="shared" si="6"/>
        <v/>
      </c>
      <c r="D210" s="23" t="str">
        <f>IF(Registro!$E210="","",IF(ISERROR(FIND("x",LOWER(Registro!$E210))),"-",IFERROR(SUMPRODUCT(--("0"&amp;LEFT(TRIM(MID(SUBSTITUTE(SUBSTITUTE(SUBSTITUTE(SUBSTITUTE(SUBSTITUTE(LOWER(Registro!$E210),"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",LEN(Registro!$E210))),({1,2,3,4,5,6,7,8,9,10,11,12,13,14,15,16,17,18,19,20,21,22,23,24,25,26,27,28,29,30}-1)*LEN(Registro!$E210)+1,LEN(Registro!$E210))),FIND("x",TRIM(MID(SUBSTITUTE(SUBSTITUTE(SUBSTITUTE(SUBSTITUTE(SUBSTITUTE(LOWER(Registro!$E210),"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",LEN(Registro!$E210))),({1,2,3,4,5,6,7,8,9,10,11,12,13,14,15,16,17,18,19,20,21,22,23,24,25,26,27,28,29,30}-1)*LEN(Registro!$E210)+1,LEN(Registro!$E210)))&amp;"x")-1))),"Revisar formato")))</f>
        <v/>
      </c>
      <c r="E210" s="24" t="str">
        <f>IF(Registro!$E210="","",IF(ISERROR(FIND("x",LOWER(Registro!$E210))),"-",IFERROR(SUMPRODUCT(--("0"&amp;LEFT(TRIM(MID(SUBSTITUTE(SUBSTITUTE(SUBSTITUTE(SUBSTITUTE(SUBSTITUTE(LOWER(Registro!$E210),"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",LEN(Registro!$E210))),({1,2,3,4,5,6,7,8,9,10,11,12,13,14,15,16,17,18,19,20,21,22,23,24,25,26,27,28,29,30}-1)*LEN(Registro!$E210)+1,LEN(Registro!$E210))),FIND("x",TRIM(MID(SUBSTITUTE(SUBSTITUTE(SUBSTITUTE(SUBSTITUTE(SUBSTITUTE(LOWER(Registro!$E210),"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",LEN(Registro!$E210))),({1,2,3,4,5,6,7,8,9,10,11,12,13,14,15,16,17,18,19,20,21,22,23,24,25,26,27,28,29,30}-1)*LEN(Registro!$E210)+1,LEN(Registro!$E210)))&amp;"x")-1)),--("0"&amp;MID(TRIM(MID(SUBSTITUTE(SUBSTITUTE(SUBSTITUTE(SUBSTITUTE(SUBSTITUTE(LOWER(Registro!$E210),"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",LEN(Registro!$E210))),({1,2,3,4,5,6,7,8,9,10,11,12,13,14,15,16,17,18,19,20,21,22,23,24,25,26,27,28,29,30}-1)*LEN(Registro!$E210)+1,LEN(Registro!$E210))),FIND("x",TRIM(MID(SUBSTITUTE(SUBSTITUTE(SUBSTITUTE(SUBSTITUTE(SUBSTITUTE(LOWER(Registro!$E210),"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",LEN(Registro!$E210))),({1,2,3,4,5,6,7,8,9,10,11,12,13,14,15,16,17,18,19,20,21,22,23,24,25,26,27,28,29,30}-1)*LEN(Registro!$E210)+1,LEN(Registro!$E210)))&amp;"x")+1,20))),"Revisar formato")))</f>
        <v/>
      </c>
      <c r="F210" s="23" t="str">
        <f>IF(Registro!$F210="","",IF(ISERROR(FIND("x",LOWER(Registro!$F210))),"-",IFERROR(SUMPRODUCT(--("0"&amp;LEFT(TRIM(MID(SUBSTITUTE(SUBSTITUTE(SUBSTITUTE(SUBSTITUTE(SUBSTITUTE(LOWER(Registro!$F210)," ",""),CHAR(10),"|"),";","|"),"+","|"),"|",REPT(" ",LEN(Registro!$F210))),({1,2,3,4,5,6,7,8,9,10,11,12,13,14,15,16,17,18,19,20,21,22,23,24,25,26,27,28,29,30}-1)*LEN(Registro!$F210)+1,LEN(Registro!$F210))),FIND("x",TRIM(MID(SUBSTITUTE(SUBSTITUTE(SUBSTITUTE(SUBSTITUTE(SUBSTITUTE(LOWER(Registro!$F210)," ",""),CHAR(10),"|"),";","|"),"+","|"),"|",REPT(" ",LEN(Registro!$F210))),({1,2,3,4,5,6,7,8,9,10,11,12,13,14,15,16,17,18,19,20,21,22,23,24,25,26,27,28,29,30}-1)*LEN(Registro!$F210)+1,LEN(Registro!$F210)))&amp;"x")-1))),"Revisar formato")))</f>
        <v/>
      </c>
      <c r="G210" s="24" t="str">
        <f>IF(Registro!$F210="","",IF(ISERROR(FIND("x",LOWER(Registro!$F210))),N(Registro!$G210),IFERROR(SUMPRODUCT(--("0"&amp;LEFT(TRIM(MID(SUBSTITUTE(SUBSTITUTE(SUBSTITUTE(SUBSTITUTE(SUBSTITUTE(LOWER(Registro!$F210)," ",""),CHAR(10),"|"),";","|"),"+","|"),"|",REPT(" ",LEN(Registro!$F210))),({1,2,3,4,5,6,7,8,9,10,11,12,13,14,15,16,17,18,19,20,21,22,23,24,25,26,27,28,29,30}-1)*LEN(Registro!$F210)+1,LEN(Registro!$F210))),FIND("x",TRIM(MID(SUBSTITUTE(SUBSTITUTE(SUBSTITUTE(SUBSTITUTE(SUBSTITUTE(LOWER(Registro!$F210)," ",""),CHAR(10),"|"),";","|"),"+","|"),"|",REPT(" ",LEN(Registro!$F210))),({1,2,3,4,5,6,7,8,9,10,11,12,13,14,15,16,17,18,19,20,21,22,23,24,25,26,27,28,29,30}-1)*LEN(Registro!$F210)+1,LEN(Registro!$F210)))&amp;"x")-1)),--("0"&amp;MID(TRIM(MID(SUBSTITUTE(SUBSTITUTE(SUBSTITUTE(SUBSTITUTE(SUBSTITUTE(LOWER(Registro!$F210)," ",""),CHAR(10),"|"),";","|"),"+","|"),"|",REPT(" ",LEN(Registro!$F210))),({1,2,3,4,5,6,7,8,9,10,11,12,13,14,15,16,17,18,19,20,21,22,23,24,25,26,27,28,29,30}-1)*LEN(Registro!$F210)+1,LEN(Registro!$F210))),FIND("x",TRIM(MID(SUBSTITUTE(SUBSTITUTE(SUBSTITUTE(SUBSTITUTE(SUBSTITUTE(LOWER(Registro!$F210)," ",""),CHAR(10),"|"),";","|"),"+","|"),"|",REPT(" ",LEN(Registro!$F210))),({1,2,3,4,5,6,7,8,9,10,11,12,13,14,15,16,17,18,19,20,21,22,23,24,25,26,27,28,29,30}-1)*LEN(Registro!$F210)+1,LEN(Registro!$F210)))&amp;"x")+1,20))),"Revisar formato")))</f>
        <v/>
      </c>
      <c r="H210" s="21" t="str">
        <f>IF(AND(Registro!$E210="",Registro!$F210=""),"",IF(NOT(AND(ISNUMBER(G210),ISNUMBER(Registro!$G210))),"",IF(G210&lt;Registro!$G210,"FALTA BOLETOS",IF(G210=Registro!$G210,"CONFORME","DIFERENCIA"))))</f>
        <v/>
      </c>
      <c r="I210" s="24" t="str">
        <f>IF(Registro!$H210="","",IFERROR(SUMPRODUCT(--("0"&amp;TRIM(RIGHT(SUBSTITUTE(TRIM(MID(SUBSTITUTE(SUBSTITUTE(Registro!$H210,";",CHAR(10)),CHAR(10),REPT(" ",LEN(Registro!$H210))),({1,2,3,4,5,6,7,8,9,10,11,12,13,14,15,16,17,18,19,20,21,22,23,24,25,26,27,28,29,30}-1)*LEN(Registro!$H210)+1,LEN(Registro!$H210)))," ",REPT(" ",50)),50)))),"Revisar formato"))</f>
        <v/>
      </c>
      <c r="J210" s="24" t="str">
        <f>IF(Registro!$I210="","",IFERROR(SUMPRODUCT(--("0"&amp;TRIM(RIGHT(SUBSTITUTE(TRIM(MID(SUBSTITUTE(SUBSTITUTE(Registro!$I210,";",CHAR(10)),CHAR(10),REPT(" ",LEN(Registro!$I210))),({1,2,3,4,5,6,7,8,9,10,11,12,13,14,15,16,17,18,19,20,21,22,23,24,25,26,27,28,29,30}-1)*LEN(Registro!$I210)+1,LEN(Registro!$I210)))," ",REPT(" ",50)),50)))),"Revisar formato"))</f>
        <v/>
      </c>
      <c r="K210" s="24" t="str">
        <f>IF(AND(Registro!$G210="",Registro!$H210=""),"",IF(AND(ISTEXT(I210),I210&lt;&gt;""),"Revisar formato",N(Registro!$G210)-N(I210)))</f>
        <v/>
      </c>
      <c r="L210" s="24" t="str">
        <f t="shared" si="7"/>
        <v/>
      </c>
      <c r="M210" s="36" t="str">
        <f>IF(AND(A210=Consulta!$B$3,C210=Consulta!$H$3),B210*10000+ROW(),"")</f>
        <v/>
      </c>
    </row>
    <row r="211" spans="1:13" x14ac:dyDescent="0.25">
      <c r="A211" s="21" t="str">
        <f>IF(Registro!$A211="","",Registro!$A211)</f>
        <v/>
      </c>
      <c r="B211" s="20" t="str">
        <f>IF(Registro!$B211="","",Registro!$B211)</f>
        <v/>
      </c>
      <c r="C211" s="35" t="str">
        <f t="shared" si="6"/>
        <v/>
      </c>
      <c r="D211" s="23" t="str">
        <f>IF(Registro!$E211="","",IF(ISERROR(FIND("x",LOWER(Registro!$E211))),"-",IFERROR(SUMPRODUCT(--("0"&amp;LEFT(TRIM(MID(SUBSTITUTE(SUBSTITUTE(SUBSTITUTE(SUBSTITUTE(SUBSTITUTE(LOWER(Registro!$E211),"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",LEN(Registro!$E211))),({1,2,3,4,5,6,7,8,9,10,11,12,13,14,15,16,17,18,19,20,21,22,23,24,25,26,27,28,29,30}-1)*LEN(Registro!$E211)+1,LEN(Registro!$E211))),FIND("x",TRIM(MID(SUBSTITUTE(SUBSTITUTE(SUBSTITUTE(SUBSTITUTE(SUBSTITUTE(LOWER(Registro!$E211),"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",LEN(Registro!$E211))),({1,2,3,4,5,6,7,8,9,10,11,12,13,14,15,16,17,18,19,20,21,22,23,24,25,26,27,28,29,30}-1)*LEN(Registro!$E211)+1,LEN(Registro!$E211)))&amp;"x")-1))),"Revisar formato")))</f>
        <v/>
      </c>
      <c r="E211" s="24" t="str">
        <f>IF(Registro!$E211="","",IF(ISERROR(FIND("x",LOWER(Registro!$E211))),"-",IFERROR(SUMPRODUCT(--("0"&amp;LEFT(TRIM(MID(SUBSTITUTE(SUBSTITUTE(SUBSTITUTE(SUBSTITUTE(SUBSTITUTE(LOWER(Registro!$E211),"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",LEN(Registro!$E211))),({1,2,3,4,5,6,7,8,9,10,11,12,13,14,15,16,17,18,19,20,21,22,23,24,25,26,27,28,29,30}-1)*LEN(Registro!$E211)+1,LEN(Registro!$E211))),FIND("x",TRIM(MID(SUBSTITUTE(SUBSTITUTE(SUBSTITUTE(SUBSTITUTE(SUBSTITUTE(LOWER(Registro!$E211),"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",LEN(Registro!$E211))),({1,2,3,4,5,6,7,8,9,10,11,12,13,14,15,16,17,18,19,20,21,22,23,24,25,26,27,28,29,30}-1)*LEN(Registro!$E211)+1,LEN(Registro!$E211)))&amp;"x")-1)),--("0"&amp;MID(TRIM(MID(SUBSTITUTE(SUBSTITUTE(SUBSTITUTE(SUBSTITUTE(SUBSTITUTE(LOWER(Registro!$E211),"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",LEN(Registro!$E211))),({1,2,3,4,5,6,7,8,9,10,11,12,13,14,15,16,17,18,19,20,21,22,23,24,25,26,27,28,29,30}-1)*LEN(Registro!$E211)+1,LEN(Registro!$E211))),FIND("x",TRIM(MID(SUBSTITUTE(SUBSTITUTE(SUBSTITUTE(SUBSTITUTE(SUBSTITUTE(LOWER(Registro!$E211),"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",LEN(Registro!$E211))),({1,2,3,4,5,6,7,8,9,10,11,12,13,14,15,16,17,18,19,20,21,22,23,24,25,26,27,28,29,30}-1)*LEN(Registro!$E211)+1,LEN(Registro!$E211)))&amp;"x")+1,20))),"Revisar formato")))</f>
        <v/>
      </c>
      <c r="F211" s="23" t="str">
        <f>IF(Registro!$F211="","",IF(ISERROR(FIND("x",LOWER(Registro!$F211))),"-",IFERROR(SUMPRODUCT(--("0"&amp;LEFT(TRIM(MID(SUBSTITUTE(SUBSTITUTE(SUBSTITUTE(SUBSTITUTE(SUBSTITUTE(LOWER(Registro!$F211)," ",""),CHAR(10),"|"),";","|"),"+","|"),"|",REPT(" ",LEN(Registro!$F211))),({1,2,3,4,5,6,7,8,9,10,11,12,13,14,15,16,17,18,19,20,21,22,23,24,25,26,27,28,29,30}-1)*LEN(Registro!$F211)+1,LEN(Registro!$F211))),FIND("x",TRIM(MID(SUBSTITUTE(SUBSTITUTE(SUBSTITUTE(SUBSTITUTE(SUBSTITUTE(LOWER(Registro!$F211)," ",""),CHAR(10),"|"),";","|"),"+","|"),"|",REPT(" ",LEN(Registro!$F211))),({1,2,3,4,5,6,7,8,9,10,11,12,13,14,15,16,17,18,19,20,21,22,23,24,25,26,27,28,29,30}-1)*LEN(Registro!$F211)+1,LEN(Registro!$F211)))&amp;"x")-1))),"Revisar formato")))</f>
        <v/>
      </c>
      <c r="G211" s="24" t="str">
        <f>IF(Registro!$F211="","",IF(ISERROR(FIND("x",LOWER(Registro!$F211))),N(Registro!$G211),IFERROR(SUMPRODUCT(--("0"&amp;LEFT(TRIM(MID(SUBSTITUTE(SUBSTITUTE(SUBSTITUTE(SUBSTITUTE(SUBSTITUTE(LOWER(Registro!$F211)," ",""),CHAR(10),"|"),";","|"),"+","|"),"|",REPT(" ",LEN(Registro!$F211))),({1,2,3,4,5,6,7,8,9,10,11,12,13,14,15,16,17,18,19,20,21,22,23,24,25,26,27,28,29,30}-1)*LEN(Registro!$F211)+1,LEN(Registro!$F211))),FIND("x",TRIM(MID(SUBSTITUTE(SUBSTITUTE(SUBSTITUTE(SUBSTITUTE(SUBSTITUTE(LOWER(Registro!$F211)," ",""),CHAR(10),"|"),";","|"),"+","|"),"|",REPT(" ",LEN(Registro!$F211))),({1,2,3,4,5,6,7,8,9,10,11,12,13,14,15,16,17,18,19,20,21,22,23,24,25,26,27,28,29,30}-1)*LEN(Registro!$F211)+1,LEN(Registro!$F211)))&amp;"x")-1)),--("0"&amp;MID(TRIM(MID(SUBSTITUTE(SUBSTITUTE(SUBSTITUTE(SUBSTITUTE(SUBSTITUTE(LOWER(Registro!$F211)," ",""),CHAR(10),"|"),";","|"),"+","|"),"|",REPT(" ",LEN(Registro!$F211))),({1,2,3,4,5,6,7,8,9,10,11,12,13,14,15,16,17,18,19,20,21,22,23,24,25,26,27,28,29,30}-1)*LEN(Registro!$F211)+1,LEN(Registro!$F211))),FIND("x",TRIM(MID(SUBSTITUTE(SUBSTITUTE(SUBSTITUTE(SUBSTITUTE(SUBSTITUTE(LOWER(Registro!$F211)," ",""),CHAR(10),"|"),";","|"),"+","|"),"|",REPT(" ",LEN(Registro!$F211))),({1,2,3,4,5,6,7,8,9,10,11,12,13,14,15,16,17,18,19,20,21,22,23,24,25,26,27,28,29,30}-1)*LEN(Registro!$F211)+1,LEN(Registro!$F211)))&amp;"x")+1,20))),"Revisar formato")))</f>
        <v/>
      </c>
      <c r="H211" s="21" t="str">
        <f>IF(AND(Registro!$E211="",Registro!$F211=""),"",IF(NOT(AND(ISNUMBER(G211),ISNUMBER(Registro!$G211))),"",IF(G211&lt;Registro!$G211,"FALTA BOLETOS",IF(G211=Registro!$G211,"CONFORME","DIFERENCIA"))))</f>
        <v/>
      </c>
      <c r="I211" s="24" t="str">
        <f>IF(Registro!$H211="","",IFERROR(SUMPRODUCT(--("0"&amp;TRIM(RIGHT(SUBSTITUTE(TRIM(MID(SUBSTITUTE(SUBSTITUTE(Registro!$H211,";",CHAR(10)),CHAR(10),REPT(" ",LEN(Registro!$H211))),({1,2,3,4,5,6,7,8,9,10,11,12,13,14,15,16,17,18,19,20,21,22,23,24,25,26,27,28,29,30}-1)*LEN(Registro!$H211)+1,LEN(Registro!$H211)))," ",REPT(" ",50)),50)))),"Revisar formato"))</f>
        <v/>
      </c>
      <c r="J211" s="24" t="str">
        <f>IF(Registro!$I211="","",IFERROR(SUMPRODUCT(--("0"&amp;TRIM(RIGHT(SUBSTITUTE(TRIM(MID(SUBSTITUTE(SUBSTITUTE(Registro!$I211,";",CHAR(10)),CHAR(10),REPT(" ",LEN(Registro!$I211))),({1,2,3,4,5,6,7,8,9,10,11,12,13,14,15,16,17,18,19,20,21,22,23,24,25,26,27,28,29,30}-1)*LEN(Registro!$I211)+1,LEN(Registro!$I211)))," ",REPT(" ",50)),50)))),"Revisar formato"))</f>
        <v/>
      </c>
      <c r="K211" s="24" t="str">
        <f>IF(AND(Registro!$G211="",Registro!$H211=""),"",IF(AND(ISTEXT(I211),I211&lt;&gt;""),"Revisar formato",N(Registro!$G211)-N(I211)))</f>
        <v/>
      </c>
      <c r="L211" s="24" t="str">
        <f t="shared" si="7"/>
        <v/>
      </c>
      <c r="M211" s="36" t="str">
        <f>IF(AND(A211=Consulta!$B$3,C211=Consulta!$H$3),B211*10000+ROW(),"")</f>
        <v/>
      </c>
    </row>
    <row r="212" spans="1:13" x14ac:dyDescent="0.25">
      <c r="A212" s="21" t="str">
        <f>IF(Registro!$A212="","",Registro!$A212)</f>
        <v/>
      </c>
      <c r="B212" s="20" t="str">
        <f>IF(Registro!$B212="","",Registro!$B212)</f>
        <v/>
      </c>
      <c r="C212" s="35" t="str">
        <f t="shared" si="6"/>
        <v/>
      </c>
      <c r="D212" s="23" t="str">
        <f>IF(Registro!$E212="","",IF(ISERROR(FIND("x",LOWER(Registro!$E212))),"-",IFERROR(SUMPRODUCT(--("0"&amp;LEFT(TRIM(MID(SUBSTITUTE(SUBSTITUTE(SUBSTITUTE(SUBSTITUTE(SUBSTITUTE(LOWER(Registro!$E212),"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",LEN(Registro!$E212))),({1,2,3,4,5,6,7,8,9,10,11,12,13,14,15,16,17,18,19,20,21,22,23,24,25,26,27,28,29,30}-1)*LEN(Registro!$E212)+1,LEN(Registro!$E212))),FIND("x",TRIM(MID(SUBSTITUTE(SUBSTITUTE(SUBSTITUTE(SUBSTITUTE(SUBSTITUTE(LOWER(Registro!$E212),"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",LEN(Registro!$E212))),({1,2,3,4,5,6,7,8,9,10,11,12,13,14,15,16,17,18,19,20,21,22,23,24,25,26,27,28,29,30}-1)*LEN(Registro!$E212)+1,LEN(Registro!$E212)))&amp;"x")-1))),"Revisar formato")))</f>
        <v/>
      </c>
      <c r="E212" s="24" t="str">
        <f>IF(Registro!$E212="","",IF(ISERROR(FIND("x",LOWER(Registro!$E212))),"-",IFERROR(SUMPRODUCT(--("0"&amp;LEFT(TRIM(MID(SUBSTITUTE(SUBSTITUTE(SUBSTITUTE(SUBSTITUTE(SUBSTITUTE(LOWER(Registro!$E212),"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",LEN(Registro!$E212))),({1,2,3,4,5,6,7,8,9,10,11,12,13,14,15,16,17,18,19,20,21,22,23,24,25,26,27,28,29,30}-1)*LEN(Registro!$E212)+1,LEN(Registro!$E212))),FIND("x",TRIM(MID(SUBSTITUTE(SUBSTITUTE(SUBSTITUTE(SUBSTITUTE(SUBSTITUTE(LOWER(Registro!$E212),"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",LEN(Registro!$E212))),({1,2,3,4,5,6,7,8,9,10,11,12,13,14,15,16,17,18,19,20,21,22,23,24,25,26,27,28,29,30}-1)*LEN(Registro!$E212)+1,LEN(Registro!$E212)))&amp;"x")-1)),--("0"&amp;MID(TRIM(MID(SUBSTITUTE(SUBSTITUTE(SUBSTITUTE(SUBSTITUTE(SUBSTITUTE(LOWER(Registro!$E212),"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",LEN(Registro!$E212))),({1,2,3,4,5,6,7,8,9,10,11,12,13,14,15,16,17,18,19,20,21,22,23,24,25,26,27,28,29,30}-1)*LEN(Registro!$E212)+1,LEN(Registro!$E212))),FIND("x",TRIM(MID(SUBSTITUTE(SUBSTITUTE(SUBSTITUTE(SUBSTITUTE(SUBSTITUTE(LOWER(Registro!$E212),"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",LEN(Registro!$E212))),({1,2,3,4,5,6,7,8,9,10,11,12,13,14,15,16,17,18,19,20,21,22,23,24,25,26,27,28,29,30}-1)*LEN(Registro!$E212)+1,LEN(Registro!$E212)))&amp;"x")+1,20))),"Revisar formato")))</f>
        <v/>
      </c>
      <c r="F212" s="23" t="str">
        <f>IF(Registro!$F212="","",IF(ISERROR(FIND("x",LOWER(Registro!$F212))),"-",IFERROR(SUMPRODUCT(--("0"&amp;LEFT(TRIM(MID(SUBSTITUTE(SUBSTITUTE(SUBSTITUTE(SUBSTITUTE(SUBSTITUTE(LOWER(Registro!$F212)," ",""),CHAR(10),"|"),";","|"),"+","|"),"|",REPT(" ",LEN(Registro!$F212))),({1,2,3,4,5,6,7,8,9,10,11,12,13,14,15,16,17,18,19,20,21,22,23,24,25,26,27,28,29,30}-1)*LEN(Registro!$F212)+1,LEN(Registro!$F212))),FIND("x",TRIM(MID(SUBSTITUTE(SUBSTITUTE(SUBSTITUTE(SUBSTITUTE(SUBSTITUTE(LOWER(Registro!$F212)," ",""),CHAR(10),"|"),";","|"),"+","|"),"|",REPT(" ",LEN(Registro!$F212))),({1,2,3,4,5,6,7,8,9,10,11,12,13,14,15,16,17,18,19,20,21,22,23,24,25,26,27,28,29,30}-1)*LEN(Registro!$F212)+1,LEN(Registro!$F212)))&amp;"x")-1))),"Revisar formato")))</f>
        <v/>
      </c>
      <c r="G212" s="24" t="str">
        <f>IF(Registro!$F212="","",IF(ISERROR(FIND("x",LOWER(Registro!$F212))),N(Registro!$G212),IFERROR(SUMPRODUCT(--("0"&amp;LEFT(TRIM(MID(SUBSTITUTE(SUBSTITUTE(SUBSTITUTE(SUBSTITUTE(SUBSTITUTE(LOWER(Registro!$F212)," ",""),CHAR(10),"|"),";","|"),"+","|"),"|",REPT(" ",LEN(Registro!$F212))),({1,2,3,4,5,6,7,8,9,10,11,12,13,14,15,16,17,18,19,20,21,22,23,24,25,26,27,28,29,30}-1)*LEN(Registro!$F212)+1,LEN(Registro!$F212))),FIND("x",TRIM(MID(SUBSTITUTE(SUBSTITUTE(SUBSTITUTE(SUBSTITUTE(SUBSTITUTE(LOWER(Registro!$F212)," ",""),CHAR(10),"|"),";","|"),"+","|"),"|",REPT(" ",LEN(Registro!$F212))),({1,2,3,4,5,6,7,8,9,10,11,12,13,14,15,16,17,18,19,20,21,22,23,24,25,26,27,28,29,30}-1)*LEN(Registro!$F212)+1,LEN(Registro!$F212)))&amp;"x")-1)),--("0"&amp;MID(TRIM(MID(SUBSTITUTE(SUBSTITUTE(SUBSTITUTE(SUBSTITUTE(SUBSTITUTE(LOWER(Registro!$F212)," ",""),CHAR(10),"|"),";","|"),"+","|"),"|",REPT(" ",LEN(Registro!$F212))),({1,2,3,4,5,6,7,8,9,10,11,12,13,14,15,16,17,18,19,20,21,22,23,24,25,26,27,28,29,30}-1)*LEN(Registro!$F212)+1,LEN(Registro!$F212))),FIND("x",TRIM(MID(SUBSTITUTE(SUBSTITUTE(SUBSTITUTE(SUBSTITUTE(SUBSTITUTE(LOWER(Registro!$F212)," ",""),CHAR(10),"|"),";","|"),"+","|"),"|",REPT(" ",LEN(Registro!$F212))),({1,2,3,4,5,6,7,8,9,10,11,12,13,14,15,16,17,18,19,20,21,22,23,24,25,26,27,28,29,30}-1)*LEN(Registro!$F212)+1,LEN(Registro!$F212)))&amp;"x")+1,20))),"Revisar formato")))</f>
        <v/>
      </c>
      <c r="H212" s="21" t="str">
        <f>IF(AND(Registro!$E212="",Registro!$F212=""),"",IF(NOT(AND(ISNUMBER(G212),ISNUMBER(Registro!$G212))),"",IF(G212&lt;Registro!$G212,"FALTA BOLETOS",IF(G212=Registro!$G212,"CONFORME","DIFERENCIA"))))</f>
        <v/>
      </c>
      <c r="I212" s="24" t="str">
        <f>IF(Registro!$H212="","",IFERROR(SUMPRODUCT(--("0"&amp;TRIM(RIGHT(SUBSTITUTE(TRIM(MID(SUBSTITUTE(SUBSTITUTE(Registro!$H212,";",CHAR(10)),CHAR(10),REPT(" ",LEN(Registro!$H212))),({1,2,3,4,5,6,7,8,9,10,11,12,13,14,15,16,17,18,19,20,21,22,23,24,25,26,27,28,29,30}-1)*LEN(Registro!$H212)+1,LEN(Registro!$H212)))," ",REPT(" ",50)),50)))),"Revisar formato"))</f>
        <v/>
      </c>
      <c r="J212" s="24" t="str">
        <f>IF(Registro!$I212="","",IFERROR(SUMPRODUCT(--("0"&amp;TRIM(RIGHT(SUBSTITUTE(TRIM(MID(SUBSTITUTE(SUBSTITUTE(Registro!$I212,";",CHAR(10)),CHAR(10),REPT(" ",LEN(Registro!$I212))),({1,2,3,4,5,6,7,8,9,10,11,12,13,14,15,16,17,18,19,20,21,22,23,24,25,26,27,28,29,30}-1)*LEN(Registro!$I212)+1,LEN(Registro!$I212)))," ",REPT(" ",50)),50)))),"Revisar formato"))</f>
        <v/>
      </c>
      <c r="K212" s="24" t="str">
        <f>IF(AND(Registro!$G212="",Registro!$H212=""),"",IF(AND(ISTEXT(I212),I212&lt;&gt;""),"Revisar formato",N(Registro!$G212)-N(I212)))</f>
        <v/>
      </c>
      <c r="L212" s="24" t="str">
        <f t="shared" si="7"/>
        <v/>
      </c>
      <c r="M212" s="36" t="str">
        <f>IF(AND(A212=Consulta!$B$3,C212=Consulta!$H$3),B212*10000+ROW(),"")</f>
        <v/>
      </c>
    </row>
    <row r="213" spans="1:13" x14ac:dyDescent="0.25">
      <c r="A213" s="21" t="str">
        <f>IF(Registro!$A213="","",Registro!$A213)</f>
        <v/>
      </c>
      <c r="B213" s="20" t="str">
        <f>IF(Registro!$B213="","",Registro!$B213)</f>
        <v/>
      </c>
      <c r="C213" s="35" t="str">
        <f t="shared" si="6"/>
        <v/>
      </c>
      <c r="D213" s="23" t="str">
        <f>IF(Registro!$E213="","",IF(ISERROR(FIND("x",LOWER(Registro!$E213))),"-",IFERROR(SUMPRODUCT(--("0"&amp;LEFT(TRIM(MID(SUBSTITUTE(SUBSTITUTE(SUBSTITUTE(SUBSTITUTE(SUBSTITUTE(LOWER(Registro!$E213),"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",LEN(Registro!$E213))),({1,2,3,4,5,6,7,8,9,10,11,12,13,14,15,16,17,18,19,20,21,22,23,24,25,26,27,28,29,30}-1)*LEN(Registro!$E213)+1,LEN(Registro!$E213))),FIND("x",TRIM(MID(SUBSTITUTE(SUBSTITUTE(SUBSTITUTE(SUBSTITUTE(SUBSTITUTE(LOWER(Registro!$E213),"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",LEN(Registro!$E213))),({1,2,3,4,5,6,7,8,9,10,11,12,13,14,15,16,17,18,19,20,21,22,23,24,25,26,27,28,29,30}-1)*LEN(Registro!$E213)+1,LEN(Registro!$E213)))&amp;"x")-1))),"Revisar formato")))</f>
        <v/>
      </c>
      <c r="E213" s="24" t="str">
        <f>IF(Registro!$E213="","",IF(ISERROR(FIND("x",LOWER(Registro!$E213))),"-",IFERROR(SUMPRODUCT(--("0"&amp;LEFT(TRIM(MID(SUBSTITUTE(SUBSTITUTE(SUBSTITUTE(SUBSTITUTE(SUBSTITUTE(LOWER(Registro!$E213),"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",LEN(Registro!$E213))),({1,2,3,4,5,6,7,8,9,10,11,12,13,14,15,16,17,18,19,20,21,22,23,24,25,26,27,28,29,30}-1)*LEN(Registro!$E213)+1,LEN(Registro!$E213))),FIND("x",TRIM(MID(SUBSTITUTE(SUBSTITUTE(SUBSTITUTE(SUBSTITUTE(SUBSTITUTE(LOWER(Registro!$E213),"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",LEN(Registro!$E213))),({1,2,3,4,5,6,7,8,9,10,11,12,13,14,15,16,17,18,19,20,21,22,23,24,25,26,27,28,29,30}-1)*LEN(Registro!$E213)+1,LEN(Registro!$E213)))&amp;"x")-1)),--("0"&amp;MID(TRIM(MID(SUBSTITUTE(SUBSTITUTE(SUBSTITUTE(SUBSTITUTE(SUBSTITUTE(LOWER(Registro!$E213),"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",LEN(Registro!$E213))),({1,2,3,4,5,6,7,8,9,10,11,12,13,14,15,16,17,18,19,20,21,22,23,24,25,26,27,28,29,30}-1)*LEN(Registro!$E213)+1,LEN(Registro!$E213))),FIND("x",TRIM(MID(SUBSTITUTE(SUBSTITUTE(SUBSTITUTE(SUBSTITUTE(SUBSTITUTE(LOWER(Registro!$E213),"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",LEN(Registro!$E213))),({1,2,3,4,5,6,7,8,9,10,11,12,13,14,15,16,17,18,19,20,21,22,23,24,25,26,27,28,29,30}-1)*LEN(Registro!$E213)+1,LEN(Registro!$E213)))&amp;"x")+1,20))),"Revisar formato")))</f>
        <v/>
      </c>
      <c r="F213" s="23" t="str">
        <f>IF(Registro!$F213="","",IF(ISERROR(FIND("x",LOWER(Registro!$F213))),"-",IFERROR(SUMPRODUCT(--("0"&amp;LEFT(TRIM(MID(SUBSTITUTE(SUBSTITUTE(SUBSTITUTE(SUBSTITUTE(SUBSTITUTE(LOWER(Registro!$F213)," ",""),CHAR(10),"|"),";","|"),"+","|"),"|",REPT(" ",LEN(Registro!$F213))),({1,2,3,4,5,6,7,8,9,10,11,12,13,14,15,16,17,18,19,20,21,22,23,24,25,26,27,28,29,30}-1)*LEN(Registro!$F213)+1,LEN(Registro!$F213))),FIND("x",TRIM(MID(SUBSTITUTE(SUBSTITUTE(SUBSTITUTE(SUBSTITUTE(SUBSTITUTE(LOWER(Registro!$F213)," ",""),CHAR(10),"|"),";","|"),"+","|"),"|",REPT(" ",LEN(Registro!$F213))),({1,2,3,4,5,6,7,8,9,10,11,12,13,14,15,16,17,18,19,20,21,22,23,24,25,26,27,28,29,30}-1)*LEN(Registro!$F213)+1,LEN(Registro!$F213)))&amp;"x")-1))),"Revisar formato")))</f>
        <v/>
      </c>
      <c r="G213" s="24" t="str">
        <f>IF(Registro!$F213="","",IF(ISERROR(FIND("x",LOWER(Registro!$F213))),N(Registro!$G213),IFERROR(SUMPRODUCT(--("0"&amp;LEFT(TRIM(MID(SUBSTITUTE(SUBSTITUTE(SUBSTITUTE(SUBSTITUTE(SUBSTITUTE(LOWER(Registro!$F213)," ",""),CHAR(10),"|"),";","|"),"+","|"),"|",REPT(" ",LEN(Registro!$F213))),({1,2,3,4,5,6,7,8,9,10,11,12,13,14,15,16,17,18,19,20,21,22,23,24,25,26,27,28,29,30}-1)*LEN(Registro!$F213)+1,LEN(Registro!$F213))),FIND("x",TRIM(MID(SUBSTITUTE(SUBSTITUTE(SUBSTITUTE(SUBSTITUTE(SUBSTITUTE(LOWER(Registro!$F213)," ",""),CHAR(10),"|"),";","|"),"+","|"),"|",REPT(" ",LEN(Registro!$F213))),({1,2,3,4,5,6,7,8,9,10,11,12,13,14,15,16,17,18,19,20,21,22,23,24,25,26,27,28,29,30}-1)*LEN(Registro!$F213)+1,LEN(Registro!$F213)))&amp;"x")-1)),--("0"&amp;MID(TRIM(MID(SUBSTITUTE(SUBSTITUTE(SUBSTITUTE(SUBSTITUTE(SUBSTITUTE(LOWER(Registro!$F213)," ",""),CHAR(10),"|"),";","|"),"+","|"),"|",REPT(" ",LEN(Registro!$F213))),({1,2,3,4,5,6,7,8,9,10,11,12,13,14,15,16,17,18,19,20,21,22,23,24,25,26,27,28,29,30}-1)*LEN(Registro!$F213)+1,LEN(Registro!$F213))),FIND("x",TRIM(MID(SUBSTITUTE(SUBSTITUTE(SUBSTITUTE(SUBSTITUTE(SUBSTITUTE(LOWER(Registro!$F213)," ",""),CHAR(10),"|"),";","|"),"+","|"),"|",REPT(" ",LEN(Registro!$F213))),({1,2,3,4,5,6,7,8,9,10,11,12,13,14,15,16,17,18,19,20,21,22,23,24,25,26,27,28,29,30}-1)*LEN(Registro!$F213)+1,LEN(Registro!$F213)))&amp;"x")+1,20))),"Revisar formato")))</f>
        <v/>
      </c>
      <c r="H213" s="21" t="str">
        <f>IF(AND(Registro!$E213="",Registro!$F213=""),"",IF(NOT(AND(ISNUMBER(G213),ISNUMBER(Registro!$G213))),"",IF(G213&lt;Registro!$G213,"FALTA BOLETOS",IF(G213=Registro!$G213,"CONFORME","DIFERENCIA"))))</f>
        <v/>
      </c>
      <c r="I213" s="24" t="str">
        <f>IF(Registro!$H213="","",IFERROR(SUMPRODUCT(--("0"&amp;TRIM(RIGHT(SUBSTITUTE(TRIM(MID(SUBSTITUTE(SUBSTITUTE(Registro!$H213,";",CHAR(10)),CHAR(10),REPT(" ",LEN(Registro!$H213))),({1,2,3,4,5,6,7,8,9,10,11,12,13,14,15,16,17,18,19,20,21,22,23,24,25,26,27,28,29,30}-1)*LEN(Registro!$H213)+1,LEN(Registro!$H213)))," ",REPT(" ",50)),50)))),"Revisar formato"))</f>
        <v/>
      </c>
      <c r="J213" s="24" t="str">
        <f>IF(Registro!$I213="","",IFERROR(SUMPRODUCT(--("0"&amp;TRIM(RIGHT(SUBSTITUTE(TRIM(MID(SUBSTITUTE(SUBSTITUTE(Registro!$I213,";",CHAR(10)),CHAR(10),REPT(" ",LEN(Registro!$I213))),({1,2,3,4,5,6,7,8,9,10,11,12,13,14,15,16,17,18,19,20,21,22,23,24,25,26,27,28,29,30}-1)*LEN(Registro!$I213)+1,LEN(Registro!$I213)))," ",REPT(" ",50)),50)))),"Revisar formato"))</f>
        <v/>
      </c>
      <c r="K213" s="24" t="str">
        <f>IF(AND(Registro!$G213="",Registro!$H213=""),"",IF(AND(ISTEXT(I213),I213&lt;&gt;""),"Revisar formato",N(Registro!$G213)-N(I213)))</f>
        <v/>
      </c>
      <c r="L213" s="24" t="str">
        <f t="shared" si="7"/>
        <v/>
      </c>
      <c r="M213" s="36" t="str">
        <f>IF(AND(A213=Consulta!$B$3,C213=Consulta!$H$3),B213*10000+ROW(),"")</f>
        <v/>
      </c>
    </row>
    <row r="214" spans="1:13" x14ac:dyDescent="0.25">
      <c r="A214" s="21" t="str">
        <f>IF(Registro!$A214="","",Registro!$A214)</f>
        <v/>
      </c>
      <c r="B214" s="20" t="str">
        <f>IF(Registro!$B214="","",Registro!$B214)</f>
        <v/>
      </c>
      <c r="C214" s="35" t="str">
        <f t="shared" si="6"/>
        <v/>
      </c>
      <c r="D214" s="23" t="str">
        <f>IF(Registro!$E214="","",IF(ISERROR(FIND("x",LOWER(Registro!$E214))),"-",IFERROR(SUMPRODUCT(--("0"&amp;LEFT(TRIM(MID(SUBSTITUTE(SUBSTITUTE(SUBSTITUTE(SUBSTITUTE(SUBSTITUTE(LOWER(Registro!$E214),"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",LEN(Registro!$E214))),({1,2,3,4,5,6,7,8,9,10,11,12,13,14,15,16,17,18,19,20,21,22,23,24,25,26,27,28,29,30}-1)*LEN(Registro!$E214)+1,LEN(Registro!$E214))),FIND("x",TRIM(MID(SUBSTITUTE(SUBSTITUTE(SUBSTITUTE(SUBSTITUTE(SUBSTITUTE(LOWER(Registro!$E214),"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",LEN(Registro!$E214))),({1,2,3,4,5,6,7,8,9,10,11,12,13,14,15,16,17,18,19,20,21,22,23,24,25,26,27,28,29,30}-1)*LEN(Registro!$E214)+1,LEN(Registro!$E214)))&amp;"x")-1))),"Revisar formato")))</f>
        <v/>
      </c>
      <c r="E214" s="24" t="str">
        <f>IF(Registro!$E214="","",IF(ISERROR(FIND("x",LOWER(Registro!$E214))),"-",IFERROR(SUMPRODUCT(--("0"&amp;LEFT(TRIM(MID(SUBSTITUTE(SUBSTITUTE(SUBSTITUTE(SUBSTITUTE(SUBSTITUTE(LOWER(Registro!$E214),"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",LEN(Registro!$E214))),({1,2,3,4,5,6,7,8,9,10,11,12,13,14,15,16,17,18,19,20,21,22,23,24,25,26,27,28,29,30}-1)*LEN(Registro!$E214)+1,LEN(Registro!$E214))),FIND("x",TRIM(MID(SUBSTITUTE(SUBSTITUTE(SUBSTITUTE(SUBSTITUTE(SUBSTITUTE(LOWER(Registro!$E214),"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",LEN(Registro!$E214))),({1,2,3,4,5,6,7,8,9,10,11,12,13,14,15,16,17,18,19,20,21,22,23,24,25,26,27,28,29,30}-1)*LEN(Registro!$E214)+1,LEN(Registro!$E214)))&amp;"x")-1)),--("0"&amp;MID(TRIM(MID(SUBSTITUTE(SUBSTITUTE(SUBSTITUTE(SUBSTITUTE(SUBSTITUTE(LOWER(Registro!$E214),"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",LEN(Registro!$E214))),({1,2,3,4,5,6,7,8,9,10,11,12,13,14,15,16,17,18,19,20,21,22,23,24,25,26,27,28,29,30}-1)*LEN(Registro!$E214)+1,LEN(Registro!$E214))),FIND("x",TRIM(MID(SUBSTITUTE(SUBSTITUTE(SUBSTITUTE(SUBSTITUTE(SUBSTITUTE(LOWER(Registro!$E214),"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",LEN(Registro!$E214))),({1,2,3,4,5,6,7,8,9,10,11,12,13,14,15,16,17,18,19,20,21,22,23,24,25,26,27,28,29,30}-1)*LEN(Registro!$E214)+1,LEN(Registro!$E214)))&amp;"x")+1,20))),"Revisar formato")))</f>
        <v/>
      </c>
      <c r="F214" s="23" t="str">
        <f>IF(Registro!$F214="","",IF(ISERROR(FIND("x",LOWER(Registro!$F214))),"-",IFERROR(SUMPRODUCT(--("0"&amp;LEFT(TRIM(MID(SUBSTITUTE(SUBSTITUTE(SUBSTITUTE(SUBSTITUTE(SUBSTITUTE(LOWER(Registro!$F214)," ",""),CHAR(10),"|"),";","|"),"+","|"),"|",REPT(" ",LEN(Registro!$F214))),({1,2,3,4,5,6,7,8,9,10,11,12,13,14,15,16,17,18,19,20,21,22,23,24,25,26,27,28,29,30}-1)*LEN(Registro!$F214)+1,LEN(Registro!$F214))),FIND("x",TRIM(MID(SUBSTITUTE(SUBSTITUTE(SUBSTITUTE(SUBSTITUTE(SUBSTITUTE(LOWER(Registro!$F214)," ",""),CHAR(10),"|"),";","|"),"+","|"),"|",REPT(" ",LEN(Registro!$F214))),({1,2,3,4,5,6,7,8,9,10,11,12,13,14,15,16,17,18,19,20,21,22,23,24,25,26,27,28,29,30}-1)*LEN(Registro!$F214)+1,LEN(Registro!$F214)))&amp;"x")-1))),"Revisar formato")))</f>
        <v/>
      </c>
      <c r="G214" s="24" t="str">
        <f>IF(Registro!$F214="","",IF(ISERROR(FIND("x",LOWER(Registro!$F214))),N(Registro!$G214),IFERROR(SUMPRODUCT(--("0"&amp;LEFT(TRIM(MID(SUBSTITUTE(SUBSTITUTE(SUBSTITUTE(SUBSTITUTE(SUBSTITUTE(LOWER(Registro!$F214)," ",""),CHAR(10),"|"),";","|"),"+","|"),"|",REPT(" ",LEN(Registro!$F214))),({1,2,3,4,5,6,7,8,9,10,11,12,13,14,15,16,17,18,19,20,21,22,23,24,25,26,27,28,29,30}-1)*LEN(Registro!$F214)+1,LEN(Registro!$F214))),FIND("x",TRIM(MID(SUBSTITUTE(SUBSTITUTE(SUBSTITUTE(SUBSTITUTE(SUBSTITUTE(LOWER(Registro!$F214)," ",""),CHAR(10),"|"),";","|"),"+","|"),"|",REPT(" ",LEN(Registro!$F214))),({1,2,3,4,5,6,7,8,9,10,11,12,13,14,15,16,17,18,19,20,21,22,23,24,25,26,27,28,29,30}-1)*LEN(Registro!$F214)+1,LEN(Registro!$F214)))&amp;"x")-1)),--("0"&amp;MID(TRIM(MID(SUBSTITUTE(SUBSTITUTE(SUBSTITUTE(SUBSTITUTE(SUBSTITUTE(LOWER(Registro!$F214)," ",""),CHAR(10),"|"),";","|"),"+","|"),"|",REPT(" ",LEN(Registro!$F214))),({1,2,3,4,5,6,7,8,9,10,11,12,13,14,15,16,17,18,19,20,21,22,23,24,25,26,27,28,29,30}-1)*LEN(Registro!$F214)+1,LEN(Registro!$F214))),FIND("x",TRIM(MID(SUBSTITUTE(SUBSTITUTE(SUBSTITUTE(SUBSTITUTE(SUBSTITUTE(LOWER(Registro!$F214)," ",""),CHAR(10),"|"),";","|"),"+","|"),"|",REPT(" ",LEN(Registro!$F214))),({1,2,3,4,5,6,7,8,9,10,11,12,13,14,15,16,17,18,19,20,21,22,23,24,25,26,27,28,29,30}-1)*LEN(Registro!$F214)+1,LEN(Registro!$F214)))&amp;"x")+1,20))),"Revisar formato")))</f>
        <v/>
      </c>
      <c r="H214" s="21" t="str">
        <f>IF(AND(Registro!$E214="",Registro!$F214=""),"",IF(NOT(AND(ISNUMBER(G214),ISNUMBER(Registro!$G214))),"",IF(G214&lt;Registro!$G214,"FALTA BOLETOS",IF(G214=Registro!$G214,"CONFORME","DIFERENCIA"))))</f>
        <v/>
      </c>
      <c r="I214" s="24" t="str">
        <f>IF(Registro!$H214="","",IFERROR(SUMPRODUCT(--("0"&amp;TRIM(RIGHT(SUBSTITUTE(TRIM(MID(SUBSTITUTE(SUBSTITUTE(Registro!$H214,";",CHAR(10)),CHAR(10),REPT(" ",LEN(Registro!$H214))),({1,2,3,4,5,6,7,8,9,10,11,12,13,14,15,16,17,18,19,20,21,22,23,24,25,26,27,28,29,30}-1)*LEN(Registro!$H214)+1,LEN(Registro!$H214)))," ",REPT(" ",50)),50)))),"Revisar formato"))</f>
        <v/>
      </c>
      <c r="J214" s="24" t="str">
        <f>IF(Registro!$I214="","",IFERROR(SUMPRODUCT(--("0"&amp;TRIM(RIGHT(SUBSTITUTE(TRIM(MID(SUBSTITUTE(SUBSTITUTE(Registro!$I214,";",CHAR(10)),CHAR(10),REPT(" ",LEN(Registro!$I214))),({1,2,3,4,5,6,7,8,9,10,11,12,13,14,15,16,17,18,19,20,21,22,23,24,25,26,27,28,29,30}-1)*LEN(Registro!$I214)+1,LEN(Registro!$I214)))," ",REPT(" ",50)),50)))),"Revisar formato"))</f>
        <v/>
      </c>
      <c r="K214" s="24" t="str">
        <f>IF(AND(Registro!$G214="",Registro!$H214=""),"",IF(AND(ISTEXT(I214),I214&lt;&gt;""),"Revisar formato",N(Registro!$G214)-N(I214)))</f>
        <v/>
      </c>
      <c r="L214" s="24" t="str">
        <f t="shared" si="7"/>
        <v/>
      </c>
      <c r="M214" s="36" t="str">
        <f>IF(AND(A214=Consulta!$B$3,C214=Consulta!$H$3),B214*10000+ROW(),"")</f>
        <v/>
      </c>
    </row>
    <row r="215" spans="1:13" x14ac:dyDescent="0.25">
      <c r="A215" s="21" t="str">
        <f>IF(Registro!$A215="","",Registro!$A215)</f>
        <v/>
      </c>
      <c r="B215" s="20" t="str">
        <f>IF(Registro!$B215="","",Registro!$B215)</f>
        <v/>
      </c>
      <c r="C215" s="35" t="str">
        <f t="shared" si="6"/>
        <v/>
      </c>
      <c r="D215" s="23" t="str">
        <f>IF(Registro!$E215="","",IF(ISERROR(FIND("x",LOWER(Registro!$E215))),"-",IFERROR(SUMPRODUCT(--("0"&amp;LEFT(TRIM(MID(SUBSTITUTE(SUBSTITUTE(SUBSTITUTE(SUBSTITUTE(SUBSTITUTE(LOWER(Registro!$E215),"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",LEN(Registro!$E215))),({1,2,3,4,5,6,7,8,9,10,11,12,13,14,15,16,17,18,19,20,21,22,23,24,25,26,27,28,29,30}-1)*LEN(Registro!$E215)+1,LEN(Registro!$E215))),FIND("x",TRIM(MID(SUBSTITUTE(SUBSTITUTE(SUBSTITUTE(SUBSTITUTE(SUBSTITUTE(LOWER(Registro!$E215),"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",LEN(Registro!$E215))),({1,2,3,4,5,6,7,8,9,10,11,12,13,14,15,16,17,18,19,20,21,22,23,24,25,26,27,28,29,30}-1)*LEN(Registro!$E215)+1,LEN(Registro!$E215)))&amp;"x")-1))),"Revisar formato")))</f>
        <v/>
      </c>
      <c r="E215" s="24" t="str">
        <f>IF(Registro!$E215="","",IF(ISERROR(FIND("x",LOWER(Registro!$E215))),"-",IFERROR(SUMPRODUCT(--("0"&amp;LEFT(TRIM(MID(SUBSTITUTE(SUBSTITUTE(SUBSTITUTE(SUBSTITUTE(SUBSTITUTE(LOWER(Registro!$E215),"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",LEN(Registro!$E215))),({1,2,3,4,5,6,7,8,9,10,11,12,13,14,15,16,17,18,19,20,21,22,23,24,25,26,27,28,29,30}-1)*LEN(Registro!$E215)+1,LEN(Registro!$E215))),FIND("x",TRIM(MID(SUBSTITUTE(SUBSTITUTE(SUBSTITUTE(SUBSTITUTE(SUBSTITUTE(LOWER(Registro!$E215),"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",LEN(Registro!$E215))),({1,2,3,4,5,6,7,8,9,10,11,12,13,14,15,16,17,18,19,20,21,22,23,24,25,26,27,28,29,30}-1)*LEN(Registro!$E215)+1,LEN(Registro!$E215)))&amp;"x")-1)),--("0"&amp;MID(TRIM(MID(SUBSTITUTE(SUBSTITUTE(SUBSTITUTE(SUBSTITUTE(SUBSTITUTE(LOWER(Registro!$E215),"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",LEN(Registro!$E215))),({1,2,3,4,5,6,7,8,9,10,11,12,13,14,15,16,17,18,19,20,21,22,23,24,25,26,27,28,29,30}-1)*LEN(Registro!$E215)+1,LEN(Registro!$E215))),FIND("x",TRIM(MID(SUBSTITUTE(SUBSTITUTE(SUBSTITUTE(SUBSTITUTE(SUBSTITUTE(LOWER(Registro!$E215),"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",LEN(Registro!$E215))),({1,2,3,4,5,6,7,8,9,10,11,12,13,14,15,16,17,18,19,20,21,22,23,24,25,26,27,28,29,30}-1)*LEN(Registro!$E215)+1,LEN(Registro!$E215)))&amp;"x")+1,20))),"Revisar formato")))</f>
        <v/>
      </c>
      <c r="F215" s="23" t="str">
        <f>IF(Registro!$F215="","",IF(ISERROR(FIND("x",LOWER(Registro!$F215))),"-",IFERROR(SUMPRODUCT(--("0"&amp;LEFT(TRIM(MID(SUBSTITUTE(SUBSTITUTE(SUBSTITUTE(SUBSTITUTE(SUBSTITUTE(LOWER(Registro!$F215)," ",""),CHAR(10),"|"),";","|"),"+","|"),"|",REPT(" ",LEN(Registro!$F215))),({1,2,3,4,5,6,7,8,9,10,11,12,13,14,15,16,17,18,19,20,21,22,23,24,25,26,27,28,29,30}-1)*LEN(Registro!$F215)+1,LEN(Registro!$F215))),FIND("x",TRIM(MID(SUBSTITUTE(SUBSTITUTE(SUBSTITUTE(SUBSTITUTE(SUBSTITUTE(LOWER(Registro!$F215)," ",""),CHAR(10),"|"),";","|"),"+","|"),"|",REPT(" ",LEN(Registro!$F215))),({1,2,3,4,5,6,7,8,9,10,11,12,13,14,15,16,17,18,19,20,21,22,23,24,25,26,27,28,29,30}-1)*LEN(Registro!$F215)+1,LEN(Registro!$F215)))&amp;"x")-1))),"Revisar formato")))</f>
        <v/>
      </c>
      <c r="G215" s="24" t="str">
        <f>IF(Registro!$F215="","",IF(ISERROR(FIND("x",LOWER(Registro!$F215))),N(Registro!$G215),IFERROR(SUMPRODUCT(--("0"&amp;LEFT(TRIM(MID(SUBSTITUTE(SUBSTITUTE(SUBSTITUTE(SUBSTITUTE(SUBSTITUTE(LOWER(Registro!$F215)," ",""),CHAR(10),"|"),";","|"),"+","|"),"|",REPT(" ",LEN(Registro!$F215))),({1,2,3,4,5,6,7,8,9,10,11,12,13,14,15,16,17,18,19,20,21,22,23,24,25,26,27,28,29,30}-1)*LEN(Registro!$F215)+1,LEN(Registro!$F215))),FIND("x",TRIM(MID(SUBSTITUTE(SUBSTITUTE(SUBSTITUTE(SUBSTITUTE(SUBSTITUTE(LOWER(Registro!$F215)," ",""),CHAR(10),"|"),";","|"),"+","|"),"|",REPT(" ",LEN(Registro!$F215))),({1,2,3,4,5,6,7,8,9,10,11,12,13,14,15,16,17,18,19,20,21,22,23,24,25,26,27,28,29,30}-1)*LEN(Registro!$F215)+1,LEN(Registro!$F215)))&amp;"x")-1)),--("0"&amp;MID(TRIM(MID(SUBSTITUTE(SUBSTITUTE(SUBSTITUTE(SUBSTITUTE(SUBSTITUTE(LOWER(Registro!$F215)," ",""),CHAR(10),"|"),";","|"),"+","|"),"|",REPT(" ",LEN(Registro!$F215))),({1,2,3,4,5,6,7,8,9,10,11,12,13,14,15,16,17,18,19,20,21,22,23,24,25,26,27,28,29,30}-1)*LEN(Registro!$F215)+1,LEN(Registro!$F215))),FIND("x",TRIM(MID(SUBSTITUTE(SUBSTITUTE(SUBSTITUTE(SUBSTITUTE(SUBSTITUTE(LOWER(Registro!$F215)," ",""),CHAR(10),"|"),";","|"),"+","|"),"|",REPT(" ",LEN(Registro!$F215))),({1,2,3,4,5,6,7,8,9,10,11,12,13,14,15,16,17,18,19,20,21,22,23,24,25,26,27,28,29,30}-1)*LEN(Registro!$F215)+1,LEN(Registro!$F215)))&amp;"x")+1,20))),"Revisar formato")))</f>
        <v/>
      </c>
      <c r="H215" s="21" t="str">
        <f>IF(AND(Registro!$E215="",Registro!$F215=""),"",IF(NOT(AND(ISNUMBER(G215),ISNUMBER(Registro!$G215))),"",IF(G215&lt;Registro!$G215,"FALTA BOLETOS",IF(G215=Registro!$G215,"CONFORME","DIFERENCIA"))))</f>
        <v/>
      </c>
      <c r="I215" s="24" t="str">
        <f>IF(Registro!$H215="","",IFERROR(SUMPRODUCT(--("0"&amp;TRIM(RIGHT(SUBSTITUTE(TRIM(MID(SUBSTITUTE(SUBSTITUTE(Registro!$H215,";",CHAR(10)),CHAR(10),REPT(" ",LEN(Registro!$H215))),({1,2,3,4,5,6,7,8,9,10,11,12,13,14,15,16,17,18,19,20,21,22,23,24,25,26,27,28,29,30}-1)*LEN(Registro!$H215)+1,LEN(Registro!$H215)))," ",REPT(" ",50)),50)))),"Revisar formato"))</f>
        <v/>
      </c>
      <c r="J215" s="24" t="str">
        <f>IF(Registro!$I215="","",IFERROR(SUMPRODUCT(--("0"&amp;TRIM(RIGHT(SUBSTITUTE(TRIM(MID(SUBSTITUTE(SUBSTITUTE(Registro!$I215,";",CHAR(10)),CHAR(10),REPT(" ",LEN(Registro!$I215))),({1,2,3,4,5,6,7,8,9,10,11,12,13,14,15,16,17,18,19,20,21,22,23,24,25,26,27,28,29,30}-1)*LEN(Registro!$I215)+1,LEN(Registro!$I215)))," ",REPT(" ",50)),50)))),"Revisar formato"))</f>
        <v/>
      </c>
      <c r="K215" s="24" t="str">
        <f>IF(AND(Registro!$G215="",Registro!$H215=""),"",IF(AND(ISTEXT(I215),I215&lt;&gt;""),"Revisar formato",N(Registro!$G215)-N(I215)))</f>
        <v/>
      </c>
      <c r="L215" s="24" t="str">
        <f t="shared" si="7"/>
        <v/>
      </c>
      <c r="M215" s="36" t="str">
        <f>IF(AND(A215=Consulta!$B$3,C215=Consulta!$H$3),B215*10000+ROW(),"")</f>
        <v/>
      </c>
    </row>
    <row r="216" spans="1:13" x14ac:dyDescent="0.25">
      <c r="A216" s="21" t="str">
        <f>IF(Registro!$A216="","",Registro!$A216)</f>
        <v/>
      </c>
      <c r="B216" s="20" t="str">
        <f>IF(Registro!$B216="","",Registro!$B216)</f>
        <v/>
      </c>
      <c r="C216" s="35" t="str">
        <f t="shared" si="6"/>
        <v/>
      </c>
      <c r="D216" s="23" t="str">
        <f>IF(Registro!$E216="","",IF(ISERROR(FIND("x",LOWER(Registro!$E216))),"-",IFERROR(SUMPRODUCT(--("0"&amp;LEFT(TRIM(MID(SUBSTITUTE(SUBSTITUTE(SUBSTITUTE(SUBSTITUTE(SUBSTITUTE(LOWER(Registro!$E216),"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",LEN(Registro!$E216))),({1,2,3,4,5,6,7,8,9,10,11,12,13,14,15,16,17,18,19,20,21,22,23,24,25,26,27,28,29,30}-1)*LEN(Registro!$E216)+1,LEN(Registro!$E216))),FIND("x",TRIM(MID(SUBSTITUTE(SUBSTITUTE(SUBSTITUTE(SUBSTITUTE(SUBSTITUTE(LOWER(Registro!$E216),"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",LEN(Registro!$E216))),({1,2,3,4,5,6,7,8,9,10,11,12,13,14,15,16,17,18,19,20,21,22,23,24,25,26,27,28,29,30}-1)*LEN(Registro!$E216)+1,LEN(Registro!$E216)))&amp;"x")-1))),"Revisar formato")))</f>
        <v/>
      </c>
      <c r="E216" s="24" t="str">
        <f>IF(Registro!$E216="","",IF(ISERROR(FIND("x",LOWER(Registro!$E216))),"-",IFERROR(SUMPRODUCT(--("0"&amp;LEFT(TRIM(MID(SUBSTITUTE(SUBSTITUTE(SUBSTITUTE(SUBSTITUTE(SUBSTITUTE(LOWER(Registro!$E216),"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",LEN(Registro!$E216))),({1,2,3,4,5,6,7,8,9,10,11,12,13,14,15,16,17,18,19,20,21,22,23,24,25,26,27,28,29,30}-1)*LEN(Registro!$E216)+1,LEN(Registro!$E216))),FIND("x",TRIM(MID(SUBSTITUTE(SUBSTITUTE(SUBSTITUTE(SUBSTITUTE(SUBSTITUTE(LOWER(Registro!$E216),"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",LEN(Registro!$E216))),({1,2,3,4,5,6,7,8,9,10,11,12,13,14,15,16,17,18,19,20,21,22,23,24,25,26,27,28,29,30}-1)*LEN(Registro!$E216)+1,LEN(Registro!$E216)))&amp;"x")-1)),--("0"&amp;MID(TRIM(MID(SUBSTITUTE(SUBSTITUTE(SUBSTITUTE(SUBSTITUTE(SUBSTITUTE(LOWER(Registro!$E216),"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",LEN(Registro!$E216))),({1,2,3,4,5,6,7,8,9,10,11,12,13,14,15,16,17,18,19,20,21,22,23,24,25,26,27,28,29,30}-1)*LEN(Registro!$E216)+1,LEN(Registro!$E216))),FIND("x",TRIM(MID(SUBSTITUTE(SUBSTITUTE(SUBSTITUTE(SUBSTITUTE(SUBSTITUTE(LOWER(Registro!$E216),"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",LEN(Registro!$E216))),({1,2,3,4,5,6,7,8,9,10,11,12,13,14,15,16,17,18,19,20,21,22,23,24,25,26,27,28,29,30}-1)*LEN(Registro!$E216)+1,LEN(Registro!$E216)))&amp;"x")+1,20))),"Revisar formato")))</f>
        <v/>
      </c>
      <c r="F216" s="23" t="str">
        <f>IF(Registro!$F216="","",IF(ISERROR(FIND("x",LOWER(Registro!$F216))),"-",IFERROR(SUMPRODUCT(--("0"&amp;LEFT(TRIM(MID(SUBSTITUTE(SUBSTITUTE(SUBSTITUTE(SUBSTITUTE(SUBSTITUTE(LOWER(Registro!$F216)," ",""),CHAR(10),"|"),";","|"),"+","|"),"|",REPT(" ",LEN(Registro!$F216))),({1,2,3,4,5,6,7,8,9,10,11,12,13,14,15,16,17,18,19,20,21,22,23,24,25,26,27,28,29,30}-1)*LEN(Registro!$F216)+1,LEN(Registro!$F216))),FIND("x",TRIM(MID(SUBSTITUTE(SUBSTITUTE(SUBSTITUTE(SUBSTITUTE(SUBSTITUTE(LOWER(Registro!$F216)," ",""),CHAR(10),"|"),";","|"),"+","|"),"|",REPT(" ",LEN(Registro!$F216))),({1,2,3,4,5,6,7,8,9,10,11,12,13,14,15,16,17,18,19,20,21,22,23,24,25,26,27,28,29,30}-1)*LEN(Registro!$F216)+1,LEN(Registro!$F216)))&amp;"x")-1))),"Revisar formato")))</f>
        <v/>
      </c>
      <c r="G216" s="24" t="str">
        <f>IF(Registro!$F216="","",IF(ISERROR(FIND("x",LOWER(Registro!$F216))),N(Registro!$G216),IFERROR(SUMPRODUCT(--("0"&amp;LEFT(TRIM(MID(SUBSTITUTE(SUBSTITUTE(SUBSTITUTE(SUBSTITUTE(SUBSTITUTE(LOWER(Registro!$F216)," ",""),CHAR(10),"|"),";","|"),"+","|"),"|",REPT(" ",LEN(Registro!$F216))),({1,2,3,4,5,6,7,8,9,10,11,12,13,14,15,16,17,18,19,20,21,22,23,24,25,26,27,28,29,30}-1)*LEN(Registro!$F216)+1,LEN(Registro!$F216))),FIND("x",TRIM(MID(SUBSTITUTE(SUBSTITUTE(SUBSTITUTE(SUBSTITUTE(SUBSTITUTE(LOWER(Registro!$F216)," ",""),CHAR(10),"|"),";","|"),"+","|"),"|",REPT(" ",LEN(Registro!$F216))),({1,2,3,4,5,6,7,8,9,10,11,12,13,14,15,16,17,18,19,20,21,22,23,24,25,26,27,28,29,30}-1)*LEN(Registro!$F216)+1,LEN(Registro!$F216)))&amp;"x")-1)),--("0"&amp;MID(TRIM(MID(SUBSTITUTE(SUBSTITUTE(SUBSTITUTE(SUBSTITUTE(SUBSTITUTE(LOWER(Registro!$F216)," ",""),CHAR(10),"|"),";","|"),"+","|"),"|",REPT(" ",LEN(Registro!$F216))),({1,2,3,4,5,6,7,8,9,10,11,12,13,14,15,16,17,18,19,20,21,22,23,24,25,26,27,28,29,30}-1)*LEN(Registro!$F216)+1,LEN(Registro!$F216))),FIND("x",TRIM(MID(SUBSTITUTE(SUBSTITUTE(SUBSTITUTE(SUBSTITUTE(SUBSTITUTE(LOWER(Registro!$F216)," ",""),CHAR(10),"|"),";","|"),"+","|"),"|",REPT(" ",LEN(Registro!$F216))),({1,2,3,4,5,6,7,8,9,10,11,12,13,14,15,16,17,18,19,20,21,22,23,24,25,26,27,28,29,30}-1)*LEN(Registro!$F216)+1,LEN(Registro!$F216)))&amp;"x")+1,20))),"Revisar formato")))</f>
        <v/>
      </c>
      <c r="H216" s="21" t="str">
        <f>IF(AND(Registro!$E216="",Registro!$F216=""),"",IF(NOT(AND(ISNUMBER(G216),ISNUMBER(Registro!$G216))),"",IF(G216&lt;Registro!$G216,"FALTA BOLETOS",IF(G216=Registro!$G216,"CONFORME","DIFERENCIA"))))</f>
        <v/>
      </c>
      <c r="I216" s="24" t="str">
        <f>IF(Registro!$H216="","",IFERROR(SUMPRODUCT(--("0"&amp;TRIM(RIGHT(SUBSTITUTE(TRIM(MID(SUBSTITUTE(SUBSTITUTE(Registro!$H216,";",CHAR(10)),CHAR(10),REPT(" ",LEN(Registro!$H216))),({1,2,3,4,5,6,7,8,9,10,11,12,13,14,15,16,17,18,19,20,21,22,23,24,25,26,27,28,29,30}-1)*LEN(Registro!$H216)+1,LEN(Registro!$H216)))," ",REPT(" ",50)),50)))),"Revisar formato"))</f>
        <v/>
      </c>
      <c r="J216" s="24" t="str">
        <f>IF(Registro!$I216="","",IFERROR(SUMPRODUCT(--("0"&amp;TRIM(RIGHT(SUBSTITUTE(TRIM(MID(SUBSTITUTE(SUBSTITUTE(Registro!$I216,";",CHAR(10)),CHAR(10),REPT(" ",LEN(Registro!$I216))),({1,2,3,4,5,6,7,8,9,10,11,12,13,14,15,16,17,18,19,20,21,22,23,24,25,26,27,28,29,30}-1)*LEN(Registro!$I216)+1,LEN(Registro!$I216)))," ",REPT(" ",50)),50)))),"Revisar formato"))</f>
        <v/>
      </c>
      <c r="K216" s="24" t="str">
        <f>IF(AND(Registro!$G216="",Registro!$H216=""),"",IF(AND(ISTEXT(I216),I216&lt;&gt;""),"Revisar formato",N(Registro!$G216)-N(I216)))</f>
        <v/>
      </c>
      <c r="L216" s="24" t="str">
        <f t="shared" si="7"/>
        <v/>
      </c>
      <c r="M216" s="36" t="str">
        <f>IF(AND(A216=Consulta!$B$3,C216=Consulta!$H$3),B216*10000+ROW(),"")</f>
        <v/>
      </c>
    </row>
    <row r="217" spans="1:13" x14ac:dyDescent="0.25">
      <c r="A217" s="21" t="str">
        <f>IF(Registro!$A217="","",Registro!$A217)</f>
        <v/>
      </c>
      <c r="B217" s="20" t="str">
        <f>IF(Registro!$B217="","",Registro!$B217)</f>
        <v/>
      </c>
      <c r="C217" s="35" t="str">
        <f t="shared" si="6"/>
        <v/>
      </c>
      <c r="D217" s="23" t="str">
        <f>IF(Registro!$E217="","",IF(ISERROR(FIND("x",LOWER(Registro!$E217))),"-",IFERROR(SUMPRODUCT(--("0"&amp;LEFT(TRIM(MID(SUBSTITUTE(SUBSTITUTE(SUBSTITUTE(SUBSTITUTE(SUBSTITUTE(LOWER(Registro!$E217),"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",LEN(Registro!$E217))),({1,2,3,4,5,6,7,8,9,10,11,12,13,14,15,16,17,18,19,20,21,22,23,24,25,26,27,28,29,30}-1)*LEN(Registro!$E217)+1,LEN(Registro!$E217))),FIND("x",TRIM(MID(SUBSTITUTE(SUBSTITUTE(SUBSTITUTE(SUBSTITUTE(SUBSTITUTE(LOWER(Registro!$E217),"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",LEN(Registro!$E217))),({1,2,3,4,5,6,7,8,9,10,11,12,13,14,15,16,17,18,19,20,21,22,23,24,25,26,27,28,29,30}-1)*LEN(Registro!$E217)+1,LEN(Registro!$E217)))&amp;"x")-1))),"Revisar formato")))</f>
        <v/>
      </c>
      <c r="E217" s="24" t="str">
        <f>IF(Registro!$E217="","",IF(ISERROR(FIND("x",LOWER(Registro!$E217))),"-",IFERROR(SUMPRODUCT(--("0"&amp;LEFT(TRIM(MID(SUBSTITUTE(SUBSTITUTE(SUBSTITUTE(SUBSTITUTE(SUBSTITUTE(LOWER(Registro!$E217),"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",LEN(Registro!$E217))),({1,2,3,4,5,6,7,8,9,10,11,12,13,14,15,16,17,18,19,20,21,22,23,24,25,26,27,28,29,30}-1)*LEN(Registro!$E217)+1,LEN(Registro!$E217))),FIND("x",TRIM(MID(SUBSTITUTE(SUBSTITUTE(SUBSTITUTE(SUBSTITUTE(SUBSTITUTE(LOWER(Registro!$E217),"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",LEN(Registro!$E217))),({1,2,3,4,5,6,7,8,9,10,11,12,13,14,15,16,17,18,19,20,21,22,23,24,25,26,27,28,29,30}-1)*LEN(Registro!$E217)+1,LEN(Registro!$E217)))&amp;"x")-1)),--("0"&amp;MID(TRIM(MID(SUBSTITUTE(SUBSTITUTE(SUBSTITUTE(SUBSTITUTE(SUBSTITUTE(LOWER(Registro!$E217),"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",LEN(Registro!$E217))),({1,2,3,4,5,6,7,8,9,10,11,12,13,14,15,16,17,18,19,20,21,22,23,24,25,26,27,28,29,30}-1)*LEN(Registro!$E217)+1,LEN(Registro!$E217))),FIND("x",TRIM(MID(SUBSTITUTE(SUBSTITUTE(SUBSTITUTE(SUBSTITUTE(SUBSTITUTE(LOWER(Registro!$E217),"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",LEN(Registro!$E217))),({1,2,3,4,5,6,7,8,9,10,11,12,13,14,15,16,17,18,19,20,21,22,23,24,25,26,27,28,29,30}-1)*LEN(Registro!$E217)+1,LEN(Registro!$E217)))&amp;"x")+1,20))),"Revisar formato")))</f>
        <v/>
      </c>
      <c r="F217" s="23" t="str">
        <f>IF(Registro!$F217="","",IF(ISERROR(FIND("x",LOWER(Registro!$F217))),"-",IFERROR(SUMPRODUCT(--("0"&amp;LEFT(TRIM(MID(SUBSTITUTE(SUBSTITUTE(SUBSTITUTE(SUBSTITUTE(SUBSTITUTE(LOWER(Registro!$F217)," ",""),CHAR(10),"|"),";","|"),"+","|"),"|",REPT(" ",LEN(Registro!$F217))),({1,2,3,4,5,6,7,8,9,10,11,12,13,14,15,16,17,18,19,20,21,22,23,24,25,26,27,28,29,30}-1)*LEN(Registro!$F217)+1,LEN(Registro!$F217))),FIND("x",TRIM(MID(SUBSTITUTE(SUBSTITUTE(SUBSTITUTE(SUBSTITUTE(SUBSTITUTE(LOWER(Registro!$F217)," ",""),CHAR(10),"|"),";","|"),"+","|"),"|",REPT(" ",LEN(Registro!$F217))),({1,2,3,4,5,6,7,8,9,10,11,12,13,14,15,16,17,18,19,20,21,22,23,24,25,26,27,28,29,30}-1)*LEN(Registro!$F217)+1,LEN(Registro!$F217)))&amp;"x")-1))),"Revisar formato")))</f>
        <v/>
      </c>
      <c r="G217" s="24" t="str">
        <f>IF(Registro!$F217="","",IF(ISERROR(FIND("x",LOWER(Registro!$F217))),N(Registro!$G217),IFERROR(SUMPRODUCT(--("0"&amp;LEFT(TRIM(MID(SUBSTITUTE(SUBSTITUTE(SUBSTITUTE(SUBSTITUTE(SUBSTITUTE(LOWER(Registro!$F217)," ",""),CHAR(10),"|"),";","|"),"+","|"),"|",REPT(" ",LEN(Registro!$F217))),({1,2,3,4,5,6,7,8,9,10,11,12,13,14,15,16,17,18,19,20,21,22,23,24,25,26,27,28,29,30}-1)*LEN(Registro!$F217)+1,LEN(Registro!$F217))),FIND("x",TRIM(MID(SUBSTITUTE(SUBSTITUTE(SUBSTITUTE(SUBSTITUTE(SUBSTITUTE(LOWER(Registro!$F217)," ",""),CHAR(10),"|"),";","|"),"+","|"),"|",REPT(" ",LEN(Registro!$F217))),({1,2,3,4,5,6,7,8,9,10,11,12,13,14,15,16,17,18,19,20,21,22,23,24,25,26,27,28,29,30}-1)*LEN(Registro!$F217)+1,LEN(Registro!$F217)))&amp;"x")-1)),--("0"&amp;MID(TRIM(MID(SUBSTITUTE(SUBSTITUTE(SUBSTITUTE(SUBSTITUTE(SUBSTITUTE(LOWER(Registro!$F217)," ",""),CHAR(10),"|"),";","|"),"+","|"),"|",REPT(" ",LEN(Registro!$F217))),({1,2,3,4,5,6,7,8,9,10,11,12,13,14,15,16,17,18,19,20,21,22,23,24,25,26,27,28,29,30}-1)*LEN(Registro!$F217)+1,LEN(Registro!$F217))),FIND("x",TRIM(MID(SUBSTITUTE(SUBSTITUTE(SUBSTITUTE(SUBSTITUTE(SUBSTITUTE(LOWER(Registro!$F217)," ",""),CHAR(10),"|"),";","|"),"+","|"),"|",REPT(" ",LEN(Registro!$F217))),({1,2,3,4,5,6,7,8,9,10,11,12,13,14,15,16,17,18,19,20,21,22,23,24,25,26,27,28,29,30}-1)*LEN(Registro!$F217)+1,LEN(Registro!$F217)))&amp;"x")+1,20))),"Revisar formato")))</f>
        <v/>
      </c>
      <c r="H217" s="21" t="str">
        <f>IF(AND(Registro!$E217="",Registro!$F217=""),"",IF(NOT(AND(ISNUMBER(G217),ISNUMBER(Registro!$G217))),"",IF(G217&lt;Registro!$G217,"FALTA BOLETOS",IF(G217=Registro!$G217,"CONFORME","DIFERENCIA"))))</f>
        <v/>
      </c>
      <c r="I217" s="24" t="str">
        <f>IF(Registro!$H217="","",IFERROR(SUMPRODUCT(--("0"&amp;TRIM(RIGHT(SUBSTITUTE(TRIM(MID(SUBSTITUTE(SUBSTITUTE(Registro!$H217,";",CHAR(10)),CHAR(10),REPT(" ",LEN(Registro!$H217))),({1,2,3,4,5,6,7,8,9,10,11,12,13,14,15,16,17,18,19,20,21,22,23,24,25,26,27,28,29,30}-1)*LEN(Registro!$H217)+1,LEN(Registro!$H217)))," ",REPT(" ",50)),50)))),"Revisar formato"))</f>
        <v/>
      </c>
      <c r="J217" s="24" t="str">
        <f>IF(Registro!$I217="","",IFERROR(SUMPRODUCT(--("0"&amp;TRIM(RIGHT(SUBSTITUTE(TRIM(MID(SUBSTITUTE(SUBSTITUTE(Registro!$I217,";",CHAR(10)),CHAR(10),REPT(" ",LEN(Registro!$I217))),({1,2,3,4,5,6,7,8,9,10,11,12,13,14,15,16,17,18,19,20,21,22,23,24,25,26,27,28,29,30}-1)*LEN(Registro!$I217)+1,LEN(Registro!$I217)))," ",REPT(" ",50)),50)))),"Revisar formato"))</f>
        <v/>
      </c>
      <c r="K217" s="24" t="str">
        <f>IF(AND(Registro!$G217="",Registro!$H217=""),"",IF(AND(ISTEXT(I217),I217&lt;&gt;""),"Revisar formato",N(Registro!$G217)-N(I217)))</f>
        <v/>
      </c>
      <c r="L217" s="24" t="str">
        <f t="shared" si="7"/>
        <v/>
      </c>
      <c r="M217" s="36" t="str">
        <f>IF(AND(A217=Consulta!$B$3,C217=Consulta!$H$3),B217*10000+ROW(),"")</f>
        <v/>
      </c>
    </row>
    <row r="218" spans="1:13" x14ac:dyDescent="0.25">
      <c r="A218" s="21" t="str">
        <f>IF(Registro!$A218="","",Registro!$A218)</f>
        <v/>
      </c>
      <c r="B218" s="20" t="str">
        <f>IF(Registro!$B218="","",Registro!$B218)</f>
        <v/>
      </c>
      <c r="C218" s="35" t="str">
        <f t="shared" si="6"/>
        <v/>
      </c>
      <c r="D218" s="23" t="str">
        <f>IF(Registro!$E218="","",IF(ISERROR(FIND("x",LOWER(Registro!$E218))),"-",IFERROR(SUMPRODUCT(--("0"&amp;LEFT(TRIM(MID(SUBSTITUTE(SUBSTITUTE(SUBSTITUTE(SUBSTITUTE(SUBSTITUTE(LOWER(Registro!$E218),"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",LEN(Registro!$E218))),({1,2,3,4,5,6,7,8,9,10,11,12,13,14,15,16,17,18,19,20,21,22,23,24,25,26,27,28,29,30}-1)*LEN(Registro!$E218)+1,LEN(Registro!$E218))),FIND("x",TRIM(MID(SUBSTITUTE(SUBSTITUTE(SUBSTITUTE(SUBSTITUTE(SUBSTITUTE(LOWER(Registro!$E218),"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",LEN(Registro!$E218))),({1,2,3,4,5,6,7,8,9,10,11,12,13,14,15,16,17,18,19,20,21,22,23,24,25,26,27,28,29,30}-1)*LEN(Registro!$E218)+1,LEN(Registro!$E218)))&amp;"x")-1))),"Revisar formato")))</f>
        <v/>
      </c>
      <c r="E218" s="24" t="str">
        <f>IF(Registro!$E218="","",IF(ISERROR(FIND("x",LOWER(Registro!$E218))),"-",IFERROR(SUMPRODUCT(--("0"&amp;LEFT(TRIM(MID(SUBSTITUTE(SUBSTITUTE(SUBSTITUTE(SUBSTITUTE(SUBSTITUTE(LOWER(Registro!$E218),"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",LEN(Registro!$E218))),({1,2,3,4,5,6,7,8,9,10,11,12,13,14,15,16,17,18,19,20,21,22,23,24,25,26,27,28,29,30}-1)*LEN(Registro!$E218)+1,LEN(Registro!$E218))),FIND("x",TRIM(MID(SUBSTITUTE(SUBSTITUTE(SUBSTITUTE(SUBSTITUTE(SUBSTITUTE(LOWER(Registro!$E218),"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",LEN(Registro!$E218))),({1,2,3,4,5,6,7,8,9,10,11,12,13,14,15,16,17,18,19,20,21,22,23,24,25,26,27,28,29,30}-1)*LEN(Registro!$E218)+1,LEN(Registro!$E218)))&amp;"x")-1)),--("0"&amp;MID(TRIM(MID(SUBSTITUTE(SUBSTITUTE(SUBSTITUTE(SUBSTITUTE(SUBSTITUTE(LOWER(Registro!$E218),"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",LEN(Registro!$E218))),({1,2,3,4,5,6,7,8,9,10,11,12,13,14,15,16,17,18,19,20,21,22,23,24,25,26,27,28,29,30}-1)*LEN(Registro!$E218)+1,LEN(Registro!$E218))),FIND("x",TRIM(MID(SUBSTITUTE(SUBSTITUTE(SUBSTITUTE(SUBSTITUTE(SUBSTITUTE(LOWER(Registro!$E218),"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",LEN(Registro!$E218))),({1,2,3,4,5,6,7,8,9,10,11,12,13,14,15,16,17,18,19,20,21,22,23,24,25,26,27,28,29,30}-1)*LEN(Registro!$E218)+1,LEN(Registro!$E218)))&amp;"x")+1,20))),"Revisar formato")))</f>
        <v/>
      </c>
      <c r="F218" s="23" t="str">
        <f>IF(Registro!$F218="","",IF(ISERROR(FIND("x",LOWER(Registro!$F218))),"-",IFERROR(SUMPRODUCT(--("0"&amp;LEFT(TRIM(MID(SUBSTITUTE(SUBSTITUTE(SUBSTITUTE(SUBSTITUTE(SUBSTITUTE(LOWER(Registro!$F218)," ",""),CHAR(10),"|"),";","|"),"+","|"),"|",REPT(" ",LEN(Registro!$F218))),({1,2,3,4,5,6,7,8,9,10,11,12,13,14,15,16,17,18,19,20,21,22,23,24,25,26,27,28,29,30}-1)*LEN(Registro!$F218)+1,LEN(Registro!$F218))),FIND("x",TRIM(MID(SUBSTITUTE(SUBSTITUTE(SUBSTITUTE(SUBSTITUTE(SUBSTITUTE(LOWER(Registro!$F218)," ",""),CHAR(10),"|"),";","|"),"+","|"),"|",REPT(" ",LEN(Registro!$F218))),({1,2,3,4,5,6,7,8,9,10,11,12,13,14,15,16,17,18,19,20,21,22,23,24,25,26,27,28,29,30}-1)*LEN(Registro!$F218)+1,LEN(Registro!$F218)))&amp;"x")-1))),"Revisar formato")))</f>
        <v/>
      </c>
      <c r="G218" s="24" t="str">
        <f>IF(Registro!$F218="","",IF(ISERROR(FIND("x",LOWER(Registro!$F218))),N(Registro!$G218),IFERROR(SUMPRODUCT(--("0"&amp;LEFT(TRIM(MID(SUBSTITUTE(SUBSTITUTE(SUBSTITUTE(SUBSTITUTE(SUBSTITUTE(LOWER(Registro!$F218)," ",""),CHAR(10),"|"),";","|"),"+","|"),"|",REPT(" ",LEN(Registro!$F218))),({1,2,3,4,5,6,7,8,9,10,11,12,13,14,15,16,17,18,19,20,21,22,23,24,25,26,27,28,29,30}-1)*LEN(Registro!$F218)+1,LEN(Registro!$F218))),FIND("x",TRIM(MID(SUBSTITUTE(SUBSTITUTE(SUBSTITUTE(SUBSTITUTE(SUBSTITUTE(LOWER(Registro!$F218)," ",""),CHAR(10),"|"),";","|"),"+","|"),"|",REPT(" ",LEN(Registro!$F218))),({1,2,3,4,5,6,7,8,9,10,11,12,13,14,15,16,17,18,19,20,21,22,23,24,25,26,27,28,29,30}-1)*LEN(Registro!$F218)+1,LEN(Registro!$F218)))&amp;"x")-1)),--("0"&amp;MID(TRIM(MID(SUBSTITUTE(SUBSTITUTE(SUBSTITUTE(SUBSTITUTE(SUBSTITUTE(LOWER(Registro!$F218)," ",""),CHAR(10),"|"),";","|"),"+","|"),"|",REPT(" ",LEN(Registro!$F218))),({1,2,3,4,5,6,7,8,9,10,11,12,13,14,15,16,17,18,19,20,21,22,23,24,25,26,27,28,29,30}-1)*LEN(Registro!$F218)+1,LEN(Registro!$F218))),FIND("x",TRIM(MID(SUBSTITUTE(SUBSTITUTE(SUBSTITUTE(SUBSTITUTE(SUBSTITUTE(LOWER(Registro!$F218)," ",""),CHAR(10),"|"),";","|"),"+","|"),"|",REPT(" ",LEN(Registro!$F218))),({1,2,3,4,5,6,7,8,9,10,11,12,13,14,15,16,17,18,19,20,21,22,23,24,25,26,27,28,29,30}-1)*LEN(Registro!$F218)+1,LEN(Registro!$F218)))&amp;"x")+1,20))),"Revisar formato")))</f>
        <v/>
      </c>
      <c r="H218" s="21" t="str">
        <f>IF(AND(Registro!$E218="",Registro!$F218=""),"",IF(NOT(AND(ISNUMBER(G218),ISNUMBER(Registro!$G218))),"",IF(G218&lt;Registro!$G218,"FALTA BOLETOS",IF(G218=Registro!$G218,"CONFORME","DIFERENCIA"))))</f>
        <v/>
      </c>
      <c r="I218" s="24" t="str">
        <f>IF(Registro!$H218="","",IFERROR(SUMPRODUCT(--("0"&amp;TRIM(RIGHT(SUBSTITUTE(TRIM(MID(SUBSTITUTE(SUBSTITUTE(Registro!$H218,";",CHAR(10)),CHAR(10),REPT(" ",LEN(Registro!$H218))),({1,2,3,4,5,6,7,8,9,10,11,12,13,14,15,16,17,18,19,20,21,22,23,24,25,26,27,28,29,30}-1)*LEN(Registro!$H218)+1,LEN(Registro!$H218)))," ",REPT(" ",50)),50)))),"Revisar formato"))</f>
        <v/>
      </c>
      <c r="J218" s="24" t="str">
        <f>IF(Registro!$I218="","",IFERROR(SUMPRODUCT(--("0"&amp;TRIM(RIGHT(SUBSTITUTE(TRIM(MID(SUBSTITUTE(SUBSTITUTE(Registro!$I218,";",CHAR(10)),CHAR(10),REPT(" ",LEN(Registro!$I218))),({1,2,3,4,5,6,7,8,9,10,11,12,13,14,15,16,17,18,19,20,21,22,23,24,25,26,27,28,29,30}-1)*LEN(Registro!$I218)+1,LEN(Registro!$I218)))," ",REPT(" ",50)),50)))),"Revisar formato"))</f>
        <v/>
      </c>
      <c r="K218" s="24" t="str">
        <f>IF(AND(Registro!$G218="",Registro!$H218=""),"",IF(AND(ISTEXT(I218),I218&lt;&gt;""),"Revisar formato",N(Registro!$G218)-N(I218)))</f>
        <v/>
      </c>
      <c r="L218" s="24" t="str">
        <f t="shared" si="7"/>
        <v/>
      </c>
      <c r="M218" s="36" t="str">
        <f>IF(AND(A218=Consulta!$B$3,C218=Consulta!$H$3),B218*10000+ROW(),"")</f>
        <v/>
      </c>
    </row>
    <row r="219" spans="1:13" x14ac:dyDescent="0.25">
      <c r="A219" s="21" t="str">
        <f>IF(Registro!$A219="","",Registro!$A219)</f>
        <v/>
      </c>
      <c r="B219" s="20" t="str">
        <f>IF(Registro!$B219="","",Registro!$B219)</f>
        <v/>
      </c>
      <c r="C219" s="35" t="str">
        <f t="shared" si="6"/>
        <v/>
      </c>
      <c r="D219" s="23" t="str">
        <f>IF(Registro!$E219="","",IF(ISERROR(FIND("x",LOWER(Registro!$E219))),"-",IFERROR(SUMPRODUCT(--("0"&amp;LEFT(TRIM(MID(SUBSTITUTE(SUBSTITUTE(SUBSTITUTE(SUBSTITUTE(SUBSTITUTE(LOWER(Registro!$E219),"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",LEN(Registro!$E219))),({1,2,3,4,5,6,7,8,9,10,11,12,13,14,15,16,17,18,19,20,21,22,23,24,25,26,27,28,29,30}-1)*LEN(Registro!$E219)+1,LEN(Registro!$E219))),FIND("x",TRIM(MID(SUBSTITUTE(SUBSTITUTE(SUBSTITUTE(SUBSTITUTE(SUBSTITUTE(LOWER(Registro!$E219),"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",LEN(Registro!$E219))),({1,2,3,4,5,6,7,8,9,10,11,12,13,14,15,16,17,18,19,20,21,22,23,24,25,26,27,28,29,30}-1)*LEN(Registro!$E219)+1,LEN(Registro!$E219)))&amp;"x")-1))),"Revisar formato")))</f>
        <v/>
      </c>
      <c r="E219" s="24" t="str">
        <f>IF(Registro!$E219="","",IF(ISERROR(FIND("x",LOWER(Registro!$E219))),"-",IFERROR(SUMPRODUCT(--("0"&amp;LEFT(TRIM(MID(SUBSTITUTE(SUBSTITUTE(SUBSTITUTE(SUBSTITUTE(SUBSTITUTE(LOWER(Registro!$E219),"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",LEN(Registro!$E219))),({1,2,3,4,5,6,7,8,9,10,11,12,13,14,15,16,17,18,19,20,21,22,23,24,25,26,27,28,29,30}-1)*LEN(Registro!$E219)+1,LEN(Registro!$E219))),FIND("x",TRIM(MID(SUBSTITUTE(SUBSTITUTE(SUBSTITUTE(SUBSTITUTE(SUBSTITUTE(LOWER(Registro!$E219),"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",LEN(Registro!$E219))),({1,2,3,4,5,6,7,8,9,10,11,12,13,14,15,16,17,18,19,20,21,22,23,24,25,26,27,28,29,30}-1)*LEN(Registro!$E219)+1,LEN(Registro!$E219)))&amp;"x")-1)),--("0"&amp;MID(TRIM(MID(SUBSTITUTE(SUBSTITUTE(SUBSTITUTE(SUBSTITUTE(SUBSTITUTE(LOWER(Registro!$E219),"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",LEN(Registro!$E219))),({1,2,3,4,5,6,7,8,9,10,11,12,13,14,15,16,17,18,19,20,21,22,23,24,25,26,27,28,29,30}-1)*LEN(Registro!$E219)+1,LEN(Registro!$E219))),FIND("x",TRIM(MID(SUBSTITUTE(SUBSTITUTE(SUBSTITUTE(SUBSTITUTE(SUBSTITUTE(LOWER(Registro!$E219),"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",LEN(Registro!$E219))),({1,2,3,4,5,6,7,8,9,10,11,12,13,14,15,16,17,18,19,20,21,22,23,24,25,26,27,28,29,30}-1)*LEN(Registro!$E219)+1,LEN(Registro!$E219)))&amp;"x")+1,20))),"Revisar formato")))</f>
        <v/>
      </c>
      <c r="F219" s="23" t="str">
        <f>IF(Registro!$F219="","",IF(ISERROR(FIND("x",LOWER(Registro!$F219))),"-",IFERROR(SUMPRODUCT(--("0"&amp;LEFT(TRIM(MID(SUBSTITUTE(SUBSTITUTE(SUBSTITUTE(SUBSTITUTE(SUBSTITUTE(LOWER(Registro!$F219)," ",""),CHAR(10),"|"),";","|"),"+","|"),"|",REPT(" ",LEN(Registro!$F219))),({1,2,3,4,5,6,7,8,9,10,11,12,13,14,15,16,17,18,19,20,21,22,23,24,25,26,27,28,29,30}-1)*LEN(Registro!$F219)+1,LEN(Registro!$F219))),FIND("x",TRIM(MID(SUBSTITUTE(SUBSTITUTE(SUBSTITUTE(SUBSTITUTE(SUBSTITUTE(LOWER(Registro!$F219)," ",""),CHAR(10),"|"),";","|"),"+","|"),"|",REPT(" ",LEN(Registro!$F219))),({1,2,3,4,5,6,7,8,9,10,11,12,13,14,15,16,17,18,19,20,21,22,23,24,25,26,27,28,29,30}-1)*LEN(Registro!$F219)+1,LEN(Registro!$F219)))&amp;"x")-1))),"Revisar formato")))</f>
        <v/>
      </c>
      <c r="G219" s="24" t="str">
        <f>IF(Registro!$F219="","",IF(ISERROR(FIND("x",LOWER(Registro!$F219))),N(Registro!$G219),IFERROR(SUMPRODUCT(--("0"&amp;LEFT(TRIM(MID(SUBSTITUTE(SUBSTITUTE(SUBSTITUTE(SUBSTITUTE(SUBSTITUTE(LOWER(Registro!$F219)," ",""),CHAR(10),"|"),";","|"),"+","|"),"|",REPT(" ",LEN(Registro!$F219))),({1,2,3,4,5,6,7,8,9,10,11,12,13,14,15,16,17,18,19,20,21,22,23,24,25,26,27,28,29,30}-1)*LEN(Registro!$F219)+1,LEN(Registro!$F219))),FIND("x",TRIM(MID(SUBSTITUTE(SUBSTITUTE(SUBSTITUTE(SUBSTITUTE(SUBSTITUTE(LOWER(Registro!$F219)," ",""),CHAR(10),"|"),";","|"),"+","|"),"|",REPT(" ",LEN(Registro!$F219))),({1,2,3,4,5,6,7,8,9,10,11,12,13,14,15,16,17,18,19,20,21,22,23,24,25,26,27,28,29,30}-1)*LEN(Registro!$F219)+1,LEN(Registro!$F219)))&amp;"x")-1)),--("0"&amp;MID(TRIM(MID(SUBSTITUTE(SUBSTITUTE(SUBSTITUTE(SUBSTITUTE(SUBSTITUTE(LOWER(Registro!$F219)," ",""),CHAR(10),"|"),";","|"),"+","|"),"|",REPT(" ",LEN(Registro!$F219))),({1,2,3,4,5,6,7,8,9,10,11,12,13,14,15,16,17,18,19,20,21,22,23,24,25,26,27,28,29,30}-1)*LEN(Registro!$F219)+1,LEN(Registro!$F219))),FIND("x",TRIM(MID(SUBSTITUTE(SUBSTITUTE(SUBSTITUTE(SUBSTITUTE(SUBSTITUTE(LOWER(Registro!$F219)," ",""),CHAR(10),"|"),";","|"),"+","|"),"|",REPT(" ",LEN(Registro!$F219))),({1,2,3,4,5,6,7,8,9,10,11,12,13,14,15,16,17,18,19,20,21,22,23,24,25,26,27,28,29,30}-1)*LEN(Registro!$F219)+1,LEN(Registro!$F219)))&amp;"x")+1,20))),"Revisar formato")))</f>
        <v/>
      </c>
      <c r="H219" s="21" t="str">
        <f>IF(AND(Registro!$E219="",Registro!$F219=""),"",IF(NOT(AND(ISNUMBER(G219),ISNUMBER(Registro!$G219))),"",IF(G219&lt;Registro!$G219,"FALTA BOLETOS",IF(G219=Registro!$G219,"CONFORME","DIFERENCIA"))))</f>
        <v/>
      </c>
      <c r="I219" s="24" t="str">
        <f>IF(Registro!$H219="","",IFERROR(SUMPRODUCT(--("0"&amp;TRIM(RIGHT(SUBSTITUTE(TRIM(MID(SUBSTITUTE(SUBSTITUTE(Registro!$H219,";",CHAR(10)),CHAR(10),REPT(" ",LEN(Registro!$H219))),({1,2,3,4,5,6,7,8,9,10,11,12,13,14,15,16,17,18,19,20,21,22,23,24,25,26,27,28,29,30}-1)*LEN(Registro!$H219)+1,LEN(Registro!$H219)))," ",REPT(" ",50)),50)))),"Revisar formato"))</f>
        <v/>
      </c>
      <c r="J219" s="24" t="str">
        <f>IF(Registro!$I219="","",IFERROR(SUMPRODUCT(--("0"&amp;TRIM(RIGHT(SUBSTITUTE(TRIM(MID(SUBSTITUTE(SUBSTITUTE(Registro!$I219,";",CHAR(10)),CHAR(10),REPT(" ",LEN(Registro!$I219))),({1,2,3,4,5,6,7,8,9,10,11,12,13,14,15,16,17,18,19,20,21,22,23,24,25,26,27,28,29,30}-1)*LEN(Registro!$I219)+1,LEN(Registro!$I219)))," ",REPT(" ",50)),50)))),"Revisar formato"))</f>
        <v/>
      </c>
      <c r="K219" s="24" t="str">
        <f>IF(AND(Registro!$G219="",Registro!$H219=""),"",IF(AND(ISTEXT(I219),I219&lt;&gt;""),"Revisar formato",N(Registro!$G219)-N(I219)))</f>
        <v/>
      </c>
      <c r="L219" s="24" t="str">
        <f t="shared" si="7"/>
        <v/>
      </c>
      <c r="M219" s="36" t="str">
        <f>IF(AND(A219=Consulta!$B$3,C219=Consulta!$H$3),B219*10000+ROW(),"")</f>
        <v/>
      </c>
    </row>
    <row r="220" spans="1:13" x14ac:dyDescent="0.25">
      <c r="A220" s="21" t="str">
        <f>IF(Registro!$A220="","",Registro!$A220)</f>
        <v/>
      </c>
      <c r="B220" s="20" t="str">
        <f>IF(Registro!$B220="","",Registro!$B220)</f>
        <v/>
      </c>
      <c r="C220" s="35" t="str">
        <f t="shared" si="6"/>
        <v/>
      </c>
      <c r="D220" s="23" t="str">
        <f>IF(Registro!$E220="","",IF(ISERROR(FIND("x",LOWER(Registro!$E220))),"-",IFERROR(SUMPRODUCT(--("0"&amp;LEFT(TRIM(MID(SUBSTITUTE(SUBSTITUTE(SUBSTITUTE(SUBSTITUTE(SUBSTITUTE(LOWER(Registro!$E220),"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",LEN(Registro!$E220))),({1,2,3,4,5,6,7,8,9,10,11,12,13,14,15,16,17,18,19,20,21,22,23,24,25,26,27,28,29,30}-1)*LEN(Registro!$E220)+1,LEN(Registro!$E220))),FIND("x",TRIM(MID(SUBSTITUTE(SUBSTITUTE(SUBSTITUTE(SUBSTITUTE(SUBSTITUTE(LOWER(Registro!$E220),"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",LEN(Registro!$E220))),({1,2,3,4,5,6,7,8,9,10,11,12,13,14,15,16,17,18,19,20,21,22,23,24,25,26,27,28,29,30}-1)*LEN(Registro!$E220)+1,LEN(Registro!$E220)))&amp;"x")-1))),"Revisar formato")))</f>
        <v/>
      </c>
      <c r="E220" s="24" t="str">
        <f>IF(Registro!$E220="","",IF(ISERROR(FIND("x",LOWER(Registro!$E220))),"-",IFERROR(SUMPRODUCT(--("0"&amp;LEFT(TRIM(MID(SUBSTITUTE(SUBSTITUTE(SUBSTITUTE(SUBSTITUTE(SUBSTITUTE(LOWER(Registro!$E220),"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",LEN(Registro!$E220))),({1,2,3,4,5,6,7,8,9,10,11,12,13,14,15,16,17,18,19,20,21,22,23,24,25,26,27,28,29,30}-1)*LEN(Registro!$E220)+1,LEN(Registro!$E220))),FIND("x",TRIM(MID(SUBSTITUTE(SUBSTITUTE(SUBSTITUTE(SUBSTITUTE(SUBSTITUTE(LOWER(Registro!$E220),"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",LEN(Registro!$E220))),({1,2,3,4,5,6,7,8,9,10,11,12,13,14,15,16,17,18,19,20,21,22,23,24,25,26,27,28,29,30}-1)*LEN(Registro!$E220)+1,LEN(Registro!$E220)))&amp;"x")-1)),--("0"&amp;MID(TRIM(MID(SUBSTITUTE(SUBSTITUTE(SUBSTITUTE(SUBSTITUTE(SUBSTITUTE(LOWER(Registro!$E220),"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",LEN(Registro!$E220))),({1,2,3,4,5,6,7,8,9,10,11,12,13,14,15,16,17,18,19,20,21,22,23,24,25,26,27,28,29,30}-1)*LEN(Registro!$E220)+1,LEN(Registro!$E220))),FIND("x",TRIM(MID(SUBSTITUTE(SUBSTITUTE(SUBSTITUTE(SUBSTITUTE(SUBSTITUTE(LOWER(Registro!$E220),"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",LEN(Registro!$E220))),({1,2,3,4,5,6,7,8,9,10,11,12,13,14,15,16,17,18,19,20,21,22,23,24,25,26,27,28,29,30}-1)*LEN(Registro!$E220)+1,LEN(Registro!$E220)))&amp;"x")+1,20))),"Revisar formato")))</f>
        <v/>
      </c>
      <c r="F220" s="23" t="str">
        <f>IF(Registro!$F220="","",IF(ISERROR(FIND("x",LOWER(Registro!$F220))),"-",IFERROR(SUMPRODUCT(--("0"&amp;LEFT(TRIM(MID(SUBSTITUTE(SUBSTITUTE(SUBSTITUTE(SUBSTITUTE(SUBSTITUTE(LOWER(Registro!$F220)," ",""),CHAR(10),"|"),";","|"),"+","|"),"|",REPT(" ",LEN(Registro!$F220))),({1,2,3,4,5,6,7,8,9,10,11,12,13,14,15,16,17,18,19,20,21,22,23,24,25,26,27,28,29,30}-1)*LEN(Registro!$F220)+1,LEN(Registro!$F220))),FIND("x",TRIM(MID(SUBSTITUTE(SUBSTITUTE(SUBSTITUTE(SUBSTITUTE(SUBSTITUTE(LOWER(Registro!$F220)," ",""),CHAR(10),"|"),";","|"),"+","|"),"|",REPT(" ",LEN(Registro!$F220))),({1,2,3,4,5,6,7,8,9,10,11,12,13,14,15,16,17,18,19,20,21,22,23,24,25,26,27,28,29,30}-1)*LEN(Registro!$F220)+1,LEN(Registro!$F220)))&amp;"x")-1))),"Revisar formato")))</f>
        <v/>
      </c>
      <c r="G220" s="24" t="str">
        <f>IF(Registro!$F220="","",IF(ISERROR(FIND("x",LOWER(Registro!$F220))),N(Registro!$G220),IFERROR(SUMPRODUCT(--("0"&amp;LEFT(TRIM(MID(SUBSTITUTE(SUBSTITUTE(SUBSTITUTE(SUBSTITUTE(SUBSTITUTE(LOWER(Registro!$F220)," ",""),CHAR(10),"|"),";","|"),"+","|"),"|",REPT(" ",LEN(Registro!$F220))),({1,2,3,4,5,6,7,8,9,10,11,12,13,14,15,16,17,18,19,20,21,22,23,24,25,26,27,28,29,30}-1)*LEN(Registro!$F220)+1,LEN(Registro!$F220))),FIND("x",TRIM(MID(SUBSTITUTE(SUBSTITUTE(SUBSTITUTE(SUBSTITUTE(SUBSTITUTE(LOWER(Registro!$F220)," ",""),CHAR(10),"|"),";","|"),"+","|"),"|",REPT(" ",LEN(Registro!$F220))),({1,2,3,4,5,6,7,8,9,10,11,12,13,14,15,16,17,18,19,20,21,22,23,24,25,26,27,28,29,30}-1)*LEN(Registro!$F220)+1,LEN(Registro!$F220)))&amp;"x")-1)),--("0"&amp;MID(TRIM(MID(SUBSTITUTE(SUBSTITUTE(SUBSTITUTE(SUBSTITUTE(SUBSTITUTE(LOWER(Registro!$F220)," ",""),CHAR(10),"|"),";","|"),"+","|"),"|",REPT(" ",LEN(Registro!$F220))),({1,2,3,4,5,6,7,8,9,10,11,12,13,14,15,16,17,18,19,20,21,22,23,24,25,26,27,28,29,30}-1)*LEN(Registro!$F220)+1,LEN(Registro!$F220))),FIND("x",TRIM(MID(SUBSTITUTE(SUBSTITUTE(SUBSTITUTE(SUBSTITUTE(SUBSTITUTE(LOWER(Registro!$F220)," ",""),CHAR(10),"|"),";","|"),"+","|"),"|",REPT(" ",LEN(Registro!$F220))),({1,2,3,4,5,6,7,8,9,10,11,12,13,14,15,16,17,18,19,20,21,22,23,24,25,26,27,28,29,30}-1)*LEN(Registro!$F220)+1,LEN(Registro!$F220)))&amp;"x")+1,20))),"Revisar formato")))</f>
        <v/>
      </c>
      <c r="H220" s="21" t="str">
        <f>IF(AND(Registro!$E220="",Registro!$F220=""),"",IF(NOT(AND(ISNUMBER(G220),ISNUMBER(Registro!$G220))),"",IF(G220&lt;Registro!$G220,"FALTA BOLETOS",IF(G220=Registro!$G220,"CONFORME","DIFERENCIA"))))</f>
        <v/>
      </c>
      <c r="I220" s="24" t="str">
        <f>IF(Registro!$H220="","",IFERROR(SUMPRODUCT(--("0"&amp;TRIM(RIGHT(SUBSTITUTE(TRIM(MID(SUBSTITUTE(SUBSTITUTE(Registro!$H220,";",CHAR(10)),CHAR(10),REPT(" ",LEN(Registro!$H220))),({1,2,3,4,5,6,7,8,9,10,11,12,13,14,15,16,17,18,19,20,21,22,23,24,25,26,27,28,29,30}-1)*LEN(Registro!$H220)+1,LEN(Registro!$H220)))," ",REPT(" ",50)),50)))),"Revisar formato"))</f>
        <v/>
      </c>
      <c r="J220" s="24" t="str">
        <f>IF(Registro!$I220="","",IFERROR(SUMPRODUCT(--("0"&amp;TRIM(RIGHT(SUBSTITUTE(TRIM(MID(SUBSTITUTE(SUBSTITUTE(Registro!$I220,";",CHAR(10)),CHAR(10),REPT(" ",LEN(Registro!$I220))),({1,2,3,4,5,6,7,8,9,10,11,12,13,14,15,16,17,18,19,20,21,22,23,24,25,26,27,28,29,30}-1)*LEN(Registro!$I220)+1,LEN(Registro!$I220)))," ",REPT(" ",50)),50)))),"Revisar formato"))</f>
        <v/>
      </c>
      <c r="K220" s="24" t="str">
        <f>IF(AND(Registro!$G220="",Registro!$H220=""),"",IF(AND(ISTEXT(I220),I220&lt;&gt;""),"Revisar formato",N(Registro!$G220)-N(I220)))</f>
        <v/>
      </c>
      <c r="L220" s="24" t="str">
        <f t="shared" si="7"/>
        <v/>
      </c>
      <c r="M220" s="36" t="str">
        <f>IF(AND(A220=Consulta!$B$3,C220=Consulta!$H$3),B220*10000+ROW(),"")</f>
        <v/>
      </c>
    </row>
    <row r="221" spans="1:13" x14ac:dyDescent="0.25">
      <c r="A221" s="21" t="str">
        <f>IF(Registro!$A221="","",Registro!$A221)</f>
        <v/>
      </c>
      <c r="B221" s="20" t="str">
        <f>IF(Registro!$B221="","",Registro!$B221)</f>
        <v/>
      </c>
      <c r="C221" s="35" t="str">
        <f t="shared" si="6"/>
        <v/>
      </c>
      <c r="D221" s="23" t="str">
        <f>IF(Registro!$E221="","",IF(ISERROR(FIND("x",LOWER(Registro!$E221))),"-",IFERROR(SUMPRODUCT(--("0"&amp;LEFT(TRIM(MID(SUBSTITUTE(SUBSTITUTE(SUBSTITUTE(SUBSTITUTE(SUBSTITUTE(LOWER(Registro!$E221),"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",LEN(Registro!$E221))),({1,2,3,4,5,6,7,8,9,10,11,12,13,14,15,16,17,18,19,20,21,22,23,24,25,26,27,28,29,30}-1)*LEN(Registro!$E221)+1,LEN(Registro!$E221))),FIND("x",TRIM(MID(SUBSTITUTE(SUBSTITUTE(SUBSTITUTE(SUBSTITUTE(SUBSTITUTE(LOWER(Registro!$E221),"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",LEN(Registro!$E221))),({1,2,3,4,5,6,7,8,9,10,11,12,13,14,15,16,17,18,19,20,21,22,23,24,25,26,27,28,29,30}-1)*LEN(Registro!$E221)+1,LEN(Registro!$E221)))&amp;"x")-1))),"Revisar formato")))</f>
        <v/>
      </c>
      <c r="E221" s="24" t="str">
        <f>IF(Registro!$E221="","",IF(ISERROR(FIND("x",LOWER(Registro!$E221))),"-",IFERROR(SUMPRODUCT(--("0"&amp;LEFT(TRIM(MID(SUBSTITUTE(SUBSTITUTE(SUBSTITUTE(SUBSTITUTE(SUBSTITUTE(LOWER(Registro!$E221),"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",LEN(Registro!$E221))),({1,2,3,4,5,6,7,8,9,10,11,12,13,14,15,16,17,18,19,20,21,22,23,24,25,26,27,28,29,30}-1)*LEN(Registro!$E221)+1,LEN(Registro!$E221))),FIND("x",TRIM(MID(SUBSTITUTE(SUBSTITUTE(SUBSTITUTE(SUBSTITUTE(SUBSTITUTE(LOWER(Registro!$E221),"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",LEN(Registro!$E221))),({1,2,3,4,5,6,7,8,9,10,11,12,13,14,15,16,17,18,19,20,21,22,23,24,25,26,27,28,29,30}-1)*LEN(Registro!$E221)+1,LEN(Registro!$E221)))&amp;"x")-1)),--("0"&amp;MID(TRIM(MID(SUBSTITUTE(SUBSTITUTE(SUBSTITUTE(SUBSTITUTE(SUBSTITUTE(LOWER(Registro!$E221),"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",LEN(Registro!$E221))),({1,2,3,4,5,6,7,8,9,10,11,12,13,14,15,16,17,18,19,20,21,22,23,24,25,26,27,28,29,30}-1)*LEN(Registro!$E221)+1,LEN(Registro!$E221))),FIND("x",TRIM(MID(SUBSTITUTE(SUBSTITUTE(SUBSTITUTE(SUBSTITUTE(SUBSTITUTE(LOWER(Registro!$E221),"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",LEN(Registro!$E221))),({1,2,3,4,5,6,7,8,9,10,11,12,13,14,15,16,17,18,19,20,21,22,23,24,25,26,27,28,29,30}-1)*LEN(Registro!$E221)+1,LEN(Registro!$E221)))&amp;"x")+1,20))),"Revisar formato")))</f>
        <v/>
      </c>
      <c r="F221" s="23" t="str">
        <f>IF(Registro!$F221="","",IF(ISERROR(FIND("x",LOWER(Registro!$F221))),"-",IFERROR(SUMPRODUCT(--("0"&amp;LEFT(TRIM(MID(SUBSTITUTE(SUBSTITUTE(SUBSTITUTE(SUBSTITUTE(SUBSTITUTE(LOWER(Registro!$F221)," ",""),CHAR(10),"|"),";","|"),"+","|"),"|",REPT(" ",LEN(Registro!$F221))),({1,2,3,4,5,6,7,8,9,10,11,12,13,14,15,16,17,18,19,20,21,22,23,24,25,26,27,28,29,30}-1)*LEN(Registro!$F221)+1,LEN(Registro!$F221))),FIND("x",TRIM(MID(SUBSTITUTE(SUBSTITUTE(SUBSTITUTE(SUBSTITUTE(SUBSTITUTE(LOWER(Registro!$F221)," ",""),CHAR(10),"|"),";","|"),"+","|"),"|",REPT(" ",LEN(Registro!$F221))),({1,2,3,4,5,6,7,8,9,10,11,12,13,14,15,16,17,18,19,20,21,22,23,24,25,26,27,28,29,30}-1)*LEN(Registro!$F221)+1,LEN(Registro!$F221)))&amp;"x")-1))),"Revisar formato")))</f>
        <v/>
      </c>
      <c r="G221" s="24" t="str">
        <f>IF(Registro!$F221="","",IF(ISERROR(FIND("x",LOWER(Registro!$F221))),N(Registro!$G221),IFERROR(SUMPRODUCT(--("0"&amp;LEFT(TRIM(MID(SUBSTITUTE(SUBSTITUTE(SUBSTITUTE(SUBSTITUTE(SUBSTITUTE(LOWER(Registro!$F221)," ",""),CHAR(10),"|"),";","|"),"+","|"),"|",REPT(" ",LEN(Registro!$F221))),({1,2,3,4,5,6,7,8,9,10,11,12,13,14,15,16,17,18,19,20,21,22,23,24,25,26,27,28,29,30}-1)*LEN(Registro!$F221)+1,LEN(Registro!$F221))),FIND("x",TRIM(MID(SUBSTITUTE(SUBSTITUTE(SUBSTITUTE(SUBSTITUTE(SUBSTITUTE(LOWER(Registro!$F221)," ",""),CHAR(10),"|"),";","|"),"+","|"),"|",REPT(" ",LEN(Registro!$F221))),({1,2,3,4,5,6,7,8,9,10,11,12,13,14,15,16,17,18,19,20,21,22,23,24,25,26,27,28,29,30}-1)*LEN(Registro!$F221)+1,LEN(Registro!$F221)))&amp;"x")-1)),--("0"&amp;MID(TRIM(MID(SUBSTITUTE(SUBSTITUTE(SUBSTITUTE(SUBSTITUTE(SUBSTITUTE(LOWER(Registro!$F221)," ",""),CHAR(10),"|"),";","|"),"+","|"),"|",REPT(" ",LEN(Registro!$F221))),({1,2,3,4,5,6,7,8,9,10,11,12,13,14,15,16,17,18,19,20,21,22,23,24,25,26,27,28,29,30}-1)*LEN(Registro!$F221)+1,LEN(Registro!$F221))),FIND("x",TRIM(MID(SUBSTITUTE(SUBSTITUTE(SUBSTITUTE(SUBSTITUTE(SUBSTITUTE(LOWER(Registro!$F221)," ",""),CHAR(10),"|"),";","|"),"+","|"),"|",REPT(" ",LEN(Registro!$F221))),({1,2,3,4,5,6,7,8,9,10,11,12,13,14,15,16,17,18,19,20,21,22,23,24,25,26,27,28,29,30}-1)*LEN(Registro!$F221)+1,LEN(Registro!$F221)))&amp;"x")+1,20))),"Revisar formato")))</f>
        <v/>
      </c>
      <c r="H221" s="21" t="str">
        <f>IF(AND(Registro!$E221="",Registro!$F221=""),"",IF(NOT(AND(ISNUMBER(G221),ISNUMBER(Registro!$G221))),"",IF(G221&lt;Registro!$G221,"FALTA BOLETOS",IF(G221=Registro!$G221,"CONFORME","DIFERENCIA"))))</f>
        <v/>
      </c>
      <c r="I221" s="24" t="str">
        <f>IF(Registro!$H221="","",IFERROR(SUMPRODUCT(--("0"&amp;TRIM(RIGHT(SUBSTITUTE(TRIM(MID(SUBSTITUTE(SUBSTITUTE(Registro!$H221,";",CHAR(10)),CHAR(10),REPT(" ",LEN(Registro!$H221))),({1,2,3,4,5,6,7,8,9,10,11,12,13,14,15,16,17,18,19,20,21,22,23,24,25,26,27,28,29,30}-1)*LEN(Registro!$H221)+1,LEN(Registro!$H221)))," ",REPT(" ",50)),50)))),"Revisar formato"))</f>
        <v/>
      </c>
      <c r="J221" s="24" t="str">
        <f>IF(Registro!$I221="","",IFERROR(SUMPRODUCT(--("0"&amp;TRIM(RIGHT(SUBSTITUTE(TRIM(MID(SUBSTITUTE(SUBSTITUTE(Registro!$I221,";",CHAR(10)),CHAR(10),REPT(" ",LEN(Registro!$I221))),({1,2,3,4,5,6,7,8,9,10,11,12,13,14,15,16,17,18,19,20,21,22,23,24,25,26,27,28,29,30}-1)*LEN(Registro!$I221)+1,LEN(Registro!$I221)))," ",REPT(" ",50)),50)))),"Revisar formato"))</f>
        <v/>
      </c>
      <c r="K221" s="24" t="str">
        <f>IF(AND(Registro!$G221="",Registro!$H221=""),"",IF(AND(ISTEXT(I221),I221&lt;&gt;""),"Revisar formato",N(Registro!$G221)-N(I221)))</f>
        <v/>
      </c>
      <c r="L221" s="24" t="str">
        <f t="shared" si="7"/>
        <v/>
      </c>
      <c r="M221" s="36" t="str">
        <f>IF(AND(A221=Consulta!$B$3,C221=Consulta!$H$3),B221*10000+ROW(),"")</f>
        <v/>
      </c>
    </row>
    <row r="222" spans="1:13" x14ac:dyDescent="0.25">
      <c r="A222" s="21" t="str">
        <f>IF(Registro!$A222="","",Registro!$A222)</f>
        <v/>
      </c>
      <c r="B222" s="20" t="str">
        <f>IF(Registro!$B222="","",Registro!$B222)</f>
        <v/>
      </c>
      <c r="C222" s="35" t="str">
        <f t="shared" si="6"/>
        <v/>
      </c>
      <c r="D222" s="23" t="str">
        <f>IF(Registro!$E222="","",IF(ISERROR(FIND("x",LOWER(Registro!$E222))),"-",IFERROR(SUMPRODUCT(--("0"&amp;LEFT(TRIM(MID(SUBSTITUTE(SUBSTITUTE(SUBSTITUTE(SUBSTITUTE(SUBSTITUTE(LOWER(Registro!$E222),"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",LEN(Registro!$E222))),({1,2,3,4,5,6,7,8,9,10,11,12,13,14,15,16,17,18,19,20,21,22,23,24,25,26,27,28,29,30}-1)*LEN(Registro!$E222)+1,LEN(Registro!$E222))),FIND("x",TRIM(MID(SUBSTITUTE(SUBSTITUTE(SUBSTITUTE(SUBSTITUTE(SUBSTITUTE(LOWER(Registro!$E222),"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",LEN(Registro!$E222))),({1,2,3,4,5,6,7,8,9,10,11,12,13,14,15,16,17,18,19,20,21,22,23,24,25,26,27,28,29,30}-1)*LEN(Registro!$E222)+1,LEN(Registro!$E222)))&amp;"x")-1))),"Revisar formato")))</f>
        <v/>
      </c>
      <c r="E222" s="24" t="str">
        <f>IF(Registro!$E222="","",IF(ISERROR(FIND("x",LOWER(Registro!$E222))),"-",IFERROR(SUMPRODUCT(--("0"&amp;LEFT(TRIM(MID(SUBSTITUTE(SUBSTITUTE(SUBSTITUTE(SUBSTITUTE(SUBSTITUTE(LOWER(Registro!$E222),"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",LEN(Registro!$E222))),({1,2,3,4,5,6,7,8,9,10,11,12,13,14,15,16,17,18,19,20,21,22,23,24,25,26,27,28,29,30}-1)*LEN(Registro!$E222)+1,LEN(Registro!$E222))),FIND("x",TRIM(MID(SUBSTITUTE(SUBSTITUTE(SUBSTITUTE(SUBSTITUTE(SUBSTITUTE(LOWER(Registro!$E222),"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",LEN(Registro!$E222))),({1,2,3,4,5,6,7,8,9,10,11,12,13,14,15,16,17,18,19,20,21,22,23,24,25,26,27,28,29,30}-1)*LEN(Registro!$E222)+1,LEN(Registro!$E222)))&amp;"x")-1)),--("0"&amp;MID(TRIM(MID(SUBSTITUTE(SUBSTITUTE(SUBSTITUTE(SUBSTITUTE(SUBSTITUTE(LOWER(Registro!$E222),"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",LEN(Registro!$E222))),({1,2,3,4,5,6,7,8,9,10,11,12,13,14,15,16,17,18,19,20,21,22,23,24,25,26,27,28,29,30}-1)*LEN(Registro!$E222)+1,LEN(Registro!$E222))),FIND("x",TRIM(MID(SUBSTITUTE(SUBSTITUTE(SUBSTITUTE(SUBSTITUTE(SUBSTITUTE(LOWER(Registro!$E222),"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",LEN(Registro!$E222))),({1,2,3,4,5,6,7,8,9,10,11,12,13,14,15,16,17,18,19,20,21,22,23,24,25,26,27,28,29,30}-1)*LEN(Registro!$E222)+1,LEN(Registro!$E222)))&amp;"x")+1,20))),"Revisar formato")))</f>
        <v/>
      </c>
      <c r="F222" s="23" t="str">
        <f>IF(Registro!$F222="","",IF(ISERROR(FIND("x",LOWER(Registro!$F222))),"-",IFERROR(SUMPRODUCT(--("0"&amp;LEFT(TRIM(MID(SUBSTITUTE(SUBSTITUTE(SUBSTITUTE(SUBSTITUTE(SUBSTITUTE(LOWER(Registro!$F222)," ",""),CHAR(10),"|"),";","|"),"+","|"),"|",REPT(" ",LEN(Registro!$F222))),({1,2,3,4,5,6,7,8,9,10,11,12,13,14,15,16,17,18,19,20,21,22,23,24,25,26,27,28,29,30}-1)*LEN(Registro!$F222)+1,LEN(Registro!$F222))),FIND("x",TRIM(MID(SUBSTITUTE(SUBSTITUTE(SUBSTITUTE(SUBSTITUTE(SUBSTITUTE(LOWER(Registro!$F222)," ",""),CHAR(10),"|"),";","|"),"+","|"),"|",REPT(" ",LEN(Registro!$F222))),({1,2,3,4,5,6,7,8,9,10,11,12,13,14,15,16,17,18,19,20,21,22,23,24,25,26,27,28,29,30}-1)*LEN(Registro!$F222)+1,LEN(Registro!$F222)))&amp;"x")-1))),"Revisar formato")))</f>
        <v/>
      </c>
      <c r="G222" s="24" t="str">
        <f>IF(Registro!$F222="","",IF(ISERROR(FIND("x",LOWER(Registro!$F222))),N(Registro!$G222),IFERROR(SUMPRODUCT(--("0"&amp;LEFT(TRIM(MID(SUBSTITUTE(SUBSTITUTE(SUBSTITUTE(SUBSTITUTE(SUBSTITUTE(LOWER(Registro!$F222)," ",""),CHAR(10),"|"),";","|"),"+","|"),"|",REPT(" ",LEN(Registro!$F222))),({1,2,3,4,5,6,7,8,9,10,11,12,13,14,15,16,17,18,19,20,21,22,23,24,25,26,27,28,29,30}-1)*LEN(Registro!$F222)+1,LEN(Registro!$F222))),FIND("x",TRIM(MID(SUBSTITUTE(SUBSTITUTE(SUBSTITUTE(SUBSTITUTE(SUBSTITUTE(LOWER(Registro!$F222)," ",""),CHAR(10),"|"),";","|"),"+","|"),"|",REPT(" ",LEN(Registro!$F222))),({1,2,3,4,5,6,7,8,9,10,11,12,13,14,15,16,17,18,19,20,21,22,23,24,25,26,27,28,29,30}-1)*LEN(Registro!$F222)+1,LEN(Registro!$F222)))&amp;"x")-1)),--("0"&amp;MID(TRIM(MID(SUBSTITUTE(SUBSTITUTE(SUBSTITUTE(SUBSTITUTE(SUBSTITUTE(LOWER(Registro!$F222)," ",""),CHAR(10),"|"),";","|"),"+","|"),"|",REPT(" ",LEN(Registro!$F222))),({1,2,3,4,5,6,7,8,9,10,11,12,13,14,15,16,17,18,19,20,21,22,23,24,25,26,27,28,29,30}-1)*LEN(Registro!$F222)+1,LEN(Registro!$F222))),FIND("x",TRIM(MID(SUBSTITUTE(SUBSTITUTE(SUBSTITUTE(SUBSTITUTE(SUBSTITUTE(LOWER(Registro!$F222)," ",""),CHAR(10),"|"),";","|"),"+","|"),"|",REPT(" ",LEN(Registro!$F222))),({1,2,3,4,5,6,7,8,9,10,11,12,13,14,15,16,17,18,19,20,21,22,23,24,25,26,27,28,29,30}-1)*LEN(Registro!$F222)+1,LEN(Registro!$F222)))&amp;"x")+1,20))),"Revisar formato")))</f>
        <v/>
      </c>
      <c r="H222" s="21" t="str">
        <f>IF(AND(Registro!$E222="",Registro!$F222=""),"",IF(NOT(AND(ISNUMBER(G222),ISNUMBER(Registro!$G222))),"",IF(G222&lt;Registro!$G222,"FALTA BOLETOS",IF(G222=Registro!$G222,"CONFORME","DIFERENCIA"))))</f>
        <v/>
      </c>
      <c r="I222" s="24" t="str">
        <f>IF(Registro!$H222="","",IFERROR(SUMPRODUCT(--("0"&amp;TRIM(RIGHT(SUBSTITUTE(TRIM(MID(SUBSTITUTE(SUBSTITUTE(Registro!$H222,";",CHAR(10)),CHAR(10),REPT(" ",LEN(Registro!$H222))),({1,2,3,4,5,6,7,8,9,10,11,12,13,14,15,16,17,18,19,20,21,22,23,24,25,26,27,28,29,30}-1)*LEN(Registro!$H222)+1,LEN(Registro!$H222)))," ",REPT(" ",50)),50)))),"Revisar formato"))</f>
        <v/>
      </c>
      <c r="J222" s="24" t="str">
        <f>IF(Registro!$I222="","",IFERROR(SUMPRODUCT(--("0"&amp;TRIM(RIGHT(SUBSTITUTE(TRIM(MID(SUBSTITUTE(SUBSTITUTE(Registro!$I222,";",CHAR(10)),CHAR(10),REPT(" ",LEN(Registro!$I222))),({1,2,3,4,5,6,7,8,9,10,11,12,13,14,15,16,17,18,19,20,21,22,23,24,25,26,27,28,29,30}-1)*LEN(Registro!$I222)+1,LEN(Registro!$I222)))," ",REPT(" ",50)),50)))),"Revisar formato"))</f>
        <v/>
      </c>
      <c r="K222" s="24" t="str">
        <f>IF(AND(Registro!$G222="",Registro!$H222=""),"",IF(AND(ISTEXT(I222),I222&lt;&gt;""),"Revisar formato",N(Registro!$G222)-N(I222)))</f>
        <v/>
      </c>
      <c r="L222" s="24" t="str">
        <f t="shared" si="7"/>
        <v/>
      </c>
      <c r="M222" s="36" t="str">
        <f>IF(AND(A222=Consulta!$B$3,C222=Consulta!$H$3),B222*10000+ROW(),"")</f>
        <v/>
      </c>
    </row>
    <row r="223" spans="1:13" x14ac:dyDescent="0.25">
      <c r="A223" s="21" t="str">
        <f>IF(Registro!$A223="","",Registro!$A223)</f>
        <v/>
      </c>
      <c r="B223" s="20" t="str">
        <f>IF(Registro!$B223="","",Registro!$B223)</f>
        <v/>
      </c>
      <c r="C223" s="35" t="str">
        <f t="shared" si="6"/>
        <v/>
      </c>
      <c r="D223" s="23" t="str">
        <f>IF(Registro!$E223="","",IF(ISERROR(FIND("x",LOWER(Registro!$E223))),"-",IFERROR(SUMPRODUCT(--("0"&amp;LEFT(TRIM(MID(SUBSTITUTE(SUBSTITUTE(SUBSTITUTE(SUBSTITUTE(SUBSTITUTE(LOWER(Registro!$E223),"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",LEN(Registro!$E223))),({1,2,3,4,5,6,7,8,9,10,11,12,13,14,15,16,17,18,19,20,21,22,23,24,25,26,27,28,29,30}-1)*LEN(Registro!$E223)+1,LEN(Registro!$E223))),FIND("x",TRIM(MID(SUBSTITUTE(SUBSTITUTE(SUBSTITUTE(SUBSTITUTE(SUBSTITUTE(LOWER(Registro!$E223),"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",LEN(Registro!$E223))),({1,2,3,4,5,6,7,8,9,10,11,12,13,14,15,16,17,18,19,20,21,22,23,24,25,26,27,28,29,30}-1)*LEN(Registro!$E223)+1,LEN(Registro!$E223)))&amp;"x")-1))),"Revisar formato")))</f>
        <v/>
      </c>
      <c r="E223" s="24" t="str">
        <f>IF(Registro!$E223="","",IF(ISERROR(FIND("x",LOWER(Registro!$E223))),"-",IFERROR(SUMPRODUCT(--("0"&amp;LEFT(TRIM(MID(SUBSTITUTE(SUBSTITUTE(SUBSTITUTE(SUBSTITUTE(SUBSTITUTE(LOWER(Registro!$E223),"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",LEN(Registro!$E223))),({1,2,3,4,5,6,7,8,9,10,11,12,13,14,15,16,17,18,19,20,21,22,23,24,25,26,27,28,29,30}-1)*LEN(Registro!$E223)+1,LEN(Registro!$E223))),FIND("x",TRIM(MID(SUBSTITUTE(SUBSTITUTE(SUBSTITUTE(SUBSTITUTE(SUBSTITUTE(LOWER(Registro!$E223),"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",LEN(Registro!$E223))),({1,2,3,4,5,6,7,8,9,10,11,12,13,14,15,16,17,18,19,20,21,22,23,24,25,26,27,28,29,30}-1)*LEN(Registro!$E223)+1,LEN(Registro!$E223)))&amp;"x")-1)),--("0"&amp;MID(TRIM(MID(SUBSTITUTE(SUBSTITUTE(SUBSTITUTE(SUBSTITUTE(SUBSTITUTE(LOWER(Registro!$E223),"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",LEN(Registro!$E223))),({1,2,3,4,5,6,7,8,9,10,11,12,13,14,15,16,17,18,19,20,21,22,23,24,25,26,27,28,29,30}-1)*LEN(Registro!$E223)+1,LEN(Registro!$E223))),FIND("x",TRIM(MID(SUBSTITUTE(SUBSTITUTE(SUBSTITUTE(SUBSTITUTE(SUBSTITUTE(LOWER(Registro!$E223),"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",LEN(Registro!$E223))),({1,2,3,4,5,6,7,8,9,10,11,12,13,14,15,16,17,18,19,20,21,22,23,24,25,26,27,28,29,30}-1)*LEN(Registro!$E223)+1,LEN(Registro!$E223)))&amp;"x")+1,20))),"Revisar formato")))</f>
        <v/>
      </c>
      <c r="F223" s="23" t="str">
        <f>IF(Registro!$F223="","",IF(ISERROR(FIND("x",LOWER(Registro!$F223))),"-",IFERROR(SUMPRODUCT(--("0"&amp;LEFT(TRIM(MID(SUBSTITUTE(SUBSTITUTE(SUBSTITUTE(SUBSTITUTE(SUBSTITUTE(LOWER(Registro!$F223)," ",""),CHAR(10),"|"),";","|"),"+","|"),"|",REPT(" ",LEN(Registro!$F223))),({1,2,3,4,5,6,7,8,9,10,11,12,13,14,15,16,17,18,19,20,21,22,23,24,25,26,27,28,29,30}-1)*LEN(Registro!$F223)+1,LEN(Registro!$F223))),FIND("x",TRIM(MID(SUBSTITUTE(SUBSTITUTE(SUBSTITUTE(SUBSTITUTE(SUBSTITUTE(LOWER(Registro!$F223)," ",""),CHAR(10),"|"),";","|"),"+","|"),"|",REPT(" ",LEN(Registro!$F223))),({1,2,3,4,5,6,7,8,9,10,11,12,13,14,15,16,17,18,19,20,21,22,23,24,25,26,27,28,29,30}-1)*LEN(Registro!$F223)+1,LEN(Registro!$F223)))&amp;"x")-1))),"Revisar formato")))</f>
        <v/>
      </c>
      <c r="G223" s="24" t="str">
        <f>IF(Registro!$F223="","",IF(ISERROR(FIND("x",LOWER(Registro!$F223))),N(Registro!$G223),IFERROR(SUMPRODUCT(--("0"&amp;LEFT(TRIM(MID(SUBSTITUTE(SUBSTITUTE(SUBSTITUTE(SUBSTITUTE(SUBSTITUTE(LOWER(Registro!$F223)," ",""),CHAR(10),"|"),";","|"),"+","|"),"|",REPT(" ",LEN(Registro!$F223))),({1,2,3,4,5,6,7,8,9,10,11,12,13,14,15,16,17,18,19,20,21,22,23,24,25,26,27,28,29,30}-1)*LEN(Registro!$F223)+1,LEN(Registro!$F223))),FIND("x",TRIM(MID(SUBSTITUTE(SUBSTITUTE(SUBSTITUTE(SUBSTITUTE(SUBSTITUTE(LOWER(Registro!$F223)," ",""),CHAR(10),"|"),";","|"),"+","|"),"|",REPT(" ",LEN(Registro!$F223))),({1,2,3,4,5,6,7,8,9,10,11,12,13,14,15,16,17,18,19,20,21,22,23,24,25,26,27,28,29,30}-1)*LEN(Registro!$F223)+1,LEN(Registro!$F223)))&amp;"x")-1)),--("0"&amp;MID(TRIM(MID(SUBSTITUTE(SUBSTITUTE(SUBSTITUTE(SUBSTITUTE(SUBSTITUTE(LOWER(Registro!$F223)," ",""),CHAR(10),"|"),";","|"),"+","|"),"|",REPT(" ",LEN(Registro!$F223))),({1,2,3,4,5,6,7,8,9,10,11,12,13,14,15,16,17,18,19,20,21,22,23,24,25,26,27,28,29,30}-1)*LEN(Registro!$F223)+1,LEN(Registro!$F223))),FIND("x",TRIM(MID(SUBSTITUTE(SUBSTITUTE(SUBSTITUTE(SUBSTITUTE(SUBSTITUTE(LOWER(Registro!$F223)," ",""),CHAR(10),"|"),";","|"),"+","|"),"|",REPT(" ",LEN(Registro!$F223))),({1,2,3,4,5,6,7,8,9,10,11,12,13,14,15,16,17,18,19,20,21,22,23,24,25,26,27,28,29,30}-1)*LEN(Registro!$F223)+1,LEN(Registro!$F223)))&amp;"x")+1,20))),"Revisar formato")))</f>
        <v/>
      </c>
      <c r="H223" s="21" t="str">
        <f>IF(AND(Registro!$E223="",Registro!$F223=""),"",IF(NOT(AND(ISNUMBER(G223),ISNUMBER(Registro!$G223))),"",IF(G223&lt;Registro!$G223,"FALTA BOLETOS",IF(G223=Registro!$G223,"CONFORME","DIFERENCIA"))))</f>
        <v/>
      </c>
      <c r="I223" s="24" t="str">
        <f>IF(Registro!$H223="","",IFERROR(SUMPRODUCT(--("0"&amp;TRIM(RIGHT(SUBSTITUTE(TRIM(MID(SUBSTITUTE(SUBSTITUTE(Registro!$H223,";",CHAR(10)),CHAR(10),REPT(" ",LEN(Registro!$H223))),({1,2,3,4,5,6,7,8,9,10,11,12,13,14,15,16,17,18,19,20,21,22,23,24,25,26,27,28,29,30}-1)*LEN(Registro!$H223)+1,LEN(Registro!$H223)))," ",REPT(" ",50)),50)))),"Revisar formato"))</f>
        <v/>
      </c>
      <c r="J223" s="24" t="str">
        <f>IF(Registro!$I223="","",IFERROR(SUMPRODUCT(--("0"&amp;TRIM(RIGHT(SUBSTITUTE(TRIM(MID(SUBSTITUTE(SUBSTITUTE(Registro!$I223,";",CHAR(10)),CHAR(10),REPT(" ",LEN(Registro!$I223))),({1,2,3,4,5,6,7,8,9,10,11,12,13,14,15,16,17,18,19,20,21,22,23,24,25,26,27,28,29,30}-1)*LEN(Registro!$I223)+1,LEN(Registro!$I223)))," ",REPT(" ",50)),50)))),"Revisar formato"))</f>
        <v/>
      </c>
      <c r="K223" s="24" t="str">
        <f>IF(AND(Registro!$G223="",Registro!$H223=""),"",IF(AND(ISTEXT(I223),I223&lt;&gt;""),"Revisar formato",N(Registro!$G223)-N(I223)))</f>
        <v/>
      </c>
      <c r="L223" s="24" t="str">
        <f t="shared" si="7"/>
        <v/>
      </c>
      <c r="M223" s="36" t="str">
        <f>IF(AND(A223=Consulta!$B$3,C223=Consulta!$H$3),B223*10000+ROW(),"")</f>
        <v/>
      </c>
    </row>
    <row r="224" spans="1:13" x14ac:dyDescent="0.25">
      <c r="A224" s="21" t="str">
        <f>IF(Registro!$A224="","",Registro!$A224)</f>
        <v/>
      </c>
      <c r="B224" s="20" t="str">
        <f>IF(Registro!$B224="","",Registro!$B224)</f>
        <v/>
      </c>
      <c r="C224" s="35" t="str">
        <f t="shared" si="6"/>
        <v/>
      </c>
      <c r="D224" s="23" t="str">
        <f>IF(Registro!$E224="","",IF(ISERROR(FIND("x",LOWER(Registro!$E224))),"-",IFERROR(SUMPRODUCT(--("0"&amp;LEFT(TRIM(MID(SUBSTITUTE(SUBSTITUTE(SUBSTITUTE(SUBSTITUTE(SUBSTITUTE(LOWER(Registro!$E224),"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",LEN(Registro!$E224))),({1,2,3,4,5,6,7,8,9,10,11,12,13,14,15,16,17,18,19,20,21,22,23,24,25,26,27,28,29,30}-1)*LEN(Registro!$E224)+1,LEN(Registro!$E224))),FIND("x",TRIM(MID(SUBSTITUTE(SUBSTITUTE(SUBSTITUTE(SUBSTITUTE(SUBSTITUTE(LOWER(Registro!$E224),"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",LEN(Registro!$E224))),({1,2,3,4,5,6,7,8,9,10,11,12,13,14,15,16,17,18,19,20,21,22,23,24,25,26,27,28,29,30}-1)*LEN(Registro!$E224)+1,LEN(Registro!$E224)))&amp;"x")-1))),"Revisar formato")))</f>
        <v/>
      </c>
      <c r="E224" s="24" t="str">
        <f>IF(Registro!$E224="","",IF(ISERROR(FIND("x",LOWER(Registro!$E224))),"-",IFERROR(SUMPRODUCT(--("0"&amp;LEFT(TRIM(MID(SUBSTITUTE(SUBSTITUTE(SUBSTITUTE(SUBSTITUTE(SUBSTITUTE(LOWER(Registro!$E224),"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",LEN(Registro!$E224))),({1,2,3,4,5,6,7,8,9,10,11,12,13,14,15,16,17,18,19,20,21,22,23,24,25,26,27,28,29,30}-1)*LEN(Registro!$E224)+1,LEN(Registro!$E224))),FIND("x",TRIM(MID(SUBSTITUTE(SUBSTITUTE(SUBSTITUTE(SUBSTITUTE(SUBSTITUTE(LOWER(Registro!$E224),"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",LEN(Registro!$E224))),({1,2,3,4,5,6,7,8,9,10,11,12,13,14,15,16,17,18,19,20,21,22,23,24,25,26,27,28,29,30}-1)*LEN(Registro!$E224)+1,LEN(Registro!$E224)))&amp;"x")-1)),--("0"&amp;MID(TRIM(MID(SUBSTITUTE(SUBSTITUTE(SUBSTITUTE(SUBSTITUTE(SUBSTITUTE(LOWER(Registro!$E224),"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",LEN(Registro!$E224))),({1,2,3,4,5,6,7,8,9,10,11,12,13,14,15,16,17,18,19,20,21,22,23,24,25,26,27,28,29,30}-1)*LEN(Registro!$E224)+1,LEN(Registro!$E224))),FIND("x",TRIM(MID(SUBSTITUTE(SUBSTITUTE(SUBSTITUTE(SUBSTITUTE(SUBSTITUTE(LOWER(Registro!$E224),"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",LEN(Registro!$E224))),({1,2,3,4,5,6,7,8,9,10,11,12,13,14,15,16,17,18,19,20,21,22,23,24,25,26,27,28,29,30}-1)*LEN(Registro!$E224)+1,LEN(Registro!$E224)))&amp;"x")+1,20))),"Revisar formato")))</f>
        <v/>
      </c>
      <c r="F224" s="23" t="str">
        <f>IF(Registro!$F224="","",IF(ISERROR(FIND("x",LOWER(Registro!$F224))),"-",IFERROR(SUMPRODUCT(--("0"&amp;LEFT(TRIM(MID(SUBSTITUTE(SUBSTITUTE(SUBSTITUTE(SUBSTITUTE(SUBSTITUTE(LOWER(Registro!$F224)," ",""),CHAR(10),"|"),";","|"),"+","|"),"|",REPT(" ",LEN(Registro!$F224))),({1,2,3,4,5,6,7,8,9,10,11,12,13,14,15,16,17,18,19,20,21,22,23,24,25,26,27,28,29,30}-1)*LEN(Registro!$F224)+1,LEN(Registro!$F224))),FIND("x",TRIM(MID(SUBSTITUTE(SUBSTITUTE(SUBSTITUTE(SUBSTITUTE(SUBSTITUTE(LOWER(Registro!$F224)," ",""),CHAR(10),"|"),";","|"),"+","|"),"|",REPT(" ",LEN(Registro!$F224))),({1,2,3,4,5,6,7,8,9,10,11,12,13,14,15,16,17,18,19,20,21,22,23,24,25,26,27,28,29,30}-1)*LEN(Registro!$F224)+1,LEN(Registro!$F224)))&amp;"x")-1))),"Revisar formato")))</f>
        <v/>
      </c>
      <c r="G224" s="24" t="str">
        <f>IF(Registro!$F224="","",IF(ISERROR(FIND("x",LOWER(Registro!$F224))),N(Registro!$G224),IFERROR(SUMPRODUCT(--("0"&amp;LEFT(TRIM(MID(SUBSTITUTE(SUBSTITUTE(SUBSTITUTE(SUBSTITUTE(SUBSTITUTE(LOWER(Registro!$F224)," ",""),CHAR(10),"|"),";","|"),"+","|"),"|",REPT(" ",LEN(Registro!$F224))),({1,2,3,4,5,6,7,8,9,10,11,12,13,14,15,16,17,18,19,20,21,22,23,24,25,26,27,28,29,30}-1)*LEN(Registro!$F224)+1,LEN(Registro!$F224))),FIND("x",TRIM(MID(SUBSTITUTE(SUBSTITUTE(SUBSTITUTE(SUBSTITUTE(SUBSTITUTE(LOWER(Registro!$F224)," ",""),CHAR(10),"|"),";","|"),"+","|"),"|",REPT(" ",LEN(Registro!$F224))),({1,2,3,4,5,6,7,8,9,10,11,12,13,14,15,16,17,18,19,20,21,22,23,24,25,26,27,28,29,30}-1)*LEN(Registro!$F224)+1,LEN(Registro!$F224)))&amp;"x")-1)),--("0"&amp;MID(TRIM(MID(SUBSTITUTE(SUBSTITUTE(SUBSTITUTE(SUBSTITUTE(SUBSTITUTE(LOWER(Registro!$F224)," ",""),CHAR(10),"|"),";","|"),"+","|"),"|",REPT(" ",LEN(Registro!$F224))),({1,2,3,4,5,6,7,8,9,10,11,12,13,14,15,16,17,18,19,20,21,22,23,24,25,26,27,28,29,30}-1)*LEN(Registro!$F224)+1,LEN(Registro!$F224))),FIND("x",TRIM(MID(SUBSTITUTE(SUBSTITUTE(SUBSTITUTE(SUBSTITUTE(SUBSTITUTE(LOWER(Registro!$F224)," ",""),CHAR(10),"|"),";","|"),"+","|"),"|",REPT(" ",LEN(Registro!$F224))),({1,2,3,4,5,6,7,8,9,10,11,12,13,14,15,16,17,18,19,20,21,22,23,24,25,26,27,28,29,30}-1)*LEN(Registro!$F224)+1,LEN(Registro!$F224)))&amp;"x")+1,20))),"Revisar formato")))</f>
        <v/>
      </c>
      <c r="H224" s="21" t="str">
        <f>IF(AND(Registro!$E224="",Registro!$F224=""),"",IF(NOT(AND(ISNUMBER(G224),ISNUMBER(Registro!$G224))),"",IF(G224&lt;Registro!$G224,"FALTA BOLETOS",IF(G224=Registro!$G224,"CONFORME","DIFERENCIA"))))</f>
        <v/>
      </c>
      <c r="I224" s="24" t="str">
        <f>IF(Registro!$H224="","",IFERROR(SUMPRODUCT(--("0"&amp;TRIM(RIGHT(SUBSTITUTE(TRIM(MID(SUBSTITUTE(SUBSTITUTE(Registro!$H224,";",CHAR(10)),CHAR(10),REPT(" ",LEN(Registro!$H224))),({1,2,3,4,5,6,7,8,9,10,11,12,13,14,15,16,17,18,19,20,21,22,23,24,25,26,27,28,29,30}-1)*LEN(Registro!$H224)+1,LEN(Registro!$H224)))," ",REPT(" ",50)),50)))),"Revisar formato"))</f>
        <v/>
      </c>
      <c r="J224" s="24" t="str">
        <f>IF(Registro!$I224="","",IFERROR(SUMPRODUCT(--("0"&amp;TRIM(RIGHT(SUBSTITUTE(TRIM(MID(SUBSTITUTE(SUBSTITUTE(Registro!$I224,";",CHAR(10)),CHAR(10),REPT(" ",LEN(Registro!$I224))),({1,2,3,4,5,6,7,8,9,10,11,12,13,14,15,16,17,18,19,20,21,22,23,24,25,26,27,28,29,30}-1)*LEN(Registro!$I224)+1,LEN(Registro!$I224)))," ",REPT(" ",50)),50)))),"Revisar formato"))</f>
        <v/>
      </c>
      <c r="K224" s="24" t="str">
        <f>IF(AND(Registro!$G224="",Registro!$H224=""),"",IF(AND(ISTEXT(I224),I224&lt;&gt;""),"Revisar formato",N(Registro!$G224)-N(I224)))</f>
        <v/>
      </c>
      <c r="L224" s="24" t="str">
        <f t="shared" si="7"/>
        <v/>
      </c>
      <c r="M224" s="36" t="str">
        <f>IF(AND(A224=Consulta!$B$3,C224=Consulta!$H$3),B224*10000+ROW(),"")</f>
        <v/>
      </c>
    </row>
    <row r="225" spans="1:13" x14ac:dyDescent="0.25">
      <c r="A225" s="21" t="str">
        <f>IF(Registro!$A225="","",Registro!$A225)</f>
        <v/>
      </c>
      <c r="B225" s="20" t="str">
        <f>IF(Registro!$B225="","",Registro!$B225)</f>
        <v/>
      </c>
      <c r="C225" s="35" t="str">
        <f t="shared" si="6"/>
        <v/>
      </c>
      <c r="D225" s="23" t="str">
        <f>IF(Registro!$E225="","",IF(ISERROR(FIND("x",LOWER(Registro!$E225))),"-",IFERROR(SUMPRODUCT(--("0"&amp;LEFT(TRIM(MID(SUBSTITUTE(SUBSTITUTE(SUBSTITUTE(SUBSTITUTE(SUBSTITUTE(LOWER(Registro!$E225),"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",LEN(Registro!$E225))),({1,2,3,4,5,6,7,8,9,10,11,12,13,14,15,16,17,18,19,20,21,22,23,24,25,26,27,28,29,30}-1)*LEN(Registro!$E225)+1,LEN(Registro!$E225))),FIND("x",TRIM(MID(SUBSTITUTE(SUBSTITUTE(SUBSTITUTE(SUBSTITUTE(SUBSTITUTE(LOWER(Registro!$E225),"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",LEN(Registro!$E225))),({1,2,3,4,5,6,7,8,9,10,11,12,13,14,15,16,17,18,19,20,21,22,23,24,25,26,27,28,29,30}-1)*LEN(Registro!$E225)+1,LEN(Registro!$E225)))&amp;"x")-1))),"Revisar formato")))</f>
        <v/>
      </c>
      <c r="E225" s="24" t="str">
        <f>IF(Registro!$E225="","",IF(ISERROR(FIND("x",LOWER(Registro!$E225))),"-",IFERROR(SUMPRODUCT(--("0"&amp;LEFT(TRIM(MID(SUBSTITUTE(SUBSTITUTE(SUBSTITUTE(SUBSTITUTE(SUBSTITUTE(LOWER(Registro!$E225),"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",LEN(Registro!$E225))),({1,2,3,4,5,6,7,8,9,10,11,12,13,14,15,16,17,18,19,20,21,22,23,24,25,26,27,28,29,30}-1)*LEN(Registro!$E225)+1,LEN(Registro!$E225))),FIND("x",TRIM(MID(SUBSTITUTE(SUBSTITUTE(SUBSTITUTE(SUBSTITUTE(SUBSTITUTE(LOWER(Registro!$E225),"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",LEN(Registro!$E225))),({1,2,3,4,5,6,7,8,9,10,11,12,13,14,15,16,17,18,19,20,21,22,23,24,25,26,27,28,29,30}-1)*LEN(Registro!$E225)+1,LEN(Registro!$E225)))&amp;"x")-1)),--("0"&amp;MID(TRIM(MID(SUBSTITUTE(SUBSTITUTE(SUBSTITUTE(SUBSTITUTE(SUBSTITUTE(LOWER(Registro!$E225),"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",LEN(Registro!$E225))),({1,2,3,4,5,6,7,8,9,10,11,12,13,14,15,16,17,18,19,20,21,22,23,24,25,26,27,28,29,30}-1)*LEN(Registro!$E225)+1,LEN(Registro!$E225))),FIND("x",TRIM(MID(SUBSTITUTE(SUBSTITUTE(SUBSTITUTE(SUBSTITUTE(SUBSTITUTE(LOWER(Registro!$E225),"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",LEN(Registro!$E225))),({1,2,3,4,5,6,7,8,9,10,11,12,13,14,15,16,17,18,19,20,21,22,23,24,25,26,27,28,29,30}-1)*LEN(Registro!$E225)+1,LEN(Registro!$E225)))&amp;"x")+1,20))),"Revisar formato")))</f>
        <v/>
      </c>
      <c r="F225" s="23" t="str">
        <f>IF(Registro!$F225="","",IF(ISERROR(FIND("x",LOWER(Registro!$F225))),"-",IFERROR(SUMPRODUCT(--("0"&amp;LEFT(TRIM(MID(SUBSTITUTE(SUBSTITUTE(SUBSTITUTE(SUBSTITUTE(SUBSTITUTE(LOWER(Registro!$F225)," ",""),CHAR(10),"|"),";","|"),"+","|"),"|",REPT(" ",LEN(Registro!$F225))),({1,2,3,4,5,6,7,8,9,10,11,12,13,14,15,16,17,18,19,20,21,22,23,24,25,26,27,28,29,30}-1)*LEN(Registro!$F225)+1,LEN(Registro!$F225))),FIND("x",TRIM(MID(SUBSTITUTE(SUBSTITUTE(SUBSTITUTE(SUBSTITUTE(SUBSTITUTE(LOWER(Registro!$F225)," ",""),CHAR(10),"|"),";","|"),"+","|"),"|",REPT(" ",LEN(Registro!$F225))),({1,2,3,4,5,6,7,8,9,10,11,12,13,14,15,16,17,18,19,20,21,22,23,24,25,26,27,28,29,30}-1)*LEN(Registro!$F225)+1,LEN(Registro!$F225)))&amp;"x")-1))),"Revisar formato")))</f>
        <v/>
      </c>
      <c r="G225" s="24" t="str">
        <f>IF(Registro!$F225="","",IF(ISERROR(FIND("x",LOWER(Registro!$F225))),N(Registro!$G225),IFERROR(SUMPRODUCT(--("0"&amp;LEFT(TRIM(MID(SUBSTITUTE(SUBSTITUTE(SUBSTITUTE(SUBSTITUTE(SUBSTITUTE(LOWER(Registro!$F225)," ",""),CHAR(10),"|"),";","|"),"+","|"),"|",REPT(" ",LEN(Registro!$F225))),({1,2,3,4,5,6,7,8,9,10,11,12,13,14,15,16,17,18,19,20,21,22,23,24,25,26,27,28,29,30}-1)*LEN(Registro!$F225)+1,LEN(Registro!$F225))),FIND("x",TRIM(MID(SUBSTITUTE(SUBSTITUTE(SUBSTITUTE(SUBSTITUTE(SUBSTITUTE(LOWER(Registro!$F225)," ",""),CHAR(10),"|"),";","|"),"+","|"),"|",REPT(" ",LEN(Registro!$F225))),({1,2,3,4,5,6,7,8,9,10,11,12,13,14,15,16,17,18,19,20,21,22,23,24,25,26,27,28,29,30}-1)*LEN(Registro!$F225)+1,LEN(Registro!$F225)))&amp;"x")-1)),--("0"&amp;MID(TRIM(MID(SUBSTITUTE(SUBSTITUTE(SUBSTITUTE(SUBSTITUTE(SUBSTITUTE(LOWER(Registro!$F225)," ",""),CHAR(10),"|"),";","|"),"+","|"),"|",REPT(" ",LEN(Registro!$F225))),({1,2,3,4,5,6,7,8,9,10,11,12,13,14,15,16,17,18,19,20,21,22,23,24,25,26,27,28,29,30}-1)*LEN(Registro!$F225)+1,LEN(Registro!$F225))),FIND("x",TRIM(MID(SUBSTITUTE(SUBSTITUTE(SUBSTITUTE(SUBSTITUTE(SUBSTITUTE(LOWER(Registro!$F225)," ",""),CHAR(10),"|"),";","|"),"+","|"),"|",REPT(" ",LEN(Registro!$F225))),({1,2,3,4,5,6,7,8,9,10,11,12,13,14,15,16,17,18,19,20,21,22,23,24,25,26,27,28,29,30}-1)*LEN(Registro!$F225)+1,LEN(Registro!$F225)))&amp;"x")+1,20))),"Revisar formato")))</f>
        <v/>
      </c>
      <c r="H225" s="21" t="str">
        <f>IF(AND(Registro!$E225="",Registro!$F225=""),"",IF(NOT(AND(ISNUMBER(G225),ISNUMBER(Registro!$G225))),"",IF(G225&lt;Registro!$G225,"FALTA BOLETOS",IF(G225=Registro!$G225,"CONFORME","DIFERENCIA"))))</f>
        <v/>
      </c>
      <c r="I225" s="24" t="str">
        <f>IF(Registro!$H225="","",IFERROR(SUMPRODUCT(--("0"&amp;TRIM(RIGHT(SUBSTITUTE(TRIM(MID(SUBSTITUTE(SUBSTITUTE(Registro!$H225,";",CHAR(10)),CHAR(10),REPT(" ",LEN(Registro!$H225))),({1,2,3,4,5,6,7,8,9,10,11,12,13,14,15,16,17,18,19,20,21,22,23,24,25,26,27,28,29,30}-1)*LEN(Registro!$H225)+1,LEN(Registro!$H225)))," ",REPT(" ",50)),50)))),"Revisar formato"))</f>
        <v/>
      </c>
      <c r="J225" s="24" t="str">
        <f>IF(Registro!$I225="","",IFERROR(SUMPRODUCT(--("0"&amp;TRIM(RIGHT(SUBSTITUTE(TRIM(MID(SUBSTITUTE(SUBSTITUTE(Registro!$I225,";",CHAR(10)),CHAR(10),REPT(" ",LEN(Registro!$I225))),({1,2,3,4,5,6,7,8,9,10,11,12,13,14,15,16,17,18,19,20,21,22,23,24,25,26,27,28,29,30}-1)*LEN(Registro!$I225)+1,LEN(Registro!$I225)))," ",REPT(" ",50)),50)))),"Revisar formato"))</f>
        <v/>
      </c>
      <c r="K225" s="24" t="str">
        <f>IF(AND(Registro!$G225="",Registro!$H225=""),"",IF(AND(ISTEXT(I225),I225&lt;&gt;""),"Revisar formato",N(Registro!$G225)-N(I225)))</f>
        <v/>
      </c>
      <c r="L225" s="24" t="str">
        <f t="shared" si="7"/>
        <v/>
      </c>
      <c r="M225" s="36" t="str">
        <f>IF(AND(A225=Consulta!$B$3,C225=Consulta!$H$3),B225*10000+ROW(),"")</f>
        <v/>
      </c>
    </row>
    <row r="226" spans="1:13" x14ac:dyDescent="0.25">
      <c r="A226" s="21" t="str">
        <f>IF(Registro!$A226="","",Registro!$A226)</f>
        <v/>
      </c>
      <c r="B226" s="20" t="str">
        <f>IF(Registro!$B226="","",Registro!$B226)</f>
        <v/>
      </c>
      <c r="C226" s="35" t="str">
        <f t="shared" si="6"/>
        <v/>
      </c>
      <c r="D226" s="23" t="str">
        <f>IF(Registro!$E226="","",IF(ISERROR(FIND("x",LOWER(Registro!$E226))),"-",IFERROR(SUMPRODUCT(--("0"&amp;LEFT(TRIM(MID(SUBSTITUTE(SUBSTITUTE(SUBSTITUTE(SUBSTITUTE(SUBSTITUTE(LOWER(Registro!$E226),"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",LEN(Registro!$E226))),({1,2,3,4,5,6,7,8,9,10,11,12,13,14,15,16,17,18,19,20,21,22,23,24,25,26,27,28,29,30}-1)*LEN(Registro!$E226)+1,LEN(Registro!$E226))),FIND("x",TRIM(MID(SUBSTITUTE(SUBSTITUTE(SUBSTITUTE(SUBSTITUTE(SUBSTITUTE(LOWER(Registro!$E226),"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",LEN(Registro!$E226))),({1,2,3,4,5,6,7,8,9,10,11,12,13,14,15,16,17,18,19,20,21,22,23,24,25,26,27,28,29,30}-1)*LEN(Registro!$E226)+1,LEN(Registro!$E226)))&amp;"x")-1))),"Revisar formato")))</f>
        <v/>
      </c>
      <c r="E226" s="24" t="str">
        <f>IF(Registro!$E226="","",IF(ISERROR(FIND("x",LOWER(Registro!$E226))),"-",IFERROR(SUMPRODUCT(--("0"&amp;LEFT(TRIM(MID(SUBSTITUTE(SUBSTITUTE(SUBSTITUTE(SUBSTITUTE(SUBSTITUTE(LOWER(Registro!$E226),"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",LEN(Registro!$E226))),({1,2,3,4,5,6,7,8,9,10,11,12,13,14,15,16,17,18,19,20,21,22,23,24,25,26,27,28,29,30}-1)*LEN(Registro!$E226)+1,LEN(Registro!$E226))),FIND("x",TRIM(MID(SUBSTITUTE(SUBSTITUTE(SUBSTITUTE(SUBSTITUTE(SUBSTITUTE(LOWER(Registro!$E226),"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",LEN(Registro!$E226))),({1,2,3,4,5,6,7,8,9,10,11,12,13,14,15,16,17,18,19,20,21,22,23,24,25,26,27,28,29,30}-1)*LEN(Registro!$E226)+1,LEN(Registro!$E226)))&amp;"x")-1)),--("0"&amp;MID(TRIM(MID(SUBSTITUTE(SUBSTITUTE(SUBSTITUTE(SUBSTITUTE(SUBSTITUTE(LOWER(Registro!$E226),"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",LEN(Registro!$E226))),({1,2,3,4,5,6,7,8,9,10,11,12,13,14,15,16,17,18,19,20,21,22,23,24,25,26,27,28,29,30}-1)*LEN(Registro!$E226)+1,LEN(Registro!$E226))),FIND("x",TRIM(MID(SUBSTITUTE(SUBSTITUTE(SUBSTITUTE(SUBSTITUTE(SUBSTITUTE(LOWER(Registro!$E226),"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",LEN(Registro!$E226))),({1,2,3,4,5,6,7,8,9,10,11,12,13,14,15,16,17,18,19,20,21,22,23,24,25,26,27,28,29,30}-1)*LEN(Registro!$E226)+1,LEN(Registro!$E226)))&amp;"x")+1,20))),"Revisar formato")))</f>
        <v/>
      </c>
      <c r="F226" s="23" t="str">
        <f>IF(Registro!$F226="","",IF(ISERROR(FIND("x",LOWER(Registro!$F226))),"-",IFERROR(SUMPRODUCT(--("0"&amp;LEFT(TRIM(MID(SUBSTITUTE(SUBSTITUTE(SUBSTITUTE(SUBSTITUTE(SUBSTITUTE(LOWER(Registro!$F226)," ",""),CHAR(10),"|"),";","|"),"+","|"),"|",REPT(" ",LEN(Registro!$F226))),({1,2,3,4,5,6,7,8,9,10,11,12,13,14,15,16,17,18,19,20,21,22,23,24,25,26,27,28,29,30}-1)*LEN(Registro!$F226)+1,LEN(Registro!$F226))),FIND("x",TRIM(MID(SUBSTITUTE(SUBSTITUTE(SUBSTITUTE(SUBSTITUTE(SUBSTITUTE(LOWER(Registro!$F226)," ",""),CHAR(10),"|"),";","|"),"+","|"),"|",REPT(" ",LEN(Registro!$F226))),({1,2,3,4,5,6,7,8,9,10,11,12,13,14,15,16,17,18,19,20,21,22,23,24,25,26,27,28,29,30}-1)*LEN(Registro!$F226)+1,LEN(Registro!$F226)))&amp;"x")-1))),"Revisar formato")))</f>
        <v/>
      </c>
      <c r="G226" s="24" t="str">
        <f>IF(Registro!$F226="","",IF(ISERROR(FIND("x",LOWER(Registro!$F226))),N(Registro!$G226),IFERROR(SUMPRODUCT(--("0"&amp;LEFT(TRIM(MID(SUBSTITUTE(SUBSTITUTE(SUBSTITUTE(SUBSTITUTE(SUBSTITUTE(LOWER(Registro!$F226)," ",""),CHAR(10),"|"),";","|"),"+","|"),"|",REPT(" ",LEN(Registro!$F226))),({1,2,3,4,5,6,7,8,9,10,11,12,13,14,15,16,17,18,19,20,21,22,23,24,25,26,27,28,29,30}-1)*LEN(Registro!$F226)+1,LEN(Registro!$F226))),FIND("x",TRIM(MID(SUBSTITUTE(SUBSTITUTE(SUBSTITUTE(SUBSTITUTE(SUBSTITUTE(LOWER(Registro!$F226)," ",""),CHAR(10),"|"),";","|"),"+","|"),"|",REPT(" ",LEN(Registro!$F226))),({1,2,3,4,5,6,7,8,9,10,11,12,13,14,15,16,17,18,19,20,21,22,23,24,25,26,27,28,29,30}-1)*LEN(Registro!$F226)+1,LEN(Registro!$F226)))&amp;"x")-1)),--("0"&amp;MID(TRIM(MID(SUBSTITUTE(SUBSTITUTE(SUBSTITUTE(SUBSTITUTE(SUBSTITUTE(LOWER(Registro!$F226)," ",""),CHAR(10),"|"),";","|"),"+","|"),"|",REPT(" ",LEN(Registro!$F226))),({1,2,3,4,5,6,7,8,9,10,11,12,13,14,15,16,17,18,19,20,21,22,23,24,25,26,27,28,29,30}-1)*LEN(Registro!$F226)+1,LEN(Registro!$F226))),FIND("x",TRIM(MID(SUBSTITUTE(SUBSTITUTE(SUBSTITUTE(SUBSTITUTE(SUBSTITUTE(LOWER(Registro!$F226)," ",""),CHAR(10),"|"),";","|"),"+","|"),"|",REPT(" ",LEN(Registro!$F226))),({1,2,3,4,5,6,7,8,9,10,11,12,13,14,15,16,17,18,19,20,21,22,23,24,25,26,27,28,29,30}-1)*LEN(Registro!$F226)+1,LEN(Registro!$F226)))&amp;"x")+1,20))),"Revisar formato")))</f>
        <v/>
      </c>
      <c r="H226" s="21" t="str">
        <f>IF(AND(Registro!$E226="",Registro!$F226=""),"",IF(NOT(AND(ISNUMBER(G226),ISNUMBER(Registro!$G226))),"",IF(G226&lt;Registro!$G226,"FALTA BOLETOS",IF(G226=Registro!$G226,"CONFORME","DIFERENCIA"))))</f>
        <v/>
      </c>
      <c r="I226" s="24" t="str">
        <f>IF(Registro!$H226="","",IFERROR(SUMPRODUCT(--("0"&amp;TRIM(RIGHT(SUBSTITUTE(TRIM(MID(SUBSTITUTE(SUBSTITUTE(Registro!$H226,";",CHAR(10)),CHAR(10),REPT(" ",LEN(Registro!$H226))),({1,2,3,4,5,6,7,8,9,10,11,12,13,14,15,16,17,18,19,20,21,22,23,24,25,26,27,28,29,30}-1)*LEN(Registro!$H226)+1,LEN(Registro!$H226)))," ",REPT(" ",50)),50)))),"Revisar formato"))</f>
        <v/>
      </c>
      <c r="J226" s="24" t="str">
        <f>IF(Registro!$I226="","",IFERROR(SUMPRODUCT(--("0"&amp;TRIM(RIGHT(SUBSTITUTE(TRIM(MID(SUBSTITUTE(SUBSTITUTE(Registro!$I226,";",CHAR(10)),CHAR(10),REPT(" ",LEN(Registro!$I226))),({1,2,3,4,5,6,7,8,9,10,11,12,13,14,15,16,17,18,19,20,21,22,23,24,25,26,27,28,29,30}-1)*LEN(Registro!$I226)+1,LEN(Registro!$I226)))," ",REPT(" ",50)),50)))),"Revisar formato"))</f>
        <v/>
      </c>
      <c r="K226" s="24" t="str">
        <f>IF(AND(Registro!$G226="",Registro!$H226=""),"",IF(AND(ISTEXT(I226),I226&lt;&gt;""),"Revisar formato",N(Registro!$G226)-N(I226)))</f>
        <v/>
      </c>
      <c r="L226" s="24" t="str">
        <f t="shared" si="7"/>
        <v/>
      </c>
      <c r="M226" s="36" t="str">
        <f>IF(AND(A226=Consulta!$B$3,C226=Consulta!$H$3),B226*10000+ROW(),"")</f>
        <v/>
      </c>
    </row>
    <row r="227" spans="1:13" x14ac:dyDescent="0.25">
      <c r="A227" s="21" t="str">
        <f>IF(Registro!$A227="","",Registro!$A227)</f>
        <v/>
      </c>
      <c r="B227" s="20" t="str">
        <f>IF(Registro!$B227="","",Registro!$B227)</f>
        <v/>
      </c>
      <c r="C227" s="35" t="str">
        <f t="shared" si="6"/>
        <v/>
      </c>
      <c r="D227" s="23" t="str">
        <f>IF(Registro!$E227="","",IF(ISERROR(FIND("x",LOWER(Registro!$E227))),"-",IFERROR(SUMPRODUCT(--("0"&amp;LEFT(TRIM(MID(SUBSTITUTE(SUBSTITUTE(SUBSTITUTE(SUBSTITUTE(SUBSTITUTE(LOWER(Registro!$E227),"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",LEN(Registro!$E227))),({1,2,3,4,5,6,7,8,9,10,11,12,13,14,15,16,17,18,19,20,21,22,23,24,25,26,27,28,29,30}-1)*LEN(Registro!$E227)+1,LEN(Registro!$E227))),FIND("x",TRIM(MID(SUBSTITUTE(SUBSTITUTE(SUBSTITUTE(SUBSTITUTE(SUBSTITUTE(LOWER(Registro!$E227),"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",LEN(Registro!$E227))),({1,2,3,4,5,6,7,8,9,10,11,12,13,14,15,16,17,18,19,20,21,22,23,24,25,26,27,28,29,30}-1)*LEN(Registro!$E227)+1,LEN(Registro!$E227)))&amp;"x")-1))),"Revisar formato")))</f>
        <v/>
      </c>
      <c r="E227" s="24" t="str">
        <f>IF(Registro!$E227="","",IF(ISERROR(FIND("x",LOWER(Registro!$E227))),"-",IFERROR(SUMPRODUCT(--("0"&amp;LEFT(TRIM(MID(SUBSTITUTE(SUBSTITUTE(SUBSTITUTE(SUBSTITUTE(SUBSTITUTE(LOWER(Registro!$E227),"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",LEN(Registro!$E227))),({1,2,3,4,5,6,7,8,9,10,11,12,13,14,15,16,17,18,19,20,21,22,23,24,25,26,27,28,29,30}-1)*LEN(Registro!$E227)+1,LEN(Registro!$E227))),FIND("x",TRIM(MID(SUBSTITUTE(SUBSTITUTE(SUBSTITUTE(SUBSTITUTE(SUBSTITUTE(LOWER(Registro!$E227),"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",LEN(Registro!$E227))),({1,2,3,4,5,6,7,8,9,10,11,12,13,14,15,16,17,18,19,20,21,22,23,24,25,26,27,28,29,30}-1)*LEN(Registro!$E227)+1,LEN(Registro!$E227)))&amp;"x")-1)),--("0"&amp;MID(TRIM(MID(SUBSTITUTE(SUBSTITUTE(SUBSTITUTE(SUBSTITUTE(SUBSTITUTE(LOWER(Registro!$E227),"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",LEN(Registro!$E227))),({1,2,3,4,5,6,7,8,9,10,11,12,13,14,15,16,17,18,19,20,21,22,23,24,25,26,27,28,29,30}-1)*LEN(Registro!$E227)+1,LEN(Registro!$E227))),FIND("x",TRIM(MID(SUBSTITUTE(SUBSTITUTE(SUBSTITUTE(SUBSTITUTE(SUBSTITUTE(LOWER(Registro!$E227),"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",LEN(Registro!$E227))),({1,2,3,4,5,6,7,8,9,10,11,12,13,14,15,16,17,18,19,20,21,22,23,24,25,26,27,28,29,30}-1)*LEN(Registro!$E227)+1,LEN(Registro!$E227)))&amp;"x")+1,20))),"Revisar formato")))</f>
        <v/>
      </c>
      <c r="F227" s="23" t="str">
        <f>IF(Registro!$F227="","",IF(ISERROR(FIND("x",LOWER(Registro!$F227))),"-",IFERROR(SUMPRODUCT(--("0"&amp;LEFT(TRIM(MID(SUBSTITUTE(SUBSTITUTE(SUBSTITUTE(SUBSTITUTE(SUBSTITUTE(LOWER(Registro!$F227)," ",""),CHAR(10),"|"),";","|"),"+","|"),"|",REPT(" ",LEN(Registro!$F227))),({1,2,3,4,5,6,7,8,9,10,11,12,13,14,15,16,17,18,19,20,21,22,23,24,25,26,27,28,29,30}-1)*LEN(Registro!$F227)+1,LEN(Registro!$F227))),FIND("x",TRIM(MID(SUBSTITUTE(SUBSTITUTE(SUBSTITUTE(SUBSTITUTE(SUBSTITUTE(LOWER(Registro!$F227)," ",""),CHAR(10),"|"),";","|"),"+","|"),"|",REPT(" ",LEN(Registro!$F227))),({1,2,3,4,5,6,7,8,9,10,11,12,13,14,15,16,17,18,19,20,21,22,23,24,25,26,27,28,29,30}-1)*LEN(Registro!$F227)+1,LEN(Registro!$F227)))&amp;"x")-1))),"Revisar formato")))</f>
        <v/>
      </c>
      <c r="G227" s="24" t="str">
        <f>IF(Registro!$F227="","",IF(ISERROR(FIND("x",LOWER(Registro!$F227))),N(Registro!$G227),IFERROR(SUMPRODUCT(--("0"&amp;LEFT(TRIM(MID(SUBSTITUTE(SUBSTITUTE(SUBSTITUTE(SUBSTITUTE(SUBSTITUTE(LOWER(Registro!$F227)," ",""),CHAR(10),"|"),";","|"),"+","|"),"|",REPT(" ",LEN(Registro!$F227))),({1,2,3,4,5,6,7,8,9,10,11,12,13,14,15,16,17,18,19,20,21,22,23,24,25,26,27,28,29,30}-1)*LEN(Registro!$F227)+1,LEN(Registro!$F227))),FIND("x",TRIM(MID(SUBSTITUTE(SUBSTITUTE(SUBSTITUTE(SUBSTITUTE(SUBSTITUTE(LOWER(Registro!$F227)," ",""),CHAR(10),"|"),";","|"),"+","|"),"|",REPT(" ",LEN(Registro!$F227))),({1,2,3,4,5,6,7,8,9,10,11,12,13,14,15,16,17,18,19,20,21,22,23,24,25,26,27,28,29,30}-1)*LEN(Registro!$F227)+1,LEN(Registro!$F227)))&amp;"x")-1)),--("0"&amp;MID(TRIM(MID(SUBSTITUTE(SUBSTITUTE(SUBSTITUTE(SUBSTITUTE(SUBSTITUTE(LOWER(Registro!$F227)," ",""),CHAR(10),"|"),";","|"),"+","|"),"|",REPT(" ",LEN(Registro!$F227))),({1,2,3,4,5,6,7,8,9,10,11,12,13,14,15,16,17,18,19,20,21,22,23,24,25,26,27,28,29,30}-1)*LEN(Registro!$F227)+1,LEN(Registro!$F227))),FIND("x",TRIM(MID(SUBSTITUTE(SUBSTITUTE(SUBSTITUTE(SUBSTITUTE(SUBSTITUTE(LOWER(Registro!$F227)," ",""),CHAR(10),"|"),";","|"),"+","|"),"|",REPT(" ",LEN(Registro!$F227))),({1,2,3,4,5,6,7,8,9,10,11,12,13,14,15,16,17,18,19,20,21,22,23,24,25,26,27,28,29,30}-1)*LEN(Registro!$F227)+1,LEN(Registro!$F227)))&amp;"x")+1,20))),"Revisar formato")))</f>
        <v/>
      </c>
      <c r="H227" s="21" t="str">
        <f>IF(AND(Registro!$E227="",Registro!$F227=""),"",IF(NOT(AND(ISNUMBER(G227),ISNUMBER(Registro!$G227))),"",IF(G227&lt;Registro!$G227,"FALTA BOLETOS",IF(G227=Registro!$G227,"CONFORME","DIFERENCIA"))))</f>
        <v/>
      </c>
      <c r="I227" s="24" t="str">
        <f>IF(Registro!$H227="","",IFERROR(SUMPRODUCT(--("0"&amp;TRIM(RIGHT(SUBSTITUTE(TRIM(MID(SUBSTITUTE(SUBSTITUTE(Registro!$H227,";",CHAR(10)),CHAR(10),REPT(" ",LEN(Registro!$H227))),({1,2,3,4,5,6,7,8,9,10,11,12,13,14,15,16,17,18,19,20,21,22,23,24,25,26,27,28,29,30}-1)*LEN(Registro!$H227)+1,LEN(Registro!$H227)))," ",REPT(" ",50)),50)))),"Revisar formato"))</f>
        <v/>
      </c>
      <c r="J227" s="24" t="str">
        <f>IF(Registro!$I227="","",IFERROR(SUMPRODUCT(--("0"&amp;TRIM(RIGHT(SUBSTITUTE(TRIM(MID(SUBSTITUTE(SUBSTITUTE(Registro!$I227,";",CHAR(10)),CHAR(10),REPT(" ",LEN(Registro!$I227))),({1,2,3,4,5,6,7,8,9,10,11,12,13,14,15,16,17,18,19,20,21,22,23,24,25,26,27,28,29,30}-1)*LEN(Registro!$I227)+1,LEN(Registro!$I227)))," ",REPT(" ",50)),50)))),"Revisar formato"))</f>
        <v/>
      </c>
      <c r="K227" s="24" t="str">
        <f>IF(AND(Registro!$G227="",Registro!$H227=""),"",IF(AND(ISTEXT(I227),I227&lt;&gt;""),"Revisar formato",N(Registro!$G227)-N(I227)))</f>
        <v/>
      </c>
      <c r="L227" s="24" t="str">
        <f t="shared" si="7"/>
        <v/>
      </c>
      <c r="M227" s="36" t="str">
        <f>IF(AND(A227=Consulta!$B$3,C227=Consulta!$H$3),B227*10000+ROW(),"")</f>
        <v/>
      </c>
    </row>
    <row r="228" spans="1:13" x14ac:dyDescent="0.25">
      <c r="A228" s="21" t="str">
        <f>IF(Registro!$A228="","",Registro!$A228)</f>
        <v/>
      </c>
      <c r="B228" s="20" t="str">
        <f>IF(Registro!$B228="","",Registro!$B228)</f>
        <v/>
      </c>
      <c r="C228" s="35" t="str">
        <f t="shared" si="6"/>
        <v/>
      </c>
      <c r="D228" s="23" t="str">
        <f>IF(Registro!$E228="","",IF(ISERROR(FIND("x",LOWER(Registro!$E228))),"-",IFERROR(SUMPRODUCT(--("0"&amp;LEFT(TRIM(MID(SUBSTITUTE(SUBSTITUTE(SUBSTITUTE(SUBSTITUTE(SUBSTITUTE(LOWER(Registro!$E228),"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",LEN(Registro!$E228))),({1,2,3,4,5,6,7,8,9,10,11,12,13,14,15,16,17,18,19,20,21,22,23,24,25,26,27,28,29,30}-1)*LEN(Registro!$E228)+1,LEN(Registro!$E228))),FIND("x",TRIM(MID(SUBSTITUTE(SUBSTITUTE(SUBSTITUTE(SUBSTITUTE(SUBSTITUTE(LOWER(Registro!$E228),"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",LEN(Registro!$E228))),({1,2,3,4,5,6,7,8,9,10,11,12,13,14,15,16,17,18,19,20,21,22,23,24,25,26,27,28,29,30}-1)*LEN(Registro!$E228)+1,LEN(Registro!$E228)))&amp;"x")-1))),"Revisar formato")))</f>
        <v/>
      </c>
      <c r="E228" s="24" t="str">
        <f>IF(Registro!$E228="","",IF(ISERROR(FIND("x",LOWER(Registro!$E228))),"-",IFERROR(SUMPRODUCT(--("0"&amp;LEFT(TRIM(MID(SUBSTITUTE(SUBSTITUTE(SUBSTITUTE(SUBSTITUTE(SUBSTITUTE(LOWER(Registro!$E228),"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",LEN(Registro!$E228))),({1,2,3,4,5,6,7,8,9,10,11,12,13,14,15,16,17,18,19,20,21,22,23,24,25,26,27,28,29,30}-1)*LEN(Registro!$E228)+1,LEN(Registro!$E228))),FIND("x",TRIM(MID(SUBSTITUTE(SUBSTITUTE(SUBSTITUTE(SUBSTITUTE(SUBSTITUTE(LOWER(Registro!$E228),"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",LEN(Registro!$E228))),({1,2,3,4,5,6,7,8,9,10,11,12,13,14,15,16,17,18,19,20,21,22,23,24,25,26,27,28,29,30}-1)*LEN(Registro!$E228)+1,LEN(Registro!$E228)))&amp;"x")-1)),--("0"&amp;MID(TRIM(MID(SUBSTITUTE(SUBSTITUTE(SUBSTITUTE(SUBSTITUTE(SUBSTITUTE(LOWER(Registro!$E228),"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",LEN(Registro!$E228))),({1,2,3,4,5,6,7,8,9,10,11,12,13,14,15,16,17,18,19,20,21,22,23,24,25,26,27,28,29,30}-1)*LEN(Registro!$E228)+1,LEN(Registro!$E228))),FIND("x",TRIM(MID(SUBSTITUTE(SUBSTITUTE(SUBSTITUTE(SUBSTITUTE(SUBSTITUTE(LOWER(Registro!$E228),"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",LEN(Registro!$E228))),({1,2,3,4,5,6,7,8,9,10,11,12,13,14,15,16,17,18,19,20,21,22,23,24,25,26,27,28,29,30}-1)*LEN(Registro!$E228)+1,LEN(Registro!$E228)))&amp;"x")+1,20))),"Revisar formato")))</f>
        <v/>
      </c>
      <c r="F228" s="23" t="str">
        <f>IF(Registro!$F228="","",IF(ISERROR(FIND("x",LOWER(Registro!$F228))),"-",IFERROR(SUMPRODUCT(--("0"&amp;LEFT(TRIM(MID(SUBSTITUTE(SUBSTITUTE(SUBSTITUTE(SUBSTITUTE(SUBSTITUTE(LOWER(Registro!$F228)," ",""),CHAR(10),"|"),";","|"),"+","|"),"|",REPT(" ",LEN(Registro!$F228))),({1,2,3,4,5,6,7,8,9,10,11,12,13,14,15,16,17,18,19,20,21,22,23,24,25,26,27,28,29,30}-1)*LEN(Registro!$F228)+1,LEN(Registro!$F228))),FIND("x",TRIM(MID(SUBSTITUTE(SUBSTITUTE(SUBSTITUTE(SUBSTITUTE(SUBSTITUTE(LOWER(Registro!$F228)," ",""),CHAR(10),"|"),";","|"),"+","|"),"|",REPT(" ",LEN(Registro!$F228))),({1,2,3,4,5,6,7,8,9,10,11,12,13,14,15,16,17,18,19,20,21,22,23,24,25,26,27,28,29,30}-1)*LEN(Registro!$F228)+1,LEN(Registro!$F228)))&amp;"x")-1))),"Revisar formato")))</f>
        <v/>
      </c>
      <c r="G228" s="24" t="str">
        <f>IF(Registro!$F228="","",IF(ISERROR(FIND("x",LOWER(Registro!$F228))),N(Registro!$G228),IFERROR(SUMPRODUCT(--("0"&amp;LEFT(TRIM(MID(SUBSTITUTE(SUBSTITUTE(SUBSTITUTE(SUBSTITUTE(SUBSTITUTE(LOWER(Registro!$F228)," ",""),CHAR(10),"|"),";","|"),"+","|"),"|",REPT(" ",LEN(Registro!$F228))),({1,2,3,4,5,6,7,8,9,10,11,12,13,14,15,16,17,18,19,20,21,22,23,24,25,26,27,28,29,30}-1)*LEN(Registro!$F228)+1,LEN(Registro!$F228))),FIND("x",TRIM(MID(SUBSTITUTE(SUBSTITUTE(SUBSTITUTE(SUBSTITUTE(SUBSTITUTE(LOWER(Registro!$F228)," ",""),CHAR(10),"|"),";","|"),"+","|"),"|",REPT(" ",LEN(Registro!$F228))),({1,2,3,4,5,6,7,8,9,10,11,12,13,14,15,16,17,18,19,20,21,22,23,24,25,26,27,28,29,30}-1)*LEN(Registro!$F228)+1,LEN(Registro!$F228)))&amp;"x")-1)),--("0"&amp;MID(TRIM(MID(SUBSTITUTE(SUBSTITUTE(SUBSTITUTE(SUBSTITUTE(SUBSTITUTE(LOWER(Registro!$F228)," ",""),CHAR(10),"|"),";","|"),"+","|"),"|",REPT(" ",LEN(Registro!$F228))),({1,2,3,4,5,6,7,8,9,10,11,12,13,14,15,16,17,18,19,20,21,22,23,24,25,26,27,28,29,30}-1)*LEN(Registro!$F228)+1,LEN(Registro!$F228))),FIND("x",TRIM(MID(SUBSTITUTE(SUBSTITUTE(SUBSTITUTE(SUBSTITUTE(SUBSTITUTE(LOWER(Registro!$F228)," ",""),CHAR(10),"|"),";","|"),"+","|"),"|",REPT(" ",LEN(Registro!$F228))),({1,2,3,4,5,6,7,8,9,10,11,12,13,14,15,16,17,18,19,20,21,22,23,24,25,26,27,28,29,30}-1)*LEN(Registro!$F228)+1,LEN(Registro!$F228)))&amp;"x")+1,20))),"Revisar formato")))</f>
        <v/>
      </c>
      <c r="H228" s="21" t="str">
        <f>IF(AND(Registro!$E228="",Registro!$F228=""),"",IF(NOT(AND(ISNUMBER(G228),ISNUMBER(Registro!$G228))),"",IF(G228&lt;Registro!$G228,"FALTA BOLETOS",IF(G228=Registro!$G228,"CONFORME","DIFERENCIA"))))</f>
        <v/>
      </c>
      <c r="I228" s="24" t="str">
        <f>IF(Registro!$H228="","",IFERROR(SUMPRODUCT(--("0"&amp;TRIM(RIGHT(SUBSTITUTE(TRIM(MID(SUBSTITUTE(SUBSTITUTE(Registro!$H228,";",CHAR(10)),CHAR(10),REPT(" ",LEN(Registro!$H228))),({1,2,3,4,5,6,7,8,9,10,11,12,13,14,15,16,17,18,19,20,21,22,23,24,25,26,27,28,29,30}-1)*LEN(Registro!$H228)+1,LEN(Registro!$H228)))," ",REPT(" ",50)),50)))),"Revisar formato"))</f>
        <v/>
      </c>
      <c r="J228" s="24" t="str">
        <f>IF(Registro!$I228="","",IFERROR(SUMPRODUCT(--("0"&amp;TRIM(RIGHT(SUBSTITUTE(TRIM(MID(SUBSTITUTE(SUBSTITUTE(Registro!$I228,";",CHAR(10)),CHAR(10),REPT(" ",LEN(Registro!$I228))),({1,2,3,4,5,6,7,8,9,10,11,12,13,14,15,16,17,18,19,20,21,22,23,24,25,26,27,28,29,30}-1)*LEN(Registro!$I228)+1,LEN(Registro!$I228)))," ",REPT(" ",50)),50)))),"Revisar formato"))</f>
        <v/>
      </c>
      <c r="K228" s="24" t="str">
        <f>IF(AND(Registro!$G228="",Registro!$H228=""),"",IF(AND(ISTEXT(I228),I228&lt;&gt;""),"Revisar formato",N(Registro!$G228)-N(I228)))</f>
        <v/>
      </c>
      <c r="L228" s="24" t="str">
        <f t="shared" si="7"/>
        <v/>
      </c>
      <c r="M228" s="36" t="str">
        <f>IF(AND(A228=Consulta!$B$3,C228=Consulta!$H$3),B228*10000+ROW(),"")</f>
        <v/>
      </c>
    </row>
    <row r="229" spans="1:13" x14ac:dyDescent="0.25">
      <c r="A229" s="21" t="str">
        <f>IF(Registro!$A229="","",Registro!$A229)</f>
        <v/>
      </c>
      <c r="B229" s="20" t="str">
        <f>IF(Registro!$B229="","",Registro!$B229)</f>
        <v/>
      </c>
      <c r="C229" s="35" t="str">
        <f t="shared" si="6"/>
        <v/>
      </c>
      <c r="D229" s="23" t="str">
        <f>IF(Registro!$E229="","",IF(ISERROR(FIND("x",LOWER(Registro!$E229))),"-",IFERROR(SUMPRODUCT(--("0"&amp;LEFT(TRIM(MID(SUBSTITUTE(SUBSTITUTE(SUBSTITUTE(SUBSTITUTE(SUBSTITUTE(LOWER(Registro!$E229),"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",LEN(Registro!$E229))),({1,2,3,4,5,6,7,8,9,10,11,12,13,14,15,16,17,18,19,20,21,22,23,24,25,26,27,28,29,30}-1)*LEN(Registro!$E229)+1,LEN(Registro!$E229))),FIND("x",TRIM(MID(SUBSTITUTE(SUBSTITUTE(SUBSTITUTE(SUBSTITUTE(SUBSTITUTE(LOWER(Registro!$E229),"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",LEN(Registro!$E229))),({1,2,3,4,5,6,7,8,9,10,11,12,13,14,15,16,17,18,19,20,21,22,23,24,25,26,27,28,29,30}-1)*LEN(Registro!$E229)+1,LEN(Registro!$E229)))&amp;"x")-1))),"Revisar formato")))</f>
        <v/>
      </c>
      <c r="E229" s="24" t="str">
        <f>IF(Registro!$E229="","",IF(ISERROR(FIND("x",LOWER(Registro!$E229))),"-",IFERROR(SUMPRODUCT(--("0"&amp;LEFT(TRIM(MID(SUBSTITUTE(SUBSTITUTE(SUBSTITUTE(SUBSTITUTE(SUBSTITUTE(LOWER(Registro!$E229),"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",LEN(Registro!$E229))),({1,2,3,4,5,6,7,8,9,10,11,12,13,14,15,16,17,18,19,20,21,22,23,24,25,26,27,28,29,30}-1)*LEN(Registro!$E229)+1,LEN(Registro!$E229))),FIND("x",TRIM(MID(SUBSTITUTE(SUBSTITUTE(SUBSTITUTE(SUBSTITUTE(SUBSTITUTE(LOWER(Registro!$E229),"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",LEN(Registro!$E229))),({1,2,3,4,5,6,7,8,9,10,11,12,13,14,15,16,17,18,19,20,21,22,23,24,25,26,27,28,29,30}-1)*LEN(Registro!$E229)+1,LEN(Registro!$E229)))&amp;"x")-1)),--("0"&amp;MID(TRIM(MID(SUBSTITUTE(SUBSTITUTE(SUBSTITUTE(SUBSTITUTE(SUBSTITUTE(LOWER(Registro!$E229),"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",LEN(Registro!$E229))),({1,2,3,4,5,6,7,8,9,10,11,12,13,14,15,16,17,18,19,20,21,22,23,24,25,26,27,28,29,30}-1)*LEN(Registro!$E229)+1,LEN(Registro!$E229))),FIND("x",TRIM(MID(SUBSTITUTE(SUBSTITUTE(SUBSTITUTE(SUBSTITUTE(SUBSTITUTE(LOWER(Registro!$E229),"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",LEN(Registro!$E229))),({1,2,3,4,5,6,7,8,9,10,11,12,13,14,15,16,17,18,19,20,21,22,23,24,25,26,27,28,29,30}-1)*LEN(Registro!$E229)+1,LEN(Registro!$E229)))&amp;"x")+1,20))),"Revisar formato")))</f>
        <v/>
      </c>
      <c r="F229" s="23" t="str">
        <f>IF(Registro!$F229="","",IF(ISERROR(FIND("x",LOWER(Registro!$F229))),"-",IFERROR(SUMPRODUCT(--("0"&amp;LEFT(TRIM(MID(SUBSTITUTE(SUBSTITUTE(SUBSTITUTE(SUBSTITUTE(SUBSTITUTE(LOWER(Registro!$F229)," ",""),CHAR(10),"|"),";","|"),"+","|"),"|",REPT(" ",LEN(Registro!$F229))),({1,2,3,4,5,6,7,8,9,10,11,12,13,14,15,16,17,18,19,20,21,22,23,24,25,26,27,28,29,30}-1)*LEN(Registro!$F229)+1,LEN(Registro!$F229))),FIND("x",TRIM(MID(SUBSTITUTE(SUBSTITUTE(SUBSTITUTE(SUBSTITUTE(SUBSTITUTE(LOWER(Registro!$F229)," ",""),CHAR(10),"|"),";","|"),"+","|"),"|",REPT(" ",LEN(Registro!$F229))),({1,2,3,4,5,6,7,8,9,10,11,12,13,14,15,16,17,18,19,20,21,22,23,24,25,26,27,28,29,30}-1)*LEN(Registro!$F229)+1,LEN(Registro!$F229)))&amp;"x")-1))),"Revisar formato")))</f>
        <v/>
      </c>
      <c r="G229" s="24" t="str">
        <f>IF(Registro!$F229="","",IF(ISERROR(FIND("x",LOWER(Registro!$F229))),N(Registro!$G229),IFERROR(SUMPRODUCT(--("0"&amp;LEFT(TRIM(MID(SUBSTITUTE(SUBSTITUTE(SUBSTITUTE(SUBSTITUTE(SUBSTITUTE(LOWER(Registro!$F229)," ",""),CHAR(10),"|"),";","|"),"+","|"),"|",REPT(" ",LEN(Registro!$F229))),({1,2,3,4,5,6,7,8,9,10,11,12,13,14,15,16,17,18,19,20,21,22,23,24,25,26,27,28,29,30}-1)*LEN(Registro!$F229)+1,LEN(Registro!$F229))),FIND("x",TRIM(MID(SUBSTITUTE(SUBSTITUTE(SUBSTITUTE(SUBSTITUTE(SUBSTITUTE(LOWER(Registro!$F229)," ",""),CHAR(10),"|"),";","|"),"+","|"),"|",REPT(" ",LEN(Registro!$F229))),({1,2,3,4,5,6,7,8,9,10,11,12,13,14,15,16,17,18,19,20,21,22,23,24,25,26,27,28,29,30}-1)*LEN(Registro!$F229)+1,LEN(Registro!$F229)))&amp;"x")-1)),--("0"&amp;MID(TRIM(MID(SUBSTITUTE(SUBSTITUTE(SUBSTITUTE(SUBSTITUTE(SUBSTITUTE(LOWER(Registro!$F229)," ",""),CHAR(10),"|"),";","|"),"+","|"),"|",REPT(" ",LEN(Registro!$F229))),({1,2,3,4,5,6,7,8,9,10,11,12,13,14,15,16,17,18,19,20,21,22,23,24,25,26,27,28,29,30}-1)*LEN(Registro!$F229)+1,LEN(Registro!$F229))),FIND("x",TRIM(MID(SUBSTITUTE(SUBSTITUTE(SUBSTITUTE(SUBSTITUTE(SUBSTITUTE(LOWER(Registro!$F229)," ",""),CHAR(10),"|"),";","|"),"+","|"),"|",REPT(" ",LEN(Registro!$F229))),({1,2,3,4,5,6,7,8,9,10,11,12,13,14,15,16,17,18,19,20,21,22,23,24,25,26,27,28,29,30}-1)*LEN(Registro!$F229)+1,LEN(Registro!$F229)))&amp;"x")+1,20))),"Revisar formato")))</f>
        <v/>
      </c>
      <c r="H229" s="21" t="str">
        <f>IF(AND(Registro!$E229="",Registro!$F229=""),"",IF(NOT(AND(ISNUMBER(G229),ISNUMBER(Registro!$G229))),"",IF(G229&lt;Registro!$G229,"FALTA BOLETOS",IF(G229=Registro!$G229,"CONFORME","DIFERENCIA"))))</f>
        <v/>
      </c>
      <c r="I229" s="24" t="str">
        <f>IF(Registro!$H229="","",IFERROR(SUMPRODUCT(--("0"&amp;TRIM(RIGHT(SUBSTITUTE(TRIM(MID(SUBSTITUTE(SUBSTITUTE(Registro!$H229,";",CHAR(10)),CHAR(10),REPT(" ",LEN(Registro!$H229))),({1,2,3,4,5,6,7,8,9,10,11,12,13,14,15,16,17,18,19,20,21,22,23,24,25,26,27,28,29,30}-1)*LEN(Registro!$H229)+1,LEN(Registro!$H229)))," ",REPT(" ",50)),50)))),"Revisar formato"))</f>
        <v/>
      </c>
      <c r="J229" s="24" t="str">
        <f>IF(Registro!$I229="","",IFERROR(SUMPRODUCT(--("0"&amp;TRIM(RIGHT(SUBSTITUTE(TRIM(MID(SUBSTITUTE(SUBSTITUTE(Registro!$I229,";",CHAR(10)),CHAR(10),REPT(" ",LEN(Registro!$I229))),({1,2,3,4,5,6,7,8,9,10,11,12,13,14,15,16,17,18,19,20,21,22,23,24,25,26,27,28,29,30}-1)*LEN(Registro!$I229)+1,LEN(Registro!$I229)))," ",REPT(" ",50)),50)))),"Revisar formato"))</f>
        <v/>
      </c>
      <c r="K229" s="24" t="str">
        <f>IF(AND(Registro!$G229="",Registro!$H229=""),"",IF(AND(ISTEXT(I229),I229&lt;&gt;""),"Revisar formato",N(Registro!$G229)-N(I229)))</f>
        <v/>
      </c>
      <c r="L229" s="24" t="str">
        <f t="shared" si="7"/>
        <v/>
      </c>
      <c r="M229" s="36" t="str">
        <f>IF(AND(A229=Consulta!$B$3,C229=Consulta!$H$3),B229*10000+ROW(),"")</f>
        <v/>
      </c>
    </row>
    <row r="230" spans="1:13" x14ac:dyDescent="0.25">
      <c r="A230" s="21" t="str">
        <f>IF(Registro!$A230="","",Registro!$A230)</f>
        <v/>
      </c>
      <c r="B230" s="20" t="str">
        <f>IF(Registro!$B230="","",Registro!$B230)</f>
        <v/>
      </c>
      <c r="C230" s="35" t="str">
        <f t="shared" si="6"/>
        <v/>
      </c>
      <c r="D230" s="23" t="str">
        <f>IF(Registro!$E230="","",IF(ISERROR(FIND("x",LOWER(Registro!$E230))),"-",IFERROR(SUMPRODUCT(--("0"&amp;LEFT(TRIM(MID(SUBSTITUTE(SUBSTITUTE(SUBSTITUTE(SUBSTITUTE(SUBSTITUTE(LOWER(Registro!$E230),"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",LEN(Registro!$E230))),({1,2,3,4,5,6,7,8,9,10,11,12,13,14,15,16,17,18,19,20,21,22,23,24,25,26,27,28,29,30}-1)*LEN(Registro!$E230)+1,LEN(Registro!$E230))),FIND("x",TRIM(MID(SUBSTITUTE(SUBSTITUTE(SUBSTITUTE(SUBSTITUTE(SUBSTITUTE(LOWER(Registro!$E230),"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",LEN(Registro!$E230))),({1,2,3,4,5,6,7,8,9,10,11,12,13,14,15,16,17,18,19,20,21,22,23,24,25,26,27,28,29,30}-1)*LEN(Registro!$E230)+1,LEN(Registro!$E230)))&amp;"x")-1))),"Revisar formato")))</f>
        <v/>
      </c>
      <c r="E230" s="24" t="str">
        <f>IF(Registro!$E230="","",IF(ISERROR(FIND("x",LOWER(Registro!$E230))),"-",IFERROR(SUMPRODUCT(--("0"&amp;LEFT(TRIM(MID(SUBSTITUTE(SUBSTITUTE(SUBSTITUTE(SUBSTITUTE(SUBSTITUTE(LOWER(Registro!$E230),"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",LEN(Registro!$E230))),({1,2,3,4,5,6,7,8,9,10,11,12,13,14,15,16,17,18,19,20,21,22,23,24,25,26,27,28,29,30}-1)*LEN(Registro!$E230)+1,LEN(Registro!$E230))),FIND("x",TRIM(MID(SUBSTITUTE(SUBSTITUTE(SUBSTITUTE(SUBSTITUTE(SUBSTITUTE(LOWER(Registro!$E230),"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",LEN(Registro!$E230))),({1,2,3,4,5,6,7,8,9,10,11,12,13,14,15,16,17,18,19,20,21,22,23,24,25,26,27,28,29,30}-1)*LEN(Registro!$E230)+1,LEN(Registro!$E230)))&amp;"x")-1)),--("0"&amp;MID(TRIM(MID(SUBSTITUTE(SUBSTITUTE(SUBSTITUTE(SUBSTITUTE(SUBSTITUTE(LOWER(Registro!$E230),"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",LEN(Registro!$E230))),({1,2,3,4,5,6,7,8,9,10,11,12,13,14,15,16,17,18,19,20,21,22,23,24,25,26,27,28,29,30}-1)*LEN(Registro!$E230)+1,LEN(Registro!$E230))),FIND("x",TRIM(MID(SUBSTITUTE(SUBSTITUTE(SUBSTITUTE(SUBSTITUTE(SUBSTITUTE(LOWER(Registro!$E230),"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",LEN(Registro!$E230))),({1,2,3,4,5,6,7,8,9,10,11,12,13,14,15,16,17,18,19,20,21,22,23,24,25,26,27,28,29,30}-1)*LEN(Registro!$E230)+1,LEN(Registro!$E230)))&amp;"x")+1,20))),"Revisar formato")))</f>
        <v/>
      </c>
      <c r="F230" s="23" t="str">
        <f>IF(Registro!$F230="","",IF(ISERROR(FIND("x",LOWER(Registro!$F230))),"-",IFERROR(SUMPRODUCT(--("0"&amp;LEFT(TRIM(MID(SUBSTITUTE(SUBSTITUTE(SUBSTITUTE(SUBSTITUTE(SUBSTITUTE(LOWER(Registro!$F230)," ",""),CHAR(10),"|"),";","|"),"+","|"),"|",REPT(" ",LEN(Registro!$F230))),({1,2,3,4,5,6,7,8,9,10,11,12,13,14,15,16,17,18,19,20,21,22,23,24,25,26,27,28,29,30}-1)*LEN(Registro!$F230)+1,LEN(Registro!$F230))),FIND("x",TRIM(MID(SUBSTITUTE(SUBSTITUTE(SUBSTITUTE(SUBSTITUTE(SUBSTITUTE(LOWER(Registro!$F230)," ",""),CHAR(10),"|"),";","|"),"+","|"),"|",REPT(" ",LEN(Registro!$F230))),({1,2,3,4,5,6,7,8,9,10,11,12,13,14,15,16,17,18,19,20,21,22,23,24,25,26,27,28,29,30}-1)*LEN(Registro!$F230)+1,LEN(Registro!$F230)))&amp;"x")-1))),"Revisar formato")))</f>
        <v/>
      </c>
      <c r="G230" s="24" t="str">
        <f>IF(Registro!$F230="","",IF(ISERROR(FIND("x",LOWER(Registro!$F230))),N(Registro!$G230),IFERROR(SUMPRODUCT(--("0"&amp;LEFT(TRIM(MID(SUBSTITUTE(SUBSTITUTE(SUBSTITUTE(SUBSTITUTE(SUBSTITUTE(LOWER(Registro!$F230)," ",""),CHAR(10),"|"),";","|"),"+","|"),"|",REPT(" ",LEN(Registro!$F230))),({1,2,3,4,5,6,7,8,9,10,11,12,13,14,15,16,17,18,19,20,21,22,23,24,25,26,27,28,29,30}-1)*LEN(Registro!$F230)+1,LEN(Registro!$F230))),FIND("x",TRIM(MID(SUBSTITUTE(SUBSTITUTE(SUBSTITUTE(SUBSTITUTE(SUBSTITUTE(LOWER(Registro!$F230)," ",""),CHAR(10),"|"),";","|"),"+","|"),"|",REPT(" ",LEN(Registro!$F230))),({1,2,3,4,5,6,7,8,9,10,11,12,13,14,15,16,17,18,19,20,21,22,23,24,25,26,27,28,29,30}-1)*LEN(Registro!$F230)+1,LEN(Registro!$F230)))&amp;"x")-1)),--("0"&amp;MID(TRIM(MID(SUBSTITUTE(SUBSTITUTE(SUBSTITUTE(SUBSTITUTE(SUBSTITUTE(LOWER(Registro!$F230)," ",""),CHAR(10),"|"),";","|"),"+","|"),"|",REPT(" ",LEN(Registro!$F230))),({1,2,3,4,5,6,7,8,9,10,11,12,13,14,15,16,17,18,19,20,21,22,23,24,25,26,27,28,29,30}-1)*LEN(Registro!$F230)+1,LEN(Registro!$F230))),FIND("x",TRIM(MID(SUBSTITUTE(SUBSTITUTE(SUBSTITUTE(SUBSTITUTE(SUBSTITUTE(LOWER(Registro!$F230)," ",""),CHAR(10),"|"),";","|"),"+","|"),"|",REPT(" ",LEN(Registro!$F230))),({1,2,3,4,5,6,7,8,9,10,11,12,13,14,15,16,17,18,19,20,21,22,23,24,25,26,27,28,29,30}-1)*LEN(Registro!$F230)+1,LEN(Registro!$F230)))&amp;"x")+1,20))),"Revisar formato")))</f>
        <v/>
      </c>
      <c r="H230" s="21" t="str">
        <f>IF(AND(Registro!$E230="",Registro!$F230=""),"",IF(NOT(AND(ISNUMBER(G230),ISNUMBER(Registro!$G230))),"",IF(G230&lt;Registro!$G230,"FALTA BOLETOS",IF(G230=Registro!$G230,"CONFORME","DIFERENCIA"))))</f>
        <v/>
      </c>
      <c r="I230" s="24" t="str">
        <f>IF(Registro!$H230="","",IFERROR(SUMPRODUCT(--("0"&amp;TRIM(RIGHT(SUBSTITUTE(TRIM(MID(SUBSTITUTE(SUBSTITUTE(Registro!$H230,";",CHAR(10)),CHAR(10),REPT(" ",LEN(Registro!$H230))),({1,2,3,4,5,6,7,8,9,10,11,12,13,14,15,16,17,18,19,20,21,22,23,24,25,26,27,28,29,30}-1)*LEN(Registro!$H230)+1,LEN(Registro!$H230)))," ",REPT(" ",50)),50)))),"Revisar formato"))</f>
        <v/>
      </c>
      <c r="J230" s="24" t="str">
        <f>IF(Registro!$I230="","",IFERROR(SUMPRODUCT(--("0"&amp;TRIM(RIGHT(SUBSTITUTE(TRIM(MID(SUBSTITUTE(SUBSTITUTE(Registro!$I230,";",CHAR(10)),CHAR(10),REPT(" ",LEN(Registro!$I230))),({1,2,3,4,5,6,7,8,9,10,11,12,13,14,15,16,17,18,19,20,21,22,23,24,25,26,27,28,29,30}-1)*LEN(Registro!$I230)+1,LEN(Registro!$I230)))," ",REPT(" ",50)),50)))),"Revisar formato"))</f>
        <v/>
      </c>
      <c r="K230" s="24" t="str">
        <f>IF(AND(Registro!$G230="",Registro!$H230=""),"",IF(AND(ISTEXT(I230),I230&lt;&gt;""),"Revisar formato",N(Registro!$G230)-N(I230)))</f>
        <v/>
      </c>
      <c r="L230" s="24" t="str">
        <f t="shared" si="7"/>
        <v/>
      </c>
      <c r="M230" s="36" t="str">
        <f>IF(AND(A230=Consulta!$B$3,C230=Consulta!$H$3),B230*10000+ROW(),"")</f>
        <v/>
      </c>
    </row>
    <row r="231" spans="1:13" x14ac:dyDescent="0.25">
      <c r="A231" s="21" t="str">
        <f>IF(Registro!$A231="","",Registro!$A231)</f>
        <v/>
      </c>
      <c r="B231" s="20" t="str">
        <f>IF(Registro!$B231="","",Registro!$B231)</f>
        <v/>
      </c>
      <c r="C231" s="35" t="str">
        <f t="shared" si="6"/>
        <v/>
      </c>
      <c r="D231" s="23" t="str">
        <f>IF(Registro!$E231="","",IF(ISERROR(FIND("x",LOWER(Registro!$E231))),"-",IFERROR(SUMPRODUCT(--("0"&amp;LEFT(TRIM(MID(SUBSTITUTE(SUBSTITUTE(SUBSTITUTE(SUBSTITUTE(SUBSTITUTE(LOWER(Registro!$E231),"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",LEN(Registro!$E231))),({1,2,3,4,5,6,7,8,9,10,11,12,13,14,15,16,17,18,19,20,21,22,23,24,25,26,27,28,29,30}-1)*LEN(Registro!$E231)+1,LEN(Registro!$E231))),FIND("x",TRIM(MID(SUBSTITUTE(SUBSTITUTE(SUBSTITUTE(SUBSTITUTE(SUBSTITUTE(LOWER(Registro!$E231),"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",LEN(Registro!$E231))),({1,2,3,4,5,6,7,8,9,10,11,12,13,14,15,16,17,18,19,20,21,22,23,24,25,26,27,28,29,30}-1)*LEN(Registro!$E231)+1,LEN(Registro!$E231)))&amp;"x")-1))),"Revisar formato")))</f>
        <v/>
      </c>
      <c r="E231" s="24" t="str">
        <f>IF(Registro!$E231="","",IF(ISERROR(FIND("x",LOWER(Registro!$E231))),"-",IFERROR(SUMPRODUCT(--("0"&amp;LEFT(TRIM(MID(SUBSTITUTE(SUBSTITUTE(SUBSTITUTE(SUBSTITUTE(SUBSTITUTE(LOWER(Registro!$E231),"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",LEN(Registro!$E231))),({1,2,3,4,5,6,7,8,9,10,11,12,13,14,15,16,17,18,19,20,21,22,23,24,25,26,27,28,29,30}-1)*LEN(Registro!$E231)+1,LEN(Registro!$E231))),FIND("x",TRIM(MID(SUBSTITUTE(SUBSTITUTE(SUBSTITUTE(SUBSTITUTE(SUBSTITUTE(LOWER(Registro!$E231),"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",LEN(Registro!$E231))),({1,2,3,4,5,6,7,8,9,10,11,12,13,14,15,16,17,18,19,20,21,22,23,24,25,26,27,28,29,30}-1)*LEN(Registro!$E231)+1,LEN(Registro!$E231)))&amp;"x")-1)),--("0"&amp;MID(TRIM(MID(SUBSTITUTE(SUBSTITUTE(SUBSTITUTE(SUBSTITUTE(SUBSTITUTE(LOWER(Registro!$E231),"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",LEN(Registro!$E231))),({1,2,3,4,5,6,7,8,9,10,11,12,13,14,15,16,17,18,19,20,21,22,23,24,25,26,27,28,29,30}-1)*LEN(Registro!$E231)+1,LEN(Registro!$E231))),FIND("x",TRIM(MID(SUBSTITUTE(SUBSTITUTE(SUBSTITUTE(SUBSTITUTE(SUBSTITUTE(LOWER(Registro!$E231),"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",LEN(Registro!$E231))),({1,2,3,4,5,6,7,8,9,10,11,12,13,14,15,16,17,18,19,20,21,22,23,24,25,26,27,28,29,30}-1)*LEN(Registro!$E231)+1,LEN(Registro!$E231)))&amp;"x")+1,20))),"Revisar formato")))</f>
        <v/>
      </c>
      <c r="F231" s="23" t="str">
        <f>IF(Registro!$F231="","",IF(ISERROR(FIND("x",LOWER(Registro!$F231))),"-",IFERROR(SUMPRODUCT(--("0"&amp;LEFT(TRIM(MID(SUBSTITUTE(SUBSTITUTE(SUBSTITUTE(SUBSTITUTE(SUBSTITUTE(LOWER(Registro!$F231)," ",""),CHAR(10),"|"),";","|"),"+","|"),"|",REPT(" ",LEN(Registro!$F231))),({1,2,3,4,5,6,7,8,9,10,11,12,13,14,15,16,17,18,19,20,21,22,23,24,25,26,27,28,29,30}-1)*LEN(Registro!$F231)+1,LEN(Registro!$F231))),FIND("x",TRIM(MID(SUBSTITUTE(SUBSTITUTE(SUBSTITUTE(SUBSTITUTE(SUBSTITUTE(LOWER(Registro!$F231)," ",""),CHAR(10),"|"),";","|"),"+","|"),"|",REPT(" ",LEN(Registro!$F231))),({1,2,3,4,5,6,7,8,9,10,11,12,13,14,15,16,17,18,19,20,21,22,23,24,25,26,27,28,29,30}-1)*LEN(Registro!$F231)+1,LEN(Registro!$F231)))&amp;"x")-1))),"Revisar formato")))</f>
        <v/>
      </c>
      <c r="G231" s="24" t="str">
        <f>IF(Registro!$F231="","",IF(ISERROR(FIND("x",LOWER(Registro!$F231))),N(Registro!$G231),IFERROR(SUMPRODUCT(--("0"&amp;LEFT(TRIM(MID(SUBSTITUTE(SUBSTITUTE(SUBSTITUTE(SUBSTITUTE(SUBSTITUTE(LOWER(Registro!$F231)," ",""),CHAR(10),"|"),";","|"),"+","|"),"|",REPT(" ",LEN(Registro!$F231))),({1,2,3,4,5,6,7,8,9,10,11,12,13,14,15,16,17,18,19,20,21,22,23,24,25,26,27,28,29,30}-1)*LEN(Registro!$F231)+1,LEN(Registro!$F231))),FIND("x",TRIM(MID(SUBSTITUTE(SUBSTITUTE(SUBSTITUTE(SUBSTITUTE(SUBSTITUTE(LOWER(Registro!$F231)," ",""),CHAR(10),"|"),";","|"),"+","|"),"|",REPT(" ",LEN(Registro!$F231))),({1,2,3,4,5,6,7,8,9,10,11,12,13,14,15,16,17,18,19,20,21,22,23,24,25,26,27,28,29,30}-1)*LEN(Registro!$F231)+1,LEN(Registro!$F231)))&amp;"x")-1)),--("0"&amp;MID(TRIM(MID(SUBSTITUTE(SUBSTITUTE(SUBSTITUTE(SUBSTITUTE(SUBSTITUTE(LOWER(Registro!$F231)," ",""),CHAR(10),"|"),";","|"),"+","|"),"|",REPT(" ",LEN(Registro!$F231))),({1,2,3,4,5,6,7,8,9,10,11,12,13,14,15,16,17,18,19,20,21,22,23,24,25,26,27,28,29,30}-1)*LEN(Registro!$F231)+1,LEN(Registro!$F231))),FIND("x",TRIM(MID(SUBSTITUTE(SUBSTITUTE(SUBSTITUTE(SUBSTITUTE(SUBSTITUTE(LOWER(Registro!$F231)," ",""),CHAR(10),"|"),";","|"),"+","|"),"|",REPT(" ",LEN(Registro!$F231))),({1,2,3,4,5,6,7,8,9,10,11,12,13,14,15,16,17,18,19,20,21,22,23,24,25,26,27,28,29,30}-1)*LEN(Registro!$F231)+1,LEN(Registro!$F231)))&amp;"x")+1,20))),"Revisar formato")))</f>
        <v/>
      </c>
      <c r="H231" s="21" t="str">
        <f>IF(AND(Registro!$E231="",Registro!$F231=""),"",IF(NOT(AND(ISNUMBER(G231),ISNUMBER(Registro!$G231))),"",IF(G231&lt;Registro!$G231,"FALTA BOLETOS",IF(G231=Registro!$G231,"CONFORME","DIFERENCIA"))))</f>
        <v/>
      </c>
      <c r="I231" s="24" t="str">
        <f>IF(Registro!$H231="","",IFERROR(SUMPRODUCT(--("0"&amp;TRIM(RIGHT(SUBSTITUTE(TRIM(MID(SUBSTITUTE(SUBSTITUTE(Registro!$H231,";",CHAR(10)),CHAR(10),REPT(" ",LEN(Registro!$H231))),({1,2,3,4,5,6,7,8,9,10,11,12,13,14,15,16,17,18,19,20,21,22,23,24,25,26,27,28,29,30}-1)*LEN(Registro!$H231)+1,LEN(Registro!$H231)))," ",REPT(" ",50)),50)))),"Revisar formato"))</f>
        <v/>
      </c>
      <c r="J231" s="24" t="str">
        <f>IF(Registro!$I231="","",IFERROR(SUMPRODUCT(--("0"&amp;TRIM(RIGHT(SUBSTITUTE(TRIM(MID(SUBSTITUTE(SUBSTITUTE(Registro!$I231,";",CHAR(10)),CHAR(10),REPT(" ",LEN(Registro!$I231))),({1,2,3,4,5,6,7,8,9,10,11,12,13,14,15,16,17,18,19,20,21,22,23,24,25,26,27,28,29,30}-1)*LEN(Registro!$I231)+1,LEN(Registro!$I231)))," ",REPT(" ",50)),50)))),"Revisar formato"))</f>
        <v/>
      </c>
      <c r="K231" s="24" t="str">
        <f>IF(AND(Registro!$G231="",Registro!$H231=""),"",IF(AND(ISTEXT(I231),I231&lt;&gt;""),"Revisar formato",N(Registro!$G231)-N(I231)))</f>
        <v/>
      </c>
      <c r="L231" s="24" t="str">
        <f t="shared" si="7"/>
        <v/>
      </c>
      <c r="M231" s="36" t="str">
        <f>IF(AND(A231=Consulta!$B$3,C231=Consulta!$H$3),B231*10000+ROW(),"")</f>
        <v/>
      </c>
    </row>
    <row r="232" spans="1:13" x14ac:dyDescent="0.25">
      <c r="A232" s="21" t="str">
        <f>IF(Registro!$A232="","",Registro!$A232)</f>
        <v/>
      </c>
      <c r="B232" s="20" t="str">
        <f>IF(Registro!$B232="","",Registro!$B232)</f>
        <v/>
      </c>
      <c r="C232" s="35" t="str">
        <f t="shared" si="6"/>
        <v/>
      </c>
      <c r="D232" s="23" t="str">
        <f>IF(Registro!$E232="","",IF(ISERROR(FIND("x",LOWER(Registro!$E232))),"-",IFERROR(SUMPRODUCT(--("0"&amp;LEFT(TRIM(MID(SUBSTITUTE(SUBSTITUTE(SUBSTITUTE(SUBSTITUTE(SUBSTITUTE(LOWER(Registro!$E232),"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",LEN(Registro!$E232))),({1,2,3,4,5,6,7,8,9,10,11,12,13,14,15,16,17,18,19,20,21,22,23,24,25,26,27,28,29,30}-1)*LEN(Registro!$E232)+1,LEN(Registro!$E232))),FIND("x",TRIM(MID(SUBSTITUTE(SUBSTITUTE(SUBSTITUTE(SUBSTITUTE(SUBSTITUTE(LOWER(Registro!$E232),"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",LEN(Registro!$E232))),({1,2,3,4,5,6,7,8,9,10,11,12,13,14,15,16,17,18,19,20,21,22,23,24,25,26,27,28,29,30}-1)*LEN(Registro!$E232)+1,LEN(Registro!$E232)))&amp;"x")-1))),"Revisar formato")))</f>
        <v/>
      </c>
      <c r="E232" s="24" t="str">
        <f>IF(Registro!$E232="","",IF(ISERROR(FIND("x",LOWER(Registro!$E232))),"-",IFERROR(SUMPRODUCT(--("0"&amp;LEFT(TRIM(MID(SUBSTITUTE(SUBSTITUTE(SUBSTITUTE(SUBSTITUTE(SUBSTITUTE(LOWER(Registro!$E232),"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",LEN(Registro!$E232))),({1,2,3,4,5,6,7,8,9,10,11,12,13,14,15,16,17,18,19,20,21,22,23,24,25,26,27,28,29,30}-1)*LEN(Registro!$E232)+1,LEN(Registro!$E232))),FIND("x",TRIM(MID(SUBSTITUTE(SUBSTITUTE(SUBSTITUTE(SUBSTITUTE(SUBSTITUTE(LOWER(Registro!$E232),"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",LEN(Registro!$E232))),({1,2,3,4,5,6,7,8,9,10,11,12,13,14,15,16,17,18,19,20,21,22,23,24,25,26,27,28,29,30}-1)*LEN(Registro!$E232)+1,LEN(Registro!$E232)))&amp;"x")-1)),--("0"&amp;MID(TRIM(MID(SUBSTITUTE(SUBSTITUTE(SUBSTITUTE(SUBSTITUTE(SUBSTITUTE(LOWER(Registro!$E232),"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",LEN(Registro!$E232))),({1,2,3,4,5,6,7,8,9,10,11,12,13,14,15,16,17,18,19,20,21,22,23,24,25,26,27,28,29,30}-1)*LEN(Registro!$E232)+1,LEN(Registro!$E232))),FIND("x",TRIM(MID(SUBSTITUTE(SUBSTITUTE(SUBSTITUTE(SUBSTITUTE(SUBSTITUTE(LOWER(Registro!$E232),"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",LEN(Registro!$E232))),({1,2,3,4,5,6,7,8,9,10,11,12,13,14,15,16,17,18,19,20,21,22,23,24,25,26,27,28,29,30}-1)*LEN(Registro!$E232)+1,LEN(Registro!$E232)))&amp;"x")+1,20))),"Revisar formato")))</f>
        <v/>
      </c>
      <c r="F232" s="23" t="str">
        <f>IF(Registro!$F232="","",IF(ISERROR(FIND("x",LOWER(Registro!$F232))),"-",IFERROR(SUMPRODUCT(--("0"&amp;LEFT(TRIM(MID(SUBSTITUTE(SUBSTITUTE(SUBSTITUTE(SUBSTITUTE(SUBSTITUTE(LOWER(Registro!$F232)," ",""),CHAR(10),"|"),";","|"),"+","|"),"|",REPT(" ",LEN(Registro!$F232))),({1,2,3,4,5,6,7,8,9,10,11,12,13,14,15,16,17,18,19,20,21,22,23,24,25,26,27,28,29,30}-1)*LEN(Registro!$F232)+1,LEN(Registro!$F232))),FIND("x",TRIM(MID(SUBSTITUTE(SUBSTITUTE(SUBSTITUTE(SUBSTITUTE(SUBSTITUTE(LOWER(Registro!$F232)," ",""),CHAR(10),"|"),";","|"),"+","|"),"|",REPT(" ",LEN(Registro!$F232))),({1,2,3,4,5,6,7,8,9,10,11,12,13,14,15,16,17,18,19,20,21,22,23,24,25,26,27,28,29,30}-1)*LEN(Registro!$F232)+1,LEN(Registro!$F232)))&amp;"x")-1))),"Revisar formato")))</f>
        <v/>
      </c>
      <c r="G232" s="24" t="str">
        <f>IF(Registro!$F232="","",IF(ISERROR(FIND("x",LOWER(Registro!$F232))),N(Registro!$G232),IFERROR(SUMPRODUCT(--("0"&amp;LEFT(TRIM(MID(SUBSTITUTE(SUBSTITUTE(SUBSTITUTE(SUBSTITUTE(SUBSTITUTE(LOWER(Registro!$F232)," ",""),CHAR(10),"|"),";","|"),"+","|"),"|",REPT(" ",LEN(Registro!$F232))),({1,2,3,4,5,6,7,8,9,10,11,12,13,14,15,16,17,18,19,20,21,22,23,24,25,26,27,28,29,30}-1)*LEN(Registro!$F232)+1,LEN(Registro!$F232))),FIND("x",TRIM(MID(SUBSTITUTE(SUBSTITUTE(SUBSTITUTE(SUBSTITUTE(SUBSTITUTE(LOWER(Registro!$F232)," ",""),CHAR(10),"|"),";","|"),"+","|"),"|",REPT(" ",LEN(Registro!$F232))),({1,2,3,4,5,6,7,8,9,10,11,12,13,14,15,16,17,18,19,20,21,22,23,24,25,26,27,28,29,30}-1)*LEN(Registro!$F232)+1,LEN(Registro!$F232)))&amp;"x")-1)),--("0"&amp;MID(TRIM(MID(SUBSTITUTE(SUBSTITUTE(SUBSTITUTE(SUBSTITUTE(SUBSTITUTE(LOWER(Registro!$F232)," ",""),CHAR(10),"|"),";","|"),"+","|"),"|",REPT(" ",LEN(Registro!$F232))),({1,2,3,4,5,6,7,8,9,10,11,12,13,14,15,16,17,18,19,20,21,22,23,24,25,26,27,28,29,30}-1)*LEN(Registro!$F232)+1,LEN(Registro!$F232))),FIND("x",TRIM(MID(SUBSTITUTE(SUBSTITUTE(SUBSTITUTE(SUBSTITUTE(SUBSTITUTE(LOWER(Registro!$F232)," ",""),CHAR(10),"|"),";","|"),"+","|"),"|",REPT(" ",LEN(Registro!$F232))),({1,2,3,4,5,6,7,8,9,10,11,12,13,14,15,16,17,18,19,20,21,22,23,24,25,26,27,28,29,30}-1)*LEN(Registro!$F232)+1,LEN(Registro!$F232)))&amp;"x")+1,20))),"Revisar formato")))</f>
        <v/>
      </c>
      <c r="H232" s="21" t="str">
        <f>IF(AND(Registro!$E232="",Registro!$F232=""),"",IF(NOT(AND(ISNUMBER(G232),ISNUMBER(Registro!$G232))),"",IF(G232&lt;Registro!$G232,"FALTA BOLETOS",IF(G232=Registro!$G232,"CONFORME","DIFERENCIA"))))</f>
        <v/>
      </c>
      <c r="I232" s="24" t="str">
        <f>IF(Registro!$H232="","",IFERROR(SUMPRODUCT(--("0"&amp;TRIM(RIGHT(SUBSTITUTE(TRIM(MID(SUBSTITUTE(SUBSTITUTE(Registro!$H232,";",CHAR(10)),CHAR(10),REPT(" ",LEN(Registro!$H232))),({1,2,3,4,5,6,7,8,9,10,11,12,13,14,15,16,17,18,19,20,21,22,23,24,25,26,27,28,29,30}-1)*LEN(Registro!$H232)+1,LEN(Registro!$H232)))," ",REPT(" ",50)),50)))),"Revisar formato"))</f>
        <v/>
      </c>
      <c r="J232" s="24" t="str">
        <f>IF(Registro!$I232="","",IFERROR(SUMPRODUCT(--("0"&amp;TRIM(RIGHT(SUBSTITUTE(TRIM(MID(SUBSTITUTE(SUBSTITUTE(Registro!$I232,";",CHAR(10)),CHAR(10),REPT(" ",LEN(Registro!$I232))),({1,2,3,4,5,6,7,8,9,10,11,12,13,14,15,16,17,18,19,20,21,22,23,24,25,26,27,28,29,30}-1)*LEN(Registro!$I232)+1,LEN(Registro!$I232)))," ",REPT(" ",50)),50)))),"Revisar formato"))</f>
        <v/>
      </c>
      <c r="K232" s="24" t="str">
        <f>IF(AND(Registro!$G232="",Registro!$H232=""),"",IF(AND(ISTEXT(I232),I232&lt;&gt;""),"Revisar formato",N(Registro!$G232)-N(I232)))</f>
        <v/>
      </c>
      <c r="L232" s="24" t="str">
        <f t="shared" si="7"/>
        <v/>
      </c>
      <c r="M232" s="36" t="str">
        <f>IF(AND(A232=Consulta!$B$3,C232=Consulta!$H$3),B232*10000+ROW(),"")</f>
        <v/>
      </c>
    </row>
    <row r="233" spans="1:13" x14ac:dyDescent="0.25">
      <c r="A233" s="21" t="str">
        <f>IF(Registro!$A233="","",Registro!$A233)</f>
        <v/>
      </c>
      <c r="B233" s="20" t="str">
        <f>IF(Registro!$B233="","",Registro!$B233)</f>
        <v/>
      </c>
      <c r="C233" s="35" t="str">
        <f t="shared" si="6"/>
        <v/>
      </c>
      <c r="D233" s="23" t="str">
        <f>IF(Registro!$E233="","",IF(ISERROR(FIND("x",LOWER(Registro!$E233))),"-",IFERROR(SUMPRODUCT(--("0"&amp;LEFT(TRIM(MID(SUBSTITUTE(SUBSTITUTE(SUBSTITUTE(SUBSTITUTE(SUBSTITUTE(LOWER(Registro!$E233),"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",LEN(Registro!$E233))),({1,2,3,4,5,6,7,8,9,10,11,12,13,14,15,16,17,18,19,20,21,22,23,24,25,26,27,28,29,30}-1)*LEN(Registro!$E233)+1,LEN(Registro!$E233))),FIND("x",TRIM(MID(SUBSTITUTE(SUBSTITUTE(SUBSTITUTE(SUBSTITUTE(SUBSTITUTE(LOWER(Registro!$E233),"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",LEN(Registro!$E233))),({1,2,3,4,5,6,7,8,9,10,11,12,13,14,15,16,17,18,19,20,21,22,23,24,25,26,27,28,29,30}-1)*LEN(Registro!$E233)+1,LEN(Registro!$E233)))&amp;"x")-1))),"Revisar formato")))</f>
        <v/>
      </c>
      <c r="E233" s="24" t="str">
        <f>IF(Registro!$E233="","",IF(ISERROR(FIND("x",LOWER(Registro!$E233))),"-",IFERROR(SUMPRODUCT(--("0"&amp;LEFT(TRIM(MID(SUBSTITUTE(SUBSTITUTE(SUBSTITUTE(SUBSTITUTE(SUBSTITUTE(LOWER(Registro!$E233),"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",LEN(Registro!$E233))),({1,2,3,4,5,6,7,8,9,10,11,12,13,14,15,16,17,18,19,20,21,22,23,24,25,26,27,28,29,30}-1)*LEN(Registro!$E233)+1,LEN(Registro!$E233))),FIND("x",TRIM(MID(SUBSTITUTE(SUBSTITUTE(SUBSTITUTE(SUBSTITUTE(SUBSTITUTE(LOWER(Registro!$E233),"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",LEN(Registro!$E233))),({1,2,3,4,5,6,7,8,9,10,11,12,13,14,15,16,17,18,19,20,21,22,23,24,25,26,27,28,29,30}-1)*LEN(Registro!$E233)+1,LEN(Registro!$E233)))&amp;"x")-1)),--("0"&amp;MID(TRIM(MID(SUBSTITUTE(SUBSTITUTE(SUBSTITUTE(SUBSTITUTE(SUBSTITUTE(LOWER(Registro!$E233),"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",LEN(Registro!$E233))),({1,2,3,4,5,6,7,8,9,10,11,12,13,14,15,16,17,18,19,20,21,22,23,24,25,26,27,28,29,30}-1)*LEN(Registro!$E233)+1,LEN(Registro!$E233))),FIND("x",TRIM(MID(SUBSTITUTE(SUBSTITUTE(SUBSTITUTE(SUBSTITUTE(SUBSTITUTE(LOWER(Registro!$E233),"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",LEN(Registro!$E233))),({1,2,3,4,5,6,7,8,9,10,11,12,13,14,15,16,17,18,19,20,21,22,23,24,25,26,27,28,29,30}-1)*LEN(Registro!$E233)+1,LEN(Registro!$E233)))&amp;"x")+1,20))),"Revisar formato")))</f>
        <v/>
      </c>
      <c r="F233" s="23" t="str">
        <f>IF(Registro!$F233="","",IF(ISERROR(FIND("x",LOWER(Registro!$F233))),"-",IFERROR(SUMPRODUCT(--("0"&amp;LEFT(TRIM(MID(SUBSTITUTE(SUBSTITUTE(SUBSTITUTE(SUBSTITUTE(SUBSTITUTE(LOWER(Registro!$F233)," ",""),CHAR(10),"|"),";","|"),"+","|"),"|",REPT(" ",LEN(Registro!$F233))),({1,2,3,4,5,6,7,8,9,10,11,12,13,14,15,16,17,18,19,20,21,22,23,24,25,26,27,28,29,30}-1)*LEN(Registro!$F233)+1,LEN(Registro!$F233))),FIND("x",TRIM(MID(SUBSTITUTE(SUBSTITUTE(SUBSTITUTE(SUBSTITUTE(SUBSTITUTE(LOWER(Registro!$F233)," ",""),CHAR(10),"|"),";","|"),"+","|"),"|",REPT(" ",LEN(Registro!$F233))),({1,2,3,4,5,6,7,8,9,10,11,12,13,14,15,16,17,18,19,20,21,22,23,24,25,26,27,28,29,30}-1)*LEN(Registro!$F233)+1,LEN(Registro!$F233)))&amp;"x")-1))),"Revisar formato")))</f>
        <v/>
      </c>
      <c r="G233" s="24" t="str">
        <f>IF(Registro!$F233="","",IF(ISERROR(FIND("x",LOWER(Registro!$F233))),N(Registro!$G233),IFERROR(SUMPRODUCT(--("0"&amp;LEFT(TRIM(MID(SUBSTITUTE(SUBSTITUTE(SUBSTITUTE(SUBSTITUTE(SUBSTITUTE(LOWER(Registro!$F233)," ",""),CHAR(10),"|"),";","|"),"+","|"),"|",REPT(" ",LEN(Registro!$F233))),({1,2,3,4,5,6,7,8,9,10,11,12,13,14,15,16,17,18,19,20,21,22,23,24,25,26,27,28,29,30}-1)*LEN(Registro!$F233)+1,LEN(Registro!$F233))),FIND("x",TRIM(MID(SUBSTITUTE(SUBSTITUTE(SUBSTITUTE(SUBSTITUTE(SUBSTITUTE(LOWER(Registro!$F233)," ",""),CHAR(10),"|"),";","|"),"+","|"),"|",REPT(" ",LEN(Registro!$F233))),({1,2,3,4,5,6,7,8,9,10,11,12,13,14,15,16,17,18,19,20,21,22,23,24,25,26,27,28,29,30}-1)*LEN(Registro!$F233)+1,LEN(Registro!$F233)))&amp;"x")-1)),--("0"&amp;MID(TRIM(MID(SUBSTITUTE(SUBSTITUTE(SUBSTITUTE(SUBSTITUTE(SUBSTITUTE(LOWER(Registro!$F233)," ",""),CHAR(10),"|"),";","|"),"+","|"),"|",REPT(" ",LEN(Registro!$F233))),({1,2,3,4,5,6,7,8,9,10,11,12,13,14,15,16,17,18,19,20,21,22,23,24,25,26,27,28,29,30}-1)*LEN(Registro!$F233)+1,LEN(Registro!$F233))),FIND("x",TRIM(MID(SUBSTITUTE(SUBSTITUTE(SUBSTITUTE(SUBSTITUTE(SUBSTITUTE(LOWER(Registro!$F233)," ",""),CHAR(10),"|"),";","|"),"+","|"),"|",REPT(" ",LEN(Registro!$F233))),({1,2,3,4,5,6,7,8,9,10,11,12,13,14,15,16,17,18,19,20,21,22,23,24,25,26,27,28,29,30}-1)*LEN(Registro!$F233)+1,LEN(Registro!$F233)))&amp;"x")+1,20))),"Revisar formato")))</f>
        <v/>
      </c>
      <c r="H233" s="21" t="str">
        <f>IF(AND(Registro!$E233="",Registro!$F233=""),"",IF(NOT(AND(ISNUMBER(G233),ISNUMBER(Registro!$G233))),"",IF(G233&lt;Registro!$G233,"FALTA BOLETOS",IF(G233=Registro!$G233,"CONFORME","DIFERENCIA"))))</f>
        <v/>
      </c>
      <c r="I233" s="24" t="str">
        <f>IF(Registro!$H233="","",IFERROR(SUMPRODUCT(--("0"&amp;TRIM(RIGHT(SUBSTITUTE(TRIM(MID(SUBSTITUTE(SUBSTITUTE(Registro!$H233,";",CHAR(10)),CHAR(10),REPT(" ",LEN(Registro!$H233))),({1,2,3,4,5,6,7,8,9,10,11,12,13,14,15,16,17,18,19,20,21,22,23,24,25,26,27,28,29,30}-1)*LEN(Registro!$H233)+1,LEN(Registro!$H233)))," ",REPT(" ",50)),50)))),"Revisar formato"))</f>
        <v/>
      </c>
      <c r="J233" s="24" t="str">
        <f>IF(Registro!$I233="","",IFERROR(SUMPRODUCT(--("0"&amp;TRIM(RIGHT(SUBSTITUTE(TRIM(MID(SUBSTITUTE(SUBSTITUTE(Registro!$I233,";",CHAR(10)),CHAR(10),REPT(" ",LEN(Registro!$I233))),({1,2,3,4,5,6,7,8,9,10,11,12,13,14,15,16,17,18,19,20,21,22,23,24,25,26,27,28,29,30}-1)*LEN(Registro!$I233)+1,LEN(Registro!$I233)))," ",REPT(" ",50)),50)))),"Revisar formato"))</f>
        <v/>
      </c>
      <c r="K233" s="24" t="str">
        <f>IF(AND(Registro!$G233="",Registro!$H233=""),"",IF(AND(ISTEXT(I233),I233&lt;&gt;""),"Revisar formato",N(Registro!$G233)-N(I233)))</f>
        <v/>
      </c>
      <c r="L233" s="24" t="str">
        <f t="shared" si="7"/>
        <v/>
      </c>
      <c r="M233" s="36" t="str">
        <f>IF(AND(A233=Consulta!$B$3,C233=Consulta!$H$3),B233*10000+ROW(),"")</f>
        <v/>
      </c>
    </row>
    <row r="234" spans="1:13" x14ac:dyDescent="0.25">
      <c r="A234" s="21" t="str">
        <f>IF(Registro!$A234="","",Registro!$A234)</f>
        <v/>
      </c>
      <c r="B234" s="20" t="str">
        <f>IF(Registro!$B234="","",Registro!$B234)</f>
        <v/>
      </c>
      <c r="C234" s="35" t="str">
        <f t="shared" si="6"/>
        <v/>
      </c>
      <c r="D234" s="23" t="str">
        <f>IF(Registro!$E234="","",IF(ISERROR(FIND("x",LOWER(Registro!$E234))),"-",IFERROR(SUMPRODUCT(--("0"&amp;LEFT(TRIM(MID(SUBSTITUTE(SUBSTITUTE(SUBSTITUTE(SUBSTITUTE(SUBSTITUTE(LOWER(Registro!$E234),"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",LEN(Registro!$E234))),({1,2,3,4,5,6,7,8,9,10,11,12,13,14,15,16,17,18,19,20,21,22,23,24,25,26,27,28,29,30}-1)*LEN(Registro!$E234)+1,LEN(Registro!$E234))),FIND("x",TRIM(MID(SUBSTITUTE(SUBSTITUTE(SUBSTITUTE(SUBSTITUTE(SUBSTITUTE(LOWER(Registro!$E234),"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",LEN(Registro!$E234))),({1,2,3,4,5,6,7,8,9,10,11,12,13,14,15,16,17,18,19,20,21,22,23,24,25,26,27,28,29,30}-1)*LEN(Registro!$E234)+1,LEN(Registro!$E234)))&amp;"x")-1))),"Revisar formato")))</f>
        <v/>
      </c>
      <c r="E234" s="24" t="str">
        <f>IF(Registro!$E234="","",IF(ISERROR(FIND("x",LOWER(Registro!$E234))),"-",IFERROR(SUMPRODUCT(--("0"&amp;LEFT(TRIM(MID(SUBSTITUTE(SUBSTITUTE(SUBSTITUTE(SUBSTITUTE(SUBSTITUTE(LOWER(Registro!$E234),"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",LEN(Registro!$E234))),({1,2,3,4,5,6,7,8,9,10,11,12,13,14,15,16,17,18,19,20,21,22,23,24,25,26,27,28,29,30}-1)*LEN(Registro!$E234)+1,LEN(Registro!$E234))),FIND("x",TRIM(MID(SUBSTITUTE(SUBSTITUTE(SUBSTITUTE(SUBSTITUTE(SUBSTITUTE(LOWER(Registro!$E234),"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",LEN(Registro!$E234))),({1,2,3,4,5,6,7,8,9,10,11,12,13,14,15,16,17,18,19,20,21,22,23,24,25,26,27,28,29,30}-1)*LEN(Registro!$E234)+1,LEN(Registro!$E234)))&amp;"x")-1)),--("0"&amp;MID(TRIM(MID(SUBSTITUTE(SUBSTITUTE(SUBSTITUTE(SUBSTITUTE(SUBSTITUTE(LOWER(Registro!$E234),"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",LEN(Registro!$E234))),({1,2,3,4,5,6,7,8,9,10,11,12,13,14,15,16,17,18,19,20,21,22,23,24,25,26,27,28,29,30}-1)*LEN(Registro!$E234)+1,LEN(Registro!$E234))),FIND("x",TRIM(MID(SUBSTITUTE(SUBSTITUTE(SUBSTITUTE(SUBSTITUTE(SUBSTITUTE(LOWER(Registro!$E234),"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",LEN(Registro!$E234))),({1,2,3,4,5,6,7,8,9,10,11,12,13,14,15,16,17,18,19,20,21,22,23,24,25,26,27,28,29,30}-1)*LEN(Registro!$E234)+1,LEN(Registro!$E234)))&amp;"x")+1,20))),"Revisar formato")))</f>
        <v/>
      </c>
      <c r="F234" s="23" t="str">
        <f>IF(Registro!$F234="","",IF(ISERROR(FIND("x",LOWER(Registro!$F234))),"-",IFERROR(SUMPRODUCT(--("0"&amp;LEFT(TRIM(MID(SUBSTITUTE(SUBSTITUTE(SUBSTITUTE(SUBSTITUTE(SUBSTITUTE(LOWER(Registro!$F234)," ",""),CHAR(10),"|"),";","|"),"+","|"),"|",REPT(" ",LEN(Registro!$F234))),({1,2,3,4,5,6,7,8,9,10,11,12,13,14,15,16,17,18,19,20,21,22,23,24,25,26,27,28,29,30}-1)*LEN(Registro!$F234)+1,LEN(Registro!$F234))),FIND("x",TRIM(MID(SUBSTITUTE(SUBSTITUTE(SUBSTITUTE(SUBSTITUTE(SUBSTITUTE(LOWER(Registro!$F234)," ",""),CHAR(10),"|"),";","|"),"+","|"),"|",REPT(" ",LEN(Registro!$F234))),({1,2,3,4,5,6,7,8,9,10,11,12,13,14,15,16,17,18,19,20,21,22,23,24,25,26,27,28,29,30}-1)*LEN(Registro!$F234)+1,LEN(Registro!$F234)))&amp;"x")-1))),"Revisar formato")))</f>
        <v/>
      </c>
      <c r="G234" s="24" t="str">
        <f>IF(Registro!$F234="","",IF(ISERROR(FIND("x",LOWER(Registro!$F234))),N(Registro!$G234),IFERROR(SUMPRODUCT(--("0"&amp;LEFT(TRIM(MID(SUBSTITUTE(SUBSTITUTE(SUBSTITUTE(SUBSTITUTE(SUBSTITUTE(LOWER(Registro!$F234)," ",""),CHAR(10),"|"),";","|"),"+","|"),"|",REPT(" ",LEN(Registro!$F234))),({1,2,3,4,5,6,7,8,9,10,11,12,13,14,15,16,17,18,19,20,21,22,23,24,25,26,27,28,29,30}-1)*LEN(Registro!$F234)+1,LEN(Registro!$F234))),FIND("x",TRIM(MID(SUBSTITUTE(SUBSTITUTE(SUBSTITUTE(SUBSTITUTE(SUBSTITUTE(LOWER(Registro!$F234)," ",""),CHAR(10),"|"),";","|"),"+","|"),"|",REPT(" ",LEN(Registro!$F234))),({1,2,3,4,5,6,7,8,9,10,11,12,13,14,15,16,17,18,19,20,21,22,23,24,25,26,27,28,29,30}-1)*LEN(Registro!$F234)+1,LEN(Registro!$F234)))&amp;"x")-1)),--("0"&amp;MID(TRIM(MID(SUBSTITUTE(SUBSTITUTE(SUBSTITUTE(SUBSTITUTE(SUBSTITUTE(LOWER(Registro!$F234)," ",""),CHAR(10),"|"),";","|"),"+","|"),"|",REPT(" ",LEN(Registro!$F234))),({1,2,3,4,5,6,7,8,9,10,11,12,13,14,15,16,17,18,19,20,21,22,23,24,25,26,27,28,29,30}-1)*LEN(Registro!$F234)+1,LEN(Registro!$F234))),FIND("x",TRIM(MID(SUBSTITUTE(SUBSTITUTE(SUBSTITUTE(SUBSTITUTE(SUBSTITUTE(LOWER(Registro!$F234)," ",""),CHAR(10),"|"),";","|"),"+","|"),"|",REPT(" ",LEN(Registro!$F234))),({1,2,3,4,5,6,7,8,9,10,11,12,13,14,15,16,17,18,19,20,21,22,23,24,25,26,27,28,29,30}-1)*LEN(Registro!$F234)+1,LEN(Registro!$F234)))&amp;"x")+1,20))),"Revisar formato")))</f>
        <v/>
      </c>
      <c r="H234" s="21" t="str">
        <f>IF(AND(Registro!$E234="",Registro!$F234=""),"",IF(NOT(AND(ISNUMBER(G234),ISNUMBER(Registro!$G234))),"",IF(G234&lt;Registro!$G234,"FALTA BOLETOS",IF(G234=Registro!$G234,"CONFORME","DIFERENCIA"))))</f>
        <v/>
      </c>
      <c r="I234" s="24" t="str">
        <f>IF(Registro!$H234="","",IFERROR(SUMPRODUCT(--("0"&amp;TRIM(RIGHT(SUBSTITUTE(TRIM(MID(SUBSTITUTE(SUBSTITUTE(Registro!$H234,";",CHAR(10)),CHAR(10),REPT(" ",LEN(Registro!$H234))),({1,2,3,4,5,6,7,8,9,10,11,12,13,14,15,16,17,18,19,20,21,22,23,24,25,26,27,28,29,30}-1)*LEN(Registro!$H234)+1,LEN(Registro!$H234)))," ",REPT(" ",50)),50)))),"Revisar formato"))</f>
        <v/>
      </c>
      <c r="J234" s="24" t="str">
        <f>IF(Registro!$I234="","",IFERROR(SUMPRODUCT(--("0"&amp;TRIM(RIGHT(SUBSTITUTE(TRIM(MID(SUBSTITUTE(SUBSTITUTE(Registro!$I234,";",CHAR(10)),CHAR(10),REPT(" ",LEN(Registro!$I234))),({1,2,3,4,5,6,7,8,9,10,11,12,13,14,15,16,17,18,19,20,21,22,23,24,25,26,27,28,29,30}-1)*LEN(Registro!$I234)+1,LEN(Registro!$I234)))," ",REPT(" ",50)),50)))),"Revisar formato"))</f>
        <v/>
      </c>
      <c r="K234" s="24" t="str">
        <f>IF(AND(Registro!$G234="",Registro!$H234=""),"",IF(AND(ISTEXT(I234),I234&lt;&gt;""),"Revisar formato",N(Registro!$G234)-N(I234)))</f>
        <v/>
      </c>
      <c r="L234" s="24" t="str">
        <f t="shared" si="7"/>
        <v/>
      </c>
      <c r="M234" s="36" t="str">
        <f>IF(AND(A234=Consulta!$B$3,C234=Consulta!$H$3),B234*10000+ROW(),"")</f>
        <v/>
      </c>
    </row>
    <row r="235" spans="1:13" x14ac:dyDescent="0.25">
      <c r="A235" s="21" t="str">
        <f>IF(Registro!$A235="","",Registro!$A235)</f>
        <v/>
      </c>
      <c r="B235" s="20" t="str">
        <f>IF(Registro!$B235="","",Registro!$B235)</f>
        <v/>
      </c>
      <c r="C235" s="35" t="str">
        <f t="shared" si="6"/>
        <v/>
      </c>
      <c r="D235" s="23" t="str">
        <f>IF(Registro!$E235="","",IF(ISERROR(FIND("x",LOWER(Registro!$E235))),"-",IFERROR(SUMPRODUCT(--("0"&amp;LEFT(TRIM(MID(SUBSTITUTE(SUBSTITUTE(SUBSTITUTE(SUBSTITUTE(SUBSTITUTE(LOWER(Registro!$E235),"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",LEN(Registro!$E235))),({1,2,3,4,5,6,7,8,9,10,11,12,13,14,15,16,17,18,19,20,21,22,23,24,25,26,27,28,29,30}-1)*LEN(Registro!$E235)+1,LEN(Registro!$E235))),FIND("x",TRIM(MID(SUBSTITUTE(SUBSTITUTE(SUBSTITUTE(SUBSTITUTE(SUBSTITUTE(LOWER(Registro!$E235),"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",LEN(Registro!$E235))),({1,2,3,4,5,6,7,8,9,10,11,12,13,14,15,16,17,18,19,20,21,22,23,24,25,26,27,28,29,30}-1)*LEN(Registro!$E235)+1,LEN(Registro!$E235)))&amp;"x")-1))),"Revisar formato")))</f>
        <v/>
      </c>
      <c r="E235" s="24" t="str">
        <f>IF(Registro!$E235="","",IF(ISERROR(FIND("x",LOWER(Registro!$E235))),"-",IFERROR(SUMPRODUCT(--("0"&amp;LEFT(TRIM(MID(SUBSTITUTE(SUBSTITUTE(SUBSTITUTE(SUBSTITUTE(SUBSTITUTE(LOWER(Registro!$E235),"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",LEN(Registro!$E235))),({1,2,3,4,5,6,7,8,9,10,11,12,13,14,15,16,17,18,19,20,21,22,23,24,25,26,27,28,29,30}-1)*LEN(Registro!$E235)+1,LEN(Registro!$E235))),FIND("x",TRIM(MID(SUBSTITUTE(SUBSTITUTE(SUBSTITUTE(SUBSTITUTE(SUBSTITUTE(LOWER(Registro!$E235),"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",LEN(Registro!$E235))),({1,2,3,4,5,6,7,8,9,10,11,12,13,14,15,16,17,18,19,20,21,22,23,24,25,26,27,28,29,30}-1)*LEN(Registro!$E235)+1,LEN(Registro!$E235)))&amp;"x")-1)),--("0"&amp;MID(TRIM(MID(SUBSTITUTE(SUBSTITUTE(SUBSTITUTE(SUBSTITUTE(SUBSTITUTE(LOWER(Registro!$E235),"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",LEN(Registro!$E235))),({1,2,3,4,5,6,7,8,9,10,11,12,13,14,15,16,17,18,19,20,21,22,23,24,25,26,27,28,29,30}-1)*LEN(Registro!$E235)+1,LEN(Registro!$E235))),FIND("x",TRIM(MID(SUBSTITUTE(SUBSTITUTE(SUBSTITUTE(SUBSTITUTE(SUBSTITUTE(LOWER(Registro!$E235),"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",LEN(Registro!$E235))),({1,2,3,4,5,6,7,8,9,10,11,12,13,14,15,16,17,18,19,20,21,22,23,24,25,26,27,28,29,30}-1)*LEN(Registro!$E235)+1,LEN(Registro!$E235)))&amp;"x")+1,20))),"Revisar formato")))</f>
        <v/>
      </c>
      <c r="F235" s="23" t="str">
        <f>IF(Registro!$F235="","",IF(ISERROR(FIND("x",LOWER(Registro!$F235))),"-",IFERROR(SUMPRODUCT(--("0"&amp;LEFT(TRIM(MID(SUBSTITUTE(SUBSTITUTE(SUBSTITUTE(SUBSTITUTE(SUBSTITUTE(LOWER(Registro!$F235)," ",""),CHAR(10),"|"),";","|"),"+","|"),"|",REPT(" ",LEN(Registro!$F235))),({1,2,3,4,5,6,7,8,9,10,11,12,13,14,15,16,17,18,19,20,21,22,23,24,25,26,27,28,29,30}-1)*LEN(Registro!$F235)+1,LEN(Registro!$F235))),FIND("x",TRIM(MID(SUBSTITUTE(SUBSTITUTE(SUBSTITUTE(SUBSTITUTE(SUBSTITUTE(LOWER(Registro!$F235)," ",""),CHAR(10),"|"),";","|"),"+","|"),"|",REPT(" ",LEN(Registro!$F235))),({1,2,3,4,5,6,7,8,9,10,11,12,13,14,15,16,17,18,19,20,21,22,23,24,25,26,27,28,29,30}-1)*LEN(Registro!$F235)+1,LEN(Registro!$F235)))&amp;"x")-1))),"Revisar formato")))</f>
        <v/>
      </c>
      <c r="G235" s="24" t="str">
        <f>IF(Registro!$F235="","",IF(ISERROR(FIND("x",LOWER(Registro!$F235))),N(Registro!$G235),IFERROR(SUMPRODUCT(--("0"&amp;LEFT(TRIM(MID(SUBSTITUTE(SUBSTITUTE(SUBSTITUTE(SUBSTITUTE(SUBSTITUTE(LOWER(Registro!$F235)," ",""),CHAR(10),"|"),";","|"),"+","|"),"|",REPT(" ",LEN(Registro!$F235))),({1,2,3,4,5,6,7,8,9,10,11,12,13,14,15,16,17,18,19,20,21,22,23,24,25,26,27,28,29,30}-1)*LEN(Registro!$F235)+1,LEN(Registro!$F235))),FIND("x",TRIM(MID(SUBSTITUTE(SUBSTITUTE(SUBSTITUTE(SUBSTITUTE(SUBSTITUTE(LOWER(Registro!$F235)," ",""),CHAR(10),"|"),";","|"),"+","|"),"|",REPT(" ",LEN(Registro!$F235))),({1,2,3,4,5,6,7,8,9,10,11,12,13,14,15,16,17,18,19,20,21,22,23,24,25,26,27,28,29,30}-1)*LEN(Registro!$F235)+1,LEN(Registro!$F235)))&amp;"x")-1)),--("0"&amp;MID(TRIM(MID(SUBSTITUTE(SUBSTITUTE(SUBSTITUTE(SUBSTITUTE(SUBSTITUTE(LOWER(Registro!$F235)," ",""),CHAR(10),"|"),";","|"),"+","|"),"|",REPT(" ",LEN(Registro!$F235))),({1,2,3,4,5,6,7,8,9,10,11,12,13,14,15,16,17,18,19,20,21,22,23,24,25,26,27,28,29,30}-1)*LEN(Registro!$F235)+1,LEN(Registro!$F235))),FIND("x",TRIM(MID(SUBSTITUTE(SUBSTITUTE(SUBSTITUTE(SUBSTITUTE(SUBSTITUTE(LOWER(Registro!$F235)," ",""),CHAR(10),"|"),";","|"),"+","|"),"|",REPT(" ",LEN(Registro!$F235))),({1,2,3,4,5,6,7,8,9,10,11,12,13,14,15,16,17,18,19,20,21,22,23,24,25,26,27,28,29,30}-1)*LEN(Registro!$F235)+1,LEN(Registro!$F235)))&amp;"x")+1,20))),"Revisar formato")))</f>
        <v/>
      </c>
      <c r="H235" s="21" t="str">
        <f>IF(AND(Registro!$E235="",Registro!$F235=""),"",IF(NOT(AND(ISNUMBER(G235),ISNUMBER(Registro!$G235))),"",IF(G235&lt;Registro!$G235,"FALTA BOLETOS",IF(G235=Registro!$G235,"CONFORME","DIFERENCIA"))))</f>
        <v/>
      </c>
      <c r="I235" s="24" t="str">
        <f>IF(Registro!$H235="","",IFERROR(SUMPRODUCT(--("0"&amp;TRIM(RIGHT(SUBSTITUTE(TRIM(MID(SUBSTITUTE(SUBSTITUTE(Registro!$H235,";",CHAR(10)),CHAR(10),REPT(" ",LEN(Registro!$H235))),({1,2,3,4,5,6,7,8,9,10,11,12,13,14,15,16,17,18,19,20,21,22,23,24,25,26,27,28,29,30}-1)*LEN(Registro!$H235)+1,LEN(Registro!$H235)))," ",REPT(" ",50)),50)))),"Revisar formato"))</f>
        <v/>
      </c>
      <c r="J235" s="24" t="str">
        <f>IF(Registro!$I235="","",IFERROR(SUMPRODUCT(--("0"&amp;TRIM(RIGHT(SUBSTITUTE(TRIM(MID(SUBSTITUTE(SUBSTITUTE(Registro!$I235,";",CHAR(10)),CHAR(10),REPT(" ",LEN(Registro!$I235))),({1,2,3,4,5,6,7,8,9,10,11,12,13,14,15,16,17,18,19,20,21,22,23,24,25,26,27,28,29,30}-1)*LEN(Registro!$I235)+1,LEN(Registro!$I235)))," ",REPT(" ",50)),50)))),"Revisar formato"))</f>
        <v/>
      </c>
      <c r="K235" s="24" t="str">
        <f>IF(AND(Registro!$G235="",Registro!$H235=""),"",IF(AND(ISTEXT(I235),I235&lt;&gt;""),"Revisar formato",N(Registro!$G235)-N(I235)))</f>
        <v/>
      </c>
      <c r="L235" s="24" t="str">
        <f t="shared" si="7"/>
        <v/>
      </c>
      <c r="M235" s="36" t="str">
        <f>IF(AND(A235=Consulta!$B$3,C235=Consulta!$H$3),B235*10000+ROW(),"")</f>
        <v/>
      </c>
    </row>
    <row r="236" spans="1:13" x14ac:dyDescent="0.25">
      <c r="A236" s="21" t="str">
        <f>IF(Registro!$A236="","",Registro!$A236)</f>
        <v/>
      </c>
      <c r="B236" s="20" t="str">
        <f>IF(Registro!$B236="","",Registro!$B236)</f>
        <v/>
      </c>
      <c r="C236" s="35" t="str">
        <f t="shared" si="6"/>
        <v/>
      </c>
      <c r="D236" s="23" t="str">
        <f>IF(Registro!$E236="","",IF(ISERROR(FIND("x",LOWER(Registro!$E236))),"-",IFERROR(SUMPRODUCT(--("0"&amp;LEFT(TRIM(MID(SUBSTITUTE(SUBSTITUTE(SUBSTITUTE(SUBSTITUTE(SUBSTITUTE(LOWER(Registro!$E236),"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",LEN(Registro!$E236))),({1,2,3,4,5,6,7,8,9,10,11,12,13,14,15,16,17,18,19,20,21,22,23,24,25,26,27,28,29,30}-1)*LEN(Registro!$E236)+1,LEN(Registro!$E236))),FIND("x",TRIM(MID(SUBSTITUTE(SUBSTITUTE(SUBSTITUTE(SUBSTITUTE(SUBSTITUTE(LOWER(Registro!$E236),"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",LEN(Registro!$E236))),({1,2,3,4,5,6,7,8,9,10,11,12,13,14,15,16,17,18,19,20,21,22,23,24,25,26,27,28,29,30}-1)*LEN(Registro!$E236)+1,LEN(Registro!$E236)))&amp;"x")-1))),"Revisar formato")))</f>
        <v/>
      </c>
      <c r="E236" s="24" t="str">
        <f>IF(Registro!$E236="","",IF(ISERROR(FIND("x",LOWER(Registro!$E236))),"-",IFERROR(SUMPRODUCT(--("0"&amp;LEFT(TRIM(MID(SUBSTITUTE(SUBSTITUTE(SUBSTITUTE(SUBSTITUTE(SUBSTITUTE(LOWER(Registro!$E236),"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",LEN(Registro!$E236))),({1,2,3,4,5,6,7,8,9,10,11,12,13,14,15,16,17,18,19,20,21,22,23,24,25,26,27,28,29,30}-1)*LEN(Registro!$E236)+1,LEN(Registro!$E236))),FIND("x",TRIM(MID(SUBSTITUTE(SUBSTITUTE(SUBSTITUTE(SUBSTITUTE(SUBSTITUTE(LOWER(Registro!$E236),"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",LEN(Registro!$E236))),({1,2,3,4,5,6,7,8,9,10,11,12,13,14,15,16,17,18,19,20,21,22,23,24,25,26,27,28,29,30}-1)*LEN(Registro!$E236)+1,LEN(Registro!$E236)))&amp;"x")-1)),--("0"&amp;MID(TRIM(MID(SUBSTITUTE(SUBSTITUTE(SUBSTITUTE(SUBSTITUTE(SUBSTITUTE(LOWER(Registro!$E236),"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",LEN(Registro!$E236))),({1,2,3,4,5,6,7,8,9,10,11,12,13,14,15,16,17,18,19,20,21,22,23,24,25,26,27,28,29,30}-1)*LEN(Registro!$E236)+1,LEN(Registro!$E236))),FIND("x",TRIM(MID(SUBSTITUTE(SUBSTITUTE(SUBSTITUTE(SUBSTITUTE(SUBSTITUTE(LOWER(Registro!$E236),"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",LEN(Registro!$E236))),({1,2,3,4,5,6,7,8,9,10,11,12,13,14,15,16,17,18,19,20,21,22,23,24,25,26,27,28,29,30}-1)*LEN(Registro!$E236)+1,LEN(Registro!$E236)))&amp;"x")+1,20))),"Revisar formato")))</f>
        <v/>
      </c>
      <c r="F236" s="23" t="str">
        <f>IF(Registro!$F236="","",IF(ISERROR(FIND("x",LOWER(Registro!$F236))),"-",IFERROR(SUMPRODUCT(--("0"&amp;LEFT(TRIM(MID(SUBSTITUTE(SUBSTITUTE(SUBSTITUTE(SUBSTITUTE(SUBSTITUTE(LOWER(Registro!$F236)," ",""),CHAR(10),"|"),";","|"),"+","|"),"|",REPT(" ",LEN(Registro!$F236))),({1,2,3,4,5,6,7,8,9,10,11,12,13,14,15,16,17,18,19,20,21,22,23,24,25,26,27,28,29,30}-1)*LEN(Registro!$F236)+1,LEN(Registro!$F236))),FIND("x",TRIM(MID(SUBSTITUTE(SUBSTITUTE(SUBSTITUTE(SUBSTITUTE(SUBSTITUTE(LOWER(Registro!$F236)," ",""),CHAR(10),"|"),";","|"),"+","|"),"|",REPT(" ",LEN(Registro!$F236))),({1,2,3,4,5,6,7,8,9,10,11,12,13,14,15,16,17,18,19,20,21,22,23,24,25,26,27,28,29,30}-1)*LEN(Registro!$F236)+1,LEN(Registro!$F236)))&amp;"x")-1))),"Revisar formato")))</f>
        <v/>
      </c>
      <c r="G236" s="24" t="str">
        <f>IF(Registro!$F236="","",IF(ISERROR(FIND("x",LOWER(Registro!$F236))),N(Registro!$G236),IFERROR(SUMPRODUCT(--("0"&amp;LEFT(TRIM(MID(SUBSTITUTE(SUBSTITUTE(SUBSTITUTE(SUBSTITUTE(SUBSTITUTE(LOWER(Registro!$F236)," ",""),CHAR(10),"|"),";","|"),"+","|"),"|",REPT(" ",LEN(Registro!$F236))),({1,2,3,4,5,6,7,8,9,10,11,12,13,14,15,16,17,18,19,20,21,22,23,24,25,26,27,28,29,30}-1)*LEN(Registro!$F236)+1,LEN(Registro!$F236))),FIND("x",TRIM(MID(SUBSTITUTE(SUBSTITUTE(SUBSTITUTE(SUBSTITUTE(SUBSTITUTE(LOWER(Registro!$F236)," ",""),CHAR(10),"|"),";","|"),"+","|"),"|",REPT(" ",LEN(Registro!$F236))),({1,2,3,4,5,6,7,8,9,10,11,12,13,14,15,16,17,18,19,20,21,22,23,24,25,26,27,28,29,30}-1)*LEN(Registro!$F236)+1,LEN(Registro!$F236)))&amp;"x")-1)),--("0"&amp;MID(TRIM(MID(SUBSTITUTE(SUBSTITUTE(SUBSTITUTE(SUBSTITUTE(SUBSTITUTE(LOWER(Registro!$F236)," ",""),CHAR(10),"|"),";","|"),"+","|"),"|",REPT(" ",LEN(Registro!$F236))),({1,2,3,4,5,6,7,8,9,10,11,12,13,14,15,16,17,18,19,20,21,22,23,24,25,26,27,28,29,30}-1)*LEN(Registro!$F236)+1,LEN(Registro!$F236))),FIND("x",TRIM(MID(SUBSTITUTE(SUBSTITUTE(SUBSTITUTE(SUBSTITUTE(SUBSTITUTE(LOWER(Registro!$F236)," ",""),CHAR(10),"|"),";","|"),"+","|"),"|",REPT(" ",LEN(Registro!$F236))),({1,2,3,4,5,6,7,8,9,10,11,12,13,14,15,16,17,18,19,20,21,22,23,24,25,26,27,28,29,30}-1)*LEN(Registro!$F236)+1,LEN(Registro!$F236)))&amp;"x")+1,20))),"Revisar formato")))</f>
        <v/>
      </c>
      <c r="H236" s="21" t="str">
        <f>IF(AND(Registro!$E236="",Registro!$F236=""),"",IF(NOT(AND(ISNUMBER(G236),ISNUMBER(Registro!$G236))),"",IF(G236&lt;Registro!$G236,"FALTA BOLETOS",IF(G236=Registro!$G236,"CONFORME","DIFERENCIA"))))</f>
        <v/>
      </c>
      <c r="I236" s="24" t="str">
        <f>IF(Registro!$H236="","",IFERROR(SUMPRODUCT(--("0"&amp;TRIM(RIGHT(SUBSTITUTE(TRIM(MID(SUBSTITUTE(SUBSTITUTE(Registro!$H236,";",CHAR(10)),CHAR(10),REPT(" ",LEN(Registro!$H236))),({1,2,3,4,5,6,7,8,9,10,11,12,13,14,15,16,17,18,19,20,21,22,23,24,25,26,27,28,29,30}-1)*LEN(Registro!$H236)+1,LEN(Registro!$H236)))," ",REPT(" ",50)),50)))),"Revisar formato"))</f>
        <v/>
      </c>
      <c r="J236" s="24" t="str">
        <f>IF(Registro!$I236="","",IFERROR(SUMPRODUCT(--("0"&amp;TRIM(RIGHT(SUBSTITUTE(TRIM(MID(SUBSTITUTE(SUBSTITUTE(Registro!$I236,";",CHAR(10)),CHAR(10),REPT(" ",LEN(Registro!$I236))),({1,2,3,4,5,6,7,8,9,10,11,12,13,14,15,16,17,18,19,20,21,22,23,24,25,26,27,28,29,30}-1)*LEN(Registro!$I236)+1,LEN(Registro!$I236)))," ",REPT(" ",50)),50)))),"Revisar formato"))</f>
        <v/>
      </c>
      <c r="K236" s="24" t="str">
        <f>IF(AND(Registro!$G236="",Registro!$H236=""),"",IF(AND(ISTEXT(I236),I236&lt;&gt;""),"Revisar formato",N(Registro!$G236)-N(I236)))</f>
        <v/>
      </c>
      <c r="L236" s="24" t="str">
        <f t="shared" si="7"/>
        <v/>
      </c>
      <c r="M236" s="36" t="str">
        <f>IF(AND(A236=Consulta!$B$3,C236=Consulta!$H$3),B236*10000+ROW(),"")</f>
        <v/>
      </c>
    </row>
    <row r="237" spans="1:13" x14ac:dyDescent="0.25">
      <c r="A237" s="21" t="str">
        <f>IF(Registro!$A237="","",Registro!$A237)</f>
        <v/>
      </c>
      <c r="B237" s="20" t="str">
        <f>IF(Registro!$B237="","",Registro!$B237)</f>
        <v/>
      </c>
      <c r="C237" s="35" t="str">
        <f t="shared" si="6"/>
        <v/>
      </c>
      <c r="D237" s="23" t="str">
        <f>IF(Registro!$E237="","",IF(ISERROR(FIND("x",LOWER(Registro!$E237))),"-",IFERROR(SUMPRODUCT(--("0"&amp;LEFT(TRIM(MID(SUBSTITUTE(SUBSTITUTE(SUBSTITUTE(SUBSTITUTE(SUBSTITUTE(LOWER(Registro!$E237),"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",LEN(Registro!$E237))),({1,2,3,4,5,6,7,8,9,10,11,12,13,14,15,16,17,18,19,20,21,22,23,24,25,26,27,28,29,30}-1)*LEN(Registro!$E237)+1,LEN(Registro!$E237))),FIND("x",TRIM(MID(SUBSTITUTE(SUBSTITUTE(SUBSTITUTE(SUBSTITUTE(SUBSTITUTE(LOWER(Registro!$E237),"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",LEN(Registro!$E237))),({1,2,3,4,5,6,7,8,9,10,11,12,13,14,15,16,17,18,19,20,21,22,23,24,25,26,27,28,29,30}-1)*LEN(Registro!$E237)+1,LEN(Registro!$E237)))&amp;"x")-1))),"Revisar formato")))</f>
        <v/>
      </c>
      <c r="E237" s="24" t="str">
        <f>IF(Registro!$E237="","",IF(ISERROR(FIND("x",LOWER(Registro!$E237))),"-",IFERROR(SUMPRODUCT(--("0"&amp;LEFT(TRIM(MID(SUBSTITUTE(SUBSTITUTE(SUBSTITUTE(SUBSTITUTE(SUBSTITUTE(LOWER(Registro!$E237),"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",LEN(Registro!$E237))),({1,2,3,4,5,6,7,8,9,10,11,12,13,14,15,16,17,18,19,20,21,22,23,24,25,26,27,28,29,30}-1)*LEN(Registro!$E237)+1,LEN(Registro!$E237))),FIND("x",TRIM(MID(SUBSTITUTE(SUBSTITUTE(SUBSTITUTE(SUBSTITUTE(SUBSTITUTE(LOWER(Registro!$E237),"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",LEN(Registro!$E237))),({1,2,3,4,5,6,7,8,9,10,11,12,13,14,15,16,17,18,19,20,21,22,23,24,25,26,27,28,29,30}-1)*LEN(Registro!$E237)+1,LEN(Registro!$E237)))&amp;"x")-1)),--("0"&amp;MID(TRIM(MID(SUBSTITUTE(SUBSTITUTE(SUBSTITUTE(SUBSTITUTE(SUBSTITUTE(LOWER(Registro!$E237),"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",LEN(Registro!$E237))),({1,2,3,4,5,6,7,8,9,10,11,12,13,14,15,16,17,18,19,20,21,22,23,24,25,26,27,28,29,30}-1)*LEN(Registro!$E237)+1,LEN(Registro!$E237))),FIND("x",TRIM(MID(SUBSTITUTE(SUBSTITUTE(SUBSTITUTE(SUBSTITUTE(SUBSTITUTE(LOWER(Registro!$E237),"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",LEN(Registro!$E237))),({1,2,3,4,5,6,7,8,9,10,11,12,13,14,15,16,17,18,19,20,21,22,23,24,25,26,27,28,29,30}-1)*LEN(Registro!$E237)+1,LEN(Registro!$E237)))&amp;"x")+1,20))),"Revisar formato")))</f>
        <v/>
      </c>
      <c r="F237" s="23" t="str">
        <f>IF(Registro!$F237="","",IF(ISERROR(FIND("x",LOWER(Registro!$F237))),"-",IFERROR(SUMPRODUCT(--("0"&amp;LEFT(TRIM(MID(SUBSTITUTE(SUBSTITUTE(SUBSTITUTE(SUBSTITUTE(SUBSTITUTE(LOWER(Registro!$F237)," ",""),CHAR(10),"|"),";","|"),"+","|"),"|",REPT(" ",LEN(Registro!$F237))),({1,2,3,4,5,6,7,8,9,10,11,12,13,14,15,16,17,18,19,20,21,22,23,24,25,26,27,28,29,30}-1)*LEN(Registro!$F237)+1,LEN(Registro!$F237))),FIND("x",TRIM(MID(SUBSTITUTE(SUBSTITUTE(SUBSTITUTE(SUBSTITUTE(SUBSTITUTE(LOWER(Registro!$F237)," ",""),CHAR(10),"|"),";","|"),"+","|"),"|",REPT(" ",LEN(Registro!$F237))),({1,2,3,4,5,6,7,8,9,10,11,12,13,14,15,16,17,18,19,20,21,22,23,24,25,26,27,28,29,30}-1)*LEN(Registro!$F237)+1,LEN(Registro!$F237)))&amp;"x")-1))),"Revisar formato")))</f>
        <v/>
      </c>
      <c r="G237" s="24" t="str">
        <f>IF(Registro!$F237="","",IF(ISERROR(FIND("x",LOWER(Registro!$F237))),N(Registro!$G237),IFERROR(SUMPRODUCT(--("0"&amp;LEFT(TRIM(MID(SUBSTITUTE(SUBSTITUTE(SUBSTITUTE(SUBSTITUTE(SUBSTITUTE(LOWER(Registro!$F237)," ",""),CHAR(10),"|"),";","|"),"+","|"),"|",REPT(" ",LEN(Registro!$F237))),({1,2,3,4,5,6,7,8,9,10,11,12,13,14,15,16,17,18,19,20,21,22,23,24,25,26,27,28,29,30}-1)*LEN(Registro!$F237)+1,LEN(Registro!$F237))),FIND("x",TRIM(MID(SUBSTITUTE(SUBSTITUTE(SUBSTITUTE(SUBSTITUTE(SUBSTITUTE(LOWER(Registro!$F237)," ",""),CHAR(10),"|"),";","|"),"+","|"),"|",REPT(" ",LEN(Registro!$F237))),({1,2,3,4,5,6,7,8,9,10,11,12,13,14,15,16,17,18,19,20,21,22,23,24,25,26,27,28,29,30}-1)*LEN(Registro!$F237)+1,LEN(Registro!$F237)))&amp;"x")-1)),--("0"&amp;MID(TRIM(MID(SUBSTITUTE(SUBSTITUTE(SUBSTITUTE(SUBSTITUTE(SUBSTITUTE(LOWER(Registro!$F237)," ",""),CHAR(10),"|"),";","|"),"+","|"),"|",REPT(" ",LEN(Registro!$F237))),({1,2,3,4,5,6,7,8,9,10,11,12,13,14,15,16,17,18,19,20,21,22,23,24,25,26,27,28,29,30}-1)*LEN(Registro!$F237)+1,LEN(Registro!$F237))),FIND("x",TRIM(MID(SUBSTITUTE(SUBSTITUTE(SUBSTITUTE(SUBSTITUTE(SUBSTITUTE(LOWER(Registro!$F237)," ",""),CHAR(10),"|"),";","|"),"+","|"),"|",REPT(" ",LEN(Registro!$F237))),({1,2,3,4,5,6,7,8,9,10,11,12,13,14,15,16,17,18,19,20,21,22,23,24,25,26,27,28,29,30}-1)*LEN(Registro!$F237)+1,LEN(Registro!$F237)))&amp;"x")+1,20))),"Revisar formato")))</f>
        <v/>
      </c>
      <c r="H237" s="21" t="str">
        <f>IF(AND(Registro!$E237="",Registro!$F237=""),"",IF(NOT(AND(ISNUMBER(G237),ISNUMBER(Registro!$G237))),"",IF(G237&lt;Registro!$G237,"FALTA BOLETOS",IF(G237=Registro!$G237,"CONFORME","DIFERENCIA"))))</f>
        <v/>
      </c>
      <c r="I237" s="24" t="str">
        <f>IF(Registro!$H237="","",IFERROR(SUMPRODUCT(--("0"&amp;TRIM(RIGHT(SUBSTITUTE(TRIM(MID(SUBSTITUTE(SUBSTITUTE(Registro!$H237,";",CHAR(10)),CHAR(10),REPT(" ",LEN(Registro!$H237))),({1,2,3,4,5,6,7,8,9,10,11,12,13,14,15,16,17,18,19,20,21,22,23,24,25,26,27,28,29,30}-1)*LEN(Registro!$H237)+1,LEN(Registro!$H237)))," ",REPT(" ",50)),50)))),"Revisar formato"))</f>
        <v/>
      </c>
      <c r="J237" s="24" t="str">
        <f>IF(Registro!$I237="","",IFERROR(SUMPRODUCT(--("0"&amp;TRIM(RIGHT(SUBSTITUTE(TRIM(MID(SUBSTITUTE(SUBSTITUTE(Registro!$I237,";",CHAR(10)),CHAR(10),REPT(" ",LEN(Registro!$I237))),({1,2,3,4,5,6,7,8,9,10,11,12,13,14,15,16,17,18,19,20,21,22,23,24,25,26,27,28,29,30}-1)*LEN(Registro!$I237)+1,LEN(Registro!$I237)))," ",REPT(" ",50)),50)))),"Revisar formato"))</f>
        <v/>
      </c>
      <c r="K237" s="24" t="str">
        <f>IF(AND(Registro!$G237="",Registro!$H237=""),"",IF(AND(ISTEXT(I237),I237&lt;&gt;""),"Revisar formato",N(Registro!$G237)-N(I237)))</f>
        <v/>
      </c>
      <c r="L237" s="24" t="str">
        <f t="shared" si="7"/>
        <v/>
      </c>
      <c r="M237" s="36" t="str">
        <f>IF(AND(A237=Consulta!$B$3,C237=Consulta!$H$3),B237*10000+ROW(),"")</f>
        <v/>
      </c>
    </row>
    <row r="238" spans="1:13" x14ac:dyDescent="0.25">
      <c r="A238" s="21" t="str">
        <f>IF(Registro!$A238="","",Registro!$A238)</f>
        <v/>
      </c>
      <c r="B238" s="20" t="str">
        <f>IF(Registro!$B238="","",Registro!$B238)</f>
        <v/>
      </c>
      <c r="C238" s="35" t="str">
        <f t="shared" si="6"/>
        <v/>
      </c>
      <c r="D238" s="23" t="str">
        <f>IF(Registro!$E238="","",IF(ISERROR(FIND("x",LOWER(Registro!$E238))),"-",IFERROR(SUMPRODUCT(--("0"&amp;LEFT(TRIM(MID(SUBSTITUTE(SUBSTITUTE(SUBSTITUTE(SUBSTITUTE(SUBSTITUTE(LOWER(Registro!$E238),"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",LEN(Registro!$E238))),({1,2,3,4,5,6,7,8,9,10,11,12,13,14,15,16,17,18,19,20,21,22,23,24,25,26,27,28,29,30}-1)*LEN(Registro!$E238)+1,LEN(Registro!$E238))),FIND("x",TRIM(MID(SUBSTITUTE(SUBSTITUTE(SUBSTITUTE(SUBSTITUTE(SUBSTITUTE(LOWER(Registro!$E238),"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",LEN(Registro!$E238))),({1,2,3,4,5,6,7,8,9,10,11,12,13,14,15,16,17,18,19,20,21,22,23,24,25,26,27,28,29,30}-1)*LEN(Registro!$E238)+1,LEN(Registro!$E238)))&amp;"x")-1))),"Revisar formato")))</f>
        <v/>
      </c>
      <c r="E238" s="24" t="str">
        <f>IF(Registro!$E238="","",IF(ISERROR(FIND("x",LOWER(Registro!$E238))),"-",IFERROR(SUMPRODUCT(--("0"&amp;LEFT(TRIM(MID(SUBSTITUTE(SUBSTITUTE(SUBSTITUTE(SUBSTITUTE(SUBSTITUTE(LOWER(Registro!$E238),"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",LEN(Registro!$E238))),({1,2,3,4,5,6,7,8,9,10,11,12,13,14,15,16,17,18,19,20,21,22,23,24,25,26,27,28,29,30}-1)*LEN(Registro!$E238)+1,LEN(Registro!$E238))),FIND("x",TRIM(MID(SUBSTITUTE(SUBSTITUTE(SUBSTITUTE(SUBSTITUTE(SUBSTITUTE(LOWER(Registro!$E238),"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",LEN(Registro!$E238))),({1,2,3,4,5,6,7,8,9,10,11,12,13,14,15,16,17,18,19,20,21,22,23,24,25,26,27,28,29,30}-1)*LEN(Registro!$E238)+1,LEN(Registro!$E238)))&amp;"x")-1)),--("0"&amp;MID(TRIM(MID(SUBSTITUTE(SUBSTITUTE(SUBSTITUTE(SUBSTITUTE(SUBSTITUTE(LOWER(Registro!$E238),"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",LEN(Registro!$E238))),({1,2,3,4,5,6,7,8,9,10,11,12,13,14,15,16,17,18,19,20,21,22,23,24,25,26,27,28,29,30}-1)*LEN(Registro!$E238)+1,LEN(Registro!$E238))),FIND("x",TRIM(MID(SUBSTITUTE(SUBSTITUTE(SUBSTITUTE(SUBSTITUTE(SUBSTITUTE(LOWER(Registro!$E238),"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",LEN(Registro!$E238))),({1,2,3,4,5,6,7,8,9,10,11,12,13,14,15,16,17,18,19,20,21,22,23,24,25,26,27,28,29,30}-1)*LEN(Registro!$E238)+1,LEN(Registro!$E238)))&amp;"x")+1,20))),"Revisar formato")))</f>
        <v/>
      </c>
      <c r="F238" s="23" t="str">
        <f>IF(Registro!$F238="","",IF(ISERROR(FIND("x",LOWER(Registro!$F238))),"-",IFERROR(SUMPRODUCT(--("0"&amp;LEFT(TRIM(MID(SUBSTITUTE(SUBSTITUTE(SUBSTITUTE(SUBSTITUTE(SUBSTITUTE(LOWER(Registro!$F238)," ",""),CHAR(10),"|"),";","|"),"+","|"),"|",REPT(" ",LEN(Registro!$F238))),({1,2,3,4,5,6,7,8,9,10,11,12,13,14,15,16,17,18,19,20,21,22,23,24,25,26,27,28,29,30}-1)*LEN(Registro!$F238)+1,LEN(Registro!$F238))),FIND("x",TRIM(MID(SUBSTITUTE(SUBSTITUTE(SUBSTITUTE(SUBSTITUTE(SUBSTITUTE(LOWER(Registro!$F238)," ",""),CHAR(10),"|"),";","|"),"+","|"),"|",REPT(" ",LEN(Registro!$F238))),({1,2,3,4,5,6,7,8,9,10,11,12,13,14,15,16,17,18,19,20,21,22,23,24,25,26,27,28,29,30}-1)*LEN(Registro!$F238)+1,LEN(Registro!$F238)))&amp;"x")-1))),"Revisar formato")))</f>
        <v/>
      </c>
      <c r="G238" s="24" t="str">
        <f>IF(Registro!$F238="","",IF(ISERROR(FIND("x",LOWER(Registro!$F238))),N(Registro!$G238),IFERROR(SUMPRODUCT(--("0"&amp;LEFT(TRIM(MID(SUBSTITUTE(SUBSTITUTE(SUBSTITUTE(SUBSTITUTE(SUBSTITUTE(LOWER(Registro!$F238)," ",""),CHAR(10),"|"),";","|"),"+","|"),"|",REPT(" ",LEN(Registro!$F238))),({1,2,3,4,5,6,7,8,9,10,11,12,13,14,15,16,17,18,19,20,21,22,23,24,25,26,27,28,29,30}-1)*LEN(Registro!$F238)+1,LEN(Registro!$F238))),FIND("x",TRIM(MID(SUBSTITUTE(SUBSTITUTE(SUBSTITUTE(SUBSTITUTE(SUBSTITUTE(LOWER(Registro!$F238)," ",""),CHAR(10),"|"),";","|"),"+","|"),"|",REPT(" ",LEN(Registro!$F238))),({1,2,3,4,5,6,7,8,9,10,11,12,13,14,15,16,17,18,19,20,21,22,23,24,25,26,27,28,29,30}-1)*LEN(Registro!$F238)+1,LEN(Registro!$F238)))&amp;"x")-1)),--("0"&amp;MID(TRIM(MID(SUBSTITUTE(SUBSTITUTE(SUBSTITUTE(SUBSTITUTE(SUBSTITUTE(LOWER(Registro!$F238)," ",""),CHAR(10),"|"),";","|"),"+","|"),"|",REPT(" ",LEN(Registro!$F238))),({1,2,3,4,5,6,7,8,9,10,11,12,13,14,15,16,17,18,19,20,21,22,23,24,25,26,27,28,29,30}-1)*LEN(Registro!$F238)+1,LEN(Registro!$F238))),FIND("x",TRIM(MID(SUBSTITUTE(SUBSTITUTE(SUBSTITUTE(SUBSTITUTE(SUBSTITUTE(LOWER(Registro!$F238)," ",""),CHAR(10),"|"),";","|"),"+","|"),"|",REPT(" ",LEN(Registro!$F238))),({1,2,3,4,5,6,7,8,9,10,11,12,13,14,15,16,17,18,19,20,21,22,23,24,25,26,27,28,29,30}-1)*LEN(Registro!$F238)+1,LEN(Registro!$F238)))&amp;"x")+1,20))),"Revisar formato")))</f>
        <v/>
      </c>
      <c r="H238" s="21" t="str">
        <f>IF(AND(Registro!$E238="",Registro!$F238=""),"",IF(NOT(AND(ISNUMBER(G238),ISNUMBER(Registro!$G238))),"",IF(G238&lt;Registro!$G238,"FALTA BOLETOS",IF(G238=Registro!$G238,"CONFORME","DIFERENCIA"))))</f>
        <v/>
      </c>
      <c r="I238" s="24" t="str">
        <f>IF(Registro!$H238="","",IFERROR(SUMPRODUCT(--("0"&amp;TRIM(RIGHT(SUBSTITUTE(TRIM(MID(SUBSTITUTE(SUBSTITUTE(Registro!$H238,";",CHAR(10)),CHAR(10),REPT(" ",LEN(Registro!$H238))),({1,2,3,4,5,6,7,8,9,10,11,12,13,14,15,16,17,18,19,20,21,22,23,24,25,26,27,28,29,30}-1)*LEN(Registro!$H238)+1,LEN(Registro!$H238)))," ",REPT(" ",50)),50)))),"Revisar formato"))</f>
        <v/>
      </c>
      <c r="J238" s="24" t="str">
        <f>IF(Registro!$I238="","",IFERROR(SUMPRODUCT(--("0"&amp;TRIM(RIGHT(SUBSTITUTE(TRIM(MID(SUBSTITUTE(SUBSTITUTE(Registro!$I238,";",CHAR(10)),CHAR(10),REPT(" ",LEN(Registro!$I238))),({1,2,3,4,5,6,7,8,9,10,11,12,13,14,15,16,17,18,19,20,21,22,23,24,25,26,27,28,29,30}-1)*LEN(Registro!$I238)+1,LEN(Registro!$I238)))," ",REPT(" ",50)),50)))),"Revisar formato"))</f>
        <v/>
      </c>
      <c r="K238" s="24" t="str">
        <f>IF(AND(Registro!$G238="",Registro!$H238=""),"",IF(AND(ISTEXT(I238),I238&lt;&gt;""),"Revisar formato",N(Registro!$G238)-N(I238)))</f>
        <v/>
      </c>
      <c r="L238" s="24" t="str">
        <f t="shared" si="7"/>
        <v/>
      </c>
      <c r="M238" s="36" t="str">
        <f>IF(AND(A238=Consulta!$B$3,C238=Consulta!$H$3),B238*10000+ROW(),"")</f>
        <v/>
      </c>
    </row>
    <row r="239" spans="1:13" x14ac:dyDescent="0.25">
      <c r="A239" s="21" t="str">
        <f>IF(Registro!$A239="","",Registro!$A239)</f>
        <v/>
      </c>
      <c r="B239" s="20" t="str">
        <f>IF(Registro!$B239="","",Registro!$B239)</f>
        <v/>
      </c>
      <c r="C239" s="35" t="str">
        <f t="shared" si="6"/>
        <v/>
      </c>
      <c r="D239" s="23" t="str">
        <f>IF(Registro!$E239="","",IF(ISERROR(FIND("x",LOWER(Registro!$E239))),"-",IFERROR(SUMPRODUCT(--("0"&amp;LEFT(TRIM(MID(SUBSTITUTE(SUBSTITUTE(SUBSTITUTE(SUBSTITUTE(SUBSTITUTE(LOWER(Registro!$E239),"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",LEN(Registro!$E239))),({1,2,3,4,5,6,7,8,9,10,11,12,13,14,15,16,17,18,19,20,21,22,23,24,25,26,27,28,29,30}-1)*LEN(Registro!$E239)+1,LEN(Registro!$E239))),FIND("x",TRIM(MID(SUBSTITUTE(SUBSTITUTE(SUBSTITUTE(SUBSTITUTE(SUBSTITUTE(LOWER(Registro!$E239),"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",LEN(Registro!$E239))),({1,2,3,4,5,6,7,8,9,10,11,12,13,14,15,16,17,18,19,20,21,22,23,24,25,26,27,28,29,30}-1)*LEN(Registro!$E239)+1,LEN(Registro!$E239)))&amp;"x")-1))),"Revisar formato")))</f>
        <v/>
      </c>
      <c r="E239" s="24" t="str">
        <f>IF(Registro!$E239="","",IF(ISERROR(FIND("x",LOWER(Registro!$E239))),"-",IFERROR(SUMPRODUCT(--("0"&amp;LEFT(TRIM(MID(SUBSTITUTE(SUBSTITUTE(SUBSTITUTE(SUBSTITUTE(SUBSTITUTE(LOWER(Registro!$E239),"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",LEN(Registro!$E239))),({1,2,3,4,5,6,7,8,9,10,11,12,13,14,15,16,17,18,19,20,21,22,23,24,25,26,27,28,29,30}-1)*LEN(Registro!$E239)+1,LEN(Registro!$E239))),FIND("x",TRIM(MID(SUBSTITUTE(SUBSTITUTE(SUBSTITUTE(SUBSTITUTE(SUBSTITUTE(LOWER(Registro!$E239),"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",LEN(Registro!$E239))),({1,2,3,4,5,6,7,8,9,10,11,12,13,14,15,16,17,18,19,20,21,22,23,24,25,26,27,28,29,30}-1)*LEN(Registro!$E239)+1,LEN(Registro!$E239)))&amp;"x")-1)),--("0"&amp;MID(TRIM(MID(SUBSTITUTE(SUBSTITUTE(SUBSTITUTE(SUBSTITUTE(SUBSTITUTE(LOWER(Registro!$E239),"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",LEN(Registro!$E239))),({1,2,3,4,5,6,7,8,9,10,11,12,13,14,15,16,17,18,19,20,21,22,23,24,25,26,27,28,29,30}-1)*LEN(Registro!$E239)+1,LEN(Registro!$E239))),FIND("x",TRIM(MID(SUBSTITUTE(SUBSTITUTE(SUBSTITUTE(SUBSTITUTE(SUBSTITUTE(LOWER(Registro!$E239),"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",LEN(Registro!$E239))),({1,2,3,4,5,6,7,8,9,10,11,12,13,14,15,16,17,18,19,20,21,22,23,24,25,26,27,28,29,30}-1)*LEN(Registro!$E239)+1,LEN(Registro!$E239)))&amp;"x")+1,20))),"Revisar formato")))</f>
        <v/>
      </c>
      <c r="F239" s="23" t="str">
        <f>IF(Registro!$F239="","",IF(ISERROR(FIND("x",LOWER(Registro!$F239))),"-",IFERROR(SUMPRODUCT(--("0"&amp;LEFT(TRIM(MID(SUBSTITUTE(SUBSTITUTE(SUBSTITUTE(SUBSTITUTE(SUBSTITUTE(LOWER(Registro!$F239)," ",""),CHAR(10),"|"),";","|"),"+","|"),"|",REPT(" ",LEN(Registro!$F239))),({1,2,3,4,5,6,7,8,9,10,11,12,13,14,15,16,17,18,19,20,21,22,23,24,25,26,27,28,29,30}-1)*LEN(Registro!$F239)+1,LEN(Registro!$F239))),FIND("x",TRIM(MID(SUBSTITUTE(SUBSTITUTE(SUBSTITUTE(SUBSTITUTE(SUBSTITUTE(LOWER(Registro!$F239)," ",""),CHAR(10),"|"),";","|"),"+","|"),"|",REPT(" ",LEN(Registro!$F239))),({1,2,3,4,5,6,7,8,9,10,11,12,13,14,15,16,17,18,19,20,21,22,23,24,25,26,27,28,29,30}-1)*LEN(Registro!$F239)+1,LEN(Registro!$F239)))&amp;"x")-1))),"Revisar formato")))</f>
        <v/>
      </c>
      <c r="G239" s="24" t="str">
        <f>IF(Registro!$F239="","",IF(ISERROR(FIND("x",LOWER(Registro!$F239))),N(Registro!$G239),IFERROR(SUMPRODUCT(--("0"&amp;LEFT(TRIM(MID(SUBSTITUTE(SUBSTITUTE(SUBSTITUTE(SUBSTITUTE(SUBSTITUTE(LOWER(Registro!$F239)," ",""),CHAR(10),"|"),";","|"),"+","|"),"|",REPT(" ",LEN(Registro!$F239))),({1,2,3,4,5,6,7,8,9,10,11,12,13,14,15,16,17,18,19,20,21,22,23,24,25,26,27,28,29,30}-1)*LEN(Registro!$F239)+1,LEN(Registro!$F239))),FIND("x",TRIM(MID(SUBSTITUTE(SUBSTITUTE(SUBSTITUTE(SUBSTITUTE(SUBSTITUTE(LOWER(Registro!$F239)," ",""),CHAR(10),"|"),";","|"),"+","|"),"|",REPT(" ",LEN(Registro!$F239))),({1,2,3,4,5,6,7,8,9,10,11,12,13,14,15,16,17,18,19,20,21,22,23,24,25,26,27,28,29,30}-1)*LEN(Registro!$F239)+1,LEN(Registro!$F239)))&amp;"x")-1)),--("0"&amp;MID(TRIM(MID(SUBSTITUTE(SUBSTITUTE(SUBSTITUTE(SUBSTITUTE(SUBSTITUTE(LOWER(Registro!$F239)," ",""),CHAR(10),"|"),";","|"),"+","|"),"|",REPT(" ",LEN(Registro!$F239))),({1,2,3,4,5,6,7,8,9,10,11,12,13,14,15,16,17,18,19,20,21,22,23,24,25,26,27,28,29,30}-1)*LEN(Registro!$F239)+1,LEN(Registro!$F239))),FIND("x",TRIM(MID(SUBSTITUTE(SUBSTITUTE(SUBSTITUTE(SUBSTITUTE(SUBSTITUTE(LOWER(Registro!$F239)," ",""),CHAR(10),"|"),";","|"),"+","|"),"|",REPT(" ",LEN(Registro!$F239))),({1,2,3,4,5,6,7,8,9,10,11,12,13,14,15,16,17,18,19,20,21,22,23,24,25,26,27,28,29,30}-1)*LEN(Registro!$F239)+1,LEN(Registro!$F239)))&amp;"x")+1,20))),"Revisar formato")))</f>
        <v/>
      </c>
      <c r="H239" s="21" t="str">
        <f>IF(AND(Registro!$E239="",Registro!$F239=""),"",IF(NOT(AND(ISNUMBER(G239),ISNUMBER(Registro!$G239))),"",IF(G239&lt;Registro!$G239,"FALTA BOLETOS",IF(G239=Registro!$G239,"CONFORME","DIFERENCIA"))))</f>
        <v/>
      </c>
      <c r="I239" s="24" t="str">
        <f>IF(Registro!$H239="","",IFERROR(SUMPRODUCT(--("0"&amp;TRIM(RIGHT(SUBSTITUTE(TRIM(MID(SUBSTITUTE(SUBSTITUTE(Registro!$H239,";",CHAR(10)),CHAR(10),REPT(" ",LEN(Registro!$H239))),({1,2,3,4,5,6,7,8,9,10,11,12,13,14,15,16,17,18,19,20,21,22,23,24,25,26,27,28,29,30}-1)*LEN(Registro!$H239)+1,LEN(Registro!$H239)))," ",REPT(" ",50)),50)))),"Revisar formato"))</f>
        <v/>
      </c>
      <c r="J239" s="24" t="str">
        <f>IF(Registro!$I239="","",IFERROR(SUMPRODUCT(--("0"&amp;TRIM(RIGHT(SUBSTITUTE(TRIM(MID(SUBSTITUTE(SUBSTITUTE(Registro!$I239,";",CHAR(10)),CHAR(10),REPT(" ",LEN(Registro!$I239))),({1,2,3,4,5,6,7,8,9,10,11,12,13,14,15,16,17,18,19,20,21,22,23,24,25,26,27,28,29,30}-1)*LEN(Registro!$I239)+1,LEN(Registro!$I239)))," ",REPT(" ",50)),50)))),"Revisar formato"))</f>
        <v/>
      </c>
      <c r="K239" s="24" t="str">
        <f>IF(AND(Registro!$G239="",Registro!$H239=""),"",IF(AND(ISTEXT(I239),I239&lt;&gt;""),"Revisar formato",N(Registro!$G239)-N(I239)))</f>
        <v/>
      </c>
      <c r="L239" s="24" t="str">
        <f t="shared" si="7"/>
        <v/>
      </c>
      <c r="M239" s="36" t="str">
        <f>IF(AND(A239=Consulta!$B$3,C239=Consulta!$H$3),B239*10000+ROW(),"")</f>
        <v/>
      </c>
    </row>
    <row r="240" spans="1:13" x14ac:dyDescent="0.25">
      <c r="A240" s="21" t="str">
        <f>IF(Registro!$A240="","",Registro!$A240)</f>
        <v/>
      </c>
      <c r="B240" s="20" t="str">
        <f>IF(Registro!$B240="","",Registro!$B240)</f>
        <v/>
      </c>
      <c r="C240" s="35" t="str">
        <f t="shared" si="6"/>
        <v/>
      </c>
      <c r="D240" s="23" t="str">
        <f>IF(Registro!$E240="","",IF(ISERROR(FIND("x",LOWER(Registro!$E240))),"-",IFERROR(SUMPRODUCT(--("0"&amp;LEFT(TRIM(MID(SUBSTITUTE(SUBSTITUTE(SUBSTITUTE(SUBSTITUTE(SUBSTITUTE(LOWER(Registro!$E240),"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",LEN(Registro!$E240))),({1,2,3,4,5,6,7,8,9,10,11,12,13,14,15,16,17,18,19,20,21,22,23,24,25,26,27,28,29,30}-1)*LEN(Registro!$E240)+1,LEN(Registro!$E240))),FIND("x",TRIM(MID(SUBSTITUTE(SUBSTITUTE(SUBSTITUTE(SUBSTITUTE(SUBSTITUTE(LOWER(Registro!$E240),"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",LEN(Registro!$E240))),({1,2,3,4,5,6,7,8,9,10,11,12,13,14,15,16,17,18,19,20,21,22,23,24,25,26,27,28,29,30}-1)*LEN(Registro!$E240)+1,LEN(Registro!$E240)))&amp;"x")-1))),"Revisar formato")))</f>
        <v/>
      </c>
      <c r="E240" s="24" t="str">
        <f>IF(Registro!$E240="","",IF(ISERROR(FIND("x",LOWER(Registro!$E240))),"-",IFERROR(SUMPRODUCT(--("0"&amp;LEFT(TRIM(MID(SUBSTITUTE(SUBSTITUTE(SUBSTITUTE(SUBSTITUTE(SUBSTITUTE(LOWER(Registro!$E240),"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",LEN(Registro!$E240))),({1,2,3,4,5,6,7,8,9,10,11,12,13,14,15,16,17,18,19,20,21,22,23,24,25,26,27,28,29,30}-1)*LEN(Registro!$E240)+1,LEN(Registro!$E240))),FIND("x",TRIM(MID(SUBSTITUTE(SUBSTITUTE(SUBSTITUTE(SUBSTITUTE(SUBSTITUTE(LOWER(Registro!$E240),"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",LEN(Registro!$E240))),({1,2,3,4,5,6,7,8,9,10,11,12,13,14,15,16,17,18,19,20,21,22,23,24,25,26,27,28,29,30}-1)*LEN(Registro!$E240)+1,LEN(Registro!$E240)))&amp;"x")-1)),--("0"&amp;MID(TRIM(MID(SUBSTITUTE(SUBSTITUTE(SUBSTITUTE(SUBSTITUTE(SUBSTITUTE(LOWER(Registro!$E240),"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",LEN(Registro!$E240))),({1,2,3,4,5,6,7,8,9,10,11,12,13,14,15,16,17,18,19,20,21,22,23,24,25,26,27,28,29,30}-1)*LEN(Registro!$E240)+1,LEN(Registro!$E240))),FIND("x",TRIM(MID(SUBSTITUTE(SUBSTITUTE(SUBSTITUTE(SUBSTITUTE(SUBSTITUTE(LOWER(Registro!$E240),"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",LEN(Registro!$E240))),({1,2,3,4,5,6,7,8,9,10,11,12,13,14,15,16,17,18,19,20,21,22,23,24,25,26,27,28,29,30}-1)*LEN(Registro!$E240)+1,LEN(Registro!$E240)))&amp;"x")+1,20))),"Revisar formato")))</f>
        <v/>
      </c>
      <c r="F240" s="23" t="str">
        <f>IF(Registro!$F240="","",IF(ISERROR(FIND("x",LOWER(Registro!$F240))),"-",IFERROR(SUMPRODUCT(--("0"&amp;LEFT(TRIM(MID(SUBSTITUTE(SUBSTITUTE(SUBSTITUTE(SUBSTITUTE(SUBSTITUTE(LOWER(Registro!$F240)," ",""),CHAR(10),"|"),";","|"),"+","|"),"|",REPT(" ",LEN(Registro!$F240))),({1,2,3,4,5,6,7,8,9,10,11,12,13,14,15,16,17,18,19,20,21,22,23,24,25,26,27,28,29,30}-1)*LEN(Registro!$F240)+1,LEN(Registro!$F240))),FIND("x",TRIM(MID(SUBSTITUTE(SUBSTITUTE(SUBSTITUTE(SUBSTITUTE(SUBSTITUTE(LOWER(Registro!$F240)," ",""),CHAR(10),"|"),";","|"),"+","|"),"|",REPT(" ",LEN(Registro!$F240))),({1,2,3,4,5,6,7,8,9,10,11,12,13,14,15,16,17,18,19,20,21,22,23,24,25,26,27,28,29,30}-1)*LEN(Registro!$F240)+1,LEN(Registro!$F240)))&amp;"x")-1))),"Revisar formato")))</f>
        <v/>
      </c>
      <c r="G240" s="24" t="str">
        <f>IF(Registro!$F240="","",IF(ISERROR(FIND("x",LOWER(Registro!$F240))),N(Registro!$G240),IFERROR(SUMPRODUCT(--("0"&amp;LEFT(TRIM(MID(SUBSTITUTE(SUBSTITUTE(SUBSTITUTE(SUBSTITUTE(SUBSTITUTE(LOWER(Registro!$F240)," ",""),CHAR(10),"|"),";","|"),"+","|"),"|",REPT(" ",LEN(Registro!$F240))),({1,2,3,4,5,6,7,8,9,10,11,12,13,14,15,16,17,18,19,20,21,22,23,24,25,26,27,28,29,30}-1)*LEN(Registro!$F240)+1,LEN(Registro!$F240))),FIND("x",TRIM(MID(SUBSTITUTE(SUBSTITUTE(SUBSTITUTE(SUBSTITUTE(SUBSTITUTE(LOWER(Registro!$F240)," ",""),CHAR(10),"|"),";","|"),"+","|"),"|",REPT(" ",LEN(Registro!$F240))),({1,2,3,4,5,6,7,8,9,10,11,12,13,14,15,16,17,18,19,20,21,22,23,24,25,26,27,28,29,30}-1)*LEN(Registro!$F240)+1,LEN(Registro!$F240)))&amp;"x")-1)),--("0"&amp;MID(TRIM(MID(SUBSTITUTE(SUBSTITUTE(SUBSTITUTE(SUBSTITUTE(SUBSTITUTE(LOWER(Registro!$F240)," ",""),CHAR(10),"|"),";","|"),"+","|"),"|",REPT(" ",LEN(Registro!$F240))),({1,2,3,4,5,6,7,8,9,10,11,12,13,14,15,16,17,18,19,20,21,22,23,24,25,26,27,28,29,30}-1)*LEN(Registro!$F240)+1,LEN(Registro!$F240))),FIND("x",TRIM(MID(SUBSTITUTE(SUBSTITUTE(SUBSTITUTE(SUBSTITUTE(SUBSTITUTE(LOWER(Registro!$F240)," ",""),CHAR(10),"|"),";","|"),"+","|"),"|",REPT(" ",LEN(Registro!$F240))),({1,2,3,4,5,6,7,8,9,10,11,12,13,14,15,16,17,18,19,20,21,22,23,24,25,26,27,28,29,30}-1)*LEN(Registro!$F240)+1,LEN(Registro!$F240)))&amp;"x")+1,20))),"Revisar formato")))</f>
        <v/>
      </c>
      <c r="H240" s="21" t="str">
        <f>IF(AND(Registro!$E240="",Registro!$F240=""),"",IF(NOT(AND(ISNUMBER(G240),ISNUMBER(Registro!$G240))),"",IF(G240&lt;Registro!$G240,"FALTA BOLETOS",IF(G240=Registro!$G240,"CONFORME","DIFERENCIA"))))</f>
        <v/>
      </c>
      <c r="I240" s="24" t="str">
        <f>IF(Registro!$H240="","",IFERROR(SUMPRODUCT(--("0"&amp;TRIM(RIGHT(SUBSTITUTE(TRIM(MID(SUBSTITUTE(SUBSTITUTE(Registro!$H240,";",CHAR(10)),CHAR(10),REPT(" ",LEN(Registro!$H240))),({1,2,3,4,5,6,7,8,9,10,11,12,13,14,15,16,17,18,19,20,21,22,23,24,25,26,27,28,29,30}-1)*LEN(Registro!$H240)+1,LEN(Registro!$H240)))," ",REPT(" ",50)),50)))),"Revisar formato"))</f>
        <v/>
      </c>
      <c r="J240" s="24" t="str">
        <f>IF(Registro!$I240="","",IFERROR(SUMPRODUCT(--("0"&amp;TRIM(RIGHT(SUBSTITUTE(TRIM(MID(SUBSTITUTE(SUBSTITUTE(Registro!$I240,";",CHAR(10)),CHAR(10),REPT(" ",LEN(Registro!$I240))),({1,2,3,4,5,6,7,8,9,10,11,12,13,14,15,16,17,18,19,20,21,22,23,24,25,26,27,28,29,30}-1)*LEN(Registro!$I240)+1,LEN(Registro!$I240)))," ",REPT(" ",50)),50)))),"Revisar formato"))</f>
        <v/>
      </c>
      <c r="K240" s="24" t="str">
        <f>IF(AND(Registro!$G240="",Registro!$H240=""),"",IF(AND(ISTEXT(I240),I240&lt;&gt;""),"Revisar formato",N(Registro!$G240)-N(I240)))</f>
        <v/>
      </c>
      <c r="L240" s="24" t="str">
        <f t="shared" si="7"/>
        <v/>
      </c>
      <c r="M240" s="36" t="str">
        <f>IF(AND(A240=Consulta!$B$3,C240=Consulta!$H$3),B240*10000+ROW(),"")</f>
        <v/>
      </c>
    </row>
    <row r="241" spans="1:13" x14ac:dyDescent="0.25">
      <c r="A241" s="21" t="str">
        <f>IF(Registro!$A241="","",Registro!$A241)</f>
        <v/>
      </c>
      <c r="B241" s="20" t="str">
        <f>IF(Registro!$B241="","",Registro!$B241)</f>
        <v/>
      </c>
      <c r="C241" s="35" t="str">
        <f t="shared" si="6"/>
        <v/>
      </c>
      <c r="D241" s="23" t="str">
        <f>IF(Registro!$E241="","",IF(ISERROR(FIND("x",LOWER(Registro!$E241))),"-",IFERROR(SUMPRODUCT(--("0"&amp;LEFT(TRIM(MID(SUBSTITUTE(SUBSTITUTE(SUBSTITUTE(SUBSTITUTE(SUBSTITUTE(LOWER(Registro!$E241),"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",LEN(Registro!$E241))),({1,2,3,4,5,6,7,8,9,10,11,12,13,14,15,16,17,18,19,20,21,22,23,24,25,26,27,28,29,30}-1)*LEN(Registro!$E241)+1,LEN(Registro!$E241))),FIND("x",TRIM(MID(SUBSTITUTE(SUBSTITUTE(SUBSTITUTE(SUBSTITUTE(SUBSTITUTE(LOWER(Registro!$E241),"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",LEN(Registro!$E241))),({1,2,3,4,5,6,7,8,9,10,11,12,13,14,15,16,17,18,19,20,21,22,23,24,25,26,27,28,29,30}-1)*LEN(Registro!$E241)+1,LEN(Registro!$E241)))&amp;"x")-1))),"Revisar formato")))</f>
        <v/>
      </c>
      <c r="E241" s="24" t="str">
        <f>IF(Registro!$E241="","",IF(ISERROR(FIND("x",LOWER(Registro!$E241))),"-",IFERROR(SUMPRODUCT(--("0"&amp;LEFT(TRIM(MID(SUBSTITUTE(SUBSTITUTE(SUBSTITUTE(SUBSTITUTE(SUBSTITUTE(LOWER(Registro!$E241),"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",LEN(Registro!$E241))),({1,2,3,4,5,6,7,8,9,10,11,12,13,14,15,16,17,18,19,20,21,22,23,24,25,26,27,28,29,30}-1)*LEN(Registro!$E241)+1,LEN(Registro!$E241))),FIND("x",TRIM(MID(SUBSTITUTE(SUBSTITUTE(SUBSTITUTE(SUBSTITUTE(SUBSTITUTE(LOWER(Registro!$E241),"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",LEN(Registro!$E241))),({1,2,3,4,5,6,7,8,9,10,11,12,13,14,15,16,17,18,19,20,21,22,23,24,25,26,27,28,29,30}-1)*LEN(Registro!$E241)+1,LEN(Registro!$E241)))&amp;"x")-1)),--("0"&amp;MID(TRIM(MID(SUBSTITUTE(SUBSTITUTE(SUBSTITUTE(SUBSTITUTE(SUBSTITUTE(LOWER(Registro!$E241),"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",LEN(Registro!$E241))),({1,2,3,4,5,6,7,8,9,10,11,12,13,14,15,16,17,18,19,20,21,22,23,24,25,26,27,28,29,30}-1)*LEN(Registro!$E241)+1,LEN(Registro!$E241))),FIND("x",TRIM(MID(SUBSTITUTE(SUBSTITUTE(SUBSTITUTE(SUBSTITUTE(SUBSTITUTE(LOWER(Registro!$E241),"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",LEN(Registro!$E241))),({1,2,3,4,5,6,7,8,9,10,11,12,13,14,15,16,17,18,19,20,21,22,23,24,25,26,27,28,29,30}-1)*LEN(Registro!$E241)+1,LEN(Registro!$E241)))&amp;"x")+1,20))),"Revisar formato")))</f>
        <v/>
      </c>
      <c r="F241" s="23" t="str">
        <f>IF(Registro!$F241="","",IF(ISERROR(FIND("x",LOWER(Registro!$F241))),"-",IFERROR(SUMPRODUCT(--("0"&amp;LEFT(TRIM(MID(SUBSTITUTE(SUBSTITUTE(SUBSTITUTE(SUBSTITUTE(SUBSTITUTE(LOWER(Registro!$F241)," ",""),CHAR(10),"|"),";","|"),"+","|"),"|",REPT(" ",LEN(Registro!$F241))),({1,2,3,4,5,6,7,8,9,10,11,12,13,14,15,16,17,18,19,20,21,22,23,24,25,26,27,28,29,30}-1)*LEN(Registro!$F241)+1,LEN(Registro!$F241))),FIND("x",TRIM(MID(SUBSTITUTE(SUBSTITUTE(SUBSTITUTE(SUBSTITUTE(SUBSTITUTE(LOWER(Registro!$F241)," ",""),CHAR(10),"|"),";","|"),"+","|"),"|",REPT(" ",LEN(Registro!$F241))),({1,2,3,4,5,6,7,8,9,10,11,12,13,14,15,16,17,18,19,20,21,22,23,24,25,26,27,28,29,30}-1)*LEN(Registro!$F241)+1,LEN(Registro!$F241)))&amp;"x")-1))),"Revisar formato")))</f>
        <v/>
      </c>
      <c r="G241" s="24" t="str">
        <f>IF(Registro!$F241="","",IF(ISERROR(FIND("x",LOWER(Registro!$F241))),N(Registro!$G241),IFERROR(SUMPRODUCT(--("0"&amp;LEFT(TRIM(MID(SUBSTITUTE(SUBSTITUTE(SUBSTITUTE(SUBSTITUTE(SUBSTITUTE(LOWER(Registro!$F241)," ",""),CHAR(10),"|"),";","|"),"+","|"),"|",REPT(" ",LEN(Registro!$F241))),({1,2,3,4,5,6,7,8,9,10,11,12,13,14,15,16,17,18,19,20,21,22,23,24,25,26,27,28,29,30}-1)*LEN(Registro!$F241)+1,LEN(Registro!$F241))),FIND("x",TRIM(MID(SUBSTITUTE(SUBSTITUTE(SUBSTITUTE(SUBSTITUTE(SUBSTITUTE(LOWER(Registro!$F241)," ",""),CHAR(10),"|"),";","|"),"+","|"),"|",REPT(" ",LEN(Registro!$F241))),({1,2,3,4,5,6,7,8,9,10,11,12,13,14,15,16,17,18,19,20,21,22,23,24,25,26,27,28,29,30}-1)*LEN(Registro!$F241)+1,LEN(Registro!$F241)))&amp;"x")-1)),--("0"&amp;MID(TRIM(MID(SUBSTITUTE(SUBSTITUTE(SUBSTITUTE(SUBSTITUTE(SUBSTITUTE(LOWER(Registro!$F241)," ",""),CHAR(10),"|"),";","|"),"+","|"),"|",REPT(" ",LEN(Registro!$F241))),({1,2,3,4,5,6,7,8,9,10,11,12,13,14,15,16,17,18,19,20,21,22,23,24,25,26,27,28,29,30}-1)*LEN(Registro!$F241)+1,LEN(Registro!$F241))),FIND("x",TRIM(MID(SUBSTITUTE(SUBSTITUTE(SUBSTITUTE(SUBSTITUTE(SUBSTITUTE(LOWER(Registro!$F241)," ",""),CHAR(10),"|"),";","|"),"+","|"),"|",REPT(" ",LEN(Registro!$F241))),({1,2,3,4,5,6,7,8,9,10,11,12,13,14,15,16,17,18,19,20,21,22,23,24,25,26,27,28,29,30}-1)*LEN(Registro!$F241)+1,LEN(Registro!$F241)))&amp;"x")+1,20))),"Revisar formato")))</f>
        <v/>
      </c>
      <c r="H241" s="21" t="str">
        <f>IF(AND(Registro!$E241="",Registro!$F241=""),"",IF(NOT(AND(ISNUMBER(G241),ISNUMBER(Registro!$G241))),"",IF(G241&lt;Registro!$G241,"FALTA BOLETOS",IF(G241=Registro!$G241,"CONFORME","DIFERENCIA"))))</f>
        <v/>
      </c>
      <c r="I241" s="24" t="str">
        <f>IF(Registro!$H241="","",IFERROR(SUMPRODUCT(--("0"&amp;TRIM(RIGHT(SUBSTITUTE(TRIM(MID(SUBSTITUTE(SUBSTITUTE(Registro!$H241,";",CHAR(10)),CHAR(10),REPT(" ",LEN(Registro!$H241))),({1,2,3,4,5,6,7,8,9,10,11,12,13,14,15,16,17,18,19,20,21,22,23,24,25,26,27,28,29,30}-1)*LEN(Registro!$H241)+1,LEN(Registro!$H241)))," ",REPT(" ",50)),50)))),"Revisar formato"))</f>
        <v/>
      </c>
      <c r="J241" s="24" t="str">
        <f>IF(Registro!$I241="","",IFERROR(SUMPRODUCT(--("0"&amp;TRIM(RIGHT(SUBSTITUTE(TRIM(MID(SUBSTITUTE(SUBSTITUTE(Registro!$I241,";",CHAR(10)),CHAR(10),REPT(" ",LEN(Registro!$I241))),({1,2,3,4,5,6,7,8,9,10,11,12,13,14,15,16,17,18,19,20,21,22,23,24,25,26,27,28,29,30}-1)*LEN(Registro!$I241)+1,LEN(Registro!$I241)))," ",REPT(" ",50)),50)))),"Revisar formato"))</f>
        <v/>
      </c>
      <c r="K241" s="24" t="str">
        <f>IF(AND(Registro!$G241="",Registro!$H241=""),"",IF(AND(ISTEXT(I241),I241&lt;&gt;""),"Revisar formato",N(Registro!$G241)-N(I241)))</f>
        <v/>
      </c>
      <c r="L241" s="24" t="str">
        <f t="shared" si="7"/>
        <v/>
      </c>
      <c r="M241" s="36" t="str">
        <f>IF(AND(A241=Consulta!$B$3,C241=Consulta!$H$3),B241*10000+ROW(),"")</f>
        <v/>
      </c>
    </row>
    <row r="242" spans="1:13" x14ac:dyDescent="0.25">
      <c r="A242" s="21" t="str">
        <f>IF(Registro!$A242="","",Registro!$A242)</f>
        <v/>
      </c>
      <c r="B242" s="20" t="str">
        <f>IF(Registro!$B242="","",Registro!$B242)</f>
        <v/>
      </c>
      <c r="C242" s="35" t="str">
        <f t="shared" si="6"/>
        <v/>
      </c>
      <c r="D242" s="23" t="str">
        <f>IF(Registro!$E242="","",IF(ISERROR(FIND("x",LOWER(Registro!$E242))),"-",IFERROR(SUMPRODUCT(--("0"&amp;LEFT(TRIM(MID(SUBSTITUTE(SUBSTITUTE(SUBSTITUTE(SUBSTITUTE(SUBSTITUTE(LOWER(Registro!$E242),"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",LEN(Registro!$E242))),({1,2,3,4,5,6,7,8,9,10,11,12,13,14,15,16,17,18,19,20,21,22,23,24,25,26,27,28,29,30}-1)*LEN(Registro!$E242)+1,LEN(Registro!$E242))),FIND("x",TRIM(MID(SUBSTITUTE(SUBSTITUTE(SUBSTITUTE(SUBSTITUTE(SUBSTITUTE(LOWER(Registro!$E242),"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",LEN(Registro!$E242))),({1,2,3,4,5,6,7,8,9,10,11,12,13,14,15,16,17,18,19,20,21,22,23,24,25,26,27,28,29,30}-1)*LEN(Registro!$E242)+1,LEN(Registro!$E242)))&amp;"x")-1))),"Revisar formato")))</f>
        <v/>
      </c>
      <c r="E242" s="24" t="str">
        <f>IF(Registro!$E242="","",IF(ISERROR(FIND("x",LOWER(Registro!$E242))),"-",IFERROR(SUMPRODUCT(--("0"&amp;LEFT(TRIM(MID(SUBSTITUTE(SUBSTITUTE(SUBSTITUTE(SUBSTITUTE(SUBSTITUTE(LOWER(Registro!$E242),"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",LEN(Registro!$E242))),({1,2,3,4,5,6,7,8,9,10,11,12,13,14,15,16,17,18,19,20,21,22,23,24,25,26,27,28,29,30}-1)*LEN(Registro!$E242)+1,LEN(Registro!$E242))),FIND("x",TRIM(MID(SUBSTITUTE(SUBSTITUTE(SUBSTITUTE(SUBSTITUTE(SUBSTITUTE(LOWER(Registro!$E242),"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",LEN(Registro!$E242))),({1,2,3,4,5,6,7,8,9,10,11,12,13,14,15,16,17,18,19,20,21,22,23,24,25,26,27,28,29,30}-1)*LEN(Registro!$E242)+1,LEN(Registro!$E242)))&amp;"x")-1)),--("0"&amp;MID(TRIM(MID(SUBSTITUTE(SUBSTITUTE(SUBSTITUTE(SUBSTITUTE(SUBSTITUTE(LOWER(Registro!$E242),"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",LEN(Registro!$E242))),({1,2,3,4,5,6,7,8,9,10,11,12,13,14,15,16,17,18,19,20,21,22,23,24,25,26,27,28,29,30}-1)*LEN(Registro!$E242)+1,LEN(Registro!$E242))),FIND("x",TRIM(MID(SUBSTITUTE(SUBSTITUTE(SUBSTITUTE(SUBSTITUTE(SUBSTITUTE(LOWER(Registro!$E242),"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",LEN(Registro!$E242))),({1,2,3,4,5,6,7,8,9,10,11,12,13,14,15,16,17,18,19,20,21,22,23,24,25,26,27,28,29,30}-1)*LEN(Registro!$E242)+1,LEN(Registro!$E242)))&amp;"x")+1,20))),"Revisar formato")))</f>
        <v/>
      </c>
      <c r="F242" s="23" t="str">
        <f>IF(Registro!$F242="","",IF(ISERROR(FIND("x",LOWER(Registro!$F242))),"-",IFERROR(SUMPRODUCT(--("0"&amp;LEFT(TRIM(MID(SUBSTITUTE(SUBSTITUTE(SUBSTITUTE(SUBSTITUTE(SUBSTITUTE(LOWER(Registro!$F242)," ",""),CHAR(10),"|"),";","|"),"+","|"),"|",REPT(" ",LEN(Registro!$F242))),({1,2,3,4,5,6,7,8,9,10,11,12,13,14,15,16,17,18,19,20,21,22,23,24,25,26,27,28,29,30}-1)*LEN(Registro!$F242)+1,LEN(Registro!$F242))),FIND("x",TRIM(MID(SUBSTITUTE(SUBSTITUTE(SUBSTITUTE(SUBSTITUTE(SUBSTITUTE(LOWER(Registro!$F242)," ",""),CHAR(10),"|"),";","|"),"+","|"),"|",REPT(" ",LEN(Registro!$F242))),({1,2,3,4,5,6,7,8,9,10,11,12,13,14,15,16,17,18,19,20,21,22,23,24,25,26,27,28,29,30}-1)*LEN(Registro!$F242)+1,LEN(Registro!$F242)))&amp;"x")-1))),"Revisar formato")))</f>
        <v/>
      </c>
      <c r="G242" s="24" t="str">
        <f>IF(Registro!$F242="","",IF(ISERROR(FIND("x",LOWER(Registro!$F242))),N(Registro!$G242),IFERROR(SUMPRODUCT(--("0"&amp;LEFT(TRIM(MID(SUBSTITUTE(SUBSTITUTE(SUBSTITUTE(SUBSTITUTE(SUBSTITUTE(LOWER(Registro!$F242)," ",""),CHAR(10),"|"),";","|"),"+","|"),"|",REPT(" ",LEN(Registro!$F242))),({1,2,3,4,5,6,7,8,9,10,11,12,13,14,15,16,17,18,19,20,21,22,23,24,25,26,27,28,29,30}-1)*LEN(Registro!$F242)+1,LEN(Registro!$F242))),FIND("x",TRIM(MID(SUBSTITUTE(SUBSTITUTE(SUBSTITUTE(SUBSTITUTE(SUBSTITUTE(LOWER(Registro!$F242)," ",""),CHAR(10),"|"),";","|"),"+","|"),"|",REPT(" ",LEN(Registro!$F242))),({1,2,3,4,5,6,7,8,9,10,11,12,13,14,15,16,17,18,19,20,21,22,23,24,25,26,27,28,29,30}-1)*LEN(Registro!$F242)+1,LEN(Registro!$F242)))&amp;"x")-1)),--("0"&amp;MID(TRIM(MID(SUBSTITUTE(SUBSTITUTE(SUBSTITUTE(SUBSTITUTE(SUBSTITUTE(LOWER(Registro!$F242)," ",""),CHAR(10),"|"),";","|"),"+","|"),"|",REPT(" ",LEN(Registro!$F242))),({1,2,3,4,5,6,7,8,9,10,11,12,13,14,15,16,17,18,19,20,21,22,23,24,25,26,27,28,29,30}-1)*LEN(Registro!$F242)+1,LEN(Registro!$F242))),FIND("x",TRIM(MID(SUBSTITUTE(SUBSTITUTE(SUBSTITUTE(SUBSTITUTE(SUBSTITUTE(LOWER(Registro!$F242)," ",""),CHAR(10),"|"),";","|"),"+","|"),"|",REPT(" ",LEN(Registro!$F242))),({1,2,3,4,5,6,7,8,9,10,11,12,13,14,15,16,17,18,19,20,21,22,23,24,25,26,27,28,29,30}-1)*LEN(Registro!$F242)+1,LEN(Registro!$F242)))&amp;"x")+1,20))),"Revisar formato")))</f>
        <v/>
      </c>
      <c r="H242" s="21" t="str">
        <f>IF(AND(Registro!$E242="",Registro!$F242=""),"",IF(NOT(AND(ISNUMBER(G242),ISNUMBER(Registro!$G242))),"",IF(G242&lt;Registro!$G242,"FALTA BOLETOS",IF(G242=Registro!$G242,"CONFORME","DIFERENCIA"))))</f>
        <v/>
      </c>
      <c r="I242" s="24" t="str">
        <f>IF(Registro!$H242="","",IFERROR(SUMPRODUCT(--("0"&amp;TRIM(RIGHT(SUBSTITUTE(TRIM(MID(SUBSTITUTE(SUBSTITUTE(Registro!$H242,";",CHAR(10)),CHAR(10),REPT(" ",LEN(Registro!$H242))),({1,2,3,4,5,6,7,8,9,10,11,12,13,14,15,16,17,18,19,20,21,22,23,24,25,26,27,28,29,30}-1)*LEN(Registro!$H242)+1,LEN(Registro!$H242)))," ",REPT(" ",50)),50)))),"Revisar formato"))</f>
        <v/>
      </c>
      <c r="J242" s="24" t="str">
        <f>IF(Registro!$I242="","",IFERROR(SUMPRODUCT(--("0"&amp;TRIM(RIGHT(SUBSTITUTE(TRIM(MID(SUBSTITUTE(SUBSTITUTE(Registro!$I242,";",CHAR(10)),CHAR(10),REPT(" ",LEN(Registro!$I242))),({1,2,3,4,5,6,7,8,9,10,11,12,13,14,15,16,17,18,19,20,21,22,23,24,25,26,27,28,29,30}-1)*LEN(Registro!$I242)+1,LEN(Registro!$I242)))," ",REPT(" ",50)),50)))),"Revisar formato"))</f>
        <v/>
      </c>
      <c r="K242" s="24" t="str">
        <f>IF(AND(Registro!$G242="",Registro!$H242=""),"",IF(AND(ISTEXT(I242),I242&lt;&gt;""),"Revisar formato",N(Registro!$G242)-N(I242)))</f>
        <v/>
      </c>
      <c r="L242" s="24" t="str">
        <f t="shared" si="7"/>
        <v/>
      </c>
      <c r="M242" s="36" t="str">
        <f>IF(AND(A242=Consulta!$B$3,C242=Consulta!$H$3),B242*10000+ROW(),"")</f>
        <v/>
      </c>
    </row>
    <row r="243" spans="1:13" x14ac:dyDescent="0.25">
      <c r="A243" s="21" t="str">
        <f>IF(Registro!$A243="","",Registro!$A243)</f>
        <v/>
      </c>
      <c r="B243" s="20" t="str">
        <f>IF(Registro!$B243="","",Registro!$B243)</f>
        <v/>
      </c>
      <c r="C243" s="35" t="str">
        <f t="shared" si="6"/>
        <v/>
      </c>
      <c r="D243" s="23" t="str">
        <f>IF(Registro!$E243="","",IF(ISERROR(FIND("x",LOWER(Registro!$E243))),"-",IFERROR(SUMPRODUCT(--("0"&amp;LEFT(TRIM(MID(SUBSTITUTE(SUBSTITUTE(SUBSTITUTE(SUBSTITUTE(SUBSTITUTE(LOWER(Registro!$E243),"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",LEN(Registro!$E243))),({1,2,3,4,5,6,7,8,9,10,11,12,13,14,15,16,17,18,19,20,21,22,23,24,25,26,27,28,29,30}-1)*LEN(Registro!$E243)+1,LEN(Registro!$E243))),FIND("x",TRIM(MID(SUBSTITUTE(SUBSTITUTE(SUBSTITUTE(SUBSTITUTE(SUBSTITUTE(LOWER(Registro!$E243),"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",LEN(Registro!$E243))),({1,2,3,4,5,6,7,8,9,10,11,12,13,14,15,16,17,18,19,20,21,22,23,24,25,26,27,28,29,30}-1)*LEN(Registro!$E243)+1,LEN(Registro!$E243)))&amp;"x")-1))),"Revisar formato")))</f>
        <v/>
      </c>
      <c r="E243" s="24" t="str">
        <f>IF(Registro!$E243="","",IF(ISERROR(FIND("x",LOWER(Registro!$E243))),"-",IFERROR(SUMPRODUCT(--("0"&amp;LEFT(TRIM(MID(SUBSTITUTE(SUBSTITUTE(SUBSTITUTE(SUBSTITUTE(SUBSTITUTE(LOWER(Registro!$E243),"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",LEN(Registro!$E243))),({1,2,3,4,5,6,7,8,9,10,11,12,13,14,15,16,17,18,19,20,21,22,23,24,25,26,27,28,29,30}-1)*LEN(Registro!$E243)+1,LEN(Registro!$E243))),FIND("x",TRIM(MID(SUBSTITUTE(SUBSTITUTE(SUBSTITUTE(SUBSTITUTE(SUBSTITUTE(LOWER(Registro!$E243),"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",LEN(Registro!$E243))),({1,2,3,4,5,6,7,8,9,10,11,12,13,14,15,16,17,18,19,20,21,22,23,24,25,26,27,28,29,30}-1)*LEN(Registro!$E243)+1,LEN(Registro!$E243)))&amp;"x")-1)),--("0"&amp;MID(TRIM(MID(SUBSTITUTE(SUBSTITUTE(SUBSTITUTE(SUBSTITUTE(SUBSTITUTE(LOWER(Registro!$E243),"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",LEN(Registro!$E243))),({1,2,3,4,5,6,7,8,9,10,11,12,13,14,15,16,17,18,19,20,21,22,23,24,25,26,27,28,29,30}-1)*LEN(Registro!$E243)+1,LEN(Registro!$E243))),FIND("x",TRIM(MID(SUBSTITUTE(SUBSTITUTE(SUBSTITUTE(SUBSTITUTE(SUBSTITUTE(LOWER(Registro!$E243),"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",LEN(Registro!$E243))),({1,2,3,4,5,6,7,8,9,10,11,12,13,14,15,16,17,18,19,20,21,22,23,24,25,26,27,28,29,30}-1)*LEN(Registro!$E243)+1,LEN(Registro!$E243)))&amp;"x")+1,20))),"Revisar formato")))</f>
        <v/>
      </c>
      <c r="F243" s="23" t="str">
        <f>IF(Registro!$F243="","",IF(ISERROR(FIND("x",LOWER(Registro!$F243))),"-",IFERROR(SUMPRODUCT(--("0"&amp;LEFT(TRIM(MID(SUBSTITUTE(SUBSTITUTE(SUBSTITUTE(SUBSTITUTE(SUBSTITUTE(LOWER(Registro!$F243)," ",""),CHAR(10),"|"),";","|"),"+","|"),"|",REPT(" ",LEN(Registro!$F243))),({1,2,3,4,5,6,7,8,9,10,11,12,13,14,15,16,17,18,19,20,21,22,23,24,25,26,27,28,29,30}-1)*LEN(Registro!$F243)+1,LEN(Registro!$F243))),FIND("x",TRIM(MID(SUBSTITUTE(SUBSTITUTE(SUBSTITUTE(SUBSTITUTE(SUBSTITUTE(LOWER(Registro!$F243)," ",""),CHAR(10),"|"),";","|"),"+","|"),"|",REPT(" ",LEN(Registro!$F243))),({1,2,3,4,5,6,7,8,9,10,11,12,13,14,15,16,17,18,19,20,21,22,23,24,25,26,27,28,29,30}-1)*LEN(Registro!$F243)+1,LEN(Registro!$F243)))&amp;"x")-1))),"Revisar formato")))</f>
        <v/>
      </c>
      <c r="G243" s="24" t="str">
        <f>IF(Registro!$F243="","",IF(ISERROR(FIND("x",LOWER(Registro!$F243))),N(Registro!$G243),IFERROR(SUMPRODUCT(--("0"&amp;LEFT(TRIM(MID(SUBSTITUTE(SUBSTITUTE(SUBSTITUTE(SUBSTITUTE(SUBSTITUTE(LOWER(Registro!$F243)," ",""),CHAR(10),"|"),";","|"),"+","|"),"|",REPT(" ",LEN(Registro!$F243))),({1,2,3,4,5,6,7,8,9,10,11,12,13,14,15,16,17,18,19,20,21,22,23,24,25,26,27,28,29,30}-1)*LEN(Registro!$F243)+1,LEN(Registro!$F243))),FIND("x",TRIM(MID(SUBSTITUTE(SUBSTITUTE(SUBSTITUTE(SUBSTITUTE(SUBSTITUTE(LOWER(Registro!$F243)," ",""),CHAR(10),"|"),";","|"),"+","|"),"|",REPT(" ",LEN(Registro!$F243))),({1,2,3,4,5,6,7,8,9,10,11,12,13,14,15,16,17,18,19,20,21,22,23,24,25,26,27,28,29,30}-1)*LEN(Registro!$F243)+1,LEN(Registro!$F243)))&amp;"x")-1)),--("0"&amp;MID(TRIM(MID(SUBSTITUTE(SUBSTITUTE(SUBSTITUTE(SUBSTITUTE(SUBSTITUTE(LOWER(Registro!$F243)," ",""),CHAR(10),"|"),";","|"),"+","|"),"|",REPT(" ",LEN(Registro!$F243))),({1,2,3,4,5,6,7,8,9,10,11,12,13,14,15,16,17,18,19,20,21,22,23,24,25,26,27,28,29,30}-1)*LEN(Registro!$F243)+1,LEN(Registro!$F243))),FIND("x",TRIM(MID(SUBSTITUTE(SUBSTITUTE(SUBSTITUTE(SUBSTITUTE(SUBSTITUTE(LOWER(Registro!$F243)," ",""),CHAR(10),"|"),";","|"),"+","|"),"|",REPT(" ",LEN(Registro!$F243))),({1,2,3,4,5,6,7,8,9,10,11,12,13,14,15,16,17,18,19,20,21,22,23,24,25,26,27,28,29,30}-1)*LEN(Registro!$F243)+1,LEN(Registro!$F243)))&amp;"x")+1,20))),"Revisar formato")))</f>
        <v/>
      </c>
      <c r="H243" s="21" t="str">
        <f>IF(AND(Registro!$E243="",Registro!$F243=""),"",IF(NOT(AND(ISNUMBER(G243),ISNUMBER(Registro!$G243))),"",IF(G243&lt;Registro!$G243,"FALTA BOLETOS",IF(G243=Registro!$G243,"CONFORME","DIFERENCIA"))))</f>
        <v/>
      </c>
      <c r="I243" s="24" t="str">
        <f>IF(Registro!$H243="","",IFERROR(SUMPRODUCT(--("0"&amp;TRIM(RIGHT(SUBSTITUTE(TRIM(MID(SUBSTITUTE(SUBSTITUTE(Registro!$H243,";",CHAR(10)),CHAR(10),REPT(" ",LEN(Registro!$H243))),({1,2,3,4,5,6,7,8,9,10,11,12,13,14,15,16,17,18,19,20,21,22,23,24,25,26,27,28,29,30}-1)*LEN(Registro!$H243)+1,LEN(Registro!$H243)))," ",REPT(" ",50)),50)))),"Revisar formato"))</f>
        <v/>
      </c>
      <c r="J243" s="24" t="str">
        <f>IF(Registro!$I243="","",IFERROR(SUMPRODUCT(--("0"&amp;TRIM(RIGHT(SUBSTITUTE(TRIM(MID(SUBSTITUTE(SUBSTITUTE(Registro!$I243,";",CHAR(10)),CHAR(10),REPT(" ",LEN(Registro!$I243))),({1,2,3,4,5,6,7,8,9,10,11,12,13,14,15,16,17,18,19,20,21,22,23,24,25,26,27,28,29,30}-1)*LEN(Registro!$I243)+1,LEN(Registro!$I243)))," ",REPT(" ",50)),50)))),"Revisar formato"))</f>
        <v/>
      </c>
      <c r="K243" s="24" t="str">
        <f>IF(AND(Registro!$G243="",Registro!$H243=""),"",IF(AND(ISTEXT(I243),I243&lt;&gt;""),"Revisar formato",N(Registro!$G243)-N(I243)))</f>
        <v/>
      </c>
      <c r="L243" s="24" t="str">
        <f t="shared" si="7"/>
        <v/>
      </c>
      <c r="M243" s="36" t="str">
        <f>IF(AND(A243=Consulta!$B$3,C243=Consulta!$H$3),B243*10000+ROW(),"")</f>
        <v/>
      </c>
    </row>
    <row r="244" spans="1:13" x14ac:dyDescent="0.25">
      <c r="A244" s="21" t="str">
        <f>IF(Registro!$A244="","",Registro!$A244)</f>
        <v/>
      </c>
      <c r="B244" s="20" t="str">
        <f>IF(Registro!$B244="","",Registro!$B244)</f>
        <v/>
      </c>
      <c r="C244" s="35" t="str">
        <f t="shared" si="6"/>
        <v/>
      </c>
      <c r="D244" s="23" t="str">
        <f>IF(Registro!$E244="","",IF(ISERROR(FIND("x",LOWER(Registro!$E244))),"-",IFERROR(SUMPRODUCT(--("0"&amp;LEFT(TRIM(MID(SUBSTITUTE(SUBSTITUTE(SUBSTITUTE(SUBSTITUTE(SUBSTITUTE(LOWER(Registro!$E244),"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",LEN(Registro!$E244))),({1,2,3,4,5,6,7,8,9,10,11,12,13,14,15,16,17,18,19,20,21,22,23,24,25,26,27,28,29,30}-1)*LEN(Registro!$E244)+1,LEN(Registro!$E244))),FIND("x",TRIM(MID(SUBSTITUTE(SUBSTITUTE(SUBSTITUTE(SUBSTITUTE(SUBSTITUTE(LOWER(Registro!$E244),"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",LEN(Registro!$E244))),({1,2,3,4,5,6,7,8,9,10,11,12,13,14,15,16,17,18,19,20,21,22,23,24,25,26,27,28,29,30}-1)*LEN(Registro!$E244)+1,LEN(Registro!$E244)))&amp;"x")-1))),"Revisar formato")))</f>
        <v/>
      </c>
      <c r="E244" s="24" t="str">
        <f>IF(Registro!$E244="","",IF(ISERROR(FIND("x",LOWER(Registro!$E244))),"-",IFERROR(SUMPRODUCT(--("0"&amp;LEFT(TRIM(MID(SUBSTITUTE(SUBSTITUTE(SUBSTITUTE(SUBSTITUTE(SUBSTITUTE(LOWER(Registro!$E244),"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",LEN(Registro!$E244))),({1,2,3,4,5,6,7,8,9,10,11,12,13,14,15,16,17,18,19,20,21,22,23,24,25,26,27,28,29,30}-1)*LEN(Registro!$E244)+1,LEN(Registro!$E244))),FIND("x",TRIM(MID(SUBSTITUTE(SUBSTITUTE(SUBSTITUTE(SUBSTITUTE(SUBSTITUTE(LOWER(Registro!$E244),"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",LEN(Registro!$E244))),({1,2,3,4,5,6,7,8,9,10,11,12,13,14,15,16,17,18,19,20,21,22,23,24,25,26,27,28,29,30}-1)*LEN(Registro!$E244)+1,LEN(Registro!$E244)))&amp;"x")-1)),--("0"&amp;MID(TRIM(MID(SUBSTITUTE(SUBSTITUTE(SUBSTITUTE(SUBSTITUTE(SUBSTITUTE(LOWER(Registro!$E244),"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",LEN(Registro!$E244))),({1,2,3,4,5,6,7,8,9,10,11,12,13,14,15,16,17,18,19,20,21,22,23,24,25,26,27,28,29,30}-1)*LEN(Registro!$E244)+1,LEN(Registro!$E244))),FIND("x",TRIM(MID(SUBSTITUTE(SUBSTITUTE(SUBSTITUTE(SUBSTITUTE(SUBSTITUTE(LOWER(Registro!$E244),"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",LEN(Registro!$E244))),({1,2,3,4,5,6,7,8,9,10,11,12,13,14,15,16,17,18,19,20,21,22,23,24,25,26,27,28,29,30}-1)*LEN(Registro!$E244)+1,LEN(Registro!$E244)))&amp;"x")+1,20))),"Revisar formato")))</f>
        <v/>
      </c>
      <c r="F244" s="23" t="str">
        <f>IF(Registro!$F244="","",IF(ISERROR(FIND("x",LOWER(Registro!$F244))),"-",IFERROR(SUMPRODUCT(--("0"&amp;LEFT(TRIM(MID(SUBSTITUTE(SUBSTITUTE(SUBSTITUTE(SUBSTITUTE(SUBSTITUTE(LOWER(Registro!$F244)," ",""),CHAR(10),"|"),";","|"),"+","|"),"|",REPT(" ",LEN(Registro!$F244))),({1,2,3,4,5,6,7,8,9,10,11,12,13,14,15,16,17,18,19,20,21,22,23,24,25,26,27,28,29,30}-1)*LEN(Registro!$F244)+1,LEN(Registro!$F244))),FIND("x",TRIM(MID(SUBSTITUTE(SUBSTITUTE(SUBSTITUTE(SUBSTITUTE(SUBSTITUTE(LOWER(Registro!$F244)," ",""),CHAR(10),"|"),";","|"),"+","|"),"|",REPT(" ",LEN(Registro!$F244))),({1,2,3,4,5,6,7,8,9,10,11,12,13,14,15,16,17,18,19,20,21,22,23,24,25,26,27,28,29,30}-1)*LEN(Registro!$F244)+1,LEN(Registro!$F244)))&amp;"x")-1))),"Revisar formato")))</f>
        <v/>
      </c>
      <c r="G244" s="24" t="str">
        <f>IF(Registro!$F244="","",IF(ISERROR(FIND("x",LOWER(Registro!$F244))),N(Registro!$G244),IFERROR(SUMPRODUCT(--("0"&amp;LEFT(TRIM(MID(SUBSTITUTE(SUBSTITUTE(SUBSTITUTE(SUBSTITUTE(SUBSTITUTE(LOWER(Registro!$F244)," ",""),CHAR(10),"|"),";","|"),"+","|"),"|",REPT(" ",LEN(Registro!$F244))),({1,2,3,4,5,6,7,8,9,10,11,12,13,14,15,16,17,18,19,20,21,22,23,24,25,26,27,28,29,30}-1)*LEN(Registro!$F244)+1,LEN(Registro!$F244))),FIND("x",TRIM(MID(SUBSTITUTE(SUBSTITUTE(SUBSTITUTE(SUBSTITUTE(SUBSTITUTE(LOWER(Registro!$F244)," ",""),CHAR(10),"|"),";","|"),"+","|"),"|",REPT(" ",LEN(Registro!$F244))),({1,2,3,4,5,6,7,8,9,10,11,12,13,14,15,16,17,18,19,20,21,22,23,24,25,26,27,28,29,30}-1)*LEN(Registro!$F244)+1,LEN(Registro!$F244)))&amp;"x")-1)),--("0"&amp;MID(TRIM(MID(SUBSTITUTE(SUBSTITUTE(SUBSTITUTE(SUBSTITUTE(SUBSTITUTE(LOWER(Registro!$F244)," ",""),CHAR(10),"|"),";","|"),"+","|"),"|",REPT(" ",LEN(Registro!$F244))),({1,2,3,4,5,6,7,8,9,10,11,12,13,14,15,16,17,18,19,20,21,22,23,24,25,26,27,28,29,30}-1)*LEN(Registro!$F244)+1,LEN(Registro!$F244))),FIND("x",TRIM(MID(SUBSTITUTE(SUBSTITUTE(SUBSTITUTE(SUBSTITUTE(SUBSTITUTE(LOWER(Registro!$F244)," ",""),CHAR(10),"|"),";","|"),"+","|"),"|",REPT(" ",LEN(Registro!$F244))),({1,2,3,4,5,6,7,8,9,10,11,12,13,14,15,16,17,18,19,20,21,22,23,24,25,26,27,28,29,30}-1)*LEN(Registro!$F244)+1,LEN(Registro!$F244)))&amp;"x")+1,20))),"Revisar formato")))</f>
        <v/>
      </c>
      <c r="H244" s="21" t="str">
        <f>IF(AND(Registro!$E244="",Registro!$F244=""),"",IF(NOT(AND(ISNUMBER(G244),ISNUMBER(Registro!$G244))),"",IF(G244&lt;Registro!$G244,"FALTA BOLETOS",IF(G244=Registro!$G244,"CONFORME","DIFERENCIA"))))</f>
        <v/>
      </c>
      <c r="I244" s="24" t="str">
        <f>IF(Registro!$H244="","",IFERROR(SUMPRODUCT(--("0"&amp;TRIM(RIGHT(SUBSTITUTE(TRIM(MID(SUBSTITUTE(SUBSTITUTE(Registro!$H244,";",CHAR(10)),CHAR(10),REPT(" ",LEN(Registro!$H244))),({1,2,3,4,5,6,7,8,9,10,11,12,13,14,15,16,17,18,19,20,21,22,23,24,25,26,27,28,29,30}-1)*LEN(Registro!$H244)+1,LEN(Registro!$H244)))," ",REPT(" ",50)),50)))),"Revisar formato"))</f>
        <v/>
      </c>
      <c r="J244" s="24" t="str">
        <f>IF(Registro!$I244="","",IFERROR(SUMPRODUCT(--("0"&amp;TRIM(RIGHT(SUBSTITUTE(TRIM(MID(SUBSTITUTE(SUBSTITUTE(Registro!$I244,";",CHAR(10)),CHAR(10),REPT(" ",LEN(Registro!$I244))),({1,2,3,4,5,6,7,8,9,10,11,12,13,14,15,16,17,18,19,20,21,22,23,24,25,26,27,28,29,30}-1)*LEN(Registro!$I244)+1,LEN(Registro!$I244)))," ",REPT(" ",50)),50)))),"Revisar formato"))</f>
        <v/>
      </c>
      <c r="K244" s="24" t="str">
        <f>IF(AND(Registro!$G244="",Registro!$H244=""),"",IF(AND(ISTEXT(I244),I244&lt;&gt;""),"Revisar formato",N(Registro!$G244)-N(I244)))</f>
        <v/>
      </c>
      <c r="L244" s="24" t="str">
        <f t="shared" si="7"/>
        <v/>
      </c>
      <c r="M244" s="36" t="str">
        <f>IF(AND(A244=Consulta!$B$3,C244=Consulta!$H$3),B244*10000+ROW(),"")</f>
        <v/>
      </c>
    </row>
    <row r="245" spans="1:13" x14ac:dyDescent="0.25">
      <c r="A245" s="21" t="str">
        <f>IF(Registro!$A245="","",Registro!$A245)</f>
        <v/>
      </c>
      <c r="B245" s="20" t="str">
        <f>IF(Registro!$B245="","",Registro!$B245)</f>
        <v/>
      </c>
      <c r="C245" s="35" t="str">
        <f t="shared" si="6"/>
        <v/>
      </c>
      <c r="D245" s="23" t="str">
        <f>IF(Registro!$E245="","",IF(ISERROR(FIND("x",LOWER(Registro!$E245))),"-",IFERROR(SUMPRODUCT(--("0"&amp;LEFT(TRIM(MID(SUBSTITUTE(SUBSTITUTE(SUBSTITUTE(SUBSTITUTE(SUBSTITUTE(LOWER(Registro!$E245),"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",LEN(Registro!$E245))),({1,2,3,4,5,6,7,8,9,10,11,12,13,14,15,16,17,18,19,20,21,22,23,24,25,26,27,28,29,30}-1)*LEN(Registro!$E245)+1,LEN(Registro!$E245))),FIND("x",TRIM(MID(SUBSTITUTE(SUBSTITUTE(SUBSTITUTE(SUBSTITUTE(SUBSTITUTE(LOWER(Registro!$E245),"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",LEN(Registro!$E245))),({1,2,3,4,5,6,7,8,9,10,11,12,13,14,15,16,17,18,19,20,21,22,23,24,25,26,27,28,29,30}-1)*LEN(Registro!$E245)+1,LEN(Registro!$E245)))&amp;"x")-1))),"Revisar formato")))</f>
        <v/>
      </c>
      <c r="E245" s="24" t="str">
        <f>IF(Registro!$E245="","",IF(ISERROR(FIND("x",LOWER(Registro!$E245))),"-",IFERROR(SUMPRODUCT(--("0"&amp;LEFT(TRIM(MID(SUBSTITUTE(SUBSTITUTE(SUBSTITUTE(SUBSTITUTE(SUBSTITUTE(LOWER(Registro!$E245),"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",LEN(Registro!$E245))),({1,2,3,4,5,6,7,8,9,10,11,12,13,14,15,16,17,18,19,20,21,22,23,24,25,26,27,28,29,30}-1)*LEN(Registro!$E245)+1,LEN(Registro!$E245))),FIND("x",TRIM(MID(SUBSTITUTE(SUBSTITUTE(SUBSTITUTE(SUBSTITUTE(SUBSTITUTE(LOWER(Registro!$E245),"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",LEN(Registro!$E245))),({1,2,3,4,5,6,7,8,9,10,11,12,13,14,15,16,17,18,19,20,21,22,23,24,25,26,27,28,29,30}-1)*LEN(Registro!$E245)+1,LEN(Registro!$E245)))&amp;"x")-1)),--("0"&amp;MID(TRIM(MID(SUBSTITUTE(SUBSTITUTE(SUBSTITUTE(SUBSTITUTE(SUBSTITUTE(LOWER(Registro!$E245),"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",LEN(Registro!$E245))),({1,2,3,4,5,6,7,8,9,10,11,12,13,14,15,16,17,18,19,20,21,22,23,24,25,26,27,28,29,30}-1)*LEN(Registro!$E245)+1,LEN(Registro!$E245))),FIND("x",TRIM(MID(SUBSTITUTE(SUBSTITUTE(SUBSTITUTE(SUBSTITUTE(SUBSTITUTE(LOWER(Registro!$E245),"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",LEN(Registro!$E245))),({1,2,3,4,5,6,7,8,9,10,11,12,13,14,15,16,17,18,19,20,21,22,23,24,25,26,27,28,29,30}-1)*LEN(Registro!$E245)+1,LEN(Registro!$E245)))&amp;"x")+1,20))),"Revisar formato")))</f>
        <v/>
      </c>
      <c r="F245" s="23" t="str">
        <f>IF(Registro!$F245="","",IF(ISERROR(FIND("x",LOWER(Registro!$F245))),"-",IFERROR(SUMPRODUCT(--("0"&amp;LEFT(TRIM(MID(SUBSTITUTE(SUBSTITUTE(SUBSTITUTE(SUBSTITUTE(SUBSTITUTE(LOWER(Registro!$F245)," ",""),CHAR(10),"|"),";","|"),"+","|"),"|",REPT(" ",LEN(Registro!$F245))),({1,2,3,4,5,6,7,8,9,10,11,12,13,14,15,16,17,18,19,20,21,22,23,24,25,26,27,28,29,30}-1)*LEN(Registro!$F245)+1,LEN(Registro!$F245))),FIND("x",TRIM(MID(SUBSTITUTE(SUBSTITUTE(SUBSTITUTE(SUBSTITUTE(SUBSTITUTE(LOWER(Registro!$F245)," ",""),CHAR(10),"|"),";","|"),"+","|"),"|",REPT(" ",LEN(Registro!$F245))),({1,2,3,4,5,6,7,8,9,10,11,12,13,14,15,16,17,18,19,20,21,22,23,24,25,26,27,28,29,30}-1)*LEN(Registro!$F245)+1,LEN(Registro!$F245)))&amp;"x")-1))),"Revisar formato")))</f>
        <v/>
      </c>
      <c r="G245" s="24" t="str">
        <f>IF(Registro!$F245="","",IF(ISERROR(FIND("x",LOWER(Registro!$F245))),N(Registro!$G245),IFERROR(SUMPRODUCT(--("0"&amp;LEFT(TRIM(MID(SUBSTITUTE(SUBSTITUTE(SUBSTITUTE(SUBSTITUTE(SUBSTITUTE(LOWER(Registro!$F245)," ",""),CHAR(10),"|"),";","|"),"+","|"),"|",REPT(" ",LEN(Registro!$F245))),({1,2,3,4,5,6,7,8,9,10,11,12,13,14,15,16,17,18,19,20,21,22,23,24,25,26,27,28,29,30}-1)*LEN(Registro!$F245)+1,LEN(Registro!$F245))),FIND("x",TRIM(MID(SUBSTITUTE(SUBSTITUTE(SUBSTITUTE(SUBSTITUTE(SUBSTITUTE(LOWER(Registro!$F245)," ",""),CHAR(10),"|"),";","|"),"+","|"),"|",REPT(" ",LEN(Registro!$F245))),({1,2,3,4,5,6,7,8,9,10,11,12,13,14,15,16,17,18,19,20,21,22,23,24,25,26,27,28,29,30}-1)*LEN(Registro!$F245)+1,LEN(Registro!$F245)))&amp;"x")-1)),--("0"&amp;MID(TRIM(MID(SUBSTITUTE(SUBSTITUTE(SUBSTITUTE(SUBSTITUTE(SUBSTITUTE(LOWER(Registro!$F245)," ",""),CHAR(10),"|"),";","|"),"+","|"),"|",REPT(" ",LEN(Registro!$F245))),({1,2,3,4,5,6,7,8,9,10,11,12,13,14,15,16,17,18,19,20,21,22,23,24,25,26,27,28,29,30}-1)*LEN(Registro!$F245)+1,LEN(Registro!$F245))),FIND("x",TRIM(MID(SUBSTITUTE(SUBSTITUTE(SUBSTITUTE(SUBSTITUTE(SUBSTITUTE(LOWER(Registro!$F245)," ",""),CHAR(10),"|"),";","|"),"+","|"),"|",REPT(" ",LEN(Registro!$F245))),({1,2,3,4,5,6,7,8,9,10,11,12,13,14,15,16,17,18,19,20,21,22,23,24,25,26,27,28,29,30}-1)*LEN(Registro!$F245)+1,LEN(Registro!$F245)))&amp;"x")+1,20))),"Revisar formato")))</f>
        <v/>
      </c>
      <c r="H245" s="21" t="str">
        <f>IF(AND(Registro!$E245="",Registro!$F245=""),"",IF(NOT(AND(ISNUMBER(G245),ISNUMBER(Registro!$G245))),"",IF(G245&lt;Registro!$G245,"FALTA BOLETOS",IF(G245=Registro!$G245,"CONFORME","DIFERENCIA"))))</f>
        <v/>
      </c>
      <c r="I245" s="24" t="str">
        <f>IF(Registro!$H245="","",IFERROR(SUMPRODUCT(--("0"&amp;TRIM(RIGHT(SUBSTITUTE(TRIM(MID(SUBSTITUTE(SUBSTITUTE(Registro!$H245,";",CHAR(10)),CHAR(10),REPT(" ",LEN(Registro!$H245))),({1,2,3,4,5,6,7,8,9,10,11,12,13,14,15,16,17,18,19,20,21,22,23,24,25,26,27,28,29,30}-1)*LEN(Registro!$H245)+1,LEN(Registro!$H245)))," ",REPT(" ",50)),50)))),"Revisar formato"))</f>
        <v/>
      </c>
      <c r="J245" s="24" t="str">
        <f>IF(Registro!$I245="","",IFERROR(SUMPRODUCT(--("0"&amp;TRIM(RIGHT(SUBSTITUTE(TRIM(MID(SUBSTITUTE(SUBSTITUTE(Registro!$I245,";",CHAR(10)),CHAR(10),REPT(" ",LEN(Registro!$I245))),({1,2,3,4,5,6,7,8,9,10,11,12,13,14,15,16,17,18,19,20,21,22,23,24,25,26,27,28,29,30}-1)*LEN(Registro!$I245)+1,LEN(Registro!$I245)))," ",REPT(" ",50)),50)))),"Revisar formato"))</f>
        <v/>
      </c>
      <c r="K245" s="24" t="str">
        <f>IF(AND(Registro!$G245="",Registro!$H245=""),"",IF(AND(ISTEXT(I245),I245&lt;&gt;""),"Revisar formato",N(Registro!$G245)-N(I245)))</f>
        <v/>
      </c>
      <c r="L245" s="24" t="str">
        <f t="shared" si="7"/>
        <v/>
      </c>
      <c r="M245" s="36" t="str">
        <f>IF(AND(A245=Consulta!$B$3,C245=Consulta!$H$3),B245*10000+ROW(),"")</f>
        <v/>
      </c>
    </row>
    <row r="246" spans="1:13" x14ac:dyDescent="0.25">
      <c r="A246" s="21" t="str">
        <f>IF(Registro!$A246="","",Registro!$A246)</f>
        <v/>
      </c>
      <c r="B246" s="20" t="str">
        <f>IF(Registro!$B246="","",Registro!$B246)</f>
        <v/>
      </c>
      <c r="C246" s="35" t="str">
        <f t="shared" si="6"/>
        <v/>
      </c>
      <c r="D246" s="23" t="str">
        <f>IF(Registro!$E246="","",IF(ISERROR(FIND("x",LOWER(Registro!$E246))),"-",IFERROR(SUMPRODUCT(--("0"&amp;LEFT(TRIM(MID(SUBSTITUTE(SUBSTITUTE(SUBSTITUTE(SUBSTITUTE(SUBSTITUTE(LOWER(Registro!$E246),"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",LEN(Registro!$E246))),({1,2,3,4,5,6,7,8,9,10,11,12,13,14,15,16,17,18,19,20,21,22,23,24,25,26,27,28,29,30}-1)*LEN(Registro!$E246)+1,LEN(Registro!$E246))),FIND("x",TRIM(MID(SUBSTITUTE(SUBSTITUTE(SUBSTITUTE(SUBSTITUTE(SUBSTITUTE(LOWER(Registro!$E246),"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",LEN(Registro!$E246))),({1,2,3,4,5,6,7,8,9,10,11,12,13,14,15,16,17,18,19,20,21,22,23,24,25,26,27,28,29,30}-1)*LEN(Registro!$E246)+1,LEN(Registro!$E246)))&amp;"x")-1))),"Revisar formato")))</f>
        <v/>
      </c>
      <c r="E246" s="24" t="str">
        <f>IF(Registro!$E246="","",IF(ISERROR(FIND("x",LOWER(Registro!$E246))),"-",IFERROR(SUMPRODUCT(--("0"&amp;LEFT(TRIM(MID(SUBSTITUTE(SUBSTITUTE(SUBSTITUTE(SUBSTITUTE(SUBSTITUTE(LOWER(Registro!$E246),"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",LEN(Registro!$E246))),({1,2,3,4,5,6,7,8,9,10,11,12,13,14,15,16,17,18,19,20,21,22,23,24,25,26,27,28,29,30}-1)*LEN(Registro!$E246)+1,LEN(Registro!$E246))),FIND("x",TRIM(MID(SUBSTITUTE(SUBSTITUTE(SUBSTITUTE(SUBSTITUTE(SUBSTITUTE(LOWER(Registro!$E246),"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",LEN(Registro!$E246))),({1,2,3,4,5,6,7,8,9,10,11,12,13,14,15,16,17,18,19,20,21,22,23,24,25,26,27,28,29,30}-1)*LEN(Registro!$E246)+1,LEN(Registro!$E246)))&amp;"x")-1)),--("0"&amp;MID(TRIM(MID(SUBSTITUTE(SUBSTITUTE(SUBSTITUTE(SUBSTITUTE(SUBSTITUTE(LOWER(Registro!$E246),"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",LEN(Registro!$E246))),({1,2,3,4,5,6,7,8,9,10,11,12,13,14,15,16,17,18,19,20,21,22,23,24,25,26,27,28,29,30}-1)*LEN(Registro!$E246)+1,LEN(Registro!$E246))),FIND("x",TRIM(MID(SUBSTITUTE(SUBSTITUTE(SUBSTITUTE(SUBSTITUTE(SUBSTITUTE(LOWER(Registro!$E246),"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",LEN(Registro!$E246))),({1,2,3,4,5,6,7,8,9,10,11,12,13,14,15,16,17,18,19,20,21,22,23,24,25,26,27,28,29,30}-1)*LEN(Registro!$E246)+1,LEN(Registro!$E246)))&amp;"x")+1,20))),"Revisar formato")))</f>
        <v/>
      </c>
      <c r="F246" s="23" t="str">
        <f>IF(Registro!$F246="","",IF(ISERROR(FIND("x",LOWER(Registro!$F246))),"-",IFERROR(SUMPRODUCT(--("0"&amp;LEFT(TRIM(MID(SUBSTITUTE(SUBSTITUTE(SUBSTITUTE(SUBSTITUTE(SUBSTITUTE(LOWER(Registro!$F246)," ",""),CHAR(10),"|"),";","|"),"+","|"),"|",REPT(" ",LEN(Registro!$F246))),({1,2,3,4,5,6,7,8,9,10,11,12,13,14,15,16,17,18,19,20,21,22,23,24,25,26,27,28,29,30}-1)*LEN(Registro!$F246)+1,LEN(Registro!$F246))),FIND("x",TRIM(MID(SUBSTITUTE(SUBSTITUTE(SUBSTITUTE(SUBSTITUTE(SUBSTITUTE(LOWER(Registro!$F246)," ",""),CHAR(10),"|"),";","|"),"+","|"),"|",REPT(" ",LEN(Registro!$F246))),({1,2,3,4,5,6,7,8,9,10,11,12,13,14,15,16,17,18,19,20,21,22,23,24,25,26,27,28,29,30}-1)*LEN(Registro!$F246)+1,LEN(Registro!$F246)))&amp;"x")-1))),"Revisar formato")))</f>
        <v/>
      </c>
      <c r="G246" s="24" t="str">
        <f>IF(Registro!$F246="","",IF(ISERROR(FIND("x",LOWER(Registro!$F246))),N(Registro!$G246),IFERROR(SUMPRODUCT(--("0"&amp;LEFT(TRIM(MID(SUBSTITUTE(SUBSTITUTE(SUBSTITUTE(SUBSTITUTE(SUBSTITUTE(LOWER(Registro!$F246)," ",""),CHAR(10),"|"),";","|"),"+","|"),"|",REPT(" ",LEN(Registro!$F246))),({1,2,3,4,5,6,7,8,9,10,11,12,13,14,15,16,17,18,19,20,21,22,23,24,25,26,27,28,29,30}-1)*LEN(Registro!$F246)+1,LEN(Registro!$F246))),FIND("x",TRIM(MID(SUBSTITUTE(SUBSTITUTE(SUBSTITUTE(SUBSTITUTE(SUBSTITUTE(LOWER(Registro!$F246)," ",""),CHAR(10),"|"),";","|"),"+","|"),"|",REPT(" ",LEN(Registro!$F246))),({1,2,3,4,5,6,7,8,9,10,11,12,13,14,15,16,17,18,19,20,21,22,23,24,25,26,27,28,29,30}-1)*LEN(Registro!$F246)+1,LEN(Registro!$F246)))&amp;"x")-1)),--("0"&amp;MID(TRIM(MID(SUBSTITUTE(SUBSTITUTE(SUBSTITUTE(SUBSTITUTE(SUBSTITUTE(LOWER(Registro!$F246)," ",""),CHAR(10),"|"),";","|"),"+","|"),"|",REPT(" ",LEN(Registro!$F246))),({1,2,3,4,5,6,7,8,9,10,11,12,13,14,15,16,17,18,19,20,21,22,23,24,25,26,27,28,29,30}-1)*LEN(Registro!$F246)+1,LEN(Registro!$F246))),FIND("x",TRIM(MID(SUBSTITUTE(SUBSTITUTE(SUBSTITUTE(SUBSTITUTE(SUBSTITUTE(LOWER(Registro!$F246)," ",""),CHAR(10),"|"),";","|"),"+","|"),"|",REPT(" ",LEN(Registro!$F246))),({1,2,3,4,5,6,7,8,9,10,11,12,13,14,15,16,17,18,19,20,21,22,23,24,25,26,27,28,29,30}-1)*LEN(Registro!$F246)+1,LEN(Registro!$F246)))&amp;"x")+1,20))),"Revisar formato")))</f>
        <v/>
      </c>
      <c r="H246" s="21" t="str">
        <f>IF(AND(Registro!$E246="",Registro!$F246=""),"",IF(NOT(AND(ISNUMBER(G246),ISNUMBER(Registro!$G246))),"",IF(G246&lt;Registro!$G246,"FALTA BOLETOS",IF(G246=Registro!$G246,"CONFORME","DIFERENCIA"))))</f>
        <v/>
      </c>
      <c r="I246" s="24" t="str">
        <f>IF(Registro!$H246="","",IFERROR(SUMPRODUCT(--("0"&amp;TRIM(RIGHT(SUBSTITUTE(TRIM(MID(SUBSTITUTE(SUBSTITUTE(Registro!$H246,";",CHAR(10)),CHAR(10),REPT(" ",LEN(Registro!$H246))),({1,2,3,4,5,6,7,8,9,10,11,12,13,14,15,16,17,18,19,20,21,22,23,24,25,26,27,28,29,30}-1)*LEN(Registro!$H246)+1,LEN(Registro!$H246)))," ",REPT(" ",50)),50)))),"Revisar formato"))</f>
        <v/>
      </c>
      <c r="J246" s="24" t="str">
        <f>IF(Registro!$I246="","",IFERROR(SUMPRODUCT(--("0"&amp;TRIM(RIGHT(SUBSTITUTE(TRIM(MID(SUBSTITUTE(SUBSTITUTE(Registro!$I246,";",CHAR(10)),CHAR(10),REPT(" ",LEN(Registro!$I246))),({1,2,3,4,5,6,7,8,9,10,11,12,13,14,15,16,17,18,19,20,21,22,23,24,25,26,27,28,29,30}-1)*LEN(Registro!$I246)+1,LEN(Registro!$I246)))," ",REPT(" ",50)),50)))),"Revisar formato"))</f>
        <v/>
      </c>
      <c r="K246" s="24" t="str">
        <f>IF(AND(Registro!$G246="",Registro!$H246=""),"",IF(AND(ISTEXT(I246),I246&lt;&gt;""),"Revisar formato",N(Registro!$G246)-N(I246)))</f>
        <v/>
      </c>
      <c r="L246" s="24" t="str">
        <f t="shared" si="7"/>
        <v/>
      </c>
      <c r="M246" s="36" t="str">
        <f>IF(AND(A246=Consulta!$B$3,C246=Consulta!$H$3),B246*10000+ROW(),"")</f>
        <v/>
      </c>
    </row>
    <row r="247" spans="1:13" x14ac:dyDescent="0.25">
      <c r="A247" s="21" t="str">
        <f>IF(Registro!$A247="","",Registro!$A247)</f>
        <v/>
      </c>
      <c r="B247" s="20" t="str">
        <f>IF(Registro!$B247="","",Registro!$B247)</f>
        <v/>
      </c>
      <c r="C247" s="35" t="str">
        <f t="shared" si="6"/>
        <v/>
      </c>
      <c r="D247" s="23" t="str">
        <f>IF(Registro!$E247="","",IF(ISERROR(FIND("x",LOWER(Registro!$E247))),"-",IFERROR(SUMPRODUCT(--("0"&amp;LEFT(TRIM(MID(SUBSTITUTE(SUBSTITUTE(SUBSTITUTE(SUBSTITUTE(SUBSTITUTE(LOWER(Registro!$E247),"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",LEN(Registro!$E247))),({1,2,3,4,5,6,7,8,9,10,11,12,13,14,15,16,17,18,19,20,21,22,23,24,25,26,27,28,29,30}-1)*LEN(Registro!$E247)+1,LEN(Registro!$E247))),FIND("x",TRIM(MID(SUBSTITUTE(SUBSTITUTE(SUBSTITUTE(SUBSTITUTE(SUBSTITUTE(LOWER(Registro!$E247),"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",LEN(Registro!$E247))),({1,2,3,4,5,6,7,8,9,10,11,12,13,14,15,16,17,18,19,20,21,22,23,24,25,26,27,28,29,30}-1)*LEN(Registro!$E247)+1,LEN(Registro!$E247)))&amp;"x")-1))),"Revisar formato")))</f>
        <v/>
      </c>
      <c r="E247" s="24" t="str">
        <f>IF(Registro!$E247="","",IF(ISERROR(FIND("x",LOWER(Registro!$E247))),"-",IFERROR(SUMPRODUCT(--("0"&amp;LEFT(TRIM(MID(SUBSTITUTE(SUBSTITUTE(SUBSTITUTE(SUBSTITUTE(SUBSTITUTE(LOWER(Registro!$E247),"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",LEN(Registro!$E247))),({1,2,3,4,5,6,7,8,9,10,11,12,13,14,15,16,17,18,19,20,21,22,23,24,25,26,27,28,29,30}-1)*LEN(Registro!$E247)+1,LEN(Registro!$E247))),FIND("x",TRIM(MID(SUBSTITUTE(SUBSTITUTE(SUBSTITUTE(SUBSTITUTE(SUBSTITUTE(LOWER(Registro!$E247),"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",LEN(Registro!$E247))),({1,2,3,4,5,6,7,8,9,10,11,12,13,14,15,16,17,18,19,20,21,22,23,24,25,26,27,28,29,30}-1)*LEN(Registro!$E247)+1,LEN(Registro!$E247)))&amp;"x")-1)),--("0"&amp;MID(TRIM(MID(SUBSTITUTE(SUBSTITUTE(SUBSTITUTE(SUBSTITUTE(SUBSTITUTE(LOWER(Registro!$E247),"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",LEN(Registro!$E247))),({1,2,3,4,5,6,7,8,9,10,11,12,13,14,15,16,17,18,19,20,21,22,23,24,25,26,27,28,29,30}-1)*LEN(Registro!$E247)+1,LEN(Registro!$E247))),FIND("x",TRIM(MID(SUBSTITUTE(SUBSTITUTE(SUBSTITUTE(SUBSTITUTE(SUBSTITUTE(LOWER(Registro!$E247),"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",LEN(Registro!$E247))),({1,2,3,4,5,6,7,8,9,10,11,12,13,14,15,16,17,18,19,20,21,22,23,24,25,26,27,28,29,30}-1)*LEN(Registro!$E247)+1,LEN(Registro!$E247)))&amp;"x")+1,20))),"Revisar formato")))</f>
        <v/>
      </c>
      <c r="F247" s="23" t="str">
        <f>IF(Registro!$F247="","",IF(ISERROR(FIND("x",LOWER(Registro!$F247))),"-",IFERROR(SUMPRODUCT(--("0"&amp;LEFT(TRIM(MID(SUBSTITUTE(SUBSTITUTE(SUBSTITUTE(SUBSTITUTE(SUBSTITUTE(LOWER(Registro!$F247)," ",""),CHAR(10),"|"),";","|"),"+","|"),"|",REPT(" ",LEN(Registro!$F247))),({1,2,3,4,5,6,7,8,9,10,11,12,13,14,15,16,17,18,19,20,21,22,23,24,25,26,27,28,29,30}-1)*LEN(Registro!$F247)+1,LEN(Registro!$F247))),FIND("x",TRIM(MID(SUBSTITUTE(SUBSTITUTE(SUBSTITUTE(SUBSTITUTE(SUBSTITUTE(LOWER(Registro!$F247)," ",""),CHAR(10),"|"),";","|"),"+","|"),"|",REPT(" ",LEN(Registro!$F247))),({1,2,3,4,5,6,7,8,9,10,11,12,13,14,15,16,17,18,19,20,21,22,23,24,25,26,27,28,29,30}-1)*LEN(Registro!$F247)+1,LEN(Registro!$F247)))&amp;"x")-1))),"Revisar formato")))</f>
        <v/>
      </c>
      <c r="G247" s="24" t="str">
        <f>IF(Registro!$F247="","",IF(ISERROR(FIND("x",LOWER(Registro!$F247))),N(Registro!$G247),IFERROR(SUMPRODUCT(--("0"&amp;LEFT(TRIM(MID(SUBSTITUTE(SUBSTITUTE(SUBSTITUTE(SUBSTITUTE(SUBSTITUTE(LOWER(Registro!$F247)," ",""),CHAR(10),"|"),";","|"),"+","|"),"|",REPT(" ",LEN(Registro!$F247))),({1,2,3,4,5,6,7,8,9,10,11,12,13,14,15,16,17,18,19,20,21,22,23,24,25,26,27,28,29,30}-1)*LEN(Registro!$F247)+1,LEN(Registro!$F247))),FIND("x",TRIM(MID(SUBSTITUTE(SUBSTITUTE(SUBSTITUTE(SUBSTITUTE(SUBSTITUTE(LOWER(Registro!$F247)," ",""),CHAR(10),"|"),";","|"),"+","|"),"|",REPT(" ",LEN(Registro!$F247))),({1,2,3,4,5,6,7,8,9,10,11,12,13,14,15,16,17,18,19,20,21,22,23,24,25,26,27,28,29,30}-1)*LEN(Registro!$F247)+1,LEN(Registro!$F247)))&amp;"x")-1)),--("0"&amp;MID(TRIM(MID(SUBSTITUTE(SUBSTITUTE(SUBSTITUTE(SUBSTITUTE(SUBSTITUTE(LOWER(Registro!$F247)," ",""),CHAR(10),"|"),";","|"),"+","|"),"|",REPT(" ",LEN(Registro!$F247))),({1,2,3,4,5,6,7,8,9,10,11,12,13,14,15,16,17,18,19,20,21,22,23,24,25,26,27,28,29,30}-1)*LEN(Registro!$F247)+1,LEN(Registro!$F247))),FIND("x",TRIM(MID(SUBSTITUTE(SUBSTITUTE(SUBSTITUTE(SUBSTITUTE(SUBSTITUTE(LOWER(Registro!$F247)," ",""),CHAR(10),"|"),";","|"),"+","|"),"|",REPT(" ",LEN(Registro!$F247))),({1,2,3,4,5,6,7,8,9,10,11,12,13,14,15,16,17,18,19,20,21,22,23,24,25,26,27,28,29,30}-1)*LEN(Registro!$F247)+1,LEN(Registro!$F247)))&amp;"x")+1,20))),"Revisar formato")))</f>
        <v/>
      </c>
      <c r="H247" s="21" t="str">
        <f>IF(AND(Registro!$E247="",Registro!$F247=""),"",IF(NOT(AND(ISNUMBER(G247),ISNUMBER(Registro!$G247))),"",IF(G247&lt;Registro!$G247,"FALTA BOLETOS",IF(G247=Registro!$G247,"CONFORME","DIFERENCIA"))))</f>
        <v/>
      </c>
      <c r="I247" s="24" t="str">
        <f>IF(Registro!$H247="","",IFERROR(SUMPRODUCT(--("0"&amp;TRIM(RIGHT(SUBSTITUTE(TRIM(MID(SUBSTITUTE(SUBSTITUTE(Registro!$H247,";",CHAR(10)),CHAR(10),REPT(" ",LEN(Registro!$H247))),({1,2,3,4,5,6,7,8,9,10,11,12,13,14,15,16,17,18,19,20,21,22,23,24,25,26,27,28,29,30}-1)*LEN(Registro!$H247)+1,LEN(Registro!$H247)))," ",REPT(" ",50)),50)))),"Revisar formato"))</f>
        <v/>
      </c>
      <c r="J247" s="24" t="str">
        <f>IF(Registro!$I247="","",IFERROR(SUMPRODUCT(--("0"&amp;TRIM(RIGHT(SUBSTITUTE(TRIM(MID(SUBSTITUTE(SUBSTITUTE(Registro!$I247,";",CHAR(10)),CHAR(10),REPT(" ",LEN(Registro!$I247))),({1,2,3,4,5,6,7,8,9,10,11,12,13,14,15,16,17,18,19,20,21,22,23,24,25,26,27,28,29,30}-1)*LEN(Registro!$I247)+1,LEN(Registro!$I247)))," ",REPT(" ",50)),50)))),"Revisar formato"))</f>
        <v/>
      </c>
      <c r="K247" s="24" t="str">
        <f>IF(AND(Registro!$G247="",Registro!$H247=""),"",IF(AND(ISTEXT(I247),I247&lt;&gt;""),"Revisar formato",N(Registro!$G247)-N(I247)))</f>
        <v/>
      </c>
      <c r="L247" s="24" t="str">
        <f t="shared" si="7"/>
        <v/>
      </c>
      <c r="M247" s="36" t="str">
        <f>IF(AND(A247=Consulta!$B$3,C247=Consulta!$H$3),B247*10000+ROW(),"")</f>
        <v/>
      </c>
    </row>
    <row r="248" spans="1:13" x14ac:dyDescent="0.25">
      <c r="A248" s="21" t="str">
        <f>IF(Registro!$A248="","",Registro!$A248)</f>
        <v/>
      </c>
      <c r="B248" s="20" t="str">
        <f>IF(Registro!$B248="","",Registro!$B248)</f>
        <v/>
      </c>
      <c r="C248" s="35" t="str">
        <f t="shared" si="6"/>
        <v/>
      </c>
      <c r="D248" s="23" t="str">
        <f>IF(Registro!$E248="","",IF(ISERROR(FIND("x",LOWER(Registro!$E248))),"-",IFERROR(SUMPRODUCT(--("0"&amp;LEFT(TRIM(MID(SUBSTITUTE(SUBSTITUTE(SUBSTITUTE(SUBSTITUTE(SUBSTITUTE(LOWER(Registro!$E248),"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",LEN(Registro!$E248))),({1,2,3,4,5,6,7,8,9,10,11,12,13,14,15,16,17,18,19,20,21,22,23,24,25,26,27,28,29,30}-1)*LEN(Registro!$E248)+1,LEN(Registro!$E248))),FIND("x",TRIM(MID(SUBSTITUTE(SUBSTITUTE(SUBSTITUTE(SUBSTITUTE(SUBSTITUTE(LOWER(Registro!$E248),"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",LEN(Registro!$E248))),({1,2,3,4,5,6,7,8,9,10,11,12,13,14,15,16,17,18,19,20,21,22,23,24,25,26,27,28,29,30}-1)*LEN(Registro!$E248)+1,LEN(Registro!$E248)))&amp;"x")-1))),"Revisar formato")))</f>
        <v/>
      </c>
      <c r="E248" s="24" t="str">
        <f>IF(Registro!$E248="","",IF(ISERROR(FIND("x",LOWER(Registro!$E248))),"-",IFERROR(SUMPRODUCT(--("0"&amp;LEFT(TRIM(MID(SUBSTITUTE(SUBSTITUTE(SUBSTITUTE(SUBSTITUTE(SUBSTITUTE(LOWER(Registro!$E248),"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",LEN(Registro!$E248))),({1,2,3,4,5,6,7,8,9,10,11,12,13,14,15,16,17,18,19,20,21,22,23,24,25,26,27,28,29,30}-1)*LEN(Registro!$E248)+1,LEN(Registro!$E248))),FIND("x",TRIM(MID(SUBSTITUTE(SUBSTITUTE(SUBSTITUTE(SUBSTITUTE(SUBSTITUTE(LOWER(Registro!$E248),"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",LEN(Registro!$E248))),({1,2,3,4,5,6,7,8,9,10,11,12,13,14,15,16,17,18,19,20,21,22,23,24,25,26,27,28,29,30}-1)*LEN(Registro!$E248)+1,LEN(Registro!$E248)))&amp;"x")-1)),--("0"&amp;MID(TRIM(MID(SUBSTITUTE(SUBSTITUTE(SUBSTITUTE(SUBSTITUTE(SUBSTITUTE(LOWER(Registro!$E248),"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",LEN(Registro!$E248))),({1,2,3,4,5,6,7,8,9,10,11,12,13,14,15,16,17,18,19,20,21,22,23,24,25,26,27,28,29,30}-1)*LEN(Registro!$E248)+1,LEN(Registro!$E248))),FIND("x",TRIM(MID(SUBSTITUTE(SUBSTITUTE(SUBSTITUTE(SUBSTITUTE(SUBSTITUTE(LOWER(Registro!$E248),"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",LEN(Registro!$E248))),({1,2,3,4,5,6,7,8,9,10,11,12,13,14,15,16,17,18,19,20,21,22,23,24,25,26,27,28,29,30}-1)*LEN(Registro!$E248)+1,LEN(Registro!$E248)))&amp;"x")+1,20))),"Revisar formato")))</f>
        <v/>
      </c>
      <c r="F248" s="23" t="str">
        <f>IF(Registro!$F248="","",IF(ISERROR(FIND("x",LOWER(Registro!$F248))),"-",IFERROR(SUMPRODUCT(--("0"&amp;LEFT(TRIM(MID(SUBSTITUTE(SUBSTITUTE(SUBSTITUTE(SUBSTITUTE(SUBSTITUTE(LOWER(Registro!$F248)," ",""),CHAR(10),"|"),";","|"),"+","|"),"|",REPT(" ",LEN(Registro!$F248))),({1,2,3,4,5,6,7,8,9,10,11,12,13,14,15,16,17,18,19,20,21,22,23,24,25,26,27,28,29,30}-1)*LEN(Registro!$F248)+1,LEN(Registro!$F248))),FIND("x",TRIM(MID(SUBSTITUTE(SUBSTITUTE(SUBSTITUTE(SUBSTITUTE(SUBSTITUTE(LOWER(Registro!$F248)," ",""),CHAR(10),"|"),";","|"),"+","|"),"|",REPT(" ",LEN(Registro!$F248))),({1,2,3,4,5,6,7,8,9,10,11,12,13,14,15,16,17,18,19,20,21,22,23,24,25,26,27,28,29,30}-1)*LEN(Registro!$F248)+1,LEN(Registro!$F248)))&amp;"x")-1))),"Revisar formato")))</f>
        <v/>
      </c>
      <c r="G248" s="24" t="str">
        <f>IF(Registro!$F248="","",IF(ISERROR(FIND("x",LOWER(Registro!$F248))),N(Registro!$G248),IFERROR(SUMPRODUCT(--("0"&amp;LEFT(TRIM(MID(SUBSTITUTE(SUBSTITUTE(SUBSTITUTE(SUBSTITUTE(SUBSTITUTE(LOWER(Registro!$F248)," ",""),CHAR(10),"|"),";","|"),"+","|"),"|",REPT(" ",LEN(Registro!$F248))),({1,2,3,4,5,6,7,8,9,10,11,12,13,14,15,16,17,18,19,20,21,22,23,24,25,26,27,28,29,30}-1)*LEN(Registro!$F248)+1,LEN(Registro!$F248))),FIND("x",TRIM(MID(SUBSTITUTE(SUBSTITUTE(SUBSTITUTE(SUBSTITUTE(SUBSTITUTE(LOWER(Registro!$F248)," ",""),CHAR(10),"|"),";","|"),"+","|"),"|",REPT(" ",LEN(Registro!$F248))),({1,2,3,4,5,6,7,8,9,10,11,12,13,14,15,16,17,18,19,20,21,22,23,24,25,26,27,28,29,30}-1)*LEN(Registro!$F248)+1,LEN(Registro!$F248)))&amp;"x")-1)),--("0"&amp;MID(TRIM(MID(SUBSTITUTE(SUBSTITUTE(SUBSTITUTE(SUBSTITUTE(SUBSTITUTE(LOWER(Registro!$F248)," ",""),CHAR(10),"|"),";","|"),"+","|"),"|",REPT(" ",LEN(Registro!$F248))),({1,2,3,4,5,6,7,8,9,10,11,12,13,14,15,16,17,18,19,20,21,22,23,24,25,26,27,28,29,30}-1)*LEN(Registro!$F248)+1,LEN(Registro!$F248))),FIND("x",TRIM(MID(SUBSTITUTE(SUBSTITUTE(SUBSTITUTE(SUBSTITUTE(SUBSTITUTE(LOWER(Registro!$F248)," ",""),CHAR(10),"|"),";","|"),"+","|"),"|",REPT(" ",LEN(Registro!$F248))),({1,2,3,4,5,6,7,8,9,10,11,12,13,14,15,16,17,18,19,20,21,22,23,24,25,26,27,28,29,30}-1)*LEN(Registro!$F248)+1,LEN(Registro!$F248)))&amp;"x")+1,20))),"Revisar formato")))</f>
        <v/>
      </c>
      <c r="H248" s="21" t="str">
        <f>IF(AND(Registro!$E248="",Registro!$F248=""),"",IF(NOT(AND(ISNUMBER(G248),ISNUMBER(Registro!$G248))),"",IF(G248&lt;Registro!$G248,"FALTA BOLETOS",IF(G248=Registro!$G248,"CONFORME","DIFERENCIA"))))</f>
        <v/>
      </c>
      <c r="I248" s="24" t="str">
        <f>IF(Registro!$H248="","",IFERROR(SUMPRODUCT(--("0"&amp;TRIM(RIGHT(SUBSTITUTE(TRIM(MID(SUBSTITUTE(SUBSTITUTE(Registro!$H248,";",CHAR(10)),CHAR(10),REPT(" ",LEN(Registro!$H248))),({1,2,3,4,5,6,7,8,9,10,11,12,13,14,15,16,17,18,19,20,21,22,23,24,25,26,27,28,29,30}-1)*LEN(Registro!$H248)+1,LEN(Registro!$H248)))," ",REPT(" ",50)),50)))),"Revisar formato"))</f>
        <v/>
      </c>
      <c r="J248" s="24" t="str">
        <f>IF(Registro!$I248="","",IFERROR(SUMPRODUCT(--("0"&amp;TRIM(RIGHT(SUBSTITUTE(TRIM(MID(SUBSTITUTE(SUBSTITUTE(Registro!$I248,";",CHAR(10)),CHAR(10),REPT(" ",LEN(Registro!$I248))),({1,2,3,4,5,6,7,8,9,10,11,12,13,14,15,16,17,18,19,20,21,22,23,24,25,26,27,28,29,30}-1)*LEN(Registro!$I248)+1,LEN(Registro!$I248)))," ",REPT(" ",50)),50)))),"Revisar formato"))</f>
        <v/>
      </c>
      <c r="K248" s="24" t="str">
        <f>IF(AND(Registro!$G248="",Registro!$H248=""),"",IF(AND(ISTEXT(I248),I248&lt;&gt;""),"Revisar formato",N(Registro!$G248)-N(I248)))</f>
        <v/>
      </c>
      <c r="L248" s="24" t="str">
        <f t="shared" si="7"/>
        <v/>
      </c>
      <c r="M248" s="36" t="str">
        <f>IF(AND(A248=Consulta!$B$3,C248=Consulta!$H$3),B248*10000+ROW(),"")</f>
        <v/>
      </c>
    </row>
    <row r="249" spans="1:13" x14ac:dyDescent="0.25">
      <c r="A249" s="21" t="str">
        <f>IF(Registro!$A249="","",Registro!$A249)</f>
        <v/>
      </c>
      <c r="B249" s="20" t="str">
        <f>IF(Registro!$B249="","",Registro!$B249)</f>
        <v/>
      </c>
      <c r="C249" s="35" t="str">
        <f t="shared" si="6"/>
        <v/>
      </c>
      <c r="D249" s="23" t="str">
        <f>IF(Registro!$E249="","",IF(ISERROR(FIND("x",LOWER(Registro!$E249))),"-",IFERROR(SUMPRODUCT(--("0"&amp;LEFT(TRIM(MID(SUBSTITUTE(SUBSTITUTE(SUBSTITUTE(SUBSTITUTE(SUBSTITUTE(LOWER(Registro!$E249),"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",LEN(Registro!$E249))),({1,2,3,4,5,6,7,8,9,10,11,12,13,14,15,16,17,18,19,20,21,22,23,24,25,26,27,28,29,30}-1)*LEN(Registro!$E249)+1,LEN(Registro!$E249))),FIND("x",TRIM(MID(SUBSTITUTE(SUBSTITUTE(SUBSTITUTE(SUBSTITUTE(SUBSTITUTE(LOWER(Registro!$E249),"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",LEN(Registro!$E249))),({1,2,3,4,5,6,7,8,9,10,11,12,13,14,15,16,17,18,19,20,21,22,23,24,25,26,27,28,29,30}-1)*LEN(Registro!$E249)+1,LEN(Registro!$E249)))&amp;"x")-1))),"Revisar formato")))</f>
        <v/>
      </c>
      <c r="E249" s="24" t="str">
        <f>IF(Registro!$E249="","",IF(ISERROR(FIND("x",LOWER(Registro!$E249))),"-",IFERROR(SUMPRODUCT(--("0"&amp;LEFT(TRIM(MID(SUBSTITUTE(SUBSTITUTE(SUBSTITUTE(SUBSTITUTE(SUBSTITUTE(LOWER(Registro!$E249),"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",LEN(Registro!$E249))),({1,2,3,4,5,6,7,8,9,10,11,12,13,14,15,16,17,18,19,20,21,22,23,24,25,26,27,28,29,30}-1)*LEN(Registro!$E249)+1,LEN(Registro!$E249))),FIND("x",TRIM(MID(SUBSTITUTE(SUBSTITUTE(SUBSTITUTE(SUBSTITUTE(SUBSTITUTE(LOWER(Registro!$E249),"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",LEN(Registro!$E249))),({1,2,3,4,5,6,7,8,9,10,11,12,13,14,15,16,17,18,19,20,21,22,23,24,25,26,27,28,29,30}-1)*LEN(Registro!$E249)+1,LEN(Registro!$E249)))&amp;"x")-1)),--("0"&amp;MID(TRIM(MID(SUBSTITUTE(SUBSTITUTE(SUBSTITUTE(SUBSTITUTE(SUBSTITUTE(LOWER(Registro!$E249),"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",LEN(Registro!$E249))),({1,2,3,4,5,6,7,8,9,10,11,12,13,14,15,16,17,18,19,20,21,22,23,24,25,26,27,28,29,30}-1)*LEN(Registro!$E249)+1,LEN(Registro!$E249))),FIND("x",TRIM(MID(SUBSTITUTE(SUBSTITUTE(SUBSTITUTE(SUBSTITUTE(SUBSTITUTE(LOWER(Registro!$E249),"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",LEN(Registro!$E249))),({1,2,3,4,5,6,7,8,9,10,11,12,13,14,15,16,17,18,19,20,21,22,23,24,25,26,27,28,29,30}-1)*LEN(Registro!$E249)+1,LEN(Registro!$E249)))&amp;"x")+1,20))),"Revisar formato")))</f>
        <v/>
      </c>
      <c r="F249" s="23" t="str">
        <f>IF(Registro!$F249="","",IF(ISERROR(FIND("x",LOWER(Registro!$F249))),"-",IFERROR(SUMPRODUCT(--("0"&amp;LEFT(TRIM(MID(SUBSTITUTE(SUBSTITUTE(SUBSTITUTE(SUBSTITUTE(SUBSTITUTE(LOWER(Registro!$F249)," ",""),CHAR(10),"|"),";","|"),"+","|"),"|",REPT(" ",LEN(Registro!$F249))),({1,2,3,4,5,6,7,8,9,10,11,12,13,14,15,16,17,18,19,20,21,22,23,24,25,26,27,28,29,30}-1)*LEN(Registro!$F249)+1,LEN(Registro!$F249))),FIND("x",TRIM(MID(SUBSTITUTE(SUBSTITUTE(SUBSTITUTE(SUBSTITUTE(SUBSTITUTE(LOWER(Registro!$F249)," ",""),CHAR(10),"|"),";","|"),"+","|"),"|",REPT(" ",LEN(Registro!$F249))),({1,2,3,4,5,6,7,8,9,10,11,12,13,14,15,16,17,18,19,20,21,22,23,24,25,26,27,28,29,30}-1)*LEN(Registro!$F249)+1,LEN(Registro!$F249)))&amp;"x")-1))),"Revisar formato")))</f>
        <v/>
      </c>
      <c r="G249" s="24" t="str">
        <f>IF(Registro!$F249="","",IF(ISERROR(FIND("x",LOWER(Registro!$F249))),N(Registro!$G249),IFERROR(SUMPRODUCT(--("0"&amp;LEFT(TRIM(MID(SUBSTITUTE(SUBSTITUTE(SUBSTITUTE(SUBSTITUTE(SUBSTITUTE(LOWER(Registro!$F249)," ",""),CHAR(10),"|"),";","|"),"+","|"),"|",REPT(" ",LEN(Registro!$F249))),({1,2,3,4,5,6,7,8,9,10,11,12,13,14,15,16,17,18,19,20,21,22,23,24,25,26,27,28,29,30}-1)*LEN(Registro!$F249)+1,LEN(Registro!$F249))),FIND("x",TRIM(MID(SUBSTITUTE(SUBSTITUTE(SUBSTITUTE(SUBSTITUTE(SUBSTITUTE(LOWER(Registro!$F249)," ",""),CHAR(10),"|"),";","|"),"+","|"),"|",REPT(" ",LEN(Registro!$F249))),({1,2,3,4,5,6,7,8,9,10,11,12,13,14,15,16,17,18,19,20,21,22,23,24,25,26,27,28,29,30}-1)*LEN(Registro!$F249)+1,LEN(Registro!$F249)))&amp;"x")-1)),--("0"&amp;MID(TRIM(MID(SUBSTITUTE(SUBSTITUTE(SUBSTITUTE(SUBSTITUTE(SUBSTITUTE(LOWER(Registro!$F249)," ",""),CHAR(10),"|"),";","|"),"+","|"),"|",REPT(" ",LEN(Registro!$F249))),({1,2,3,4,5,6,7,8,9,10,11,12,13,14,15,16,17,18,19,20,21,22,23,24,25,26,27,28,29,30}-1)*LEN(Registro!$F249)+1,LEN(Registro!$F249))),FIND("x",TRIM(MID(SUBSTITUTE(SUBSTITUTE(SUBSTITUTE(SUBSTITUTE(SUBSTITUTE(LOWER(Registro!$F249)," ",""),CHAR(10),"|"),";","|"),"+","|"),"|",REPT(" ",LEN(Registro!$F249))),({1,2,3,4,5,6,7,8,9,10,11,12,13,14,15,16,17,18,19,20,21,22,23,24,25,26,27,28,29,30}-1)*LEN(Registro!$F249)+1,LEN(Registro!$F249)))&amp;"x")+1,20))),"Revisar formato")))</f>
        <v/>
      </c>
      <c r="H249" s="21" t="str">
        <f>IF(AND(Registro!$E249="",Registro!$F249=""),"",IF(NOT(AND(ISNUMBER(G249),ISNUMBER(Registro!$G249))),"",IF(G249&lt;Registro!$G249,"FALTA BOLETOS",IF(G249=Registro!$G249,"CONFORME","DIFERENCIA"))))</f>
        <v/>
      </c>
      <c r="I249" s="24" t="str">
        <f>IF(Registro!$H249="","",IFERROR(SUMPRODUCT(--("0"&amp;TRIM(RIGHT(SUBSTITUTE(TRIM(MID(SUBSTITUTE(SUBSTITUTE(Registro!$H249,";",CHAR(10)),CHAR(10),REPT(" ",LEN(Registro!$H249))),({1,2,3,4,5,6,7,8,9,10,11,12,13,14,15,16,17,18,19,20,21,22,23,24,25,26,27,28,29,30}-1)*LEN(Registro!$H249)+1,LEN(Registro!$H249)))," ",REPT(" ",50)),50)))),"Revisar formato"))</f>
        <v/>
      </c>
      <c r="J249" s="24" t="str">
        <f>IF(Registro!$I249="","",IFERROR(SUMPRODUCT(--("0"&amp;TRIM(RIGHT(SUBSTITUTE(TRIM(MID(SUBSTITUTE(SUBSTITUTE(Registro!$I249,";",CHAR(10)),CHAR(10),REPT(" ",LEN(Registro!$I249))),({1,2,3,4,5,6,7,8,9,10,11,12,13,14,15,16,17,18,19,20,21,22,23,24,25,26,27,28,29,30}-1)*LEN(Registro!$I249)+1,LEN(Registro!$I249)))," ",REPT(" ",50)),50)))),"Revisar formato"))</f>
        <v/>
      </c>
      <c r="K249" s="24" t="str">
        <f>IF(AND(Registro!$G249="",Registro!$H249=""),"",IF(AND(ISTEXT(I249),I249&lt;&gt;""),"Revisar formato",N(Registro!$G249)-N(I249)))</f>
        <v/>
      </c>
      <c r="L249" s="24" t="str">
        <f t="shared" si="7"/>
        <v/>
      </c>
      <c r="M249" s="36" t="str">
        <f>IF(AND(A249=Consulta!$B$3,C249=Consulta!$H$3),B249*10000+ROW(),"")</f>
        <v/>
      </c>
    </row>
    <row r="250" spans="1:13" x14ac:dyDescent="0.25">
      <c r="A250" s="21" t="str">
        <f>IF(Registro!$A250="","",Registro!$A250)</f>
        <v/>
      </c>
      <c r="B250" s="20" t="str">
        <f>IF(Registro!$B250="","",Registro!$B250)</f>
        <v/>
      </c>
      <c r="C250" s="35" t="str">
        <f t="shared" si="6"/>
        <v/>
      </c>
      <c r="D250" s="23" t="str">
        <f>IF(Registro!$E250="","",IF(ISERROR(FIND("x",LOWER(Registro!$E250))),"-",IFERROR(SUMPRODUCT(--("0"&amp;LEFT(TRIM(MID(SUBSTITUTE(SUBSTITUTE(SUBSTITUTE(SUBSTITUTE(SUBSTITUTE(LOWER(Registro!$E250),"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",LEN(Registro!$E250))),({1,2,3,4,5,6,7,8,9,10,11,12,13,14,15,16,17,18,19,20,21,22,23,24,25,26,27,28,29,30}-1)*LEN(Registro!$E250)+1,LEN(Registro!$E250))),FIND("x",TRIM(MID(SUBSTITUTE(SUBSTITUTE(SUBSTITUTE(SUBSTITUTE(SUBSTITUTE(LOWER(Registro!$E250),"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",LEN(Registro!$E250))),({1,2,3,4,5,6,7,8,9,10,11,12,13,14,15,16,17,18,19,20,21,22,23,24,25,26,27,28,29,30}-1)*LEN(Registro!$E250)+1,LEN(Registro!$E250)))&amp;"x")-1))),"Revisar formato")))</f>
        <v/>
      </c>
      <c r="E250" s="24" t="str">
        <f>IF(Registro!$E250="","",IF(ISERROR(FIND("x",LOWER(Registro!$E250))),"-",IFERROR(SUMPRODUCT(--("0"&amp;LEFT(TRIM(MID(SUBSTITUTE(SUBSTITUTE(SUBSTITUTE(SUBSTITUTE(SUBSTITUTE(LOWER(Registro!$E250),"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",LEN(Registro!$E250))),({1,2,3,4,5,6,7,8,9,10,11,12,13,14,15,16,17,18,19,20,21,22,23,24,25,26,27,28,29,30}-1)*LEN(Registro!$E250)+1,LEN(Registro!$E250))),FIND("x",TRIM(MID(SUBSTITUTE(SUBSTITUTE(SUBSTITUTE(SUBSTITUTE(SUBSTITUTE(LOWER(Registro!$E250),"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",LEN(Registro!$E250))),({1,2,3,4,5,6,7,8,9,10,11,12,13,14,15,16,17,18,19,20,21,22,23,24,25,26,27,28,29,30}-1)*LEN(Registro!$E250)+1,LEN(Registro!$E250)))&amp;"x")-1)),--("0"&amp;MID(TRIM(MID(SUBSTITUTE(SUBSTITUTE(SUBSTITUTE(SUBSTITUTE(SUBSTITUTE(LOWER(Registro!$E250),"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",LEN(Registro!$E250))),({1,2,3,4,5,6,7,8,9,10,11,12,13,14,15,16,17,18,19,20,21,22,23,24,25,26,27,28,29,30}-1)*LEN(Registro!$E250)+1,LEN(Registro!$E250))),FIND("x",TRIM(MID(SUBSTITUTE(SUBSTITUTE(SUBSTITUTE(SUBSTITUTE(SUBSTITUTE(LOWER(Registro!$E250),"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",LEN(Registro!$E250))),({1,2,3,4,5,6,7,8,9,10,11,12,13,14,15,16,17,18,19,20,21,22,23,24,25,26,27,28,29,30}-1)*LEN(Registro!$E250)+1,LEN(Registro!$E250)))&amp;"x")+1,20))),"Revisar formato")))</f>
        <v/>
      </c>
      <c r="F250" s="23" t="str">
        <f>IF(Registro!$F250="","",IF(ISERROR(FIND("x",LOWER(Registro!$F250))),"-",IFERROR(SUMPRODUCT(--("0"&amp;LEFT(TRIM(MID(SUBSTITUTE(SUBSTITUTE(SUBSTITUTE(SUBSTITUTE(SUBSTITUTE(LOWER(Registro!$F250)," ",""),CHAR(10),"|"),";","|"),"+","|"),"|",REPT(" ",LEN(Registro!$F250))),({1,2,3,4,5,6,7,8,9,10,11,12,13,14,15,16,17,18,19,20,21,22,23,24,25,26,27,28,29,30}-1)*LEN(Registro!$F250)+1,LEN(Registro!$F250))),FIND("x",TRIM(MID(SUBSTITUTE(SUBSTITUTE(SUBSTITUTE(SUBSTITUTE(SUBSTITUTE(LOWER(Registro!$F250)," ",""),CHAR(10),"|"),";","|"),"+","|"),"|",REPT(" ",LEN(Registro!$F250))),({1,2,3,4,5,6,7,8,9,10,11,12,13,14,15,16,17,18,19,20,21,22,23,24,25,26,27,28,29,30}-1)*LEN(Registro!$F250)+1,LEN(Registro!$F250)))&amp;"x")-1))),"Revisar formato")))</f>
        <v/>
      </c>
      <c r="G250" s="24" t="str">
        <f>IF(Registro!$F250="","",IF(ISERROR(FIND("x",LOWER(Registro!$F250))),N(Registro!$G250),IFERROR(SUMPRODUCT(--("0"&amp;LEFT(TRIM(MID(SUBSTITUTE(SUBSTITUTE(SUBSTITUTE(SUBSTITUTE(SUBSTITUTE(LOWER(Registro!$F250)," ",""),CHAR(10),"|"),";","|"),"+","|"),"|",REPT(" ",LEN(Registro!$F250))),({1,2,3,4,5,6,7,8,9,10,11,12,13,14,15,16,17,18,19,20,21,22,23,24,25,26,27,28,29,30}-1)*LEN(Registro!$F250)+1,LEN(Registro!$F250))),FIND("x",TRIM(MID(SUBSTITUTE(SUBSTITUTE(SUBSTITUTE(SUBSTITUTE(SUBSTITUTE(LOWER(Registro!$F250)," ",""),CHAR(10),"|"),";","|"),"+","|"),"|",REPT(" ",LEN(Registro!$F250))),({1,2,3,4,5,6,7,8,9,10,11,12,13,14,15,16,17,18,19,20,21,22,23,24,25,26,27,28,29,30}-1)*LEN(Registro!$F250)+1,LEN(Registro!$F250)))&amp;"x")-1)),--("0"&amp;MID(TRIM(MID(SUBSTITUTE(SUBSTITUTE(SUBSTITUTE(SUBSTITUTE(SUBSTITUTE(LOWER(Registro!$F250)," ",""),CHAR(10),"|"),";","|"),"+","|"),"|",REPT(" ",LEN(Registro!$F250))),({1,2,3,4,5,6,7,8,9,10,11,12,13,14,15,16,17,18,19,20,21,22,23,24,25,26,27,28,29,30}-1)*LEN(Registro!$F250)+1,LEN(Registro!$F250))),FIND("x",TRIM(MID(SUBSTITUTE(SUBSTITUTE(SUBSTITUTE(SUBSTITUTE(SUBSTITUTE(LOWER(Registro!$F250)," ",""),CHAR(10),"|"),";","|"),"+","|"),"|",REPT(" ",LEN(Registro!$F250))),({1,2,3,4,5,6,7,8,9,10,11,12,13,14,15,16,17,18,19,20,21,22,23,24,25,26,27,28,29,30}-1)*LEN(Registro!$F250)+1,LEN(Registro!$F250)))&amp;"x")+1,20))),"Revisar formato")))</f>
        <v/>
      </c>
      <c r="H250" s="21" t="str">
        <f>IF(AND(Registro!$E250="",Registro!$F250=""),"",IF(NOT(AND(ISNUMBER(G250),ISNUMBER(Registro!$G250))),"",IF(G250&lt;Registro!$G250,"FALTA BOLETOS",IF(G250=Registro!$G250,"CONFORME","DIFERENCIA"))))</f>
        <v/>
      </c>
      <c r="I250" s="24" t="str">
        <f>IF(Registro!$H250="","",IFERROR(SUMPRODUCT(--("0"&amp;TRIM(RIGHT(SUBSTITUTE(TRIM(MID(SUBSTITUTE(SUBSTITUTE(Registro!$H250,";",CHAR(10)),CHAR(10),REPT(" ",LEN(Registro!$H250))),({1,2,3,4,5,6,7,8,9,10,11,12,13,14,15,16,17,18,19,20,21,22,23,24,25,26,27,28,29,30}-1)*LEN(Registro!$H250)+1,LEN(Registro!$H250)))," ",REPT(" ",50)),50)))),"Revisar formato"))</f>
        <v/>
      </c>
      <c r="J250" s="24" t="str">
        <f>IF(Registro!$I250="","",IFERROR(SUMPRODUCT(--("0"&amp;TRIM(RIGHT(SUBSTITUTE(TRIM(MID(SUBSTITUTE(SUBSTITUTE(Registro!$I250,";",CHAR(10)),CHAR(10),REPT(" ",LEN(Registro!$I250))),({1,2,3,4,5,6,7,8,9,10,11,12,13,14,15,16,17,18,19,20,21,22,23,24,25,26,27,28,29,30}-1)*LEN(Registro!$I250)+1,LEN(Registro!$I250)))," ",REPT(" ",50)),50)))),"Revisar formato"))</f>
        <v/>
      </c>
      <c r="K250" s="24" t="str">
        <f>IF(AND(Registro!$G250="",Registro!$H250=""),"",IF(AND(ISTEXT(I250),I250&lt;&gt;""),"Revisar formato",N(Registro!$G250)-N(I250)))</f>
        <v/>
      </c>
      <c r="L250" s="24" t="str">
        <f t="shared" si="7"/>
        <v/>
      </c>
      <c r="M250" s="36" t="str">
        <f>IF(AND(A250=Consulta!$B$3,C250=Consulta!$H$3),B250*10000+ROW(),"")</f>
        <v/>
      </c>
    </row>
    <row r="251" spans="1:13" x14ac:dyDescent="0.25">
      <c r="A251" s="21" t="str">
        <f>IF(Registro!$A251="","",Registro!$A251)</f>
        <v/>
      </c>
      <c r="B251" s="20" t="str">
        <f>IF(Registro!$B251="","",Registro!$B251)</f>
        <v/>
      </c>
      <c r="C251" s="35" t="str">
        <f t="shared" si="6"/>
        <v/>
      </c>
      <c r="D251" s="23" t="str">
        <f>IF(Registro!$E251="","",IF(ISERROR(FIND("x",LOWER(Registro!$E251))),"-",IFERROR(SUMPRODUCT(--("0"&amp;LEFT(TRIM(MID(SUBSTITUTE(SUBSTITUTE(SUBSTITUTE(SUBSTITUTE(SUBSTITUTE(LOWER(Registro!$E251),"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",LEN(Registro!$E251))),({1,2,3,4,5,6,7,8,9,10,11,12,13,14,15,16,17,18,19,20,21,22,23,24,25,26,27,28,29,30}-1)*LEN(Registro!$E251)+1,LEN(Registro!$E251))),FIND("x",TRIM(MID(SUBSTITUTE(SUBSTITUTE(SUBSTITUTE(SUBSTITUTE(SUBSTITUTE(LOWER(Registro!$E251),"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",LEN(Registro!$E251))),({1,2,3,4,5,6,7,8,9,10,11,12,13,14,15,16,17,18,19,20,21,22,23,24,25,26,27,28,29,30}-1)*LEN(Registro!$E251)+1,LEN(Registro!$E251)))&amp;"x")-1))),"Revisar formato")))</f>
        <v/>
      </c>
      <c r="E251" s="24" t="str">
        <f>IF(Registro!$E251="","",IF(ISERROR(FIND("x",LOWER(Registro!$E251))),"-",IFERROR(SUMPRODUCT(--("0"&amp;LEFT(TRIM(MID(SUBSTITUTE(SUBSTITUTE(SUBSTITUTE(SUBSTITUTE(SUBSTITUTE(LOWER(Registro!$E251),"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",LEN(Registro!$E251))),({1,2,3,4,5,6,7,8,9,10,11,12,13,14,15,16,17,18,19,20,21,22,23,24,25,26,27,28,29,30}-1)*LEN(Registro!$E251)+1,LEN(Registro!$E251))),FIND("x",TRIM(MID(SUBSTITUTE(SUBSTITUTE(SUBSTITUTE(SUBSTITUTE(SUBSTITUTE(LOWER(Registro!$E251),"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",LEN(Registro!$E251))),({1,2,3,4,5,6,7,8,9,10,11,12,13,14,15,16,17,18,19,20,21,22,23,24,25,26,27,28,29,30}-1)*LEN(Registro!$E251)+1,LEN(Registro!$E251)))&amp;"x")-1)),--("0"&amp;MID(TRIM(MID(SUBSTITUTE(SUBSTITUTE(SUBSTITUTE(SUBSTITUTE(SUBSTITUTE(LOWER(Registro!$E251),"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",LEN(Registro!$E251))),({1,2,3,4,5,6,7,8,9,10,11,12,13,14,15,16,17,18,19,20,21,22,23,24,25,26,27,28,29,30}-1)*LEN(Registro!$E251)+1,LEN(Registro!$E251))),FIND("x",TRIM(MID(SUBSTITUTE(SUBSTITUTE(SUBSTITUTE(SUBSTITUTE(SUBSTITUTE(LOWER(Registro!$E251),"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",LEN(Registro!$E251))),({1,2,3,4,5,6,7,8,9,10,11,12,13,14,15,16,17,18,19,20,21,22,23,24,25,26,27,28,29,30}-1)*LEN(Registro!$E251)+1,LEN(Registro!$E251)))&amp;"x")+1,20))),"Revisar formato")))</f>
        <v/>
      </c>
      <c r="F251" s="23" t="str">
        <f>IF(Registro!$F251="","",IF(ISERROR(FIND("x",LOWER(Registro!$F251))),"-",IFERROR(SUMPRODUCT(--("0"&amp;LEFT(TRIM(MID(SUBSTITUTE(SUBSTITUTE(SUBSTITUTE(SUBSTITUTE(SUBSTITUTE(LOWER(Registro!$F251)," ",""),CHAR(10),"|"),";","|"),"+","|"),"|",REPT(" ",LEN(Registro!$F251))),({1,2,3,4,5,6,7,8,9,10,11,12,13,14,15,16,17,18,19,20,21,22,23,24,25,26,27,28,29,30}-1)*LEN(Registro!$F251)+1,LEN(Registro!$F251))),FIND("x",TRIM(MID(SUBSTITUTE(SUBSTITUTE(SUBSTITUTE(SUBSTITUTE(SUBSTITUTE(LOWER(Registro!$F251)," ",""),CHAR(10),"|"),";","|"),"+","|"),"|",REPT(" ",LEN(Registro!$F251))),({1,2,3,4,5,6,7,8,9,10,11,12,13,14,15,16,17,18,19,20,21,22,23,24,25,26,27,28,29,30}-1)*LEN(Registro!$F251)+1,LEN(Registro!$F251)))&amp;"x")-1))),"Revisar formato")))</f>
        <v/>
      </c>
      <c r="G251" s="24" t="str">
        <f>IF(Registro!$F251="","",IF(ISERROR(FIND("x",LOWER(Registro!$F251))),N(Registro!$G251),IFERROR(SUMPRODUCT(--("0"&amp;LEFT(TRIM(MID(SUBSTITUTE(SUBSTITUTE(SUBSTITUTE(SUBSTITUTE(SUBSTITUTE(LOWER(Registro!$F251)," ",""),CHAR(10),"|"),";","|"),"+","|"),"|",REPT(" ",LEN(Registro!$F251))),({1,2,3,4,5,6,7,8,9,10,11,12,13,14,15,16,17,18,19,20,21,22,23,24,25,26,27,28,29,30}-1)*LEN(Registro!$F251)+1,LEN(Registro!$F251))),FIND("x",TRIM(MID(SUBSTITUTE(SUBSTITUTE(SUBSTITUTE(SUBSTITUTE(SUBSTITUTE(LOWER(Registro!$F251)," ",""),CHAR(10),"|"),";","|"),"+","|"),"|",REPT(" ",LEN(Registro!$F251))),({1,2,3,4,5,6,7,8,9,10,11,12,13,14,15,16,17,18,19,20,21,22,23,24,25,26,27,28,29,30}-1)*LEN(Registro!$F251)+1,LEN(Registro!$F251)))&amp;"x")-1)),--("0"&amp;MID(TRIM(MID(SUBSTITUTE(SUBSTITUTE(SUBSTITUTE(SUBSTITUTE(SUBSTITUTE(LOWER(Registro!$F251)," ",""),CHAR(10),"|"),";","|"),"+","|"),"|",REPT(" ",LEN(Registro!$F251))),({1,2,3,4,5,6,7,8,9,10,11,12,13,14,15,16,17,18,19,20,21,22,23,24,25,26,27,28,29,30}-1)*LEN(Registro!$F251)+1,LEN(Registro!$F251))),FIND("x",TRIM(MID(SUBSTITUTE(SUBSTITUTE(SUBSTITUTE(SUBSTITUTE(SUBSTITUTE(LOWER(Registro!$F251)," ",""),CHAR(10),"|"),";","|"),"+","|"),"|",REPT(" ",LEN(Registro!$F251))),({1,2,3,4,5,6,7,8,9,10,11,12,13,14,15,16,17,18,19,20,21,22,23,24,25,26,27,28,29,30}-1)*LEN(Registro!$F251)+1,LEN(Registro!$F251)))&amp;"x")+1,20))),"Revisar formato")))</f>
        <v/>
      </c>
      <c r="H251" s="21" t="str">
        <f>IF(AND(Registro!$E251="",Registro!$F251=""),"",IF(NOT(AND(ISNUMBER(G251),ISNUMBER(Registro!$G251))),"",IF(G251&lt;Registro!$G251,"FALTA BOLETOS",IF(G251=Registro!$G251,"CONFORME","DIFERENCIA"))))</f>
        <v/>
      </c>
      <c r="I251" s="24" t="str">
        <f>IF(Registro!$H251="","",IFERROR(SUMPRODUCT(--("0"&amp;TRIM(RIGHT(SUBSTITUTE(TRIM(MID(SUBSTITUTE(SUBSTITUTE(Registro!$H251,";",CHAR(10)),CHAR(10),REPT(" ",LEN(Registro!$H251))),({1,2,3,4,5,6,7,8,9,10,11,12,13,14,15,16,17,18,19,20,21,22,23,24,25,26,27,28,29,30}-1)*LEN(Registro!$H251)+1,LEN(Registro!$H251)))," ",REPT(" ",50)),50)))),"Revisar formato"))</f>
        <v/>
      </c>
      <c r="J251" s="24" t="str">
        <f>IF(Registro!$I251="","",IFERROR(SUMPRODUCT(--("0"&amp;TRIM(RIGHT(SUBSTITUTE(TRIM(MID(SUBSTITUTE(SUBSTITUTE(Registro!$I251,";",CHAR(10)),CHAR(10),REPT(" ",LEN(Registro!$I251))),({1,2,3,4,5,6,7,8,9,10,11,12,13,14,15,16,17,18,19,20,21,22,23,24,25,26,27,28,29,30}-1)*LEN(Registro!$I251)+1,LEN(Registro!$I251)))," ",REPT(" ",50)),50)))),"Revisar formato"))</f>
        <v/>
      </c>
      <c r="K251" s="24" t="str">
        <f>IF(AND(Registro!$G251="",Registro!$H251=""),"",IF(AND(ISTEXT(I251),I251&lt;&gt;""),"Revisar formato",N(Registro!$G251)-N(I251)))</f>
        <v/>
      </c>
      <c r="L251" s="24" t="str">
        <f t="shared" si="7"/>
        <v/>
      </c>
      <c r="M251" s="36" t="str">
        <f>IF(AND(A251=Consulta!$B$3,C251=Consulta!$H$3),B251*10000+ROW(),"")</f>
        <v/>
      </c>
    </row>
    <row r="252" spans="1:13" x14ac:dyDescent="0.25">
      <c r="A252" s="21" t="str">
        <f>IF(Registro!$A252="","",Registro!$A252)</f>
        <v/>
      </c>
      <c r="B252" s="20" t="str">
        <f>IF(Registro!$B252="","",Registro!$B252)</f>
        <v/>
      </c>
      <c r="C252" s="35" t="str">
        <f t="shared" si="6"/>
        <v/>
      </c>
      <c r="D252" s="23" t="str">
        <f>IF(Registro!$E252="","",IF(ISERROR(FIND("x",LOWER(Registro!$E252))),"-",IFERROR(SUMPRODUCT(--("0"&amp;LEFT(TRIM(MID(SUBSTITUTE(SUBSTITUTE(SUBSTITUTE(SUBSTITUTE(SUBSTITUTE(LOWER(Registro!$E252),"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",LEN(Registro!$E252))),({1,2,3,4,5,6,7,8,9,10,11,12,13,14,15,16,17,18,19,20,21,22,23,24,25,26,27,28,29,30}-1)*LEN(Registro!$E252)+1,LEN(Registro!$E252))),FIND("x",TRIM(MID(SUBSTITUTE(SUBSTITUTE(SUBSTITUTE(SUBSTITUTE(SUBSTITUTE(LOWER(Registro!$E252),"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",LEN(Registro!$E252))),({1,2,3,4,5,6,7,8,9,10,11,12,13,14,15,16,17,18,19,20,21,22,23,24,25,26,27,28,29,30}-1)*LEN(Registro!$E252)+1,LEN(Registro!$E252)))&amp;"x")-1))),"Revisar formato")))</f>
        <v/>
      </c>
      <c r="E252" s="24" t="str">
        <f>IF(Registro!$E252="","",IF(ISERROR(FIND("x",LOWER(Registro!$E252))),"-",IFERROR(SUMPRODUCT(--("0"&amp;LEFT(TRIM(MID(SUBSTITUTE(SUBSTITUTE(SUBSTITUTE(SUBSTITUTE(SUBSTITUTE(LOWER(Registro!$E252),"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",LEN(Registro!$E252))),({1,2,3,4,5,6,7,8,9,10,11,12,13,14,15,16,17,18,19,20,21,22,23,24,25,26,27,28,29,30}-1)*LEN(Registro!$E252)+1,LEN(Registro!$E252))),FIND("x",TRIM(MID(SUBSTITUTE(SUBSTITUTE(SUBSTITUTE(SUBSTITUTE(SUBSTITUTE(LOWER(Registro!$E252),"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",LEN(Registro!$E252))),({1,2,3,4,5,6,7,8,9,10,11,12,13,14,15,16,17,18,19,20,21,22,23,24,25,26,27,28,29,30}-1)*LEN(Registro!$E252)+1,LEN(Registro!$E252)))&amp;"x")-1)),--("0"&amp;MID(TRIM(MID(SUBSTITUTE(SUBSTITUTE(SUBSTITUTE(SUBSTITUTE(SUBSTITUTE(LOWER(Registro!$E252),"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",LEN(Registro!$E252))),({1,2,3,4,5,6,7,8,9,10,11,12,13,14,15,16,17,18,19,20,21,22,23,24,25,26,27,28,29,30}-1)*LEN(Registro!$E252)+1,LEN(Registro!$E252))),FIND("x",TRIM(MID(SUBSTITUTE(SUBSTITUTE(SUBSTITUTE(SUBSTITUTE(SUBSTITUTE(LOWER(Registro!$E252),"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",LEN(Registro!$E252))),({1,2,3,4,5,6,7,8,9,10,11,12,13,14,15,16,17,18,19,20,21,22,23,24,25,26,27,28,29,30}-1)*LEN(Registro!$E252)+1,LEN(Registro!$E252)))&amp;"x")+1,20))),"Revisar formato")))</f>
        <v/>
      </c>
      <c r="F252" s="23" t="str">
        <f>IF(Registro!$F252="","",IF(ISERROR(FIND("x",LOWER(Registro!$F252))),"-",IFERROR(SUMPRODUCT(--("0"&amp;LEFT(TRIM(MID(SUBSTITUTE(SUBSTITUTE(SUBSTITUTE(SUBSTITUTE(SUBSTITUTE(LOWER(Registro!$F252)," ",""),CHAR(10),"|"),";","|"),"+","|"),"|",REPT(" ",LEN(Registro!$F252))),({1,2,3,4,5,6,7,8,9,10,11,12,13,14,15,16,17,18,19,20,21,22,23,24,25,26,27,28,29,30}-1)*LEN(Registro!$F252)+1,LEN(Registro!$F252))),FIND("x",TRIM(MID(SUBSTITUTE(SUBSTITUTE(SUBSTITUTE(SUBSTITUTE(SUBSTITUTE(LOWER(Registro!$F252)," ",""),CHAR(10),"|"),";","|"),"+","|"),"|",REPT(" ",LEN(Registro!$F252))),({1,2,3,4,5,6,7,8,9,10,11,12,13,14,15,16,17,18,19,20,21,22,23,24,25,26,27,28,29,30}-1)*LEN(Registro!$F252)+1,LEN(Registro!$F252)))&amp;"x")-1))),"Revisar formato")))</f>
        <v/>
      </c>
      <c r="G252" s="24" t="str">
        <f>IF(Registro!$F252="","",IF(ISERROR(FIND("x",LOWER(Registro!$F252))),N(Registro!$G252),IFERROR(SUMPRODUCT(--("0"&amp;LEFT(TRIM(MID(SUBSTITUTE(SUBSTITUTE(SUBSTITUTE(SUBSTITUTE(SUBSTITUTE(LOWER(Registro!$F252)," ",""),CHAR(10),"|"),";","|"),"+","|"),"|",REPT(" ",LEN(Registro!$F252))),({1,2,3,4,5,6,7,8,9,10,11,12,13,14,15,16,17,18,19,20,21,22,23,24,25,26,27,28,29,30}-1)*LEN(Registro!$F252)+1,LEN(Registro!$F252))),FIND("x",TRIM(MID(SUBSTITUTE(SUBSTITUTE(SUBSTITUTE(SUBSTITUTE(SUBSTITUTE(LOWER(Registro!$F252)," ",""),CHAR(10),"|"),";","|"),"+","|"),"|",REPT(" ",LEN(Registro!$F252))),({1,2,3,4,5,6,7,8,9,10,11,12,13,14,15,16,17,18,19,20,21,22,23,24,25,26,27,28,29,30}-1)*LEN(Registro!$F252)+1,LEN(Registro!$F252)))&amp;"x")-1)),--("0"&amp;MID(TRIM(MID(SUBSTITUTE(SUBSTITUTE(SUBSTITUTE(SUBSTITUTE(SUBSTITUTE(LOWER(Registro!$F252)," ",""),CHAR(10),"|"),";","|"),"+","|"),"|",REPT(" ",LEN(Registro!$F252))),({1,2,3,4,5,6,7,8,9,10,11,12,13,14,15,16,17,18,19,20,21,22,23,24,25,26,27,28,29,30}-1)*LEN(Registro!$F252)+1,LEN(Registro!$F252))),FIND("x",TRIM(MID(SUBSTITUTE(SUBSTITUTE(SUBSTITUTE(SUBSTITUTE(SUBSTITUTE(LOWER(Registro!$F252)," ",""),CHAR(10),"|"),";","|"),"+","|"),"|",REPT(" ",LEN(Registro!$F252))),({1,2,3,4,5,6,7,8,9,10,11,12,13,14,15,16,17,18,19,20,21,22,23,24,25,26,27,28,29,30}-1)*LEN(Registro!$F252)+1,LEN(Registro!$F252)))&amp;"x")+1,20))),"Revisar formato")))</f>
        <v/>
      </c>
      <c r="H252" s="21" t="str">
        <f>IF(AND(Registro!$E252="",Registro!$F252=""),"",IF(NOT(AND(ISNUMBER(G252),ISNUMBER(Registro!$G252))),"",IF(G252&lt;Registro!$G252,"FALTA BOLETOS",IF(G252=Registro!$G252,"CONFORME","DIFERENCIA"))))</f>
        <v/>
      </c>
      <c r="I252" s="24" t="str">
        <f>IF(Registro!$H252="","",IFERROR(SUMPRODUCT(--("0"&amp;TRIM(RIGHT(SUBSTITUTE(TRIM(MID(SUBSTITUTE(SUBSTITUTE(Registro!$H252,";",CHAR(10)),CHAR(10),REPT(" ",LEN(Registro!$H252))),({1,2,3,4,5,6,7,8,9,10,11,12,13,14,15,16,17,18,19,20,21,22,23,24,25,26,27,28,29,30}-1)*LEN(Registro!$H252)+1,LEN(Registro!$H252)))," ",REPT(" ",50)),50)))),"Revisar formato"))</f>
        <v/>
      </c>
      <c r="J252" s="24" t="str">
        <f>IF(Registro!$I252="","",IFERROR(SUMPRODUCT(--("0"&amp;TRIM(RIGHT(SUBSTITUTE(TRIM(MID(SUBSTITUTE(SUBSTITUTE(Registro!$I252,";",CHAR(10)),CHAR(10),REPT(" ",LEN(Registro!$I252))),({1,2,3,4,5,6,7,8,9,10,11,12,13,14,15,16,17,18,19,20,21,22,23,24,25,26,27,28,29,30}-1)*LEN(Registro!$I252)+1,LEN(Registro!$I252)))," ",REPT(" ",50)),50)))),"Revisar formato"))</f>
        <v/>
      </c>
      <c r="K252" s="24" t="str">
        <f>IF(AND(Registro!$G252="",Registro!$H252=""),"",IF(AND(ISTEXT(I252),I252&lt;&gt;""),"Revisar formato",N(Registro!$G252)-N(I252)))</f>
        <v/>
      </c>
      <c r="L252" s="24" t="str">
        <f t="shared" si="7"/>
        <v/>
      </c>
      <c r="M252" s="36" t="str">
        <f>IF(AND(A252=Consulta!$B$3,C252=Consulta!$H$3),B252*10000+ROW(),"")</f>
        <v/>
      </c>
    </row>
    <row r="253" spans="1:13" x14ac:dyDescent="0.25">
      <c r="A253" s="21" t="str">
        <f>IF(Registro!$A253="","",Registro!$A253)</f>
        <v/>
      </c>
      <c r="B253" s="20" t="str">
        <f>IF(Registro!$B253="","",Registro!$B253)</f>
        <v/>
      </c>
      <c r="C253" s="35" t="str">
        <f t="shared" si="6"/>
        <v/>
      </c>
      <c r="D253" s="23" t="str">
        <f>IF(Registro!$E253="","",IF(ISERROR(FIND("x",LOWER(Registro!$E253))),"-",IFERROR(SUMPRODUCT(--("0"&amp;LEFT(TRIM(MID(SUBSTITUTE(SUBSTITUTE(SUBSTITUTE(SUBSTITUTE(SUBSTITUTE(LOWER(Registro!$E253),"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",LEN(Registro!$E253))),({1,2,3,4,5,6,7,8,9,10,11,12,13,14,15,16,17,18,19,20,21,22,23,24,25,26,27,28,29,30}-1)*LEN(Registro!$E253)+1,LEN(Registro!$E253))),FIND("x",TRIM(MID(SUBSTITUTE(SUBSTITUTE(SUBSTITUTE(SUBSTITUTE(SUBSTITUTE(LOWER(Registro!$E253),"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",LEN(Registro!$E253))),({1,2,3,4,5,6,7,8,9,10,11,12,13,14,15,16,17,18,19,20,21,22,23,24,25,26,27,28,29,30}-1)*LEN(Registro!$E253)+1,LEN(Registro!$E253)))&amp;"x")-1))),"Revisar formato")))</f>
        <v/>
      </c>
      <c r="E253" s="24" t="str">
        <f>IF(Registro!$E253="","",IF(ISERROR(FIND("x",LOWER(Registro!$E253))),"-",IFERROR(SUMPRODUCT(--("0"&amp;LEFT(TRIM(MID(SUBSTITUTE(SUBSTITUTE(SUBSTITUTE(SUBSTITUTE(SUBSTITUTE(LOWER(Registro!$E253),"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",LEN(Registro!$E253))),({1,2,3,4,5,6,7,8,9,10,11,12,13,14,15,16,17,18,19,20,21,22,23,24,25,26,27,28,29,30}-1)*LEN(Registro!$E253)+1,LEN(Registro!$E253))),FIND("x",TRIM(MID(SUBSTITUTE(SUBSTITUTE(SUBSTITUTE(SUBSTITUTE(SUBSTITUTE(LOWER(Registro!$E253),"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",LEN(Registro!$E253))),({1,2,3,4,5,6,7,8,9,10,11,12,13,14,15,16,17,18,19,20,21,22,23,24,25,26,27,28,29,30}-1)*LEN(Registro!$E253)+1,LEN(Registro!$E253)))&amp;"x")-1)),--("0"&amp;MID(TRIM(MID(SUBSTITUTE(SUBSTITUTE(SUBSTITUTE(SUBSTITUTE(SUBSTITUTE(LOWER(Registro!$E253),"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",LEN(Registro!$E253))),({1,2,3,4,5,6,7,8,9,10,11,12,13,14,15,16,17,18,19,20,21,22,23,24,25,26,27,28,29,30}-1)*LEN(Registro!$E253)+1,LEN(Registro!$E253))),FIND("x",TRIM(MID(SUBSTITUTE(SUBSTITUTE(SUBSTITUTE(SUBSTITUTE(SUBSTITUTE(LOWER(Registro!$E253),"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",LEN(Registro!$E253))),({1,2,3,4,5,6,7,8,9,10,11,12,13,14,15,16,17,18,19,20,21,22,23,24,25,26,27,28,29,30}-1)*LEN(Registro!$E253)+1,LEN(Registro!$E253)))&amp;"x")+1,20))),"Revisar formato")))</f>
        <v/>
      </c>
      <c r="F253" s="23" t="str">
        <f>IF(Registro!$F253="","",IF(ISERROR(FIND("x",LOWER(Registro!$F253))),"-",IFERROR(SUMPRODUCT(--("0"&amp;LEFT(TRIM(MID(SUBSTITUTE(SUBSTITUTE(SUBSTITUTE(SUBSTITUTE(SUBSTITUTE(LOWER(Registro!$F253)," ",""),CHAR(10),"|"),";","|"),"+","|"),"|",REPT(" ",LEN(Registro!$F253))),({1,2,3,4,5,6,7,8,9,10,11,12,13,14,15,16,17,18,19,20,21,22,23,24,25,26,27,28,29,30}-1)*LEN(Registro!$F253)+1,LEN(Registro!$F253))),FIND("x",TRIM(MID(SUBSTITUTE(SUBSTITUTE(SUBSTITUTE(SUBSTITUTE(SUBSTITUTE(LOWER(Registro!$F253)," ",""),CHAR(10),"|"),";","|"),"+","|"),"|",REPT(" ",LEN(Registro!$F253))),({1,2,3,4,5,6,7,8,9,10,11,12,13,14,15,16,17,18,19,20,21,22,23,24,25,26,27,28,29,30}-1)*LEN(Registro!$F253)+1,LEN(Registro!$F253)))&amp;"x")-1))),"Revisar formato")))</f>
        <v/>
      </c>
      <c r="G253" s="24" t="str">
        <f>IF(Registro!$F253="","",IF(ISERROR(FIND("x",LOWER(Registro!$F253))),N(Registro!$G253),IFERROR(SUMPRODUCT(--("0"&amp;LEFT(TRIM(MID(SUBSTITUTE(SUBSTITUTE(SUBSTITUTE(SUBSTITUTE(SUBSTITUTE(LOWER(Registro!$F253)," ",""),CHAR(10),"|"),";","|"),"+","|"),"|",REPT(" ",LEN(Registro!$F253))),({1,2,3,4,5,6,7,8,9,10,11,12,13,14,15,16,17,18,19,20,21,22,23,24,25,26,27,28,29,30}-1)*LEN(Registro!$F253)+1,LEN(Registro!$F253))),FIND("x",TRIM(MID(SUBSTITUTE(SUBSTITUTE(SUBSTITUTE(SUBSTITUTE(SUBSTITUTE(LOWER(Registro!$F253)," ",""),CHAR(10),"|"),";","|"),"+","|"),"|",REPT(" ",LEN(Registro!$F253))),({1,2,3,4,5,6,7,8,9,10,11,12,13,14,15,16,17,18,19,20,21,22,23,24,25,26,27,28,29,30}-1)*LEN(Registro!$F253)+1,LEN(Registro!$F253)))&amp;"x")-1)),--("0"&amp;MID(TRIM(MID(SUBSTITUTE(SUBSTITUTE(SUBSTITUTE(SUBSTITUTE(SUBSTITUTE(LOWER(Registro!$F253)," ",""),CHAR(10),"|"),";","|"),"+","|"),"|",REPT(" ",LEN(Registro!$F253))),({1,2,3,4,5,6,7,8,9,10,11,12,13,14,15,16,17,18,19,20,21,22,23,24,25,26,27,28,29,30}-1)*LEN(Registro!$F253)+1,LEN(Registro!$F253))),FIND("x",TRIM(MID(SUBSTITUTE(SUBSTITUTE(SUBSTITUTE(SUBSTITUTE(SUBSTITUTE(LOWER(Registro!$F253)," ",""),CHAR(10),"|"),";","|"),"+","|"),"|",REPT(" ",LEN(Registro!$F253))),({1,2,3,4,5,6,7,8,9,10,11,12,13,14,15,16,17,18,19,20,21,22,23,24,25,26,27,28,29,30}-1)*LEN(Registro!$F253)+1,LEN(Registro!$F253)))&amp;"x")+1,20))),"Revisar formato")))</f>
        <v/>
      </c>
      <c r="H253" s="21" t="str">
        <f>IF(AND(Registro!$E253="",Registro!$F253=""),"",IF(NOT(AND(ISNUMBER(G253),ISNUMBER(Registro!$G253))),"",IF(G253&lt;Registro!$G253,"FALTA BOLETOS",IF(G253=Registro!$G253,"CONFORME","DIFERENCIA"))))</f>
        <v/>
      </c>
      <c r="I253" s="24" t="str">
        <f>IF(Registro!$H253="","",IFERROR(SUMPRODUCT(--("0"&amp;TRIM(RIGHT(SUBSTITUTE(TRIM(MID(SUBSTITUTE(SUBSTITUTE(Registro!$H253,";",CHAR(10)),CHAR(10),REPT(" ",LEN(Registro!$H253))),({1,2,3,4,5,6,7,8,9,10,11,12,13,14,15,16,17,18,19,20,21,22,23,24,25,26,27,28,29,30}-1)*LEN(Registro!$H253)+1,LEN(Registro!$H253)))," ",REPT(" ",50)),50)))),"Revisar formato"))</f>
        <v/>
      </c>
      <c r="J253" s="24" t="str">
        <f>IF(Registro!$I253="","",IFERROR(SUMPRODUCT(--("0"&amp;TRIM(RIGHT(SUBSTITUTE(TRIM(MID(SUBSTITUTE(SUBSTITUTE(Registro!$I253,";",CHAR(10)),CHAR(10),REPT(" ",LEN(Registro!$I253))),({1,2,3,4,5,6,7,8,9,10,11,12,13,14,15,16,17,18,19,20,21,22,23,24,25,26,27,28,29,30}-1)*LEN(Registro!$I253)+1,LEN(Registro!$I253)))," ",REPT(" ",50)),50)))),"Revisar formato"))</f>
        <v/>
      </c>
      <c r="K253" s="24" t="str">
        <f>IF(AND(Registro!$G253="",Registro!$H253=""),"",IF(AND(ISTEXT(I253),I253&lt;&gt;""),"Revisar formato",N(Registro!$G253)-N(I253)))</f>
        <v/>
      </c>
      <c r="L253" s="24" t="str">
        <f t="shared" si="7"/>
        <v/>
      </c>
      <c r="M253" s="36" t="str">
        <f>IF(AND(A253=Consulta!$B$3,C253=Consulta!$H$3),B253*10000+ROW(),"")</f>
        <v/>
      </c>
    </row>
    <row r="254" spans="1:13" x14ac:dyDescent="0.25">
      <c r="A254" s="21" t="str">
        <f>IF(Registro!$A254="","",Registro!$A254)</f>
        <v/>
      </c>
      <c r="B254" s="20" t="str">
        <f>IF(Registro!$B254="","",Registro!$B254)</f>
        <v/>
      </c>
      <c r="C254" s="35" t="str">
        <f t="shared" si="6"/>
        <v/>
      </c>
      <c r="D254" s="23" t="str">
        <f>IF(Registro!$E254="","",IF(ISERROR(FIND("x",LOWER(Registro!$E254))),"-",IFERROR(SUMPRODUCT(--("0"&amp;LEFT(TRIM(MID(SUBSTITUTE(SUBSTITUTE(SUBSTITUTE(SUBSTITUTE(SUBSTITUTE(LOWER(Registro!$E254),"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",LEN(Registro!$E254))),({1,2,3,4,5,6,7,8,9,10,11,12,13,14,15,16,17,18,19,20,21,22,23,24,25,26,27,28,29,30}-1)*LEN(Registro!$E254)+1,LEN(Registro!$E254))),FIND("x",TRIM(MID(SUBSTITUTE(SUBSTITUTE(SUBSTITUTE(SUBSTITUTE(SUBSTITUTE(LOWER(Registro!$E254),"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",LEN(Registro!$E254))),({1,2,3,4,5,6,7,8,9,10,11,12,13,14,15,16,17,18,19,20,21,22,23,24,25,26,27,28,29,30}-1)*LEN(Registro!$E254)+1,LEN(Registro!$E254)))&amp;"x")-1))),"Revisar formato")))</f>
        <v/>
      </c>
      <c r="E254" s="24" t="str">
        <f>IF(Registro!$E254="","",IF(ISERROR(FIND("x",LOWER(Registro!$E254))),"-",IFERROR(SUMPRODUCT(--("0"&amp;LEFT(TRIM(MID(SUBSTITUTE(SUBSTITUTE(SUBSTITUTE(SUBSTITUTE(SUBSTITUTE(LOWER(Registro!$E254),"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",LEN(Registro!$E254))),({1,2,3,4,5,6,7,8,9,10,11,12,13,14,15,16,17,18,19,20,21,22,23,24,25,26,27,28,29,30}-1)*LEN(Registro!$E254)+1,LEN(Registro!$E254))),FIND("x",TRIM(MID(SUBSTITUTE(SUBSTITUTE(SUBSTITUTE(SUBSTITUTE(SUBSTITUTE(LOWER(Registro!$E254),"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",LEN(Registro!$E254))),({1,2,3,4,5,6,7,8,9,10,11,12,13,14,15,16,17,18,19,20,21,22,23,24,25,26,27,28,29,30}-1)*LEN(Registro!$E254)+1,LEN(Registro!$E254)))&amp;"x")-1)),--("0"&amp;MID(TRIM(MID(SUBSTITUTE(SUBSTITUTE(SUBSTITUTE(SUBSTITUTE(SUBSTITUTE(LOWER(Registro!$E254),"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",LEN(Registro!$E254))),({1,2,3,4,5,6,7,8,9,10,11,12,13,14,15,16,17,18,19,20,21,22,23,24,25,26,27,28,29,30}-1)*LEN(Registro!$E254)+1,LEN(Registro!$E254))),FIND("x",TRIM(MID(SUBSTITUTE(SUBSTITUTE(SUBSTITUTE(SUBSTITUTE(SUBSTITUTE(LOWER(Registro!$E254),"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",LEN(Registro!$E254))),({1,2,3,4,5,6,7,8,9,10,11,12,13,14,15,16,17,18,19,20,21,22,23,24,25,26,27,28,29,30}-1)*LEN(Registro!$E254)+1,LEN(Registro!$E254)))&amp;"x")+1,20))),"Revisar formato")))</f>
        <v/>
      </c>
      <c r="F254" s="23" t="str">
        <f>IF(Registro!$F254="","",IF(ISERROR(FIND("x",LOWER(Registro!$F254))),"-",IFERROR(SUMPRODUCT(--("0"&amp;LEFT(TRIM(MID(SUBSTITUTE(SUBSTITUTE(SUBSTITUTE(SUBSTITUTE(SUBSTITUTE(LOWER(Registro!$F254)," ",""),CHAR(10),"|"),";","|"),"+","|"),"|",REPT(" ",LEN(Registro!$F254))),({1,2,3,4,5,6,7,8,9,10,11,12,13,14,15,16,17,18,19,20,21,22,23,24,25,26,27,28,29,30}-1)*LEN(Registro!$F254)+1,LEN(Registro!$F254))),FIND("x",TRIM(MID(SUBSTITUTE(SUBSTITUTE(SUBSTITUTE(SUBSTITUTE(SUBSTITUTE(LOWER(Registro!$F254)," ",""),CHAR(10),"|"),";","|"),"+","|"),"|",REPT(" ",LEN(Registro!$F254))),({1,2,3,4,5,6,7,8,9,10,11,12,13,14,15,16,17,18,19,20,21,22,23,24,25,26,27,28,29,30}-1)*LEN(Registro!$F254)+1,LEN(Registro!$F254)))&amp;"x")-1))),"Revisar formato")))</f>
        <v/>
      </c>
      <c r="G254" s="24" t="str">
        <f>IF(Registro!$F254="","",IF(ISERROR(FIND("x",LOWER(Registro!$F254))),N(Registro!$G254),IFERROR(SUMPRODUCT(--("0"&amp;LEFT(TRIM(MID(SUBSTITUTE(SUBSTITUTE(SUBSTITUTE(SUBSTITUTE(SUBSTITUTE(LOWER(Registro!$F254)," ",""),CHAR(10),"|"),";","|"),"+","|"),"|",REPT(" ",LEN(Registro!$F254))),({1,2,3,4,5,6,7,8,9,10,11,12,13,14,15,16,17,18,19,20,21,22,23,24,25,26,27,28,29,30}-1)*LEN(Registro!$F254)+1,LEN(Registro!$F254))),FIND("x",TRIM(MID(SUBSTITUTE(SUBSTITUTE(SUBSTITUTE(SUBSTITUTE(SUBSTITUTE(LOWER(Registro!$F254)," ",""),CHAR(10),"|"),";","|"),"+","|"),"|",REPT(" ",LEN(Registro!$F254))),({1,2,3,4,5,6,7,8,9,10,11,12,13,14,15,16,17,18,19,20,21,22,23,24,25,26,27,28,29,30}-1)*LEN(Registro!$F254)+1,LEN(Registro!$F254)))&amp;"x")-1)),--("0"&amp;MID(TRIM(MID(SUBSTITUTE(SUBSTITUTE(SUBSTITUTE(SUBSTITUTE(SUBSTITUTE(LOWER(Registro!$F254)," ",""),CHAR(10),"|"),";","|"),"+","|"),"|",REPT(" ",LEN(Registro!$F254))),({1,2,3,4,5,6,7,8,9,10,11,12,13,14,15,16,17,18,19,20,21,22,23,24,25,26,27,28,29,30}-1)*LEN(Registro!$F254)+1,LEN(Registro!$F254))),FIND("x",TRIM(MID(SUBSTITUTE(SUBSTITUTE(SUBSTITUTE(SUBSTITUTE(SUBSTITUTE(LOWER(Registro!$F254)," ",""),CHAR(10),"|"),";","|"),"+","|"),"|",REPT(" ",LEN(Registro!$F254))),({1,2,3,4,5,6,7,8,9,10,11,12,13,14,15,16,17,18,19,20,21,22,23,24,25,26,27,28,29,30}-1)*LEN(Registro!$F254)+1,LEN(Registro!$F254)))&amp;"x")+1,20))),"Revisar formato")))</f>
        <v/>
      </c>
      <c r="H254" s="21" t="str">
        <f>IF(AND(Registro!$E254="",Registro!$F254=""),"",IF(NOT(AND(ISNUMBER(G254),ISNUMBER(Registro!$G254))),"",IF(G254&lt;Registro!$G254,"FALTA BOLETOS",IF(G254=Registro!$G254,"CONFORME","DIFERENCIA"))))</f>
        <v/>
      </c>
      <c r="I254" s="24" t="str">
        <f>IF(Registro!$H254="","",IFERROR(SUMPRODUCT(--("0"&amp;TRIM(RIGHT(SUBSTITUTE(TRIM(MID(SUBSTITUTE(SUBSTITUTE(Registro!$H254,";",CHAR(10)),CHAR(10),REPT(" ",LEN(Registro!$H254))),({1,2,3,4,5,6,7,8,9,10,11,12,13,14,15,16,17,18,19,20,21,22,23,24,25,26,27,28,29,30}-1)*LEN(Registro!$H254)+1,LEN(Registro!$H254)))," ",REPT(" ",50)),50)))),"Revisar formato"))</f>
        <v/>
      </c>
      <c r="J254" s="24" t="str">
        <f>IF(Registro!$I254="","",IFERROR(SUMPRODUCT(--("0"&amp;TRIM(RIGHT(SUBSTITUTE(TRIM(MID(SUBSTITUTE(SUBSTITUTE(Registro!$I254,";",CHAR(10)),CHAR(10),REPT(" ",LEN(Registro!$I254))),({1,2,3,4,5,6,7,8,9,10,11,12,13,14,15,16,17,18,19,20,21,22,23,24,25,26,27,28,29,30}-1)*LEN(Registro!$I254)+1,LEN(Registro!$I254)))," ",REPT(" ",50)),50)))),"Revisar formato"))</f>
        <v/>
      </c>
      <c r="K254" s="24" t="str">
        <f>IF(AND(Registro!$G254="",Registro!$H254=""),"",IF(AND(ISTEXT(I254),I254&lt;&gt;""),"Revisar formato",N(Registro!$G254)-N(I254)))</f>
        <v/>
      </c>
      <c r="L254" s="24" t="str">
        <f t="shared" si="7"/>
        <v/>
      </c>
      <c r="M254" s="36" t="str">
        <f>IF(AND(A254=Consulta!$B$3,C254=Consulta!$H$3),B254*10000+ROW(),"")</f>
        <v/>
      </c>
    </row>
    <row r="255" spans="1:13" x14ac:dyDescent="0.25">
      <c r="A255" s="21" t="str">
        <f>IF(Registro!$A255="","",Registro!$A255)</f>
        <v/>
      </c>
      <c r="B255" s="20" t="str">
        <f>IF(Registro!$B255="","",Registro!$B255)</f>
        <v/>
      </c>
      <c r="C255" s="35" t="str">
        <f t="shared" si="6"/>
        <v/>
      </c>
      <c r="D255" s="23" t="str">
        <f>IF(Registro!$E255="","",IF(ISERROR(FIND("x",LOWER(Registro!$E255))),"-",IFERROR(SUMPRODUCT(--("0"&amp;LEFT(TRIM(MID(SUBSTITUTE(SUBSTITUTE(SUBSTITUTE(SUBSTITUTE(SUBSTITUTE(LOWER(Registro!$E255),"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",LEN(Registro!$E255))),({1,2,3,4,5,6,7,8,9,10,11,12,13,14,15,16,17,18,19,20,21,22,23,24,25,26,27,28,29,30}-1)*LEN(Registro!$E255)+1,LEN(Registro!$E255))),FIND("x",TRIM(MID(SUBSTITUTE(SUBSTITUTE(SUBSTITUTE(SUBSTITUTE(SUBSTITUTE(LOWER(Registro!$E255),"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",LEN(Registro!$E255))),({1,2,3,4,5,6,7,8,9,10,11,12,13,14,15,16,17,18,19,20,21,22,23,24,25,26,27,28,29,30}-1)*LEN(Registro!$E255)+1,LEN(Registro!$E255)))&amp;"x")-1))),"Revisar formato")))</f>
        <v/>
      </c>
      <c r="E255" s="24" t="str">
        <f>IF(Registro!$E255="","",IF(ISERROR(FIND("x",LOWER(Registro!$E255))),"-",IFERROR(SUMPRODUCT(--("0"&amp;LEFT(TRIM(MID(SUBSTITUTE(SUBSTITUTE(SUBSTITUTE(SUBSTITUTE(SUBSTITUTE(LOWER(Registro!$E255),"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",LEN(Registro!$E255))),({1,2,3,4,5,6,7,8,9,10,11,12,13,14,15,16,17,18,19,20,21,22,23,24,25,26,27,28,29,30}-1)*LEN(Registro!$E255)+1,LEN(Registro!$E255))),FIND("x",TRIM(MID(SUBSTITUTE(SUBSTITUTE(SUBSTITUTE(SUBSTITUTE(SUBSTITUTE(LOWER(Registro!$E255),"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",LEN(Registro!$E255))),({1,2,3,4,5,6,7,8,9,10,11,12,13,14,15,16,17,18,19,20,21,22,23,24,25,26,27,28,29,30}-1)*LEN(Registro!$E255)+1,LEN(Registro!$E255)))&amp;"x")-1)),--("0"&amp;MID(TRIM(MID(SUBSTITUTE(SUBSTITUTE(SUBSTITUTE(SUBSTITUTE(SUBSTITUTE(LOWER(Registro!$E255),"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",LEN(Registro!$E255))),({1,2,3,4,5,6,7,8,9,10,11,12,13,14,15,16,17,18,19,20,21,22,23,24,25,26,27,28,29,30}-1)*LEN(Registro!$E255)+1,LEN(Registro!$E255))),FIND("x",TRIM(MID(SUBSTITUTE(SUBSTITUTE(SUBSTITUTE(SUBSTITUTE(SUBSTITUTE(LOWER(Registro!$E255),"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",LEN(Registro!$E255))),({1,2,3,4,5,6,7,8,9,10,11,12,13,14,15,16,17,18,19,20,21,22,23,24,25,26,27,28,29,30}-1)*LEN(Registro!$E255)+1,LEN(Registro!$E255)))&amp;"x")+1,20))),"Revisar formato")))</f>
        <v/>
      </c>
      <c r="F255" s="23" t="str">
        <f>IF(Registro!$F255="","",IF(ISERROR(FIND("x",LOWER(Registro!$F255))),"-",IFERROR(SUMPRODUCT(--("0"&amp;LEFT(TRIM(MID(SUBSTITUTE(SUBSTITUTE(SUBSTITUTE(SUBSTITUTE(SUBSTITUTE(LOWER(Registro!$F255)," ",""),CHAR(10),"|"),";","|"),"+","|"),"|",REPT(" ",LEN(Registro!$F255))),({1,2,3,4,5,6,7,8,9,10,11,12,13,14,15,16,17,18,19,20,21,22,23,24,25,26,27,28,29,30}-1)*LEN(Registro!$F255)+1,LEN(Registro!$F255))),FIND("x",TRIM(MID(SUBSTITUTE(SUBSTITUTE(SUBSTITUTE(SUBSTITUTE(SUBSTITUTE(LOWER(Registro!$F255)," ",""),CHAR(10),"|"),";","|"),"+","|"),"|",REPT(" ",LEN(Registro!$F255))),({1,2,3,4,5,6,7,8,9,10,11,12,13,14,15,16,17,18,19,20,21,22,23,24,25,26,27,28,29,30}-1)*LEN(Registro!$F255)+1,LEN(Registro!$F255)))&amp;"x")-1))),"Revisar formato")))</f>
        <v/>
      </c>
      <c r="G255" s="24" t="str">
        <f>IF(Registro!$F255="","",IF(ISERROR(FIND("x",LOWER(Registro!$F255))),N(Registro!$G255),IFERROR(SUMPRODUCT(--("0"&amp;LEFT(TRIM(MID(SUBSTITUTE(SUBSTITUTE(SUBSTITUTE(SUBSTITUTE(SUBSTITUTE(LOWER(Registro!$F255)," ",""),CHAR(10),"|"),";","|"),"+","|"),"|",REPT(" ",LEN(Registro!$F255))),({1,2,3,4,5,6,7,8,9,10,11,12,13,14,15,16,17,18,19,20,21,22,23,24,25,26,27,28,29,30}-1)*LEN(Registro!$F255)+1,LEN(Registro!$F255))),FIND("x",TRIM(MID(SUBSTITUTE(SUBSTITUTE(SUBSTITUTE(SUBSTITUTE(SUBSTITUTE(LOWER(Registro!$F255)," ",""),CHAR(10),"|"),";","|"),"+","|"),"|",REPT(" ",LEN(Registro!$F255))),({1,2,3,4,5,6,7,8,9,10,11,12,13,14,15,16,17,18,19,20,21,22,23,24,25,26,27,28,29,30}-1)*LEN(Registro!$F255)+1,LEN(Registro!$F255)))&amp;"x")-1)),--("0"&amp;MID(TRIM(MID(SUBSTITUTE(SUBSTITUTE(SUBSTITUTE(SUBSTITUTE(SUBSTITUTE(LOWER(Registro!$F255)," ",""),CHAR(10),"|"),";","|"),"+","|"),"|",REPT(" ",LEN(Registro!$F255))),({1,2,3,4,5,6,7,8,9,10,11,12,13,14,15,16,17,18,19,20,21,22,23,24,25,26,27,28,29,30}-1)*LEN(Registro!$F255)+1,LEN(Registro!$F255))),FIND("x",TRIM(MID(SUBSTITUTE(SUBSTITUTE(SUBSTITUTE(SUBSTITUTE(SUBSTITUTE(LOWER(Registro!$F255)," ",""),CHAR(10),"|"),";","|"),"+","|"),"|",REPT(" ",LEN(Registro!$F255))),({1,2,3,4,5,6,7,8,9,10,11,12,13,14,15,16,17,18,19,20,21,22,23,24,25,26,27,28,29,30}-1)*LEN(Registro!$F255)+1,LEN(Registro!$F255)))&amp;"x")+1,20))),"Revisar formato")))</f>
        <v/>
      </c>
      <c r="H255" s="21" t="str">
        <f>IF(AND(Registro!$E255="",Registro!$F255=""),"",IF(NOT(AND(ISNUMBER(G255),ISNUMBER(Registro!$G255))),"",IF(G255&lt;Registro!$G255,"FALTA BOLETOS",IF(G255=Registro!$G255,"CONFORME","DIFERENCIA"))))</f>
        <v/>
      </c>
      <c r="I255" s="24" t="str">
        <f>IF(Registro!$H255="","",IFERROR(SUMPRODUCT(--("0"&amp;TRIM(RIGHT(SUBSTITUTE(TRIM(MID(SUBSTITUTE(SUBSTITUTE(Registro!$H255,";",CHAR(10)),CHAR(10),REPT(" ",LEN(Registro!$H255))),({1,2,3,4,5,6,7,8,9,10,11,12,13,14,15,16,17,18,19,20,21,22,23,24,25,26,27,28,29,30}-1)*LEN(Registro!$H255)+1,LEN(Registro!$H255)))," ",REPT(" ",50)),50)))),"Revisar formato"))</f>
        <v/>
      </c>
      <c r="J255" s="24" t="str">
        <f>IF(Registro!$I255="","",IFERROR(SUMPRODUCT(--("0"&amp;TRIM(RIGHT(SUBSTITUTE(TRIM(MID(SUBSTITUTE(SUBSTITUTE(Registro!$I255,";",CHAR(10)),CHAR(10),REPT(" ",LEN(Registro!$I255))),({1,2,3,4,5,6,7,8,9,10,11,12,13,14,15,16,17,18,19,20,21,22,23,24,25,26,27,28,29,30}-1)*LEN(Registro!$I255)+1,LEN(Registro!$I255)))," ",REPT(" ",50)),50)))),"Revisar formato"))</f>
        <v/>
      </c>
      <c r="K255" s="24" t="str">
        <f>IF(AND(Registro!$G255="",Registro!$H255=""),"",IF(AND(ISTEXT(I255),I255&lt;&gt;""),"Revisar formato",N(Registro!$G255)-N(I255)))</f>
        <v/>
      </c>
      <c r="L255" s="24" t="str">
        <f t="shared" si="7"/>
        <v/>
      </c>
      <c r="M255" s="36" t="str">
        <f>IF(AND(A255=Consulta!$B$3,C255=Consulta!$H$3),B255*10000+ROW(),"")</f>
        <v/>
      </c>
    </row>
    <row r="256" spans="1:13" x14ac:dyDescent="0.25">
      <c r="A256" s="21" t="str">
        <f>IF(Registro!$A256="","",Registro!$A256)</f>
        <v/>
      </c>
      <c r="B256" s="20" t="str">
        <f>IF(Registro!$B256="","",Registro!$B256)</f>
        <v/>
      </c>
      <c r="C256" s="35" t="str">
        <f t="shared" si="6"/>
        <v/>
      </c>
      <c r="D256" s="23" t="str">
        <f>IF(Registro!$E256="","",IF(ISERROR(FIND("x",LOWER(Registro!$E256))),"-",IFERROR(SUMPRODUCT(--("0"&amp;LEFT(TRIM(MID(SUBSTITUTE(SUBSTITUTE(SUBSTITUTE(SUBSTITUTE(SUBSTITUTE(LOWER(Registro!$E256),"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",LEN(Registro!$E256))),({1,2,3,4,5,6,7,8,9,10,11,12,13,14,15,16,17,18,19,20,21,22,23,24,25,26,27,28,29,30}-1)*LEN(Registro!$E256)+1,LEN(Registro!$E256))),FIND("x",TRIM(MID(SUBSTITUTE(SUBSTITUTE(SUBSTITUTE(SUBSTITUTE(SUBSTITUTE(LOWER(Registro!$E256),"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",LEN(Registro!$E256))),({1,2,3,4,5,6,7,8,9,10,11,12,13,14,15,16,17,18,19,20,21,22,23,24,25,26,27,28,29,30}-1)*LEN(Registro!$E256)+1,LEN(Registro!$E256)))&amp;"x")-1))),"Revisar formato")))</f>
        <v/>
      </c>
      <c r="E256" s="24" t="str">
        <f>IF(Registro!$E256="","",IF(ISERROR(FIND("x",LOWER(Registro!$E256))),"-",IFERROR(SUMPRODUCT(--("0"&amp;LEFT(TRIM(MID(SUBSTITUTE(SUBSTITUTE(SUBSTITUTE(SUBSTITUTE(SUBSTITUTE(LOWER(Registro!$E256),"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",LEN(Registro!$E256))),({1,2,3,4,5,6,7,8,9,10,11,12,13,14,15,16,17,18,19,20,21,22,23,24,25,26,27,28,29,30}-1)*LEN(Registro!$E256)+1,LEN(Registro!$E256))),FIND("x",TRIM(MID(SUBSTITUTE(SUBSTITUTE(SUBSTITUTE(SUBSTITUTE(SUBSTITUTE(LOWER(Registro!$E256),"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",LEN(Registro!$E256))),({1,2,3,4,5,6,7,8,9,10,11,12,13,14,15,16,17,18,19,20,21,22,23,24,25,26,27,28,29,30}-1)*LEN(Registro!$E256)+1,LEN(Registro!$E256)))&amp;"x")-1)),--("0"&amp;MID(TRIM(MID(SUBSTITUTE(SUBSTITUTE(SUBSTITUTE(SUBSTITUTE(SUBSTITUTE(LOWER(Registro!$E256),"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",LEN(Registro!$E256))),({1,2,3,4,5,6,7,8,9,10,11,12,13,14,15,16,17,18,19,20,21,22,23,24,25,26,27,28,29,30}-1)*LEN(Registro!$E256)+1,LEN(Registro!$E256))),FIND("x",TRIM(MID(SUBSTITUTE(SUBSTITUTE(SUBSTITUTE(SUBSTITUTE(SUBSTITUTE(LOWER(Registro!$E256),"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",LEN(Registro!$E256))),({1,2,3,4,5,6,7,8,9,10,11,12,13,14,15,16,17,18,19,20,21,22,23,24,25,26,27,28,29,30}-1)*LEN(Registro!$E256)+1,LEN(Registro!$E256)))&amp;"x")+1,20))),"Revisar formato")))</f>
        <v/>
      </c>
      <c r="F256" s="23" t="str">
        <f>IF(Registro!$F256="","",IF(ISERROR(FIND("x",LOWER(Registro!$F256))),"-",IFERROR(SUMPRODUCT(--("0"&amp;LEFT(TRIM(MID(SUBSTITUTE(SUBSTITUTE(SUBSTITUTE(SUBSTITUTE(SUBSTITUTE(LOWER(Registro!$F256)," ",""),CHAR(10),"|"),";","|"),"+","|"),"|",REPT(" ",LEN(Registro!$F256))),({1,2,3,4,5,6,7,8,9,10,11,12,13,14,15,16,17,18,19,20,21,22,23,24,25,26,27,28,29,30}-1)*LEN(Registro!$F256)+1,LEN(Registro!$F256))),FIND("x",TRIM(MID(SUBSTITUTE(SUBSTITUTE(SUBSTITUTE(SUBSTITUTE(SUBSTITUTE(LOWER(Registro!$F256)," ",""),CHAR(10),"|"),";","|"),"+","|"),"|",REPT(" ",LEN(Registro!$F256))),({1,2,3,4,5,6,7,8,9,10,11,12,13,14,15,16,17,18,19,20,21,22,23,24,25,26,27,28,29,30}-1)*LEN(Registro!$F256)+1,LEN(Registro!$F256)))&amp;"x")-1))),"Revisar formato")))</f>
        <v/>
      </c>
      <c r="G256" s="24" t="str">
        <f>IF(Registro!$F256="","",IF(ISERROR(FIND("x",LOWER(Registro!$F256))),N(Registro!$G256),IFERROR(SUMPRODUCT(--("0"&amp;LEFT(TRIM(MID(SUBSTITUTE(SUBSTITUTE(SUBSTITUTE(SUBSTITUTE(SUBSTITUTE(LOWER(Registro!$F256)," ",""),CHAR(10),"|"),";","|"),"+","|"),"|",REPT(" ",LEN(Registro!$F256))),({1,2,3,4,5,6,7,8,9,10,11,12,13,14,15,16,17,18,19,20,21,22,23,24,25,26,27,28,29,30}-1)*LEN(Registro!$F256)+1,LEN(Registro!$F256))),FIND("x",TRIM(MID(SUBSTITUTE(SUBSTITUTE(SUBSTITUTE(SUBSTITUTE(SUBSTITUTE(LOWER(Registro!$F256)," ",""),CHAR(10),"|"),";","|"),"+","|"),"|",REPT(" ",LEN(Registro!$F256))),({1,2,3,4,5,6,7,8,9,10,11,12,13,14,15,16,17,18,19,20,21,22,23,24,25,26,27,28,29,30}-1)*LEN(Registro!$F256)+1,LEN(Registro!$F256)))&amp;"x")-1)),--("0"&amp;MID(TRIM(MID(SUBSTITUTE(SUBSTITUTE(SUBSTITUTE(SUBSTITUTE(SUBSTITUTE(LOWER(Registro!$F256)," ",""),CHAR(10),"|"),";","|"),"+","|"),"|",REPT(" ",LEN(Registro!$F256))),({1,2,3,4,5,6,7,8,9,10,11,12,13,14,15,16,17,18,19,20,21,22,23,24,25,26,27,28,29,30}-1)*LEN(Registro!$F256)+1,LEN(Registro!$F256))),FIND("x",TRIM(MID(SUBSTITUTE(SUBSTITUTE(SUBSTITUTE(SUBSTITUTE(SUBSTITUTE(LOWER(Registro!$F256)," ",""),CHAR(10),"|"),";","|"),"+","|"),"|",REPT(" ",LEN(Registro!$F256))),({1,2,3,4,5,6,7,8,9,10,11,12,13,14,15,16,17,18,19,20,21,22,23,24,25,26,27,28,29,30}-1)*LEN(Registro!$F256)+1,LEN(Registro!$F256)))&amp;"x")+1,20))),"Revisar formato")))</f>
        <v/>
      </c>
      <c r="H256" s="21" t="str">
        <f>IF(AND(Registro!$E256="",Registro!$F256=""),"",IF(NOT(AND(ISNUMBER(G256),ISNUMBER(Registro!$G256))),"",IF(G256&lt;Registro!$G256,"FALTA BOLETOS",IF(G256=Registro!$G256,"CONFORME","DIFERENCIA"))))</f>
        <v/>
      </c>
      <c r="I256" s="24" t="str">
        <f>IF(Registro!$H256="","",IFERROR(SUMPRODUCT(--("0"&amp;TRIM(RIGHT(SUBSTITUTE(TRIM(MID(SUBSTITUTE(SUBSTITUTE(Registro!$H256,";",CHAR(10)),CHAR(10),REPT(" ",LEN(Registro!$H256))),({1,2,3,4,5,6,7,8,9,10,11,12,13,14,15,16,17,18,19,20,21,22,23,24,25,26,27,28,29,30}-1)*LEN(Registro!$H256)+1,LEN(Registro!$H256)))," ",REPT(" ",50)),50)))),"Revisar formato"))</f>
        <v/>
      </c>
      <c r="J256" s="24" t="str">
        <f>IF(Registro!$I256="","",IFERROR(SUMPRODUCT(--("0"&amp;TRIM(RIGHT(SUBSTITUTE(TRIM(MID(SUBSTITUTE(SUBSTITUTE(Registro!$I256,";",CHAR(10)),CHAR(10),REPT(" ",LEN(Registro!$I256))),({1,2,3,4,5,6,7,8,9,10,11,12,13,14,15,16,17,18,19,20,21,22,23,24,25,26,27,28,29,30}-1)*LEN(Registro!$I256)+1,LEN(Registro!$I256)))," ",REPT(" ",50)),50)))),"Revisar formato"))</f>
        <v/>
      </c>
      <c r="K256" s="24" t="str">
        <f>IF(AND(Registro!$G256="",Registro!$H256=""),"",IF(AND(ISTEXT(I256),I256&lt;&gt;""),"Revisar formato",N(Registro!$G256)-N(I256)))</f>
        <v/>
      </c>
      <c r="L256" s="24" t="str">
        <f t="shared" si="7"/>
        <v/>
      </c>
      <c r="M256" s="36" t="str">
        <f>IF(AND(A256=Consulta!$B$3,C256=Consulta!$H$3),B256*10000+ROW(),"")</f>
        <v/>
      </c>
    </row>
    <row r="257" spans="1:13" x14ac:dyDescent="0.25">
      <c r="A257" s="21" t="str">
        <f>IF(Registro!$A257="","",Registro!$A257)</f>
        <v/>
      </c>
      <c r="B257" s="20" t="str">
        <f>IF(Registro!$B257="","",Registro!$B257)</f>
        <v/>
      </c>
      <c r="C257" s="35" t="str">
        <f t="shared" si="6"/>
        <v/>
      </c>
      <c r="D257" s="23" t="str">
        <f>IF(Registro!$E257="","",IF(ISERROR(FIND("x",LOWER(Registro!$E257))),"-",IFERROR(SUMPRODUCT(--("0"&amp;LEFT(TRIM(MID(SUBSTITUTE(SUBSTITUTE(SUBSTITUTE(SUBSTITUTE(SUBSTITUTE(LOWER(Registro!$E257),"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",LEN(Registro!$E257))),({1,2,3,4,5,6,7,8,9,10,11,12,13,14,15,16,17,18,19,20,21,22,23,24,25,26,27,28,29,30}-1)*LEN(Registro!$E257)+1,LEN(Registro!$E257))),FIND("x",TRIM(MID(SUBSTITUTE(SUBSTITUTE(SUBSTITUTE(SUBSTITUTE(SUBSTITUTE(LOWER(Registro!$E257),"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",LEN(Registro!$E257))),({1,2,3,4,5,6,7,8,9,10,11,12,13,14,15,16,17,18,19,20,21,22,23,24,25,26,27,28,29,30}-1)*LEN(Registro!$E257)+1,LEN(Registro!$E257)))&amp;"x")-1))),"Revisar formato")))</f>
        <v/>
      </c>
      <c r="E257" s="24" t="str">
        <f>IF(Registro!$E257="","",IF(ISERROR(FIND("x",LOWER(Registro!$E257))),"-",IFERROR(SUMPRODUCT(--("0"&amp;LEFT(TRIM(MID(SUBSTITUTE(SUBSTITUTE(SUBSTITUTE(SUBSTITUTE(SUBSTITUTE(LOWER(Registro!$E257),"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",LEN(Registro!$E257))),({1,2,3,4,5,6,7,8,9,10,11,12,13,14,15,16,17,18,19,20,21,22,23,24,25,26,27,28,29,30}-1)*LEN(Registro!$E257)+1,LEN(Registro!$E257))),FIND("x",TRIM(MID(SUBSTITUTE(SUBSTITUTE(SUBSTITUTE(SUBSTITUTE(SUBSTITUTE(LOWER(Registro!$E257),"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",LEN(Registro!$E257))),({1,2,3,4,5,6,7,8,9,10,11,12,13,14,15,16,17,18,19,20,21,22,23,24,25,26,27,28,29,30}-1)*LEN(Registro!$E257)+1,LEN(Registro!$E257)))&amp;"x")-1)),--("0"&amp;MID(TRIM(MID(SUBSTITUTE(SUBSTITUTE(SUBSTITUTE(SUBSTITUTE(SUBSTITUTE(LOWER(Registro!$E257),"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",LEN(Registro!$E257))),({1,2,3,4,5,6,7,8,9,10,11,12,13,14,15,16,17,18,19,20,21,22,23,24,25,26,27,28,29,30}-1)*LEN(Registro!$E257)+1,LEN(Registro!$E257))),FIND("x",TRIM(MID(SUBSTITUTE(SUBSTITUTE(SUBSTITUTE(SUBSTITUTE(SUBSTITUTE(LOWER(Registro!$E257),"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",LEN(Registro!$E257))),({1,2,3,4,5,6,7,8,9,10,11,12,13,14,15,16,17,18,19,20,21,22,23,24,25,26,27,28,29,30}-1)*LEN(Registro!$E257)+1,LEN(Registro!$E257)))&amp;"x")+1,20))),"Revisar formato")))</f>
        <v/>
      </c>
      <c r="F257" s="23" t="str">
        <f>IF(Registro!$F257="","",IF(ISERROR(FIND("x",LOWER(Registro!$F257))),"-",IFERROR(SUMPRODUCT(--("0"&amp;LEFT(TRIM(MID(SUBSTITUTE(SUBSTITUTE(SUBSTITUTE(SUBSTITUTE(SUBSTITUTE(LOWER(Registro!$F257)," ",""),CHAR(10),"|"),";","|"),"+","|"),"|",REPT(" ",LEN(Registro!$F257))),({1,2,3,4,5,6,7,8,9,10,11,12,13,14,15,16,17,18,19,20,21,22,23,24,25,26,27,28,29,30}-1)*LEN(Registro!$F257)+1,LEN(Registro!$F257))),FIND("x",TRIM(MID(SUBSTITUTE(SUBSTITUTE(SUBSTITUTE(SUBSTITUTE(SUBSTITUTE(LOWER(Registro!$F257)," ",""),CHAR(10),"|"),";","|"),"+","|"),"|",REPT(" ",LEN(Registro!$F257))),({1,2,3,4,5,6,7,8,9,10,11,12,13,14,15,16,17,18,19,20,21,22,23,24,25,26,27,28,29,30}-1)*LEN(Registro!$F257)+1,LEN(Registro!$F257)))&amp;"x")-1))),"Revisar formato")))</f>
        <v/>
      </c>
      <c r="G257" s="24" t="str">
        <f>IF(Registro!$F257="","",IF(ISERROR(FIND("x",LOWER(Registro!$F257))),N(Registro!$G257),IFERROR(SUMPRODUCT(--("0"&amp;LEFT(TRIM(MID(SUBSTITUTE(SUBSTITUTE(SUBSTITUTE(SUBSTITUTE(SUBSTITUTE(LOWER(Registro!$F257)," ",""),CHAR(10),"|"),";","|"),"+","|"),"|",REPT(" ",LEN(Registro!$F257))),({1,2,3,4,5,6,7,8,9,10,11,12,13,14,15,16,17,18,19,20,21,22,23,24,25,26,27,28,29,30}-1)*LEN(Registro!$F257)+1,LEN(Registro!$F257))),FIND("x",TRIM(MID(SUBSTITUTE(SUBSTITUTE(SUBSTITUTE(SUBSTITUTE(SUBSTITUTE(LOWER(Registro!$F257)," ",""),CHAR(10),"|"),";","|"),"+","|"),"|",REPT(" ",LEN(Registro!$F257))),({1,2,3,4,5,6,7,8,9,10,11,12,13,14,15,16,17,18,19,20,21,22,23,24,25,26,27,28,29,30}-1)*LEN(Registro!$F257)+1,LEN(Registro!$F257)))&amp;"x")-1)),--("0"&amp;MID(TRIM(MID(SUBSTITUTE(SUBSTITUTE(SUBSTITUTE(SUBSTITUTE(SUBSTITUTE(LOWER(Registro!$F257)," ",""),CHAR(10),"|"),";","|"),"+","|"),"|",REPT(" ",LEN(Registro!$F257))),({1,2,3,4,5,6,7,8,9,10,11,12,13,14,15,16,17,18,19,20,21,22,23,24,25,26,27,28,29,30}-1)*LEN(Registro!$F257)+1,LEN(Registro!$F257))),FIND("x",TRIM(MID(SUBSTITUTE(SUBSTITUTE(SUBSTITUTE(SUBSTITUTE(SUBSTITUTE(LOWER(Registro!$F257)," ",""),CHAR(10),"|"),";","|"),"+","|"),"|",REPT(" ",LEN(Registro!$F257))),({1,2,3,4,5,6,7,8,9,10,11,12,13,14,15,16,17,18,19,20,21,22,23,24,25,26,27,28,29,30}-1)*LEN(Registro!$F257)+1,LEN(Registro!$F257)))&amp;"x")+1,20))),"Revisar formato")))</f>
        <v/>
      </c>
      <c r="H257" s="21" t="str">
        <f>IF(AND(Registro!$E257="",Registro!$F257=""),"",IF(NOT(AND(ISNUMBER(G257),ISNUMBER(Registro!$G257))),"",IF(G257&lt;Registro!$G257,"FALTA BOLETOS",IF(G257=Registro!$G257,"CONFORME","DIFERENCIA"))))</f>
        <v/>
      </c>
      <c r="I257" s="24" t="str">
        <f>IF(Registro!$H257="","",IFERROR(SUMPRODUCT(--("0"&amp;TRIM(RIGHT(SUBSTITUTE(TRIM(MID(SUBSTITUTE(SUBSTITUTE(Registro!$H257,";",CHAR(10)),CHAR(10),REPT(" ",LEN(Registro!$H257))),({1,2,3,4,5,6,7,8,9,10,11,12,13,14,15,16,17,18,19,20,21,22,23,24,25,26,27,28,29,30}-1)*LEN(Registro!$H257)+1,LEN(Registro!$H257)))," ",REPT(" ",50)),50)))),"Revisar formato"))</f>
        <v/>
      </c>
      <c r="J257" s="24" t="str">
        <f>IF(Registro!$I257="","",IFERROR(SUMPRODUCT(--("0"&amp;TRIM(RIGHT(SUBSTITUTE(TRIM(MID(SUBSTITUTE(SUBSTITUTE(Registro!$I257,";",CHAR(10)),CHAR(10),REPT(" ",LEN(Registro!$I257))),({1,2,3,4,5,6,7,8,9,10,11,12,13,14,15,16,17,18,19,20,21,22,23,24,25,26,27,28,29,30}-1)*LEN(Registro!$I257)+1,LEN(Registro!$I257)))," ",REPT(" ",50)),50)))),"Revisar formato"))</f>
        <v/>
      </c>
      <c r="K257" s="24" t="str">
        <f>IF(AND(Registro!$G257="",Registro!$H257=""),"",IF(AND(ISTEXT(I257),I257&lt;&gt;""),"Revisar formato",N(Registro!$G257)-N(I257)))</f>
        <v/>
      </c>
      <c r="L257" s="24" t="str">
        <f t="shared" si="7"/>
        <v/>
      </c>
      <c r="M257" s="36" t="str">
        <f>IF(AND(A257=Consulta!$B$3,C257=Consulta!$H$3),B257*10000+ROW(),"")</f>
        <v/>
      </c>
    </row>
    <row r="258" spans="1:13" x14ac:dyDescent="0.25">
      <c r="A258" s="21" t="str">
        <f>IF(Registro!$A258="","",Registro!$A258)</f>
        <v/>
      </c>
      <c r="B258" s="20" t="str">
        <f>IF(Registro!$B258="","",Registro!$B258)</f>
        <v/>
      </c>
      <c r="C258" s="35" t="str">
        <f t="shared" ref="C258:C321" si="8">IF(ISNUMBER(B258),YEAR(B258)*100+MONTH(B258),"")</f>
        <v/>
      </c>
      <c r="D258" s="23" t="str">
        <f>IF(Registro!$E258="","",IF(ISERROR(FIND("x",LOWER(Registro!$E258))),"-",IFERROR(SUMPRODUCT(--("0"&amp;LEFT(TRIM(MID(SUBSTITUTE(SUBSTITUTE(SUBSTITUTE(SUBSTITUTE(SUBSTITUTE(LOWER(Registro!$E258),"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",LEN(Registro!$E258))),({1,2,3,4,5,6,7,8,9,10,11,12,13,14,15,16,17,18,19,20,21,22,23,24,25,26,27,28,29,30}-1)*LEN(Registro!$E258)+1,LEN(Registro!$E258))),FIND("x",TRIM(MID(SUBSTITUTE(SUBSTITUTE(SUBSTITUTE(SUBSTITUTE(SUBSTITUTE(LOWER(Registro!$E258),"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",LEN(Registro!$E258))),({1,2,3,4,5,6,7,8,9,10,11,12,13,14,15,16,17,18,19,20,21,22,23,24,25,26,27,28,29,30}-1)*LEN(Registro!$E258)+1,LEN(Registro!$E258)))&amp;"x")-1))),"Revisar formato")))</f>
        <v/>
      </c>
      <c r="E258" s="24" t="str">
        <f>IF(Registro!$E258="","",IF(ISERROR(FIND("x",LOWER(Registro!$E258))),"-",IFERROR(SUMPRODUCT(--("0"&amp;LEFT(TRIM(MID(SUBSTITUTE(SUBSTITUTE(SUBSTITUTE(SUBSTITUTE(SUBSTITUTE(LOWER(Registro!$E258),"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",LEN(Registro!$E258))),({1,2,3,4,5,6,7,8,9,10,11,12,13,14,15,16,17,18,19,20,21,22,23,24,25,26,27,28,29,30}-1)*LEN(Registro!$E258)+1,LEN(Registro!$E258))),FIND("x",TRIM(MID(SUBSTITUTE(SUBSTITUTE(SUBSTITUTE(SUBSTITUTE(SUBSTITUTE(LOWER(Registro!$E258),"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",LEN(Registro!$E258))),({1,2,3,4,5,6,7,8,9,10,11,12,13,14,15,16,17,18,19,20,21,22,23,24,25,26,27,28,29,30}-1)*LEN(Registro!$E258)+1,LEN(Registro!$E258)))&amp;"x")-1)),--("0"&amp;MID(TRIM(MID(SUBSTITUTE(SUBSTITUTE(SUBSTITUTE(SUBSTITUTE(SUBSTITUTE(LOWER(Registro!$E258),"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",LEN(Registro!$E258))),({1,2,3,4,5,6,7,8,9,10,11,12,13,14,15,16,17,18,19,20,21,22,23,24,25,26,27,28,29,30}-1)*LEN(Registro!$E258)+1,LEN(Registro!$E258))),FIND("x",TRIM(MID(SUBSTITUTE(SUBSTITUTE(SUBSTITUTE(SUBSTITUTE(SUBSTITUTE(LOWER(Registro!$E258),"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",LEN(Registro!$E258))),({1,2,3,4,5,6,7,8,9,10,11,12,13,14,15,16,17,18,19,20,21,22,23,24,25,26,27,28,29,30}-1)*LEN(Registro!$E258)+1,LEN(Registro!$E258)))&amp;"x")+1,20))),"Revisar formato")))</f>
        <v/>
      </c>
      <c r="F258" s="23" t="str">
        <f>IF(Registro!$F258="","",IF(ISERROR(FIND("x",LOWER(Registro!$F258))),"-",IFERROR(SUMPRODUCT(--("0"&amp;LEFT(TRIM(MID(SUBSTITUTE(SUBSTITUTE(SUBSTITUTE(SUBSTITUTE(SUBSTITUTE(LOWER(Registro!$F258)," ",""),CHAR(10),"|"),";","|"),"+","|"),"|",REPT(" ",LEN(Registro!$F258))),({1,2,3,4,5,6,7,8,9,10,11,12,13,14,15,16,17,18,19,20,21,22,23,24,25,26,27,28,29,30}-1)*LEN(Registro!$F258)+1,LEN(Registro!$F258))),FIND("x",TRIM(MID(SUBSTITUTE(SUBSTITUTE(SUBSTITUTE(SUBSTITUTE(SUBSTITUTE(LOWER(Registro!$F258)," ",""),CHAR(10),"|"),";","|"),"+","|"),"|",REPT(" ",LEN(Registro!$F258))),({1,2,3,4,5,6,7,8,9,10,11,12,13,14,15,16,17,18,19,20,21,22,23,24,25,26,27,28,29,30}-1)*LEN(Registro!$F258)+1,LEN(Registro!$F258)))&amp;"x")-1))),"Revisar formato")))</f>
        <v/>
      </c>
      <c r="G258" s="24" t="str">
        <f>IF(Registro!$F258="","",IF(ISERROR(FIND("x",LOWER(Registro!$F258))),N(Registro!$G258),IFERROR(SUMPRODUCT(--("0"&amp;LEFT(TRIM(MID(SUBSTITUTE(SUBSTITUTE(SUBSTITUTE(SUBSTITUTE(SUBSTITUTE(LOWER(Registro!$F258)," ",""),CHAR(10),"|"),";","|"),"+","|"),"|",REPT(" ",LEN(Registro!$F258))),({1,2,3,4,5,6,7,8,9,10,11,12,13,14,15,16,17,18,19,20,21,22,23,24,25,26,27,28,29,30}-1)*LEN(Registro!$F258)+1,LEN(Registro!$F258))),FIND("x",TRIM(MID(SUBSTITUTE(SUBSTITUTE(SUBSTITUTE(SUBSTITUTE(SUBSTITUTE(LOWER(Registro!$F258)," ",""),CHAR(10),"|"),";","|"),"+","|"),"|",REPT(" ",LEN(Registro!$F258))),({1,2,3,4,5,6,7,8,9,10,11,12,13,14,15,16,17,18,19,20,21,22,23,24,25,26,27,28,29,30}-1)*LEN(Registro!$F258)+1,LEN(Registro!$F258)))&amp;"x")-1)),--("0"&amp;MID(TRIM(MID(SUBSTITUTE(SUBSTITUTE(SUBSTITUTE(SUBSTITUTE(SUBSTITUTE(LOWER(Registro!$F258)," ",""),CHAR(10),"|"),";","|"),"+","|"),"|",REPT(" ",LEN(Registro!$F258))),({1,2,3,4,5,6,7,8,9,10,11,12,13,14,15,16,17,18,19,20,21,22,23,24,25,26,27,28,29,30}-1)*LEN(Registro!$F258)+1,LEN(Registro!$F258))),FIND("x",TRIM(MID(SUBSTITUTE(SUBSTITUTE(SUBSTITUTE(SUBSTITUTE(SUBSTITUTE(LOWER(Registro!$F258)," ",""),CHAR(10),"|"),";","|"),"+","|"),"|",REPT(" ",LEN(Registro!$F258))),({1,2,3,4,5,6,7,8,9,10,11,12,13,14,15,16,17,18,19,20,21,22,23,24,25,26,27,28,29,30}-1)*LEN(Registro!$F258)+1,LEN(Registro!$F258)))&amp;"x")+1,20))),"Revisar formato")))</f>
        <v/>
      </c>
      <c r="H258" s="21" t="str">
        <f>IF(AND(Registro!$E258="",Registro!$F258=""),"",IF(NOT(AND(ISNUMBER(G258),ISNUMBER(Registro!$G258))),"",IF(G258&lt;Registro!$G258,"FALTA BOLETOS",IF(G258=Registro!$G258,"CONFORME","DIFERENCIA"))))</f>
        <v/>
      </c>
      <c r="I258" s="24" t="str">
        <f>IF(Registro!$H258="","",IFERROR(SUMPRODUCT(--("0"&amp;TRIM(RIGHT(SUBSTITUTE(TRIM(MID(SUBSTITUTE(SUBSTITUTE(Registro!$H258,";",CHAR(10)),CHAR(10),REPT(" ",LEN(Registro!$H258))),({1,2,3,4,5,6,7,8,9,10,11,12,13,14,15,16,17,18,19,20,21,22,23,24,25,26,27,28,29,30}-1)*LEN(Registro!$H258)+1,LEN(Registro!$H258)))," ",REPT(" ",50)),50)))),"Revisar formato"))</f>
        <v/>
      </c>
      <c r="J258" s="24" t="str">
        <f>IF(Registro!$I258="","",IFERROR(SUMPRODUCT(--("0"&amp;TRIM(RIGHT(SUBSTITUTE(TRIM(MID(SUBSTITUTE(SUBSTITUTE(Registro!$I258,";",CHAR(10)),CHAR(10),REPT(" ",LEN(Registro!$I258))),({1,2,3,4,5,6,7,8,9,10,11,12,13,14,15,16,17,18,19,20,21,22,23,24,25,26,27,28,29,30}-1)*LEN(Registro!$I258)+1,LEN(Registro!$I258)))," ",REPT(" ",50)),50)))),"Revisar formato"))</f>
        <v/>
      </c>
      <c r="K258" s="24" t="str">
        <f>IF(AND(Registro!$G258="",Registro!$H258=""),"",IF(AND(ISTEXT(I258),I258&lt;&gt;""),"Revisar formato",N(Registro!$G258)-N(I258)))</f>
        <v/>
      </c>
      <c r="L258" s="24" t="str">
        <f t="shared" ref="L258:L321" si="9">IF(K258="","",IF(OR(K258="Revisar formato",AND(ISTEXT(J258),J258&lt;&gt;"")),"Revisar formato",K258-N(J258)))</f>
        <v/>
      </c>
      <c r="M258" s="36" t="str">
        <f>IF(AND(A258=Consulta!$B$3,C258=Consulta!$H$3),B258*10000+ROW(),"")</f>
        <v/>
      </c>
    </row>
    <row r="259" spans="1:13" x14ac:dyDescent="0.25">
      <c r="A259" s="21" t="str">
        <f>IF(Registro!$A259="","",Registro!$A259)</f>
        <v/>
      </c>
      <c r="B259" s="20" t="str">
        <f>IF(Registro!$B259="","",Registro!$B259)</f>
        <v/>
      </c>
      <c r="C259" s="35" t="str">
        <f t="shared" si="8"/>
        <v/>
      </c>
      <c r="D259" s="23" t="str">
        <f>IF(Registro!$E259="","",IF(ISERROR(FIND("x",LOWER(Registro!$E259))),"-",IFERROR(SUMPRODUCT(--("0"&amp;LEFT(TRIM(MID(SUBSTITUTE(SUBSTITUTE(SUBSTITUTE(SUBSTITUTE(SUBSTITUTE(LOWER(Registro!$E259),"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",LEN(Registro!$E259))),({1,2,3,4,5,6,7,8,9,10,11,12,13,14,15,16,17,18,19,20,21,22,23,24,25,26,27,28,29,30}-1)*LEN(Registro!$E259)+1,LEN(Registro!$E259))),FIND("x",TRIM(MID(SUBSTITUTE(SUBSTITUTE(SUBSTITUTE(SUBSTITUTE(SUBSTITUTE(LOWER(Registro!$E259),"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",LEN(Registro!$E259))),({1,2,3,4,5,6,7,8,9,10,11,12,13,14,15,16,17,18,19,20,21,22,23,24,25,26,27,28,29,30}-1)*LEN(Registro!$E259)+1,LEN(Registro!$E259)))&amp;"x")-1))),"Revisar formato")))</f>
        <v/>
      </c>
      <c r="E259" s="24" t="str">
        <f>IF(Registro!$E259="","",IF(ISERROR(FIND("x",LOWER(Registro!$E259))),"-",IFERROR(SUMPRODUCT(--("0"&amp;LEFT(TRIM(MID(SUBSTITUTE(SUBSTITUTE(SUBSTITUTE(SUBSTITUTE(SUBSTITUTE(LOWER(Registro!$E259),"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",LEN(Registro!$E259))),({1,2,3,4,5,6,7,8,9,10,11,12,13,14,15,16,17,18,19,20,21,22,23,24,25,26,27,28,29,30}-1)*LEN(Registro!$E259)+1,LEN(Registro!$E259))),FIND("x",TRIM(MID(SUBSTITUTE(SUBSTITUTE(SUBSTITUTE(SUBSTITUTE(SUBSTITUTE(LOWER(Registro!$E259),"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",LEN(Registro!$E259))),({1,2,3,4,5,6,7,8,9,10,11,12,13,14,15,16,17,18,19,20,21,22,23,24,25,26,27,28,29,30}-1)*LEN(Registro!$E259)+1,LEN(Registro!$E259)))&amp;"x")-1)),--("0"&amp;MID(TRIM(MID(SUBSTITUTE(SUBSTITUTE(SUBSTITUTE(SUBSTITUTE(SUBSTITUTE(LOWER(Registro!$E259),"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",LEN(Registro!$E259))),({1,2,3,4,5,6,7,8,9,10,11,12,13,14,15,16,17,18,19,20,21,22,23,24,25,26,27,28,29,30}-1)*LEN(Registro!$E259)+1,LEN(Registro!$E259))),FIND("x",TRIM(MID(SUBSTITUTE(SUBSTITUTE(SUBSTITUTE(SUBSTITUTE(SUBSTITUTE(LOWER(Registro!$E259),"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",LEN(Registro!$E259))),({1,2,3,4,5,6,7,8,9,10,11,12,13,14,15,16,17,18,19,20,21,22,23,24,25,26,27,28,29,30}-1)*LEN(Registro!$E259)+1,LEN(Registro!$E259)))&amp;"x")+1,20))),"Revisar formato")))</f>
        <v/>
      </c>
      <c r="F259" s="23" t="str">
        <f>IF(Registro!$F259="","",IF(ISERROR(FIND("x",LOWER(Registro!$F259))),"-",IFERROR(SUMPRODUCT(--("0"&amp;LEFT(TRIM(MID(SUBSTITUTE(SUBSTITUTE(SUBSTITUTE(SUBSTITUTE(SUBSTITUTE(LOWER(Registro!$F259)," ",""),CHAR(10),"|"),";","|"),"+","|"),"|",REPT(" ",LEN(Registro!$F259))),({1,2,3,4,5,6,7,8,9,10,11,12,13,14,15,16,17,18,19,20,21,22,23,24,25,26,27,28,29,30}-1)*LEN(Registro!$F259)+1,LEN(Registro!$F259))),FIND("x",TRIM(MID(SUBSTITUTE(SUBSTITUTE(SUBSTITUTE(SUBSTITUTE(SUBSTITUTE(LOWER(Registro!$F259)," ",""),CHAR(10),"|"),";","|"),"+","|"),"|",REPT(" ",LEN(Registro!$F259))),({1,2,3,4,5,6,7,8,9,10,11,12,13,14,15,16,17,18,19,20,21,22,23,24,25,26,27,28,29,30}-1)*LEN(Registro!$F259)+1,LEN(Registro!$F259)))&amp;"x")-1))),"Revisar formato")))</f>
        <v/>
      </c>
      <c r="G259" s="24" t="str">
        <f>IF(Registro!$F259="","",IF(ISERROR(FIND("x",LOWER(Registro!$F259))),N(Registro!$G259),IFERROR(SUMPRODUCT(--("0"&amp;LEFT(TRIM(MID(SUBSTITUTE(SUBSTITUTE(SUBSTITUTE(SUBSTITUTE(SUBSTITUTE(LOWER(Registro!$F259)," ",""),CHAR(10),"|"),";","|"),"+","|"),"|",REPT(" ",LEN(Registro!$F259))),({1,2,3,4,5,6,7,8,9,10,11,12,13,14,15,16,17,18,19,20,21,22,23,24,25,26,27,28,29,30}-1)*LEN(Registro!$F259)+1,LEN(Registro!$F259))),FIND("x",TRIM(MID(SUBSTITUTE(SUBSTITUTE(SUBSTITUTE(SUBSTITUTE(SUBSTITUTE(LOWER(Registro!$F259)," ",""),CHAR(10),"|"),";","|"),"+","|"),"|",REPT(" ",LEN(Registro!$F259))),({1,2,3,4,5,6,7,8,9,10,11,12,13,14,15,16,17,18,19,20,21,22,23,24,25,26,27,28,29,30}-1)*LEN(Registro!$F259)+1,LEN(Registro!$F259)))&amp;"x")-1)),--("0"&amp;MID(TRIM(MID(SUBSTITUTE(SUBSTITUTE(SUBSTITUTE(SUBSTITUTE(SUBSTITUTE(LOWER(Registro!$F259)," ",""),CHAR(10),"|"),";","|"),"+","|"),"|",REPT(" ",LEN(Registro!$F259))),({1,2,3,4,5,6,7,8,9,10,11,12,13,14,15,16,17,18,19,20,21,22,23,24,25,26,27,28,29,30}-1)*LEN(Registro!$F259)+1,LEN(Registro!$F259))),FIND("x",TRIM(MID(SUBSTITUTE(SUBSTITUTE(SUBSTITUTE(SUBSTITUTE(SUBSTITUTE(LOWER(Registro!$F259)," ",""),CHAR(10),"|"),";","|"),"+","|"),"|",REPT(" ",LEN(Registro!$F259))),({1,2,3,4,5,6,7,8,9,10,11,12,13,14,15,16,17,18,19,20,21,22,23,24,25,26,27,28,29,30}-1)*LEN(Registro!$F259)+1,LEN(Registro!$F259)))&amp;"x")+1,20))),"Revisar formato")))</f>
        <v/>
      </c>
      <c r="H259" s="21" t="str">
        <f>IF(AND(Registro!$E259="",Registro!$F259=""),"",IF(NOT(AND(ISNUMBER(G259),ISNUMBER(Registro!$G259))),"",IF(G259&lt;Registro!$G259,"FALTA BOLETOS",IF(G259=Registro!$G259,"CONFORME","DIFERENCIA"))))</f>
        <v/>
      </c>
      <c r="I259" s="24" t="str">
        <f>IF(Registro!$H259="","",IFERROR(SUMPRODUCT(--("0"&amp;TRIM(RIGHT(SUBSTITUTE(TRIM(MID(SUBSTITUTE(SUBSTITUTE(Registro!$H259,";",CHAR(10)),CHAR(10),REPT(" ",LEN(Registro!$H259))),({1,2,3,4,5,6,7,8,9,10,11,12,13,14,15,16,17,18,19,20,21,22,23,24,25,26,27,28,29,30}-1)*LEN(Registro!$H259)+1,LEN(Registro!$H259)))," ",REPT(" ",50)),50)))),"Revisar formato"))</f>
        <v/>
      </c>
      <c r="J259" s="24" t="str">
        <f>IF(Registro!$I259="","",IFERROR(SUMPRODUCT(--("0"&amp;TRIM(RIGHT(SUBSTITUTE(TRIM(MID(SUBSTITUTE(SUBSTITUTE(Registro!$I259,";",CHAR(10)),CHAR(10),REPT(" ",LEN(Registro!$I259))),({1,2,3,4,5,6,7,8,9,10,11,12,13,14,15,16,17,18,19,20,21,22,23,24,25,26,27,28,29,30}-1)*LEN(Registro!$I259)+1,LEN(Registro!$I259)))," ",REPT(" ",50)),50)))),"Revisar formato"))</f>
        <v/>
      </c>
      <c r="K259" s="24" t="str">
        <f>IF(AND(Registro!$G259="",Registro!$H259=""),"",IF(AND(ISTEXT(I259),I259&lt;&gt;""),"Revisar formato",N(Registro!$G259)-N(I259)))</f>
        <v/>
      </c>
      <c r="L259" s="24" t="str">
        <f t="shared" si="9"/>
        <v/>
      </c>
      <c r="M259" s="36" t="str">
        <f>IF(AND(A259=Consulta!$B$3,C259=Consulta!$H$3),B259*10000+ROW(),"")</f>
        <v/>
      </c>
    </row>
    <row r="260" spans="1:13" x14ac:dyDescent="0.25">
      <c r="A260" s="21" t="str">
        <f>IF(Registro!$A260="","",Registro!$A260)</f>
        <v/>
      </c>
      <c r="B260" s="20" t="str">
        <f>IF(Registro!$B260="","",Registro!$B260)</f>
        <v/>
      </c>
      <c r="C260" s="35" t="str">
        <f t="shared" si="8"/>
        <v/>
      </c>
      <c r="D260" s="23" t="str">
        <f>IF(Registro!$E260="","",IF(ISERROR(FIND("x",LOWER(Registro!$E260))),"-",IFERROR(SUMPRODUCT(--("0"&amp;LEFT(TRIM(MID(SUBSTITUTE(SUBSTITUTE(SUBSTITUTE(SUBSTITUTE(SUBSTITUTE(LOWER(Registro!$E260),"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",LEN(Registro!$E260))),({1,2,3,4,5,6,7,8,9,10,11,12,13,14,15,16,17,18,19,20,21,22,23,24,25,26,27,28,29,30}-1)*LEN(Registro!$E260)+1,LEN(Registro!$E260))),FIND("x",TRIM(MID(SUBSTITUTE(SUBSTITUTE(SUBSTITUTE(SUBSTITUTE(SUBSTITUTE(LOWER(Registro!$E260),"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",LEN(Registro!$E260))),({1,2,3,4,5,6,7,8,9,10,11,12,13,14,15,16,17,18,19,20,21,22,23,24,25,26,27,28,29,30}-1)*LEN(Registro!$E260)+1,LEN(Registro!$E260)))&amp;"x")-1))),"Revisar formato")))</f>
        <v/>
      </c>
      <c r="E260" s="24" t="str">
        <f>IF(Registro!$E260="","",IF(ISERROR(FIND("x",LOWER(Registro!$E260))),"-",IFERROR(SUMPRODUCT(--("0"&amp;LEFT(TRIM(MID(SUBSTITUTE(SUBSTITUTE(SUBSTITUTE(SUBSTITUTE(SUBSTITUTE(LOWER(Registro!$E260),"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",LEN(Registro!$E260))),({1,2,3,4,5,6,7,8,9,10,11,12,13,14,15,16,17,18,19,20,21,22,23,24,25,26,27,28,29,30}-1)*LEN(Registro!$E260)+1,LEN(Registro!$E260))),FIND("x",TRIM(MID(SUBSTITUTE(SUBSTITUTE(SUBSTITUTE(SUBSTITUTE(SUBSTITUTE(LOWER(Registro!$E260),"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",LEN(Registro!$E260))),({1,2,3,4,5,6,7,8,9,10,11,12,13,14,15,16,17,18,19,20,21,22,23,24,25,26,27,28,29,30}-1)*LEN(Registro!$E260)+1,LEN(Registro!$E260)))&amp;"x")-1)),--("0"&amp;MID(TRIM(MID(SUBSTITUTE(SUBSTITUTE(SUBSTITUTE(SUBSTITUTE(SUBSTITUTE(LOWER(Registro!$E260),"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",LEN(Registro!$E260))),({1,2,3,4,5,6,7,8,9,10,11,12,13,14,15,16,17,18,19,20,21,22,23,24,25,26,27,28,29,30}-1)*LEN(Registro!$E260)+1,LEN(Registro!$E260))),FIND("x",TRIM(MID(SUBSTITUTE(SUBSTITUTE(SUBSTITUTE(SUBSTITUTE(SUBSTITUTE(LOWER(Registro!$E260),"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",LEN(Registro!$E260))),({1,2,3,4,5,6,7,8,9,10,11,12,13,14,15,16,17,18,19,20,21,22,23,24,25,26,27,28,29,30}-1)*LEN(Registro!$E260)+1,LEN(Registro!$E260)))&amp;"x")+1,20))),"Revisar formato")))</f>
        <v/>
      </c>
      <c r="F260" s="23" t="str">
        <f>IF(Registro!$F260="","",IF(ISERROR(FIND("x",LOWER(Registro!$F260))),"-",IFERROR(SUMPRODUCT(--("0"&amp;LEFT(TRIM(MID(SUBSTITUTE(SUBSTITUTE(SUBSTITUTE(SUBSTITUTE(SUBSTITUTE(LOWER(Registro!$F260)," ",""),CHAR(10),"|"),";","|"),"+","|"),"|",REPT(" ",LEN(Registro!$F260))),({1,2,3,4,5,6,7,8,9,10,11,12,13,14,15,16,17,18,19,20,21,22,23,24,25,26,27,28,29,30}-1)*LEN(Registro!$F260)+1,LEN(Registro!$F260))),FIND("x",TRIM(MID(SUBSTITUTE(SUBSTITUTE(SUBSTITUTE(SUBSTITUTE(SUBSTITUTE(LOWER(Registro!$F260)," ",""),CHAR(10),"|"),";","|"),"+","|"),"|",REPT(" ",LEN(Registro!$F260))),({1,2,3,4,5,6,7,8,9,10,11,12,13,14,15,16,17,18,19,20,21,22,23,24,25,26,27,28,29,30}-1)*LEN(Registro!$F260)+1,LEN(Registro!$F260)))&amp;"x")-1))),"Revisar formato")))</f>
        <v/>
      </c>
      <c r="G260" s="24" t="str">
        <f>IF(Registro!$F260="","",IF(ISERROR(FIND("x",LOWER(Registro!$F260))),N(Registro!$G260),IFERROR(SUMPRODUCT(--("0"&amp;LEFT(TRIM(MID(SUBSTITUTE(SUBSTITUTE(SUBSTITUTE(SUBSTITUTE(SUBSTITUTE(LOWER(Registro!$F260)," ",""),CHAR(10),"|"),";","|"),"+","|"),"|",REPT(" ",LEN(Registro!$F260))),({1,2,3,4,5,6,7,8,9,10,11,12,13,14,15,16,17,18,19,20,21,22,23,24,25,26,27,28,29,30}-1)*LEN(Registro!$F260)+1,LEN(Registro!$F260))),FIND("x",TRIM(MID(SUBSTITUTE(SUBSTITUTE(SUBSTITUTE(SUBSTITUTE(SUBSTITUTE(LOWER(Registro!$F260)," ",""),CHAR(10),"|"),";","|"),"+","|"),"|",REPT(" ",LEN(Registro!$F260))),({1,2,3,4,5,6,7,8,9,10,11,12,13,14,15,16,17,18,19,20,21,22,23,24,25,26,27,28,29,30}-1)*LEN(Registro!$F260)+1,LEN(Registro!$F260)))&amp;"x")-1)),--("0"&amp;MID(TRIM(MID(SUBSTITUTE(SUBSTITUTE(SUBSTITUTE(SUBSTITUTE(SUBSTITUTE(LOWER(Registro!$F260)," ",""),CHAR(10),"|"),";","|"),"+","|"),"|",REPT(" ",LEN(Registro!$F260))),({1,2,3,4,5,6,7,8,9,10,11,12,13,14,15,16,17,18,19,20,21,22,23,24,25,26,27,28,29,30}-1)*LEN(Registro!$F260)+1,LEN(Registro!$F260))),FIND("x",TRIM(MID(SUBSTITUTE(SUBSTITUTE(SUBSTITUTE(SUBSTITUTE(SUBSTITUTE(LOWER(Registro!$F260)," ",""),CHAR(10),"|"),";","|"),"+","|"),"|",REPT(" ",LEN(Registro!$F260))),({1,2,3,4,5,6,7,8,9,10,11,12,13,14,15,16,17,18,19,20,21,22,23,24,25,26,27,28,29,30}-1)*LEN(Registro!$F260)+1,LEN(Registro!$F260)))&amp;"x")+1,20))),"Revisar formato")))</f>
        <v/>
      </c>
      <c r="H260" s="21" t="str">
        <f>IF(AND(Registro!$E260="",Registro!$F260=""),"",IF(NOT(AND(ISNUMBER(G260),ISNUMBER(Registro!$G260))),"",IF(G260&lt;Registro!$G260,"FALTA BOLETOS",IF(G260=Registro!$G260,"CONFORME","DIFERENCIA"))))</f>
        <v/>
      </c>
      <c r="I260" s="24" t="str">
        <f>IF(Registro!$H260="","",IFERROR(SUMPRODUCT(--("0"&amp;TRIM(RIGHT(SUBSTITUTE(TRIM(MID(SUBSTITUTE(SUBSTITUTE(Registro!$H260,";",CHAR(10)),CHAR(10),REPT(" ",LEN(Registro!$H260))),({1,2,3,4,5,6,7,8,9,10,11,12,13,14,15,16,17,18,19,20,21,22,23,24,25,26,27,28,29,30}-1)*LEN(Registro!$H260)+1,LEN(Registro!$H260)))," ",REPT(" ",50)),50)))),"Revisar formato"))</f>
        <v/>
      </c>
      <c r="J260" s="24" t="str">
        <f>IF(Registro!$I260="","",IFERROR(SUMPRODUCT(--("0"&amp;TRIM(RIGHT(SUBSTITUTE(TRIM(MID(SUBSTITUTE(SUBSTITUTE(Registro!$I260,";",CHAR(10)),CHAR(10),REPT(" ",LEN(Registro!$I260))),({1,2,3,4,5,6,7,8,9,10,11,12,13,14,15,16,17,18,19,20,21,22,23,24,25,26,27,28,29,30}-1)*LEN(Registro!$I260)+1,LEN(Registro!$I260)))," ",REPT(" ",50)),50)))),"Revisar formato"))</f>
        <v/>
      </c>
      <c r="K260" s="24" t="str">
        <f>IF(AND(Registro!$G260="",Registro!$H260=""),"",IF(AND(ISTEXT(I260),I260&lt;&gt;""),"Revisar formato",N(Registro!$G260)-N(I260)))</f>
        <v/>
      </c>
      <c r="L260" s="24" t="str">
        <f t="shared" si="9"/>
        <v/>
      </c>
      <c r="M260" s="36" t="str">
        <f>IF(AND(A260=Consulta!$B$3,C260=Consulta!$H$3),B260*10000+ROW(),"")</f>
        <v/>
      </c>
    </row>
    <row r="261" spans="1:13" x14ac:dyDescent="0.25">
      <c r="A261" s="21" t="str">
        <f>IF(Registro!$A261="","",Registro!$A261)</f>
        <v/>
      </c>
      <c r="B261" s="20" t="str">
        <f>IF(Registro!$B261="","",Registro!$B261)</f>
        <v/>
      </c>
      <c r="C261" s="35" t="str">
        <f t="shared" si="8"/>
        <v/>
      </c>
      <c r="D261" s="23" t="str">
        <f>IF(Registro!$E261="","",IF(ISERROR(FIND("x",LOWER(Registro!$E261))),"-",IFERROR(SUMPRODUCT(--("0"&amp;LEFT(TRIM(MID(SUBSTITUTE(SUBSTITUTE(SUBSTITUTE(SUBSTITUTE(SUBSTITUTE(LOWER(Registro!$E261),"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",LEN(Registro!$E261))),({1,2,3,4,5,6,7,8,9,10,11,12,13,14,15,16,17,18,19,20,21,22,23,24,25,26,27,28,29,30}-1)*LEN(Registro!$E261)+1,LEN(Registro!$E261))),FIND("x",TRIM(MID(SUBSTITUTE(SUBSTITUTE(SUBSTITUTE(SUBSTITUTE(SUBSTITUTE(LOWER(Registro!$E261),"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",LEN(Registro!$E261))),({1,2,3,4,5,6,7,8,9,10,11,12,13,14,15,16,17,18,19,20,21,22,23,24,25,26,27,28,29,30}-1)*LEN(Registro!$E261)+1,LEN(Registro!$E261)))&amp;"x")-1))),"Revisar formato")))</f>
        <v/>
      </c>
      <c r="E261" s="24" t="str">
        <f>IF(Registro!$E261="","",IF(ISERROR(FIND("x",LOWER(Registro!$E261))),"-",IFERROR(SUMPRODUCT(--("0"&amp;LEFT(TRIM(MID(SUBSTITUTE(SUBSTITUTE(SUBSTITUTE(SUBSTITUTE(SUBSTITUTE(LOWER(Registro!$E261),"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",LEN(Registro!$E261))),({1,2,3,4,5,6,7,8,9,10,11,12,13,14,15,16,17,18,19,20,21,22,23,24,25,26,27,28,29,30}-1)*LEN(Registro!$E261)+1,LEN(Registro!$E261))),FIND("x",TRIM(MID(SUBSTITUTE(SUBSTITUTE(SUBSTITUTE(SUBSTITUTE(SUBSTITUTE(LOWER(Registro!$E261),"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",LEN(Registro!$E261))),({1,2,3,4,5,6,7,8,9,10,11,12,13,14,15,16,17,18,19,20,21,22,23,24,25,26,27,28,29,30}-1)*LEN(Registro!$E261)+1,LEN(Registro!$E261)))&amp;"x")-1)),--("0"&amp;MID(TRIM(MID(SUBSTITUTE(SUBSTITUTE(SUBSTITUTE(SUBSTITUTE(SUBSTITUTE(LOWER(Registro!$E261),"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",LEN(Registro!$E261))),({1,2,3,4,5,6,7,8,9,10,11,12,13,14,15,16,17,18,19,20,21,22,23,24,25,26,27,28,29,30}-1)*LEN(Registro!$E261)+1,LEN(Registro!$E261))),FIND("x",TRIM(MID(SUBSTITUTE(SUBSTITUTE(SUBSTITUTE(SUBSTITUTE(SUBSTITUTE(LOWER(Registro!$E261),"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",LEN(Registro!$E261))),({1,2,3,4,5,6,7,8,9,10,11,12,13,14,15,16,17,18,19,20,21,22,23,24,25,26,27,28,29,30}-1)*LEN(Registro!$E261)+1,LEN(Registro!$E261)))&amp;"x")+1,20))),"Revisar formato")))</f>
        <v/>
      </c>
      <c r="F261" s="23" t="str">
        <f>IF(Registro!$F261="","",IF(ISERROR(FIND("x",LOWER(Registro!$F261))),"-",IFERROR(SUMPRODUCT(--("0"&amp;LEFT(TRIM(MID(SUBSTITUTE(SUBSTITUTE(SUBSTITUTE(SUBSTITUTE(SUBSTITUTE(LOWER(Registro!$F261)," ",""),CHAR(10),"|"),";","|"),"+","|"),"|",REPT(" ",LEN(Registro!$F261))),({1,2,3,4,5,6,7,8,9,10,11,12,13,14,15,16,17,18,19,20,21,22,23,24,25,26,27,28,29,30}-1)*LEN(Registro!$F261)+1,LEN(Registro!$F261))),FIND("x",TRIM(MID(SUBSTITUTE(SUBSTITUTE(SUBSTITUTE(SUBSTITUTE(SUBSTITUTE(LOWER(Registro!$F261)," ",""),CHAR(10),"|"),";","|"),"+","|"),"|",REPT(" ",LEN(Registro!$F261))),({1,2,3,4,5,6,7,8,9,10,11,12,13,14,15,16,17,18,19,20,21,22,23,24,25,26,27,28,29,30}-1)*LEN(Registro!$F261)+1,LEN(Registro!$F261)))&amp;"x")-1))),"Revisar formato")))</f>
        <v/>
      </c>
      <c r="G261" s="24" t="str">
        <f>IF(Registro!$F261="","",IF(ISERROR(FIND("x",LOWER(Registro!$F261))),N(Registro!$G261),IFERROR(SUMPRODUCT(--("0"&amp;LEFT(TRIM(MID(SUBSTITUTE(SUBSTITUTE(SUBSTITUTE(SUBSTITUTE(SUBSTITUTE(LOWER(Registro!$F261)," ",""),CHAR(10),"|"),";","|"),"+","|"),"|",REPT(" ",LEN(Registro!$F261))),({1,2,3,4,5,6,7,8,9,10,11,12,13,14,15,16,17,18,19,20,21,22,23,24,25,26,27,28,29,30}-1)*LEN(Registro!$F261)+1,LEN(Registro!$F261))),FIND("x",TRIM(MID(SUBSTITUTE(SUBSTITUTE(SUBSTITUTE(SUBSTITUTE(SUBSTITUTE(LOWER(Registro!$F261)," ",""),CHAR(10),"|"),";","|"),"+","|"),"|",REPT(" ",LEN(Registro!$F261))),({1,2,3,4,5,6,7,8,9,10,11,12,13,14,15,16,17,18,19,20,21,22,23,24,25,26,27,28,29,30}-1)*LEN(Registro!$F261)+1,LEN(Registro!$F261)))&amp;"x")-1)),--("0"&amp;MID(TRIM(MID(SUBSTITUTE(SUBSTITUTE(SUBSTITUTE(SUBSTITUTE(SUBSTITUTE(LOWER(Registro!$F261)," ",""),CHAR(10),"|"),";","|"),"+","|"),"|",REPT(" ",LEN(Registro!$F261))),({1,2,3,4,5,6,7,8,9,10,11,12,13,14,15,16,17,18,19,20,21,22,23,24,25,26,27,28,29,30}-1)*LEN(Registro!$F261)+1,LEN(Registro!$F261))),FIND("x",TRIM(MID(SUBSTITUTE(SUBSTITUTE(SUBSTITUTE(SUBSTITUTE(SUBSTITUTE(LOWER(Registro!$F261)," ",""),CHAR(10),"|"),";","|"),"+","|"),"|",REPT(" ",LEN(Registro!$F261))),({1,2,3,4,5,6,7,8,9,10,11,12,13,14,15,16,17,18,19,20,21,22,23,24,25,26,27,28,29,30}-1)*LEN(Registro!$F261)+1,LEN(Registro!$F261)))&amp;"x")+1,20))),"Revisar formato")))</f>
        <v/>
      </c>
      <c r="H261" s="21" t="str">
        <f>IF(AND(Registro!$E261="",Registro!$F261=""),"",IF(NOT(AND(ISNUMBER(G261),ISNUMBER(Registro!$G261))),"",IF(G261&lt;Registro!$G261,"FALTA BOLETOS",IF(G261=Registro!$G261,"CONFORME","DIFERENCIA"))))</f>
        <v/>
      </c>
      <c r="I261" s="24" t="str">
        <f>IF(Registro!$H261="","",IFERROR(SUMPRODUCT(--("0"&amp;TRIM(RIGHT(SUBSTITUTE(TRIM(MID(SUBSTITUTE(SUBSTITUTE(Registro!$H261,";",CHAR(10)),CHAR(10),REPT(" ",LEN(Registro!$H261))),({1,2,3,4,5,6,7,8,9,10,11,12,13,14,15,16,17,18,19,20,21,22,23,24,25,26,27,28,29,30}-1)*LEN(Registro!$H261)+1,LEN(Registro!$H261)))," ",REPT(" ",50)),50)))),"Revisar formato"))</f>
        <v/>
      </c>
      <c r="J261" s="24" t="str">
        <f>IF(Registro!$I261="","",IFERROR(SUMPRODUCT(--("0"&amp;TRIM(RIGHT(SUBSTITUTE(TRIM(MID(SUBSTITUTE(SUBSTITUTE(Registro!$I261,";",CHAR(10)),CHAR(10),REPT(" ",LEN(Registro!$I261))),({1,2,3,4,5,6,7,8,9,10,11,12,13,14,15,16,17,18,19,20,21,22,23,24,25,26,27,28,29,30}-1)*LEN(Registro!$I261)+1,LEN(Registro!$I261)))," ",REPT(" ",50)),50)))),"Revisar formato"))</f>
        <v/>
      </c>
      <c r="K261" s="24" t="str">
        <f>IF(AND(Registro!$G261="",Registro!$H261=""),"",IF(AND(ISTEXT(I261),I261&lt;&gt;""),"Revisar formato",N(Registro!$G261)-N(I261)))</f>
        <v/>
      </c>
      <c r="L261" s="24" t="str">
        <f t="shared" si="9"/>
        <v/>
      </c>
      <c r="M261" s="36" t="str">
        <f>IF(AND(A261=Consulta!$B$3,C261=Consulta!$H$3),B261*10000+ROW(),"")</f>
        <v/>
      </c>
    </row>
    <row r="262" spans="1:13" x14ac:dyDescent="0.25">
      <c r="A262" s="21" t="str">
        <f>IF(Registro!$A262="","",Registro!$A262)</f>
        <v/>
      </c>
      <c r="B262" s="20" t="str">
        <f>IF(Registro!$B262="","",Registro!$B262)</f>
        <v/>
      </c>
      <c r="C262" s="35" t="str">
        <f t="shared" si="8"/>
        <v/>
      </c>
      <c r="D262" s="23" t="str">
        <f>IF(Registro!$E262="","",IF(ISERROR(FIND("x",LOWER(Registro!$E262))),"-",IFERROR(SUMPRODUCT(--("0"&amp;LEFT(TRIM(MID(SUBSTITUTE(SUBSTITUTE(SUBSTITUTE(SUBSTITUTE(SUBSTITUTE(LOWER(Registro!$E262),"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",LEN(Registro!$E262))),({1,2,3,4,5,6,7,8,9,10,11,12,13,14,15,16,17,18,19,20,21,22,23,24,25,26,27,28,29,30}-1)*LEN(Registro!$E262)+1,LEN(Registro!$E262))),FIND("x",TRIM(MID(SUBSTITUTE(SUBSTITUTE(SUBSTITUTE(SUBSTITUTE(SUBSTITUTE(LOWER(Registro!$E262),"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",LEN(Registro!$E262))),({1,2,3,4,5,6,7,8,9,10,11,12,13,14,15,16,17,18,19,20,21,22,23,24,25,26,27,28,29,30}-1)*LEN(Registro!$E262)+1,LEN(Registro!$E262)))&amp;"x")-1))),"Revisar formato")))</f>
        <v/>
      </c>
      <c r="E262" s="24" t="str">
        <f>IF(Registro!$E262="","",IF(ISERROR(FIND("x",LOWER(Registro!$E262))),"-",IFERROR(SUMPRODUCT(--("0"&amp;LEFT(TRIM(MID(SUBSTITUTE(SUBSTITUTE(SUBSTITUTE(SUBSTITUTE(SUBSTITUTE(LOWER(Registro!$E262),"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",LEN(Registro!$E262))),({1,2,3,4,5,6,7,8,9,10,11,12,13,14,15,16,17,18,19,20,21,22,23,24,25,26,27,28,29,30}-1)*LEN(Registro!$E262)+1,LEN(Registro!$E262))),FIND("x",TRIM(MID(SUBSTITUTE(SUBSTITUTE(SUBSTITUTE(SUBSTITUTE(SUBSTITUTE(LOWER(Registro!$E262),"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",LEN(Registro!$E262))),({1,2,3,4,5,6,7,8,9,10,11,12,13,14,15,16,17,18,19,20,21,22,23,24,25,26,27,28,29,30}-1)*LEN(Registro!$E262)+1,LEN(Registro!$E262)))&amp;"x")-1)),--("0"&amp;MID(TRIM(MID(SUBSTITUTE(SUBSTITUTE(SUBSTITUTE(SUBSTITUTE(SUBSTITUTE(LOWER(Registro!$E262),"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",LEN(Registro!$E262))),({1,2,3,4,5,6,7,8,9,10,11,12,13,14,15,16,17,18,19,20,21,22,23,24,25,26,27,28,29,30}-1)*LEN(Registro!$E262)+1,LEN(Registro!$E262))),FIND("x",TRIM(MID(SUBSTITUTE(SUBSTITUTE(SUBSTITUTE(SUBSTITUTE(SUBSTITUTE(LOWER(Registro!$E262),"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",LEN(Registro!$E262))),({1,2,3,4,5,6,7,8,9,10,11,12,13,14,15,16,17,18,19,20,21,22,23,24,25,26,27,28,29,30}-1)*LEN(Registro!$E262)+1,LEN(Registro!$E262)))&amp;"x")+1,20))),"Revisar formato")))</f>
        <v/>
      </c>
      <c r="F262" s="23" t="str">
        <f>IF(Registro!$F262="","",IF(ISERROR(FIND("x",LOWER(Registro!$F262))),"-",IFERROR(SUMPRODUCT(--("0"&amp;LEFT(TRIM(MID(SUBSTITUTE(SUBSTITUTE(SUBSTITUTE(SUBSTITUTE(SUBSTITUTE(LOWER(Registro!$F262)," ",""),CHAR(10),"|"),";","|"),"+","|"),"|",REPT(" ",LEN(Registro!$F262))),({1,2,3,4,5,6,7,8,9,10,11,12,13,14,15,16,17,18,19,20,21,22,23,24,25,26,27,28,29,30}-1)*LEN(Registro!$F262)+1,LEN(Registro!$F262))),FIND("x",TRIM(MID(SUBSTITUTE(SUBSTITUTE(SUBSTITUTE(SUBSTITUTE(SUBSTITUTE(LOWER(Registro!$F262)," ",""),CHAR(10),"|"),";","|"),"+","|"),"|",REPT(" ",LEN(Registro!$F262))),({1,2,3,4,5,6,7,8,9,10,11,12,13,14,15,16,17,18,19,20,21,22,23,24,25,26,27,28,29,30}-1)*LEN(Registro!$F262)+1,LEN(Registro!$F262)))&amp;"x")-1))),"Revisar formato")))</f>
        <v/>
      </c>
      <c r="G262" s="24" t="str">
        <f>IF(Registro!$F262="","",IF(ISERROR(FIND("x",LOWER(Registro!$F262))),N(Registro!$G262),IFERROR(SUMPRODUCT(--("0"&amp;LEFT(TRIM(MID(SUBSTITUTE(SUBSTITUTE(SUBSTITUTE(SUBSTITUTE(SUBSTITUTE(LOWER(Registro!$F262)," ",""),CHAR(10),"|"),";","|"),"+","|"),"|",REPT(" ",LEN(Registro!$F262))),({1,2,3,4,5,6,7,8,9,10,11,12,13,14,15,16,17,18,19,20,21,22,23,24,25,26,27,28,29,30}-1)*LEN(Registro!$F262)+1,LEN(Registro!$F262))),FIND("x",TRIM(MID(SUBSTITUTE(SUBSTITUTE(SUBSTITUTE(SUBSTITUTE(SUBSTITUTE(LOWER(Registro!$F262)," ",""),CHAR(10),"|"),";","|"),"+","|"),"|",REPT(" ",LEN(Registro!$F262))),({1,2,3,4,5,6,7,8,9,10,11,12,13,14,15,16,17,18,19,20,21,22,23,24,25,26,27,28,29,30}-1)*LEN(Registro!$F262)+1,LEN(Registro!$F262)))&amp;"x")-1)),--("0"&amp;MID(TRIM(MID(SUBSTITUTE(SUBSTITUTE(SUBSTITUTE(SUBSTITUTE(SUBSTITUTE(LOWER(Registro!$F262)," ",""),CHAR(10),"|"),";","|"),"+","|"),"|",REPT(" ",LEN(Registro!$F262))),({1,2,3,4,5,6,7,8,9,10,11,12,13,14,15,16,17,18,19,20,21,22,23,24,25,26,27,28,29,30}-1)*LEN(Registro!$F262)+1,LEN(Registro!$F262))),FIND("x",TRIM(MID(SUBSTITUTE(SUBSTITUTE(SUBSTITUTE(SUBSTITUTE(SUBSTITUTE(LOWER(Registro!$F262)," ",""),CHAR(10),"|"),";","|"),"+","|"),"|",REPT(" ",LEN(Registro!$F262))),({1,2,3,4,5,6,7,8,9,10,11,12,13,14,15,16,17,18,19,20,21,22,23,24,25,26,27,28,29,30}-1)*LEN(Registro!$F262)+1,LEN(Registro!$F262)))&amp;"x")+1,20))),"Revisar formato")))</f>
        <v/>
      </c>
      <c r="H262" s="21" t="str">
        <f>IF(AND(Registro!$E262="",Registro!$F262=""),"",IF(NOT(AND(ISNUMBER(G262),ISNUMBER(Registro!$G262))),"",IF(G262&lt;Registro!$G262,"FALTA BOLETOS",IF(G262=Registro!$G262,"CONFORME","DIFERENCIA"))))</f>
        <v/>
      </c>
      <c r="I262" s="24" t="str">
        <f>IF(Registro!$H262="","",IFERROR(SUMPRODUCT(--("0"&amp;TRIM(RIGHT(SUBSTITUTE(TRIM(MID(SUBSTITUTE(SUBSTITUTE(Registro!$H262,";",CHAR(10)),CHAR(10),REPT(" ",LEN(Registro!$H262))),({1,2,3,4,5,6,7,8,9,10,11,12,13,14,15,16,17,18,19,20,21,22,23,24,25,26,27,28,29,30}-1)*LEN(Registro!$H262)+1,LEN(Registro!$H262)))," ",REPT(" ",50)),50)))),"Revisar formato"))</f>
        <v/>
      </c>
      <c r="J262" s="24" t="str">
        <f>IF(Registro!$I262="","",IFERROR(SUMPRODUCT(--("0"&amp;TRIM(RIGHT(SUBSTITUTE(TRIM(MID(SUBSTITUTE(SUBSTITUTE(Registro!$I262,";",CHAR(10)),CHAR(10),REPT(" ",LEN(Registro!$I262))),({1,2,3,4,5,6,7,8,9,10,11,12,13,14,15,16,17,18,19,20,21,22,23,24,25,26,27,28,29,30}-1)*LEN(Registro!$I262)+1,LEN(Registro!$I262)))," ",REPT(" ",50)),50)))),"Revisar formato"))</f>
        <v/>
      </c>
      <c r="K262" s="24" t="str">
        <f>IF(AND(Registro!$G262="",Registro!$H262=""),"",IF(AND(ISTEXT(I262),I262&lt;&gt;""),"Revisar formato",N(Registro!$G262)-N(I262)))</f>
        <v/>
      </c>
      <c r="L262" s="24" t="str">
        <f t="shared" si="9"/>
        <v/>
      </c>
      <c r="M262" s="36" t="str">
        <f>IF(AND(A262=Consulta!$B$3,C262=Consulta!$H$3),B262*10000+ROW(),"")</f>
        <v/>
      </c>
    </row>
    <row r="263" spans="1:13" x14ac:dyDescent="0.25">
      <c r="A263" s="21" t="str">
        <f>IF(Registro!$A263="","",Registro!$A263)</f>
        <v/>
      </c>
      <c r="B263" s="20" t="str">
        <f>IF(Registro!$B263="","",Registro!$B263)</f>
        <v/>
      </c>
      <c r="C263" s="35" t="str">
        <f t="shared" si="8"/>
        <v/>
      </c>
      <c r="D263" s="23" t="str">
        <f>IF(Registro!$E263="","",IF(ISERROR(FIND("x",LOWER(Registro!$E263))),"-",IFERROR(SUMPRODUCT(--("0"&amp;LEFT(TRIM(MID(SUBSTITUTE(SUBSTITUTE(SUBSTITUTE(SUBSTITUTE(SUBSTITUTE(LOWER(Registro!$E263),"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",LEN(Registro!$E263))),({1,2,3,4,5,6,7,8,9,10,11,12,13,14,15,16,17,18,19,20,21,22,23,24,25,26,27,28,29,30}-1)*LEN(Registro!$E263)+1,LEN(Registro!$E263))),FIND("x",TRIM(MID(SUBSTITUTE(SUBSTITUTE(SUBSTITUTE(SUBSTITUTE(SUBSTITUTE(LOWER(Registro!$E263),"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",LEN(Registro!$E263))),({1,2,3,4,5,6,7,8,9,10,11,12,13,14,15,16,17,18,19,20,21,22,23,24,25,26,27,28,29,30}-1)*LEN(Registro!$E263)+1,LEN(Registro!$E263)))&amp;"x")-1))),"Revisar formato")))</f>
        <v/>
      </c>
      <c r="E263" s="24" t="str">
        <f>IF(Registro!$E263="","",IF(ISERROR(FIND("x",LOWER(Registro!$E263))),"-",IFERROR(SUMPRODUCT(--("0"&amp;LEFT(TRIM(MID(SUBSTITUTE(SUBSTITUTE(SUBSTITUTE(SUBSTITUTE(SUBSTITUTE(LOWER(Registro!$E263),"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",LEN(Registro!$E263))),({1,2,3,4,5,6,7,8,9,10,11,12,13,14,15,16,17,18,19,20,21,22,23,24,25,26,27,28,29,30}-1)*LEN(Registro!$E263)+1,LEN(Registro!$E263))),FIND("x",TRIM(MID(SUBSTITUTE(SUBSTITUTE(SUBSTITUTE(SUBSTITUTE(SUBSTITUTE(LOWER(Registro!$E263),"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",LEN(Registro!$E263))),({1,2,3,4,5,6,7,8,9,10,11,12,13,14,15,16,17,18,19,20,21,22,23,24,25,26,27,28,29,30}-1)*LEN(Registro!$E263)+1,LEN(Registro!$E263)))&amp;"x")-1)),--("0"&amp;MID(TRIM(MID(SUBSTITUTE(SUBSTITUTE(SUBSTITUTE(SUBSTITUTE(SUBSTITUTE(LOWER(Registro!$E263),"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",LEN(Registro!$E263))),({1,2,3,4,5,6,7,8,9,10,11,12,13,14,15,16,17,18,19,20,21,22,23,24,25,26,27,28,29,30}-1)*LEN(Registro!$E263)+1,LEN(Registro!$E263))),FIND("x",TRIM(MID(SUBSTITUTE(SUBSTITUTE(SUBSTITUTE(SUBSTITUTE(SUBSTITUTE(LOWER(Registro!$E263),"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",LEN(Registro!$E263))),({1,2,3,4,5,6,7,8,9,10,11,12,13,14,15,16,17,18,19,20,21,22,23,24,25,26,27,28,29,30}-1)*LEN(Registro!$E263)+1,LEN(Registro!$E263)))&amp;"x")+1,20))),"Revisar formato")))</f>
        <v/>
      </c>
      <c r="F263" s="23" t="str">
        <f>IF(Registro!$F263="","",IF(ISERROR(FIND("x",LOWER(Registro!$F263))),"-",IFERROR(SUMPRODUCT(--("0"&amp;LEFT(TRIM(MID(SUBSTITUTE(SUBSTITUTE(SUBSTITUTE(SUBSTITUTE(SUBSTITUTE(LOWER(Registro!$F263)," ",""),CHAR(10),"|"),";","|"),"+","|"),"|",REPT(" ",LEN(Registro!$F263))),({1,2,3,4,5,6,7,8,9,10,11,12,13,14,15,16,17,18,19,20,21,22,23,24,25,26,27,28,29,30}-1)*LEN(Registro!$F263)+1,LEN(Registro!$F263))),FIND("x",TRIM(MID(SUBSTITUTE(SUBSTITUTE(SUBSTITUTE(SUBSTITUTE(SUBSTITUTE(LOWER(Registro!$F263)," ",""),CHAR(10),"|"),";","|"),"+","|"),"|",REPT(" ",LEN(Registro!$F263))),({1,2,3,4,5,6,7,8,9,10,11,12,13,14,15,16,17,18,19,20,21,22,23,24,25,26,27,28,29,30}-1)*LEN(Registro!$F263)+1,LEN(Registro!$F263)))&amp;"x")-1))),"Revisar formato")))</f>
        <v/>
      </c>
      <c r="G263" s="24" t="str">
        <f>IF(Registro!$F263="","",IF(ISERROR(FIND("x",LOWER(Registro!$F263))),N(Registro!$G263),IFERROR(SUMPRODUCT(--("0"&amp;LEFT(TRIM(MID(SUBSTITUTE(SUBSTITUTE(SUBSTITUTE(SUBSTITUTE(SUBSTITUTE(LOWER(Registro!$F263)," ",""),CHAR(10),"|"),";","|"),"+","|"),"|",REPT(" ",LEN(Registro!$F263))),({1,2,3,4,5,6,7,8,9,10,11,12,13,14,15,16,17,18,19,20,21,22,23,24,25,26,27,28,29,30}-1)*LEN(Registro!$F263)+1,LEN(Registro!$F263))),FIND("x",TRIM(MID(SUBSTITUTE(SUBSTITUTE(SUBSTITUTE(SUBSTITUTE(SUBSTITUTE(LOWER(Registro!$F263)," ",""),CHAR(10),"|"),";","|"),"+","|"),"|",REPT(" ",LEN(Registro!$F263))),({1,2,3,4,5,6,7,8,9,10,11,12,13,14,15,16,17,18,19,20,21,22,23,24,25,26,27,28,29,30}-1)*LEN(Registro!$F263)+1,LEN(Registro!$F263)))&amp;"x")-1)),--("0"&amp;MID(TRIM(MID(SUBSTITUTE(SUBSTITUTE(SUBSTITUTE(SUBSTITUTE(SUBSTITUTE(LOWER(Registro!$F263)," ",""),CHAR(10),"|"),";","|"),"+","|"),"|",REPT(" ",LEN(Registro!$F263))),({1,2,3,4,5,6,7,8,9,10,11,12,13,14,15,16,17,18,19,20,21,22,23,24,25,26,27,28,29,30}-1)*LEN(Registro!$F263)+1,LEN(Registro!$F263))),FIND("x",TRIM(MID(SUBSTITUTE(SUBSTITUTE(SUBSTITUTE(SUBSTITUTE(SUBSTITUTE(LOWER(Registro!$F263)," ",""),CHAR(10),"|"),";","|"),"+","|"),"|",REPT(" ",LEN(Registro!$F263))),({1,2,3,4,5,6,7,8,9,10,11,12,13,14,15,16,17,18,19,20,21,22,23,24,25,26,27,28,29,30}-1)*LEN(Registro!$F263)+1,LEN(Registro!$F263)))&amp;"x")+1,20))),"Revisar formato")))</f>
        <v/>
      </c>
      <c r="H263" s="21" t="str">
        <f>IF(AND(Registro!$E263="",Registro!$F263=""),"",IF(NOT(AND(ISNUMBER(G263),ISNUMBER(Registro!$G263))),"",IF(G263&lt;Registro!$G263,"FALTA BOLETOS",IF(G263=Registro!$G263,"CONFORME","DIFERENCIA"))))</f>
        <v/>
      </c>
      <c r="I263" s="24" t="str">
        <f>IF(Registro!$H263="","",IFERROR(SUMPRODUCT(--("0"&amp;TRIM(RIGHT(SUBSTITUTE(TRIM(MID(SUBSTITUTE(SUBSTITUTE(Registro!$H263,";",CHAR(10)),CHAR(10),REPT(" ",LEN(Registro!$H263))),({1,2,3,4,5,6,7,8,9,10,11,12,13,14,15,16,17,18,19,20,21,22,23,24,25,26,27,28,29,30}-1)*LEN(Registro!$H263)+1,LEN(Registro!$H263)))," ",REPT(" ",50)),50)))),"Revisar formato"))</f>
        <v/>
      </c>
      <c r="J263" s="24" t="str">
        <f>IF(Registro!$I263="","",IFERROR(SUMPRODUCT(--("0"&amp;TRIM(RIGHT(SUBSTITUTE(TRIM(MID(SUBSTITUTE(SUBSTITUTE(Registro!$I263,";",CHAR(10)),CHAR(10),REPT(" ",LEN(Registro!$I263))),({1,2,3,4,5,6,7,8,9,10,11,12,13,14,15,16,17,18,19,20,21,22,23,24,25,26,27,28,29,30}-1)*LEN(Registro!$I263)+1,LEN(Registro!$I263)))," ",REPT(" ",50)),50)))),"Revisar formato"))</f>
        <v/>
      </c>
      <c r="K263" s="24" t="str">
        <f>IF(AND(Registro!$G263="",Registro!$H263=""),"",IF(AND(ISTEXT(I263),I263&lt;&gt;""),"Revisar formato",N(Registro!$G263)-N(I263)))</f>
        <v/>
      </c>
      <c r="L263" s="24" t="str">
        <f t="shared" si="9"/>
        <v/>
      </c>
      <c r="M263" s="36" t="str">
        <f>IF(AND(A263=Consulta!$B$3,C263=Consulta!$H$3),B263*10000+ROW(),"")</f>
        <v/>
      </c>
    </row>
    <row r="264" spans="1:13" x14ac:dyDescent="0.25">
      <c r="A264" s="21" t="str">
        <f>IF(Registro!$A264="","",Registro!$A264)</f>
        <v/>
      </c>
      <c r="B264" s="20" t="str">
        <f>IF(Registro!$B264="","",Registro!$B264)</f>
        <v/>
      </c>
      <c r="C264" s="35" t="str">
        <f t="shared" si="8"/>
        <v/>
      </c>
      <c r="D264" s="23" t="str">
        <f>IF(Registro!$E264="","",IF(ISERROR(FIND("x",LOWER(Registro!$E264))),"-",IFERROR(SUMPRODUCT(--("0"&amp;LEFT(TRIM(MID(SUBSTITUTE(SUBSTITUTE(SUBSTITUTE(SUBSTITUTE(SUBSTITUTE(LOWER(Registro!$E264),"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",LEN(Registro!$E264))),({1,2,3,4,5,6,7,8,9,10,11,12,13,14,15,16,17,18,19,20,21,22,23,24,25,26,27,28,29,30}-1)*LEN(Registro!$E264)+1,LEN(Registro!$E264))),FIND("x",TRIM(MID(SUBSTITUTE(SUBSTITUTE(SUBSTITUTE(SUBSTITUTE(SUBSTITUTE(LOWER(Registro!$E264),"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",LEN(Registro!$E264))),({1,2,3,4,5,6,7,8,9,10,11,12,13,14,15,16,17,18,19,20,21,22,23,24,25,26,27,28,29,30}-1)*LEN(Registro!$E264)+1,LEN(Registro!$E264)))&amp;"x")-1))),"Revisar formato")))</f>
        <v/>
      </c>
      <c r="E264" s="24" t="str">
        <f>IF(Registro!$E264="","",IF(ISERROR(FIND("x",LOWER(Registro!$E264))),"-",IFERROR(SUMPRODUCT(--("0"&amp;LEFT(TRIM(MID(SUBSTITUTE(SUBSTITUTE(SUBSTITUTE(SUBSTITUTE(SUBSTITUTE(LOWER(Registro!$E264),"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",LEN(Registro!$E264))),({1,2,3,4,5,6,7,8,9,10,11,12,13,14,15,16,17,18,19,20,21,22,23,24,25,26,27,28,29,30}-1)*LEN(Registro!$E264)+1,LEN(Registro!$E264))),FIND("x",TRIM(MID(SUBSTITUTE(SUBSTITUTE(SUBSTITUTE(SUBSTITUTE(SUBSTITUTE(LOWER(Registro!$E264),"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",LEN(Registro!$E264))),({1,2,3,4,5,6,7,8,9,10,11,12,13,14,15,16,17,18,19,20,21,22,23,24,25,26,27,28,29,30}-1)*LEN(Registro!$E264)+1,LEN(Registro!$E264)))&amp;"x")-1)),--("0"&amp;MID(TRIM(MID(SUBSTITUTE(SUBSTITUTE(SUBSTITUTE(SUBSTITUTE(SUBSTITUTE(LOWER(Registro!$E264),"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",LEN(Registro!$E264))),({1,2,3,4,5,6,7,8,9,10,11,12,13,14,15,16,17,18,19,20,21,22,23,24,25,26,27,28,29,30}-1)*LEN(Registro!$E264)+1,LEN(Registro!$E264))),FIND("x",TRIM(MID(SUBSTITUTE(SUBSTITUTE(SUBSTITUTE(SUBSTITUTE(SUBSTITUTE(LOWER(Registro!$E264),"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",LEN(Registro!$E264))),({1,2,3,4,5,6,7,8,9,10,11,12,13,14,15,16,17,18,19,20,21,22,23,24,25,26,27,28,29,30}-1)*LEN(Registro!$E264)+1,LEN(Registro!$E264)))&amp;"x")+1,20))),"Revisar formato")))</f>
        <v/>
      </c>
      <c r="F264" s="23" t="str">
        <f>IF(Registro!$F264="","",IF(ISERROR(FIND("x",LOWER(Registro!$F264))),"-",IFERROR(SUMPRODUCT(--("0"&amp;LEFT(TRIM(MID(SUBSTITUTE(SUBSTITUTE(SUBSTITUTE(SUBSTITUTE(SUBSTITUTE(LOWER(Registro!$F264)," ",""),CHAR(10),"|"),";","|"),"+","|"),"|",REPT(" ",LEN(Registro!$F264))),({1,2,3,4,5,6,7,8,9,10,11,12,13,14,15,16,17,18,19,20,21,22,23,24,25,26,27,28,29,30}-1)*LEN(Registro!$F264)+1,LEN(Registro!$F264))),FIND("x",TRIM(MID(SUBSTITUTE(SUBSTITUTE(SUBSTITUTE(SUBSTITUTE(SUBSTITUTE(LOWER(Registro!$F264)," ",""),CHAR(10),"|"),";","|"),"+","|"),"|",REPT(" ",LEN(Registro!$F264))),({1,2,3,4,5,6,7,8,9,10,11,12,13,14,15,16,17,18,19,20,21,22,23,24,25,26,27,28,29,30}-1)*LEN(Registro!$F264)+1,LEN(Registro!$F264)))&amp;"x")-1))),"Revisar formato")))</f>
        <v/>
      </c>
      <c r="G264" s="24" t="str">
        <f>IF(Registro!$F264="","",IF(ISERROR(FIND("x",LOWER(Registro!$F264))),N(Registro!$G264),IFERROR(SUMPRODUCT(--("0"&amp;LEFT(TRIM(MID(SUBSTITUTE(SUBSTITUTE(SUBSTITUTE(SUBSTITUTE(SUBSTITUTE(LOWER(Registro!$F264)," ",""),CHAR(10),"|"),";","|"),"+","|"),"|",REPT(" ",LEN(Registro!$F264))),({1,2,3,4,5,6,7,8,9,10,11,12,13,14,15,16,17,18,19,20,21,22,23,24,25,26,27,28,29,30}-1)*LEN(Registro!$F264)+1,LEN(Registro!$F264))),FIND("x",TRIM(MID(SUBSTITUTE(SUBSTITUTE(SUBSTITUTE(SUBSTITUTE(SUBSTITUTE(LOWER(Registro!$F264)," ",""),CHAR(10),"|"),";","|"),"+","|"),"|",REPT(" ",LEN(Registro!$F264))),({1,2,3,4,5,6,7,8,9,10,11,12,13,14,15,16,17,18,19,20,21,22,23,24,25,26,27,28,29,30}-1)*LEN(Registro!$F264)+1,LEN(Registro!$F264)))&amp;"x")-1)),--("0"&amp;MID(TRIM(MID(SUBSTITUTE(SUBSTITUTE(SUBSTITUTE(SUBSTITUTE(SUBSTITUTE(LOWER(Registro!$F264)," ",""),CHAR(10),"|"),";","|"),"+","|"),"|",REPT(" ",LEN(Registro!$F264))),({1,2,3,4,5,6,7,8,9,10,11,12,13,14,15,16,17,18,19,20,21,22,23,24,25,26,27,28,29,30}-1)*LEN(Registro!$F264)+1,LEN(Registro!$F264))),FIND("x",TRIM(MID(SUBSTITUTE(SUBSTITUTE(SUBSTITUTE(SUBSTITUTE(SUBSTITUTE(LOWER(Registro!$F264)," ",""),CHAR(10),"|"),";","|"),"+","|"),"|",REPT(" ",LEN(Registro!$F264))),({1,2,3,4,5,6,7,8,9,10,11,12,13,14,15,16,17,18,19,20,21,22,23,24,25,26,27,28,29,30}-1)*LEN(Registro!$F264)+1,LEN(Registro!$F264)))&amp;"x")+1,20))),"Revisar formato")))</f>
        <v/>
      </c>
      <c r="H264" s="21" t="str">
        <f>IF(AND(Registro!$E264="",Registro!$F264=""),"",IF(NOT(AND(ISNUMBER(G264),ISNUMBER(Registro!$G264))),"",IF(G264&lt;Registro!$G264,"FALTA BOLETOS",IF(G264=Registro!$G264,"CONFORME","DIFERENCIA"))))</f>
        <v/>
      </c>
      <c r="I264" s="24" t="str">
        <f>IF(Registro!$H264="","",IFERROR(SUMPRODUCT(--("0"&amp;TRIM(RIGHT(SUBSTITUTE(TRIM(MID(SUBSTITUTE(SUBSTITUTE(Registro!$H264,";",CHAR(10)),CHAR(10),REPT(" ",LEN(Registro!$H264))),({1,2,3,4,5,6,7,8,9,10,11,12,13,14,15,16,17,18,19,20,21,22,23,24,25,26,27,28,29,30}-1)*LEN(Registro!$H264)+1,LEN(Registro!$H264)))," ",REPT(" ",50)),50)))),"Revisar formato"))</f>
        <v/>
      </c>
      <c r="J264" s="24" t="str">
        <f>IF(Registro!$I264="","",IFERROR(SUMPRODUCT(--("0"&amp;TRIM(RIGHT(SUBSTITUTE(TRIM(MID(SUBSTITUTE(SUBSTITUTE(Registro!$I264,";",CHAR(10)),CHAR(10),REPT(" ",LEN(Registro!$I264))),({1,2,3,4,5,6,7,8,9,10,11,12,13,14,15,16,17,18,19,20,21,22,23,24,25,26,27,28,29,30}-1)*LEN(Registro!$I264)+1,LEN(Registro!$I264)))," ",REPT(" ",50)),50)))),"Revisar formato"))</f>
        <v/>
      </c>
      <c r="K264" s="24" t="str">
        <f>IF(AND(Registro!$G264="",Registro!$H264=""),"",IF(AND(ISTEXT(I264),I264&lt;&gt;""),"Revisar formato",N(Registro!$G264)-N(I264)))</f>
        <v/>
      </c>
      <c r="L264" s="24" t="str">
        <f t="shared" si="9"/>
        <v/>
      </c>
      <c r="M264" s="36" t="str">
        <f>IF(AND(A264=Consulta!$B$3,C264=Consulta!$H$3),B264*10000+ROW(),"")</f>
        <v/>
      </c>
    </row>
    <row r="265" spans="1:13" x14ac:dyDescent="0.25">
      <c r="A265" s="21" t="str">
        <f>IF(Registro!$A265="","",Registro!$A265)</f>
        <v/>
      </c>
      <c r="B265" s="20" t="str">
        <f>IF(Registro!$B265="","",Registro!$B265)</f>
        <v/>
      </c>
      <c r="C265" s="35" t="str">
        <f t="shared" si="8"/>
        <v/>
      </c>
      <c r="D265" s="23" t="str">
        <f>IF(Registro!$E265="","",IF(ISERROR(FIND("x",LOWER(Registro!$E265))),"-",IFERROR(SUMPRODUCT(--("0"&amp;LEFT(TRIM(MID(SUBSTITUTE(SUBSTITUTE(SUBSTITUTE(SUBSTITUTE(SUBSTITUTE(LOWER(Registro!$E265),"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",LEN(Registro!$E265))),({1,2,3,4,5,6,7,8,9,10,11,12,13,14,15,16,17,18,19,20,21,22,23,24,25,26,27,28,29,30}-1)*LEN(Registro!$E265)+1,LEN(Registro!$E265))),FIND("x",TRIM(MID(SUBSTITUTE(SUBSTITUTE(SUBSTITUTE(SUBSTITUTE(SUBSTITUTE(LOWER(Registro!$E265),"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",LEN(Registro!$E265))),({1,2,3,4,5,6,7,8,9,10,11,12,13,14,15,16,17,18,19,20,21,22,23,24,25,26,27,28,29,30}-1)*LEN(Registro!$E265)+1,LEN(Registro!$E265)))&amp;"x")-1))),"Revisar formato")))</f>
        <v/>
      </c>
      <c r="E265" s="24" t="str">
        <f>IF(Registro!$E265="","",IF(ISERROR(FIND("x",LOWER(Registro!$E265))),"-",IFERROR(SUMPRODUCT(--("0"&amp;LEFT(TRIM(MID(SUBSTITUTE(SUBSTITUTE(SUBSTITUTE(SUBSTITUTE(SUBSTITUTE(LOWER(Registro!$E265),"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",LEN(Registro!$E265))),({1,2,3,4,5,6,7,8,9,10,11,12,13,14,15,16,17,18,19,20,21,22,23,24,25,26,27,28,29,30}-1)*LEN(Registro!$E265)+1,LEN(Registro!$E265))),FIND("x",TRIM(MID(SUBSTITUTE(SUBSTITUTE(SUBSTITUTE(SUBSTITUTE(SUBSTITUTE(LOWER(Registro!$E265),"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",LEN(Registro!$E265))),({1,2,3,4,5,6,7,8,9,10,11,12,13,14,15,16,17,18,19,20,21,22,23,24,25,26,27,28,29,30}-1)*LEN(Registro!$E265)+1,LEN(Registro!$E265)))&amp;"x")-1)),--("0"&amp;MID(TRIM(MID(SUBSTITUTE(SUBSTITUTE(SUBSTITUTE(SUBSTITUTE(SUBSTITUTE(LOWER(Registro!$E265),"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",LEN(Registro!$E265))),({1,2,3,4,5,6,7,8,9,10,11,12,13,14,15,16,17,18,19,20,21,22,23,24,25,26,27,28,29,30}-1)*LEN(Registro!$E265)+1,LEN(Registro!$E265))),FIND("x",TRIM(MID(SUBSTITUTE(SUBSTITUTE(SUBSTITUTE(SUBSTITUTE(SUBSTITUTE(LOWER(Registro!$E265),"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",LEN(Registro!$E265))),({1,2,3,4,5,6,7,8,9,10,11,12,13,14,15,16,17,18,19,20,21,22,23,24,25,26,27,28,29,30}-1)*LEN(Registro!$E265)+1,LEN(Registro!$E265)))&amp;"x")+1,20))),"Revisar formato")))</f>
        <v/>
      </c>
      <c r="F265" s="23" t="str">
        <f>IF(Registro!$F265="","",IF(ISERROR(FIND("x",LOWER(Registro!$F265))),"-",IFERROR(SUMPRODUCT(--("0"&amp;LEFT(TRIM(MID(SUBSTITUTE(SUBSTITUTE(SUBSTITUTE(SUBSTITUTE(SUBSTITUTE(LOWER(Registro!$F265)," ",""),CHAR(10),"|"),";","|"),"+","|"),"|",REPT(" ",LEN(Registro!$F265))),({1,2,3,4,5,6,7,8,9,10,11,12,13,14,15,16,17,18,19,20,21,22,23,24,25,26,27,28,29,30}-1)*LEN(Registro!$F265)+1,LEN(Registro!$F265))),FIND("x",TRIM(MID(SUBSTITUTE(SUBSTITUTE(SUBSTITUTE(SUBSTITUTE(SUBSTITUTE(LOWER(Registro!$F265)," ",""),CHAR(10),"|"),";","|"),"+","|"),"|",REPT(" ",LEN(Registro!$F265))),({1,2,3,4,5,6,7,8,9,10,11,12,13,14,15,16,17,18,19,20,21,22,23,24,25,26,27,28,29,30}-1)*LEN(Registro!$F265)+1,LEN(Registro!$F265)))&amp;"x")-1))),"Revisar formato")))</f>
        <v/>
      </c>
      <c r="G265" s="24" t="str">
        <f>IF(Registro!$F265="","",IF(ISERROR(FIND("x",LOWER(Registro!$F265))),N(Registro!$G265),IFERROR(SUMPRODUCT(--("0"&amp;LEFT(TRIM(MID(SUBSTITUTE(SUBSTITUTE(SUBSTITUTE(SUBSTITUTE(SUBSTITUTE(LOWER(Registro!$F265)," ",""),CHAR(10),"|"),";","|"),"+","|"),"|",REPT(" ",LEN(Registro!$F265))),({1,2,3,4,5,6,7,8,9,10,11,12,13,14,15,16,17,18,19,20,21,22,23,24,25,26,27,28,29,30}-1)*LEN(Registro!$F265)+1,LEN(Registro!$F265))),FIND("x",TRIM(MID(SUBSTITUTE(SUBSTITUTE(SUBSTITUTE(SUBSTITUTE(SUBSTITUTE(LOWER(Registro!$F265)," ",""),CHAR(10),"|"),";","|"),"+","|"),"|",REPT(" ",LEN(Registro!$F265))),({1,2,3,4,5,6,7,8,9,10,11,12,13,14,15,16,17,18,19,20,21,22,23,24,25,26,27,28,29,30}-1)*LEN(Registro!$F265)+1,LEN(Registro!$F265)))&amp;"x")-1)),--("0"&amp;MID(TRIM(MID(SUBSTITUTE(SUBSTITUTE(SUBSTITUTE(SUBSTITUTE(SUBSTITUTE(LOWER(Registro!$F265)," ",""),CHAR(10),"|"),";","|"),"+","|"),"|",REPT(" ",LEN(Registro!$F265))),({1,2,3,4,5,6,7,8,9,10,11,12,13,14,15,16,17,18,19,20,21,22,23,24,25,26,27,28,29,30}-1)*LEN(Registro!$F265)+1,LEN(Registro!$F265))),FIND("x",TRIM(MID(SUBSTITUTE(SUBSTITUTE(SUBSTITUTE(SUBSTITUTE(SUBSTITUTE(LOWER(Registro!$F265)," ",""),CHAR(10),"|"),";","|"),"+","|"),"|",REPT(" ",LEN(Registro!$F265))),({1,2,3,4,5,6,7,8,9,10,11,12,13,14,15,16,17,18,19,20,21,22,23,24,25,26,27,28,29,30}-1)*LEN(Registro!$F265)+1,LEN(Registro!$F265)))&amp;"x")+1,20))),"Revisar formato")))</f>
        <v/>
      </c>
      <c r="H265" s="21" t="str">
        <f>IF(AND(Registro!$E265="",Registro!$F265=""),"",IF(NOT(AND(ISNUMBER(G265),ISNUMBER(Registro!$G265))),"",IF(G265&lt;Registro!$G265,"FALTA BOLETOS",IF(G265=Registro!$G265,"CONFORME","DIFERENCIA"))))</f>
        <v/>
      </c>
      <c r="I265" s="24" t="str">
        <f>IF(Registro!$H265="","",IFERROR(SUMPRODUCT(--("0"&amp;TRIM(RIGHT(SUBSTITUTE(TRIM(MID(SUBSTITUTE(SUBSTITUTE(Registro!$H265,";",CHAR(10)),CHAR(10),REPT(" ",LEN(Registro!$H265))),({1,2,3,4,5,6,7,8,9,10,11,12,13,14,15,16,17,18,19,20,21,22,23,24,25,26,27,28,29,30}-1)*LEN(Registro!$H265)+1,LEN(Registro!$H265)))," ",REPT(" ",50)),50)))),"Revisar formato"))</f>
        <v/>
      </c>
      <c r="J265" s="24" t="str">
        <f>IF(Registro!$I265="","",IFERROR(SUMPRODUCT(--("0"&amp;TRIM(RIGHT(SUBSTITUTE(TRIM(MID(SUBSTITUTE(SUBSTITUTE(Registro!$I265,";",CHAR(10)),CHAR(10),REPT(" ",LEN(Registro!$I265))),({1,2,3,4,5,6,7,8,9,10,11,12,13,14,15,16,17,18,19,20,21,22,23,24,25,26,27,28,29,30}-1)*LEN(Registro!$I265)+1,LEN(Registro!$I265)))," ",REPT(" ",50)),50)))),"Revisar formato"))</f>
        <v/>
      </c>
      <c r="K265" s="24" t="str">
        <f>IF(AND(Registro!$G265="",Registro!$H265=""),"",IF(AND(ISTEXT(I265),I265&lt;&gt;""),"Revisar formato",N(Registro!$G265)-N(I265)))</f>
        <v/>
      </c>
      <c r="L265" s="24" t="str">
        <f t="shared" si="9"/>
        <v/>
      </c>
      <c r="M265" s="36" t="str">
        <f>IF(AND(A265=Consulta!$B$3,C265=Consulta!$H$3),B265*10000+ROW(),"")</f>
        <v/>
      </c>
    </row>
    <row r="266" spans="1:13" x14ac:dyDescent="0.25">
      <c r="A266" s="21" t="str">
        <f>IF(Registro!$A266="","",Registro!$A266)</f>
        <v/>
      </c>
      <c r="B266" s="20" t="str">
        <f>IF(Registro!$B266="","",Registro!$B266)</f>
        <v/>
      </c>
      <c r="C266" s="35" t="str">
        <f t="shared" si="8"/>
        <v/>
      </c>
      <c r="D266" s="23" t="str">
        <f>IF(Registro!$E266="","",IF(ISERROR(FIND("x",LOWER(Registro!$E266))),"-",IFERROR(SUMPRODUCT(--("0"&amp;LEFT(TRIM(MID(SUBSTITUTE(SUBSTITUTE(SUBSTITUTE(SUBSTITUTE(SUBSTITUTE(LOWER(Registro!$E266),"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",LEN(Registro!$E266))),({1,2,3,4,5,6,7,8,9,10,11,12,13,14,15,16,17,18,19,20,21,22,23,24,25,26,27,28,29,30}-1)*LEN(Registro!$E266)+1,LEN(Registro!$E266))),FIND("x",TRIM(MID(SUBSTITUTE(SUBSTITUTE(SUBSTITUTE(SUBSTITUTE(SUBSTITUTE(LOWER(Registro!$E266),"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",LEN(Registro!$E266))),({1,2,3,4,5,6,7,8,9,10,11,12,13,14,15,16,17,18,19,20,21,22,23,24,25,26,27,28,29,30}-1)*LEN(Registro!$E266)+1,LEN(Registro!$E266)))&amp;"x")-1))),"Revisar formato")))</f>
        <v/>
      </c>
      <c r="E266" s="24" t="str">
        <f>IF(Registro!$E266="","",IF(ISERROR(FIND("x",LOWER(Registro!$E266))),"-",IFERROR(SUMPRODUCT(--("0"&amp;LEFT(TRIM(MID(SUBSTITUTE(SUBSTITUTE(SUBSTITUTE(SUBSTITUTE(SUBSTITUTE(LOWER(Registro!$E266),"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",LEN(Registro!$E266))),({1,2,3,4,5,6,7,8,9,10,11,12,13,14,15,16,17,18,19,20,21,22,23,24,25,26,27,28,29,30}-1)*LEN(Registro!$E266)+1,LEN(Registro!$E266))),FIND("x",TRIM(MID(SUBSTITUTE(SUBSTITUTE(SUBSTITUTE(SUBSTITUTE(SUBSTITUTE(LOWER(Registro!$E266),"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",LEN(Registro!$E266))),({1,2,3,4,5,6,7,8,9,10,11,12,13,14,15,16,17,18,19,20,21,22,23,24,25,26,27,28,29,30}-1)*LEN(Registro!$E266)+1,LEN(Registro!$E266)))&amp;"x")-1)),--("0"&amp;MID(TRIM(MID(SUBSTITUTE(SUBSTITUTE(SUBSTITUTE(SUBSTITUTE(SUBSTITUTE(LOWER(Registro!$E266),"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",LEN(Registro!$E266))),({1,2,3,4,5,6,7,8,9,10,11,12,13,14,15,16,17,18,19,20,21,22,23,24,25,26,27,28,29,30}-1)*LEN(Registro!$E266)+1,LEN(Registro!$E266))),FIND("x",TRIM(MID(SUBSTITUTE(SUBSTITUTE(SUBSTITUTE(SUBSTITUTE(SUBSTITUTE(LOWER(Registro!$E266),"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",LEN(Registro!$E266))),({1,2,3,4,5,6,7,8,9,10,11,12,13,14,15,16,17,18,19,20,21,22,23,24,25,26,27,28,29,30}-1)*LEN(Registro!$E266)+1,LEN(Registro!$E266)))&amp;"x")+1,20))),"Revisar formato")))</f>
        <v/>
      </c>
      <c r="F266" s="23" t="str">
        <f>IF(Registro!$F266="","",IF(ISERROR(FIND("x",LOWER(Registro!$F266))),"-",IFERROR(SUMPRODUCT(--("0"&amp;LEFT(TRIM(MID(SUBSTITUTE(SUBSTITUTE(SUBSTITUTE(SUBSTITUTE(SUBSTITUTE(LOWER(Registro!$F266)," ",""),CHAR(10),"|"),";","|"),"+","|"),"|",REPT(" ",LEN(Registro!$F266))),({1,2,3,4,5,6,7,8,9,10,11,12,13,14,15,16,17,18,19,20,21,22,23,24,25,26,27,28,29,30}-1)*LEN(Registro!$F266)+1,LEN(Registro!$F266))),FIND("x",TRIM(MID(SUBSTITUTE(SUBSTITUTE(SUBSTITUTE(SUBSTITUTE(SUBSTITUTE(LOWER(Registro!$F266)," ",""),CHAR(10),"|"),";","|"),"+","|"),"|",REPT(" ",LEN(Registro!$F266))),({1,2,3,4,5,6,7,8,9,10,11,12,13,14,15,16,17,18,19,20,21,22,23,24,25,26,27,28,29,30}-1)*LEN(Registro!$F266)+1,LEN(Registro!$F266)))&amp;"x")-1))),"Revisar formato")))</f>
        <v/>
      </c>
      <c r="G266" s="24" t="str">
        <f>IF(Registro!$F266="","",IF(ISERROR(FIND("x",LOWER(Registro!$F266))),N(Registro!$G266),IFERROR(SUMPRODUCT(--("0"&amp;LEFT(TRIM(MID(SUBSTITUTE(SUBSTITUTE(SUBSTITUTE(SUBSTITUTE(SUBSTITUTE(LOWER(Registro!$F266)," ",""),CHAR(10),"|"),";","|"),"+","|"),"|",REPT(" ",LEN(Registro!$F266))),({1,2,3,4,5,6,7,8,9,10,11,12,13,14,15,16,17,18,19,20,21,22,23,24,25,26,27,28,29,30}-1)*LEN(Registro!$F266)+1,LEN(Registro!$F266))),FIND("x",TRIM(MID(SUBSTITUTE(SUBSTITUTE(SUBSTITUTE(SUBSTITUTE(SUBSTITUTE(LOWER(Registro!$F266)," ",""),CHAR(10),"|"),";","|"),"+","|"),"|",REPT(" ",LEN(Registro!$F266))),({1,2,3,4,5,6,7,8,9,10,11,12,13,14,15,16,17,18,19,20,21,22,23,24,25,26,27,28,29,30}-1)*LEN(Registro!$F266)+1,LEN(Registro!$F266)))&amp;"x")-1)),--("0"&amp;MID(TRIM(MID(SUBSTITUTE(SUBSTITUTE(SUBSTITUTE(SUBSTITUTE(SUBSTITUTE(LOWER(Registro!$F266)," ",""),CHAR(10),"|"),";","|"),"+","|"),"|",REPT(" ",LEN(Registro!$F266))),({1,2,3,4,5,6,7,8,9,10,11,12,13,14,15,16,17,18,19,20,21,22,23,24,25,26,27,28,29,30}-1)*LEN(Registro!$F266)+1,LEN(Registro!$F266))),FIND("x",TRIM(MID(SUBSTITUTE(SUBSTITUTE(SUBSTITUTE(SUBSTITUTE(SUBSTITUTE(LOWER(Registro!$F266)," ",""),CHAR(10),"|"),";","|"),"+","|"),"|",REPT(" ",LEN(Registro!$F266))),({1,2,3,4,5,6,7,8,9,10,11,12,13,14,15,16,17,18,19,20,21,22,23,24,25,26,27,28,29,30}-1)*LEN(Registro!$F266)+1,LEN(Registro!$F266)))&amp;"x")+1,20))),"Revisar formato")))</f>
        <v/>
      </c>
      <c r="H266" s="21" t="str">
        <f>IF(AND(Registro!$E266="",Registro!$F266=""),"",IF(NOT(AND(ISNUMBER(G266),ISNUMBER(Registro!$G266))),"",IF(G266&lt;Registro!$G266,"FALTA BOLETOS",IF(G266=Registro!$G266,"CONFORME","DIFERENCIA"))))</f>
        <v/>
      </c>
      <c r="I266" s="24" t="str">
        <f>IF(Registro!$H266="","",IFERROR(SUMPRODUCT(--("0"&amp;TRIM(RIGHT(SUBSTITUTE(TRIM(MID(SUBSTITUTE(SUBSTITUTE(Registro!$H266,";",CHAR(10)),CHAR(10),REPT(" ",LEN(Registro!$H266))),({1,2,3,4,5,6,7,8,9,10,11,12,13,14,15,16,17,18,19,20,21,22,23,24,25,26,27,28,29,30}-1)*LEN(Registro!$H266)+1,LEN(Registro!$H266)))," ",REPT(" ",50)),50)))),"Revisar formato"))</f>
        <v/>
      </c>
      <c r="J266" s="24" t="str">
        <f>IF(Registro!$I266="","",IFERROR(SUMPRODUCT(--("0"&amp;TRIM(RIGHT(SUBSTITUTE(TRIM(MID(SUBSTITUTE(SUBSTITUTE(Registro!$I266,";",CHAR(10)),CHAR(10),REPT(" ",LEN(Registro!$I266))),({1,2,3,4,5,6,7,8,9,10,11,12,13,14,15,16,17,18,19,20,21,22,23,24,25,26,27,28,29,30}-1)*LEN(Registro!$I266)+1,LEN(Registro!$I266)))," ",REPT(" ",50)),50)))),"Revisar formato"))</f>
        <v/>
      </c>
      <c r="K266" s="24" t="str">
        <f>IF(AND(Registro!$G266="",Registro!$H266=""),"",IF(AND(ISTEXT(I266),I266&lt;&gt;""),"Revisar formato",N(Registro!$G266)-N(I266)))</f>
        <v/>
      </c>
      <c r="L266" s="24" t="str">
        <f t="shared" si="9"/>
        <v/>
      </c>
      <c r="M266" s="36" t="str">
        <f>IF(AND(A266=Consulta!$B$3,C266=Consulta!$H$3),B266*10000+ROW(),"")</f>
        <v/>
      </c>
    </row>
    <row r="267" spans="1:13" x14ac:dyDescent="0.25">
      <c r="A267" s="21" t="str">
        <f>IF(Registro!$A267="","",Registro!$A267)</f>
        <v/>
      </c>
      <c r="B267" s="20" t="str">
        <f>IF(Registro!$B267="","",Registro!$B267)</f>
        <v/>
      </c>
      <c r="C267" s="35" t="str">
        <f t="shared" si="8"/>
        <v/>
      </c>
      <c r="D267" s="23" t="str">
        <f>IF(Registro!$E267="","",IF(ISERROR(FIND("x",LOWER(Registro!$E267))),"-",IFERROR(SUMPRODUCT(--("0"&amp;LEFT(TRIM(MID(SUBSTITUTE(SUBSTITUTE(SUBSTITUTE(SUBSTITUTE(SUBSTITUTE(LOWER(Registro!$E267),"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",LEN(Registro!$E267))),({1,2,3,4,5,6,7,8,9,10,11,12,13,14,15,16,17,18,19,20,21,22,23,24,25,26,27,28,29,30}-1)*LEN(Registro!$E267)+1,LEN(Registro!$E267))),FIND("x",TRIM(MID(SUBSTITUTE(SUBSTITUTE(SUBSTITUTE(SUBSTITUTE(SUBSTITUTE(LOWER(Registro!$E267),"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",LEN(Registro!$E267))),({1,2,3,4,5,6,7,8,9,10,11,12,13,14,15,16,17,18,19,20,21,22,23,24,25,26,27,28,29,30}-1)*LEN(Registro!$E267)+1,LEN(Registro!$E267)))&amp;"x")-1))),"Revisar formato")))</f>
        <v/>
      </c>
      <c r="E267" s="24" t="str">
        <f>IF(Registro!$E267="","",IF(ISERROR(FIND("x",LOWER(Registro!$E267))),"-",IFERROR(SUMPRODUCT(--("0"&amp;LEFT(TRIM(MID(SUBSTITUTE(SUBSTITUTE(SUBSTITUTE(SUBSTITUTE(SUBSTITUTE(LOWER(Registro!$E267),"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",LEN(Registro!$E267))),({1,2,3,4,5,6,7,8,9,10,11,12,13,14,15,16,17,18,19,20,21,22,23,24,25,26,27,28,29,30}-1)*LEN(Registro!$E267)+1,LEN(Registro!$E267))),FIND("x",TRIM(MID(SUBSTITUTE(SUBSTITUTE(SUBSTITUTE(SUBSTITUTE(SUBSTITUTE(LOWER(Registro!$E267),"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",LEN(Registro!$E267))),({1,2,3,4,5,6,7,8,9,10,11,12,13,14,15,16,17,18,19,20,21,22,23,24,25,26,27,28,29,30}-1)*LEN(Registro!$E267)+1,LEN(Registro!$E267)))&amp;"x")-1)),--("0"&amp;MID(TRIM(MID(SUBSTITUTE(SUBSTITUTE(SUBSTITUTE(SUBSTITUTE(SUBSTITUTE(LOWER(Registro!$E267),"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",LEN(Registro!$E267))),({1,2,3,4,5,6,7,8,9,10,11,12,13,14,15,16,17,18,19,20,21,22,23,24,25,26,27,28,29,30}-1)*LEN(Registro!$E267)+1,LEN(Registro!$E267))),FIND("x",TRIM(MID(SUBSTITUTE(SUBSTITUTE(SUBSTITUTE(SUBSTITUTE(SUBSTITUTE(LOWER(Registro!$E267),"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",LEN(Registro!$E267))),({1,2,3,4,5,6,7,8,9,10,11,12,13,14,15,16,17,18,19,20,21,22,23,24,25,26,27,28,29,30}-1)*LEN(Registro!$E267)+1,LEN(Registro!$E267)))&amp;"x")+1,20))),"Revisar formato")))</f>
        <v/>
      </c>
      <c r="F267" s="23" t="str">
        <f>IF(Registro!$F267="","",IF(ISERROR(FIND("x",LOWER(Registro!$F267))),"-",IFERROR(SUMPRODUCT(--("0"&amp;LEFT(TRIM(MID(SUBSTITUTE(SUBSTITUTE(SUBSTITUTE(SUBSTITUTE(SUBSTITUTE(LOWER(Registro!$F267)," ",""),CHAR(10),"|"),";","|"),"+","|"),"|",REPT(" ",LEN(Registro!$F267))),({1,2,3,4,5,6,7,8,9,10,11,12,13,14,15,16,17,18,19,20,21,22,23,24,25,26,27,28,29,30}-1)*LEN(Registro!$F267)+1,LEN(Registro!$F267))),FIND("x",TRIM(MID(SUBSTITUTE(SUBSTITUTE(SUBSTITUTE(SUBSTITUTE(SUBSTITUTE(LOWER(Registro!$F267)," ",""),CHAR(10),"|"),";","|"),"+","|"),"|",REPT(" ",LEN(Registro!$F267))),({1,2,3,4,5,6,7,8,9,10,11,12,13,14,15,16,17,18,19,20,21,22,23,24,25,26,27,28,29,30}-1)*LEN(Registro!$F267)+1,LEN(Registro!$F267)))&amp;"x")-1))),"Revisar formato")))</f>
        <v/>
      </c>
      <c r="G267" s="24" t="str">
        <f>IF(Registro!$F267="","",IF(ISERROR(FIND("x",LOWER(Registro!$F267))),N(Registro!$G267),IFERROR(SUMPRODUCT(--("0"&amp;LEFT(TRIM(MID(SUBSTITUTE(SUBSTITUTE(SUBSTITUTE(SUBSTITUTE(SUBSTITUTE(LOWER(Registro!$F267)," ",""),CHAR(10),"|"),";","|"),"+","|"),"|",REPT(" ",LEN(Registro!$F267))),({1,2,3,4,5,6,7,8,9,10,11,12,13,14,15,16,17,18,19,20,21,22,23,24,25,26,27,28,29,30}-1)*LEN(Registro!$F267)+1,LEN(Registro!$F267))),FIND("x",TRIM(MID(SUBSTITUTE(SUBSTITUTE(SUBSTITUTE(SUBSTITUTE(SUBSTITUTE(LOWER(Registro!$F267)," ",""),CHAR(10),"|"),";","|"),"+","|"),"|",REPT(" ",LEN(Registro!$F267))),({1,2,3,4,5,6,7,8,9,10,11,12,13,14,15,16,17,18,19,20,21,22,23,24,25,26,27,28,29,30}-1)*LEN(Registro!$F267)+1,LEN(Registro!$F267)))&amp;"x")-1)),--("0"&amp;MID(TRIM(MID(SUBSTITUTE(SUBSTITUTE(SUBSTITUTE(SUBSTITUTE(SUBSTITUTE(LOWER(Registro!$F267)," ",""),CHAR(10),"|"),";","|"),"+","|"),"|",REPT(" ",LEN(Registro!$F267))),({1,2,3,4,5,6,7,8,9,10,11,12,13,14,15,16,17,18,19,20,21,22,23,24,25,26,27,28,29,30}-1)*LEN(Registro!$F267)+1,LEN(Registro!$F267))),FIND("x",TRIM(MID(SUBSTITUTE(SUBSTITUTE(SUBSTITUTE(SUBSTITUTE(SUBSTITUTE(LOWER(Registro!$F267)," ",""),CHAR(10),"|"),";","|"),"+","|"),"|",REPT(" ",LEN(Registro!$F267))),({1,2,3,4,5,6,7,8,9,10,11,12,13,14,15,16,17,18,19,20,21,22,23,24,25,26,27,28,29,30}-1)*LEN(Registro!$F267)+1,LEN(Registro!$F267)))&amp;"x")+1,20))),"Revisar formato")))</f>
        <v/>
      </c>
      <c r="H267" s="21" t="str">
        <f>IF(AND(Registro!$E267="",Registro!$F267=""),"",IF(NOT(AND(ISNUMBER(G267),ISNUMBER(Registro!$G267))),"",IF(G267&lt;Registro!$G267,"FALTA BOLETOS",IF(G267=Registro!$G267,"CONFORME","DIFERENCIA"))))</f>
        <v/>
      </c>
      <c r="I267" s="24" t="str">
        <f>IF(Registro!$H267="","",IFERROR(SUMPRODUCT(--("0"&amp;TRIM(RIGHT(SUBSTITUTE(TRIM(MID(SUBSTITUTE(SUBSTITUTE(Registro!$H267,";",CHAR(10)),CHAR(10),REPT(" ",LEN(Registro!$H267))),({1,2,3,4,5,6,7,8,9,10,11,12,13,14,15,16,17,18,19,20,21,22,23,24,25,26,27,28,29,30}-1)*LEN(Registro!$H267)+1,LEN(Registro!$H267)))," ",REPT(" ",50)),50)))),"Revisar formato"))</f>
        <v/>
      </c>
      <c r="J267" s="24" t="str">
        <f>IF(Registro!$I267="","",IFERROR(SUMPRODUCT(--("0"&amp;TRIM(RIGHT(SUBSTITUTE(TRIM(MID(SUBSTITUTE(SUBSTITUTE(Registro!$I267,";",CHAR(10)),CHAR(10),REPT(" ",LEN(Registro!$I267))),({1,2,3,4,5,6,7,8,9,10,11,12,13,14,15,16,17,18,19,20,21,22,23,24,25,26,27,28,29,30}-1)*LEN(Registro!$I267)+1,LEN(Registro!$I267)))," ",REPT(" ",50)),50)))),"Revisar formato"))</f>
        <v/>
      </c>
      <c r="K267" s="24" t="str">
        <f>IF(AND(Registro!$G267="",Registro!$H267=""),"",IF(AND(ISTEXT(I267),I267&lt;&gt;""),"Revisar formato",N(Registro!$G267)-N(I267)))</f>
        <v/>
      </c>
      <c r="L267" s="24" t="str">
        <f t="shared" si="9"/>
        <v/>
      </c>
      <c r="M267" s="36" t="str">
        <f>IF(AND(A267=Consulta!$B$3,C267=Consulta!$H$3),B267*10000+ROW(),"")</f>
        <v/>
      </c>
    </row>
    <row r="268" spans="1:13" x14ac:dyDescent="0.25">
      <c r="A268" s="21" t="str">
        <f>IF(Registro!$A268="","",Registro!$A268)</f>
        <v/>
      </c>
      <c r="B268" s="20" t="str">
        <f>IF(Registro!$B268="","",Registro!$B268)</f>
        <v/>
      </c>
      <c r="C268" s="35" t="str">
        <f t="shared" si="8"/>
        <v/>
      </c>
      <c r="D268" s="23" t="str">
        <f>IF(Registro!$E268="","",IF(ISERROR(FIND("x",LOWER(Registro!$E268))),"-",IFERROR(SUMPRODUCT(--("0"&amp;LEFT(TRIM(MID(SUBSTITUTE(SUBSTITUTE(SUBSTITUTE(SUBSTITUTE(SUBSTITUTE(LOWER(Registro!$E268),"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",LEN(Registro!$E268))),({1,2,3,4,5,6,7,8,9,10,11,12,13,14,15,16,17,18,19,20,21,22,23,24,25,26,27,28,29,30}-1)*LEN(Registro!$E268)+1,LEN(Registro!$E268))),FIND("x",TRIM(MID(SUBSTITUTE(SUBSTITUTE(SUBSTITUTE(SUBSTITUTE(SUBSTITUTE(LOWER(Registro!$E268),"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",LEN(Registro!$E268))),({1,2,3,4,5,6,7,8,9,10,11,12,13,14,15,16,17,18,19,20,21,22,23,24,25,26,27,28,29,30}-1)*LEN(Registro!$E268)+1,LEN(Registro!$E268)))&amp;"x")-1))),"Revisar formato")))</f>
        <v/>
      </c>
      <c r="E268" s="24" t="str">
        <f>IF(Registro!$E268="","",IF(ISERROR(FIND("x",LOWER(Registro!$E268))),"-",IFERROR(SUMPRODUCT(--("0"&amp;LEFT(TRIM(MID(SUBSTITUTE(SUBSTITUTE(SUBSTITUTE(SUBSTITUTE(SUBSTITUTE(LOWER(Registro!$E268),"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",LEN(Registro!$E268))),({1,2,3,4,5,6,7,8,9,10,11,12,13,14,15,16,17,18,19,20,21,22,23,24,25,26,27,28,29,30}-1)*LEN(Registro!$E268)+1,LEN(Registro!$E268))),FIND("x",TRIM(MID(SUBSTITUTE(SUBSTITUTE(SUBSTITUTE(SUBSTITUTE(SUBSTITUTE(LOWER(Registro!$E268),"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",LEN(Registro!$E268))),({1,2,3,4,5,6,7,8,9,10,11,12,13,14,15,16,17,18,19,20,21,22,23,24,25,26,27,28,29,30}-1)*LEN(Registro!$E268)+1,LEN(Registro!$E268)))&amp;"x")-1)),--("0"&amp;MID(TRIM(MID(SUBSTITUTE(SUBSTITUTE(SUBSTITUTE(SUBSTITUTE(SUBSTITUTE(LOWER(Registro!$E268),"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",LEN(Registro!$E268))),({1,2,3,4,5,6,7,8,9,10,11,12,13,14,15,16,17,18,19,20,21,22,23,24,25,26,27,28,29,30}-1)*LEN(Registro!$E268)+1,LEN(Registro!$E268))),FIND("x",TRIM(MID(SUBSTITUTE(SUBSTITUTE(SUBSTITUTE(SUBSTITUTE(SUBSTITUTE(LOWER(Registro!$E268),"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",LEN(Registro!$E268))),({1,2,3,4,5,6,7,8,9,10,11,12,13,14,15,16,17,18,19,20,21,22,23,24,25,26,27,28,29,30}-1)*LEN(Registro!$E268)+1,LEN(Registro!$E268)))&amp;"x")+1,20))),"Revisar formato")))</f>
        <v/>
      </c>
      <c r="F268" s="23" t="str">
        <f>IF(Registro!$F268="","",IF(ISERROR(FIND("x",LOWER(Registro!$F268))),"-",IFERROR(SUMPRODUCT(--("0"&amp;LEFT(TRIM(MID(SUBSTITUTE(SUBSTITUTE(SUBSTITUTE(SUBSTITUTE(SUBSTITUTE(LOWER(Registro!$F268)," ",""),CHAR(10),"|"),";","|"),"+","|"),"|",REPT(" ",LEN(Registro!$F268))),({1,2,3,4,5,6,7,8,9,10,11,12,13,14,15,16,17,18,19,20,21,22,23,24,25,26,27,28,29,30}-1)*LEN(Registro!$F268)+1,LEN(Registro!$F268))),FIND("x",TRIM(MID(SUBSTITUTE(SUBSTITUTE(SUBSTITUTE(SUBSTITUTE(SUBSTITUTE(LOWER(Registro!$F268)," ",""),CHAR(10),"|"),";","|"),"+","|"),"|",REPT(" ",LEN(Registro!$F268))),({1,2,3,4,5,6,7,8,9,10,11,12,13,14,15,16,17,18,19,20,21,22,23,24,25,26,27,28,29,30}-1)*LEN(Registro!$F268)+1,LEN(Registro!$F268)))&amp;"x")-1))),"Revisar formato")))</f>
        <v/>
      </c>
      <c r="G268" s="24" t="str">
        <f>IF(Registro!$F268="","",IF(ISERROR(FIND("x",LOWER(Registro!$F268))),N(Registro!$G268),IFERROR(SUMPRODUCT(--("0"&amp;LEFT(TRIM(MID(SUBSTITUTE(SUBSTITUTE(SUBSTITUTE(SUBSTITUTE(SUBSTITUTE(LOWER(Registro!$F268)," ",""),CHAR(10),"|"),";","|"),"+","|"),"|",REPT(" ",LEN(Registro!$F268))),({1,2,3,4,5,6,7,8,9,10,11,12,13,14,15,16,17,18,19,20,21,22,23,24,25,26,27,28,29,30}-1)*LEN(Registro!$F268)+1,LEN(Registro!$F268))),FIND("x",TRIM(MID(SUBSTITUTE(SUBSTITUTE(SUBSTITUTE(SUBSTITUTE(SUBSTITUTE(LOWER(Registro!$F268)," ",""),CHAR(10),"|"),";","|"),"+","|"),"|",REPT(" ",LEN(Registro!$F268))),({1,2,3,4,5,6,7,8,9,10,11,12,13,14,15,16,17,18,19,20,21,22,23,24,25,26,27,28,29,30}-1)*LEN(Registro!$F268)+1,LEN(Registro!$F268)))&amp;"x")-1)),--("0"&amp;MID(TRIM(MID(SUBSTITUTE(SUBSTITUTE(SUBSTITUTE(SUBSTITUTE(SUBSTITUTE(LOWER(Registro!$F268)," ",""),CHAR(10),"|"),";","|"),"+","|"),"|",REPT(" ",LEN(Registro!$F268))),({1,2,3,4,5,6,7,8,9,10,11,12,13,14,15,16,17,18,19,20,21,22,23,24,25,26,27,28,29,30}-1)*LEN(Registro!$F268)+1,LEN(Registro!$F268))),FIND("x",TRIM(MID(SUBSTITUTE(SUBSTITUTE(SUBSTITUTE(SUBSTITUTE(SUBSTITUTE(LOWER(Registro!$F268)," ",""),CHAR(10),"|"),";","|"),"+","|"),"|",REPT(" ",LEN(Registro!$F268))),({1,2,3,4,5,6,7,8,9,10,11,12,13,14,15,16,17,18,19,20,21,22,23,24,25,26,27,28,29,30}-1)*LEN(Registro!$F268)+1,LEN(Registro!$F268)))&amp;"x")+1,20))),"Revisar formato")))</f>
        <v/>
      </c>
      <c r="H268" s="21" t="str">
        <f>IF(AND(Registro!$E268="",Registro!$F268=""),"",IF(NOT(AND(ISNUMBER(G268),ISNUMBER(Registro!$G268))),"",IF(G268&lt;Registro!$G268,"FALTA BOLETOS",IF(G268=Registro!$G268,"CONFORME","DIFERENCIA"))))</f>
        <v/>
      </c>
      <c r="I268" s="24" t="str">
        <f>IF(Registro!$H268="","",IFERROR(SUMPRODUCT(--("0"&amp;TRIM(RIGHT(SUBSTITUTE(TRIM(MID(SUBSTITUTE(SUBSTITUTE(Registro!$H268,";",CHAR(10)),CHAR(10),REPT(" ",LEN(Registro!$H268))),({1,2,3,4,5,6,7,8,9,10,11,12,13,14,15,16,17,18,19,20,21,22,23,24,25,26,27,28,29,30}-1)*LEN(Registro!$H268)+1,LEN(Registro!$H268)))," ",REPT(" ",50)),50)))),"Revisar formato"))</f>
        <v/>
      </c>
      <c r="J268" s="24" t="str">
        <f>IF(Registro!$I268="","",IFERROR(SUMPRODUCT(--("0"&amp;TRIM(RIGHT(SUBSTITUTE(TRIM(MID(SUBSTITUTE(SUBSTITUTE(Registro!$I268,";",CHAR(10)),CHAR(10),REPT(" ",LEN(Registro!$I268))),({1,2,3,4,5,6,7,8,9,10,11,12,13,14,15,16,17,18,19,20,21,22,23,24,25,26,27,28,29,30}-1)*LEN(Registro!$I268)+1,LEN(Registro!$I268)))," ",REPT(" ",50)),50)))),"Revisar formato"))</f>
        <v/>
      </c>
      <c r="K268" s="24" t="str">
        <f>IF(AND(Registro!$G268="",Registro!$H268=""),"",IF(AND(ISTEXT(I268),I268&lt;&gt;""),"Revisar formato",N(Registro!$G268)-N(I268)))</f>
        <v/>
      </c>
      <c r="L268" s="24" t="str">
        <f t="shared" si="9"/>
        <v/>
      </c>
      <c r="M268" s="36" t="str">
        <f>IF(AND(A268=Consulta!$B$3,C268=Consulta!$H$3),B268*10000+ROW(),"")</f>
        <v/>
      </c>
    </row>
    <row r="269" spans="1:13" x14ac:dyDescent="0.25">
      <c r="A269" s="21" t="str">
        <f>IF(Registro!$A269="","",Registro!$A269)</f>
        <v/>
      </c>
      <c r="B269" s="20" t="str">
        <f>IF(Registro!$B269="","",Registro!$B269)</f>
        <v/>
      </c>
      <c r="C269" s="35" t="str">
        <f t="shared" si="8"/>
        <v/>
      </c>
      <c r="D269" s="23" t="str">
        <f>IF(Registro!$E269="","",IF(ISERROR(FIND("x",LOWER(Registro!$E269))),"-",IFERROR(SUMPRODUCT(--("0"&amp;LEFT(TRIM(MID(SUBSTITUTE(SUBSTITUTE(SUBSTITUTE(SUBSTITUTE(SUBSTITUTE(LOWER(Registro!$E269),"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",LEN(Registro!$E269))),({1,2,3,4,5,6,7,8,9,10,11,12,13,14,15,16,17,18,19,20,21,22,23,24,25,26,27,28,29,30}-1)*LEN(Registro!$E269)+1,LEN(Registro!$E269))),FIND("x",TRIM(MID(SUBSTITUTE(SUBSTITUTE(SUBSTITUTE(SUBSTITUTE(SUBSTITUTE(LOWER(Registro!$E269),"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",LEN(Registro!$E269))),({1,2,3,4,5,6,7,8,9,10,11,12,13,14,15,16,17,18,19,20,21,22,23,24,25,26,27,28,29,30}-1)*LEN(Registro!$E269)+1,LEN(Registro!$E269)))&amp;"x")-1))),"Revisar formato")))</f>
        <v/>
      </c>
      <c r="E269" s="24" t="str">
        <f>IF(Registro!$E269="","",IF(ISERROR(FIND("x",LOWER(Registro!$E269))),"-",IFERROR(SUMPRODUCT(--("0"&amp;LEFT(TRIM(MID(SUBSTITUTE(SUBSTITUTE(SUBSTITUTE(SUBSTITUTE(SUBSTITUTE(LOWER(Registro!$E269),"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",LEN(Registro!$E269))),({1,2,3,4,5,6,7,8,9,10,11,12,13,14,15,16,17,18,19,20,21,22,23,24,25,26,27,28,29,30}-1)*LEN(Registro!$E269)+1,LEN(Registro!$E269))),FIND("x",TRIM(MID(SUBSTITUTE(SUBSTITUTE(SUBSTITUTE(SUBSTITUTE(SUBSTITUTE(LOWER(Registro!$E269),"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",LEN(Registro!$E269))),({1,2,3,4,5,6,7,8,9,10,11,12,13,14,15,16,17,18,19,20,21,22,23,24,25,26,27,28,29,30}-1)*LEN(Registro!$E269)+1,LEN(Registro!$E269)))&amp;"x")-1)),--("0"&amp;MID(TRIM(MID(SUBSTITUTE(SUBSTITUTE(SUBSTITUTE(SUBSTITUTE(SUBSTITUTE(LOWER(Registro!$E269),"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",LEN(Registro!$E269))),({1,2,3,4,5,6,7,8,9,10,11,12,13,14,15,16,17,18,19,20,21,22,23,24,25,26,27,28,29,30}-1)*LEN(Registro!$E269)+1,LEN(Registro!$E269))),FIND("x",TRIM(MID(SUBSTITUTE(SUBSTITUTE(SUBSTITUTE(SUBSTITUTE(SUBSTITUTE(LOWER(Registro!$E269),"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",LEN(Registro!$E269))),({1,2,3,4,5,6,7,8,9,10,11,12,13,14,15,16,17,18,19,20,21,22,23,24,25,26,27,28,29,30}-1)*LEN(Registro!$E269)+1,LEN(Registro!$E269)))&amp;"x")+1,20))),"Revisar formato")))</f>
        <v/>
      </c>
      <c r="F269" s="23" t="str">
        <f>IF(Registro!$F269="","",IF(ISERROR(FIND("x",LOWER(Registro!$F269))),"-",IFERROR(SUMPRODUCT(--("0"&amp;LEFT(TRIM(MID(SUBSTITUTE(SUBSTITUTE(SUBSTITUTE(SUBSTITUTE(SUBSTITUTE(LOWER(Registro!$F269)," ",""),CHAR(10),"|"),";","|"),"+","|"),"|",REPT(" ",LEN(Registro!$F269))),({1,2,3,4,5,6,7,8,9,10,11,12,13,14,15,16,17,18,19,20,21,22,23,24,25,26,27,28,29,30}-1)*LEN(Registro!$F269)+1,LEN(Registro!$F269))),FIND("x",TRIM(MID(SUBSTITUTE(SUBSTITUTE(SUBSTITUTE(SUBSTITUTE(SUBSTITUTE(LOWER(Registro!$F269)," ",""),CHAR(10),"|"),";","|"),"+","|"),"|",REPT(" ",LEN(Registro!$F269))),({1,2,3,4,5,6,7,8,9,10,11,12,13,14,15,16,17,18,19,20,21,22,23,24,25,26,27,28,29,30}-1)*LEN(Registro!$F269)+1,LEN(Registro!$F269)))&amp;"x")-1))),"Revisar formato")))</f>
        <v/>
      </c>
      <c r="G269" s="24" t="str">
        <f>IF(Registro!$F269="","",IF(ISERROR(FIND("x",LOWER(Registro!$F269))),N(Registro!$G269),IFERROR(SUMPRODUCT(--("0"&amp;LEFT(TRIM(MID(SUBSTITUTE(SUBSTITUTE(SUBSTITUTE(SUBSTITUTE(SUBSTITUTE(LOWER(Registro!$F269)," ",""),CHAR(10),"|"),";","|"),"+","|"),"|",REPT(" ",LEN(Registro!$F269))),({1,2,3,4,5,6,7,8,9,10,11,12,13,14,15,16,17,18,19,20,21,22,23,24,25,26,27,28,29,30}-1)*LEN(Registro!$F269)+1,LEN(Registro!$F269))),FIND("x",TRIM(MID(SUBSTITUTE(SUBSTITUTE(SUBSTITUTE(SUBSTITUTE(SUBSTITUTE(LOWER(Registro!$F269)," ",""),CHAR(10),"|"),";","|"),"+","|"),"|",REPT(" ",LEN(Registro!$F269))),({1,2,3,4,5,6,7,8,9,10,11,12,13,14,15,16,17,18,19,20,21,22,23,24,25,26,27,28,29,30}-1)*LEN(Registro!$F269)+1,LEN(Registro!$F269)))&amp;"x")-1)),--("0"&amp;MID(TRIM(MID(SUBSTITUTE(SUBSTITUTE(SUBSTITUTE(SUBSTITUTE(SUBSTITUTE(LOWER(Registro!$F269)," ",""),CHAR(10),"|"),";","|"),"+","|"),"|",REPT(" ",LEN(Registro!$F269))),({1,2,3,4,5,6,7,8,9,10,11,12,13,14,15,16,17,18,19,20,21,22,23,24,25,26,27,28,29,30}-1)*LEN(Registro!$F269)+1,LEN(Registro!$F269))),FIND("x",TRIM(MID(SUBSTITUTE(SUBSTITUTE(SUBSTITUTE(SUBSTITUTE(SUBSTITUTE(LOWER(Registro!$F269)," ",""),CHAR(10),"|"),";","|"),"+","|"),"|",REPT(" ",LEN(Registro!$F269))),({1,2,3,4,5,6,7,8,9,10,11,12,13,14,15,16,17,18,19,20,21,22,23,24,25,26,27,28,29,30}-1)*LEN(Registro!$F269)+1,LEN(Registro!$F269)))&amp;"x")+1,20))),"Revisar formato")))</f>
        <v/>
      </c>
      <c r="H269" s="21" t="str">
        <f>IF(AND(Registro!$E269="",Registro!$F269=""),"",IF(NOT(AND(ISNUMBER(G269),ISNUMBER(Registro!$G269))),"",IF(G269&lt;Registro!$G269,"FALTA BOLETOS",IF(G269=Registro!$G269,"CONFORME","DIFERENCIA"))))</f>
        <v/>
      </c>
      <c r="I269" s="24" t="str">
        <f>IF(Registro!$H269="","",IFERROR(SUMPRODUCT(--("0"&amp;TRIM(RIGHT(SUBSTITUTE(TRIM(MID(SUBSTITUTE(SUBSTITUTE(Registro!$H269,";",CHAR(10)),CHAR(10),REPT(" ",LEN(Registro!$H269))),({1,2,3,4,5,6,7,8,9,10,11,12,13,14,15,16,17,18,19,20,21,22,23,24,25,26,27,28,29,30}-1)*LEN(Registro!$H269)+1,LEN(Registro!$H269)))," ",REPT(" ",50)),50)))),"Revisar formato"))</f>
        <v/>
      </c>
      <c r="J269" s="24" t="str">
        <f>IF(Registro!$I269="","",IFERROR(SUMPRODUCT(--("0"&amp;TRIM(RIGHT(SUBSTITUTE(TRIM(MID(SUBSTITUTE(SUBSTITUTE(Registro!$I269,";",CHAR(10)),CHAR(10),REPT(" ",LEN(Registro!$I269))),({1,2,3,4,5,6,7,8,9,10,11,12,13,14,15,16,17,18,19,20,21,22,23,24,25,26,27,28,29,30}-1)*LEN(Registro!$I269)+1,LEN(Registro!$I269)))," ",REPT(" ",50)),50)))),"Revisar formato"))</f>
        <v/>
      </c>
      <c r="K269" s="24" t="str">
        <f>IF(AND(Registro!$G269="",Registro!$H269=""),"",IF(AND(ISTEXT(I269),I269&lt;&gt;""),"Revisar formato",N(Registro!$G269)-N(I269)))</f>
        <v/>
      </c>
      <c r="L269" s="24" t="str">
        <f t="shared" si="9"/>
        <v/>
      </c>
      <c r="M269" s="36" t="str">
        <f>IF(AND(A269=Consulta!$B$3,C269=Consulta!$H$3),B269*10000+ROW(),"")</f>
        <v/>
      </c>
    </row>
    <row r="270" spans="1:13" x14ac:dyDescent="0.25">
      <c r="A270" s="21" t="str">
        <f>IF(Registro!$A270="","",Registro!$A270)</f>
        <v/>
      </c>
      <c r="B270" s="20" t="str">
        <f>IF(Registro!$B270="","",Registro!$B270)</f>
        <v/>
      </c>
      <c r="C270" s="35" t="str">
        <f t="shared" si="8"/>
        <v/>
      </c>
      <c r="D270" s="23" t="str">
        <f>IF(Registro!$E270="","",IF(ISERROR(FIND("x",LOWER(Registro!$E270))),"-",IFERROR(SUMPRODUCT(--("0"&amp;LEFT(TRIM(MID(SUBSTITUTE(SUBSTITUTE(SUBSTITUTE(SUBSTITUTE(SUBSTITUTE(LOWER(Registro!$E270),"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",LEN(Registro!$E270))),({1,2,3,4,5,6,7,8,9,10,11,12,13,14,15,16,17,18,19,20,21,22,23,24,25,26,27,28,29,30}-1)*LEN(Registro!$E270)+1,LEN(Registro!$E270))),FIND("x",TRIM(MID(SUBSTITUTE(SUBSTITUTE(SUBSTITUTE(SUBSTITUTE(SUBSTITUTE(LOWER(Registro!$E270),"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",LEN(Registro!$E270))),({1,2,3,4,5,6,7,8,9,10,11,12,13,14,15,16,17,18,19,20,21,22,23,24,25,26,27,28,29,30}-1)*LEN(Registro!$E270)+1,LEN(Registro!$E270)))&amp;"x")-1))),"Revisar formato")))</f>
        <v/>
      </c>
      <c r="E270" s="24" t="str">
        <f>IF(Registro!$E270="","",IF(ISERROR(FIND("x",LOWER(Registro!$E270))),"-",IFERROR(SUMPRODUCT(--("0"&amp;LEFT(TRIM(MID(SUBSTITUTE(SUBSTITUTE(SUBSTITUTE(SUBSTITUTE(SUBSTITUTE(LOWER(Registro!$E270),"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",LEN(Registro!$E270))),({1,2,3,4,5,6,7,8,9,10,11,12,13,14,15,16,17,18,19,20,21,22,23,24,25,26,27,28,29,30}-1)*LEN(Registro!$E270)+1,LEN(Registro!$E270))),FIND("x",TRIM(MID(SUBSTITUTE(SUBSTITUTE(SUBSTITUTE(SUBSTITUTE(SUBSTITUTE(LOWER(Registro!$E270),"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",LEN(Registro!$E270))),({1,2,3,4,5,6,7,8,9,10,11,12,13,14,15,16,17,18,19,20,21,22,23,24,25,26,27,28,29,30}-1)*LEN(Registro!$E270)+1,LEN(Registro!$E270)))&amp;"x")-1)),--("0"&amp;MID(TRIM(MID(SUBSTITUTE(SUBSTITUTE(SUBSTITUTE(SUBSTITUTE(SUBSTITUTE(LOWER(Registro!$E270),"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",LEN(Registro!$E270))),({1,2,3,4,5,6,7,8,9,10,11,12,13,14,15,16,17,18,19,20,21,22,23,24,25,26,27,28,29,30}-1)*LEN(Registro!$E270)+1,LEN(Registro!$E270))),FIND("x",TRIM(MID(SUBSTITUTE(SUBSTITUTE(SUBSTITUTE(SUBSTITUTE(SUBSTITUTE(LOWER(Registro!$E270),"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",LEN(Registro!$E270))),({1,2,3,4,5,6,7,8,9,10,11,12,13,14,15,16,17,18,19,20,21,22,23,24,25,26,27,28,29,30}-1)*LEN(Registro!$E270)+1,LEN(Registro!$E270)))&amp;"x")+1,20))),"Revisar formato")))</f>
        <v/>
      </c>
      <c r="F270" s="23" t="str">
        <f>IF(Registro!$F270="","",IF(ISERROR(FIND("x",LOWER(Registro!$F270))),"-",IFERROR(SUMPRODUCT(--("0"&amp;LEFT(TRIM(MID(SUBSTITUTE(SUBSTITUTE(SUBSTITUTE(SUBSTITUTE(SUBSTITUTE(LOWER(Registro!$F270)," ",""),CHAR(10),"|"),";","|"),"+","|"),"|",REPT(" ",LEN(Registro!$F270))),({1,2,3,4,5,6,7,8,9,10,11,12,13,14,15,16,17,18,19,20,21,22,23,24,25,26,27,28,29,30}-1)*LEN(Registro!$F270)+1,LEN(Registro!$F270))),FIND("x",TRIM(MID(SUBSTITUTE(SUBSTITUTE(SUBSTITUTE(SUBSTITUTE(SUBSTITUTE(LOWER(Registro!$F270)," ",""),CHAR(10),"|"),";","|"),"+","|"),"|",REPT(" ",LEN(Registro!$F270))),({1,2,3,4,5,6,7,8,9,10,11,12,13,14,15,16,17,18,19,20,21,22,23,24,25,26,27,28,29,30}-1)*LEN(Registro!$F270)+1,LEN(Registro!$F270)))&amp;"x")-1))),"Revisar formato")))</f>
        <v/>
      </c>
      <c r="G270" s="24" t="str">
        <f>IF(Registro!$F270="","",IF(ISERROR(FIND("x",LOWER(Registro!$F270))),N(Registro!$G270),IFERROR(SUMPRODUCT(--("0"&amp;LEFT(TRIM(MID(SUBSTITUTE(SUBSTITUTE(SUBSTITUTE(SUBSTITUTE(SUBSTITUTE(LOWER(Registro!$F270)," ",""),CHAR(10),"|"),";","|"),"+","|"),"|",REPT(" ",LEN(Registro!$F270))),({1,2,3,4,5,6,7,8,9,10,11,12,13,14,15,16,17,18,19,20,21,22,23,24,25,26,27,28,29,30}-1)*LEN(Registro!$F270)+1,LEN(Registro!$F270))),FIND("x",TRIM(MID(SUBSTITUTE(SUBSTITUTE(SUBSTITUTE(SUBSTITUTE(SUBSTITUTE(LOWER(Registro!$F270)," ",""),CHAR(10),"|"),";","|"),"+","|"),"|",REPT(" ",LEN(Registro!$F270))),({1,2,3,4,5,6,7,8,9,10,11,12,13,14,15,16,17,18,19,20,21,22,23,24,25,26,27,28,29,30}-1)*LEN(Registro!$F270)+1,LEN(Registro!$F270)))&amp;"x")-1)),--("0"&amp;MID(TRIM(MID(SUBSTITUTE(SUBSTITUTE(SUBSTITUTE(SUBSTITUTE(SUBSTITUTE(LOWER(Registro!$F270)," ",""),CHAR(10),"|"),";","|"),"+","|"),"|",REPT(" ",LEN(Registro!$F270))),({1,2,3,4,5,6,7,8,9,10,11,12,13,14,15,16,17,18,19,20,21,22,23,24,25,26,27,28,29,30}-1)*LEN(Registro!$F270)+1,LEN(Registro!$F270))),FIND("x",TRIM(MID(SUBSTITUTE(SUBSTITUTE(SUBSTITUTE(SUBSTITUTE(SUBSTITUTE(LOWER(Registro!$F270)," ",""),CHAR(10),"|"),";","|"),"+","|"),"|",REPT(" ",LEN(Registro!$F270))),({1,2,3,4,5,6,7,8,9,10,11,12,13,14,15,16,17,18,19,20,21,22,23,24,25,26,27,28,29,30}-1)*LEN(Registro!$F270)+1,LEN(Registro!$F270)))&amp;"x")+1,20))),"Revisar formato")))</f>
        <v/>
      </c>
      <c r="H270" s="21" t="str">
        <f>IF(AND(Registro!$E270="",Registro!$F270=""),"",IF(NOT(AND(ISNUMBER(G270),ISNUMBER(Registro!$G270))),"",IF(G270&lt;Registro!$G270,"FALTA BOLETOS",IF(G270=Registro!$G270,"CONFORME","DIFERENCIA"))))</f>
        <v/>
      </c>
      <c r="I270" s="24" t="str">
        <f>IF(Registro!$H270="","",IFERROR(SUMPRODUCT(--("0"&amp;TRIM(RIGHT(SUBSTITUTE(TRIM(MID(SUBSTITUTE(SUBSTITUTE(Registro!$H270,";",CHAR(10)),CHAR(10),REPT(" ",LEN(Registro!$H270))),({1,2,3,4,5,6,7,8,9,10,11,12,13,14,15,16,17,18,19,20,21,22,23,24,25,26,27,28,29,30}-1)*LEN(Registro!$H270)+1,LEN(Registro!$H270)))," ",REPT(" ",50)),50)))),"Revisar formato"))</f>
        <v/>
      </c>
      <c r="J270" s="24" t="str">
        <f>IF(Registro!$I270="","",IFERROR(SUMPRODUCT(--("0"&amp;TRIM(RIGHT(SUBSTITUTE(TRIM(MID(SUBSTITUTE(SUBSTITUTE(Registro!$I270,";",CHAR(10)),CHAR(10),REPT(" ",LEN(Registro!$I270))),({1,2,3,4,5,6,7,8,9,10,11,12,13,14,15,16,17,18,19,20,21,22,23,24,25,26,27,28,29,30}-1)*LEN(Registro!$I270)+1,LEN(Registro!$I270)))," ",REPT(" ",50)),50)))),"Revisar formato"))</f>
        <v/>
      </c>
      <c r="K270" s="24" t="str">
        <f>IF(AND(Registro!$G270="",Registro!$H270=""),"",IF(AND(ISTEXT(I270),I270&lt;&gt;""),"Revisar formato",N(Registro!$G270)-N(I270)))</f>
        <v/>
      </c>
      <c r="L270" s="24" t="str">
        <f t="shared" si="9"/>
        <v/>
      </c>
      <c r="M270" s="36" t="str">
        <f>IF(AND(A270=Consulta!$B$3,C270=Consulta!$H$3),B270*10000+ROW(),"")</f>
        <v/>
      </c>
    </row>
    <row r="271" spans="1:13" x14ac:dyDescent="0.25">
      <c r="A271" s="21" t="str">
        <f>IF(Registro!$A271="","",Registro!$A271)</f>
        <v/>
      </c>
      <c r="B271" s="20" t="str">
        <f>IF(Registro!$B271="","",Registro!$B271)</f>
        <v/>
      </c>
      <c r="C271" s="35" t="str">
        <f t="shared" si="8"/>
        <v/>
      </c>
      <c r="D271" s="23" t="str">
        <f>IF(Registro!$E271="","",IF(ISERROR(FIND("x",LOWER(Registro!$E271))),"-",IFERROR(SUMPRODUCT(--("0"&amp;LEFT(TRIM(MID(SUBSTITUTE(SUBSTITUTE(SUBSTITUTE(SUBSTITUTE(SUBSTITUTE(LOWER(Registro!$E271),"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",LEN(Registro!$E271))),({1,2,3,4,5,6,7,8,9,10,11,12,13,14,15,16,17,18,19,20,21,22,23,24,25,26,27,28,29,30}-1)*LEN(Registro!$E271)+1,LEN(Registro!$E271))),FIND("x",TRIM(MID(SUBSTITUTE(SUBSTITUTE(SUBSTITUTE(SUBSTITUTE(SUBSTITUTE(LOWER(Registro!$E271),"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",LEN(Registro!$E271))),({1,2,3,4,5,6,7,8,9,10,11,12,13,14,15,16,17,18,19,20,21,22,23,24,25,26,27,28,29,30}-1)*LEN(Registro!$E271)+1,LEN(Registro!$E271)))&amp;"x")-1))),"Revisar formato")))</f>
        <v/>
      </c>
      <c r="E271" s="24" t="str">
        <f>IF(Registro!$E271="","",IF(ISERROR(FIND("x",LOWER(Registro!$E271))),"-",IFERROR(SUMPRODUCT(--("0"&amp;LEFT(TRIM(MID(SUBSTITUTE(SUBSTITUTE(SUBSTITUTE(SUBSTITUTE(SUBSTITUTE(LOWER(Registro!$E271),"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",LEN(Registro!$E271))),({1,2,3,4,5,6,7,8,9,10,11,12,13,14,15,16,17,18,19,20,21,22,23,24,25,26,27,28,29,30}-1)*LEN(Registro!$E271)+1,LEN(Registro!$E271))),FIND("x",TRIM(MID(SUBSTITUTE(SUBSTITUTE(SUBSTITUTE(SUBSTITUTE(SUBSTITUTE(LOWER(Registro!$E271),"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",LEN(Registro!$E271))),({1,2,3,4,5,6,7,8,9,10,11,12,13,14,15,16,17,18,19,20,21,22,23,24,25,26,27,28,29,30}-1)*LEN(Registro!$E271)+1,LEN(Registro!$E271)))&amp;"x")-1)),--("0"&amp;MID(TRIM(MID(SUBSTITUTE(SUBSTITUTE(SUBSTITUTE(SUBSTITUTE(SUBSTITUTE(LOWER(Registro!$E271),"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",LEN(Registro!$E271))),({1,2,3,4,5,6,7,8,9,10,11,12,13,14,15,16,17,18,19,20,21,22,23,24,25,26,27,28,29,30}-1)*LEN(Registro!$E271)+1,LEN(Registro!$E271))),FIND("x",TRIM(MID(SUBSTITUTE(SUBSTITUTE(SUBSTITUTE(SUBSTITUTE(SUBSTITUTE(LOWER(Registro!$E271),"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",LEN(Registro!$E271))),({1,2,3,4,5,6,7,8,9,10,11,12,13,14,15,16,17,18,19,20,21,22,23,24,25,26,27,28,29,30}-1)*LEN(Registro!$E271)+1,LEN(Registro!$E271)))&amp;"x")+1,20))),"Revisar formato")))</f>
        <v/>
      </c>
      <c r="F271" s="23" t="str">
        <f>IF(Registro!$F271="","",IF(ISERROR(FIND("x",LOWER(Registro!$F271))),"-",IFERROR(SUMPRODUCT(--("0"&amp;LEFT(TRIM(MID(SUBSTITUTE(SUBSTITUTE(SUBSTITUTE(SUBSTITUTE(SUBSTITUTE(LOWER(Registro!$F271)," ",""),CHAR(10),"|"),";","|"),"+","|"),"|",REPT(" ",LEN(Registro!$F271))),({1,2,3,4,5,6,7,8,9,10,11,12,13,14,15,16,17,18,19,20,21,22,23,24,25,26,27,28,29,30}-1)*LEN(Registro!$F271)+1,LEN(Registro!$F271))),FIND("x",TRIM(MID(SUBSTITUTE(SUBSTITUTE(SUBSTITUTE(SUBSTITUTE(SUBSTITUTE(LOWER(Registro!$F271)," ",""),CHAR(10),"|"),";","|"),"+","|"),"|",REPT(" ",LEN(Registro!$F271))),({1,2,3,4,5,6,7,8,9,10,11,12,13,14,15,16,17,18,19,20,21,22,23,24,25,26,27,28,29,30}-1)*LEN(Registro!$F271)+1,LEN(Registro!$F271)))&amp;"x")-1))),"Revisar formato")))</f>
        <v/>
      </c>
      <c r="G271" s="24" t="str">
        <f>IF(Registro!$F271="","",IF(ISERROR(FIND("x",LOWER(Registro!$F271))),N(Registro!$G271),IFERROR(SUMPRODUCT(--("0"&amp;LEFT(TRIM(MID(SUBSTITUTE(SUBSTITUTE(SUBSTITUTE(SUBSTITUTE(SUBSTITUTE(LOWER(Registro!$F271)," ",""),CHAR(10),"|"),";","|"),"+","|"),"|",REPT(" ",LEN(Registro!$F271))),({1,2,3,4,5,6,7,8,9,10,11,12,13,14,15,16,17,18,19,20,21,22,23,24,25,26,27,28,29,30}-1)*LEN(Registro!$F271)+1,LEN(Registro!$F271))),FIND("x",TRIM(MID(SUBSTITUTE(SUBSTITUTE(SUBSTITUTE(SUBSTITUTE(SUBSTITUTE(LOWER(Registro!$F271)," ",""),CHAR(10),"|"),";","|"),"+","|"),"|",REPT(" ",LEN(Registro!$F271))),({1,2,3,4,5,6,7,8,9,10,11,12,13,14,15,16,17,18,19,20,21,22,23,24,25,26,27,28,29,30}-1)*LEN(Registro!$F271)+1,LEN(Registro!$F271)))&amp;"x")-1)),--("0"&amp;MID(TRIM(MID(SUBSTITUTE(SUBSTITUTE(SUBSTITUTE(SUBSTITUTE(SUBSTITUTE(LOWER(Registro!$F271)," ",""),CHAR(10),"|"),";","|"),"+","|"),"|",REPT(" ",LEN(Registro!$F271))),({1,2,3,4,5,6,7,8,9,10,11,12,13,14,15,16,17,18,19,20,21,22,23,24,25,26,27,28,29,30}-1)*LEN(Registro!$F271)+1,LEN(Registro!$F271))),FIND("x",TRIM(MID(SUBSTITUTE(SUBSTITUTE(SUBSTITUTE(SUBSTITUTE(SUBSTITUTE(LOWER(Registro!$F271)," ",""),CHAR(10),"|"),";","|"),"+","|"),"|",REPT(" ",LEN(Registro!$F271))),({1,2,3,4,5,6,7,8,9,10,11,12,13,14,15,16,17,18,19,20,21,22,23,24,25,26,27,28,29,30}-1)*LEN(Registro!$F271)+1,LEN(Registro!$F271)))&amp;"x")+1,20))),"Revisar formato")))</f>
        <v/>
      </c>
      <c r="H271" s="21" t="str">
        <f>IF(AND(Registro!$E271="",Registro!$F271=""),"",IF(NOT(AND(ISNUMBER(G271),ISNUMBER(Registro!$G271))),"",IF(G271&lt;Registro!$G271,"FALTA BOLETOS",IF(G271=Registro!$G271,"CONFORME","DIFERENCIA"))))</f>
        <v/>
      </c>
      <c r="I271" s="24" t="str">
        <f>IF(Registro!$H271="","",IFERROR(SUMPRODUCT(--("0"&amp;TRIM(RIGHT(SUBSTITUTE(TRIM(MID(SUBSTITUTE(SUBSTITUTE(Registro!$H271,";",CHAR(10)),CHAR(10),REPT(" ",LEN(Registro!$H271))),({1,2,3,4,5,6,7,8,9,10,11,12,13,14,15,16,17,18,19,20,21,22,23,24,25,26,27,28,29,30}-1)*LEN(Registro!$H271)+1,LEN(Registro!$H271)))," ",REPT(" ",50)),50)))),"Revisar formato"))</f>
        <v/>
      </c>
      <c r="J271" s="24" t="str">
        <f>IF(Registro!$I271="","",IFERROR(SUMPRODUCT(--("0"&amp;TRIM(RIGHT(SUBSTITUTE(TRIM(MID(SUBSTITUTE(SUBSTITUTE(Registro!$I271,";",CHAR(10)),CHAR(10),REPT(" ",LEN(Registro!$I271))),({1,2,3,4,5,6,7,8,9,10,11,12,13,14,15,16,17,18,19,20,21,22,23,24,25,26,27,28,29,30}-1)*LEN(Registro!$I271)+1,LEN(Registro!$I271)))," ",REPT(" ",50)),50)))),"Revisar formato"))</f>
        <v/>
      </c>
      <c r="K271" s="24" t="str">
        <f>IF(AND(Registro!$G271="",Registro!$H271=""),"",IF(AND(ISTEXT(I271),I271&lt;&gt;""),"Revisar formato",N(Registro!$G271)-N(I271)))</f>
        <v/>
      </c>
      <c r="L271" s="24" t="str">
        <f t="shared" si="9"/>
        <v/>
      </c>
      <c r="M271" s="36" t="str">
        <f>IF(AND(A271=Consulta!$B$3,C271=Consulta!$H$3),B271*10000+ROW(),"")</f>
        <v/>
      </c>
    </row>
    <row r="272" spans="1:13" x14ac:dyDescent="0.25">
      <c r="A272" s="21" t="str">
        <f>IF(Registro!$A272="","",Registro!$A272)</f>
        <v/>
      </c>
      <c r="B272" s="20" t="str">
        <f>IF(Registro!$B272="","",Registro!$B272)</f>
        <v/>
      </c>
      <c r="C272" s="35" t="str">
        <f t="shared" si="8"/>
        <v/>
      </c>
      <c r="D272" s="23" t="str">
        <f>IF(Registro!$E272="","",IF(ISERROR(FIND("x",LOWER(Registro!$E272))),"-",IFERROR(SUMPRODUCT(--("0"&amp;LEFT(TRIM(MID(SUBSTITUTE(SUBSTITUTE(SUBSTITUTE(SUBSTITUTE(SUBSTITUTE(LOWER(Registro!$E272),"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",LEN(Registro!$E272))),({1,2,3,4,5,6,7,8,9,10,11,12,13,14,15,16,17,18,19,20,21,22,23,24,25,26,27,28,29,30}-1)*LEN(Registro!$E272)+1,LEN(Registro!$E272))),FIND("x",TRIM(MID(SUBSTITUTE(SUBSTITUTE(SUBSTITUTE(SUBSTITUTE(SUBSTITUTE(LOWER(Registro!$E272),"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",LEN(Registro!$E272))),({1,2,3,4,5,6,7,8,9,10,11,12,13,14,15,16,17,18,19,20,21,22,23,24,25,26,27,28,29,30}-1)*LEN(Registro!$E272)+1,LEN(Registro!$E272)))&amp;"x")-1))),"Revisar formato")))</f>
        <v/>
      </c>
      <c r="E272" s="24" t="str">
        <f>IF(Registro!$E272="","",IF(ISERROR(FIND("x",LOWER(Registro!$E272))),"-",IFERROR(SUMPRODUCT(--("0"&amp;LEFT(TRIM(MID(SUBSTITUTE(SUBSTITUTE(SUBSTITUTE(SUBSTITUTE(SUBSTITUTE(LOWER(Registro!$E272),"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",LEN(Registro!$E272))),({1,2,3,4,5,6,7,8,9,10,11,12,13,14,15,16,17,18,19,20,21,22,23,24,25,26,27,28,29,30}-1)*LEN(Registro!$E272)+1,LEN(Registro!$E272))),FIND("x",TRIM(MID(SUBSTITUTE(SUBSTITUTE(SUBSTITUTE(SUBSTITUTE(SUBSTITUTE(LOWER(Registro!$E272),"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",LEN(Registro!$E272))),({1,2,3,4,5,6,7,8,9,10,11,12,13,14,15,16,17,18,19,20,21,22,23,24,25,26,27,28,29,30}-1)*LEN(Registro!$E272)+1,LEN(Registro!$E272)))&amp;"x")-1)),--("0"&amp;MID(TRIM(MID(SUBSTITUTE(SUBSTITUTE(SUBSTITUTE(SUBSTITUTE(SUBSTITUTE(LOWER(Registro!$E272),"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",LEN(Registro!$E272))),({1,2,3,4,5,6,7,8,9,10,11,12,13,14,15,16,17,18,19,20,21,22,23,24,25,26,27,28,29,30}-1)*LEN(Registro!$E272)+1,LEN(Registro!$E272))),FIND("x",TRIM(MID(SUBSTITUTE(SUBSTITUTE(SUBSTITUTE(SUBSTITUTE(SUBSTITUTE(LOWER(Registro!$E272),"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",LEN(Registro!$E272))),({1,2,3,4,5,6,7,8,9,10,11,12,13,14,15,16,17,18,19,20,21,22,23,24,25,26,27,28,29,30}-1)*LEN(Registro!$E272)+1,LEN(Registro!$E272)))&amp;"x")+1,20))),"Revisar formato")))</f>
        <v/>
      </c>
      <c r="F272" s="23" t="str">
        <f>IF(Registro!$F272="","",IF(ISERROR(FIND("x",LOWER(Registro!$F272))),"-",IFERROR(SUMPRODUCT(--("0"&amp;LEFT(TRIM(MID(SUBSTITUTE(SUBSTITUTE(SUBSTITUTE(SUBSTITUTE(SUBSTITUTE(LOWER(Registro!$F272)," ",""),CHAR(10),"|"),";","|"),"+","|"),"|",REPT(" ",LEN(Registro!$F272))),({1,2,3,4,5,6,7,8,9,10,11,12,13,14,15,16,17,18,19,20,21,22,23,24,25,26,27,28,29,30}-1)*LEN(Registro!$F272)+1,LEN(Registro!$F272))),FIND("x",TRIM(MID(SUBSTITUTE(SUBSTITUTE(SUBSTITUTE(SUBSTITUTE(SUBSTITUTE(LOWER(Registro!$F272)," ",""),CHAR(10),"|"),";","|"),"+","|"),"|",REPT(" ",LEN(Registro!$F272))),({1,2,3,4,5,6,7,8,9,10,11,12,13,14,15,16,17,18,19,20,21,22,23,24,25,26,27,28,29,30}-1)*LEN(Registro!$F272)+1,LEN(Registro!$F272)))&amp;"x")-1))),"Revisar formato")))</f>
        <v/>
      </c>
      <c r="G272" s="24" t="str">
        <f>IF(Registro!$F272="","",IF(ISERROR(FIND("x",LOWER(Registro!$F272))),N(Registro!$G272),IFERROR(SUMPRODUCT(--("0"&amp;LEFT(TRIM(MID(SUBSTITUTE(SUBSTITUTE(SUBSTITUTE(SUBSTITUTE(SUBSTITUTE(LOWER(Registro!$F272)," ",""),CHAR(10),"|"),";","|"),"+","|"),"|",REPT(" ",LEN(Registro!$F272))),({1,2,3,4,5,6,7,8,9,10,11,12,13,14,15,16,17,18,19,20,21,22,23,24,25,26,27,28,29,30}-1)*LEN(Registro!$F272)+1,LEN(Registro!$F272))),FIND("x",TRIM(MID(SUBSTITUTE(SUBSTITUTE(SUBSTITUTE(SUBSTITUTE(SUBSTITUTE(LOWER(Registro!$F272)," ",""),CHAR(10),"|"),";","|"),"+","|"),"|",REPT(" ",LEN(Registro!$F272))),({1,2,3,4,5,6,7,8,9,10,11,12,13,14,15,16,17,18,19,20,21,22,23,24,25,26,27,28,29,30}-1)*LEN(Registro!$F272)+1,LEN(Registro!$F272)))&amp;"x")-1)),--("0"&amp;MID(TRIM(MID(SUBSTITUTE(SUBSTITUTE(SUBSTITUTE(SUBSTITUTE(SUBSTITUTE(LOWER(Registro!$F272)," ",""),CHAR(10),"|"),";","|"),"+","|"),"|",REPT(" ",LEN(Registro!$F272))),({1,2,3,4,5,6,7,8,9,10,11,12,13,14,15,16,17,18,19,20,21,22,23,24,25,26,27,28,29,30}-1)*LEN(Registro!$F272)+1,LEN(Registro!$F272))),FIND("x",TRIM(MID(SUBSTITUTE(SUBSTITUTE(SUBSTITUTE(SUBSTITUTE(SUBSTITUTE(LOWER(Registro!$F272)," ",""),CHAR(10),"|"),";","|"),"+","|"),"|",REPT(" ",LEN(Registro!$F272))),({1,2,3,4,5,6,7,8,9,10,11,12,13,14,15,16,17,18,19,20,21,22,23,24,25,26,27,28,29,30}-1)*LEN(Registro!$F272)+1,LEN(Registro!$F272)))&amp;"x")+1,20))),"Revisar formato")))</f>
        <v/>
      </c>
      <c r="H272" s="21" t="str">
        <f>IF(AND(Registro!$E272="",Registro!$F272=""),"",IF(NOT(AND(ISNUMBER(G272),ISNUMBER(Registro!$G272))),"",IF(G272&lt;Registro!$G272,"FALTA BOLETOS",IF(G272=Registro!$G272,"CONFORME","DIFERENCIA"))))</f>
        <v/>
      </c>
      <c r="I272" s="24" t="str">
        <f>IF(Registro!$H272="","",IFERROR(SUMPRODUCT(--("0"&amp;TRIM(RIGHT(SUBSTITUTE(TRIM(MID(SUBSTITUTE(SUBSTITUTE(Registro!$H272,";",CHAR(10)),CHAR(10),REPT(" ",LEN(Registro!$H272))),({1,2,3,4,5,6,7,8,9,10,11,12,13,14,15,16,17,18,19,20,21,22,23,24,25,26,27,28,29,30}-1)*LEN(Registro!$H272)+1,LEN(Registro!$H272)))," ",REPT(" ",50)),50)))),"Revisar formato"))</f>
        <v/>
      </c>
      <c r="J272" s="24" t="str">
        <f>IF(Registro!$I272="","",IFERROR(SUMPRODUCT(--("0"&amp;TRIM(RIGHT(SUBSTITUTE(TRIM(MID(SUBSTITUTE(SUBSTITUTE(Registro!$I272,";",CHAR(10)),CHAR(10),REPT(" ",LEN(Registro!$I272))),({1,2,3,4,5,6,7,8,9,10,11,12,13,14,15,16,17,18,19,20,21,22,23,24,25,26,27,28,29,30}-1)*LEN(Registro!$I272)+1,LEN(Registro!$I272)))," ",REPT(" ",50)),50)))),"Revisar formato"))</f>
        <v/>
      </c>
      <c r="K272" s="24" t="str">
        <f>IF(AND(Registro!$G272="",Registro!$H272=""),"",IF(AND(ISTEXT(I272),I272&lt;&gt;""),"Revisar formato",N(Registro!$G272)-N(I272)))</f>
        <v/>
      </c>
      <c r="L272" s="24" t="str">
        <f t="shared" si="9"/>
        <v/>
      </c>
      <c r="M272" s="36" t="str">
        <f>IF(AND(A272=Consulta!$B$3,C272=Consulta!$H$3),B272*10000+ROW(),"")</f>
        <v/>
      </c>
    </row>
    <row r="273" spans="1:13" x14ac:dyDescent="0.25">
      <c r="A273" s="21" t="str">
        <f>IF(Registro!$A273="","",Registro!$A273)</f>
        <v/>
      </c>
      <c r="B273" s="20" t="str">
        <f>IF(Registro!$B273="","",Registro!$B273)</f>
        <v/>
      </c>
      <c r="C273" s="35" t="str">
        <f t="shared" si="8"/>
        <v/>
      </c>
      <c r="D273" s="23" t="str">
        <f>IF(Registro!$E273="","",IF(ISERROR(FIND("x",LOWER(Registro!$E273))),"-",IFERROR(SUMPRODUCT(--("0"&amp;LEFT(TRIM(MID(SUBSTITUTE(SUBSTITUTE(SUBSTITUTE(SUBSTITUTE(SUBSTITUTE(LOWER(Registro!$E273),"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",LEN(Registro!$E273))),({1,2,3,4,5,6,7,8,9,10,11,12,13,14,15,16,17,18,19,20,21,22,23,24,25,26,27,28,29,30}-1)*LEN(Registro!$E273)+1,LEN(Registro!$E273))),FIND("x",TRIM(MID(SUBSTITUTE(SUBSTITUTE(SUBSTITUTE(SUBSTITUTE(SUBSTITUTE(LOWER(Registro!$E273),"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",LEN(Registro!$E273))),({1,2,3,4,5,6,7,8,9,10,11,12,13,14,15,16,17,18,19,20,21,22,23,24,25,26,27,28,29,30}-1)*LEN(Registro!$E273)+1,LEN(Registro!$E273)))&amp;"x")-1))),"Revisar formato")))</f>
        <v/>
      </c>
      <c r="E273" s="24" t="str">
        <f>IF(Registro!$E273="","",IF(ISERROR(FIND("x",LOWER(Registro!$E273))),"-",IFERROR(SUMPRODUCT(--("0"&amp;LEFT(TRIM(MID(SUBSTITUTE(SUBSTITUTE(SUBSTITUTE(SUBSTITUTE(SUBSTITUTE(LOWER(Registro!$E273),"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",LEN(Registro!$E273))),({1,2,3,4,5,6,7,8,9,10,11,12,13,14,15,16,17,18,19,20,21,22,23,24,25,26,27,28,29,30}-1)*LEN(Registro!$E273)+1,LEN(Registro!$E273))),FIND("x",TRIM(MID(SUBSTITUTE(SUBSTITUTE(SUBSTITUTE(SUBSTITUTE(SUBSTITUTE(LOWER(Registro!$E273),"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",LEN(Registro!$E273))),({1,2,3,4,5,6,7,8,9,10,11,12,13,14,15,16,17,18,19,20,21,22,23,24,25,26,27,28,29,30}-1)*LEN(Registro!$E273)+1,LEN(Registro!$E273)))&amp;"x")-1)),--("0"&amp;MID(TRIM(MID(SUBSTITUTE(SUBSTITUTE(SUBSTITUTE(SUBSTITUTE(SUBSTITUTE(LOWER(Registro!$E273),"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",LEN(Registro!$E273))),({1,2,3,4,5,6,7,8,9,10,11,12,13,14,15,16,17,18,19,20,21,22,23,24,25,26,27,28,29,30}-1)*LEN(Registro!$E273)+1,LEN(Registro!$E273))),FIND("x",TRIM(MID(SUBSTITUTE(SUBSTITUTE(SUBSTITUTE(SUBSTITUTE(SUBSTITUTE(LOWER(Registro!$E273),"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",LEN(Registro!$E273))),({1,2,3,4,5,6,7,8,9,10,11,12,13,14,15,16,17,18,19,20,21,22,23,24,25,26,27,28,29,30}-1)*LEN(Registro!$E273)+1,LEN(Registro!$E273)))&amp;"x")+1,20))),"Revisar formato")))</f>
        <v/>
      </c>
      <c r="F273" s="23" t="str">
        <f>IF(Registro!$F273="","",IF(ISERROR(FIND("x",LOWER(Registro!$F273))),"-",IFERROR(SUMPRODUCT(--("0"&amp;LEFT(TRIM(MID(SUBSTITUTE(SUBSTITUTE(SUBSTITUTE(SUBSTITUTE(SUBSTITUTE(LOWER(Registro!$F273)," ",""),CHAR(10),"|"),";","|"),"+","|"),"|",REPT(" ",LEN(Registro!$F273))),({1,2,3,4,5,6,7,8,9,10,11,12,13,14,15,16,17,18,19,20,21,22,23,24,25,26,27,28,29,30}-1)*LEN(Registro!$F273)+1,LEN(Registro!$F273))),FIND("x",TRIM(MID(SUBSTITUTE(SUBSTITUTE(SUBSTITUTE(SUBSTITUTE(SUBSTITUTE(LOWER(Registro!$F273)," ",""),CHAR(10),"|"),";","|"),"+","|"),"|",REPT(" ",LEN(Registro!$F273))),({1,2,3,4,5,6,7,8,9,10,11,12,13,14,15,16,17,18,19,20,21,22,23,24,25,26,27,28,29,30}-1)*LEN(Registro!$F273)+1,LEN(Registro!$F273)))&amp;"x")-1))),"Revisar formato")))</f>
        <v/>
      </c>
      <c r="G273" s="24" t="str">
        <f>IF(Registro!$F273="","",IF(ISERROR(FIND("x",LOWER(Registro!$F273))),N(Registro!$G273),IFERROR(SUMPRODUCT(--("0"&amp;LEFT(TRIM(MID(SUBSTITUTE(SUBSTITUTE(SUBSTITUTE(SUBSTITUTE(SUBSTITUTE(LOWER(Registro!$F273)," ",""),CHAR(10),"|"),";","|"),"+","|"),"|",REPT(" ",LEN(Registro!$F273))),({1,2,3,4,5,6,7,8,9,10,11,12,13,14,15,16,17,18,19,20,21,22,23,24,25,26,27,28,29,30}-1)*LEN(Registro!$F273)+1,LEN(Registro!$F273))),FIND("x",TRIM(MID(SUBSTITUTE(SUBSTITUTE(SUBSTITUTE(SUBSTITUTE(SUBSTITUTE(LOWER(Registro!$F273)," ",""),CHAR(10),"|"),";","|"),"+","|"),"|",REPT(" ",LEN(Registro!$F273))),({1,2,3,4,5,6,7,8,9,10,11,12,13,14,15,16,17,18,19,20,21,22,23,24,25,26,27,28,29,30}-1)*LEN(Registro!$F273)+1,LEN(Registro!$F273)))&amp;"x")-1)),--("0"&amp;MID(TRIM(MID(SUBSTITUTE(SUBSTITUTE(SUBSTITUTE(SUBSTITUTE(SUBSTITUTE(LOWER(Registro!$F273)," ",""),CHAR(10),"|"),";","|"),"+","|"),"|",REPT(" ",LEN(Registro!$F273))),({1,2,3,4,5,6,7,8,9,10,11,12,13,14,15,16,17,18,19,20,21,22,23,24,25,26,27,28,29,30}-1)*LEN(Registro!$F273)+1,LEN(Registro!$F273))),FIND("x",TRIM(MID(SUBSTITUTE(SUBSTITUTE(SUBSTITUTE(SUBSTITUTE(SUBSTITUTE(LOWER(Registro!$F273)," ",""),CHAR(10),"|"),";","|"),"+","|"),"|",REPT(" ",LEN(Registro!$F273))),({1,2,3,4,5,6,7,8,9,10,11,12,13,14,15,16,17,18,19,20,21,22,23,24,25,26,27,28,29,30}-1)*LEN(Registro!$F273)+1,LEN(Registro!$F273)))&amp;"x")+1,20))),"Revisar formato")))</f>
        <v/>
      </c>
      <c r="H273" s="21" t="str">
        <f>IF(AND(Registro!$E273="",Registro!$F273=""),"",IF(NOT(AND(ISNUMBER(G273),ISNUMBER(Registro!$G273))),"",IF(G273&lt;Registro!$G273,"FALTA BOLETOS",IF(G273=Registro!$G273,"CONFORME","DIFERENCIA"))))</f>
        <v/>
      </c>
      <c r="I273" s="24" t="str">
        <f>IF(Registro!$H273="","",IFERROR(SUMPRODUCT(--("0"&amp;TRIM(RIGHT(SUBSTITUTE(TRIM(MID(SUBSTITUTE(SUBSTITUTE(Registro!$H273,";",CHAR(10)),CHAR(10),REPT(" ",LEN(Registro!$H273))),({1,2,3,4,5,6,7,8,9,10,11,12,13,14,15,16,17,18,19,20,21,22,23,24,25,26,27,28,29,30}-1)*LEN(Registro!$H273)+1,LEN(Registro!$H273)))," ",REPT(" ",50)),50)))),"Revisar formato"))</f>
        <v/>
      </c>
      <c r="J273" s="24" t="str">
        <f>IF(Registro!$I273="","",IFERROR(SUMPRODUCT(--("0"&amp;TRIM(RIGHT(SUBSTITUTE(TRIM(MID(SUBSTITUTE(SUBSTITUTE(Registro!$I273,";",CHAR(10)),CHAR(10),REPT(" ",LEN(Registro!$I273))),({1,2,3,4,5,6,7,8,9,10,11,12,13,14,15,16,17,18,19,20,21,22,23,24,25,26,27,28,29,30}-1)*LEN(Registro!$I273)+1,LEN(Registro!$I273)))," ",REPT(" ",50)),50)))),"Revisar formato"))</f>
        <v/>
      </c>
      <c r="K273" s="24" t="str">
        <f>IF(AND(Registro!$G273="",Registro!$H273=""),"",IF(AND(ISTEXT(I273),I273&lt;&gt;""),"Revisar formato",N(Registro!$G273)-N(I273)))</f>
        <v/>
      </c>
      <c r="L273" s="24" t="str">
        <f t="shared" si="9"/>
        <v/>
      </c>
      <c r="M273" s="36" t="str">
        <f>IF(AND(A273=Consulta!$B$3,C273=Consulta!$H$3),B273*10000+ROW(),"")</f>
        <v/>
      </c>
    </row>
    <row r="274" spans="1:13" x14ac:dyDescent="0.25">
      <c r="A274" s="21" t="str">
        <f>IF(Registro!$A274="","",Registro!$A274)</f>
        <v/>
      </c>
      <c r="B274" s="20" t="str">
        <f>IF(Registro!$B274="","",Registro!$B274)</f>
        <v/>
      </c>
      <c r="C274" s="35" t="str">
        <f t="shared" si="8"/>
        <v/>
      </c>
      <c r="D274" s="23" t="str">
        <f>IF(Registro!$E274="","",IF(ISERROR(FIND("x",LOWER(Registro!$E274))),"-",IFERROR(SUMPRODUCT(--("0"&amp;LEFT(TRIM(MID(SUBSTITUTE(SUBSTITUTE(SUBSTITUTE(SUBSTITUTE(SUBSTITUTE(LOWER(Registro!$E274),"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",LEN(Registro!$E274))),({1,2,3,4,5,6,7,8,9,10,11,12,13,14,15,16,17,18,19,20,21,22,23,24,25,26,27,28,29,30}-1)*LEN(Registro!$E274)+1,LEN(Registro!$E274))),FIND("x",TRIM(MID(SUBSTITUTE(SUBSTITUTE(SUBSTITUTE(SUBSTITUTE(SUBSTITUTE(LOWER(Registro!$E274),"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",LEN(Registro!$E274))),({1,2,3,4,5,6,7,8,9,10,11,12,13,14,15,16,17,18,19,20,21,22,23,24,25,26,27,28,29,30}-1)*LEN(Registro!$E274)+1,LEN(Registro!$E274)))&amp;"x")-1))),"Revisar formato")))</f>
        <v/>
      </c>
      <c r="E274" s="24" t="str">
        <f>IF(Registro!$E274="","",IF(ISERROR(FIND("x",LOWER(Registro!$E274))),"-",IFERROR(SUMPRODUCT(--("0"&amp;LEFT(TRIM(MID(SUBSTITUTE(SUBSTITUTE(SUBSTITUTE(SUBSTITUTE(SUBSTITUTE(LOWER(Registro!$E274),"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",LEN(Registro!$E274))),({1,2,3,4,5,6,7,8,9,10,11,12,13,14,15,16,17,18,19,20,21,22,23,24,25,26,27,28,29,30}-1)*LEN(Registro!$E274)+1,LEN(Registro!$E274))),FIND("x",TRIM(MID(SUBSTITUTE(SUBSTITUTE(SUBSTITUTE(SUBSTITUTE(SUBSTITUTE(LOWER(Registro!$E274),"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",LEN(Registro!$E274))),({1,2,3,4,5,6,7,8,9,10,11,12,13,14,15,16,17,18,19,20,21,22,23,24,25,26,27,28,29,30}-1)*LEN(Registro!$E274)+1,LEN(Registro!$E274)))&amp;"x")-1)),--("0"&amp;MID(TRIM(MID(SUBSTITUTE(SUBSTITUTE(SUBSTITUTE(SUBSTITUTE(SUBSTITUTE(LOWER(Registro!$E274),"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",LEN(Registro!$E274))),({1,2,3,4,5,6,7,8,9,10,11,12,13,14,15,16,17,18,19,20,21,22,23,24,25,26,27,28,29,30}-1)*LEN(Registro!$E274)+1,LEN(Registro!$E274))),FIND("x",TRIM(MID(SUBSTITUTE(SUBSTITUTE(SUBSTITUTE(SUBSTITUTE(SUBSTITUTE(LOWER(Registro!$E274),"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",LEN(Registro!$E274))),({1,2,3,4,5,6,7,8,9,10,11,12,13,14,15,16,17,18,19,20,21,22,23,24,25,26,27,28,29,30}-1)*LEN(Registro!$E274)+1,LEN(Registro!$E274)))&amp;"x")+1,20))),"Revisar formato")))</f>
        <v/>
      </c>
      <c r="F274" s="23" t="str">
        <f>IF(Registro!$F274="","",IF(ISERROR(FIND("x",LOWER(Registro!$F274))),"-",IFERROR(SUMPRODUCT(--("0"&amp;LEFT(TRIM(MID(SUBSTITUTE(SUBSTITUTE(SUBSTITUTE(SUBSTITUTE(SUBSTITUTE(LOWER(Registro!$F274)," ",""),CHAR(10),"|"),";","|"),"+","|"),"|",REPT(" ",LEN(Registro!$F274))),({1,2,3,4,5,6,7,8,9,10,11,12,13,14,15,16,17,18,19,20,21,22,23,24,25,26,27,28,29,30}-1)*LEN(Registro!$F274)+1,LEN(Registro!$F274))),FIND("x",TRIM(MID(SUBSTITUTE(SUBSTITUTE(SUBSTITUTE(SUBSTITUTE(SUBSTITUTE(LOWER(Registro!$F274)," ",""),CHAR(10),"|"),";","|"),"+","|"),"|",REPT(" ",LEN(Registro!$F274))),({1,2,3,4,5,6,7,8,9,10,11,12,13,14,15,16,17,18,19,20,21,22,23,24,25,26,27,28,29,30}-1)*LEN(Registro!$F274)+1,LEN(Registro!$F274)))&amp;"x")-1))),"Revisar formato")))</f>
        <v/>
      </c>
      <c r="G274" s="24" t="str">
        <f>IF(Registro!$F274="","",IF(ISERROR(FIND("x",LOWER(Registro!$F274))),N(Registro!$G274),IFERROR(SUMPRODUCT(--("0"&amp;LEFT(TRIM(MID(SUBSTITUTE(SUBSTITUTE(SUBSTITUTE(SUBSTITUTE(SUBSTITUTE(LOWER(Registro!$F274)," ",""),CHAR(10),"|"),";","|"),"+","|"),"|",REPT(" ",LEN(Registro!$F274))),({1,2,3,4,5,6,7,8,9,10,11,12,13,14,15,16,17,18,19,20,21,22,23,24,25,26,27,28,29,30}-1)*LEN(Registro!$F274)+1,LEN(Registro!$F274))),FIND("x",TRIM(MID(SUBSTITUTE(SUBSTITUTE(SUBSTITUTE(SUBSTITUTE(SUBSTITUTE(LOWER(Registro!$F274)," ",""),CHAR(10),"|"),";","|"),"+","|"),"|",REPT(" ",LEN(Registro!$F274))),({1,2,3,4,5,6,7,8,9,10,11,12,13,14,15,16,17,18,19,20,21,22,23,24,25,26,27,28,29,30}-1)*LEN(Registro!$F274)+1,LEN(Registro!$F274)))&amp;"x")-1)),--("0"&amp;MID(TRIM(MID(SUBSTITUTE(SUBSTITUTE(SUBSTITUTE(SUBSTITUTE(SUBSTITUTE(LOWER(Registro!$F274)," ",""),CHAR(10),"|"),";","|"),"+","|"),"|",REPT(" ",LEN(Registro!$F274))),({1,2,3,4,5,6,7,8,9,10,11,12,13,14,15,16,17,18,19,20,21,22,23,24,25,26,27,28,29,30}-1)*LEN(Registro!$F274)+1,LEN(Registro!$F274))),FIND("x",TRIM(MID(SUBSTITUTE(SUBSTITUTE(SUBSTITUTE(SUBSTITUTE(SUBSTITUTE(LOWER(Registro!$F274)," ",""),CHAR(10),"|"),";","|"),"+","|"),"|",REPT(" ",LEN(Registro!$F274))),({1,2,3,4,5,6,7,8,9,10,11,12,13,14,15,16,17,18,19,20,21,22,23,24,25,26,27,28,29,30}-1)*LEN(Registro!$F274)+1,LEN(Registro!$F274)))&amp;"x")+1,20))),"Revisar formato")))</f>
        <v/>
      </c>
      <c r="H274" s="21" t="str">
        <f>IF(AND(Registro!$E274="",Registro!$F274=""),"",IF(NOT(AND(ISNUMBER(G274),ISNUMBER(Registro!$G274))),"",IF(G274&lt;Registro!$G274,"FALTA BOLETOS",IF(G274=Registro!$G274,"CONFORME","DIFERENCIA"))))</f>
        <v/>
      </c>
      <c r="I274" s="24" t="str">
        <f>IF(Registro!$H274="","",IFERROR(SUMPRODUCT(--("0"&amp;TRIM(RIGHT(SUBSTITUTE(TRIM(MID(SUBSTITUTE(SUBSTITUTE(Registro!$H274,";",CHAR(10)),CHAR(10),REPT(" ",LEN(Registro!$H274))),({1,2,3,4,5,6,7,8,9,10,11,12,13,14,15,16,17,18,19,20,21,22,23,24,25,26,27,28,29,30}-1)*LEN(Registro!$H274)+1,LEN(Registro!$H274)))," ",REPT(" ",50)),50)))),"Revisar formato"))</f>
        <v/>
      </c>
      <c r="J274" s="24" t="str">
        <f>IF(Registro!$I274="","",IFERROR(SUMPRODUCT(--("0"&amp;TRIM(RIGHT(SUBSTITUTE(TRIM(MID(SUBSTITUTE(SUBSTITUTE(Registro!$I274,";",CHAR(10)),CHAR(10),REPT(" ",LEN(Registro!$I274))),({1,2,3,4,5,6,7,8,9,10,11,12,13,14,15,16,17,18,19,20,21,22,23,24,25,26,27,28,29,30}-1)*LEN(Registro!$I274)+1,LEN(Registro!$I274)))," ",REPT(" ",50)),50)))),"Revisar formato"))</f>
        <v/>
      </c>
      <c r="K274" s="24" t="str">
        <f>IF(AND(Registro!$G274="",Registro!$H274=""),"",IF(AND(ISTEXT(I274),I274&lt;&gt;""),"Revisar formato",N(Registro!$G274)-N(I274)))</f>
        <v/>
      </c>
      <c r="L274" s="24" t="str">
        <f t="shared" si="9"/>
        <v/>
      </c>
      <c r="M274" s="36" t="str">
        <f>IF(AND(A274=Consulta!$B$3,C274=Consulta!$H$3),B274*10000+ROW(),"")</f>
        <v/>
      </c>
    </row>
    <row r="275" spans="1:13" x14ac:dyDescent="0.25">
      <c r="A275" s="21" t="str">
        <f>IF(Registro!$A275="","",Registro!$A275)</f>
        <v/>
      </c>
      <c r="B275" s="20" t="str">
        <f>IF(Registro!$B275="","",Registro!$B275)</f>
        <v/>
      </c>
      <c r="C275" s="35" t="str">
        <f t="shared" si="8"/>
        <v/>
      </c>
      <c r="D275" s="23" t="str">
        <f>IF(Registro!$E275="","",IF(ISERROR(FIND("x",LOWER(Registro!$E275))),"-",IFERROR(SUMPRODUCT(--("0"&amp;LEFT(TRIM(MID(SUBSTITUTE(SUBSTITUTE(SUBSTITUTE(SUBSTITUTE(SUBSTITUTE(LOWER(Registro!$E275),"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",LEN(Registro!$E275))),({1,2,3,4,5,6,7,8,9,10,11,12,13,14,15,16,17,18,19,20,21,22,23,24,25,26,27,28,29,30}-1)*LEN(Registro!$E275)+1,LEN(Registro!$E275))),FIND("x",TRIM(MID(SUBSTITUTE(SUBSTITUTE(SUBSTITUTE(SUBSTITUTE(SUBSTITUTE(LOWER(Registro!$E275),"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",LEN(Registro!$E275))),({1,2,3,4,5,6,7,8,9,10,11,12,13,14,15,16,17,18,19,20,21,22,23,24,25,26,27,28,29,30}-1)*LEN(Registro!$E275)+1,LEN(Registro!$E275)))&amp;"x")-1))),"Revisar formato")))</f>
        <v/>
      </c>
      <c r="E275" s="24" t="str">
        <f>IF(Registro!$E275="","",IF(ISERROR(FIND("x",LOWER(Registro!$E275))),"-",IFERROR(SUMPRODUCT(--("0"&amp;LEFT(TRIM(MID(SUBSTITUTE(SUBSTITUTE(SUBSTITUTE(SUBSTITUTE(SUBSTITUTE(LOWER(Registro!$E275),"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",LEN(Registro!$E275))),({1,2,3,4,5,6,7,8,9,10,11,12,13,14,15,16,17,18,19,20,21,22,23,24,25,26,27,28,29,30}-1)*LEN(Registro!$E275)+1,LEN(Registro!$E275))),FIND("x",TRIM(MID(SUBSTITUTE(SUBSTITUTE(SUBSTITUTE(SUBSTITUTE(SUBSTITUTE(LOWER(Registro!$E275),"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",LEN(Registro!$E275))),({1,2,3,4,5,6,7,8,9,10,11,12,13,14,15,16,17,18,19,20,21,22,23,24,25,26,27,28,29,30}-1)*LEN(Registro!$E275)+1,LEN(Registro!$E275)))&amp;"x")-1)),--("0"&amp;MID(TRIM(MID(SUBSTITUTE(SUBSTITUTE(SUBSTITUTE(SUBSTITUTE(SUBSTITUTE(LOWER(Registro!$E275),"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",LEN(Registro!$E275))),({1,2,3,4,5,6,7,8,9,10,11,12,13,14,15,16,17,18,19,20,21,22,23,24,25,26,27,28,29,30}-1)*LEN(Registro!$E275)+1,LEN(Registro!$E275))),FIND("x",TRIM(MID(SUBSTITUTE(SUBSTITUTE(SUBSTITUTE(SUBSTITUTE(SUBSTITUTE(LOWER(Registro!$E275),"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",LEN(Registro!$E275))),({1,2,3,4,5,6,7,8,9,10,11,12,13,14,15,16,17,18,19,20,21,22,23,24,25,26,27,28,29,30}-1)*LEN(Registro!$E275)+1,LEN(Registro!$E275)))&amp;"x")+1,20))),"Revisar formato")))</f>
        <v/>
      </c>
      <c r="F275" s="23" t="str">
        <f>IF(Registro!$F275="","",IF(ISERROR(FIND("x",LOWER(Registro!$F275))),"-",IFERROR(SUMPRODUCT(--("0"&amp;LEFT(TRIM(MID(SUBSTITUTE(SUBSTITUTE(SUBSTITUTE(SUBSTITUTE(SUBSTITUTE(LOWER(Registro!$F275)," ",""),CHAR(10),"|"),";","|"),"+","|"),"|",REPT(" ",LEN(Registro!$F275))),({1,2,3,4,5,6,7,8,9,10,11,12,13,14,15,16,17,18,19,20,21,22,23,24,25,26,27,28,29,30}-1)*LEN(Registro!$F275)+1,LEN(Registro!$F275))),FIND("x",TRIM(MID(SUBSTITUTE(SUBSTITUTE(SUBSTITUTE(SUBSTITUTE(SUBSTITUTE(LOWER(Registro!$F275)," ",""),CHAR(10),"|"),";","|"),"+","|"),"|",REPT(" ",LEN(Registro!$F275))),({1,2,3,4,5,6,7,8,9,10,11,12,13,14,15,16,17,18,19,20,21,22,23,24,25,26,27,28,29,30}-1)*LEN(Registro!$F275)+1,LEN(Registro!$F275)))&amp;"x")-1))),"Revisar formato")))</f>
        <v/>
      </c>
      <c r="G275" s="24" t="str">
        <f>IF(Registro!$F275="","",IF(ISERROR(FIND("x",LOWER(Registro!$F275))),N(Registro!$G275),IFERROR(SUMPRODUCT(--("0"&amp;LEFT(TRIM(MID(SUBSTITUTE(SUBSTITUTE(SUBSTITUTE(SUBSTITUTE(SUBSTITUTE(LOWER(Registro!$F275)," ",""),CHAR(10),"|"),";","|"),"+","|"),"|",REPT(" ",LEN(Registro!$F275))),({1,2,3,4,5,6,7,8,9,10,11,12,13,14,15,16,17,18,19,20,21,22,23,24,25,26,27,28,29,30}-1)*LEN(Registro!$F275)+1,LEN(Registro!$F275))),FIND("x",TRIM(MID(SUBSTITUTE(SUBSTITUTE(SUBSTITUTE(SUBSTITUTE(SUBSTITUTE(LOWER(Registro!$F275)," ",""),CHAR(10),"|"),";","|"),"+","|"),"|",REPT(" ",LEN(Registro!$F275))),({1,2,3,4,5,6,7,8,9,10,11,12,13,14,15,16,17,18,19,20,21,22,23,24,25,26,27,28,29,30}-1)*LEN(Registro!$F275)+1,LEN(Registro!$F275)))&amp;"x")-1)),--("0"&amp;MID(TRIM(MID(SUBSTITUTE(SUBSTITUTE(SUBSTITUTE(SUBSTITUTE(SUBSTITUTE(LOWER(Registro!$F275)," ",""),CHAR(10),"|"),";","|"),"+","|"),"|",REPT(" ",LEN(Registro!$F275))),({1,2,3,4,5,6,7,8,9,10,11,12,13,14,15,16,17,18,19,20,21,22,23,24,25,26,27,28,29,30}-1)*LEN(Registro!$F275)+1,LEN(Registro!$F275))),FIND("x",TRIM(MID(SUBSTITUTE(SUBSTITUTE(SUBSTITUTE(SUBSTITUTE(SUBSTITUTE(LOWER(Registro!$F275)," ",""),CHAR(10),"|"),";","|"),"+","|"),"|",REPT(" ",LEN(Registro!$F275))),({1,2,3,4,5,6,7,8,9,10,11,12,13,14,15,16,17,18,19,20,21,22,23,24,25,26,27,28,29,30}-1)*LEN(Registro!$F275)+1,LEN(Registro!$F275)))&amp;"x")+1,20))),"Revisar formato")))</f>
        <v/>
      </c>
      <c r="H275" s="21" t="str">
        <f>IF(AND(Registro!$E275="",Registro!$F275=""),"",IF(NOT(AND(ISNUMBER(G275),ISNUMBER(Registro!$G275))),"",IF(G275&lt;Registro!$G275,"FALTA BOLETOS",IF(G275=Registro!$G275,"CONFORME","DIFERENCIA"))))</f>
        <v/>
      </c>
      <c r="I275" s="24" t="str">
        <f>IF(Registro!$H275="","",IFERROR(SUMPRODUCT(--("0"&amp;TRIM(RIGHT(SUBSTITUTE(TRIM(MID(SUBSTITUTE(SUBSTITUTE(Registro!$H275,";",CHAR(10)),CHAR(10),REPT(" ",LEN(Registro!$H275))),({1,2,3,4,5,6,7,8,9,10,11,12,13,14,15,16,17,18,19,20,21,22,23,24,25,26,27,28,29,30}-1)*LEN(Registro!$H275)+1,LEN(Registro!$H275)))," ",REPT(" ",50)),50)))),"Revisar formato"))</f>
        <v/>
      </c>
      <c r="J275" s="24" t="str">
        <f>IF(Registro!$I275="","",IFERROR(SUMPRODUCT(--("0"&amp;TRIM(RIGHT(SUBSTITUTE(TRIM(MID(SUBSTITUTE(SUBSTITUTE(Registro!$I275,";",CHAR(10)),CHAR(10),REPT(" ",LEN(Registro!$I275))),({1,2,3,4,5,6,7,8,9,10,11,12,13,14,15,16,17,18,19,20,21,22,23,24,25,26,27,28,29,30}-1)*LEN(Registro!$I275)+1,LEN(Registro!$I275)))," ",REPT(" ",50)),50)))),"Revisar formato"))</f>
        <v/>
      </c>
      <c r="K275" s="24" t="str">
        <f>IF(AND(Registro!$G275="",Registro!$H275=""),"",IF(AND(ISTEXT(I275),I275&lt;&gt;""),"Revisar formato",N(Registro!$G275)-N(I275)))</f>
        <v/>
      </c>
      <c r="L275" s="24" t="str">
        <f t="shared" si="9"/>
        <v/>
      </c>
      <c r="M275" s="36" t="str">
        <f>IF(AND(A275=Consulta!$B$3,C275=Consulta!$H$3),B275*10000+ROW(),"")</f>
        <v/>
      </c>
    </row>
    <row r="276" spans="1:13" x14ac:dyDescent="0.25">
      <c r="A276" s="21" t="str">
        <f>IF(Registro!$A276="","",Registro!$A276)</f>
        <v/>
      </c>
      <c r="B276" s="20" t="str">
        <f>IF(Registro!$B276="","",Registro!$B276)</f>
        <v/>
      </c>
      <c r="C276" s="35" t="str">
        <f t="shared" si="8"/>
        <v/>
      </c>
      <c r="D276" s="23" t="str">
        <f>IF(Registro!$E276="","",IF(ISERROR(FIND("x",LOWER(Registro!$E276))),"-",IFERROR(SUMPRODUCT(--("0"&amp;LEFT(TRIM(MID(SUBSTITUTE(SUBSTITUTE(SUBSTITUTE(SUBSTITUTE(SUBSTITUTE(LOWER(Registro!$E276),"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",LEN(Registro!$E276))),({1,2,3,4,5,6,7,8,9,10,11,12,13,14,15,16,17,18,19,20,21,22,23,24,25,26,27,28,29,30}-1)*LEN(Registro!$E276)+1,LEN(Registro!$E276))),FIND("x",TRIM(MID(SUBSTITUTE(SUBSTITUTE(SUBSTITUTE(SUBSTITUTE(SUBSTITUTE(LOWER(Registro!$E276),"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",LEN(Registro!$E276))),({1,2,3,4,5,6,7,8,9,10,11,12,13,14,15,16,17,18,19,20,21,22,23,24,25,26,27,28,29,30}-1)*LEN(Registro!$E276)+1,LEN(Registro!$E276)))&amp;"x")-1))),"Revisar formato")))</f>
        <v/>
      </c>
      <c r="E276" s="24" t="str">
        <f>IF(Registro!$E276="","",IF(ISERROR(FIND("x",LOWER(Registro!$E276))),"-",IFERROR(SUMPRODUCT(--("0"&amp;LEFT(TRIM(MID(SUBSTITUTE(SUBSTITUTE(SUBSTITUTE(SUBSTITUTE(SUBSTITUTE(LOWER(Registro!$E276),"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",LEN(Registro!$E276))),({1,2,3,4,5,6,7,8,9,10,11,12,13,14,15,16,17,18,19,20,21,22,23,24,25,26,27,28,29,30}-1)*LEN(Registro!$E276)+1,LEN(Registro!$E276))),FIND("x",TRIM(MID(SUBSTITUTE(SUBSTITUTE(SUBSTITUTE(SUBSTITUTE(SUBSTITUTE(LOWER(Registro!$E276),"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",LEN(Registro!$E276))),({1,2,3,4,5,6,7,8,9,10,11,12,13,14,15,16,17,18,19,20,21,22,23,24,25,26,27,28,29,30}-1)*LEN(Registro!$E276)+1,LEN(Registro!$E276)))&amp;"x")-1)),--("0"&amp;MID(TRIM(MID(SUBSTITUTE(SUBSTITUTE(SUBSTITUTE(SUBSTITUTE(SUBSTITUTE(LOWER(Registro!$E276),"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",LEN(Registro!$E276))),({1,2,3,4,5,6,7,8,9,10,11,12,13,14,15,16,17,18,19,20,21,22,23,24,25,26,27,28,29,30}-1)*LEN(Registro!$E276)+1,LEN(Registro!$E276))),FIND("x",TRIM(MID(SUBSTITUTE(SUBSTITUTE(SUBSTITUTE(SUBSTITUTE(SUBSTITUTE(LOWER(Registro!$E276),"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",LEN(Registro!$E276))),({1,2,3,4,5,6,7,8,9,10,11,12,13,14,15,16,17,18,19,20,21,22,23,24,25,26,27,28,29,30}-1)*LEN(Registro!$E276)+1,LEN(Registro!$E276)))&amp;"x")+1,20))),"Revisar formato")))</f>
        <v/>
      </c>
      <c r="F276" s="23" t="str">
        <f>IF(Registro!$F276="","",IF(ISERROR(FIND("x",LOWER(Registro!$F276))),"-",IFERROR(SUMPRODUCT(--("0"&amp;LEFT(TRIM(MID(SUBSTITUTE(SUBSTITUTE(SUBSTITUTE(SUBSTITUTE(SUBSTITUTE(LOWER(Registro!$F276)," ",""),CHAR(10),"|"),";","|"),"+","|"),"|",REPT(" ",LEN(Registro!$F276))),({1,2,3,4,5,6,7,8,9,10,11,12,13,14,15,16,17,18,19,20,21,22,23,24,25,26,27,28,29,30}-1)*LEN(Registro!$F276)+1,LEN(Registro!$F276))),FIND("x",TRIM(MID(SUBSTITUTE(SUBSTITUTE(SUBSTITUTE(SUBSTITUTE(SUBSTITUTE(LOWER(Registro!$F276)," ",""),CHAR(10),"|"),";","|"),"+","|"),"|",REPT(" ",LEN(Registro!$F276))),({1,2,3,4,5,6,7,8,9,10,11,12,13,14,15,16,17,18,19,20,21,22,23,24,25,26,27,28,29,30}-1)*LEN(Registro!$F276)+1,LEN(Registro!$F276)))&amp;"x")-1))),"Revisar formato")))</f>
        <v/>
      </c>
      <c r="G276" s="24" t="str">
        <f>IF(Registro!$F276="","",IF(ISERROR(FIND("x",LOWER(Registro!$F276))),N(Registro!$G276),IFERROR(SUMPRODUCT(--("0"&amp;LEFT(TRIM(MID(SUBSTITUTE(SUBSTITUTE(SUBSTITUTE(SUBSTITUTE(SUBSTITUTE(LOWER(Registro!$F276)," ",""),CHAR(10),"|"),";","|"),"+","|"),"|",REPT(" ",LEN(Registro!$F276))),({1,2,3,4,5,6,7,8,9,10,11,12,13,14,15,16,17,18,19,20,21,22,23,24,25,26,27,28,29,30}-1)*LEN(Registro!$F276)+1,LEN(Registro!$F276))),FIND("x",TRIM(MID(SUBSTITUTE(SUBSTITUTE(SUBSTITUTE(SUBSTITUTE(SUBSTITUTE(LOWER(Registro!$F276)," ",""),CHAR(10),"|"),";","|"),"+","|"),"|",REPT(" ",LEN(Registro!$F276))),({1,2,3,4,5,6,7,8,9,10,11,12,13,14,15,16,17,18,19,20,21,22,23,24,25,26,27,28,29,30}-1)*LEN(Registro!$F276)+1,LEN(Registro!$F276)))&amp;"x")-1)),--("0"&amp;MID(TRIM(MID(SUBSTITUTE(SUBSTITUTE(SUBSTITUTE(SUBSTITUTE(SUBSTITUTE(LOWER(Registro!$F276)," ",""),CHAR(10),"|"),";","|"),"+","|"),"|",REPT(" ",LEN(Registro!$F276))),({1,2,3,4,5,6,7,8,9,10,11,12,13,14,15,16,17,18,19,20,21,22,23,24,25,26,27,28,29,30}-1)*LEN(Registro!$F276)+1,LEN(Registro!$F276))),FIND("x",TRIM(MID(SUBSTITUTE(SUBSTITUTE(SUBSTITUTE(SUBSTITUTE(SUBSTITUTE(LOWER(Registro!$F276)," ",""),CHAR(10),"|"),";","|"),"+","|"),"|",REPT(" ",LEN(Registro!$F276))),({1,2,3,4,5,6,7,8,9,10,11,12,13,14,15,16,17,18,19,20,21,22,23,24,25,26,27,28,29,30}-1)*LEN(Registro!$F276)+1,LEN(Registro!$F276)))&amp;"x")+1,20))),"Revisar formato")))</f>
        <v/>
      </c>
      <c r="H276" s="21" t="str">
        <f>IF(AND(Registro!$E276="",Registro!$F276=""),"",IF(NOT(AND(ISNUMBER(G276),ISNUMBER(Registro!$G276))),"",IF(G276&lt;Registro!$G276,"FALTA BOLETOS",IF(G276=Registro!$G276,"CONFORME","DIFERENCIA"))))</f>
        <v/>
      </c>
      <c r="I276" s="24" t="str">
        <f>IF(Registro!$H276="","",IFERROR(SUMPRODUCT(--("0"&amp;TRIM(RIGHT(SUBSTITUTE(TRIM(MID(SUBSTITUTE(SUBSTITUTE(Registro!$H276,";",CHAR(10)),CHAR(10),REPT(" ",LEN(Registro!$H276))),({1,2,3,4,5,6,7,8,9,10,11,12,13,14,15,16,17,18,19,20,21,22,23,24,25,26,27,28,29,30}-1)*LEN(Registro!$H276)+1,LEN(Registro!$H276)))," ",REPT(" ",50)),50)))),"Revisar formato"))</f>
        <v/>
      </c>
      <c r="J276" s="24" t="str">
        <f>IF(Registro!$I276="","",IFERROR(SUMPRODUCT(--("0"&amp;TRIM(RIGHT(SUBSTITUTE(TRIM(MID(SUBSTITUTE(SUBSTITUTE(Registro!$I276,";",CHAR(10)),CHAR(10),REPT(" ",LEN(Registro!$I276))),({1,2,3,4,5,6,7,8,9,10,11,12,13,14,15,16,17,18,19,20,21,22,23,24,25,26,27,28,29,30}-1)*LEN(Registro!$I276)+1,LEN(Registro!$I276)))," ",REPT(" ",50)),50)))),"Revisar formato"))</f>
        <v/>
      </c>
      <c r="K276" s="24" t="str">
        <f>IF(AND(Registro!$G276="",Registro!$H276=""),"",IF(AND(ISTEXT(I276),I276&lt;&gt;""),"Revisar formato",N(Registro!$G276)-N(I276)))</f>
        <v/>
      </c>
      <c r="L276" s="24" t="str">
        <f t="shared" si="9"/>
        <v/>
      </c>
      <c r="M276" s="36" t="str">
        <f>IF(AND(A276=Consulta!$B$3,C276=Consulta!$H$3),B276*10000+ROW(),"")</f>
        <v/>
      </c>
    </row>
    <row r="277" spans="1:13" x14ac:dyDescent="0.25">
      <c r="A277" s="21" t="str">
        <f>IF(Registro!$A277="","",Registro!$A277)</f>
        <v/>
      </c>
      <c r="B277" s="20" t="str">
        <f>IF(Registro!$B277="","",Registro!$B277)</f>
        <v/>
      </c>
      <c r="C277" s="35" t="str">
        <f t="shared" si="8"/>
        <v/>
      </c>
      <c r="D277" s="23" t="str">
        <f>IF(Registro!$E277="","",IF(ISERROR(FIND("x",LOWER(Registro!$E277))),"-",IFERROR(SUMPRODUCT(--("0"&amp;LEFT(TRIM(MID(SUBSTITUTE(SUBSTITUTE(SUBSTITUTE(SUBSTITUTE(SUBSTITUTE(LOWER(Registro!$E277),"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",LEN(Registro!$E277))),({1,2,3,4,5,6,7,8,9,10,11,12,13,14,15,16,17,18,19,20,21,22,23,24,25,26,27,28,29,30}-1)*LEN(Registro!$E277)+1,LEN(Registro!$E277))),FIND("x",TRIM(MID(SUBSTITUTE(SUBSTITUTE(SUBSTITUTE(SUBSTITUTE(SUBSTITUTE(LOWER(Registro!$E277),"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",LEN(Registro!$E277))),({1,2,3,4,5,6,7,8,9,10,11,12,13,14,15,16,17,18,19,20,21,22,23,24,25,26,27,28,29,30}-1)*LEN(Registro!$E277)+1,LEN(Registro!$E277)))&amp;"x")-1))),"Revisar formato")))</f>
        <v/>
      </c>
      <c r="E277" s="24" t="str">
        <f>IF(Registro!$E277="","",IF(ISERROR(FIND("x",LOWER(Registro!$E277))),"-",IFERROR(SUMPRODUCT(--("0"&amp;LEFT(TRIM(MID(SUBSTITUTE(SUBSTITUTE(SUBSTITUTE(SUBSTITUTE(SUBSTITUTE(LOWER(Registro!$E277),"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",LEN(Registro!$E277))),({1,2,3,4,5,6,7,8,9,10,11,12,13,14,15,16,17,18,19,20,21,22,23,24,25,26,27,28,29,30}-1)*LEN(Registro!$E277)+1,LEN(Registro!$E277))),FIND("x",TRIM(MID(SUBSTITUTE(SUBSTITUTE(SUBSTITUTE(SUBSTITUTE(SUBSTITUTE(LOWER(Registro!$E277),"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",LEN(Registro!$E277))),({1,2,3,4,5,6,7,8,9,10,11,12,13,14,15,16,17,18,19,20,21,22,23,24,25,26,27,28,29,30}-1)*LEN(Registro!$E277)+1,LEN(Registro!$E277)))&amp;"x")-1)),--("0"&amp;MID(TRIM(MID(SUBSTITUTE(SUBSTITUTE(SUBSTITUTE(SUBSTITUTE(SUBSTITUTE(LOWER(Registro!$E277),"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",LEN(Registro!$E277))),({1,2,3,4,5,6,7,8,9,10,11,12,13,14,15,16,17,18,19,20,21,22,23,24,25,26,27,28,29,30}-1)*LEN(Registro!$E277)+1,LEN(Registro!$E277))),FIND("x",TRIM(MID(SUBSTITUTE(SUBSTITUTE(SUBSTITUTE(SUBSTITUTE(SUBSTITUTE(LOWER(Registro!$E277),"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",LEN(Registro!$E277))),({1,2,3,4,5,6,7,8,9,10,11,12,13,14,15,16,17,18,19,20,21,22,23,24,25,26,27,28,29,30}-1)*LEN(Registro!$E277)+1,LEN(Registro!$E277)))&amp;"x")+1,20))),"Revisar formato")))</f>
        <v/>
      </c>
      <c r="F277" s="23" t="str">
        <f>IF(Registro!$F277="","",IF(ISERROR(FIND("x",LOWER(Registro!$F277))),"-",IFERROR(SUMPRODUCT(--("0"&amp;LEFT(TRIM(MID(SUBSTITUTE(SUBSTITUTE(SUBSTITUTE(SUBSTITUTE(SUBSTITUTE(LOWER(Registro!$F277)," ",""),CHAR(10),"|"),";","|"),"+","|"),"|",REPT(" ",LEN(Registro!$F277))),({1,2,3,4,5,6,7,8,9,10,11,12,13,14,15,16,17,18,19,20,21,22,23,24,25,26,27,28,29,30}-1)*LEN(Registro!$F277)+1,LEN(Registro!$F277))),FIND("x",TRIM(MID(SUBSTITUTE(SUBSTITUTE(SUBSTITUTE(SUBSTITUTE(SUBSTITUTE(LOWER(Registro!$F277)," ",""),CHAR(10),"|"),";","|"),"+","|"),"|",REPT(" ",LEN(Registro!$F277))),({1,2,3,4,5,6,7,8,9,10,11,12,13,14,15,16,17,18,19,20,21,22,23,24,25,26,27,28,29,30}-1)*LEN(Registro!$F277)+1,LEN(Registro!$F277)))&amp;"x")-1))),"Revisar formato")))</f>
        <v/>
      </c>
      <c r="G277" s="24" t="str">
        <f>IF(Registro!$F277="","",IF(ISERROR(FIND("x",LOWER(Registro!$F277))),N(Registro!$G277),IFERROR(SUMPRODUCT(--("0"&amp;LEFT(TRIM(MID(SUBSTITUTE(SUBSTITUTE(SUBSTITUTE(SUBSTITUTE(SUBSTITUTE(LOWER(Registro!$F277)," ",""),CHAR(10),"|"),";","|"),"+","|"),"|",REPT(" ",LEN(Registro!$F277))),({1,2,3,4,5,6,7,8,9,10,11,12,13,14,15,16,17,18,19,20,21,22,23,24,25,26,27,28,29,30}-1)*LEN(Registro!$F277)+1,LEN(Registro!$F277))),FIND("x",TRIM(MID(SUBSTITUTE(SUBSTITUTE(SUBSTITUTE(SUBSTITUTE(SUBSTITUTE(LOWER(Registro!$F277)," ",""),CHAR(10),"|"),";","|"),"+","|"),"|",REPT(" ",LEN(Registro!$F277))),({1,2,3,4,5,6,7,8,9,10,11,12,13,14,15,16,17,18,19,20,21,22,23,24,25,26,27,28,29,30}-1)*LEN(Registro!$F277)+1,LEN(Registro!$F277)))&amp;"x")-1)),--("0"&amp;MID(TRIM(MID(SUBSTITUTE(SUBSTITUTE(SUBSTITUTE(SUBSTITUTE(SUBSTITUTE(LOWER(Registro!$F277)," ",""),CHAR(10),"|"),";","|"),"+","|"),"|",REPT(" ",LEN(Registro!$F277))),({1,2,3,4,5,6,7,8,9,10,11,12,13,14,15,16,17,18,19,20,21,22,23,24,25,26,27,28,29,30}-1)*LEN(Registro!$F277)+1,LEN(Registro!$F277))),FIND("x",TRIM(MID(SUBSTITUTE(SUBSTITUTE(SUBSTITUTE(SUBSTITUTE(SUBSTITUTE(LOWER(Registro!$F277)," ",""),CHAR(10),"|"),";","|"),"+","|"),"|",REPT(" ",LEN(Registro!$F277))),({1,2,3,4,5,6,7,8,9,10,11,12,13,14,15,16,17,18,19,20,21,22,23,24,25,26,27,28,29,30}-1)*LEN(Registro!$F277)+1,LEN(Registro!$F277)))&amp;"x")+1,20))),"Revisar formato")))</f>
        <v/>
      </c>
      <c r="H277" s="21" t="str">
        <f>IF(AND(Registro!$E277="",Registro!$F277=""),"",IF(NOT(AND(ISNUMBER(G277),ISNUMBER(Registro!$G277))),"",IF(G277&lt;Registro!$G277,"FALTA BOLETOS",IF(G277=Registro!$G277,"CONFORME","DIFERENCIA"))))</f>
        <v/>
      </c>
      <c r="I277" s="24" t="str">
        <f>IF(Registro!$H277="","",IFERROR(SUMPRODUCT(--("0"&amp;TRIM(RIGHT(SUBSTITUTE(TRIM(MID(SUBSTITUTE(SUBSTITUTE(Registro!$H277,";",CHAR(10)),CHAR(10),REPT(" ",LEN(Registro!$H277))),({1,2,3,4,5,6,7,8,9,10,11,12,13,14,15,16,17,18,19,20,21,22,23,24,25,26,27,28,29,30}-1)*LEN(Registro!$H277)+1,LEN(Registro!$H277)))," ",REPT(" ",50)),50)))),"Revisar formato"))</f>
        <v/>
      </c>
      <c r="J277" s="24" t="str">
        <f>IF(Registro!$I277="","",IFERROR(SUMPRODUCT(--("0"&amp;TRIM(RIGHT(SUBSTITUTE(TRIM(MID(SUBSTITUTE(SUBSTITUTE(Registro!$I277,";",CHAR(10)),CHAR(10),REPT(" ",LEN(Registro!$I277))),({1,2,3,4,5,6,7,8,9,10,11,12,13,14,15,16,17,18,19,20,21,22,23,24,25,26,27,28,29,30}-1)*LEN(Registro!$I277)+1,LEN(Registro!$I277)))," ",REPT(" ",50)),50)))),"Revisar formato"))</f>
        <v/>
      </c>
      <c r="K277" s="24" t="str">
        <f>IF(AND(Registro!$G277="",Registro!$H277=""),"",IF(AND(ISTEXT(I277),I277&lt;&gt;""),"Revisar formato",N(Registro!$G277)-N(I277)))</f>
        <v/>
      </c>
      <c r="L277" s="24" t="str">
        <f t="shared" si="9"/>
        <v/>
      </c>
      <c r="M277" s="36" t="str">
        <f>IF(AND(A277=Consulta!$B$3,C277=Consulta!$H$3),B277*10000+ROW(),"")</f>
        <v/>
      </c>
    </row>
    <row r="278" spans="1:13" x14ac:dyDescent="0.25">
      <c r="A278" s="21" t="str">
        <f>IF(Registro!$A278="","",Registro!$A278)</f>
        <v/>
      </c>
      <c r="B278" s="20" t="str">
        <f>IF(Registro!$B278="","",Registro!$B278)</f>
        <v/>
      </c>
      <c r="C278" s="35" t="str">
        <f t="shared" si="8"/>
        <v/>
      </c>
      <c r="D278" s="23" t="str">
        <f>IF(Registro!$E278="","",IF(ISERROR(FIND("x",LOWER(Registro!$E278))),"-",IFERROR(SUMPRODUCT(--("0"&amp;LEFT(TRIM(MID(SUBSTITUTE(SUBSTITUTE(SUBSTITUTE(SUBSTITUTE(SUBSTITUTE(LOWER(Registro!$E278),"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",LEN(Registro!$E278))),({1,2,3,4,5,6,7,8,9,10,11,12,13,14,15,16,17,18,19,20,21,22,23,24,25,26,27,28,29,30}-1)*LEN(Registro!$E278)+1,LEN(Registro!$E278))),FIND("x",TRIM(MID(SUBSTITUTE(SUBSTITUTE(SUBSTITUTE(SUBSTITUTE(SUBSTITUTE(LOWER(Registro!$E278),"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",LEN(Registro!$E278))),({1,2,3,4,5,6,7,8,9,10,11,12,13,14,15,16,17,18,19,20,21,22,23,24,25,26,27,28,29,30}-1)*LEN(Registro!$E278)+1,LEN(Registro!$E278)))&amp;"x")-1))),"Revisar formato")))</f>
        <v/>
      </c>
      <c r="E278" s="24" t="str">
        <f>IF(Registro!$E278="","",IF(ISERROR(FIND("x",LOWER(Registro!$E278))),"-",IFERROR(SUMPRODUCT(--("0"&amp;LEFT(TRIM(MID(SUBSTITUTE(SUBSTITUTE(SUBSTITUTE(SUBSTITUTE(SUBSTITUTE(LOWER(Registro!$E278),"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",LEN(Registro!$E278))),({1,2,3,4,5,6,7,8,9,10,11,12,13,14,15,16,17,18,19,20,21,22,23,24,25,26,27,28,29,30}-1)*LEN(Registro!$E278)+1,LEN(Registro!$E278))),FIND("x",TRIM(MID(SUBSTITUTE(SUBSTITUTE(SUBSTITUTE(SUBSTITUTE(SUBSTITUTE(LOWER(Registro!$E278),"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",LEN(Registro!$E278))),({1,2,3,4,5,6,7,8,9,10,11,12,13,14,15,16,17,18,19,20,21,22,23,24,25,26,27,28,29,30}-1)*LEN(Registro!$E278)+1,LEN(Registro!$E278)))&amp;"x")-1)),--("0"&amp;MID(TRIM(MID(SUBSTITUTE(SUBSTITUTE(SUBSTITUTE(SUBSTITUTE(SUBSTITUTE(LOWER(Registro!$E278),"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",LEN(Registro!$E278))),({1,2,3,4,5,6,7,8,9,10,11,12,13,14,15,16,17,18,19,20,21,22,23,24,25,26,27,28,29,30}-1)*LEN(Registro!$E278)+1,LEN(Registro!$E278))),FIND("x",TRIM(MID(SUBSTITUTE(SUBSTITUTE(SUBSTITUTE(SUBSTITUTE(SUBSTITUTE(LOWER(Registro!$E278),"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",LEN(Registro!$E278))),({1,2,3,4,5,6,7,8,9,10,11,12,13,14,15,16,17,18,19,20,21,22,23,24,25,26,27,28,29,30}-1)*LEN(Registro!$E278)+1,LEN(Registro!$E278)))&amp;"x")+1,20))),"Revisar formato")))</f>
        <v/>
      </c>
      <c r="F278" s="23" t="str">
        <f>IF(Registro!$F278="","",IF(ISERROR(FIND("x",LOWER(Registro!$F278))),"-",IFERROR(SUMPRODUCT(--("0"&amp;LEFT(TRIM(MID(SUBSTITUTE(SUBSTITUTE(SUBSTITUTE(SUBSTITUTE(SUBSTITUTE(LOWER(Registro!$F278)," ",""),CHAR(10),"|"),";","|"),"+","|"),"|",REPT(" ",LEN(Registro!$F278))),({1,2,3,4,5,6,7,8,9,10,11,12,13,14,15,16,17,18,19,20,21,22,23,24,25,26,27,28,29,30}-1)*LEN(Registro!$F278)+1,LEN(Registro!$F278))),FIND("x",TRIM(MID(SUBSTITUTE(SUBSTITUTE(SUBSTITUTE(SUBSTITUTE(SUBSTITUTE(LOWER(Registro!$F278)," ",""),CHAR(10),"|"),";","|"),"+","|"),"|",REPT(" ",LEN(Registro!$F278))),({1,2,3,4,5,6,7,8,9,10,11,12,13,14,15,16,17,18,19,20,21,22,23,24,25,26,27,28,29,30}-1)*LEN(Registro!$F278)+1,LEN(Registro!$F278)))&amp;"x")-1))),"Revisar formato")))</f>
        <v/>
      </c>
      <c r="G278" s="24" t="str">
        <f>IF(Registro!$F278="","",IF(ISERROR(FIND("x",LOWER(Registro!$F278))),N(Registro!$G278),IFERROR(SUMPRODUCT(--("0"&amp;LEFT(TRIM(MID(SUBSTITUTE(SUBSTITUTE(SUBSTITUTE(SUBSTITUTE(SUBSTITUTE(LOWER(Registro!$F278)," ",""),CHAR(10),"|"),";","|"),"+","|"),"|",REPT(" ",LEN(Registro!$F278))),({1,2,3,4,5,6,7,8,9,10,11,12,13,14,15,16,17,18,19,20,21,22,23,24,25,26,27,28,29,30}-1)*LEN(Registro!$F278)+1,LEN(Registro!$F278))),FIND("x",TRIM(MID(SUBSTITUTE(SUBSTITUTE(SUBSTITUTE(SUBSTITUTE(SUBSTITUTE(LOWER(Registro!$F278)," ",""),CHAR(10),"|"),";","|"),"+","|"),"|",REPT(" ",LEN(Registro!$F278))),({1,2,3,4,5,6,7,8,9,10,11,12,13,14,15,16,17,18,19,20,21,22,23,24,25,26,27,28,29,30}-1)*LEN(Registro!$F278)+1,LEN(Registro!$F278)))&amp;"x")-1)),--("0"&amp;MID(TRIM(MID(SUBSTITUTE(SUBSTITUTE(SUBSTITUTE(SUBSTITUTE(SUBSTITUTE(LOWER(Registro!$F278)," ",""),CHAR(10),"|"),";","|"),"+","|"),"|",REPT(" ",LEN(Registro!$F278))),({1,2,3,4,5,6,7,8,9,10,11,12,13,14,15,16,17,18,19,20,21,22,23,24,25,26,27,28,29,30}-1)*LEN(Registro!$F278)+1,LEN(Registro!$F278))),FIND("x",TRIM(MID(SUBSTITUTE(SUBSTITUTE(SUBSTITUTE(SUBSTITUTE(SUBSTITUTE(LOWER(Registro!$F278)," ",""),CHAR(10),"|"),";","|"),"+","|"),"|",REPT(" ",LEN(Registro!$F278))),({1,2,3,4,5,6,7,8,9,10,11,12,13,14,15,16,17,18,19,20,21,22,23,24,25,26,27,28,29,30}-1)*LEN(Registro!$F278)+1,LEN(Registro!$F278)))&amp;"x")+1,20))),"Revisar formato")))</f>
        <v/>
      </c>
      <c r="H278" s="21" t="str">
        <f>IF(AND(Registro!$E278="",Registro!$F278=""),"",IF(NOT(AND(ISNUMBER(G278),ISNUMBER(Registro!$G278))),"",IF(G278&lt;Registro!$G278,"FALTA BOLETOS",IF(G278=Registro!$G278,"CONFORME","DIFERENCIA"))))</f>
        <v/>
      </c>
      <c r="I278" s="24" t="str">
        <f>IF(Registro!$H278="","",IFERROR(SUMPRODUCT(--("0"&amp;TRIM(RIGHT(SUBSTITUTE(TRIM(MID(SUBSTITUTE(SUBSTITUTE(Registro!$H278,";",CHAR(10)),CHAR(10),REPT(" ",LEN(Registro!$H278))),({1,2,3,4,5,6,7,8,9,10,11,12,13,14,15,16,17,18,19,20,21,22,23,24,25,26,27,28,29,30}-1)*LEN(Registro!$H278)+1,LEN(Registro!$H278)))," ",REPT(" ",50)),50)))),"Revisar formato"))</f>
        <v/>
      </c>
      <c r="J278" s="24" t="str">
        <f>IF(Registro!$I278="","",IFERROR(SUMPRODUCT(--("0"&amp;TRIM(RIGHT(SUBSTITUTE(TRIM(MID(SUBSTITUTE(SUBSTITUTE(Registro!$I278,";",CHAR(10)),CHAR(10),REPT(" ",LEN(Registro!$I278))),({1,2,3,4,5,6,7,8,9,10,11,12,13,14,15,16,17,18,19,20,21,22,23,24,25,26,27,28,29,30}-1)*LEN(Registro!$I278)+1,LEN(Registro!$I278)))," ",REPT(" ",50)),50)))),"Revisar formato"))</f>
        <v/>
      </c>
      <c r="K278" s="24" t="str">
        <f>IF(AND(Registro!$G278="",Registro!$H278=""),"",IF(AND(ISTEXT(I278),I278&lt;&gt;""),"Revisar formato",N(Registro!$G278)-N(I278)))</f>
        <v/>
      </c>
      <c r="L278" s="24" t="str">
        <f t="shared" si="9"/>
        <v/>
      </c>
      <c r="M278" s="36" t="str">
        <f>IF(AND(A278=Consulta!$B$3,C278=Consulta!$H$3),B278*10000+ROW(),"")</f>
        <v/>
      </c>
    </row>
    <row r="279" spans="1:13" x14ac:dyDescent="0.25">
      <c r="A279" s="21" t="str">
        <f>IF(Registro!$A279="","",Registro!$A279)</f>
        <v/>
      </c>
      <c r="B279" s="20" t="str">
        <f>IF(Registro!$B279="","",Registro!$B279)</f>
        <v/>
      </c>
      <c r="C279" s="35" t="str">
        <f t="shared" si="8"/>
        <v/>
      </c>
      <c r="D279" s="23" t="str">
        <f>IF(Registro!$E279="","",IF(ISERROR(FIND("x",LOWER(Registro!$E279))),"-",IFERROR(SUMPRODUCT(--("0"&amp;LEFT(TRIM(MID(SUBSTITUTE(SUBSTITUTE(SUBSTITUTE(SUBSTITUTE(SUBSTITUTE(LOWER(Registro!$E279),"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",LEN(Registro!$E279))),({1,2,3,4,5,6,7,8,9,10,11,12,13,14,15,16,17,18,19,20,21,22,23,24,25,26,27,28,29,30}-1)*LEN(Registro!$E279)+1,LEN(Registro!$E279))),FIND("x",TRIM(MID(SUBSTITUTE(SUBSTITUTE(SUBSTITUTE(SUBSTITUTE(SUBSTITUTE(LOWER(Registro!$E279),"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",LEN(Registro!$E279))),({1,2,3,4,5,6,7,8,9,10,11,12,13,14,15,16,17,18,19,20,21,22,23,24,25,26,27,28,29,30}-1)*LEN(Registro!$E279)+1,LEN(Registro!$E279)))&amp;"x")-1))),"Revisar formato")))</f>
        <v/>
      </c>
      <c r="E279" s="24" t="str">
        <f>IF(Registro!$E279="","",IF(ISERROR(FIND("x",LOWER(Registro!$E279))),"-",IFERROR(SUMPRODUCT(--("0"&amp;LEFT(TRIM(MID(SUBSTITUTE(SUBSTITUTE(SUBSTITUTE(SUBSTITUTE(SUBSTITUTE(LOWER(Registro!$E279),"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",LEN(Registro!$E279))),({1,2,3,4,5,6,7,8,9,10,11,12,13,14,15,16,17,18,19,20,21,22,23,24,25,26,27,28,29,30}-1)*LEN(Registro!$E279)+1,LEN(Registro!$E279))),FIND("x",TRIM(MID(SUBSTITUTE(SUBSTITUTE(SUBSTITUTE(SUBSTITUTE(SUBSTITUTE(LOWER(Registro!$E279),"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",LEN(Registro!$E279))),({1,2,3,4,5,6,7,8,9,10,11,12,13,14,15,16,17,18,19,20,21,22,23,24,25,26,27,28,29,30}-1)*LEN(Registro!$E279)+1,LEN(Registro!$E279)))&amp;"x")-1)),--("0"&amp;MID(TRIM(MID(SUBSTITUTE(SUBSTITUTE(SUBSTITUTE(SUBSTITUTE(SUBSTITUTE(LOWER(Registro!$E279),"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",LEN(Registro!$E279))),({1,2,3,4,5,6,7,8,9,10,11,12,13,14,15,16,17,18,19,20,21,22,23,24,25,26,27,28,29,30}-1)*LEN(Registro!$E279)+1,LEN(Registro!$E279))),FIND("x",TRIM(MID(SUBSTITUTE(SUBSTITUTE(SUBSTITUTE(SUBSTITUTE(SUBSTITUTE(LOWER(Registro!$E279),"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",LEN(Registro!$E279))),({1,2,3,4,5,6,7,8,9,10,11,12,13,14,15,16,17,18,19,20,21,22,23,24,25,26,27,28,29,30}-1)*LEN(Registro!$E279)+1,LEN(Registro!$E279)))&amp;"x")+1,20))),"Revisar formato")))</f>
        <v/>
      </c>
      <c r="F279" s="23" t="str">
        <f>IF(Registro!$F279="","",IF(ISERROR(FIND("x",LOWER(Registro!$F279))),"-",IFERROR(SUMPRODUCT(--("0"&amp;LEFT(TRIM(MID(SUBSTITUTE(SUBSTITUTE(SUBSTITUTE(SUBSTITUTE(SUBSTITUTE(LOWER(Registro!$F279)," ",""),CHAR(10),"|"),";","|"),"+","|"),"|",REPT(" ",LEN(Registro!$F279))),({1,2,3,4,5,6,7,8,9,10,11,12,13,14,15,16,17,18,19,20,21,22,23,24,25,26,27,28,29,30}-1)*LEN(Registro!$F279)+1,LEN(Registro!$F279))),FIND("x",TRIM(MID(SUBSTITUTE(SUBSTITUTE(SUBSTITUTE(SUBSTITUTE(SUBSTITUTE(LOWER(Registro!$F279)," ",""),CHAR(10),"|"),";","|"),"+","|"),"|",REPT(" ",LEN(Registro!$F279))),({1,2,3,4,5,6,7,8,9,10,11,12,13,14,15,16,17,18,19,20,21,22,23,24,25,26,27,28,29,30}-1)*LEN(Registro!$F279)+1,LEN(Registro!$F279)))&amp;"x")-1))),"Revisar formato")))</f>
        <v/>
      </c>
      <c r="G279" s="24" t="str">
        <f>IF(Registro!$F279="","",IF(ISERROR(FIND("x",LOWER(Registro!$F279))),N(Registro!$G279),IFERROR(SUMPRODUCT(--("0"&amp;LEFT(TRIM(MID(SUBSTITUTE(SUBSTITUTE(SUBSTITUTE(SUBSTITUTE(SUBSTITUTE(LOWER(Registro!$F279)," ",""),CHAR(10),"|"),";","|"),"+","|"),"|",REPT(" ",LEN(Registro!$F279))),({1,2,3,4,5,6,7,8,9,10,11,12,13,14,15,16,17,18,19,20,21,22,23,24,25,26,27,28,29,30}-1)*LEN(Registro!$F279)+1,LEN(Registro!$F279))),FIND("x",TRIM(MID(SUBSTITUTE(SUBSTITUTE(SUBSTITUTE(SUBSTITUTE(SUBSTITUTE(LOWER(Registro!$F279)," ",""),CHAR(10),"|"),";","|"),"+","|"),"|",REPT(" ",LEN(Registro!$F279))),({1,2,3,4,5,6,7,8,9,10,11,12,13,14,15,16,17,18,19,20,21,22,23,24,25,26,27,28,29,30}-1)*LEN(Registro!$F279)+1,LEN(Registro!$F279)))&amp;"x")-1)),--("0"&amp;MID(TRIM(MID(SUBSTITUTE(SUBSTITUTE(SUBSTITUTE(SUBSTITUTE(SUBSTITUTE(LOWER(Registro!$F279)," ",""),CHAR(10),"|"),";","|"),"+","|"),"|",REPT(" ",LEN(Registro!$F279))),({1,2,3,4,5,6,7,8,9,10,11,12,13,14,15,16,17,18,19,20,21,22,23,24,25,26,27,28,29,30}-1)*LEN(Registro!$F279)+1,LEN(Registro!$F279))),FIND("x",TRIM(MID(SUBSTITUTE(SUBSTITUTE(SUBSTITUTE(SUBSTITUTE(SUBSTITUTE(LOWER(Registro!$F279)," ",""),CHAR(10),"|"),";","|"),"+","|"),"|",REPT(" ",LEN(Registro!$F279))),({1,2,3,4,5,6,7,8,9,10,11,12,13,14,15,16,17,18,19,20,21,22,23,24,25,26,27,28,29,30}-1)*LEN(Registro!$F279)+1,LEN(Registro!$F279)))&amp;"x")+1,20))),"Revisar formato")))</f>
        <v/>
      </c>
      <c r="H279" s="21" t="str">
        <f>IF(AND(Registro!$E279="",Registro!$F279=""),"",IF(NOT(AND(ISNUMBER(G279),ISNUMBER(Registro!$G279))),"",IF(G279&lt;Registro!$G279,"FALTA BOLETOS",IF(G279=Registro!$G279,"CONFORME","DIFERENCIA"))))</f>
        <v/>
      </c>
      <c r="I279" s="24" t="str">
        <f>IF(Registro!$H279="","",IFERROR(SUMPRODUCT(--("0"&amp;TRIM(RIGHT(SUBSTITUTE(TRIM(MID(SUBSTITUTE(SUBSTITUTE(Registro!$H279,";",CHAR(10)),CHAR(10),REPT(" ",LEN(Registro!$H279))),({1,2,3,4,5,6,7,8,9,10,11,12,13,14,15,16,17,18,19,20,21,22,23,24,25,26,27,28,29,30}-1)*LEN(Registro!$H279)+1,LEN(Registro!$H279)))," ",REPT(" ",50)),50)))),"Revisar formato"))</f>
        <v/>
      </c>
      <c r="J279" s="24" t="str">
        <f>IF(Registro!$I279="","",IFERROR(SUMPRODUCT(--("0"&amp;TRIM(RIGHT(SUBSTITUTE(TRIM(MID(SUBSTITUTE(SUBSTITUTE(Registro!$I279,";",CHAR(10)),CHAR(10),REPT(" ",LEN(Registro!$I279))),({1,2,3,4,5,6,7,8,9,10,11,12,13,14,15,16,17,18,19,20,21,22,23,24,25,26,27,28,29,30}-1)*LEN(Registro!$I279)+1,LEN(Registro!$I279)))," ",REPT(" ",50)),50)))),"Revisar formato"))</f>
        <v/>
      </c>
      <c r="K279" s="24" t="str">
        <f>IF(AND(Registro!$G279="",Registro!$H279=""),"",IF(AND(ISTEXT(I279),I279&lt;&gt;""),"Revisar formato",N(Registro!$G279)-N(I279)))</f>
        <v/>
      </c>
      <c r="L279" s="24" t="str">
        <f t="shared" si="9"/>
        <v/>
      </c>
      <c r="M279" s="36" t="str">
        <f>IF(AND(A279=Consulta!$B$3,C279=Consulta!$H$3),B279*10000+ROW(),"")</f>
        <v/>
      </c>
    </row>
    <row r="280" spans="1:13" x14ac:dyDescent="0.25">
      <c r="A280" s="21" t="str">
        <f>IF(Registro!$A280="","",Registro!$A280)</f>
        <v/>
      </c>
      <c r="B280" s="20" t="str">
        <f>IF(Registro!$B280="","",Registro!$B280)</f>
        <v/>
      </c>
      <c r="C280" s="35" t="str">
        <f t="shared" si="8"/>
        <v/>
      </c>
      <c r="D280" s="23" t="str">
        <f>IF(Registro!$E280="","",IF(ISERROR(FIND("x",LOWER(Registro!$E280))),"-",IFERROR(SUMPRODUCT(--("0"&amp;LEFT(TRIM(MID(SUBSTITUTE(SUBSTITUTE(SUBSTITUTE(SUBSTITUTE(SUBSTITUTE(LOWER(Registro!$E280),"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",LEN(Registro!$E280))),({1,2,3,4,5,6,7,8,9,10,11,12,13,14,15,16,17,18,19,20,21,22,23,24,25,26,27,28,29,30}-1)*LEN(Registro!$E280)+1,LEN(Registro!$E280))),FIND("x",TRIM(MID(SUBSTITUTE(SUBSTITUTE(SUBSTITUTE(SUBSTITUTE(SUBSTITUTE(LOWER(Registro!$E280),"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",LEN(Registro!$E280))),({1,2,3,4,5,6,7,8,9,10,11,12,13,14,15,16,17,18,19,20,21,22,23,24,25,26,27,28,29,30}-1)*LEN(Registro!$E280)+1,LEN(Registro!$E280)))&amp;"x")-1))),"Revisar formato")))</f>
        <v/>
      </c>
      <c r="E280" s="24" t="str">
        <f>IF(Registro!$E280="","",IF(ISERROR(FIND("x",LOWER(Registro!$E280))),"-",IFERROR(SUMPRODUCT(--("0"&amp;LEFT(TRIM(MID(SUBSTITUTE(SUBSTITUTE(SUBSTITUTE(SUBSTITUTE(SUBSTITUTE(LOWER(Registro!$E280),"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",LEN(Registro!$E280))),({1,2,3,4,5,6,7,8,9,10,11,12,13,14,15,16,17,18,19,20,21,22,23,24,25,26,27,28,29,30}-1)*LEN(Registro!$E280)+1,LEN(Registro!$E280))),FIND("x",TRIM(MID(SUBSTITUTE(SUBSTITUTE(SUBSTITUTE(SUBSTITUTE(SUBSTITUTE(LOWER(Registro!$E280),"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",LEN(Registro!$E280))),({1,2,3,4,5,6,7,8,9,10,11,12,13,14,15,16,17,18,19,20,21,22,23,24,25,26,27,28,29,30}-1)*LEN(Registro!$E280)+1,LEN(Registro!$E280)))&amp;"x")-1)),--("0"&amp;MID(TRIM(MID(SUBSTITUTE(SUBSTITUTE(SUBSTITUTE(SUBSTITUTE(SUBSTITUTE(LOWER(Registro!$E280),"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",LEN(Registro!$E280))),({1,2,3,4,5,6,7,8,9,10,11,12,13,14,15,16,17,18,19,20,21,22,23,24,25,26,27,28,29,30}-1)*LEN(Registro!$E280)+1,LEN(Registro!$E280))),FIND("x",TRIM(MID(SUBSTITUTE(SUBSTITUTE(SUBSTITUTE(SUBSTITUTE(SUBSTITUTE(LOWER(Registro!$E280),"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",LEN(Registro!$E280))),({1,2,3,4,5,6,7,8,9,10,11,12,13,14,15,16,17,18,19,20,21,22,23,24,25,26,27,28,29,30}-1)*LEN(Registro!$E280)+1,LEN(Registro!$E280)))&amp;"x")+1,20))),"Revisar formato")))</f>
        <v/>
      </c>
      <c r="F280" s="23" t="str">
        <f>IF(Registro!$F280="","",IF(ISERROR(FIND("x",LOWER(Registro!$F280))),"-",IFERROR(SUMPRODUCT(--("0"&amp;LEFT(TRIM(MID(SUBSTITUTE(SUBSTITUTE(SUBSTITUTE(SUBSTITUTE(SUBSTITUTE(LOWER(Registro!$F280)," ",""),CHAR(10),"|"),";","|"),"+","|"),"|",REPT(" ",LEN(Registro!$F280))),({1,2,3,4,5,6,7,8,9,10,11,12,13,14,15,16,17,18,19,20,21,22,23,24,25,26,27,28,29,30}-1)*LEN(Registro!$F280)+1,LEN(Registro!$F280))),FIND("x",TRIM(MID(SUBSTITUTE(SUBSTITUTE(SUBSTITUTE(SUBSTITUTE(SUBSTITUTE(LOWER(Registro!$F280)," ",""),CHAR(10),"|"),";","|"),"+","|"),"|",REPT(" ",LEN(Registro!$F280))),({1,2,3,4,5,6,7,8,9,10,11,12,13,14,15,16,17,18,19,20,21,22,23,24,25,26,27,28,29,30}-1)*LEN(Registro!$F280)+1,LEN(Registro!$F280)))&amp;"x")-1))),"Revisar formato")))</f>
        <v/>
      </c>
      <c r="G280" s="24" t="str">
        <f>IF(Registro!$F280="","",IF(ISERROR(FIND("x",LOWER(Registro!$F280))),N(Registro!$G280),IFERROR(SUMPRODUCT(--("0"&amp;LEFT(TRIM(MID(SUBSTITUTE(SUBSTITUTE(SUBSTITUTE(SUBSTITUTE(SUBSTITUTE(LOWER(Registro!$F280)," ",""),CHAR(10),"|"),";","|"),"+","|"),"|",REPT(" ",LEN(Registro!$F280))),({1,2,3,4,5,6,7,8,9,10,11,12,13,14,15,16,17,18,19,20,21,22,23,24,25,26,27,28,29,30}-1)*LEN(Registro!$F280)+1,LEN(Registro!$F280))),FIND("x",TRIM(MID(SUBSTITUTE(SUBSTITUTE(SUBSTITUTE(SUBSTITUTE(SUBSTITUTE(LOWER(Registro!$F280)," ",""),CHAR(10),"|"),";","|"),"+","|"),"|",REPT(" ",LEN(Registro!$F280))),({1,2,3,4,5,6,7,8,9,10,11,12,13,14,15,16,17,18,19,20,21,22,23,24,25,26,27,28,29,30}-1)*LEN(Registro!$F280)+1,LEN(Registro!$F280)))&amp;"x")-1)),--("0"&amp;MID(TRIM(MID(SUBSTITUTE(SUBSTITUTE(SUBSTITUTE(SUBSTITUTE(SUBSTITUTE(LOWER(Registro!$F280)," ",""),CHAR(10),"|"),";","|"),"+","|"),"|",REPT(" ",LEN(Registro!$F280))),({1,2,3,4,5,6,7,8,9,10,11,12,13,14,15,16,17,18,19,20,21,22,23,24,25,26,27,28,29,30}-1)*LEN(Registro!$F280)+1,LEN(Registro!$F280))),FIND("x",TRIM(MID(SUBSTITUTE(SUBSTITUTE(SUBSTITUTE(SUBSTITUTE(SUBSTITUTE(LOWER(Registro!$F280)," ",""),CHAR(10),"|"),";","|"),"+","|"),"|",REPT(" ",LEN(Registro!$F280))),({1,2,3,4,5,6,7,8,9,10,11,12,13,14,15,16,17,18,19,20,21,22,23,24,25,26,27,28,29,30}-1)*LEN(Registro!$F280)+1,LEN(Registro!$F280)))&amp;"x")+1,20))),"Revisar formato")))</f>
        <v/>
      </c>
      <c r="H280" s="21" t="str">
        <f>IF(AND(Registro!$E280="",Registro!$F280=""),"",IF(NOT(AND(ISNUMBER(G280),ISNUMBER(Registro!$G280))),"",IF(G280&lt;Registro!$G280,"FALTA BOLETOS",IF(G280=Registro!$G280,"CONFORME","DIFERENCIA"))))</f>
        <v/>
      </c>
      <c r="I280" s="24" t="str">
        <f>IF(Registro!$H280="","",IFERROR(SUMPRODUCT(--("0"&amp;TRIM(RIGHT(SUBSTITUTE(TRIM(MID(SUBSTITUTE(SUBSTITUTE(Registro!$H280,";",CHAR(10)),CHAR(10),REPT(" ",LEN(Registro!$H280))),({1,2,3,4,5,6,7,8,9,10,11,12,13,14,15,16,17,18,19,20,21,22,23,24,25,26,27,28,29,30}-1)*LEN(Registro!$H280)+1,LEN(Registro!$H280)))," ",REPT(" ",50)),50)))),"Revisar formato"))</f>
        <v/>
      </c>
      <c r="J280" s="24" t="str">
        <f>IF(Registro!$I280="","",IFERROR(SUMPRODUCT(--("0"&amp;TRIM(RIGHT(SUBSTITUTE(TRIM(MID(SUBSTITUTE(SUBSTITUTE(Registro!$I280,";",CHAR(10)),CHAR(10),REPT(" ",LEN(Registro!$I280))),({1,2,3,4,5,6,7,8,9,10,11,12,13,14,15,16,17,18,19,20,21,22,23,24,25,26,27,28,29,30}-1)*LEN(Registro!$I280)+1,LEN(Registro!$I280)))," ",REPT(" ",50)),50)))),"Revisar formato"))</f>
        <v/>
      </c>
      <c r="K280" s="24" t="str">
        <f>IF(AND(Registro!$G280="",Registro!$H280=""),"",IF(AND(ISTEXT(I280),I280&lt;&gt;""),"Revisar formato",N(Registro!$G280)-N(I280)))</f>
        <v/>
      </c>
      <c r="L280" s="24" t="str">
        <f t="shared" si="9"/>
        <v/>
      </c>
      <c r="M280" s="36" t="str">
        <f>IF(AND(A280=Consulta!$B$3,C280=Consulta!$H$3),B280*10000+ROW(),"")</f>
        <v/>
      </c>
    </row>
    <row r="281" spans="1:13" x14ac:dyDescent="0.25">
      <c r="A281" s="21" t="str">
        <f>IF(Registro!$A281="","",Registro!$A281)</f>
        <v/>
      </c>
      <c r="B281" s="20" t="str">
        <f>IF(Registro!$B281="","",Registro!$B281)</f>
        <v/>
      </c>
      <c r="C281" s="35" t="str">
        <f t="shared" si="8"/>
        <v/>
      </c>
      <c r="D281" s="23" t="str">
        <f>IF(Registro!$E281="","",IF(ISERROR(FIND("x",LOWER(Registro!$E281))),"-",IFERROR(SUMPRODUCT(--("0"&amp;LEFT(TRIM(MID(SUBSTITUTE(SUBSTITUTE(SUBSTITUTE(SUBSTITUTE(SUBSTITUTE(LOWER(Registro!$E281),"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",LEN(Registro!$E281))),({1,2,3,4,5,6,7,8,9,10,11,12,13,14,15,16,17,18,19,20,21,22,23,24,25,26,27,28,29,30}-1)*LEN(Registro!$E281)+1,LEN(Registro!$E281))),FIND("x",TRIM(MID(SUBSTITUTE(SUBSTITUTE(SUBSTITUTE(SUBSTITUTE(SUBSTITUTE(LOWER(Registro!$E281),"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",LEN(Registro!$E281))),({1,2,3,4,5,6,7,8,9,10,11,12,13,14,15,16,17,18,19,20,21,22,23,24,25,26,27,28,29,30}-1)*LEN(Registro!$E281)+1,LEN(Registro!$E281)))&amp;"x")-1))),"Revisar formato")))</f>
        <v/>
      </c>
      <c r="E281" s="24" t="str">
        <f>IF(Registro!$E281="","",IF(ISERROR(FIND("x",LOWER(Registro!$E281))),"-",IFERROR(SUMPRODUCT(--("0"&amp;LEFT(TRIM(MID(SUBSTITUTE(SUBSTITUTE(SUBSTITUTE(SUBSTITUTE(SUBSTITUTE(LOWER(Registro!$E281),"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",LEN(Registro!$E281))),({1,2,3,4,5,6,7,8,9,10,11,12,13,14,15,16,17,18,19,20,21,22,23,24,25,26,27,28,29,30}-1)*LEN(Registro!$E281)+1,LEN(Registro!$E281))),FIND("x",TRIM(MID(SUBSTITUTE(SUBSTITUTE(SUBSTITUTE(SUBSTITUTE(SUBSTITUTE(LOWER(Registro!$E281),"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",LEN(Registro!$E281))),({1,2,3,4,5,6,7,8,9,10,11,12,13,14,15,16,17,18,19,20,21,22,23,24,25,26,27,28,29,30}-1)*LEN(Registro!$E281)+1,LEN(Registro!$E281)))&amp;"x")-1)),--("0"&amp;MID(TRIM(MID(SUBSTITUTE(SUBSTITUTE(SUBSTITUTE(SUBSTITUTE(SUBSTITUTE(LOWER(Registro!$E281),"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",LEN(Registro!$E281))),({1,2,3,4,5,6,7,8,9,10,11,12,13,14,15,16,17,18,19,20,21,22,23,24,25,26,27,28,29,30}-1)*LEN(Registro!$E281)+1,LEN(Registro!$E281))),FIND("x",TRIM(MID(SUBSTITUTE(SUBSTITUTE(SUBSTITUTE(SUBSTITUTE(SUBSTITUTE(LOWER(Registro!$E281),"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",LEN(Registro!$E281))),({1,2,3,4,5,6,7,8,9,10,11,12,13,14,15,16,17,18,19,20,21,22,23,24,25,26,27,28,29,30}-1)*LEN(Registro!$E281)+1,LEN(Registro!$E281)))&amp;"x")+1,20))),"Revisar formato")))</f>
        <v/>
      </c>
      <c r="F281" s="23" t="str">
        <f>IF(Registro!$F281="","",IF(ISERROR(FIND("x",LOWER(Registro!$F281))),"-",IFERROR(SUMPRODUCT(--("0"&amp;LEFT(TRIM(MID(SUBSTITUTE(SUBSTITUTE(SUBSTITUTE(SUBSTITUTE(SUBSTITUTE(LOWER(Registro!$F281)," ",""),CHAR(10),"|"),";","|"),"+","|"),"|",REPT(" ",LEN(Registro!$F281))),({1,2,3,4,5,6,7,8,9,10,11,12,13,14,15,16,17,18,19,20,21,22,23,24,25,26,27,28,29,30}-1)*LEN(Registro!$F281)+1,LEN(Registro!$F281))),FIND("x",TRIM(MID(SUBSTITUTE(SUBSTITUTE(SUBSTITUTE(SUBSTITUTE(SUBSTITUTE(LOWER(Registro!$F281)," ",""),CHAR(10),"|"),";","|"),"+","|"),"|",REPT(" ",LEN(Registro!$F281))),({1,2,3,4,5,6,7,8,9,10,11,12,13,14,15,16,17,18,19,20,21,22,23,24,25,26,27,28,29,30}-1)*LEN(Registro!$F281)+1,LEN(Registro!$F281)))&amp;"x")-1))),"Revisar formato")))</f>
        <v/>
      </c>
      <c r="G281" s="24" t="str">
        <f>IF(Registro!$F281="","",IF(ISERROR(FIND("x",LOWER(Registro!$F281))),N(Registro!$G281),IFERROR(SUMPRODUCT(--("0"&amp;LEFT(TRIM(MID(SUBSTITUTE(SUBSTITUTE(SUBSTITUTE(SUBSTITUTE(SUBSTITUTE(LOWER(Registro!$F281)," ",""),CHAR(10),"|"),";","|"),"+","|"),"|",REPT(" ",LEN(Registro!$F281))),({1,2,3,4,5,6,7,8,9,10,11,12,13,14,15,16,17,18,19,20,21,22,23,24,25,26,27,28,29,30}-1)*LEN(Registro!$F281)+1,LEN(Registro!$F281))),FIND("x",TRIM(MID(SUBSTITUTE(SUBSTITUTE(SUBSTITUTE(SUBSTITUTE(SUBSTITUTE(LOWER(Registro!$F281)," ",""),CHAR(10),"|"),";","|"),"+","|"),"|",REPT(" ",LEN(Registro!$F281))),({1,2,3,4,5,6,7,8,9,10,11,12,13,14,15,16,17,18,19,20,21,22,23,24,25,26,27,28,29,30}-1)*LEN(Registro!$F281)+1,LEN(Registro!$F281)))&amp;"x")-1)),--("0"&amp;MID(TRIM(MID(SUBSTITUTE(SUBSTITUTE(SUBSTITUTE(SUBSTITUTE(SUBSTITUTE(LOWER(Registro!$F281)," ",""),CHAR(10),"|"),";","|"),"+","|"),"|",REPT(" ",LEN(Registro!$F281))),({1,2,3,4,5,6,7,8,9,10,11,12,13,14,15,16,17,18,19,20,21,22,23,24,25,26,27,28,29,30}-1)*LEN(Registro!$F281)+1,LEN(Registro!$F281))),FIND("x",TRIM(MID(SUBSTITUTE(SUBSTITUTE(SUBSTITUTE(SUBSTITUTE(SUBSTITUTE(LOWER(Registro!$F281)," ",""),CHAR(10),"|"),";","|"),"+","|"),"|",REPT(" ",LEN(Registro!$F281))),({1,2,3,4,5,6,7,8,9,10,11,12,13,14,15,16,17,18,19,20,21,22,23,24,25,26,27,28,29,30}-1)*LEN(Registro!$F281)+1,LEN(Registro!$F281)))&amp;"x")+1,20))),"Revisar formato")))</f>
        <v/>
      </c>
      <c r="H281" s="21" t="str">
        <f>IF(AND(Registro!$E281="",Registro!$F281=""),"",IF(NOT(AND(ISNUMBER(G281),ISNUMBER(Registro!$G281))),"",IF(G281&lt;Registro!$G281,"FALTA BOLETOS",IF(G281=Registro!$G281,"CONFORME","DIFERENCIA"))))</f>
        <v/>
      </c>
      <c r="I281" s="24" t="str">
        <f>IF(Registro!$H281="","",IFERROR(SUMPRODUCT(--("0"&amp;TRIM(RIGHT(SUBSTITUTE(TRIM(MID(SUBSTITUTE(SUBSTITUTE(Registro!$H281,";",CHAR(10)),CHAR(10),REPT(" ",LEN(Registro!$H281))),({1,2,3,4,5,6,7,8,9,10,11,12,13,14,15,16,17,18,19,20,21,22,23,24,25,26,27,28,29,30}-1)*LEN(Registro!$H281)+1,LEN(Registro!$H281)))," ",REPT(" ",50)),50)))),"Revisar formato"))</f>
        <v/>
      </c>
      <c r="J281" s="24" t="str">
        <f>IF(Registro!$I281="","",IFERROR(SUMPRODUCT(--("0"&amp;TRIM(RIGHT(SUBSTITUTE(TRIM(MID(SUBSTITUTE(SUBSTITUTE(Registro!$I281,";",CHAR(10)),CHAR(10),REPT(" ",LEN(Registro!$I281))),({1,2,3,4,5,6,7,8,9,10,11,12,13,14,15,16,17,18,19,20,21,22,23,24,25,26,27,28,29,30}-1)*LEN(Registro!$I281)+1,LEN(Registro!$I281)))," ",REPT(" ",50)),50)))),"Revisar formato"))</f>
        <v/>
      </c>
      <c r="K281" s="24" t="str">
        <f>IF(AND(Registro!$G281="",Registro!$H281=""),"",IF(AND(ISTEXT(I281),I281&lt;&gt;""),"Revisar formato",N(Registro!$G281)-N(I281)))</f>
        <v/>
      </c>
      <c r="L281" s="24" t="str">
        <f t="shared" si="9"/>
        <v/>
      </c>
      <c r="M281" s="36" t="str">
        <f>IF(AND(A281=Consulta!$B$3,C281=Consulta!$H$3),B281*10000+ROW(),"")</f>
        <v/>
      </c>
    </row>
    <row r="282" spans="1:13" x14ac:dyDescent="0.25">
      <c r="A282" s="21" t="str">
        <f>IF(Registro!$A282="","",Registro!$A282)</f>
        <v/>
      </c>
      <c r="B282" s="20" t="str">
        <f>IF(Registro!$B282="","",Registro!$B282)</f>
        <v/>
      </c>
      <c r="C282" s="35" t="str">
        <f t="shared" si="8"/>
        <v/>
      </c>
      <c r="D282" s="23" t="str">
        <f>IF(Registro!$E282="","",IF(ISERROR(FIND("x",LOWER(Registro!$E282))),"-",IFERROR(SUMPRODUCT(--("0"&amp;LEFT(TRIM(MID(SUBSTITUTE(SUBSTITUTE(SUBSTITUTE(SUBSTITUTE(SUBSTITUTE(LOWER(Registro!$E282),"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",LEN(Registro!$E282))),({1,2,3,4,5,6,7,8,9,10,11,12,13,14,15,16,17,18,19,20,21,22,23,24,25,26,27,28,29,30}-1)*LEN(Registro!$E282)+1,LEN(Registro!$E282))),FIND("x",TRIM(MID(SUBSTITUTE(SUBSTITUTE(SUBSTITUTE(SUBSTITUTE(SUBSTITUTE(LOWER(Registro!$E282),"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",LEN(Registro!$E282))),({1,2,3,4,5,6,7,8,9,10,11,12,13,14,15,16,17,18,19,20,21,22,23,24,25,26,27,28,29,30}-1)*LEN(Registro!$E282)+1,LEN(Registro!$E282)))&amp;"x")-1))),"Revisar formato")))</f>
        <v/>
      </c>
      <c r="E282" s="24" t="str">
        <f>IF(Registro!$E282="","",IF(ISERROR(FIND("x",LOWER(Registro!$E282))),"-",IFERROR(SUMPRODUCT(--("0"&amp;LEFT(TRIM(MID(SUBSTITUTE(SUBSTITUTE(SUBSTITUTE(SUBSTITUTE(SUBSTITUTE(LOWER(Registro!$E282),"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",LEN(Registro!$E282))),({1,2,3,4,5,6,7,8,9,10,11,12,13,14,15,16,17,18,19,20,21,22,23,24,25,26,27,28,29,30}-1)*LEN(Registro!$E282)+1,LEN(Registro!$E282))),FIND("x",TRIM(MID(SUBSTITUTE(SUBSTITUTE(SUBSTITUTE(SUBSTITUTE(SUBSTITUTE(LOWER(Registro!$E282),"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",LEN(Registro!$E282))),({1,2,3,4,5,6,7,8,9,10,11,12,13,14,15,16,17,18,19,20,21,22,23,24,25,26,27,28,29,30}-1)*LEN(Registro!$E282)+1,LEN(Registro!$E282)))&amp;"x")-1)),--("0"&amp;MID(TRIM(MID(SUBSTITUTE(SUBSTITUTE(SUBSTITUTE(SUBSTITUTE(SUBSTITUTE(LOWER(Registro!$E282),"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",LEN(Registro!$E282))),({1,2,3,4,5,6,7,8,9,10,11,12,13,14,15,16,17,18,19,20,21,22,23,24,25,26,27,28,29,30}-1)*LEN(Registro!$E282)+1,LEN(Registro!$E282))),FIND("x",TRIM(MID(SUBSTITUTE(SUBSTITUTE(SUBSTITUTE(SUBSTITUTE(SUBSTITUTE(LOWER(Registro!$E282),"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",LEN(Registro!$E282))),({1,2,3,4,5,6,7,8,9,10,11,12,13,14,15,16,17,18,19,20,21,22,23,24,25,26,27,28,29,30}-1)*LEN(Registro!$E282)+1,LEN(Registro!$E282)))&amp;"x")+1,20))),"Revisar formato")))</f>
        <v/>
      </c>
      <c r="F282" s="23" t="str">
        <f>IF(Registro!$F282="","",IF(ISERROR(FIND("x",LOWER(Registro!$F282))),"-",IFERROR(SUMPRODUCT(--("0"&amp;LEFT(TRIM(MID(SUBSTITUTE(SUBSTITUTE(SUBSTITUTE(SUBSTITUTE(SUBSTITUTE(LOWER(Registro!$F282)," ",""),CHAR(10),"|"),";","|"),"+","|"),"|",REPT(" ",LEN(Registro!$F282))),({1,2,3,4,5,6,7,8,9,10,11,12,13,14,15,16,17,18,19,20,21,22,23,24,25,26,27,28,29,30}-1)*LEN(Registro!$F282)+1,LEN(Registro!$F282))),FIND("x",TRIM(MID(SUBSTITUTE(SUBSTITUTE(SUBSTITUTE(SUBSTITUTE(SUBSTITUTE(LOWER(Registro!$F282)," ",""),CHAR(10),"|"),";","|"),"+","|"),"|",REPT(" ",LEN(Registro!$F282))),({1,2,3,4,5,6,7,8,9,10,11,12,13,14,15,16,17,18,19,20,21,22,23,24,25,26,27,28,29,30}-1)*LEN(Registro!$F282)+1,LEN(Registro!$F282)))&amp;"x")-1))),"Revisar formato")))</f>
        <v/>
      </c>
      <c r="G282" s="24" t="str">
        <f>IF(Registro!$F282="","",IF(ISERROR(FIND("x",LOWER(Registro!$F282))),N(Registro!$G282),IFERROR(SUMPRODUCT(--("0"&amp;LEFT(TRIM(MID(SUBSTITUTE(SUBSTITUTE(SUBSTITUTE(SUBSTITUTE(SUBSTITUTE(LOWER(Registro!$F282)," ",""),CHAR(10),"|"),";","|"),"+","|"),"|",REPT(" ",LEN(Registro!$F282))),({1,2,3,4,5,6,7,8,9,10,11,12,13,14,15,16,17,18,19,20,21,22,23,24,25,26,27,28,29,30}-1)*LEN(Registro!$F282)+1,LEN(Registro!$F282))),FIND("x",TRIM(MID(SUBSTITUTE(SUBSTITUTE(SUBSTITUTE(SUBSTITUTE(SUBSTITUTE(LOWER(Registro!$F282)," ",""),CHAR(10),"|"),";","|"),"+","|"),"|",REPT(" ",LEN(Registro!$F282))),({1,2,3,4,5,6,7,8,9,10,11,12,13,14,15,16,17,18,19,20,21,22,23,24,25,26,27,28,29,30}-1)*LEN(Registro!$F282)+1,LEN(Registro!$F282)))&amp;"x")-1)),--("0"&amp;MID(TRIM(MID(SUBSTITUTE(SUBSTITUTE(SUBSTITUTE(SUBSTITUTE(SUBSTITUTE(LOWER(Registro!$F282)," ",""),CHAR(10),"|"),";","|"),"+","|"),"|",REPT(" ",LEN(Registro!$F282))),({1,2,3,4,5,6,7,8,9,10,11,12,13,14,15,16,17,18,19,20,21,22,23,24,25,26,27,28,29,30}-1)*LEN(Registro!$F282)+1,LEN(Registro!$F282))),FIND("x",TRIM(MID(SUBSTITUTE(SUBSTITUTE(SUBSTITUTE(SUBSTITUTE(SUBSTITUTE(LOWER(Registro!$F282)," ",""),CHAR(10),"|"),";","|"),"+","|"),"|",REPT(" ",LEN(Registro!$F282))),({1,2,3,4,5,6,7,8,9,10,11,12,13,14,15,16,17,18,19,20,21,22,23,24,25,26,27,28,29,30}-1)*LEN(Registro!$F282)+1,LEN(Registro!$F282)))&amp;"x")+1,20))),"Revisar formato")))</f>
        <v/>
      </c>
      <c r="H282" s="21" t="str">
        <f>IF(AND(Registro!$E282="",Registro!$F282=""),"",IF(NOT(AND(ISNUMBER(G282),ISNUMBER(Registro!$G282))),"",IF(G282&lt;Registro!$G282,"FALTA BOLETOS",IF(G282=Registro!$G282,"CONFORME","DIFERENCIA"))))</f>
        <v/>
      </c>
      <c r="I282" s="24" t="str">
        <f>IF(Registro!$H282="","",IFERROR(SUMPRODUCT(--("0"&amp;TRIM(RIGHT(SUBSTITUTE(TRIM(MID(SUBSTITUTE(SUBSTITUTE(Registro!$H282,";",CHAR(10)),CHAR(10),REPT(" ",LEN(Registro!$H282))),({1,2,3,4,5,6,7,8,9,10,11,12,13,14,15,16,17,18,19,20,21,22,23,24,25,26,27,28,29,30}-1)*LEN(Registro!$H282)+1,LEN(Registro!$H282)))," ",REPT(" ",50)),50)))),"Revisar formato"))</f>
        <v/>
      </c>
      <c r="J282" s="24" t="str">
        <f>IF(Registro!$I282="","",IFERROR(SUMPRODUCT(--("0"&amp;TRIM(RIGHT(SUBSTITUTE(TRIM(MID(SUBSTITUTE(SUBSTITUTE(Registro!$I282,";",CHAR(10)),CHAR(10),REPT(" ",LEN(Registro!$I282))),({1,2,3,4,5,6,7,8,9,10,11,12,13,14,15,16,17,18,19,20,21,22,23,24,25,26,27,28,29,30}-1)*LEN(Registro!$I282)+1,LEN(Registro!$I282)))," ",REPT(" ",50)),50)))),"Revisar formato"))</f>
        <v/>
      </c>
      <c r="K282" s="24" t="str">
        <f>IF(AND(Registro!$G282="",Registro!$H282=""),"",IF(AND(ISTEXT(I282),I282&lt;&gt;""),"Revisar formato",N(Registro!$G282)-N(I282)))</f>
        <v/>
      </c>
      <c r="L282" s="24" t="str">
        <f t="shared" si="9"/>
        <v/>
      </c>
      <c r="M282" s="36" t="str">
        <f>IF(AND(A282=Consulta!$B$3,C282=Consulta!$H$3),B282*10000+ROW(),"")</f>
        <v/>
      </c>
    </row>
    <row r="283" spans="1:13" x14ac:dyDescent="0.25">
      <c r="A283" s="21" t="str">
        <f>IF(Registro!$A283="","",Registro!$A283)</f>
        <v/>
      </c>
      <c r="B283" s="20" t="str">
        <f>IF(Registro!$B283="","",Registro!$B283)</f>
        <v/>
      </c>
      <c r="C283" s="35" t="str">
        <f t="shared" si="8"/>
        <v/>
      </c>
      <c r="D283" s="23" t="str">
        <f>IF(Registro!$E283="","",IF(ISERROR(FIND("x",LOWER(Registro!$E283))),"-",IFERROR(SUMPRODUCT(--("0"&amp;LEFT(TRIM(MID(SUBSTITUTE(SUBSTITUTE(SUBSTITUTE(SUBSTITUTE(SUBSTITUTE(LOWER(Registro!$E283),"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",LEN(Registro!$E283))),({1,2,3,4,5,6,7,8,9,10,11,12,13,14,15,16,17,18,19,20,21,22,23,24,25,26,27,28,29,30}-1)*LEN(Registro!$E283)+1,LEN(Registro!$E283))),FIND("x",TRIM(MID(SUBSTITUTE(SUBSTITUTE(SUBSTITUTE(SUBSTITUTE(SUBSTITUTE(LOWER(Registro!$E283),"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",LEN(Registro!$E283))),({1,2,3,4,5,6,7,8,9,10,11,12,13,14,15,16,17,18,19,20,21,22,23,24,25,26,27,28,29,30}-1)*LEN(Registro!$E283)+1,LEN(Registro!$E283)))&amp;"x")-1))),"Revisar formato")))</f>
        <v/>
      </c>
      <c r="E283" s="24" t="str">
        <f>IF(Registro!$E283="","",IF(ISERROR(FIND("x",LOWER(Registro!$E283))),"-",IFERROR(SUMPRODUCT(--("0"&amp;LEFT(TRIM(MID(SUBSTITUTE(SUBSTITUTE(SUBSTITUTE(SUBSTITUTE(SUBSTITUTE(LOWER(Registro!$E283),"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",LEN(Registro!$E283))),({1,2,3,4,5,6,7,8,9,10,11,12,13,14,15,16,17,18,19,20,21,22,23,24,25,26,27,28,29,30}-1)*LEN(Registro!$E283)+1,LEN(Registro!$E283))),FIND("x",TRIM(MID(SUBSTITUTE(SUBSTITUTE(SUBSTITUTE(SUBSTITUTE(SUBSTITUTE(LOWER(Registro!$E283),"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",LEN(Registro!$E283))),({1,2,3,4,5,6,7,8,9,10,11,12,13,14,15,16,17,18,19,20,21,22,23,24,25,26,27,28,29,30}-1)*LEN(Registro!$E283)+1,LEN(Registro!$E283)))&amp;"x")-1)),--("0"&amp;MID(TRIM(MID(SUBSTITUTE(SUBSTITUTE(SUBSTITUTE(SUBSTITUTE(SUBSTITUTE(LOWER(Registro!$E283),"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",LEN(Registro!$E283))),({1,2,3,4,5,6,7,8,9,10,11,12,13,14,15,16,17,18,19,20,21,22,23,24,25,26,27,28,29,30}-1)*LEN(Registro!$E283)+1,LEN(Registro!$E283))),FIND("x",TRIM(MID(SUBSTITUTE(SUBSTITUTE(SUBSTITUTE(SUBSTITUTE(SUBSTITUTE(LOWER(Registro!$E283),"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",LEN(Registro!$E283))),({1,2,3,4,5,6,7,8,9,10,11,12,13,14,15,16,17,18,19,20,21,22,23,24,25,26,27,28,29,30}-1)*LEN(Registro!$E283)+1,LEN(Registro!$E283)))&amp;"x")+1,20))),"Revisar formato")))</f>
        <v/>
      </c>
      <c r="F283" s="23" t="str">
        <f>IF(Registro!$F283="","",IF(ISERROR(FIND("x",LOWER(Registro!$F283))),"-",IFERROR(SUMPRODUCT(--("0"&amp;LEFT(TRIM(MID(SUBSTITUTE(SUBSTITUTE(SUBSTITUTE(SUBSTITUTE(SUBSTITUTE(LOWER(Registro!$F283)," ",""),CHAR(10),"|"),";","|"),"+","|"),"|",REPT(" ",LEN(Registro!$F283))),({1,2,3,4,5,6,7,8,9,10,11,12,13,14,15,16,17,18,19,20,21,22,23,24,25,26,27,28,29,30}-1)*LEN(Registro!$F283)+1,LEN(Registro!$F283))),FIND("x",TRIM(MID(SUBSTITUTE(SUBSTITUTE(SUBSTITUTE(SUBSTITUTE(SUBSTITUTE(LOWER(Registro!$F283)," ",""),CHAR(10),"|"),";","|"),"+","|"),"|",REPT(" ",LEN(Registro!$F283))),({1,2,3,4,5,6,7,8,9,10,11,12,13,14,15,16,17,18,19,20,21,22,23,24,25,26,27,28,29,30}-1)*LEN(Registro!$F283)+1,LEN(Registro!$F283)))&amp;"x")-1))),"Revisar formato")))</f>
        <v/>
      </c>
      <c r="G283" s="24" t="str">
        <f>IF(Registro!$F283="","",IF(ISERROR(FIND("x",LOWER(Registro!$F283))),N(Registro!$G283),IFERROR(SUMPRODUCT(--("0"&amp;LEFT(TRIM(MID(SUBSTITUTE(SUBSTITUTE(SUBSTITUTE(SUBSTITUTE(SUBSTITUTE(LOWER(Registro!$F283)," ",""),CHAR(10),"|"),";","|"),"+","|"),"|",REPT(" ",LEN(Registro!$F283))),({1,2,3,4,5,6,7,8,9,10,11,12,13,14,15,16,17,18,19,20,21,22,23,24,25,26,27,28,29,30}-1)*LEN(Registro!$F283)+1,LEN(Registro!$F283))),FIND("x",TRIM(MID(SUBSTITUTE(SUBSTITUTE(SUBSTITUTE(SUBSTITUTE(SUBSTITUTE(LOWER(Registro!$F283)," ",""),CHAR(10),"|"),";","|"),"+","|"),"|",REPT(" ",LEN(Registro!$F283))),({1,2,3,4,5,6,7,8,9,10,11,12,13,14,15,16,17,18,19,20,21,22,23,24,25,26,27,28,29,30}-1)*LEN(Registro!$F283)+1,LEN(Registro!$F283)))&amp;"x")-1)),--("0"&amp;MID(TRIM(MID(SUBSTITUTE(SUBSTITUTE(SUBSTITUTE(SUBSTITUTE(SUBSTITUTE(LOWER(Registro!$F283)," ",""),CHAR(10),"|"),";","|"),"+","|"),"|",REPT(" ",LEN(Registro!$F283))),({1,2,3,4,5,6,7,8,9,10,11,12,13,14,15,16,17,18,19,20,21,22,23,24,25,26,27,28,29,30}-1)*LEN(Registro!$F283)+1,LEN(Registro!$F283))),FIND("x",TRIM(MID(SUBSTITUTE(SUBSTITUTE(SUBSTITUTE(SUBSTITUTE(SUBSTITUTE(LOWER(Registro!$F283)," ",""),CHAR(10),"|"),";","|"),"+","|"),"|",REPT(" ",LEN(Registro!$F283))),({1,2,3,4,5,6,7,8,9,10,11,12,13,14,15,16,17,18,19,20,21,22,23,24,25,26,27,28,29,30}-1)*LEN(Registro!$F283)+1,LEN(Registro!$F283)))&amp;"x")+1,20))),"Revisar formato")))</f>
        <v/>
      </c>
      <c r="H283" s="21" t="str">
        <f>IF(AND(Registro!$E283="",Registro!$F283=""),"",IF(NOT(AND(ISNUMBER(G283),ISNUMBER(Registro!$G283))),"",IF(G283&lt;Registro!$G283,"FALTA BOLETOS",IF(G283=Registro!$G283,"CONFORME","DIFERENCIA"))))</f>
        <v/>
      </c>
      <c r="I283" s="24" t="str">
        <f>IF(Registro!$H283="","",IFERROR(SUMPRODUCT(--("0"&amp;TRIM(RIGHT(SUBSTITUTE(TRIM(MID(SUBSTITUTE(SUBSTITUTE(Registro!$H283,";",CHAR(10)),CHAR(10),REPT(" ",LEN(Registro!$H283))),({1,2,3,4,5,6,7,8,9,10,11,12,13,14,15,16,17,18,19,20,21,22,23,24,25,26,27,28,29,30}-1)*LEN(Registro!$H283)+1,LEN(Registro!$H283)))," ",REPT(" ",50)),50)))),"Revisar formato"))</f>
        <v/>
      </c>
      <c r="J283" s="24" t="str">
        <f>IF(Registro!$I283="","",IFERROR(SUMPRODUCT(--("0"&amp;TRIM(RIGHT(SUBSTITUTE(TRIM(MID(SUBSTITUTE(SUBSTITUTE(Registro!$I283,";",CHAR(10)),CHAR(10),REPT(" ",LEN(Registro!$I283))),({1,2,3,4,5,6,7,8,9,10,11,12,13,14,15,16,17,18,19,20,21,22,23,24,25,26,27,28,29,30}-1)*LEN(Registro!$I283)+1,LEN(Registro!$I283)))," ",REPT(" ",50)),50)))),"Revisar formato"))</f>
        <v/>
      </c>
      <c r="K283" s="24" t="str">
        <f>IF(AND(Registro!$G283="",Registro!$H283=""),"",IF(AND(ISTEXT(I283),I283&lt;&gt;""),"Revisar formato",N(Registro!$G283)-N(I283)))</f>
        <v/>
      </c>
      <c r="L283" s="24" t="str">
        <f t="shared" si="9"/>
        <v/>
      </c>
      <c r="M283" s="36" t="str">
        <f>IF(AND(A283=Consulta!$B$3,C283=Consulta!$H$3),B283*10000+ROW(),"")</f>
        <v/>
      </c>
    </row>
    <row r="284" spans="1:13" x14ac:dyDescent="0.25">
      <c r="A284" s="21" t="str">
        <f>IF(Registro!$A284="","",Registro!$A284)</f>
        <v/>
      </c>
      <c r="B284" s="20" t="str">
        <f>IF(Registro!$B284="","",Registro!$B284)</f>
        <v/>
      </c>
      <c r="C284" s="35" t="str">
        <f t="shared" si="8"/>
        <v/>
      </c>
      <c r="D284" s="23" t="str">
        <f>IF(Registro!$E284="","",IF(ISERROR(FIND("x",LOWER(Registro!$E284))),"-",IFERROR(SUMPRODUCT(--("0"&amp;LEFT(TRIM(MID(SUBSTITUTE(SUBSTITUTE(SUBSTITUTE(SUBSTITUTE(SUBSTITUTE(LOWER(Registro!$E284),"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",LEN(Registro!$E284))),({1,2,3,4,5,6,7,8,9,10,11,12,13,14,15,16,17,18,19,20,21,22,23,24,25,26,27,28,29,30}-1)*LEN(Registro!$E284)+1,LEN(Registro!$E284))),FIND("x",TRIM(MID(SUBSTITUTE(SUBSTITUTE(SUBSTITUTE(SUBSTITUTE(SUBSTITUTE(LOWER(Registro!$E284),"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",LEN(Registro!$E284))),({1,2,3,4,5,6,7,8,9,10,11,12,13,14,15,16,17,18,19,20,21,22,23,24,25,26,27,28,29,30}-1)*LEN(Registro!$E284)+1,LEN(Registro!$E284)))&amp;"x")-1))),"Revisar formato")))</f>
        <v/>
      </c>
      <c r="E284" s="24" t="str">
        <f>IF(Registro!$E284="","",IF(ISERROR(FIND("x",LOWER(Registro!$E284))),"-",IFERROR(SUMPRODUCT(--("0"&amp;LEFT(TRIM(MID(SUBSTITUTE(SUBSTITUTE(SUBSTITUTE(SUBSTITUTE(SUBSTITUTE(LOWER(Registro!$E284),"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",LEN(Registro!$E284))),({1,2,3,4,5,6,7,8,9,10,11,12,13,14,15,16,17,18,19,20,21,22,23,24,25,26,27,28,29,30}-1)*LEN(Registro!$E284)+1,LEN(Registro!$E284))),FIND("x",TRIM(MID(SUBSTITUTE(SUBSTITUTE(SUBSTITUTE(SUBSTITUTE(SUBSTITUTE(LOWER(Registro!$E284),"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",LEN(Registro!$E284))),({1,2,3,4,5,6,7,8,9,10,11,12,13,14,15,16,17,18,19,20,21,22,23,24,25,26,27,28,29,30}-1)*LEN(Registro!$E284)+1,LEN(Registro!$E284)))&amp;"x")-1)),--("0"&amp;MID(TRIM(MID(SUBSTITUTE(SUBSTITUTE(SUBSTITUTE(SUBSTITUTE(SUBSTITUTE(LOWER(Registro!$E284),"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",LEN(Registro!$E284))),({1,2,3,4,5,6,7,8,9,10,11,12,13,14,15,16,17,18,19,20,21,22,23,24,25,26,27,28,29,30}-1)*LEN(Registro!$E284)+1,LEN(Registro!$E284))),FIND("x",TRIM(MID(SUBSTITUTE(SUBSTITUTE(SUBSTITUTE(SUBSTITUTE(SUBSTITUTE(LOWER(Registro!$E284),"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",LEN(Registro!$E284))),({1,2,3,4,5,6,7,8,9,10,11,12,13,14,15,16,17,18,19,20,21,22,23,24,25,26,27,28,29,30}-1)*LEN(Registro!$E284)+1,LEN(Registro!$E284)))&amp;"x")+1,20))),"Revisar formato")))</f>
        <v/>
      </c>
      <c r="F284" s="23" t="str">
        <f>IF(Registro!$F284="","",IF(ISERROR(FIND("x",LOWER(Registro!$F284))),"-",IFERROR(SUMPRODUCT(--("0"&amp;LEFT(TRIM(MID(SUBSTITUTE(SUBSTITUTE(SUBSTITUTE(SUBSTITUTE(SUBSTITUTE(LOWER(Registro!$F284)," ",""),CHAR(10),"|"),";","|"),"+","|"),"|",REPT(" ",LEN(Registro!$F284))),({1,2,3,4,5,6,7,8,9,10,11,12,13,14,15,16,17,18,19,20,21,22,23,24,25,26,27,28,29,30}-1)*LEN(Registro!$F284)+1,LEN(Registro!$F284))),FIND("x",TRIM(MID(SUBSTITUTE(SUBSTITUTE(SUBSTITUTE(SUBSTITUTE(SUBSTITUTE(LOWER(Registro!$F284)," ",""),CHAR(10),"|"),";","|"),"+","|"),"|",REPT(" ",LEN(Registro!$F284))),({1,2,3,4,5,6,7,8,9,10,11,12,13,14,15,16,17,18,19,20,21,22,23,24,25,26,27,28,29,30}-1)*LEN(Registro!$F284)+1,LEN(Registro!$F284)))&amp;"x")-1))),"Revisar formato")))</f>
        <v/>
      </c>
      <c r="G284" s="24" t="str">
        <f>IF(Registro!$F284="","",IF(ISERROR(FIND("x",LOWER(Registro!$F284))),N(Registro!$G284),IFERROR(SUMPRODUCT(--("0"&amp;LEFT(TRIM(MID(SUBSTITUTE(SUBSTITUTE(SUBSTITUTE(SUBSTITUTE(SUBSTITUTE(LOWER(Registro!$F284)," ",""),CHAR(10),"|"),";","|"),"+","|"),"|",REPT(" ",LEN(Registro!$F284))),({1,2,3,4,5,6,7,8,9,10,11,12,13,14,15,16,17,18,19,20,21,22,23,24,25,26,27,28,29,30}-1)*LEN(Registro!$F284)+1,LEN(Registro!$F284))),FIND("x",TRIM(MID(SUBSTITUTE(SUBSTITUTE(SUBSTITUTE(SUBSTITUTE(SUBSTITUTE(LOWER(Registro!$F284)," ",""),CHAR(10),"|"),";","|"),"+","|"),"|",REPT(" ",LEN(Registro!$F284))),({1,2,3,4,5,6,7,8,9,10,11,12,13,14,15,16,17,18,19,20,21,22,23,24,25,26,27,28,29,30}-1)*LEN(Registro!$F284)+1,LEN(Registro!$F284)))&amp;"x")-1)),--("0"&amp;MID(TRIM(MID(SUBSTITUTE(SUBSTITUTE(SUBSTITUTE(SUBSTITUTE(SUBSTITUTE(LOWER(Registro!$F284)," ",""),CHAR(10),"|"),";","|"),"+","|"),"|",REPT(" ",LEN(Registro!$F284))),({1,2,3,4,5,6,7,8,9,10,11,12,13,14,15,16,17,18,19,20,21,22,23,24,25,26,27,28,29,30}-1)*LEN(Registro!$F284)+1,LEN(Registro!$F284))),FIND("x",TRIM(MID(SUBSTITUTE(SUBSTITUTE(SUBSTITUTE(SUBSTITUTE(SUBSTITUTE(LOWER(Registro!$F284)," ",""),CHAR(10),"|"),";","|"),"+","|"),"|",REPT(" ",LEN(Registro!$F284))),({1,2,3,4,5,6,7,8,9,10,11,12,13,14,15,16,17,18,19,20,21,22,23,24,25,26,27,28,29,30}-1)*LEN(Registro!$F284)+1,LEN(Registro!$F284)))&amp;"x")+1,20))),"Revisar formato")))</f>
        <v/>
      </c>
      <c r="H284" s="21" t="str">
        <f>IF(AND(Registro!$E284="",Registro!$F284=""),"",IF(NOT(AND(ISNUMBER(G284),ISNUMBER(Registro!$G284))),"",IF(G284&lt;Registro!$G284,"FALTA BOLETOS",IF(G284=Registro!$G284,"CONFORME","DIFERENCIA"))))</f>
        <v/>
      </c>
      <c r="I284" s="24" t="str">
        <f>IF(Registro!$H284="","",IFERROR(SUMPRODUCT(--("0"&amp;TRIM(RIGHT(SUBSTITUTE(TRIM(MID(SUBSTITUTE(SUBSTITUTE(Registro!$H284,";",CHAR(10)),CHAR(10),REPT(" ",LEN(Registro!$H284))),({1,2,3,4,5,6,7,8,9,10,11,12,13,14,15,16,17,18,19,20,21,22,23,24,25,26,27,28,29,30}-1)*LEN(Registro!$H284)+1,LEN(Registro!$H284)))," ",REPT(" ",50)),50)))),"Revisar formato"))</f>
        <v/>
      </c>
      <c r="J284" s="24" t="str">
        <f>IF(Registro!$I284="","",IFERROR(SUMPRODUCT(--("0"&amp;TRIM(RIGHT(SUBSTITUTE(TRIM(MID(SUBSTITUTE(SUBSTITUTE(Registro!$I284,";",CHAR(10)),CHAR(10),REPT(" ",LEN(Registro!$I284))),({1,2,3,4,5,6,7,8,9,10,11,12,13,14,15,16,17,18,19,20,21,22,23,24,25,26,27,28,29,30}-1)*LEN(Registro!$I284)+1,LEN(Registro!$I284)))," ",REPT(" ",50)),50)))),"Revisar formato"))</f>
        <v/>
      </c>
      <c r="K284" s="24" t="str">
        <f>IF(AND(Registro!$G284="",Registro!$H284=""),"",IF(AND(ISTEXT(I284),I284&lt;&gt;""),"Revisar formato",N(Registro!$G284)-N(I284)))</f>
        <v/>
      </c>
      <c r="L284" s="24" t="str">
        <f t="shared" si="9"/>
        <v/>
      </c>
      <c r="M284" s="36" t="str">
        <f>IF(AND(A284=Consulta!$B$3,C284=Consulta!$H$3),B284*10000+ROW(),"")</f>
        <v/>
      </c>
    </row>
    <row r="285" spans="1:13" x14ac:dyDescent="0.25">
      <c r="A285" s="21" t="str">
        <f>IF(Registro!$A285="","",Registro!$A285)</f>
        <v/>
      </c>
      <c r="B285" s="20" t="str">
        <f>IF(Registro!$B285="","",Registro!$B285)</f>
        <v/>
      </c>
      <c r="C285" s="35" t="str">
        <f t="shared" si="8"/>
        <v/>
      </c>
      <c r="D285" s="23" t="str">
        <f>IF(Registro!$E285="","",IF(ISERROR(FIND("x",LOWER(Registro!$E285))),"-",IFERROR(SUMPRODUCT(--("0"&amp;LEFT(TRIM(MID(SUBSTITUTE(SUBSTITUTE(SUBSTITUTE(SUBSTITUTE(SUBSTITUTE(LOWER(Registro!$E285),"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",LEN(Registro!$E285))),({1,2,3,4,5,6,7,8,9,10,11,12,13,14,15,16,17,18,19,20,21,22,23,24,25,26,27,28,29,30}-1)*LEN(Registro!$E285)+1,LEN(Registro!$E285))),FIND("x",TRIM(MID(SUBSTITUTE(SUBSTITUTE(SUBSTITUTE(SUBSTITUTE(SUBSTITUTE(LOWER(Registro!$E285),"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",LEN(Registro!$E285))),({1,2,3,4,5,6,7,8,9,10,11,12,13,14,15,16,17,18,19,20,21,22,23,24,25,26,27,28,29,30}-1)*LEN(Registro!$E285)+1,LEN(Registro!$E285)))&amp;"x")-1))),"Revisar formato")))</f>
        <v/>
      </c>
      <c r="E285" s="24" t="str">
        <f>IF(Registro!$E285="","",IF(ISERROR(FIND("x",LOWER(Registro!$E285))),"-",IFERROR(SUMPRODUCT(--("0"&amp;LEFT(TRIM(MID(SUBSTITUTE(SUBSTITUTE(SUBSTITUTE(SUBSTITUTE(SUBSTITUTE(LOWER(Registro!$E285),"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",LEN(Registro!$E285))),({1,2,3,4,5,6,7,8,9,10,11,12,13,14,15,16,17,18,19,20,21,22,23,24,25,26,27,28,29,30}-1)*LEN(Registro!$E285)+1,LEN(Registro!$E285))),FIND("x",TRIM(MID(SUBSTITUTE(SUBSTITUTE(SUBSTITUTE(SUBSTITUTE(SUBSTITUTE(LOWER(Registro!$E285),"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",LEN(Registro!$E285))),({1,2,3,4,5,6,7,8,9,10,11,12,13,14,15,16,17,18,19,20,21,22,23,24,25,26,27,28,29,30}-1)*LEN(Registro!$E285)+1,LEN(Registro!$E285)))&amp;"x")-1)),--("0"&amp;MID(TRIM(MID(SUBSTITUTE(SUBSTITUTE(SUBSTITUTE(SUBSTITUTE(SUBSTITUTE(LOWER(Registro!$E285),"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",LEN(Registro!$E285))),({1,2,3,4,5,6,7,8,9,10,11,12,13,14,15,16,17,18,19,20,21,22,23,24,25,26,27,28,29,30}-1)*LEN(Registro!$E285)+1,LEN(Registro!$E285))),FIND("x",TRIM(MID(SUBSTITUTE(SUBSTITUTE(SUBSTITUTE(SUBSTITUTE(SUBSTITUTE(LOWER(Registro!$E285),"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",LEN(Registro!$E285))),({1,2,3,4,5,6,7,8,9,10,11,12,13,14,15,16,17,18,19,20,21,22,23,24,25,26,27,28,29,30}-1)*LEN(Registro!$E285)+1,LEN(Registro!$E285)))&amp;"x")+1,20))),"Revisar formato")))</f>
        <v/>
      </c>
      <c r="F285" s="23" t="str">
        <f>IF(Registro!$F285="","",IF(ISERROR(FIND("x",LOWER(Registro!$F285))),"-",IFERROR(SUMPRODUCT(--("0"&amp;LEFT(TRIM(MID(SUBSTITUTE(SUBSTITUTE(SUBSTITUTE(SUBSTITUTE(SUBSTITUTE(LOWER(Registro!$F285)," ",""),CHAR(10),"|"),";","|"),"+","|"),"|",REPT(" ",LEN(Registro!$F285))),({1,2,3,4,5,6,7,8,9,10,11,12,13,14,15,16,17,18,19,20,21,22,23,24,25,26,27,28,29,30}-1)*LEN(Registro!$F285)+1,LEN(Registro!$F285))),FIND("x",TRIM(MID(SUBSTITUTE(SUBSTITUTE(SUBSTITUTE(SUBSTITUTE(SUBSTITUTE(LOWER(Registro!$F285)," ",""),CHAR(10),"|"),";","|"),"+","|"),"|",REPT(" ",LEN(Registro!$F285))),({1,2,3,4,5,6,7,8,9,10,11,12,13,14,15,16,17,18,19,20,21,22,23,24,25,26,27,28,29,30}-1)*LEN(Registro!$F285)+1,LEN(Registro!$F285)))&amp;"x")-1))),"Revisar formato")))</f>
        <v/>
      </c>
      <c r="G285" s="24" t="str">
        <f>IF(Registro!$F285="","",IF(ISERROR(FIND("x",LOWER(Registro!$F285))),N(Registro!$G285),IFERROR(SUMPRODUCT(--("0"&amp;LEFT(TRIM(MID(SUBSTITUTE(SUBSTITUTE(SUBSTITUTE(SUBSTITUTE(SUBSTITUTE(LOWER(Registro!$F285)," ",""),CHAR(10),"|"),";","|"),"+","|"),"|",REPT(" ",LEN(Registro!$F285))),({1,2,3,4,5,6,7,8,9,10,11,12,13,14,15,16,17,18,19,20,21,22,23,24,25,26,27,28,29,30}-1)*LEN(Registro!$F285)+1,LEN(Registro!$F285))),FIND("x",TRIM(MID(SUBSTITUTE(SUBSTITUTE(SUBSTITUTE(SUBSTITUTE(SUBSTITUTE(LOWER(Registro!$F285)," ",""),CHAR(10),"|"),";","|"),"+","|"),"|",REPT(" ",LEN(Registro!$F285))),({1,2,3,4,5,6,7,8,9,10,11,12,13,14,15,16,17,18,19,20,21,22,23,24,25,26,27,28,29,30}-1)*LEN(Registro!$F285)+1,LEN(Registro!$F285)))&amp;"x")-1)),--("0"&amp;MID(TRIM(MID(SUBSTITUTE(SUBSTITUTE(SUBSTITUTE(SUBSTITUTE(SUBSTITUTE(LOWER(Registro!$F285)," ",""),CHAR(10),"|"),";","|"),"+","|"),"|",REPT(" ",LEN(Registro!$F285))),({1,2,3,4,5,6,7,8,9,10,11,12,13,14,15,16,17,18,19,20,21,22,23,24,25,26,27,28,29,30}-1)*LEN(Registro!$F285)+1,LEN(Registro!$F285))),FIND("x",TRIM(MID(SUBSTITUTE(SUBSTITUTE(SUBSTITUTE(SUBSTITUTE(SUBSTITUTE(LOWER(Registro!$F285)," ",""),CHAR(10),"|"),";","|"),"+","|"),"|",REPT(" ",LEN(Registro!$F285))),({1,2,3,4,5,6,7,8,9,10,11,12,13,14,15,16,17,18,19,20,21,22,23,24,25,26,27,28,29,30}-1)*LEN(Registro!$F285)+1,LEN(Registro!$F285)))&amp;"x")+1,20))),"Revisar formato")))</f>
        <v/>
      </c>
      <c r="H285" s="21" t="str">
        <f>IF(AND(Registro!$E285="",Registro!$F285=""),"",IF(NOT(AND(ISNUMBER(G285),ISNUMBER(Registro!$G285))),"",IF(G285&lt;Registro!$G285,"FALTA BOLETOS",IF(G285=Registro!$G285,"CONFORME","DIFERENCIA"))))</f>
        <v/>
      </c>
      <c r="I285" s="24" t="str">
        <f>IF(Registro!$H285="","",IFERROR(SUMPRODUCT(--("0"&amp;TRIM(RIGHT(SUBSTITUTE(TRIM(MID(SUBSTITUTE(SUBSTITUTE(Registro!$H285,";",CHAR(10)),CHAR(10),REPT(" ",LEN(Registro!$H285))),({1,2,3,4,5,6,7,8,9,10,11,12,13,14,15,16,17,18,19,20,21,22,23,24,25,26,27,28,29,30}-1)*LEN(Registro!$H285)+1,LEN(Registro!$H285)))," ",REPT(" ",50)),50)))),"Revisar formato"))</f>
        <v/>
      </c>
      <c r="J285" s="24" t="str">
        <f>IF(Registro!$I285="","",IFERROR(SUMPRODUCT(--("0"&amp;TRIM(RIGHT(SUBSTITUTE(TRIM(MID(SUBSTITUTE(SUBSTITUTE(Registro!$I285,";",CHAR(10)),CHAR(10),REPT(" ",LEN(Registro!$I285))),({1,2,3,4,5,6,7,8,9,10,11,12,13,14,15,16,17,18,19,20,21,22,23,24,25,26,27,28,29,30}-1)*LEN(Registro!$I285)+1,LEN(Registro!$I285)))," ",REPT(" ",50)),50)))),"Revisar formato"))</f>
        <v/>
      </c>
      <c r="K285" s="24" t="str">
        <f>IF(AND(Registro!$G285="",Registro!$H285=""),"",IF(AND(ISTEXT(I285),I285&lt;&gt;""),"Revisar formato",N(Registro!$G285)-N(I285)))</f>
        <v/>
      </c>
      <c r="L285" s="24" t="str">
        <f t="shared" si="9"/>
        <v/>
      </c>
      <c r="M285" s="36" t="str">
        <f>IF(AND(A285=Consulta!$B$3,C285=Consulta!$H$3),B285*10000+ROW(),"")</f>
        <v/>
      </c>
    </row>
    <row r="286" spans="1:13" x14ac:dyDescent="0.25">
      <c r="A286" s="21" t="str">
        <f>IF(Registro!$A286="","",Registro!$A286)</f>
        <v/>
      </c>
      <c r="B286" s="20" t="str">
        <f>IF(Registro!$B286="","",Registro!$B286)</f>
        <v/>
      </c>
      <c r="C286" s="35" t="str">
        <f t="shared" si="8"/>
        <v/>
      </c>
      <c r="D286" s="23" t="str">
        <f>IF(Registro!$E286="","",IF(ISERROR(FIND("x",LOWER(Registro!$E286))),"-",IFERROR(SUMPRODUCT(--("0"&amp;LEFT(TRIM(MID(SUBSTITUTE(SUBSTITUTE(SUBSTITUTE(SUBSTITUTE(SUBSTITUTE(LOWER(Registro!$E286),"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",LEN(Registro!$E286))),({1,2,3,4,5,6,7,8,9,10,11,12,13,14,15,16,17,18,19,20,21,22,23,24,25,26,27,28,29,30}-1)*LEN(Registro!$E286)+1,LEN(Registro!$E286))),FIND("x",TRIM(MID(SUBSTITUTE(SUBSTITUTE(SUBSTITUTE(SUBSTITUTE(SUBSTITUTE(LOWER(Registro!$E286),"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",LEN(Registro!$E286))),({1,2,3,4,5,6,7,8,9,10,11,12,13,14,15,16,17,18,19,20,21,22,23,24,25,26,27,28,29,30}-1)*LEN(Registro!$E286)+1,LEN(Registro!$E286)))&amp;"x")-1))),"Revisar formato")))</f>
        <v/>
      </c>
      <c r="E286" s="24" t="str">
        <f>IF(Registro!$E286="","",IF(ISERROR(FIND("x",LOWER(Registro!$E286))),"-",IFERROR(SUMPRODUCT(--("0"&amp;LEFT(TRIM(MID(SUBSTITUTE(SUBSTITUTE(SUBSTITUTE(SUBSTITUTE(SUBSTITUTE(LOWER(Registro!$E286),"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",LEN(Registro!$E286))),({1,2,3,4,5,6,7,8,9,10,11,12,13,14,15,16,17,18,19,20,21,22,23,24,25,26,27,28,29,30}-1)*LEN(Registro!$E286)+1,LEN(Registro!$E286))),FIND("x",TRIM(MID(SUBSTITUTE(SUBSTITUTE(SUBSTITUTE(SUBSTITUTE(SUBSTITUTE(LOWER(Registro!$E286),"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",LEN(Registro!$E286))),({1,2,3,4,5,6,7,8,9,10,11,12,13,14,15,16,17,18,19,20,21,22,23,24,25,26,27,28,29,30}-1)*LEN(Registro!$E286)+1,LEN(Registro!$E286)))&amp;"x")-1)),--("0"&amp;MID(TRIM(MID(SUBSTITUTE(SUBSTITUTE(SUBSTITUTE(SUBSTITUTE(SUBSTITUTE(LOWER(Registro!$E286),"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",LEN(Registro!$E286))),({1,2,3,4,5,6,7,8,9,10,11,12,13,14,15,16,17,18,19,20,21,22,23,24,25,26,27,28,29,30}-1)*LEN(Registro!$E286)+1,LEN(Registro!$E286))),FIND("x",TRIM(MID(SUBSTITUTE(SUBSTITUTE(SUBSTITUTE(SUBSTITUTE(SUBSTITUTE(LOWER(Registro!$E286),"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",LEN(Registro!$E286))),({1,2,3,4,5,6,7,8,9,10,11,12,13,14,15,16,17,18,19,20,21,22,23,24,25,26,27,28,29,30}-1)*LEN(Registro!$E286)+1,LEN(Registro!$E286)))&amp;"x")+1,20))),"Revisar formato")))</f>
        <v/>
      </c>
      <c r="F286" s="23" t="str">
        <f>IF(Registro!$F286="","",IF(ISERROR(FIND("x",LOWER(Registro!$F286))),"-",IFERROR(SUMPRODUCT(--("0"&amp;LEFT(TRIM(MID(SUBSTITUTE(SUBSTITUTE(SUBSTITUTE(SUBSTITUTE(SUBSTITUTE(LOWER(Registro!$F286)," ",""),CHAR(10),"|"),";","|"),"+","|"),"|",REPT(" ",LEN(Registro!$F286))),({1,2,3,4,5,6,7,8,9,10,11,12,13,14,15,16,17,18,19,20,21,22,23,24,25,26,27,28,29,30}-1)*LEN(Registro!$F286)+1,LEN(Registro!$F286))),FIND("x",TRIM(MID(SUBSTITUTE(SUBSTITUTE(SUBSTITUTE(SUBSTITUTE(SUBSTITUTE(LOWER(Registro!$F286)," ",""),CHAR(10),"|"),";","|"),"+","|"),"|",REPT(" ",LEN(Registro!$F286))),({1,2,3,4,5,6,7,8,9,10,11,12,13,14,15,16,17,18,19,20,21,22,23,24,25,26,27,28,29,30}-1)*LEN(Registro!$F286)+1,LEN(Registro!$F286)))&amp;"x")-1))),"Revisar formato")))</f>
        <v/>
      </c>
      <c r="G286" s="24" t="str">
        <f>IF(Registro!$F286="","",IF(ISERROR(FIND("x",LOWER(Registro!$F286))),N(Registro!$G286),IFERROR(SUMPRODUCT(--("0"&amp;LEFT(TRIM(MID(SUBSTITUTE(SUBSTITUTE(SUBSTITUTE(SUBSTITUTE(SUBSTITUTE(LOWER(Registro!$F286)," ",""),CHAR(10),"|"),";","|"),"+","|"),"|",REPT(" ",LEN(Registro!$F286))),({1,2,3,4,5,6,7,8,9,10,11,12,13,14,15,16,17,18,19,20,21,22,23,24,25,26,27,28,29,30}-1)*LEN(Registro!$F286)+1,LEN(Registro!$F286))),FIND("x",TRIM(MID(SUBSTITUTE(SUBSTITUTE(SUBSTITUTE(SUBSTITUTE(SUBSTITUTE(LOWER(Registro!$F286)," ",""),CHAR(10),"|"),";","|"),"+","|"),"|",REPT(" ",LEN(Registro!$F286))),({1,2,3,4,5,6,7,8,9,10,11,12,13,14,15,16,17,18,19,20,21,22,23,24,25,26,27,28,29,30}-1)*LEN(Registro!$F286)+1,LEN(Registro!$F286)))&amp;"x")-1)),--("0"&amp;MID(TRIM(MID(SUBSTITUTE(SUBSTITUTE(SUBSTITUTE(SUBSTITUTE(SUBSTITUTE(LOWER(Registro!$F286)," ",""),CHAR(10),"|"),";","|"),"+","|"),"|",REPT(" ",LEN(Registro!$F286))),({1,2,3,4,5,6,7,8,9,10,11,12,13,14,15,16,17,18,19,20,21,22,23,24,25,26,27,28,29,30}-1)*LEN(Registro!$F286)+1,LEN(Registro!$F286))),FIND("x",TRIM(MID(SUBSTITUTE(SUBSTITUTE(SUBSTITUTE(SUBSTITUTE(SUBSTITUTE(LOWER(Registro!$F286)," ",""),CHAR(10),"|"),";","|"),"+","|"),"|",REPT(" ",LEN(Registro!$F286))),({1,2,3,4,5,6,7,8,9,10,11,12,13,14,15,16,17,18,19,20,21,22,23,24,25,26,27,28,29,30}-1)*LEN(Registro!$F286)+1,LEN(Registro!$F286)))&amp;"x")+1,20))),"Revisar formato")))</f>
        <v/>
      </c>
      <c r="H286" s="21" t="str">
        <f>IF(AND(Registro!$E286="",Registro!$F286=""),"",IF(NOT(AND(ISNUMBER(G286),ISNUMBER(Registro!$G286))),"",IF(G286&lt;Registro!$G286,"FALTA BOLETOS",IF(G286=Registro!$G286,"CONFORME","DIFERENCIA"))))</f>
        <v/>
      </c>
      <c r="I286" s="24" t="str">
        <f>IF(Registro!$H286="","",IFERROR(SUMPRODUCT(--("0"&amp;TRIM(RIGHT(SUBSTITUTE(TRIM(MID(SUBSTITUTE(SUBSTITUTE(Registro!$H286,";",CHAR(10)),CHAR(10),REPT(" ",LEN(Registro!$H286))),({1,2,3,4,5,6,7,8,9,10,11,12,13,14,15,16,17,18,19,20,21,22,23,24,25,26,27,28,29,30}-1)*LEN(Registro!$H286)+1,LEN(Registro!$H286)))," ",REPT(" ",50)),50)))),"Revisar formato"))</f>
        <v/>
      </c>
      <c r="J286" s="24" t="str">
        <f>IF(Registro!$I286="","",IFERROR(SUMPRODUCT(--("0"&amp;TRIM(RIGHT(SUBSTITUTE(TRIM(MID(SUBSTITUTE(SUBSTITUTE(Registro!$I286,";",CHAR(10)),CHAR(10),REPT(" ",LEN(Registro!$I286))),({1,2,3,4,5,6,7,8,9,10,11,12,13,14,15,16,17,18,19,20,21,22,23,24,25,26,27,28,29,30}-1)*LEN(Registro!$I286)+1,LEN(Registro!$I286)))," ",REPT(" ",50)),50)))),"Revisar formato"))</f>
        <v/>
      </c>
      <c r="K286" s="24" t="str">
        <f>IF(AND(Registro!$G286="",Registro!$H286=""),"",IF(AND(ISTEXT(I286),I286&lt;&gt;""),"Revisar formato",N(Registro!$G286)-N(I286)))</f>
        <v/>
      </c>
      <c r="L286" s="24" t="str">
        <f t="shared" si="9"/>
        <v/>
      </c>
      <c r="M286" s="36" t="str">
        <f>IF(AND(A286=Consulta!$B$3,C286=Consulta!$H$3),B286*10000+ROW(),"")</f>
        <v/>
      </c>
    </row>
    <row r="287" spans="1:13" x14ac:dyDescent="0.25">
      <c r="A287" s="21" t="str">
        <f>IF(Registro!$A287="","",Registro!$A287)</f>
        <v/>
      </c>
      <c r="B287" s="20" t="str">
        <f>IF(Registro!$B287="","",Registro!$B287)</f>
        <v/>
      </c>
      <c r="C287" s="35" t="str">
        <f t="shared" si="8"/>
        <v/>
      </c>
      <c r="D287" s="23" t="str">
        <f>IF(Registro!$E287="","",IF(ISERROR(FIND("x",LOWER(Registro!$E287))),"-",IFERROR(SUMPRODUCT(--("0"&amp;LEFT(TRIM(MID(SUBSTITUTE(SUBSTITUTE(SUBSTITUTE(SUBSTITUTE(SUBSTITUTE(LOWER(Registro!$E287),"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",LEN(Registro!$E287))),({1,2,3,4,5,6,7,8,9,10,11,12,13,14,15,16,17,18,19,20,21,22,23,24,25,26,27,28,29,30}-1)*LEN(Registro!$E287)+1,LEN(Registro!$E287))),FIND("x",TRIM(MID(SUBSTITUTE(SUBSTITUTE(SUBSTITUTE(SUBSTITUTE(SUBSTITUTE(LOWER(Registro!$E287),"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",LEN(Registro!$E287))),({1,2,3,4,5,6,7,8,9,10,11,12,13,14,15,16,17,18,19,20,21,22,23,24,25,26,27,28,29,30}-1)*LEN(Registro!$E287)+1,LEN(Registro!$E287)))&amp;"x")-1))),"Revisar formato")))</f>
        <v/>
      </c>
      <c r="E287" s="24" t="str">
        <f>IF(Registro!$E287="","",IF(ISERROR(FIND("x",LOWER(Registro!$E287))),"-",IFERROR(SUMPRODUCT(--("0"&amp;LEFT(TRIM(MID(SUBSTITUTE(SUBSTITUTE(SUBSTITUTE(SUBSTITUTE(SUBSTITUTE(LOWER(Registro!$E287),"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",LEN(Registro!$E287))),({1,2,3,4,5,6,7,8,9,10,11,12,13,14,15,16,17,18,19,20,21,22,23,24,25,26,27,28,29,30}-1)*LEN(Registro!$E287)+1,LEN(Registro!$E287))),FIND("x",TRIM(MID(SUBSTITUTE(SUBSTITUTE(SUBSTITUTE(SUBSTITUTE(SUBSTITUTE(LOWER(Registro!$E287),"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",LEN(Registro!$E287))),({1,2,3,4,5,6,7,8,9,10,11,12,13,14,15,16,17,18,19,20,21,22,23,24,25,26,27,28,29,30}-1)*LEN(Registro!$E287)+1,LEN(Registro!$E287)))&amp;"x")-1)),--("0"&amp;MID(TRIM(MID(SUBSTITUTE(SUBSTITUTE(SUBSTITUTE(SUBSTITUTE(SUBSTITUTE(LOWER(Registro!$E287),"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",LEN(Registro!$E287))),({1,2,3,4,5,6,7,8,9,10,11,12,13,14,15,16,17,18,19,20,21,22,23,24,25,26,27,28,29,30}-1)*LEN(Registro!$E287)+1,LEN(Registro!$E287))),FIND("x",TRIM(MID(SUBSTITUTE(SUBSTITUTE(SUBSTITUTE(SUBSTITUTE(SUBSTITUTE(LOWER(Registro!$E287),"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",LEN(Registro!$E287))),({1,2,3,4,5,6,7,8,9,10,11,12,13,14,15,16,17,18,19,20,21,22,23,24,25,26,27,28,29,30}-1)*LEN(Registro!$E287)+1,LEN(Registro!$E287)))&amp;"x")+1,20))),"Revisar formato")))</f>
        <v/>
      </c>
      <c r="F287" s="23" t="str">
        <f>IF(Registro!$F287="","",IF(ISERROR(FIND("x",LOWER(Registro!$F287))),"-",IFERROR(SUMPRODUCT(--("0"&amp;LEFT(TRIM(MID(SUBSTITUTE(SUBSTITUTE(SUBSTITUTE(SUBSTITUTE(SUBSTITUTE(LOWER(Registro!$F287)," ",""),CHAR(10),"|"),";","|"),"+","|"),"|",REPT(" ",LEN(Registro!$F287))),({1,2,3,4,5,6,7,8,9,10,11,12,13,14,15,16,17,18,19,20,21,22,23,24,25,26,27,28,29,30}-1)*LEN(Registro!$F287)+1,LEN(Registro!$F287))),FIND("x",TRIM(MID(SUBSTITUTE(SUBSTITUTE(SUBSTITUTE(SUBSTITUTE(SUBSTITUTE(LOWER(Registro!$F287)," ",""),CHAR(10),"|"),";","|"),"+","|"),"|",REPT(" ",LEN(Registro!$F287))),({1,2,3,4,5,6,7,8,9,10,11,12,13,14,15,16,17,18,19,20,21,22,23,24,25,26,27,28,29,30}-1)*LEN(Registro!$F287)+1,LEN(Registro!$F287)))&amp;"x")-1))),"Revisar formato")))</f>
        <v/>
      </c>
      <c r="G287" s="24" t="str">
        <f>IF(Registro!$F287="","",IF(ISERROR(FIND("x",LOWER(Registro!$F287))),N(Registro!$G287),IFERROR(SUMPRODUCT(--("0"&amp;LEFT(TRIM(MID(SUBSTITUTE(SUBSTITUTE(SUBSTITUTE(SUBSTITUTE(SUBSTITUTE(LOWER(Registro!$F287)," ",""),CHAR(10),"|"),";","|"),"+","|"),"|",REPT(" ",LEN(Registro!$F287))),({1,2,3,4,5,6,7,8,9,10,11,12,13,14,15,16,17,18,19,20,21,22,23,24,25,26,27,28,29,30}-1)*LEN(Registro!$F287)+1,LEN(Registro!$F287))),FIND("x",TRIM(MID(SUBSTITUTE(SUBSTITUTE(SUBSTITUTE(SUBSTITUTE(SUBSTITUTE(LOWER(Registro!$F287)," ",""),CHAR(10),"|"),";","|"),"+","|"),"|",REPT(" ",LEN(Registro!$F287))),({1,2,3,4,5,6,7,8,9,10,11,12,13,14,15,16,17,18,19,20,21,22,23,24,25,26,27,28,29,30}-1)*LEN(Registro!$F287)+1,LEN(Registro!$F287)))&amp;"x")-1)),--("0"&amp;MID(TRIM(MID(SUBSTITUTE(SUBSTITUTE(SUBSTITUTE(SUBSTITUTE(SUBSTITUTE(LOWER(Registro!$F287)," ",""),CHAR(10),"|"),";","|"),"+","|"),"|",REPT(" ",LEN(Registro!$F287))),({1,2,3,4,5,6,7,8,9,10,11,12,13,14,15,16,17,18,19,20,21,22,23,24,25,26,27,28,29,30}-1)*LEN(Registro!$F287)+1,LEN(Registro!$F287))),FIND("x",TRIM(MID(SUBSTITUTE(SUBSTITUTE(SUBSTITUTE(SUBSTITUTE(SUBSTITUTE(LOWER(Registro!$F287)," ",""),CHAR(10),"|"),";","|"),"+","|"),"|",REPT(" ",LEN(Registro!$F287))),({1,2,3,4,5,6,7,8,9,10,11,12,13,14,15,16,17,18,19,20,21,22,23,24,25,26,27,28,29,30}-1)*LEN(Registro!$F287)+1,LEN(Registro!$F287)))&amp;"x")+1,20))),"Revisar formato")))</f>
        <v/>
      </c>
      <c r="H287" s="21" t="str">
        <f>IF(AND(Registro!$E287="",Registro!$F287=""),"",IF(NOT(AND(ISNUMBER(G287),ISNUMBER(Registro!$G287))),"",IF(G287&lt;Registro!$G287,"FALTA BOLETOS",IF(G287=Registro!$G287,"CONFORME","DIFERENCIA"))))</f>
        <v/>
      </c>
      <c r="I287" s="24" t="str">
        <f>IF(Registro!$H287="","",IFERROR(SUMPRODUCT(--("0"&amp;TRIM(RIGHT(SUBSTITUTE(TRIM(MID(SUBSTITUTE(SUBSTITUTE(Registro!$H287,";",CHAR(10)),CHAR(10),REPT(" ",LEN(Registro!$H287))),({1,2,3,4,5,6,7,8,9,10,11,12,13,14,15,16,17,18,19,20,21,22,23,24,25,26,27,28,29,30}-1)*LEN(Registro!$H287)+1,LEN(Registro!$H287)))," ",REPT(" ",50)),50)))),"Revisar formato"))</f>
        <v/>
      </c>
      <c r="J287" s="24" t="str">
        <f>IF(Registro!$I287="","",IFERROR(SUMPRODUCT(--("0"&amp;TRIM(RIGHT(SUBSTITUTE(TRIM(MID(SUBSTITUTE(SUBSTITUTE(Registro!$I287,";",CHAR(10)),CHAR(10),REPT(" ",LEN(Registro!$I287))),({1,2,3,4,5,6,7,8,9,10,11,12,13,14,15,16,17,18,19,20,21,22,23,24,25,26,27,28,29,30}-1)*LEN(Registro!$I287)+1,LEN(Registro!$I287)))," ",REPT(" ",50)),50)))),"Revisar formato"))</f>
        <v/>
      </c>
      <c r="K287" s="24" t="str">
        <f>IF(AND(Registro!$G287="",Registro!$H287=""),"",IF(AND(ISTEXT(I287),I287&lt;&gt;""),"Revisar formato",N(Registro!$G287)-N(I287)))</f>
        <v/>
      </c>
      <c r="L287" s="24" t="str">
        <f t="shared" si="9"/>
        <v/>
      </c>
      <c r="M287" s="36" t="str">
        <f>IF(AND(A287=Consulta!$B$3,C287=Consulta!$H$3),B287*10000+ROW(),"")</f>
        <v/>
      </c>
    </row>
    <row r="288" spans="1:13" x14ac:dyDescent="0.25">
      <c r="A288" s="21" t="str">
        <f>IF(Registro!$A288="","",Registro!$A288)</f>
        <v/>
      </c>
      <c r="B288" s="20" t="str">
        <f>IF(Registro!$B288="","",Registro!$B288)</f>
        <v/>
      </c>
      <c r="C288" s="35" t="str">
        <f t="shared" si="8"/>
        <v/>
      </c>
      <c r="D288" s="23" t="str">
        <f>IF(Registro!$E288="","",IF(ISERROR(FIND("x",LOWER(Registro!$E288))),"-",IFERROR(SUMPRODUCT(--("0"&amp;LEFT(TRIM(MID(SUBSTITUTE(SUBSTITUTE(SUBSTITUTE(SUBSTITUTE(SUBSTITUTE(LOWER(Registro!$E288),"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",LEN(Registro!$E288))),({1,2,3,4,5,6,7,8,9,10,11,12,13,14,15,16,17,18,19,20,21,22,23,24,25,26,27,28,29,30}-1)*LEN(Registro!$E288)+1,LEN(Registro!$E288))),FIND("x",TRIM(MID(SUBSTITUTE(SUBSTITUTE(SUBSTITUTE(SUBSTITUTE(SUBSTITUTE(LOWER(Registro!$E288),"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",LEN(Registro!$E288))),({1,2,3,4,5,6,7,8,9,10,11,12,13,14,15,16,17,18,19,20,21,22,23,24,25,26,27,28,29,30}-1)*LEN(Registro!$E288)+1,LEN(Registro!$E288)))&amp;"x")-1))),"Revisar formato")))</f>
        <v/>
      </c>
      <c r="E288" s="24" t="str">
        <f>IF(Registro!$E288="","",IF(ISERROR(FIND("x",LOWER(Registro!$E288))),"-",IFERROR(SUMPRODUCT(--("0"&amp;LEFT(TRIM(MID(SUBSTITUTE(SUBSTITUTE(SUBSTITUTE(SUBSTITUTE(SUBSTITUTE(LOWER(Registro!$E288),"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",LEN(Registro!$E288))),({1,2,3,4,5,6,7,8,9,10,11,12,13,14,15,16,17,18,19,20,21,22,23,24,25,26,27,28,29,30}-1)*LEN(Registro!$E288)+1,LEN(Registro!$E288))),FIND("x",TRIM(MID(SUBSTITUTE(SUBSTITUTE(SUBSTITUTE(SUBSTITUTE(SUBSTITUTE(LOWER(Registro!$E288),"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",LEN(Registro!$E288))),({1,2,3,4,5,6,7,8,9,10,11,12,13,14,15,16,17,18,19,20,21,22,23,24,25,26,27,28,29,30}-1)*LEN(Registro!$E288)+1,LEN(Registro!$E288)))&amp;"x")-1)),--("0"&amp;MID(TRIM(MID(SUBSTITUTE(SUBSTITUTE(SUBSTITUTE(SUBSTITUTE(SUBSTITUTE(LOWER(Registro!$E288),"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",LEN(Registro!$E288))),({1,2,3,4,5,6,7,8,9,10,11,12,13,14,15,16,17,18,19,20,21,22,23,24,25,26,27,28,29,30}-1)*LEN(Registro!$E288)+1,LEN(Registro!$E288))),FIND("x",TRIM(MID(SUBSTITUTE(SUBSTITUTE(SUBSTITUTE(SUBSTITUTE(SUBSTITUTE(LOWER(Registro!$E288),"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",LEN(Registro!$E288))),({1,2,3,4,5,6,7,8,9,10,11,12,13,14,15,16,17,18,19,20,21,22,23,24,25,26,27,28,29,30}-1)*LEN(Registro!$E288)+1,LEN(Registro!$E288)))&amp;"x")+1,20))),"Revisar formato")))</f>
        <v/>
      </c>
      <c r="F288" s="23" t="str">
        <f>IF(Registro!$F288="","",IF(ISERROR(FIND("x",LOWER(Registro!$F288))),"-",IFERROR(SUMPRODUCT(--("0"&amp;LEFT(TRIM(MID(SUBSTITUTE(SUBSTITUTE(SUBSTITUTE(SUBSTITUTE(SUBSTITUTE(LOWER(Registro!$F288)," ",""),CHAR(10),"|"),";","|"),"+","|"),"|",REPT(" ",LEN(Registro!$F288))),({1,2,3,4,5,6,7,8,9,10,11,12,13,14,15,16,17,18,19,20,21,22,23,24,25,26,27,28,29,30}-1)*LEN(Registro!$F288)+1,LEN(Registro!$F288))),FIND("x",TRIM(MID(SUBSTITUTE(SUBSTITUTE(SUBSTITUTE(SUBSTITUTE(SUBSTITUTE(LOWER(Registro!$F288)," ",""),CHAR(10),"|"),";","|"),"+","|"),"|",REPT(" ",LEN(Registro!$F288))),({1,2,3,4,5,6,7,8,9,10,11,12,13,14,15,16,17,18,19,20,21,22,23,24,25,26,27,28,29,30}-1)*LEN(Registro!$F288)+1,LEN(Registro!$F288)))&amp;"x")-1))),"Revisar formato")))</f>
        <v/>
      </c>
      <c r="G288" s="24" t="str">
        <f>IF(Registro!$F288="","",IF(ISERROR(FIND("x",LOWER(Registro!$F288))),N(Registro!$G288),IFERROR(SUMPRODUCT(--("0"&amp;LEFT(TRIM(MID(SUBSTITUTE(SUBSTITUTE(SUBSTITUTE(SUBSTITUTE(SUBSTITUTE(LOWER(Registro!$F288)," ",""),CHAR(10),"|"),";","|"),"+","|"),"|",REPT(" ",LEN(Registro!$F288))),({1,2,3,4,5,6,7,8,9,10,11,12,13,14,15,16,17,18,19,20,21,22,23,24,25,26,27,28,29,30}-1)*LEN(Registro!$F288)+1,LEN(Registro!$F288))),FIND("x",TRIM(MID(SUBSTITUTE(SUBSTITUTE(SUBSTITUTE(SUBSTITUTE(SUBSTITUTE(LOWER(Registro!$F288)," ",""),CHAR(10),"|"),";","|"),"+","|"),"|",REPT(" ",LEN(Registro!$F288))),({1,2,3,4,5,6,7,8,9,10,11,12,13,14,15,16,17,18,19,20,21,22,23,24,25,26,27,28,29,30}-1)*LEN(Registro!$F288)+1,LEN(Registro!$F288)))&amp;"x")-1)),--("0"&amp;MID(TRIM(MID(SUBSTITUTE(SUBSTITUTE(SUBSTITUTE(SUBSTITUTE(SUBSTITUTE(LOWER(Registro!$F288)," ",""),CHAR(10),"|"),";","|"),"+","|"),"|",REPT(" ",LEN(Registro!$F288))),({1,2,3,4,5,6,7,8,9,10,11,12,13,14,15,16,17,18,19,20,21,22,23,24,25,26,27,28,29,30}-1)*LEN(Registro!$F288)+1,LEN(Registro!$F288))),FIND("x",TRIM(MID(SUBSTITUTE(SUBSTITUTE(SUBSTITUTE(SUBSTITUTE(SUBSTITUTE(LOWER(Registro!$F288)," ",""),CHAR(10),"|"),";","|"),"+","|"),"|",REPT(" ",LEN(Registro!$F288))),({1,2,3,4,5,6,7,8,9,10,11,12,13,14,15,16,17,18,19,20,21,22,23,24,25,26,27,28,29,30}-1)*LEN(Registro!$F288)+1,LEN(Registro!$F288)))&amp;"x")+1,20))),"Revisar formato")))</f>
        <v/>
      </c>
      <c r="H288" s="21" t="str">
        <f>IF(AND(Registro!$E288="",Registro!$F288=""),"",IF(NOT(AND(ISNUMBER(G288),ISNUMBER(Registro!$G288))),"",IF(G288&lt;Registro!$G288,"FALTA BOLETOS",IF(G288=Registro!$G288,"CONFORME","DIFERENCIA"))))</f>
        <v/>
      </c>
      <c r="I288" s="24" t="str">
        <f>IF(Registro!$H288="","",IFERROR(SUMPRODUCT(--("0"&amp;TRIM(RIGHT(SUBSTITUTE(TRIM(MID(SUBSTITUTE(SUBSTITUTE(Registro!$H288,";",CHAR(10)),CHAR(10),REPT(" ",LEN(Registro!$H288))),({1,2,3,4,5,6,7,8,9,10,11,12,13,14,15,16,17,18,19,20,21,22,23,24,25,26,27,28,29,30}-1)*LEN(Registro!$H288)+1,LEN(Registro!$H288)))," ",REPT(" ",50)),50)))),"Revisar formato"))</f>
        <v/>
      </c>
      <c r="J288" s="24" t="str">
        <f>IF(Registro!$I288="","",IFERROR(SUMPRODUCT(--("0"&amp;TRIM(RIGHT(SUBSTITUTE(TRIM(MID(SUBSTITUTE(SUBSTITUTE(Registro!$I288,";",CHAR(10)),CHAR(10),REPT(" ",LEN(Registro!$I288))),({1,2,3,4,5,6,7,8,9,10,11,12,13,14,15,16,17,18,19,20,21,22,23,24,25,26,27,28,29,30}-1)*LEN(Registro!$I288)+1,LEN(Registro!$I288)))," ",REPT(" ",50)),50)))),"Revisar formato"))</f>
        <v/>
      </c>
      <c r="K288" s="24" t="str">
        <f>IF(AND(Registro!$G288="",Registro!$H288=""),"",IF(AND(ISTEXT(I288),I288&lt;&gt;""),"Revisar formato",N(Registro!$G288)-N(I288)))</f>
        <v/>
      </c>
      <c r="L288" s="24" t="str">
        <f t="shared" si="9"/>
        <v/>
      </c>
      <c r="M288" s="36" t="str">
        <f>IF(AND(A288=Consulta!$B$3,C288=Consulta!$H$3),B288*10000+ROW(),"")</f>
        <v/>
      </c>
    </row>
    <row r="289" spans="1:13" x14ac:dyDescent="0.25">
      <c r="A289" s="21" t="str">
        <f>IF(Registro!$A289="","",Registro!$A289)</f>
        <v/>
      </c>
      <c r="B289" s="20" t="str">
        <f>IF(Registro!$B289="","",Registro!$B289)</f>
        <v/>
      </c>
      <c r="C289" s="35" t="str">
        <f t="shared" si="8"/>
        <v/>
      </c>
      <c r="D289" s="23" t="str">
        <f>IF(Registro!$E289="","",IF(ISERROR(FIND("x",LOWER(Registro!$E289))),"-",IFERROR(SUMPRODUCT(--("0"&amp;LEFT(TRIM(MID(SUBSTITUTE(SUBSTITUTE(SUBSTITUTE(SUBSTITUTE(SUBSTITUTE(LOWER(Registro!$E289),"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",LEN(Registro!$E289))),({1,2,3,4,5,6,7,8,9,10,11,12,13,14,15,16,17,18,19,20,21,22,23,24,25,26,27,28,29,30}-1)*LEN(Registro!$E289)+1,LEN(Registro!$E289))),FIND("x",TRIM(MID(SUBSTITUTE(SUBSTITUTE(SUBSTITUTE(SUBSTITUTE(SUBSTITUTE(LOWER(Registro!$E289),"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",LEN(Registro!$E289))),({1,2,3,4,5,6,7,8,9,10,11,12,13,14,15,16,17,18,19,20,21,22,23,24,25,26,27,28,29,30}-1)*LEN(Registro!$E289)+1,LEN(Registro!$E289)))&amp;"x")-1))),"Revisar formato")))</f>
        <v/>
      </c>
      <c r="E289" s="24" t="str">
        <f>IF(Registro!$E289="","",IF(ISERROR(FIND("x",LOWER(Registro!$E289))),"-",IFERROR(SUMPRODUCT(--("0"&amp;LEFT(TRIM(MID(SUBSTITUTE(SUBSTITUTE(SUBSTITUTE(SUBSTITUTE(SUBSTITUTE(LOWER(Registro!$E289),"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",LEN(Registro!$E289))),({1,2,3,4,5,6,7,8,9,10,11,12,13,14,15,16,17,18,19,20,21,22,23,24,25,26,27,28,29,30}-1)*LEN(Registro!$E289)+1,LEN(Registro!$E289))),FIND("x",TRIM(MID(SUBSTITUTE(SUBSTITUTE(SUBSTITUTE(SUBSTITUTE(SUBSTITUTE(LOWER(Registro!$E289),"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",LEN(Registro!$E289))),({1,2,3,4,5,6,7,8,9,10,11,12,13,14,15,16,17,18,19,20,21,22,23,24,25,26,27,28,29,30}-1)*LEN(Registro!$E289)+1,LEN(Registro!$E289)))&amp;"x")-1)),--("0"&amp;MID(TRIM(MID(SUBSTITUTE(SUBSTITUTE(SUBSTITUTE(SUBSTITUTE(SUBSTITUTE(LOWER(Registro!$E289),"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",LEN(Registro!$E289))),({1,2,3,4,5,6,7,8,9,10,11,12,13,14,15,16,17,18,19,20,21,22,23,24,25,26,27,28,29,30}-1)*LEN(Registro!$E289)+1,LEN(Registro!$E289))),FIND("x",TRIM(MID(SUBSTITUTE(SUBSTITUTE(SUBSTITUTE(SUBSTITUTE(SUBSTITUTE(LOWER(Registro!$E289),"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",LEN(Registro!$E289))),({1,2,3,4,5,6,7,8,9,10,11,12,13,14,15,16,17,18,19,20,21,22,23,24,25,26,27,28,29,30}-1)*LEN(Registro!$E289)+1,LEN(Registro!$E289)))&amp;"x")+1,20))),"Revisar formato")))</f>
        <v/>
      </c>
      <c r="F289" s="23" t="str">
        <f>IF(Registro!$F289="","",IF(ISERROR(FIND("x",LOWER(Registro!$F289))),"-",IFERROR(SUMPRODUCT(--("0"&amp;LEFT(TRIM(MID(SUBSTITUTE(SUBSTITUTE(SUBSTITUTE(SUBSTITUTE(SUBSTITUTE(LOWER(Registro!$F289)," ",""),CHAR(10),"|"),";","|"),"+","|"),"|",REPT(" ",LEN(Registro!$F289))),({1,2,3,4,5,6,7,8,9,10,11,12,13,14,15,16,17,18,19,20,21,22,23,24,25,26,27,28,29,30}-1)*LEN(Registro!$F289)+1,LEN(Registro!$F289))),FIND("x",TRIM(MID(SUBSTITUTE(SUBSTITUTE(SUBSTITUTE(SUBSTITUTE(SUBSTITUTE(LOWER(Registro!$F289)," ",""),CHAR(10),"|"),";","|"),"+","|"),"|",REPT(" ",LEN(Registro!$F289))),({1,2,3,4,5,6,7,8,9,10,11,12,13,14,15,16,17,18,19,20,21,22,23,24,25,26,27,28,29,30}-1)*LEN(Registro!$F289)+1,LEN(Registro!$F289)))&amp;"x")-1))),"Revisar formato")))</f>
        <v/>
      </c>
      <c r="G289" s="24" t="str">
        <f>IF(Registro!$F289="","",IF(ISERROR(FIND("x",LOWER(Registro!$F289))),N(Registro!$G289),IFERROR(SUMPRODUCT(--("0"&amp;LEFT(TRIM(MID(SUBSTITUTE(SUBSTITUTE(SUBSTITUTE(SUBSTITUTE(SUBSTITUTE(LOWER(Registro!$F289)," ",""),CHAR(10),"|"),";","|"),"+","|"),"|",REPT(" ",LEN(Registro!$F289))),({1,2,3,4,5,6,7,8,9,10,11,12,13,14,15,16,17,18,19,20,21,22,23,24,25,26,27,28,29,30}-1)*LEN(Registro!$F289)+1,LEN(Registro!$F289))),FIND("x",TRIM(MID(SUBSTITUTE(SUBSTITUTE(SUBSTITUTE(SUBSTITUTE(SUBSTITUTE(LOWER(Registro!$F289)," ",""),CHAR(10),"|"),";","|"),"+","|"),"|",REPT(" ",LEN(Registro!$F289))),({1,2,3,4,5,6,7,8,9,10,11,12,13,14,15,16,17,18,19,20,21,22,23,24,25,26,27,28,29,30}-1)*LEN(Registro!$F289)+1,LEN(Registro!$F289)))&amp;"x")-1)),--("0"&amp;MID(TRIM(MID(SUBSTITUTE(SUBSTITUTE(SUBSTITUTE(SUBSTITUTE(SUBSTITUTE(LOWER(Registro!$F289)," ",""),CHAR(10),"|"),";","|"),"+","|"),"|",REPT(" ",LEN(Registro!$F289))),({1,2,3,4,5,6,7,8,9,10,11,12,13,14,15,16,17,18,19,20,21,22,23,24,25,26,27,28,29,30}-1)*LEN(Registro!$F289)+1,LEN(Registro!$F289))),FIND("x",TRIM(MID(SUBSTITUTE(SUBSTITUTE(SUBSTITUTE(SUBSTITUTE(SUBSTITUTE(LOWER(Registro!$F289)," ",""),CHAR(10),"|"),";","|"),"+","|"),"|",REPT(" ",LEN(Registro!$F289))),({1,2,3,4,5,6,7,8,9,10,11,12,13,14,15,16,17,18,19,20,21,22,23,24,25,26,27,28,29,30}-1)*LEN(Registro!$F289)+1,LEN(Registro!$F289)))&amp;"x")+1,20))),"Revisar formato")))</f>
        <v/>
      </c>
      <c r="H289" s="21" t="str">
        <f>IF(AND(Registro!$E289="",Registro!$F289=""),"",IF(NOT(AND(ISNUMBER(G289),ISNUMBER(Registro!$G289))),"",IF(G289&lt;Registro!$G289,"FALTA BOLETOS",IF(G289=Registro!$G289,"CONFORME","DIFERENCIA"))))</f>
        <v/>
      </c>
      <c r="I289" s="24" t="str">
        <f>IF(Registro!$H289="","",IFERROR(SUMPRODUCT(--("0"&amp;TRIM(RIGHT(SUBSTITUTE(TRIM(MID(SUBSTITUTE(SUBSTITUTE(Registro!$H289,";",CHAR(10)),CHAR(10),REPT(" ",LEN(Registro!$H289))),({1,2,3,4,5,6,7,8,9,10,11,12,13,14,15,16,17,18,19,20,21,22,23,24,25,26,27,28,29,30}-1)*LEN(Registro!$H289)+1,LEN(Registro!$H289)))," ",REPT(" ",50)),50)))),"Revisar formato"))</f>
        <v/>
      </c>
      <c r="J289" s="24" t="str">
        <f>IF(Registro!$I289="","",IFERROR(SUMPRODUCT(--("0"&amp;TRIM(RIGHT(SUBSTITUTE(TRIM(MID(SUBSTITUTE(SUBSTITUTE(Registro!$I289,";",CHAR(10)),CHAR(10),REPT(" ",LEN(Registro!$I289))),({1,2,3,4,5,6,7,8,9,10,11,12,13,14,15,16,17,18,19,20,21,22,23,24,25,26,27,28,29,30}-1)*LEN(Registro!$I289)+1,LEN(Registro!$I289)))," ",REPT(" ",50)),50)))),"Revisar formato"))</f>
        <v/>
      </c>
      <c r="K289" s="24" t="str">
        <f>IF(AND(Registro!$G289="",Registro!$H289=""),"",IF(AND(ISTEXT(I289),I289&lt;&gt;""),"Revisar formato",N(Registro!$G289)-N(I289)))</f>
        <v/>
      </c>
      <c r="L289" s="24" t="str">
        <f t="shared" si="9"/>
        <v/>
      </c>
      <c r="M289" s="36" t="str">
        <f>IF(AND(A289=Consulta!$B$3,C289=Consulta!$H$3),B289*10000+ROW(),"")</f>
        <v/>
      </c>
    </row>
    <row r="290" spans="1:13" x14ac:dyDescent="0.25">
      <c r="A290" s="21" t="str">
        <f>IF(Registro!$A290="","",Registro!$A290)</f>
        <v/>
      </c>
      <c r="B290" s="20" t="str">
        <f>IF(Registro!$B290="","",Registro!$B290)</f>
        <v/>
      </c>
      <c r="C290" s="35" t="str">
        <f t="shared" si="8"/>
        <v/>
      </c>
      <c r="D290" s="23" t="str">
        <f>IF(Registro!$E290="","",IF(ISERROR(FIND("x",LOWER(Registro!$E290))),"-",IFERROR(SUMPRODUCT(--("0"&amp;LEFT(TRIM(MID(SUBSTITUTE(SUBSTITUTE(SUBSTITUTE(SUBSTITUTE(SUBSTITUTE(LOWER(Registro!$E290),"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",LEN(Registro!$E290))),({1,2,3,4,5,6,7,8,9,10,11,12,13,14,15,16,17,18,19,20,21,22,23,24,25,26,27,28,29,30}-1)*LEN(Registro!$E290)+1,LEN(Registro!$E290))),FIND("x",TRIM(MID(SUBSTITUTE(SUBSTITUTE(SUBSTITUTE(SUBSTITUTE(SUBSTITUTE(LOWER(Registro!$E290),"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",LEN(Registro!$E290))),({1,2,3,4,5,6,7,8,9,10,11,12,13,14,15,16,17,18,19,20,21,22,23,24,25,26,27,28,29,30}-1)*LEN(Registro!$E290)+1,LEN(Registro!$E290)))&amp;"x")-1))),"Revisar formato")))</f>
        <v/>
      </c>
      <c r="E290" s="24" t="str">
        <f>IF(Registro!$E290="","",IF(ISERROR(FIND("x",LOWER(Registro!$E290))),"-",IFERROR(SUMPRODUCT(--("0"&amp;LEFT(TRIM(MID(SUBSTITUTE(SUBSTITUTE(SUBSTITUTE(SUBSTITUTE(SUBSTITUTE(LOWER(Registro!$E290),"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",LEN(Registro!$E290))),({1,2,3,4,5,6,7,8,9,10,11,12,13,14,15,16,17,18,19,20,21,22,23,24,25,26,27,28,29,30}-1)*LEN(Registro!$E290)+1,LEN(Registro!$E290))),FIND("x",TRIM(MID(SUBSTITUTE(SUBSTITUTE(SUBSTITUTE(SUBSTITUTE(SUBSTITUTE(LOWER(Registro!$E290),"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",LEN(Registro!$E290))),({1,2,3,4,5,6,7,8,9,10,11,12,13,14,15,16,17,18,19,20,21,22,23,24,25,26,27,28,29,30}-1)*LEN(Registro!$E290)+1,LEN(Registro!$E290)))&amp;"x")-1)),--("0"&amp;MID(TRIM(MID(SUBSTITUTE(SUBSTITUTE(SUBSTITUTE(SUBSTITUTE(SUBSTITUTE(LOWER(Registro!$E290),"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",LEN(Registro!$E290))),({1,2,3,4,5,6,7,8,9,10,11,12,13,14,15,16,17,18,19,20,21,22,23,24,25,26,27,28,29,30}-1)*LEN(Registro!$E290)+1,LEN(Registro!$E290))),FIND("x",TRIM(MID(SUBSTITUTE(SUBSTITUTE(SUBSTITUTE(SUBSTITUTE(SUBSTITUTE(LOWER(Registro!$E290),"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",LEN(Registro!$E290))),({1,2,3,4,5,6,7,8,9,10,11,12,13,14,15,16,17,18,19,20,21,22,23,24,25,26,27,28,29,30}-1)*LEN(Registro!$E290)+1,LEN(Registro!$E290)))&amp;"x")+1,20))),"Revisar formato")))</f>
        <v/>
      </c>
      <c r="F290" s="23" t="str">
        <f>IF(Registro!$F290="","",IF(ISERROR(FIND("x",LOWER(Registro!$F290))),"-",IFERROR(SUMPRODUCT(--("0"&amp;LEFT(TRIM(MID(SUBSTITUTE(SUBSTITUTE(SUBSTITUTE(SUBSTITUTE(SUBSTITUTE(LOWER(Registro!$F290)," ",""),CHAR(10),"|"),";","|"),"+","|"),"|",REPT(" ",LEN(Registro!$F290))),({1,2,3,4,5,6,7,8,9,10,11,12,13,14,15,16,17,18,19,20,21,22,23,24,25,26,27,28,29,30}-1)*LEN(Registro!$F290)+1,LEN(Registro!$F290))),FIND("x",TRIM(MID(SUBSTITUTE(SUBSTITUTE(SUBSTITUTE(SUBSTITUTE(SUBSTITUTE(LOWER(Registro!$F290)," ",""),CHAR(10),"|"),";","|"),"+","|"),"|",REPT(" ",LEN(Registro!$F290))),({1,2,3,4,5,6,7,8,9,10,11,12,13,14,15,16,17,18,19,20,21,22,23,24,25,26,27,28,29,30}-1)*LEN(Registro!$F290)+1,LEN(Registro!$F290)))&amp;"x")-1))),"Revisar formato")))</f>
        <v/>
      </c>
      <c r="G290" s="24" t="str">
        <f>IF(Registro!$F290="","",IF(ISERROR(FIND("x",LOWER(Registro!$F290))),N(Registro!$G290),IFERROR(SUMPRODUCT(--("0"&amp;LEFT(TRIM(MID(SUBSTITUTE(SUBSTITUTE(SUBSTITUTE(SUBSTITUTE(SUBSTITUTE(LOWER(Registro!$F290)," ",""),CHAR(10),"|"),";","|"),"+","|"),"|",REPT(" ",LEN(Registro!$F290))),({1,2,3,4,5,6,7,8,9,10,11,12,13,14,15,16,17,18,19,20,21,22,23,24,25,26,27,28,29,30}-1)*LEN(Registro!$F290)+1,LEN(Registro!$F290))),FIND("x",TRIM(MID(SUBSTITUTE(SUBSTITUTE(SUBSTITUTE(SUBSTITUTE(SUBSTITUTE(LOWER(Registro!$F290)," ",""),CHAR(10),"|"),";","|"),"+","|"),"|",REPT(" ",LEN(Registro!$F290))),({1,2,3,4,5,6,7,8,9,10,11,12,13,14,15,16,17,18,19,20,21,22,23,24,25,26,27,28,29,30}-1)*LEN(Registro!$F290)+1,LEN(Registro!$F290)))&amp;"x")-1)),--("0"&amp;MID(TRIM(MID(SUBSTITUTE(SUBSTITUTE(SUBSTITUTE(SUBSTITUTE(SUBSTITUTE(LOWER(Registro!$F290)," ",""),CHAR(10),"|"),";","|"),"+","|"),"|",REPT(" ",LEN(Registro!$F290))),({1,2,3,4,5,6,7,8,9,10,11,12,13,14,15,16,17,18,19,20,21,22,23,24,25,26,27,28,29,30}-1)*LEN(Registro!$F290)+1,LEN(Registro!$F290))),FIND("x",TRIM(MID(SUBSTITUTE(SUBSTITUTE(SUBSTITUTE(SUBSTITUTE(SUBSTITUTE(LOWER(Registro!$F290)," ",""),CHAR(10),"|"),";","|"),"+","|"),"|",REPT(" ",LEN(Registro!$F290))),({1,2,3,4,5,6,7,8,9,10,11,12,13,14,15,16,17,18,19,20,21,22,23,24,25,26,27,28,29,30}-1)*LEN(Registro!$F290)+1,LEN(Registro!$F290)))&amp;"x")+1,20))),"Revisar formato")))</f>
        <v/>
      </c>
      <c r="H290" s="21" t="str">
        <f>IF(AND(Registro!$E290="",Registro!$F290=""),"",IF(NOT(AND(ISNUMBER(G290),ISNUMBER(Registro!$G290))),"",IF(G290&lt;Registro!$G290,"FALTA BOLETOS",IF(G290=Registro!$G290,"CONFORME","DIFERENCIA"))))</f>
        <v/>
      </c>
      <c r="I290" s="24" t="str">
        <f>IF(Registro!$H290="","",IFERROR(SUMPRODUCT(--("0"&amp;TRIM(RIGHT(SUBSTITUTE(TRIM(MID(SUBSTITUTE(SUBSTITUTE(Registro!$H290,";",CHAR(10)),CHAR(10),REPT(" ",LEN(Registro!$H290))),({1,2,3,4,5,6,7,8,9,10,11,12,13,14,15,16,17,18,19,20,21,22,23,24,25,26,27,28,29,30}-1)*LEN(Registro!$H290)+1,LEN(Registro!$H290)))," ",REPT(" ",50)),50)))),"Revisar formato"))</f>
        <v/>
      </c>
      <c r="J290" s="24" t="str">
        <f>IF(Registro!$I290="","",IFERROR(SUMPRODUCT(--("0"&amp;TRIM(RIGHT(SUBSTITUTE(TRIM(MID(SUBSTITUTE(SUBSTITUTE(Registro!$I290,";",CHAR(10)),CHAR(10),REPT(" ",LEN(Registro!$I290))),({1,2,3,4,5,6,7,8,9,10,11,12,13,14,15,16,17,18,19,20,21,22,23,24,25,26,27,28,29,30}-1)*LEN(Registro!$I290)+1,LEN(Registro!$I290)))," ",REPT(" ",50)),50)))),"Revisar formato"))</f>
        <v/>
      </c>
      <c r="K290" s="24" t="str">
        <f>IF(AND(Registro!$G290="",Registro!$H290=""),"",IF(AND(ISTEXT(I290),I290&lt;&gt;""),"Revisar formato",N(Registro!$G290)-N(I290)))</f>
        <v/>
      </c>
      <c r="L290" s="24" t="str">
        <f t="shared" si="9"/>
        <v/>
      </c>
      <c r="M290" s="36" t="str">
        <f>IF(AND(A290=Consulta!$B$3,C290=Consulta!$H$3),B290*10000+ROW(),"")</f>
        <v/>
      </c>
    </row>
    <row r="291" spans="1:13" x14ac:dyDescent="0.25">
      <c r="A291" s="21" t="str">
        <f>IF(Registro!$A291="","",Registro!$A291)</f>
        <v/>
      </c>
      <c r="B291" s="20" t="str">
        <f>IF(Registro!$B291="","",Registro!$B291)</f>
        <v/>
      </c>
      <c r="C291" s="35" t="str">
        <f t="shared" si="8"/>
        <v/>
      </c>
      <c r="D291" s="23" t="str">
        <f>IF(Registro!$E291="","",IF(ISERROR(FIND("x",LOWER(Registro!$E291))),"-",IFERROR(SUMPRODUCT(--("0"&amp;LEFT(TRIM(MID(SUBSTITUTE(SUBSTITUTE(SUBSTITUTE(SUBSTITUTE(SUBSTITUTE(LOWER(Registro!$E291),"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",LEN(Registro!$E291))),({1,2,3,4,5,6,7,8,9,10,11,12,13,14,15,16,17,18,19,20,21,22,23,24,25,26,27,28,29,30}-1)*LEN(Registro!$E291)+1,LEN(Registro!$E291))),FIND("x",TRIM(MID(SUBSTITUTE(SUBSTITUTE(SUBSTITUTE(SUBSTITUTE(SUBSTITUTE(LOWER(Registro!$E291),"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",LEN(Registro!$E291))),({1,2,3,4,5,6,7,8,9,10,11,12,13,14,15,16,17,18,19,20,21,22,23,24,25,26,27,28,29,30}-1)*LEN(Registro!$E291)+1,LEN(Registro!$E291)))&amp;"x")-1))),"Revisar formato")))</f>
        <v/>
      </c>
      <c r="E291" s="24" t="str">
        <f>IF(Registro!$E291="","",IF(ISERROR(FIND("x",LOWER(Registro!$E291))),"-",IFERROR(SUMPRODUCT(--("0"&amp;LEFT(TRIM(MID(SUBSTITUTE(SUBSTITUTE(SUBSTITUTE(SUBSTITUTE(SUBSTITUTE(LOWER(Registro!$E291),"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",LEN(Registro!$E291))),({1,2,3,4,5,6,7,8,9,10,11,12,13,14,15,16,17,18,19,20,21,22,23,24,25,26,27,28,29,30}-1)*LEN(Registro!$E291)+1,LEN(Registro!$E291))),FIND("x",TRIM(MID(SUBSTITUTE(SUBSTITUTE(SUBSTITUTE(SUBSTITUTE(SUBSTITUTE(LOWER(Registro!$E291),"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",LEN(Registro!$E291))),({1,2,3,4,5,6,7,8,9,10,11,12,13,14,15,16,17,18,19,20,21,22,23,24,25,26,27,28,29,30}-1)*LEN(Registro!$E291)+1,LEN(Registro!$E291)))&amp;"x")-1)),--("0"&amp;MID(TRIM(MID(SUBSTITUTE(SUBSTITUTE(SUBSTITUTE(SUBSTITUTE(SUBSTITUTE(LOWER(Registro!$E291),"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",LEN(Registro!$E291))),({1,2,3,4,5,6,7,8,9,10,11,12,13,14,15,16,17,18,19,20,21,22,23,24,25,26,27,28,29,30}-1)*LEN(Registro!$E291)+1,LEN(Registro!$E291))),FIND("x",TRIM(MID(SUBSTITUTE(SUBSTITUTE(SUBSTITUTE(SUBSTITUTE(SUBSTITUTE(LOWER(Registro!$E291),"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",LEN(Registro!$E291))),({1,2,3,4,5,6,7,8,9,10,11,12,13,14,15,16,17,18,19,20,21,22,23,24,25,26,27,28,29,30}-1)*LEN(Registro!$E291)+1,LEN(Registro!$E291)))&amp;"x")+1,20))),"Revisar formato")))</f>
        <v/>
      </c>
      <c r="F291" s="23" t="str">
        <f>IF(Registro!$F291="","",IF(ISERROR(FIND("x",LOWER(Registro!$F291))),"-",IFERROR(SUMPRODUCT(--("0"&amp;LEFT(TRIM(MID(SUBSTITUTE(SUBSTITUTE(SUBSTITUTE(SUBSTITUTE(SUBSTITUTE(LOWER(Registro!$F291)," ",""),CHAR(10),"|"),";","|"),"+","|"),"|",REPT(" ",LEN(Registro!$F291))),({1,2,3,4,5,6,7,8,9,10,11,12,13,14,15,16,17,18,19,20,21,22,23,24,25,26,27,28,29,30}-1)*LEN(Registro!$F291)+1,LEN(Registro!$F291))),FIND("x",TRIM(MID(SUBSTITUTE(SUBSTITUTE(SUBSTITUTE(SUBSTITUTE(SUBSTITUTE(LOWER(Registro!$F291)," ",""),CHAR(10),"|"),";","|"),"+","|"),"|",REPT(" ",LEN(Registro!$F291))),({1,2,3,4,5,6,7,8,9,10,11,12,13,14,15,16,17,18,19,20,21,22,23,24,25,26,27,28,29,30}-1)*LEN(Registro!$F291)+1,LEN(Registro!$F291)))&amp;"x")-1))),"Revisar formato")))</f>
        <v/>
      </c>
      <c r="G291" s="24" t="str">
        <f>IF(Registro!$F291="","",IF(ISERROR(FIND("x",LOWER(Registro!$F291))),N(Registro!$G291),IFERROR(SUMPRODUCT(--("0"&amp;LEFT(TRIM(MID(SUBSTITUTE(SUBSTITUTE(SUBSTITUTE(SUBSTITUTE(SUBSTITUTE(LOWER(Registro!$F291)," ",""),CHAR(10),"|"),";","|"),"+","|"),"|",REPT(" ",LEN(Registro!$F291))),({1,2,3,4,5,6,7,8,9,10,11,12,13,14,15,16,17,18,19,20,21,22,23,24,25,26,27,28,29,30}-1)*LEN(Registro!$F291)+1,LEN(Registro!$F291))),FIND("x",TRIM(MID(SUBSTITUTE(SUBSTITUTE(SUBSTITUTE(SUBSTITUTE(SUBSTITUTE(LOWER(Registro!$F291)," ",""),CHAR(10),"|"),";","|"),"+","|"),"|",REPT(" ",LEN(Registro!$F291))),({1,2,3,4,5,6,7,8,9,10,11,12,13,14,15,16,17,18,19,20,21,22,23,24,25,26,27,28,29,30}-1)*LEN(Registro!$F291)+1,LEN(Registro!$F291)))&amp;"x")-1)),--("0"&amp;MID(TRIM(MID(SUBSTITUTE(SUBSTITUTE(SUBSTITUTE(SUBSTITUTE(SUBSTITUTE(LOWER(Registro!$F291)," ",""),CHAR(10),"|"),";","|"),"+","|"),"|",REPT(" ",LEN(Registro!$F291))),({1,2,3,4,5,6,7,8,9,10,11,12,13,14,15,16,17,18,19,20,21,22,23,24,25,26,27,28,29,30}-1)*LEN(Registro!$F291)+1,LEN(Registro!$F291))),FIND("x",TRIM(MID(SUBSTITUTE(SUBSTITUTE(SUBSTITUTE(SUBSTITUTE(SUBSTITUTE(LOWER(Registro!$F291)," ",""),CHAR(10),"|"),";","|"),"+","|"),"|",REPT(" ",LEN(Registro!$F291))),({1,2,3,4,5,6,7,8,9,10,11,12,13,14,15,16,17,18,19,20,21,22,23,24,25,26,27,28,29,30}-1)*LEN(Registro!$F291)+1,LEN(Registro!$F291)))&amp;"x")+1,20))),"Revisar formato")))</f>
        <v/>
      </c>
      <c r="H291" s="21" t="str">
        <f>IF(AND(Registro!$E291="",Registro!$F291=""),"",IF(NOT(AND(ISNUMBER(G291),ISNUMBER(Registro!$G291))),"",IF(G291&lt;Registro!$G291,"FALTA BOLETOS",IF(G291=Registro!$G291,"CONFORME","DIFERENCIA"))))</f>
        <v/>
      </c>
      <c r="I291" s="24" t="str">
        <f>IF(Registro!$H291="","",IFERROR(SUMPRODUCT(--("0"&amp;TRIM(RIGHT(SUBSTITUTE(TRIM(MID(SUBSTITUTE(SUBSTITUTE(Registro!$H291,";",CHAR(10)),CHAR(10),REPT(" ",LEN(Registro!$H291))),({1,2,3,4,5,6,7,8,9,10,11,12,13,14,15,16,17,18,19,20,21,22,23,24,25,26,27,28,29,30}-1)*LEN(Registro!$H291)+1,LEN(Registro!$H291)))," ",REPT(" ",50)),50)))),"Revisar formato"))</f>
        <v/>
      </c>
      <c r="J291" s="24" t="str">
        <f>IF(Registro!$I291="","",IFERROR(SUMPRODUCT(--("0"&amp;TRIM(RIGHT(SUBSTITUTE(TRIM(MID(SUBSTITUTE(SUBSTITUTE(Registro!$I291,";",CHAR(10)),CHAR(10),REPT(" ",LEN(Registro!$I291))),({1,2,3,4,5,6,7,8,9,10,11,12,13,14,15,16,17,18,19,20,21,22,23,24,25,26,27,28,29,30}-1)*LEN(Registro!$I291)+1,LEN(Registro!$I291)))," ",REPT(" ",50)),50)))),"Revisar formato"))</f>
        <v/>
      </c>
      <c r="K291" s="24" t="str">
        <f>IF(AND(Registro!$G291="",Registro!$H291=""),"",IF(AND(ISTEXT(I291),I291&lt;&gt;""),"Revisar formato",N(Registro!$G291)-N(I291)))</f>
        <v/>
      </c>
      <c r="L291" s="24" t="str">
        <f t="shared" si="9"/>
        <v/>
      </c>
      <c r="M291" s="36" t="str">
        <f>IF(AND(A291=Consulta!$B$3,C291=Consulta!$H$3),B291*10000+ROW(),"")</f>
        <v/>
      </c>
    </row>
    <row r="292" spans="1:13" x14ac:dyDescent="0.25">
      <c r="A292" s="21" t="str">
        <f>IF(Registro!$A292="","",Registro!$A292)</f>
        <v/>
      </c>
      <c r="B292" s="20" t="str">
        <f>IF(Registro!$B292="","",Registro!$B292)</f>
        <v/>
      </c>
      <c r="C292" s="35" t="str">
        <f t="shared" si="8"/>
        <v/>
      </c>
      <c r="D292" s="23" t="str">
        <f>IF(Registro!$E292="","",IF(ISERROR(FIND("x",LOWER(Registro!$E292))),"-",IFERROR(SUMPRODUCT(--("0"&amp;LEFT(TRIM(MID(SUBSTITUTE(SUBSTITUTE(SUBSTITUTE(SUBSTITUTE(SUBSTITUTE(LOWER(Registro!$E292),"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",LEN(Registro!$E292))),({1,2,3,4,5,6,7,8,9,10,11,12,13,14,15,16,17,18,19,20,21,22,23,24,25,26,27,28,29,30}-1)*LEN(Registro!$E292)+1,LEN(Registro!$E292))),FIND("x",TRIM(MID(SUBSTITUTE(SUBSTITUTE(SUBSTITUTE(SUBSTITUTE(SUBSTITUTE(LOWER(Registro!$E292),"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",LEN(Registro!$E292))),({1,2,3,4,5,6,7,8,9,10,11,12,13,14,15,16,17,18,19,20,21,22,23,24,25,26,27,28,29,30}-1)*LEN(Registro!$E292)+1,LEN(Registro!$E292)))&amp;"x")-1))),"Revisar formato")))</f>
        <v/>
      </c>
      <c r="E292" s="24" t="str">
        <f>IF(Registro!$E292="","",IF(ISERROR(FIND("x",LOWER(Registro!$E292))),"-",IFERROR(SUMPRODUCT(--("0"&amp;LEFT(TRIM(MID(SUBSTITUTE(SUBSTITUTE(SUBSTITUTE(SUBSTITUTE(SUBSTITUTE(LOWER(Registro!$E292),"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",LEN(Registro!$E292))),({1,2,3,4,5,6,7,8,9,10,11,12,13,14,15,16,17,18,19,20,21,22,23,24,25,26,27,28,29,30}-1)*LEN(Registro!$E292)+1,LEN(Registro!$E292))),FIND("x",TRIM(MID(SUBSTITUTE(SUBSTITUTE(SUBSTITUTE(SUBSTITUTE(SUBSTITUTE(LOWER(Registro!$E292),"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",LEN(Registro!$E292))),({1,2,3,4,5,6,7,8,9,10,11,12,13,14,15,16,17,18,19,20,21,22,23,24,25,26,27,28,29,30}-1)*LEN(Registro!$E292)+1,LEN(Registro!$E292)))&amp;"x")-1)),--("0"&amp;MID(TRIM(MID(SUBSTITUTE(SUBSTITUTE(SUBSTITUTE(SUBSTITUTE(SUBSTITUTE(LOWER(Registro!$E292),"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",LEN(Registro!$E292))),({1,2,3,4,5,6,7,8,9,10,11,12,13,14,15,16,17,18,19,20,21,22,23,24,25,26,27,28,29,30}-1)*LEN(Registro!$E292)+1,LEN(Registro!$E292))),FIND("x",TRIM(MID(SUBSTITUTE(SUBSTITUTE(SUBSTITUTE(SUBSTITUTE(SUBSTITUTE(LOWER(Registro!$E292),"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",LEN(Registro!$E292))),({1,2,3,4,5,6,7,8,9,10,11,12,13,14,15,16,17,18,19,20,21,22,23,24,25,26,27,28,29,30}-1)*LEN(Registro!$E292)+1,LEN(Registro!$E292)))&amp;"x")+1,20))),"Revisar formato")))</f>
        <v/>
      </c>
      <c r="F292" s="23" t="str">
        <f>IF(Registro!$F292="","",IF(ISERROR(FIND("x",LOWER(Registro!$F292))),"-",IFERROR(SUMPRODUCT(--("0"&amp;LEFT(TRIM(MID(SUBSTITUTE(SUBSTITUTE(SUBSTITUTE(SUBSTITUTE(SUBSTITUTE(LOWER(Registro!$F292)," ",""),CHAR(10),"|"),";","|"),"+","|"),"|",REPT(" ",LEN(Registro!$F292))),({1,2,3,4,5,6,7,8,9,10,11,12,13,14,15,16,17,18,19,20,21,22,23,24,25,26,27,28,29,30}-1)*LEN(Registro!$F292)+1,LEN(Registro!$F292))),FIND("x",TRIM(MID(SUBSTITUTE(SUBSTITUTE(SUBSTITUTE(SUBSTITUTE(SUBSTITUTE(LOWER(Registro!$F292)," ",""),CHAR(10),"|"),";","|"),"+","|"),"|",REPT(" ",LEN(Registro!$F292))),({1,2,3,4,5,6,7,8,9,10,11,12,13,14,15,16,17,18,19,20,21,22,23,24,25,26,27,28,29,30}-1)*LEN(Registro!$F292)+1,LEN(Registro!$F292)))&amp;"x")-1))),"Revisar formato")))</f>
        <v/>
      </c>
      <c r="G292" s="24" t="str">
        <f>IF(Registro!$F292="","",IF(ISERROR(FIND("x",LOWER(Registro!$F292))),N(Registro!$G292),IFERROR(SUMPRODUCT(--("0"&amp;LEFT(TRIM(MID(SUBSTITUTE(SUBSTITUTE(SUBSTITUTE(SUBSTITUTE(SUBSTITUTE(LOWER(Registro!$F292)," ",""),CHAR(10),"|"),";","|"),"+","|"),"|",REPT(" ",LEN(Registro!$F292))),({1,2,3,4,5,6,7,8,9,10,11,12,13,14,15,16,17,18,19,20,21,22,23,24,25,26,27,28,29,30}-1)*LEN(Registro!$F292)+1,LEN(Registro!$F292))),FIND("x",TRIM(MID(SUBSTITUTE(SUBSTITUTE(SUBSTITUTE(SUBSTITUTE(SUBSTITUTE(LOWER(Registro!$F292)," ",""),CHAR(10),"|"),";","|"),"+","|"),"|",REPT(" ",LEN(Registro!$F292))),({1,2,3,4,5,6,7,8,9,10,11,12,13,14,15,16,17,18,19,20,21,22,23,24,25,26,27,28,29,30}-1)*LEN(Registro!$F292)+1,LEN(Registro!$F292)))&amp;"x")-1)),--("0"&amp;MID(TRIM(MID(SUBSTITUTE(SUBSTITUTE(SUBSTITUTE(SUBSTITUTE(SUBSTITUTE(LOWER(Registro!$F292)," ",""),CHAR(10),"|"),";","|"),"+","|"),"|",REPT(" ",LEN(Registro!$F292))),({1,2,3,4,5,6,7,8,9,10,11,12,13,14,15,16,17,18,19,20,21,22,23,24,25,26,27,28,29,30}-1)*LEN(Registro!$F292)+1,LEN(Registro!$F292))),FIND("x",TRIM(MID(SUBSTITUTE(SUBSTITUTE(SUBSTITUTE(SUBSTITUTE(SUBSTITUTE(LOWER(Registro!$F292)," ",""),CHAR(10),"|"),";","|"),"+","|"),"|",REPT(" ",LEN(Registro!$F292))),({1,2,3,4,5,6,7,8,9,10,11,12,13,14,15,16,17,18,19,20,21,22,23,24,25,26,27,28,29,30}-1)*LEN(Registro!$F292)+1,LEN(Registro!$F292)))&amp;"x")+1,20))),"Revisar formato")))</f>
        <v/>
      </c>
      <c r="H292" s="21" t="str">
        <f>IF(AND(Registro!$E292="",Registro!$F292=""),"",IF(NOT(AND(ISNUMBER(G292),ISNUMBER(Registro!$G292))),"",IF(G292&lt;Registro!$G292,"FALTA BOLETOS",IF(G292=Registro!$G292,"CONFORME","DIFERENCIA"))))</f>
        <v/>
      </c>
      <c r="I292" s="24" t="str">
        <f>IF(Registro!$H292="","",IFERROR(SUMPRODUCT(--("0"&amp;TRIM(RIGHT(SUBSTITUTE(TRIM(MID(SUBSTITUTE(SUBSTITUTE(Registro!$H292,";",CHAR(10)),CHAR(10),REPT(" ",LEN(Registro!$H292))),({1,2,3,4,5,6,7,8,9,10,11,12,13,14,15,16,17,18,19,20,21,22,23,24,25,26,27,28,29,30}-1)*LEN(Registro!$H292)+1,LEN(Registro!$H292)))," ",REPT(" ",50)),50)))),"Revisar formato"))</f>
        <v/>
      </c>
      <c r="J292" s="24" t="str">
        <f>IF(Registro!$I292="","",IFERROR(SUMPRODUCT(--("0"&amp;TRIM(RIGHT(SUBSTITUTE(TRIM(MID(SUBSTITUTE(SUBSTITUTE(Registro!$I292,";",CHAR(10)),CHAR(10),REPT(" ",LEN(Registro!$I292))),({1,2,3,4,5,6,7,8,9,10,11,12,13,14,15,16,17,18,19,20,21,22,23,24,25,26,27,28,29,30}-1)*LEN(Registro!$I292)+1,LEN(Registro!$I292)))," ",REPT(" ",50)),50)))),"Revisar formato"))</f>
        <v/>
      </c>
      <c r="K292" s="24" t="str">
        <f>IF(AND(Registro!$G292="",Registro!$H292=""),"",IF(AND(ISTEXT(I292),I292&lt;&gt;""),"Revisar formato",N(Registro!$G292)-N(I292)))</f>
        <v/>
      </c>
      <c r="L292" s="24" t="str">
        <f t="shared" si="9"/>
        <v/>
      </c>
      <c r="M292" s="36" t="str">
        <f>IF(AND(A292=Consulta!$B$3,C292=Consulta!$H$3),B292*10000+ROW(),"")</f>
        <v/>
      </c>
    </row>
    <row r="293" spans="1:13" x14ac:dyDescent="0.25">
      <c r="A293" s="21" t="str">
        <f>IF(Registro!$A293="","",Registro!$A293)</f>
        <v/>
      </c>
      <c r="B293" s="20" t="str">
        <f>IF(Registro!$B293="","",Registro!$B293)</f>
        <v/>
      </c>
      <c r="C293" s="35" t="str">
        <f t="shared" si="8"/>
        <v/>
      </c>
      <c r="D293" s="23" t="str">
        <f>IF(Registro!$E293="","",IF(ISERROR(FIND("x",LOWER(Registro!$E293))),"-",IFERROR(SUMPRODUCT(--("0"&amp;LEFT(TRIM(MID(SUBSTITUTE(SUBSTITUTE(SUBSTITUTE(SUBSTITUTE(SUBSTITUTE(LOWER(Registro!$E293),"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",LEN(Registro!$E293))),({1,2,3,4,5,6,7,8,9,10,11,12,13,14,15,16,17,18,19,20,21,22,23,24,25,26,27,28,29,30}-1)*LEN(Registro!$E293)+1,LEN(Registro!$E293))),FIND("x",TRIM(MID(SUBSTITUTE(SUBSTITUTE(SUBSTITUTE(SUBSTITUTE(SUBSTITUTE(LOWER(Registro!$E293),"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",LEN(Registro!$E293))),({1,2,3,4,5,6,7,8,9,10,11,12,13,14,15,16,17,18,19,20,21,22,23,24,25,26,27,28,29,30}-1)*LEN(Registro!$E293)+1,LEN(Registro!$E293)))&amp;"x")-1))),"Revisar formato")))</f>
        <v/>
      </c>
      <c r="E293" s="24" t="str">
        <f>IF(Registro!$E293="","",IF(ISERROR(FIND("x",LOWER(Registro!$E293))),"-",IFERROR(SUMPRODUCT(--("0"&amp;LEFT(TRIM(MID(SUBSTITUTE(SUBSTITUTE(SUBSTITUTE(SUBSTITUTE(SUBSTITUTE(LOWER(Registro!$E293),"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",LEN(Registro!$E293))),({1,2,3,4,5,6,7,8,9,10,11,12,13,14,15,16,17,18,19,20,21,22,23,24,25,26,27,28,29,30}-1)*LEN(Registro!$E293)+1,LEN(Registro!$E293))),FIND("x",TRIM(MID(SUBSTITUTE(SUBSTITUTE(SUBSTITUTE(SUBSTITUTE(SUBSTITUTE(LOWER(Registro!$E293),"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",LEN(Registro!$E293))),({1,2,3,4,5,6,7,8,9,10,11,12,13,14,15,16,17,18,19,20,21,22,23,24,25,26,27,28,29,30}-1)*LEN(Registro!$E293)+1,LEN(Registro!$E293)))&amp;"x")-1)),--("0"&amp;MID(TRIM(MID(SUBSTITUTE(SUBSTITUTE(SUBSTITUTE(SUBSTITUTE(SUBSTITUTE(LOWER(Registro!$E293),"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",LEN(Registro!$E293))),({1,2,3,4,5,6,7,8,9,10,11,12,13,14,15,16,17,18,19,20,21,22,23,24,25,26,27,28,29,30}-1)*LEN(Registro!$E293)+1,LEN(Registro!$E293))),FIND("x",TRIM(MID(SUBSTITUTE(SUBSTITUTE(SUBSTITUTE(SUBSTITUTE(SUBSTITUTE(LOWER(Registro!$E293),"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",LEN(Registro!$E293))),({1,2,3,4,5,6,7,8,9,10,11,12,13,14,15,16,17,18,19,20,21,22,23,24,25,26,27,28,29,30}-1)*LEN(Registro!$E293)+1,LEN(Registro!$E293)))&amp;"x")+1,20))),"Revisar formato")))</f>
        <v/>
      </c>
      <c r="F293" s="23" t="str">
        <f>IF(Registro!$F293="","",IF(ISERROR(FIND("x",LOWER(Registro!$F293))),"-",IFERROR(SUMPRODUCT(--("0"&amp;LEFT(TRIM(MID(SUBSTITUTE(SUBSTITUTE(SUBSTITUTE(SUBSTITUTE(SUBSTITUTE(LOWER(Registro!$F293)," ",""),CHAR(10),"|"),";","|"),"+","|"),"|",REPT(" ",LEN(Registro!$F293))),({1,2,3,4,5,6,7,8,9,10,11,12,13,14,15,16,17,18,19,20,21,22,23,24,25,26,27,28,29,30}-1)*LEN(Registro!$F293)+1,LEN(Registro!$F293))),FIND("x",TRIM(MID(SUBSTITUTE(SUBSTITUTE(SUBSTITUTE(SUBSTITUTE(SUBSTITUTE(LOWER(Registro!$F293)," ",""),CHAR(10),"|"),";","|"),"+","|"),"|",REPT(" ",LEN(Registro!$F293))),({1,2,3,4,5,6,7,8,9,10,11,12,13,14,15,16,17,18,19,20,21,22,23,24,25,26,27,28,29,30}-1)*LEN(Registro!$F293)+1,LEN(Registro!$F293)))&amp;"x")-1))),"Revisar formato")))</f>
        <v/>
      </c>
      <c r="G293" s="24" t="str">
        <f>IF(Registro!$F293="","",IF(ISERROR(FIND("x",LOWER(Registro!$F293))),N(Registro!$G293),IFERROR(SUMPRODUCT(--("0"&amp;LEFT(TRIM(MID(SUBSTITUTE(SUBSTITUTE(SUBSTITUTE(SUBSTITUTE(SUBSTITUTE(LOWER(Registro!$F293)," ",""),CHAR(10),"|"),";","|"),"+","|"),"|",REPT(" ",LEN(Registro!$F293))),({1,2,3,4,5,6,7,8,9,10,11,12,13,14,15,16,17,18,19,20,21,22,23,24,25,26,27,28,29,30}-1)*LEN(Registro!$F293)+1,LEN(Registro!$F293))),FIND("x",TRIM(MID(SUBSTITUTE(SUBSTITUTE(SUBSTITUTE(SUBSTITUTE(SUBSTITUTE(LOWER(Registro!$F293)," ",""),CHAR(10),"|"),";","|"),"+","|"),"|",REPT(" ",LEN(Registro!$F293))),({1,2,3,4,5,6,7,8,9,10,11,12,13,14,15,16,17,18,19,20,21,22,23,24,25,26,27,28,29,30}-1)*LEN(Registro!$F293)+1,LEN(Registro!$F293)))&amp;"x")-1)),--("0"&amp;MID(TRIM(MID(SUBSTITUTE(SUBSTITUTE(SUBSTITUTE(SUBSTITUTE(SUBSTITUTE(LOWER(Registro!$F293)," ",""),CHAR(10),"|"),";","|"),"+","|"),"|",REPT(" ",LEN(Registro!$F293))),({1,2,3,4,5,6,7,8,9,10,11,12,13,14,15,16,17,18,19,20,21,22,23,24,25,26,27,28,29,30}-1)*LEN(Registro!$F293)+1,LEN(Registro!$F293))),FIND("x",TRIM(MID(SUBSTITUTE(SUBSTITUTE(SUBSTITUTE(SUBSTITUTE(SUBSTITUTE(LOWER(Registro!$F293)," ",""),CHAR(10),"|"),";","|"),"+","|"),"|",REPT(" ",LEN(Registro!$F293))),({1,2,3,4,5,6,7,8,9,10,11,12,13,14,15,16,17,18,19,20,21,22,23,24,25,26,27,28,29,30}-1)*LEN(Registro!$F293)+1,LEN(Registro!$F293)))&amp;"x")+1,20))),"Revisar formato")))</f>
        <v/>
      </c>
      <c r="H293" s="21" t="str">
        <f>IF(AND(Registro!$E293="",Registro!$F293=""),"",IF(NOT(AND(ISNUMBER(G293),ISNUMBER(Registro!$G293))),"",IF(G293&lt;Registro!$G293,"FALTA BOLETOS",IF(G293=Registro!$G293,"CONFORME","DIFERENCIA"))))</f>
        <v/>
      </c>
      <c r="I293" s="24" t="str">
        <f>IF(Registro!$H293="","",IFERROR(SUMPRODUCT(--("0"&amp;TRIM(RIGHT(SUBSTITUTE(TRIM(MID(SUBSTITUTE(SUBSTITUTE(Registro!$H293,";",CHAR(10)),CHAR(10),REPT(" ",LEN(Registro!$H293))),({1,2,3,4,5,6,7,8,9,10,11,12,13,14,15,16,17,18,19,20,21,22,23,24,25,26,27,28,29,30}-1)*LEN(Registro!$H293)+1,LEN(Registro!$H293)))," ",REPT(" ",50)),50)))),"Revisar formato"))</f>
        <v/>
      </c>
      <c r="J293" s="24" t="str">
        <f>IF(Registro!$I293="","",IFERROR(SUMPRODUCT(--("0"&amp;TRIM(RIGHT(SUBSTITUTE(TRIM(MID(SUBSTITUTE(SUBSTITUTE(Registro!$I293,";",CHAR(10)),CHAR(10),REPT(" ",LEN(Registro!$I293))),({1,2,3,4,5,6,7,8,9,10,11,12,13,14,15,16,17,18,19,20,21,22,23,24,25,26,27,28,29,30}-1)*LEN(Registro!$I293)+1,LEN(Registro!$I293)))," ",REPT(" ",50)),50)))),"Revisar formato"))</f>
        <v/>
      </c>
      <c r="K293" s="24" t="str">
        <f>IF(AND(Registro!$G293="",Registro!$H293=""),"",IF(AND(ISTEXT(I293),I293&lt;&gt;""),"Revisar formato",N(Registro!$G293)-N(I293)))</f>
        <v/>
      </c>
      <c r="L293" s="24" t="str">
        <f t="shared" si="9"/>
        <v/>
      </c>
      <c r="M293" s="36" t="str">
        <f>IF(AND(A293=Consulta!$B$3,C293=Consulta!$H$3),B293*10000+ROW(),"")</f>
        <v/>
      </c>
    </row>
    <row r="294" spans="1:13" x14ac:dyDescent="0.25">
      <c r="A294" s="21" t="str">
        <f>IF(Registro!$A294="","",Registro!$A294)</f>
        <v/>
      </c>
      <c r="B294" s="20" t="str">
        <f>IF(Registro!$B294="","",Registro!$B294)</f>
        <v/>
      </c>
      <c r="C294" s="35" t="str">
        <f t="shared" si="8"/>
        <v/>
      </c>
      <c r="D294" s="23" t="str">
        <f>IF(Registro!$E294="","",IF(ISERROR(FIND("x",LOWER(Registro!$E294))),"-",IFERROR(SUMPRODUCT(--("0"&amp;LEFT(TRIM(MID(SUBSTITUTE(SUBSTITUTE(SUBSTITUTE(SUBSTITUTE(SUBSTITUTE(LOWER(Registro!$E294),"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",LEN(Registro!$E294))),({1,2,3,4,5,6,7,8,9,10,11,12,13,14,15,16,17,18,19,20,21,22,23,24,25,26,27,28,29,30}-1)*LEN(Registro!$E294)+1,LEN(Registro!$E294))),FIND("x",TRIM(MID(SUBSTITUTE(SUBSTITUTE(SUBSTITUTE(SUBSTITUTE(SUBSTITUTE(LOWER(Registro!$E294),"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",LEN(Registro!$E294))),({1,2,3,4,5,6,7,8,9,10,11,12,13,14,15,16,17,18,19,20,21,22,23,24,25,26,27,28,29,30}-1)*LEN(Registro!$E294)+1,LEN(Registro!$E294)))&amp;"x")-1))),"Revisar formato")))</f>
        <v/>
      </c>
      <c r="E294" s="24" t="str">
        <f>IF(Registro!$E294="","",IF(ISERROR(FIND("x",LOWER(Registro!$E294))),"-",IFERROR(SUMPRODUCT(--("0"&amp;LEFT(TRIM(MID(SUBSTITUTE(SUBSTITUTE(SUBSTITUTE(SUBSTITUTE(SUBSTITUTE(LOWER(Registro!$E294),"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",LEN(Registro!$E294))),({1,2,3,4,5,6,7,8,9,10,11,12,13,14,15,16,17,18,19,20,21,22,23,24,25,26,27,28,29,30}-1)*LEN(Registro!$E294)+1,LEN(Registro!$E294))),FIND("x",TRIM(MID(SUBSTITUTE(SUBSTITUTE(SUBSTITUTE(SUBSTITUTE(SUBSTITUTE(LOWER(Registro!$E294),"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",LEN(Registro!$E294))),({1,2,3,4,5,6,7,8,9,10,11,12,13,14,15,16,17,18,19,20,21,22,23,24,25,26,27,28,29,30}-1)*LEN(Registro!$E294)+1,LEN(Registro!$E294)))&amp;"x")-1)),--("0"&amp;MID(TRIM(MID(SUBSTITUTE(SUBSTITUTE(SUBSTITUTE(SUBSTITUTE(SUBSTITUTE(LOWER(Registro!$E294),"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",LEN(Registro!$E294))),({1,2,3,4,5,6,7,8,9,10,11,12,13,14,15,16,17,18,19,20,21,22,23,24,25,26,27,28,29,30}-1)*LEN(Registro!$E294)+1,LEN(Registro!$E294))),FIND("x",TRIM(MID(SUBSTITUTE(SUBSTITUTE(SUBSTITUTE(SUBSTITUTE(SUBSTITUTE(LOWER(Registro!$E294),"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",LEN(Registro!$E294))),({1,2,3,4,5,6,7,8,9,10,11,12,13,14,15,16,17,18,19,20,21,22,23,24,25,26,27,28,29,30}-1)*LEN(Registro!$E294)+1,LEN(Registro!$E294)))&amp;"x")+1,20))),"Revisar formato")))</f>
        <v/>
      </c>
      <c r="F294" s="23" t="str">
        <f>IF(Registro!$F294="","",IF(ISERROR(FIND("x",LOWER(Registro!$F294))),"-",IFERROR(SUMPRODUCT(--("0"&amp;LEFT(TRIM(MID(SUBSTITUTE(SUBSTITUTE(SUBSTITUTE(SUBSTITUTE(SUBSTITUTE(LOWER(Registro!$F294)," ",""),CHAR(10),"|"),";","|"),"+","|"),"|",REPT(" ",LEN(Registro!$F294))),({1,2,3,4,5,6,7,8,9,10,11,12,13,14,15,16,17,18,19,20,21,22,23,24,25,26,27,28,29,30}-1)*LEN(Registro!$F294)+1,LEN(Registro!$F294))),FIND("x",TRIM(MID(SUBSTITUTE(SUBSTITUTE(SUBSTITUTE(SUBSTITUTE(SUBSTITUTE(LOWER(Registro!$F294)," ",""),CHAR(10),"|"),";","|"),"+","|"),"|",REPT(" ",LEN(Registro!$F294))),({1,2,3,4,5,6,7,8,9,10,11,12,13,14,15,16,17,18,19,20,21,22,23,24,25,26,27,28,29,30}-1)*LEN(Registro!$F294)+1,LEN(Registro!$F294)))&amp;"x")-1))),"Revisar formato")))</f>
        <v/>
      </c>
      <c r="G294" s="24" t="str">
        <f>IF(Registro!$F294="","",IF(ISERROR(FIND("x",LOWER(Registro!$F294))),N(Registro!$G294),IFERROR(SUMPRODUCT(--("0"&amp;LEFT(TRIM(MID(SUBSTITUTE(SUBSTITUTE(SUBSTITUTE(SUBSTITUTE(SUBSTITUTE(LOWER(Registro!$F294)," ",""),CHAR(10),"|"),";","|"),"+","|"),"|",REPT(" ",LEN(Registro!$F294))),({1,2,3,4,5,6,7,8,9,10,11,12,13,14,15,16,17,18,19,20,21,22,23,24,25,26,27,28,29,30}-1)*LEN(Registro!$F294)+1,LEN(Registro!$F294))),FIND("x",TRIM(MID(SUBSTITUTE(SUBSTITUTE(SUBSTITUTE(SUBSTITUTE(SUBSTITUTE(LOWER(Registro!$F294)," ",""),CHAR(10),"|"),";","|"),"+","|"),"|",REPT(" ",LEN(Registro!$F294))),({1,2,3,4,5,6,7,8,9,10,11,12,13,14,15,16,17,18,19,20,21,22,23,24,25,26,27,28,29,30}-1)*LEN(Registro!$F294)+1,LEN(Registro!$F294)))&amp;"x")-1)),--("0"&amp;MID(TRIM(MID(SUBSTITUTE(SUBSTITUTE(SUBSTITUTE(SUBSTITUTE(SUBSTITUTE(LOWER(Registro!$F294)," ",""),CHAR(10),"|"),";","|"),"+","|"),"|",REPT(" ",LEN(Registro!$F294))),({1,2,3,4,5,6,7,8,9,10,11,12,13,14,15,16,17,18,19,20,21,22,23,24,25,26,27,28,29,30}-1)*LEN(Registro!$F294)+1,LEN(Registro!$F294))),FIND("x",TRIM(MID(SUBSTITUTE(SUBSTITUTE(SUBSTITUTE(SUBSTITUTE(SUBSTITUTE(LOWER(Registro!$F294)," ",""),CHAR(10),"|"),";","|"),"+","|"),"|",REPT(" ",LEN(Registro!$F294))),({1,2,3,4,5,6,7,8,9,10,11,12,13,14,15,16,17,18,19,20,21,22,23,24,25,26,27,28,29,30}-1)*LEN(Registro!$F294)+1,LEN(Registro!$F294)))&amp;"x")+1,20))),"Revisar formato")))</f>
        <v/>
      </c>
      <c r="H294" s="21" t="str">
        <f>IF(AND(Registro!$E294="",Registro!$F294=""),"",IF(NOT(AND(ISNUMBER(G294),ISNUMBER(Registro!$G294))),"",IF(G294&lt;Registro!$G294,"FALTA BOLETOS",IF(G294=Registro!$G294,"CONFORME","DIFERENCIA"))))</f>
        <v/>
      </c>
      <c r="I294" s="24" t="str">
        <f>IF(Registro!$H294="","",IFERROR(SUMPRODUCT(--("0"&amp;TRIM(RIGHT(SUBSTITUTE(TRIM(MID(SUBSTITUTE(SUBSTITUTE(Registro!$H294,";",CHAR(10)),CHAR(10),REPT(" ",LEN(Registro!$H294))),({1,2,3,4,5,6,7,8,9,10,11,12,13,14,15,16,17,18,19,20,21,22,23,24,25,26,27,28,29,30}-1)*LEN(Registro!$H294)+1,LEN(Registro!$H294)))," ",REPT(" ",50)),50)))),"Revisar formato"))</f>
        <v/>
      </c>
      <c r="J294" s="24" t="str">
        <f>IF(Registro!$I294="","",IFERROR(SUMPRODUCT(--("0"&amp;TRIM(RIGHT(SUBSTITUTE(TRIM(MID(SUBSTITUTE(SUBSTITUTE(Registro!$I294,";",CHAR(10)),CHAR(10),REPT(" ",LEN(Registro!$I294))),({1,2,3,4,5,6,7,8,9,10,11,12,13,14,15,16,17,18,19,20,21,22,23,24,25,26,27,28,29,30}-1)*LEN(Registro!$I294)+1,LEN(Registro!$I294)))," ",REPT(" ",50)),50)))),"Revisar formato"))</f>
        <v/>
      </c>
      <c r="K294" s="24" t="str">
        <f>IF(AND(Registro!$G294="",Registro!$H294=""),"",IF(AND(ISTEXT(I294),I294&lt;&gt;""),"Revisar formato",N(Registro!$G294)-N(I294)))</f>
        <v/>
      </c>
      <c r="L294" s="24" t="str">
        <f t="shared" si="9"/>
        <v/>
      </c>
      <c r="M294" s="36" t="str">
        <f>IF(AND(A294=Consulta!$B$3,C294=Consulta!$H$3),B294*10000+ROW(),"")</f>
        <v/>
      </c>
    </row>
    <row r="295" spans="1:13" x14ac:dyDescent="0.25">
      <c r="A295" s="21" t="str">
        <f>IF(Registro!$A295="","",Registro!$A295)</f>
        <v/>
      </c>
      <c r="B295" s="20" t="str">
        <f>IF(Registro!$B295="","",Registro!$B295)</f>
        <v/>
      </c>
      <c r="C295" s="35" t="str">
        <f t="shared" si="8"/>
        <v/>
      </c>
      <c r="D295" s="23" t="str">
        <f>IF(Registro!$E295="","",IF(ISERROR(FIND("x",LOWER(Registro!$E295))),"-",IFERROR(SUMPRODUCT(--("0"&amp;LEFT(TRIM(MID(SUBSTITUTE(SUBSTITUTE(SUBSTITUTE(SUBSTITUTE(SUBSTITUTE(LOWER(Registro!$E295),"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",LEN(Registro!$E295))),({1,2,3,4,5,6,7,8,9,10,11,12,13,14,15,16,17,18,19,20,21,22,23,24,25,26,27,28,29,30}-1)*LEN(Registro!$E295)+1,LEN(Registro!$E295))),FIND("x",TRIM(MID(SUBSTITUTE(SUBSTITUTE(SUBSTITUTE(SUBSTITUTE(SUBSTITUTE(LOWER(Registro!$E295),"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",LEN(Registro!$E295))),({1,2,3,4,5,6,7,8,9,10,11,12,13,14,15,16,17,18,19,20,21,22,23,24,25,26,27,28,29,30}-1)*LEN(Registro!$E295)+1,LEN(Registro!$E295)))&amp;"x")-1))),"Revisar formato")))</f>
        <v/>
      </c>
      <c r="E295" s="24" t="str">
        <f>IF(Registro!$E295="","",IF(ISERROR(FIND("x",LOWER(Registro!$E295))),"-",IFERROR(SUMPRODUCT(--("0"&amp;LEFT(TRIM(MID(SUBSTITUTE(SUBSTITUTE(SUBSTITUTE(SUBSTITUTE(SUBSTITUTE(LOWER(Registro!$E295),"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",LEN(Registro!$E295))),({1,2,3,4,5,6,7,8,9,10,11,12,13,14,15,16,17,18,19,20,21,22,23,24,25,26,27,28,29,30}-1)*LEN(Registro!$E295)+1,LEN(Registro!$E295))),FIND("x",TRIM(MID(SUBSTITUTE(SUBSTITUTE(SUBSTITUTE(SUBSTITUTE(SUBSTITUTE(LOWER(Registro!$E295),"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",LEN(Registro!$E295))),({1,2,3,4,5,6,7,8,9,10,11,12,13,14,15,16,17,18,19,20,21,22,23,24,25,26,27,28,29,30}-1)*LEN(Registro!$E295)+1,LEN(Registro!$E295)))&amp;"x")-1)),--("0"&amp;MID(TRIM(MID(SUBSTITUTE(SUBSTITUTE(SUBSTITUTE(SUBSTITUTE(SUBSTITUTE(LOWER(Registro!$E295),"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",LEN(Registro!$E295))),({1,2,3,4,5,6,7,8,9,10,11,12,13,14,15,16,17,18,19,20,21,22,23,24,25,26,27,28,29,30}-1)*LEN(Registro!$E295)+1,LEN(Registro!$E295))),FIND("x",TRIM(MID(SUBSTITUTE(SUBSTITUTE(SUBSTITUTE(SUBSTITUTE(SUBSTITUTE(LOWER(Registro!$E295),"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",LEN(Registro!$E295))),({1,2,3,4,5,6,7,8,9,10,11,12,13,14,15,16,17,18,19,20,21,22,23,24,25,26,27,28,29,30}-1)*LEN(Registro!$E295)+1,LEN(Registro!$E295)))&amp;"x")+1,20))),"Revisar formato")))</f>
        <v/>
      </c>
      <c r="F295" s="23" t="str">
        <f>IF(Registro!$F295="","",IF(ISERROR(FIND("x",LOWER(Registro!$F295))),"-",IFERROR(SUMPRODUCT(--("0"&amp;LEFT(TRIM(MID(SUBSTITUTE(SUBSTITUTE(SUBSTITUTE(SUBSTITUTE(SUBSTITUTE(LOWER(Registro!$F295)," ",""),CHAR(10),"|"),";","|"),"+","|"),"|",REPT(" ",LEN(Registro!$F295))),({1,2,3,4,5,6,7,8,9,10,11,12,13,14,15,16,17,18,19,20,21,22,23,24,25,26,27,28,29,30}-1)*LEN(Registro!$F295)+1,LEN(Registro!$F295))),FIND("x",TRIM(MID(SUBSTITUTE(SUBSTITUTE(SUBSTITUTE(SUBSTITUTE(SUBSTITUTE(LOWER(Registro!$F295)," ",""),CHAR(10),"|"),";","|"),"+","|"),"|",REPT(" ",LEN(Registro!$F295))),({1,2,3,4,5,6,7,8,9,10,11,12,13,14,15,16,17,18,19,20,21,22,23,24,25,26,27,28,29,30}-1)*LEN(Registro!$F295)+1,LEN(Registro!$F295)))&amp;"x")-1))),"Revisar formato")))</f>
        <v/>
      </c>
      <c r="G295" s="24" t="str">
        <f>IF(Registro!$F295="","",IF(ISERROR(FIND("x",LOWER(Registro!$F295))),N(Registro!$G295),IFERROR(SUMPRODUCT(--("0"&amp;LEFT(TRIM(MID(SUBSTITUTE(SUBSTITUTE(SUBSTITUTE(SUBSTITUTE(SUBSTITUTE(LOWER(Registro!$F295)," ",""),CHAR(10),"|"),";","|"),"+","|"),"|",REPT(" ",LEN(Registro!$F295))),({1,2,3,4,5,6,7,8,9,10,11,12,13,14,15,16,17,18,19,20,21,22,23,24,25,26,27,28,29,30}-1)*LEN(Registro!$F295)+1,LEN(Registro!$F295))),FIND("x",TRIM(MID(SUBSTITUTE(SUBSTITUTE(SUBSTITUTE(SUBSTITUTE(SUBSTITUTE(LOWER(Registro!$F295)," ",""),CHAR(10),"|"),";","|"),"+","|"),"|",REPT(" ",LEN(Registro!$F295))),({1,2,3,4,5,6,7,8,9,10,11,12,13,14,15,16,17,18,19,20,21,22,23,24,25,26,27,28,29,30}-1)*LEN(Registro!$F295)+1,LEN(Registro!$F295)))&amp;"x")-1)),--("0"&amp;MID(TRIM(MID(SUBSTITUTE(SUBSTITUTE(SUBSTITUTE(SUBSTITUTE(SUBSTITUTE(LOWER(Registro!$F295)," ",""),CHAR(10),"|"),";","|"),"+","|"),"|",REPT(" ",LEN(Registro!$F295))),({1,2,3,4,5,6,7,8,9,10,11,12,13,14,15,16,17,18,19,20,21,22,23,24,25,26,27,28,29,30}-1)*LEN(Registro!$F295)+1,LEN(Registro!$F295))),FIND("x",TRIM(MID(SUBSTITUTE(SUBSTITUTE(SUBSTITUTE(SUBSTITUTE(SUBSTITUTE(LOWER(Registro!$F295)," ",""),CHAR(10),"|"),";","|"),"+","|"),"|",REPT(" ",LEN(Registro!$F295))),({1,2,3,4,5,6,7,8,9,10,11,12,13,14,15,16,17,18,19,20,21,22,23,24,25,26,27,28,29,30}-1)*LEN(Registro!$F295)+1,LEN(Registro!$F295)))&amp;"x")+1,20))),"Revisar formato")))</f>
        <v/>
      </c>
      <c r="H295" s="21" t="str">
        <f>IF(AND(Registro!$E295="",Registro!$F295=""),"",IF(NOT(AND(ISNUMBER(G295),ISNUMBER(Registro!$G295))),"",IF(G295&lt;Registro!$G295,"FALTA BOLETOS",IF(G295=Registro!$G295,"CONFORME","DIFERENCIA"))))</f>
        <v/>
      </c>
      <c r="I295" s="24" t="str">
        <f>IF(Registro!$H295="","",IFERROR(SUMPRODUCT(--("0"&amp;TRIM(RIGHT(SUBSTITUTE(TRIM(MID(SUBSTITUTE(SUBSTITUTE(Registro!$H295,";",CHAR(10)),CHAR(10),REPT(" ",LEN(Registro!$H295))),({1,2,3,4,5,6,7,8,9,10,11,12,13,14,15,16,17,18,19,20,21,22,23,24,25,26,27,28,29,30}-1)*LEN(Registro!$H295)+1,LEN(Registro!$H295)))," ",REPT(" ",50)),50)))),"Revisar formato"))</f>
        <v/>
      </c>
      <c r="J295" s="24" t="str">
        <f>IF(Registro!$I295="","",IFERROR(SUMPRODUCT(--("0"&amp;TRIM(RIGHT(SUBSTITUTE(TRIM(MID(SUBSTITUTE(SUBSTITUTE(Registro!$I295,";",CHAR(10)),CHAR(10),REPT(" ",LEN(Registro!$I295))),({1,2,3,4,5,6,7,8,9,10,11,12,13,14,15,16,17,18,19,20,21,22,23,24,25,26,27,28,29,30}-1)*LEN(Registro!$I295)+1,LEN(Registro!$I295)))," ",REPT(" ",50)),50)))),"Revisar formato"))</f>
        <v/>
      </c>
      <c r="K295" s="24" t="str">
        <f>IF(AND(Registro!$G295="",Registro!$H295=""),"",IF(AND(ISTEXT(I295),I295&lt;&gt;""),"Revisar formato",N(Registro!$G295)-N(I295)))</f>
        <v/>
      </c>
      <c r="L295" s="24" t="str">
        <f t="shared" si="9"/>
        <v/>
      </c>
      <c r="M295" s="36" t="str">
        <f>IF(AND(A295=Consulta!$B$3,C295=Consulta!$H$3),B295*10000+ROW(),"")</f>
        <v/>
      </c>
    </row>
    <row r="296" spans="1:13" x14ac:dyDescent="0.25">
      <c r="A296" s="21" t="str">
        <f>IF(Registro!$A296="","",Registro!$A296)</f>
        <v/>
      </c>
      <c r="B296" s="20" t="str">
        <f>IF(Registro!$B296="","",Registro!$B296)</f>
        <v/>
      </c>
      <c r="C296" s="35" t="str">
        <f t="shared" si="8"/>
        <v/>
      </c>
      <c r="D296" s="23" t="str">
        <f>IF(Registro!$E296="","",IF(ISERROR(FIND("x",LOWER(Registro!$E296))),"-",IFERROR(SUMPRODUCT(--("0"&amp;LEFT(TRIM(MID(SUBSTITUTE(SUBSTITUTE(SUBSTITUTE(SUBSTITUTE(SUBSTITUTE(LOWER(Registro!$E296),"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",LEN(Registro!$E296))),({1,2,3,4,5,6,7,8,9,10,11,12,13,14,15,16,17,18,19,20,21,22,23,24,25,26,27,28,29,30}-1)*LEN(Registro!$E296)+1,LEN(Registro!$E296))),FIND("x",TRIM(MID(SUBSTITUTE(SUBSTITUTE(SUBSTITUTE(SUBSTITUTE(SUBSTITUTE(LOWER(Registro!$E296),"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",LEN(Registro!$E296))),({1,2,3,4,5,6,7,8,9,10,11,12,13,14,15,16,17,18,19,20,21,22,23,24,25,26,27,28,29,30}-1)*LEN(Registro!$E296)+1,LEN(Registro!$E296)))&amp;"x")-1))),"Revisar formato")))</f>
        <v/>
      </c>
      <c r="E296" s="24" t="str">
        <f>IF(Registro!$E296="","",IF(ISERROR(FIND("x",LOWER(Registro!$E296))),"-",IFERROR(SUMPRODUCT(--("0"&amp;LEFT(TRIM(MID(SUBSTITUTE(SUBSTITUTE(SUBSTITUTE(SUBSTITUTE(SUBSTITUTE(LOWER(Registro!$E296),"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",LEN(Registro!$E296))),({1,2,3,4,5,6,7,8,9,10,11,12,13,14,15,16,17,18,19,20,21,22,23,24,25,26,27,28,29,30}-1)*LEN(Registro!$E296)+1,LEN(Registro!$E296))),FIND("x",TRIM(MID(SUBSTITUTE(SUBSTITUTE(SUBSTITUTE(SUBSTITUTE(SUBSTITUTE(LOWER(Registro!$E296),"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",LEN(Registro!$E296))),({1,2,3,4,5,6,7,8,9,10,11,12,13,14,15,16,17,18,19,20,21,22,23,24,25,26,27,28,29,30}-1)*LEN(Registro!$E296)+1,LEN(Registro!$E296)))&amp;"x")-1)),--("0"&amp;MID(TRIM(MID(SUBSTITUTE(SUBSTITUTE(SUBSTITUTE(SUBSTITUTE(SUBSTITUTE(LOWER(Registro!$E296),"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",LEN(Registro!$E296))),({1,2,3,4,5,6,7,8,9,10,11,12,13,14,15,16,17,18,19,20,21,22,23,24,25,26,27,28,29,30}-1)*LEN(Registro!$E296)+1,LEN(Registro!$E296))),FIND("x",TRIM(MID(SUBSTITUTE(SUBSTITUTE(SUBSTITUTE(SUBSTITUTE(SUBSTITUTE(LOWER(Registro!$E296),"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",LEN(Registro!$E296))),({1,2,3,4,5,6,7,8,9,10,11,12,13,14,15,16,17,18,19,20,21,22,23,24,25,26,27,28,29,30}-1)*LEN(Registro!$E296)+1,LEN(Registro!$E296)))&amp;"x")+1,20))),"Revisar formato")))</f>
        <v/>
      </c>
      <c r="F296" s="23" t="str">
        <f>IF(Registro!$F296="","",IF(ISERROR(FIND("x",LOWER(Registro!$F296))),"-",IFERROR(SUMPRODUCT(--("0"&amp;LEFT(TRIM(MID(SUBSTITUTE(SUBSTITUTE(SUBSTITUTE(SUBSTITUTE(SUBSTITUTE(LOWER(Registro!$F296)," ",""),CHAR(10),"|"),";","|"),"+","|"),"|",REPT(" ",LEN(Registro!$F296))),({1,2,3,4,5,6,7,8,9,10,11,12,13,14,15,16,17,18,19,20,21,22,23,24,25,26,27,28,29,30}-1)*LEN(Registro!$F296)+1,LEN(Registro!$F296))),FIND("x",TRIM(MID(SUBSTITUTE(SUBSTITUTE(SUBSTITUTE(SUBSTITUTE(SUBSTITUTE(LOWER(Registro!$F296)," ",""),CHAR(10),"|"),";","|"),"+","|"),"|",REPT(" ",LEN(Registro!$F296))),({1,2,3,4,5,6,7,8,9,10,11,12,13,14,15,16,17,18,19,20,21,22,23,24,25,26,27,28,29,30}-1)*LEN(Registro!$F296)+1,LEN(Registro!$F296)))&amp;"x")-1))),"Revisar formato")))</f>
        <v/>
      </c>
      <c r="G296" s="24" t="str">
        <f>IF(Registro!$F296="","",IF(ISERROR(FIND("x",LOWER(Registro!$F296))),N(Registro!$G296),IFERROR(SUMPRODUCT(--("0"&amp;LEFT(TRIM(MID(SUBSTITUTE(SUBSTITUTE(SUBSTITUTE(SUBSTITUTE(SUBSTITUTE(LOWER(Registro!$F296)," ",""),CHAR(10),"|"),";","|"),"+","|"),"|",REPT(" ",LEN(Registro!$F296))),({1,2,3,4,5,6,7,8,9,10,11,12,13,14,15,16,17,18,19,20,21,22,23,24,25,26,27,28,29,30}-1)*LEN(Registro!$F296)+1,LEN(Registro!$F296))),FIND("x",TRIM(MID(SUBSTITUTE(SUBSTITUTE(SUBSTITUTE(SUBSTITUTE(SUBSTITUTE(LOWER(Registro!$F296)," ",""),CHAR(10),"|"),";","|"),"+","|"),"|",REPT(" ",LEN(Registro!$F296))),({1,2,3,4,5,6,7,8,9,10,11,12,13,14,15,16,17,18,19,20,21,22,23,24,25,26,27,28,29,30}-1)*LEN(Registro!$F296)+1,LEN(Registro!$F296)))&amp;"x")-1)),--("0"&amp;MID(TRIM(MID(SUBSTITUTE(SUBSTITUTE(SUBSTITUTE(SUBSTITUTE(SUBSTITUTE(LOWER(Registro!$F296)," ",""),CHAR(10),"|"),";","|"),"+","|"),"|",REPT(" ",LEN(Registro!$F296))),({1,2,3,4,5,6,7,8,9,10,11,12,13,14,15,16,17,18,19,20,21,22,23,24,25,26,27,28,29,30}-1)*LEN(Registro!$F296)+1,LEN(Registro!$F296))),FIND("x",TRIM(MID(SUBSTITUTE(SUBSTITUTE(SUBSTITUTE(SUBSTITUTE(SUBSTITUTE(LOWER(Registro!$F296)," ",""),CHAR(10),"|"),";","|"),"+","|"),"|",REPT(" ",LEN(Registro!$F296))),({1,2,3,4,5,6,7,8,9,10,11,12,13,14,15,16,17,18,19,20,21,22,23,24,25,26,27,28,29,30}-1)*LEN(Registro!$F296)+1,LEN(Registro!$F296)))&amp;"x")+1,20))),"Revisar formato")))</f>
        <v/>
      </c>
      <c r="H296" s="21" t="str">
        <f>IF(AND(Registro!$E296="",Registro!$F296=""),"",IF(NOT(AND(ISNUMBER(G296),ISNUMBER(Registro!$G296))),"",IF(G296&lt;Registro!$G296,"FALTA BOLETOS",IF(G296=Registro!$G296,"CONFORME","DIFERENCIA"))))</f>
        <v/>
      </c>
      <c r="I296" s="24" t="str">
        <f>IF(Registro!$H296="","",IFERROR(SUMPRODUCT(--("0"&amp;TRIM(RIGHT(SUBSTITUTE(TRIM(MID(SUBSTITUTE(SUBSTITUTE(Registro!$H296,";",CHAR(10)),CHAR(10),REPT(" ",LEN(Registro!$H296))),({1,2,3,4,5,6,7,8,9,10,11,12,13,14,15,16,17,18,19,20,21,22,23,24,25,26,27,28,29,30}-1)*LEN(Registro!$H296)+1,LEN(Registro!$H296)))," ",REPT(" ",50)),50)))),"Revisar formato"))</f>
        <v/>
      </c>
      <c r="J296" s="24" t="str">
        <f>IF(Registro!$I296="","",IFERROR(SUMPRODUCT(--("0"&amp;TRIM(RIGHT(SUBSTITUTE(TRIM(MID(SUBSTITUTE(SUBSTITUTE(Registro!$I296,";",CHAR(10)),CHAR(10),REPT(" ",LEN(Registro!$I296))),({1,2,3,4,5,6,7,8,9,10,11,12,13,14,15,16,17,18,19,20,21,22,23,24,25,26,27,28,29,30}-1)*LEN(Registro!$I296)+1,LEN(Registro!$I296)))," ",REPT(" ",50)),50)))),"Revisar formato"))</f>
        <v/>
      </c>
      <c r="K296" s="24" t="str">
        <f>IF(AND(Registro!$G296="",Registro!$H296=""),"",IF(AND(ISTEXT(I296),I296&lt;&gt;""),"Revisar formato",N(Registro!$G296)-N(I296)))</f>
        <v/>
      </c>
      <c r="L296" s="24" t="str">
        <f t="shared" si="9"/>
        <v/>
      </c>
      <c r="M296" s="36" t="str">
        <f>IF(AND(A296=Consulta!$B$3,C296=Consulta!$H$3),B296*10000+ROW(),"")</f>
        <v/>
      </c>
    </row>
    <row r="297" spans="1:13" x14ac:dyDescent="0.25">
      <c r="A297" s="21" t="str">
        <f>IF(Registro!$A297="","",Registro!$A297)</f>
        <v/>
      </c>
      <c r="B297" s="20" t="str">
        <f>IF(Registro!$B297="","",Registro!$B297)</f>
        <v/>
      </c>
      <c r="C297" s="35" t="str">
        <f t="shared" si="8"/>
        <v/>
      </c>
      <c r="D297" s="23" t="str">
        <f>IF(Registro!$E297="","",IF(ISERROR(FIND("x",LOWER(Registro!$E297))),"-",IFERROR(SUMPRODUCT(--("0"&amp;LEFT(TRIM(MID(SUBSTITUTE(SUBSTITUTE(SUBSTITUTE(SUBSTITUTE(SUBSTITUTE(LOWER(Registro!$E297),"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",LEN(Registro!$E297))),({1,2,3,4,5,6,7,8,9,10,11,12,13,14,15,16,17,18,19,20,21,22,23,24,25,26,27,28,29,30}-1)*LEN(Registro!$E297)+1,LEN(Registro!$E297))),FIND("x",TRIM(MID(SUBSTITUTE(SUBSTITUTE(SUBSTITUTE(SUBSTITUTE(SUBSTITUTE(LOWER(Registro!$E297),"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",LEN(Registro!$E297))),({1,2,3,4,5,6,7,8,9,10,11,12,13,14,15,16,17,18,19,20,21,22,23,24,25,26,27,28,29,30}-1)*LEN(Registro!$E297)+1,LEN(Registro!$E297)))&amp;"x")-1))),"Revisar formato")))</f>
        <v/>
      </c>
      <c r="E297" s="24" t="str">
        <f>IF(Registro!$E297="","",IF(ISERROR(FIND("x",LOWER(Registro!$E297))),"-",IFERROR(SUMPRODUCT(--("0"&amp;LEFT(TRIM(MID(SUBSTITUTE(SUBSTITUTE(SUBSTITUTE(SUBSTITUTE(SUBSTITUTE(LOWER(Registro!$E297),"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",LEN(Registro!$E297))),({1,2,3,4,5,6,7,8,9,10,11,12,13,14,15,16,17,18,19,20,21,22,23,24,25,26,27,28,29,30}-1)*LEN(Registro!$E297)+1,LEN(Registro!$E297))),FIND("x",TRIM(MID(SUBSTITUTE(SUBSTITUTE(SUBSTITUTE(SUBSTITUTE(SUBSTITUTE(LOWER(Registro!$E297),"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",LEN(Registro!$E297))),({1,2,3,4,5,6,7,8,9,10,11,12,13,14,15,16,17,18,19,20,21,22,23,24,25,26,27,28,29,30}-1)*LEN(Registro!$E297)+1,LEN(Registro!$E297)))&amp;"x")-1)),--("0"&amp;MID(TRIM(MID(SUBSTITUTE(SUBSTITUTE(SUBSTITUTE(SUBSTITUTE(SUBSTITUTE(LOWER(Registro!$E297),"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",LEN(Registro!$E297))),({1,2,3,4,5,6,7,8,9,10,11,12,13,14,15,16,17,18,19,20,21,22,23,24,25,26,27,28,29,30}-1)*LEN(Registro!$E297)+1,LEN(Registro!$E297))),FIND("x",TRIM(MID(SUBSTITUTE(SUBSTITUTE(SUBSTITUTE(SUBSTITUTE(SUBSTITUTE(LOWER(Registro!$E297),"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",LEN(Registro!$E297))),({1,2,3,4,5,6,7,8,9,10,11,12,13,14,15,16,17,18,19,20,21,22,23,24,25,26,27,28,29,30}-1)*LEN(Registro!$E297)+1,LEN(Registro!$E297)))&amp;"x")+1,20))),"Revisar formato")))</f>
        <v/>
      </c>
      <c r="F297" s="23" t="str">
        <f>IF(Registro!$F297="","",IF(ISERROR(FIND("x",LOWER(Registro!$F297))),"-",IFERROR(SUMPRODUCT(--("0"&amp;LEFT(TRIM(MID(SUBSTITUTE(SUBSTITUTE(SUBSTITUTE(SUBSTITUTE(SUBSTITUTE(LOWER(Registro!$F297)," ",""),CHAR(10),"|"),";","|"),"+","|"),"|",REPT(" ",LEN(Registro!$F297))),({1,2,3,4,5,6,7,8,9,10,11,12,13,14,15,16,17,18,19,20,21,22,23,24,25,26,27,28,29,30}-1)*LEN(Registro!$F297)+1,LEN(Registro!$F297))),FIND("x",TRIM(MID(SUBSTITUTE(SUBSTITUTE(SUBSTITUTE(SUBSTITUTE(SUBSTITUTE(LOWER(Registro!$F297)," ",""),CHAR(10),"|"),";","|"),"+","|"),"|",REPT(" ",LEN(Registro!$F297))),({1,2,3,4,5,6,7,8,9,10,11,12,13,14,15,16,17,18,19,20,21,22,23,24,25,26,27,28,29,30}-1)*LEN(Registro!$F297)+1,LEN(Registro!$F297)))&amp;"x")-1))),"Revisar formato")))</f>
        <v/>
      </c>
      <c r="G297" s="24" t="str">
        <f>IF(Registro!$F297="","",IF(ISERROR(FIND("x",LOWER(Registro!$F297))),N(Registro!$G297),IFERROR(SUMPRODUCT(--("0"&amp;LEFT(TRIM(MID(SUBSTITUTE(SUBSTITUTE(SUBSTITUTE(SUBSTITUTE(SUBSTITUTE(LOWER(Registro!$F297)," ",""),CHAR(10),"|"),";","|"),"+","|"),"|",REPT(" ",LEN(Registro!$F297))),({1,2,3,4,5,6,7,8,9,10,11,12,13,14,15,16,17,18,19,20,21,22,23,24,25,26,27,28,29,30}-1)*LEN(Registro!$F297)+1,LEN(Registro!$F297))),FIND("x",TRIM(MID(SUBSTITUTE(SUBSTITUTE(SUBSTITUTE(SUBSTITUTE(SUBSTITUTE(LOWER(Registro!$F297)," ",""),CHAR(10),"|"),";","|"),"+","|"),"|",REPT(" ",LEN(Registro!$F297))),({1,2,3,4,5,6,7,8,9,10,11,12,13,14,15,16,17,18,19,20,21,22,23,24,25,26,27,28,29,30}-1)*LEN(Registro!$F297)+1,LEN(Registro!$F297)))&amp;"x")-1)),--("0"&amp;MID(TRIM(MID(SUBSTITUTE(SUBSTITUTE(SUBSTITUTE(SUBSTITUTE(SUBSTITUTE(LOWER(Registro!$F297)," ",""),CHAR(10),"|"),";","|"),"+","|"),"|",REPT(" ",LEN(Registro!$F297))),({1,2,3,4,5,6,7,8,9,10,11,12,13,14,15,16,17,18,19,20,21,22,23,24,25,26,27,28,29,30}-1)*LEN(Registro!$F297)+1,LEN(Registro!$F297))),FIND("x",TRIM(MID(SUBSTITUTE(SUBSTITUTE(SUBSTITUTE(SUBSTITUTE(SUBSTITUTE(LOWER(Registro!$F297)," ",""),CHAR(10),"|"),";","|"),"+","|"),"|",REPT(" ",LEN(Registro!$F297))),({1,2,3,4,5,6,7,8,9,10,11,12,13,14,15,16,17,18,19,20,21,22,23,24,25,26,27,28,29,30}-1)*LEN(Registro!$F297)+1,LEN(Registro!$F297)))&amp;"x")+1,20))),"Revisar formato")))</f>
        <v/>
      </c>
      <c r="H297" s="21" t="str">
        <f>IF(AND(Registro!$E297="",Registro!$F297=""),"",IF(NOT(AND(ISNUMBER(G297),ISNUMBER(Registro!$G297))),"",IF(G297&lt;Registro!$G297,"FALTA BOLETOS",IF(G297=Registro!$G297,"CONFORME","DIFERENCIA"))))</f>
        <v/>
      </c>
      <c r="I297" s="24" t="str">
        <f>IF(Registro!$H297="","",IFERROR(SUMPRODUCT(--("0"&amp;TRIM(RIGHT(SUBSTITUTE(TRIM(MID(SUBSTITUTE(SUBSTITUTE(Registro!$H297,";",CHAR(10)),CHAR(10),REPT(" ",LEN(Registro!$H297))),({1,2,3,4,5,6,7,8,9,10,11,12,13,14,15,16,17,18,19,20,21,22,23,24,25,26,27,28,29,30}-1)*LEN(Registro!$H297)+1,LEN(Registro!$H297)))," ",REPT(" ",50)),50)))),"Revisar formato"))</f>
        <v/>
      </c>
      <c r="J297" s="24" t="str">
        <f>IF(Registro!$I297="","",IFERROR(SUMPRODUCT(--("0"&amp;TRIM(RIGHT(SUBSTITUTE(TRIM(MID(SUBSTITUTE(SUBSTITUTE(Registro!$I297,";",CHAR(10)),CHAR(10),REPT(" ",LEN(Registro!$I297))),({1,2,3,4,5,6,7,8,9,10,11,12,13,14,15,16,17,18,19,20,21,22,23,24,25,26,27,28,29,30}-1)*LEN(Registro!$I297)+1,LEN(Registro!$I297)))," ",REPT(" ",50)),50)))),"Revisar formato"))</f>
        <v/>
      </c>
      <c r="K297" s="24" t="str">
        <f>IF(AND(Registro!$G297="",Registro!$H297=""),"",IF(AND(ISTEXT(I297),I297&lt;&gt;""),"Revisar formato",N(Registro!$G297)-N(I297)))</f>
        <v/>
      </c>
      <c r="L297" s="24" t="str">
        <f t="shared" si="9"/>
        <v/>
      </c>
      <c r="M297" s="36" t="str">
        <f>IF(AND(A297=Consulta!$B$3,C297=Consulta!$H$3),B297*10000+ROW(),"")</f>
        <v/>
      </c>
    </row>
    <row r="298" spans="1:13" x14ac:dyDescent="0.25">
      <c r="A298" s="21" t="str">
        <f>IF(Registro!$A298="","",Registro!$A298)</f>
        <v/>
      </c>
      <c r="B298" s="20" t="str">
        <f>IF(Registro!$B298="","",Registro!$B298)</f>
        <v/>
      </c>
      <c r="C298" s="35" t="str">
        <f t="shared" si="8"/>
        <v/>
      </c>
      <c r="D298" s="23" t="str">
        <f>IF(Registro!$E298="","",IF(ISERROR(FIND("x",LOWER(Registro!$E298))),"-",IFERROR(SUMPRODUCT(--("0"&amp;LEFT(TRIM(MID(SUBSTITUTE(SUBSTITUTE(SUBSTITUTE(SUBSTITUTE(SUBSTITUTE(LOWER(Registro!$E298),"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",LEN(Registro!$E298))),({1,2,3,4,5,6,7,8,9,10,11,12,13,14,15,16,17,18,19,20,21,22,23,24,25,26,27,28,29,30}-1)*LEN(Registro!$E298)+1,LEN(Registro!$E298))),FIND("x",TRIM(MID(SUBSTITUTE(SUBSTITUTE(SUBSTITUTE(SUBSTITUTE(SUBSTITUTE(LOWER(Registro!$E298),"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",LEN(Registro!$E298))),({1,2,3,4,5,6,7,8,9,10,11,12,13,14,15,16,17,18,19,20,21,22,23,24,25,26,27,28,29,30}-1)*LEN(Registro!$E298)+1,LEN(Registro!$E298)))&amp;"x")-1))),"Revisar formato")))</f>
        <v/>
      </c>
      <c r="E298" s="24" t="str">
        <f>IF(Registro!$E298="","",IF(ISERROR(FIND("x",LOWER(Registro!$E298))),"-",IFERROR(SUMPRODUCT(--("0"&amp;LEFT(TRIM(MID(SUBSTITUTE(SUBSTITUTE(SUBSTITUTE(SUBSTITUTE(SUBSTITUTE(LOWER(Registro!$E298),"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",LEN(Registro!$E298))),({1,2,3,4,5,6,7,8,9,10,11,12,13,14,15,16,17,18,19,20,21,22,23,24,25,26,27,28,29,30}-1)*LEN(Registro!$E298)+1,LEN(Registro!$E298))),FIND("x",TRIM(MID(SUBSTITUTE(SUBSTITUTE(SUBSTITUTE(SUBSTITUTE(SUBSTITUTE(LOWER(Registro!$E298),"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",LEN(Registro!$E298))),({1,2,3,4,5,6,7,8,9,10,11,12,13,14,15,16,17,18,19,20,21,22,23,24,25,26,27,28,29,30}-1)*LEN(Registro!$E298)+1,LEN(Registro!$E298)))&amp;"x")-1)),--("0"&amp;MID(TRIM(MID(SUBSTITUTE(SUBSTITUTE(SUBSTITUTE(SUBSTITUTE(SUBSTITUTE(LOWER(Registro!$E298),"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",LEN(Registro!$E298))),({1,2,3,4,5,6,7,8,9,10,11,12,13,14,15,16,17,18,19,20,21,22,23,24,25,26,27,28,29,30}-1)*LEN(Registro!$E298)+1,LEN(Registro!$E298))),FIND("x",TRIM(MID(SUBSTITUTE(SUBSTITUTE(SUBSTITUTE(SUBSTITUTE(SUBSTITUTE(LOWER(Registro!$E298),"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",LEN(Registro!$E298))),({1,2,3,4,5,6,7,8,9,10,11,12,13,14,15,16,17,18,19,20,21,22,23,24,25,26,27,28,29,30}-1)*LEN(Registro!$E298)+1,LEN(Registro!$E298)))&amp;"x")+1,20))),"Revisar formato")))</f>
        <v/>
      </c>
      <c r="F298" s="23" t="str">
        <f>IF(Registro!$F298="","",IF(ISERROR(FIND("x",LOWER(Registro!$F298))),"-",IFERROR(SUMPRODUCT(--("0"&amp;LEFT(TRIM(MID(SUBSTITUTE(SUBSTITUTE(SUBSTITUTE(SUBSTITUTE(SUBSTITUTE(LOWER(Registro!$F298)," ",""),CHAR(10),"|"),";","|"),"+","|"),"|",REPT(" ",LEN(Registro!$F298))),({1,2,3,4,5,6,7,8,9,10,11,12,13,14,15,16,17,18,19,20,21,22,23,24,25,26,27,28,29,30}-1)*LEN(Registro!$F298)+1,LEN(Registro!$F298))),FIND("x",TRIM(MID(SUBSTITUTE(SUBSTITUTE(SUBSTITUTE(SUBSTITUTE(SUBSTITUTE(LOWER(Registro!$F298)," ",""),CHAR(10),"|"),";","|"),"+","|"),"|",REPT(" ",LEN(Registro!$F298))),({1,2,3,4,5,6,7,8,9,10,11,12,13,14,15,16,17,18,19,20,21,22,23,24,25,26,27,28,29,30}-1)*LEN(Registro!$F298)+1,LEN(Registro!$F298)))&amp;"x")-1))),"Revisar formato")))</f>
        <v/>
      </c>
      <c r="G298" s="24" t="str">
        <f>IF(Registro!$F298="","",IF(ISERROR(FIND("x",LOWER(Registro!$F298))),N(Registro!$G298),IFERROR(SUMPRODUCT(--("0"&amp;LEFT(TRIM(MID(SUBSTITUTE(SUBSTITUTE(SUBSTITUTE(SUBSTITUTE(SUBSTITUTE(LOWER(Registro!$F298)," ",""),CHAR(10),"|"),";","|"),"+","|"),"|",REPT(" ",LEN(Registro!$F298))),({1,2,3,4,5,6,7,8,9,10,11,12,13,14,15,16,17,18,19,20,21,22,23,24,25,26,27,28,29,30}-1)*LEN(Registro!$F298)+1,LEN(Registro!$F298))),FIND("x",TRIM(MID(SUBSTITUTE(SUBSTITUTE(SUBSTITUTE(SUBSTITUTE(SUBSTITUTE(LOWER(Registro!$F298)," ",""),CHAR(10),"|"),";","|"),"+","|"),"|",REPT(" ",LEN(Registro!$F298))),({1,2,3,4,5,6,7,8,9,10,11,12,13,14,15,16,17,18,19,20,21,22,23,24,25,26,27,28,29,30}-1)*LEN(Registro!$F298)+1,LEN(Registro!$F298)))&amp;"x")-1)),--("0"&amp;MID(TRIM(MID(SUBSTITUTE(SUBSTITUTE(SUBSTITUTE(SUBSTITUTE(SUBSTITUTE(LOWER(Registro!$F298)," ",""),CHAR(10),"|"),";","|"),"+","|"),"|",REPT(" ",LEN(Registro!$F298))),({1,2,3,4,5,6,7,8,9,10,11,12,13,14,15,16,17,18,19,20,21,22,23,24,25,26,27,28,29,30}-1)*LEN(Registro!$F298)+1,LEN(Registro!$F298))),FIND("x",TRIM(MID(SUBSTITUTE(SUBSTITUTE(SUBSTITUTE(SUBSTITUTE(SUBSTITUTE(LOWER(Registro!$F298)," ",""),CHAR(10),"|"),";","|"),"+","|"),"|",REPT(" ",LEN(Registro!$F298))),({1,2,3,4,5,6,7,8,9,10,11,12,13,14,15,16,17,18,19,20,21,22,23,24,25,26,27,28,29,30}-1)*LEN(Registro!$F298)+1,LEN(Registro!$F298)))&amp;"x")+1,20))),"Revisar formato")))</f>
        <v/>
      </c>
      <c r="H298" s="21" t="str">
        <f>IF(AND(Registro!$E298="",Registro!$F298=""),"",IF(NOT(AND(ISNUMBER(G298),ISNUMBER(Registro!$G298))),"",IF(G298&lt;Registro!$G298,"FALTA BOLETOS",IF(G298=Registro!$G298,"CONFORME","DIFERENCIA"))))</f>
        <v/>
      </c>
      <c r="I298" s="24" t="str">
        <f>IF(Registro!$H298="","",IFERROR(SUMPRODUCT(--("0"&amp;TRIM(RIGHT(SUBSTITUTE(TRIM(MID(SUBSTITUTE(SUBSTITUTE(Registro!$H298,";",CHAR(10)),CHAR(10),REPT(" ",LEN(Registro!$H298))),({1,2,3,4,5,6,7,8,9,10,11,12,13,14,15,16,17,18,19,20,21,22,23,24,25,26,27,28,29,30}-1)*LEN(Registro!$H298)+1,LEN(Registro!$H298)))," ",REPT(" ",50)),50)))),"Revisar formato"))</f>
        <v/>
      </c>
      <c r="J298" s="24" t="str">
        <f>IF(Registro!$I298="","",IFERROR(SUMPRODUCT(--("0"&amp;TRIM(RIGHT(SUBSTITUTE(TRIM(MID(SUBSTITUTE(SUBSTITUTE(Registro!$I298,";",CHAR(10)),CHAR(10),REPT(" ",LEN(Registro!$I298))),({1,2,3,4,5,6,7,8,9,10,11,12,13,14,15,16,17,18,19,20,21,22,23,24,25,26,27,28,29,30}-1)*LEN(Registro!$I298)+1,LEN(Registro!$I298)))," ",REPT(" ",50)),50)))),"Revisar formato"))</f>
        <v/>
      </c>
      <c r="K298" s="24" t="str">
        <f>IF(AND(Registro!$G298="",Registro!$H298=""),"",IF(AND(ISTEXT(I298),I298&lt;&gt;""),"Revisar formato",N(Registro!$G298)-N(I298)))</f>
        <v/>
      </c>
      <c r="L298" s="24" t="str">
        <f t="shared" si="9"/>
        <v/>
      </c>
      <c r="M298" s="36" t="str">
        <f>IF(AND(A298=Consulta!$B$3,C298=Consulta!$H$3),B298*10000+ROW(),"")</f>
        <v/>
      </c>
    </row>
    <row r="299" spans="1:13" x14ac:dyDescent="0.25">
      <c r="A299" s="21" t="str">
        <f>IF(Registro!$A299="","",Registro!$A299)</f>
        <v/>
      </c>
      <c r="B299" s="20" t="str">
        <f>IF(Registro!$B299="","",Registro!$B299)</f>
        <v/>
      </c>
      <c r="C299" s="35" t="str">
        <f t="shared" si="8"/>
        <v/>
      </c>
      <c r="D299" s="23" t="str">
        <f>IF(Registro!$E299="","",IF(ISERROR(FIND("x",LOWER(Registro!$E299))),"-",IFERROR(SUMPRODUCT(--("0"&amp;LEFT(TRIM(MID(SUBSTITUTE(SUBSTITUTE(SUBSTITUTE(SUBSTITUTE(SUBSTITUTE(LOWER(Registro!$E299),"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",LEN(Registro!$E299))),({1,2,3,4,5,6,7,8,9,10,11,12,13,14,15,16,17,18,19,20,21,22,23,24,25,26,27,28,29,30}-1)*LEN(Registro!$E299)+1,LEN(Registro!$E299))),FIND("x",TRIM(MID(SUBSTITUTE(SUBSTITUTE(SUBSTITUTE(SUBSTITUTE(SUBSTITUTE(LOWER(Registro!$E299),"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",LEN(Registro!$E299))),({1,2,3,4,5,6,7,8,9,10,11,12,13,14,15,16,17,18,19,20,21,22,23,24,25,26,27,28,29,30}-1)*LEN(Registro!$E299)+1,LEN(Registro!$E299)))&amp;"x")-1))),"Revisar formato")))</f>
        <v/>
      </c>
      <c r="E299" s="24" t="str">
        <f>IF(Registro!$E299="","",IF(ISERROR(FIND("x",LOWER(Registro!$E299))),"-",IFERROR(SUMPRODUCT(--("0"&amp;LEFT(TRIM(MID(SUBSTITUTE(SUBSTITUTE(SUBSTITUTE(SUBSTITUTE(SUBSTITUTE(LOWER(Registro!$E299),"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",LEN(Registro!$E299))),({1,2,3,4,5,6,7,8,9,10,11,12,13,14,15,16,17,18,19,20,21,22,23,24,25,26,27,28,29,30}-1)*LEN(Registro!$E299)+1,LEN(Registro!$E299))),FIND("x",TRIM(MID(SUBSTITUTE(SUBSTITUTE(SUBSTITUTE(SUBSTITUTE(SUBSTITUTE(LOWER(Registro!$E299),"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",LEN(Registro!$E299))),({1,2,3,4,5,6,7,8,9,10,11,12,13,14,15,16,17,18,19,20,21,22,23,24,25,26,27,28,29,30}-1)*LEN(Registro!$E299)+1,LEN(Registro!$E299)))&amp;"x")-1)),--("0"&amp;MID(TRIM(MID(SUBSTITUTE(SUBSTITUTE(SUBSTITUTE(SUBSTITUTE(SUBSTITUTE(LOWER(Registro!$E299),"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",LEN(Registro!$E299))),({1,2,3,4,5,6,7,8,9,10,11,12,13,14,15,16,17,18,19,20,21,22,23,24,25,26,27,28,29,30}-1)*LEN(Registro!$E299)+1,LEN(Registro!$E299))),FIND("x",TRIM(MID(SUBSTITUTE(SUBSTITUTE(SUBSTITUTE(SUBSTITUTE(SUBSTITUTE(LOWER(Registro!$E299),"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",LEN(Registro!$E299))),({1,2,3,4,5,6,7,8,9,10,11,12,13,14,15,16,17,18,19,20,21,22,23,24,25,26,27,28,29,30}-1)*LEN(Registro!$E299)+1,LEN(Registro!$E299)))&amp;"x")+1,20))),"Revisar formato")))</f>
        <v/>
      </c>
      <c r="F299" s="23" t="str">
        <f>IF(Registro!$F299="","",IF(ISERROR(FIND("x",LOWER(Registro!$F299))),"-",IFERROR(SUMPRODUCT(--("0"&amp;LEFT(TRIM(MID(SUBSTITUTE(SUBSTITUTE(SUBSTITUTE(SUBSTITUTE(SUBSTITUTE(LOWER(Registro!$F299)," ",""),CHAR(10),"|"),";","|"),"+","|"),"|",REPT(" ",LEN(Registro!$F299))),({1,2,3,4,5,6,7,8,9,10,11,12,13,14,15,16,17,18,19,20,21,22,23,24,25,26,27,28,29,30}-1)*LEN(Registro!$F299)+1,LEN(Registro!$F299))),FIND("x",TRIM(MID(SUBSTITUTE(SUBSTITUTE(SUBSTITUTE(SUBSTITUTE(SUBSTITUTE(LOWER(Registro!$F299)," ",""),CHAR(10),"|"),";","|"),"+","|"),"|",REPT(" ",LEN(Registro!$F299))),({1,2,3,4,5,6,7,8,9,10,11,12,13,14,15,16,17,18,19,20,21,22,23,24,25,26,27,28,29,30}-1)*LEN(Registro!$F299)+1,LEN(Registro!$F299)))&amp;"x")-1))),"Revisar formato")))</f>
        <v/>
      </c>
      <c r="G299" s="24" t="str">
        <f>IF(Registro!$F299="","",IF(ISERROR(FIND("x",LOWER(Registro!$F299))),N(Registro!$G299),IFERROR(SUMPRODUCT(--("0"&amp;LEFT(TRIM(MID(SUBSTITUTE(SUBSTITUTE(SUBSTITUTE(SUBSTITUTE(SUBSTITUTE(LOWER(Registro!$F299)," ",""),CHAR(10),"|"),";","|"),"+","|"),"|",REPT(" ",LEN(Registro!$F299))),({1,2,3,4,5,6,7,8,9,10,11,12,13,14,15,16,17,18,19,20,21,22,23,24,25,26,27,28,29,30}-1)*LEN(Registro!$F299)+1,LEN(Registro!$F299))),FIND("x",TRIM(MID(SUBSTITUTE(SUBSTITUTE(SUBSTITUTE(SUBSTITUTE(SUBSTITUTE(LOWER(Registro!$F299)," ",""),CHAR(10),"|"),";","|"),"+","|"),"|",REPT(" ",LEN(Registro!$F299))),({1,2,3,4,5,6,7,8,9,10,11,12,13,14,15,16,17,18,19,20,21,22,23,24,25,26,27,28,29,30}-1)*LEN(Registro!$F299)+1,LEN(Registro!$F299)))&amp;"x")-1)),--("0"&amp;MID(TRIM(MID(SUBSTITUTE(SUBSTITUTE(SUBSTITUTE(SUBSTITUTE(SUBSTITUTE(LOWER(Registro!$F299)," ",""),CHAR(10),"|"),";","|"),"+","|"),"|",REPT(" ",LEN(Registro!$F299))),({1,2,3,4,5,6,7,8,9,10,11,12,13,14,15,16,17,18,19,20,21,22,23,24,25,26,27,28,29,30}-1)*LEN(Registro!$F299)+1,LEN(Registro!$F299))),FIND("x",TRIM(MID(SUBSTITUTE(SUBSTITUTE(SUBSTITUTE(SUBSTITUTE(SUBSTITUTE(LOWER(Registro!$F299)," ",""),CHAR(10),"|"),";","|"),"+","|"),"|",REPT(" ",LEN(Registro!$F299))),({1,2,3,4,5,6,7,8,9,10,11,12,13,14,15,16,17,18,19,20,21,22,23,24,25,26,27,28,29,30}-1)*LEN(Registro!$F299)+1,LEN(Registro!$F299)))&amp;"x")+1,20))),"Revisar formato")))</f>
        <v/>
      </c>
      <c r="H299" s="21" t="str">
        <f>IF(AND(Registro!$E299="",Registro!$F299=""),"",IF(NOT(AND(ISNUMBER(G299),ISNUMBER(Registro!$G299))),"",IF(G299&lt;Registro!$G299,"FALTA BOLETOS",IF(G299=Registro!$G299,"CONFORME","DIFERENCIA"))))</f>
        <v/>
      </c>
      <c r="I299" s="24" t="str">
        <f>IF(Registro!$H299="","",IFERROR(SUMPRODUCT(--("0"&amp;TRIM(RIGHT(SUBSTITUTE(TRIM(MID(SUBSTITUTE(SUBSTITUTE(Registro!$H299,";",CHAR(10)),CHAR(10),REPT(" ",LEN(Registro!$H299))),({1,2,3,4,5,6,7,8,9,10,11,12,13,14,15,16,17,18,19,20,21,22,23,24,25,26,27,28,29,30}-1)*LEN(Registro!$H299)+1,LEN(Registro!$H299)))," ",REPT(" ",50)),50)))),"Revisar formato"))</f>
        <v/>
      </c>
      <c r="J299" s="24" t="str">
        <f>IF(Registro!$I299="","",IFERROR(SUMPRODUCT(--("0"&amp;TRIM(RIGHT(SUBSTITUTE(TRIM(MID(SUBSTITUTE(SUBSTITUTE(Registro!$I299,";",CHAR(10)),CHAR(10),REPT(" ",LEN(Registro!$I299))),({1,2,3,4,5,6,7,8,9,10,11,12,13,14,15,16,17,18,19,20,21,22,23,24,25,26,27,28,29,30}-1)*LEN(Registro!$I299)+1,LEN(Registro!$I299)))," ",REPT(" ",50)),50)))),"Revisar formato"))</f>
        <v/>
      </c>
      <c r="K299" s="24" t="str">
        <f>IF(AND(Registro!$G299="",Registro!$H299=""),"",IF(AND(ISTEXT(I299),I299&lt;&gt;""),"Revisar formato",N(Registro!$G299)-N(I299)))</f>
        <v/>
      </c>
      <c r="L299" s="24" t="str">
        <f t="shared" si="9"/>
        <v/>
      </c>
      <c r="M299" s="36" t="str">
        <f>IF(AND(A299=Consulta!$B$3,C299=Consulta!$H$3),B299*10000+ROW(),"")</f>
        <v/>
      </c>
    </row>
    <row r="300" spans="1:13" x14ac:dyDescent="0.25">
      <c r="A300" s="21" t="str">
        <f>IF(Registro!$A300="","",Registro!$A300)</f>
        <v/>
      </c>
      <c r="B300" s="20" t="str">
        <f>IF(Registro!$B300="","",Registro!$B300)</f>
        <v/>
      </c>
      <c r="C300" s="35" t="str">
        <f t="shared" si="8"/>
        <v/>
      </c>
      <c r="D300" s="23" t="str">
        <f>IF(Registro!$E300="","",IF(ISERROR(FIND("x",LOWER(Registro!$E300))),"-",IFERROR(SUMPRODUCT(--("0"&amp;LEFT(TRIM(MID(SUBSTITUTE(SUBSTITUTE(SUBSTITUTE(SUBSTITUTE(SUBSTITUTE(LOWER(Registro!$E300),"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",LEN(Registro!$E300))),({1,2,3,4,5,6,7,8,9,10,11,12,13,14,15,16,17,18,19,20,21,22,23,24,25,26,27,28,29,30}-1)*LEN(Registro!$E300)+1,LEN(Registro!$E300))),FIND("x",TRIM(MID(SUBSTITUTE(SUBSTITUTE(SUBSTITUTE(SUBSTITUTE(SUBSTITUTE(LOWER(Registro!$E300),"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",LEN(Registro!$E300))),({1,2,3,4,5,6,7,8,9,10,11,12,13,14,15,16,17,18,19,20,21,22,23,24,25,26,27,28,29,30}-1)*LEN(Registro!$E300)+1,LEN(Registro!$E300)))&amp;"x")-1))),"Revisar formato")))</f>
        <v/>
      </c>
      <c r="E300" s="24" t="str">
        <f>IF(Registro!$E300="","",IF(ISERROR(FIND("x",LOWER(Registro!$E300))),"-",IFERROR(SUMPRODUCT(--("0"&amp;LEFT(TRIM(MID(SUBSTITUTE(SUBSTITUTE(SUBSTITUTE(SUBSTITUTE(SUBSTITUTE(LOWER(Registro!$E300),"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",LEN(Registro!$E300))),({1,2,3,4,5,6,7,8,9,10,11,12,13,14,15,16,17,18,19,20,21,22,23,24,25,26,27,28,29,30}-1)*LEN(Registro!$E300)+1,LEN(Registro!$E300))),FIND("x",TRIM(MID(SUBSTITUTE(SUBSTITUTE(SUBSTITUTE(SUBSTITUTE(SUBSTITUTE(LOWER(Registro!$E300),"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",LEN(Registro!$E300))),({1,2,3,4,5,6,7,8,9,10,11,12,13,14,15,16,17,18,19,20,21,22,23,24,25,26,27,28,29,30}-1)*LEN(Registro!$E300)+1,LEN(Registro!$E300)))&amp;"x")-1)),--("0"&amp;MID(TRIM(MID(SUBSTITUTE(SUBSTITUTE(SUBSTITUTE(SUBSTITUTE(SUBSTITUTE(LOWER(Registro!$E300),"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",LEN(Registro!$E300))),({1,2,3,4,5,6,7,8,9,10,11,12,13,14,15,16,17,18,19,20,21,22,23,24,25,26,27,28,29,30}-1)*LEN(Registro!$E300)+1,LEN(Registro!$E300))),FIND("x",TRIM(MID(SUBSTITUTE(SUBSTITUTE(SUBSTITUTE(SUBSTITUTE(SUBSTITUTE(LOWER(Registro!$E300),"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",LEN(Registro!$E300))),({1,2,3,4,5,6,7,8,9,10,11,12,13,14,15,16,17,18,19,20,21,22,23,24,25,26,27,28,29,30}-1)*LEN(Registro!$E300)+1,LEN(Registro!$E300)))&amp;"x")+1,20))),"Revisar formato")))</f>
        <v/>
      </c>
      <c r="F300" s="23" t="str">
        <f>IF(Registro!$F300="","",IF(ISERROR(FIND("x",LOWER(Registro!$F300))),"-",IFERROR(SUMPRODUCT(--("0"&amp;LEFT(TRIM(MID(SUBSTITUTE(SUBSTITUTE(SUBSTITUTE(SUBSTITUTE(SUBSTITUTE(LOWER(Registro!$F300)," ",""),CHAR(10),"|"),";","|"),"+","|"),"|",REPT(" ",LEN(Registro!$F300))),({1,2,3,4,5,6,7,8,9,10,11,12,13,14,15,16,17,18,19,20,21,22,23,24,25,26,27,28,29,30}-1)*LEN(Registro!$F300)+1,LEN(Registro!$F300))),FIND("x",TRIM(MID(SUBSTITUTE(SUBSTITUTE(SUBSTITUTE(SUBSTITUTE(SUBSTITUTE(LOWER(Registro!$F300)," ",""),CHAR(10),"|"),";","|"),"+","|"),"|",REPT(" ",LEN(Registro!$F300))),({1,2,3,4,5,6,7,8,9,10,11,12,13,14,15,16,17,18,19,20,21,22,23,24,25,26,27,28,29,30}-1)*LEN(Registro!$F300)+1,LEN(Registro!$F300)))&amp;"x")-1))),"Revisar formato")))</f>
        <v/>
      </c>
      <c r="G300" s="24" t="str">
        <f>IF(Registro!$F300="","",IF(ISERROR(FIND("x",LOWER(Registro!$F300))),N(Registro!$G300),IFERROR(SUMPRODUCT(--("0"&amp;LEFT(TRIM(MID(SUBSTITUTE(SUBSTITUTE(SUBSTITUTE(SUBSTITUTE(SUBSTITUTE(LOWER(Registro!$F300)," ",""),CHAR(10),"|"),";","|"),"+","|"),"|",REPT(" ",LEN(Registro!$F300))),({1,2,3,4,5,6,7,8,9,10,11,12,13,14,15,16,17,18,19,20,21,22,23,24,25,26,27,28,29,30}-1)*LEN(Registro!$F300)+1,LEN(Registro!$F300))),FIND("x",TRIM(MID(SUBSTITUTE(SUBSTITUTE(SUBSTITUTE(SUBSTITUTE(SUBSTITUTE(LOWER(Registro!$F300)," ",""),CHAR(10),"|"),";","|"),"+","|"),"|",REPT(" ",LEN(Registro!$F300))),({1,2,3,4,5,6,7,8,9,10,11,12,13,14,15,16,17,18,19,20,21,22,23,24,25,26,27,28,29,30}-1)*LEN(Registro!$F300)+1,LEN(Registro!$F300)))&amp;"x")-1)),--("0"&amp;MID(TRIM(MID(SUBSTITUTE(SUBSTITUTE(SUBSTITUTE(SUBSTITUTE(SUBSTITUTE(LOWER(Registro!$F300)," ",""),CHAR(10),"|"),";","|"),"+","|"),"|",REPT(" ",LEN(Registro!$F300))),({1,2,3,4,5,6,7,8,9,10,11,12,13,14,15,16,17,18,19,20,21,22,23,24,25,26,27,28,29,30}-1)*LEN(Registro!$F300)+1,LEN(Registro!$F300))),FIND("x",TRIM(MID(SUBSTITUTE(SUBSTITUTE(SUBSTITUTE(SUBSTITUTE(SUBSTITUTE(LOWER(Registro!$F300)," ",""),CHAR(10),"|"),";","|"),"+","|"),"|",REPT(" ",LEN(Registro!$F300))),({1,2,3,4,5,6,7,8,9,10,11,12,13,14,15,16,17,18,19,20,21,22,23,24,25,26,27,28,29,30}-1)*LEN(Registro!$F300)+1,LEN(Registro!$F300)))&amp;"x")+1,20))),"Revisar formato")))</f>
        <v/>
      </c>
      <c r="H300" s="21" t="str">
        <f>IF(AND(Registro!$E300="",Registro!$F300=""),"",IF(NOT(AND(ISNUMBER(G300),ISNUMBER(Registro!$G300))),"",IF(G300&lt;Registro!$G300,"FALTA BOLETOS",IF(G300=Registro!$G300,"CONFORME","DIFERENCIA"))))</f>
        <v/>
      </c>
      <c r="I300" s="24" t="str">
        <f>IF(Registro!$H300="","",IFERROR(SUMPRODUCT(--("0"&amp;TRIM(RIGHT(SUBSTITUTE(TRIM(MID(SUBSTITUTE(SUBSTITUTE(Registro!$H300,";",CHAR(10)),CHAR(10),REPT(" ",LEN(Registro!$H300))),({1,2,3,4,5,6,7,8,9,10,11,12,13,14,15,16,17,18,19,20,21,22,23,24,25,26,27,28,29,30}-1)*LEN(Registro!$H300)+1,LEN(Registro!$H300)))," ",REPT(" ",50)),50)))),"Revisar formato"))</f>
        <v/>
      </c>
      <c r="J300" s="24" t="str">
        <f>IF(Registro!$I300="","",IFERROR(SUMPRODUCT(--("0"&amp;TRIM(RIGHT(SUBSTITUTE(TRIM(MID(SUBSTITUTE(SUBSTITUTE(Registro!$I300,";",CHAR(10)),CHAR(10),REPT(" ",LEN(Registro!$I300))),({1,2,3,4,5,6,7,8,9,10,11,12,13,14,15,16,17,18,19,20,21,22,23,24,25,26,27,28,29,30}-1)*LEN(Registro!$I300)+1,LEN(Registro!$I300)))," ",REPT(" ",50)),50)))),"Revisar formato"))</f>
        <v/>
      </c>
      <c r="K300" s="24" t="str">
        <f>IF(AND(Registro!$G300="",Registro!$H300=""),"",IF(AND(ISTEXT(I300),I300&lt;&gt;""),"Revisar formato",N(Registro!$G300)-N(I300)))</f>
        <v/>
      </c>
      <c r="L300" s="24" t="str">
        <f t="shared" si="9"/>
        <v/>
      </c>
      <c r="M300" s="36" t="str">
        <f>IF(AND(A300=Consulta!$B$3,C300=Consulta!$H$3),B300*10000+ROW(),"")</f>
        <v/>
      </c>
    </row>
    <row r="301" spans="1:13" x14ac:dyDescent="0.25">
      <c r="A301" s="21" t="str">
        <f>IF(Registro!$A301="","",Registro!$A301)</f>
        <v/>
      </c>
      <c r="B301" s="20" t="str">
        <f>IF(Registro!$B301="","",Registro!$B301)</f>
        <v/>
      </c>
      <c r="C301" s="35" t="str">
        <f t="shared" si="8"/>
        <v/>
      </c>
      <c r="D301" s="23" t="str">
        <f>IF(Registro!$E301="","",IF(ISERROR(FIND("x",LOWER(Registro!$E301))),"-",IFERROR(SUMPRODUCT(--("0"&amp;LEFT(TRIM(MID(SUBSTITUTE(SUBSTITUTE(SUBSTITUTE(SUBSTITUTE(SUBSTITUTE(LOWER(Registro!$E301),"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",LEN(Registro!$E301))),({1,2,3,4,5,6,7,8,9,10,11,12,13,14,15,16,17,18,19,20,21,22,23,24,25,26,27,28,29,30}-1)*LEN(Registro!$E301)+1,LEN(Registro!$E301))),FIND("x",TRIM(MID(SUBSTITUTE(SUBSTITUTE(SUBSTITUTE(SUBSTITUTE(SUBSTITUTE(LOWER(Registro!$E301),"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",LEN(Registro!$E301))),({1,2,3,4,5,6,7,8,9,10,11,12,13,14,15,16,17,18,19,20,21,22,23,24,25,26,27,28,29,30}-1)*LEN(Registro!$E301)+1,LEN(Registro!$E301)))&amp;"x")-1))),"Revisar formato")))</f>
        <v/>
      </c>
      <c r="E301" s="24" t="str">
        <f>IF(Registro!$E301="","",IF(ISERROR(FIND("x",LOWER(Registro!$E301))),"-",IFERROR(SUMPRODUCT(--("0"&amp;LEFT(TRIM(MID(SUBSTITUTE(SUBSTITUTE(SUBSTITUTE(SUBSTITUTE(SUBSTITUTE(LOWER(Registro!$E301),"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",LEN(Registro!$E301))),({1,2,3,4,5,6,7,8,9,10,11,12,13,14,15,16,17,18,19,20,21,22,23,24,25,26,27,28,29,30}-1)*LEN(Registro!$E301)+1,LEN(Registro!$E301))),FIND("x",TRIM(MID(SUBSTITUTE(SUBSTITUTE(SUBSTITUTE(SUBSTITUTE(SUBSTITUTE(LOWER(Registro!$E301),"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",LEN(Registro!$E301))),({1,2,3,4,5,6,7,8,9,10,11,12,13,14,15,16,17,18,19,20,21,22,23,24,25,26,27,28,29,30}-1)*LEN(Registro!$E301)+1,LEN(Registro!$E301)))&amp;"x")-1)),--("0"&amp;MID(TRIM(MID(SUBSTITUTE(SUBSTITUTE(SUBSTITUTE(SUBSTITUTE(SUBSTITUTE(LOWER(Registro!$E301),"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",LEN(Registro!$E301))),({1,2,3,4,5,6,7,8,9,10,11,12,13,14,15,16,17,18,19,20,21,22,23,24,25,26,27,28,29,30}-1)*LEN(Registro!$E301)+1,LEN(Registro!$E301))),FIND("x",TRIM(MID(SUBSTITUTE(SUBSTITUTE(SUBSTITUTE(SUBSTITUTE(SUBSTITUTE(LOWER(Registro!$E301),"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",LEN(Registro!$E301))),({1,2,3,4,5,6,7,8,9,10,11,12,13,14,15,16,17,18,19,20,21,22,23,24,25,26,27,28,29,30}-1)*LEN(Registro!$E301)+1,LEN(Registro!$E301)))&amp;"x")+1,20))),"Revisar formato")))</f>
        <v/>
      </c>
      <c r="F301" s="23" t="str">
        <f>IF(Registro!$F301="","",IF(ISERROR(FIND("x",LOWER(Registro!$F301))),"-",IFERROR(SUMPRODUCT(--("0"&amp;LEFT(TRIM(MID(SUBSTITUTE(SUBSTITUTE(SUBSTITUTE(SUBSTITUTE(SUBSTITUTE(LOWER(Registro!$F301)," ",""),CHAR(10),"|"),";","|"),"+","|"),"|",REPT(" ",LEN(Registro!$F301))),({1,2,3,4,5,6,7,8,9,10,11,12,13,14,15,16,17,18,19,20,21,22,23,24,25,26,27,28,29,30}-1)*LEN(Registro!$F301)+1,LEN(Registro!$F301))),FIND("x",TRIM(MID(SUBSTITUTE(SUBSTITUTE(SUBSTITUTE(SUBSTITUTE(SUBSTITUTE(LOWER(Registro!$F301)," ",""),CHAR(10),"|"),";","|"),"+","|"),"|",REPT(" ",LEN(Registro!$F301))),({1,2,3,4,5,6,7,8,9,10,11,12,13,14,15,16,17,18,19,20,21,22,23,24,25,26,27,28,29,30}-1)*LEN(Registro!$F301)+1,LEN(Registro!$F301)))&amp;"x")-1))),"Revisar formato")))</f>
        <v/>
      </c>
      <c r="G301" s="24" t="str">
        <f>IF(Registro!$F301="","",IF(ISERROR(FIND("x",LOWER(Registro!$F301))),N(Registro!$G301),IFERROR(SUMPRODUCT(--("0"&amp;LEFT(TRIM(MID(SUBSTITUTE(SUBSTITUTE(SUBSTITUTE(SUBSTITUTE(SUBSTITUTE(LOWER(Registro!$F301)," ",""),CHAR(10),"|"),";","|"),"+","|"),"|",REPT(" ",LEN(Registro!$F301))),({1,2,3,4,5,6,7,8,9,10,11,12,13,14,15,16,17,18,19,20,21,22,23,24,25,26,27,28,29,30}-1)*LEN(Registro!$F301)+1,LEN(Registro!$F301))),FIND("x",TRIM(MID(SUBSTITUTE(SUBSTITUTE(SUBSTITUTE(SUBSTITUTE(SUBSTITUTE(LOWER(Registro!$F301)," ",""),CHAR(10),"|"),";","|"),"+","|"),"|",REPT(" ",LEN(Registro!$F301))),({1,2,3,4,5,6,7,8,9,10,11,12,13,14,15,16,17,18,19,20,21,22,23,24,25,26,27,28,29,30}-1)*LEN(Registro!$F301)+1,LEN(Registro!$F301)))&amp;"x")-1)),--("0"&amp;MID(TRIM(MID(SUBSTITUTE(SUBSTITUTE(SUBSTITUTE(SUBSTITUTE(SUBSTITUTE(LOWER(Registro!$F301)," ",""),CHAR(10),"|"),";","|"),"+","|"),"|",REPT(" ",LEN(Registro!$F301))),({1,2,3,4,5,6,7,8,9,10,11,12,13,14,15,16,17,18,19,20,21,22,23,24,25,26,27,28,29,30}-1)*LEN(Registro!$F301)+1,LEN(Registro!$F301))),FIND("x",TRIM(MID(SUBSTITUTE(SUBSTITUTE(SUBSTITUTE(SUBSTITUTE(SUBSTITUTE(LOWER(Registro!$F301)," ",""),CHAR(10),"|"),";","|"),"+","|"),"|",REPT(" ",LEN(Registro!$F301))),({1,2,3,4,5,6,7,8,9,10,11,12,13,14,15,16,17,18,19,20,21,22,23,24,25,26,27,28,29,30}-1)*LEN(Registro!$F301)+1,LEN(Registro!$F301)))&amp;"x")+1,20))),"Revisar formato")))</f>
        <v/>
      </c>
      <c r="H301" s="21" t="str">
        <f>IF(AND(Registro!$E301="",Registro!$F301=""),"",IF(NOT(AND(ISNUMBER(G301),ISNUMBER(Registro!$G301))),"",IF(G301&lt;Registro!$G301,"FALTA BOLETOS",IF(G301=Registro!$G301,"CONFORME","DIFERENCIA"))))</f>
        <v/>
      </c>
      <c r="I301" s="24" t="str">
        <f>IF(Registro!$H301="","",IFERROR(SUMPRODUCT(--("0"&amp;TRIM(RIGHT(SUBSTITUTE(TRIM(MID(SUBSTITUTE(SUBSTITUTE(Registro!$H301,";",CHAR(10)),CHAR(10),REPT(" ",LEN(Registro!$H301))),({1,2,3,4,5,6,7,8,9,10,11,12,13,14,15,16,17,18,19,20,21,22,23,24,25,26,27,28,29,30}-1)*LEN(Registro!$H301)+1,LEN(Registro!$H301)))," ",REPT(" ",50)),50)))),"Revisar formato"))</f>
        <v/>
      </c>
      <c r="J301" s="24" t="str">
        <f>IF(Registro!$I301="","",IFERROR(SUMPRODUCT(--("0"&amp;TRIM(RIGHT(SUBSTITUTE(TRIM(MID(SUBSTITUTE(SUBSTITUTE(Registro!$I301,";",CHAR(10)),CHAR(10),REPT(" ",LEN(Registro!$I301))),({1,2,3,4,5,6,7,8,9,10,11,12,13,14,15,16,17,18,19,20,21,22,23,24,25,26,27,28,29,30}-1)*LEN(Registro!$I301)+1,LEN(Registro!$I301)))," ",REPT(" ",50)),50)))),"Revisar formato"))</f>
        <v/>
      </c>
      <c r="K301" s="24" t="str">
        <f>IF(AND(Registro!$G301="",Registro!$H301=""),"",IF(AND(ISTEXT(I301),I301&lt;&gt;""),"Revisar formato",N(Registro!$G301)-N(I301)))</f>
        <v/>
      </c>
      <c r="L301" s="24" t="str">
        <f t="shared" si="9"/>
        <v/>
      </c>
      <c r="M301" s="36" t="str">
        <f>IF(AND(A301=Consulta!$B$3,C301=Consulta!$H$3),B301*10000+ROW(),"")</f>
        <v/>
      </c>
    </row>
    <row r="302" spans="1:13" x14ac:dyDescent="0.25">
      <c r="A302" s="21" t="str">
        <f>IF(Registro!$A302="","",Registro!$A302)</f>
        <v/>
      </c>
      <c r="B302" s="20" t="str">
        <f>IF(Registro!$B302="","",Registro!$B302)</f>
        <v/>
      </c>
      <c r="C302" s="35" t="str">
        <f t="shared" si="8"/>
        <v/>
      </c>
      <c r="D302" s="23" t="str">
        <f>IF(Registro!$E302="","",IF(ISERROR(FIND("x",LOWER(Registro!$E302))),"-",IFERROR(SUMPRODUCT(--("0"&amp;LEFT(TRIM(MID(SUBSTITUTE(SUBSTITUTE(SUBSTITUTE(SUBSTITUTE(SUBSTITUTE(LOWER(Registro!$E302),"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",LEN(Registro!$E302))),({1,2,3,4,5,6,7,8,9,10,11,12,13,14,15,16,17,18,19,20,21,22,23,24,25,26,27,28,29,30}-1)*LEN(Registro!$E302)+1,LEN(Registro!$E302))),FIND("x",TRIM(MID(SUBSTITUTE(SUBSTITUTE(SUBSTITUTE(SUBSTITUTE(SUBSTITUTE(LOWER(Registro!$E302),"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",LEN(Registro!$E302))),({1,2,3,4,5,6,7,8,9,10,11,12,13,14,15,16,17,18,19,20,21,22,23,24,25,26,27,28,29,30}-1)*LEN(Registro!$E302)+1,LEN(Registro!$E302)))&amp;"x")-1))),"Revisar formato")))</f>
        <v/>
      </c>
      <c r="E302" s="24" t="str">
        <f>IF(Registro!$E302="","",IF(ISERROR(FIND("x",LOWER(Registro!$E302))),"-",IFERROR(SUMPRODUCT(--("0"&amp;LEFT(TRIM(MID(SUBSTITUTE(SUBSTITUTE(SUBSTITUTE(SUBSTITUTE(SUBSTITUTE(LOWER(Registro!$E302),"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",LEN(Registro!$E302))),({1,2,3,4,5,6,7,8,9,10,11,12,13,14,15,16,17,18,19,20,21,22,23,24,25,26,27,28,29,30}-1)*LEN(Registro!$E302)+1,LEN(Registro!$E302))),FIND("x",TRIM(MID(SUBSTITUTE(SUBSTITUTE(SUBSTITUTE(SUBSTITUTE(SUBSTITUTE(LOWER(Registro!$E302),"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",LEN(Registro!$E302))),({1,2,3,4,5,6,7,8,9,10,11,12,13,14,15,16,17,18,19,20,21,22,23,24,25,26,27,28,29,30}-1)*LEN(Registro!$E302)+1,LEN(Registro!$E302)))&amp;"x")-1)),--("0"&amp;MID(TRIM(MID(SUBSTITUTE(SUBSTITUTE(SUBSTITUTE(SUBSTITUTE(SUBSTITUTE(LOWER(Registro!$E302),"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",LEN(Registro!$E302))),({1,2,3,4,5,6,7,8,9,10,11,12,13,14,15,16,17,18,19,20,21,22,23,24,25,26,27,28,29,30}-1)*LEN(Registro!$E302)+1,LEN(Registro!$E302))),FIND("x",TRIM(MID(SUBSTITUTE(SUBSTITUTE(SUBSTITUTE(SUBSTITUTE(SUBSTITUTE(LOWER(Registro!$E302),"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",LEN(Registro!$E302))),({1,2,3,4,5,6,7,8,9,10,11,12,13,14,15,16,17,18,19,20,21,22,23,24,25,26,27,28,29,30}-1)*LEN(Registro!$E302)+1,LEN(Registro!$E302)))&amp;"x")+1,20))),"Revisar formato")))</f>
        <v/>
      </c>
      <c r="F302" s="23" t="str">
        <f>IF(Registro!$F302="","",IF(ISERROR(FIND("x",LOWER(Registro!$F302))),"-",IFERROR(SUMPRODUCT(--("0"&amp;LEFT(TRIM(MID(SUBSTITUTE(SUBSTITUTE(SUBSTITUTE(SUBSTITUTE(SUBSTITUTE(LOWER(Registro!$F302)," ",""),CHAR(10),"|"),";","|"),"+","|"),"|",REPT(" ",LEN(Registro!$F302))),({1,2,3,4,5,6,7,8,9,10,11,12,13,14,15,16,17,18,19,20,21,22,23,24,25,26,27,28,29,30}-1)*LEN(Registro!$F302)+1,LEN(Registro!$F302))),FIND("x",TRIM(MID(SUBSTITUTE(SUBSTITUTE(SUBSTITUTE(SUBSTITUTE(SUBSTITUTE(LOWER(Registro!$F302)," ",""),CHAR(10),"|"),";","|"),"+","|"),"|",REPT(" ",LEN(Registro!$F302))),({1,2,3,4,5,6,7,8,9,10,11,12,13,14,15,16,17,18,19,20,21,22,23,24,25,26,27,28,29,30}-1)*LEN(Registro!$F302)+1,LEN(Registro!$F302)))&amp;"x")-1))),"Revisar formato")))</f>
        <v/>
      </c>
      <c r="G302" s="24" t="str">
        <f>IF(Registro!$F302="","",IF(ISERROR(FIND("x",LOWER(Registro!$F302))),N(Registro!$G302),IFERROR(SUMPRODUCT(--("0"&amp;LEFT(TRIM(MID(SUBSTITUTE(SUBSTITUTE(SUBSTITUTE(SUBSTITUTE(SUBSTITUTE(LOWER(Registro!$F302)," ",""),CHAR(10),"|"),";","|"),"+","|"),"|",REPT(" ",LEN(Registro!$F302))),({1,2,3,4,5,6,7,8,9,10,11,12,13,14,15,16,17,18,19,20,21,22,23,24,25,26,27,28,29,30}-1)*LEN(Registro!$F302)+1,LEN(Registro!$F302))),FIND("x",TRIM(MID(SUBSTITUTE(SUBSTITUTE(SUBSTITUTE(SUBSTITUTE(SUBSTITUTE(LOWER(Registro!$F302)," ",""),CHAR(10),"|"),";","|"),"+","|"),"|",REPT(" ",LEN(Registro!$F302))),({1,2,3,4,5,6,7,8,9,10,11,12,13,14,15,16,17,18,19,20,21,22,23,24,25,26,27,28,29,30}-1)*LEN(Registro!$F302)+1,LEN(Registro!$F302)))&amp;"x")-1)),--("0"&amp;MID(TRIM(MID(SUBSTITUTE(SUBSTITUTE(SUBSTITUTE(SUBSTITUTE(SUBSTITUTE(LOWER(Registro!$F302)," ",""),CHAR(10),"|"),";","|"),"+","|"),"|",REPT(" ",LEN(Registro!$F302))),({1,2,3,4,5,6,7,8,9,10,11,12,13,14,15,16,17,18,19,20,21,22,23,24,25,26,27,28,29,30}-1)*LEN(Registro!$F302)+1,LEN(Registro!$F302))),FIND("x",TRIM(MID(SUBSTITUTE(SUBSTITUTE(SUBSTITUTE(SUBSTITUTE(SUBSTITUTE(LOWER(Registro!$F302)," ",""),CHAR(10),"|"),";","|"),"+","|"),"|",REPT(" ",LEN(Registro!$F302))),({1,2,3,4,5,6,7,8,9,10,11,12,13,14,15,16,17,18,19,20,21,22,23,24,25,26,27,28,29,30}-1)*LEN(Registro!$F302)+1,LEN(Registro!$F302)))&amp;"x")+1,20))),"Revisar formato")))</f>
        <v/>
      </c>
      <c r="H302" s="21" t="str">
        <f>IF(AND(Registro!$E302="",Registro!$F302=""),"",IF(NOT(AND(ISNUMBER(G302),ISNUMBER(Registro!$G302))),"",IF(G302&lt;Registro!$G302,"FALTA BOLETOS",IF(G302=Registro!$G302,"CONFORME","DIFERENCIA"))))</f>
        <v/>
      </c>
      <c r="I302" s="24" t="str">
        <f>IF(Registro!$H302="","",IFERROR(SUMPRODUCT(--("0"&amp;TRIM(RIGHT(SUBSTITUTE(TRIM(MID(SUBSTITUTE(SUBSTITUTE(Registro!$H302,";",CHAR(10)),CHAR(10),REPT(" ",LEN(Registro!$H302))),({1,2,3,4,5,6,7,8,9,10,11,12,13,14,15,16,17,18,19,20,21,22,23,24,25,26,27,28,29,30}-1)*LEN(Registro!$H302)+1,LEN(Registro!$H302)))," ",REPT(" ",50)),50)))),"Revisar formato"))</f>
        <v/>
      </c>
      <c r="J302" s="24" t="str">
        <f>IF(Registro!$I302="","",IFERROR(SUMPRODUCT(--("0"&amp;TRIM(RIGHT(SUBSTITUTE(TRIM(MID(SUBSTITUTE(SUBSTITUTE(Registro!$I302,";",CHAR(10)),CHAR(10),REPT(" ",LEN(Registro!$I302))),({1,2,3,4,5,6,7,8,9,10,11,12,13,14,15,16,17,18,19,20,21,22,23,24,25,26,27,28,29,30}-1)*LEN(Registro!$I302)+1,LEN(Registro!$I302)))," ",REPT(" ",50)),50)))),"Revisar formato"))</f>
        <v/>
      </c>
      <c r="K302" s="24" t="str">
        <f>IF(AND(Registro!$G302="",Registro!$H302=""),"",IF(AND(ISTEXT(I302),I302&lt;&gt;""),"Revisar formato",N(Registro!$G302)-N(I302)))</f>
        <v/>
      </c>
      <c r="L302" s="24" t="str">
        <f t="shared" si="9"/>
        <v/>
      </c>
      <c r="M302" s="36" t="str">
        <f>IF(AND(A302=Consulta!$B$3,C302=Consulta!$H$3),B302*10000+ROW(),"")</f>
        <v/>
      </c>
    </row>
    <row r="303" spans="1:13" x14ac:dyDescent="0.25">
      <c r="A303" s="21" t="str">
        <f>IF(Registro!$A303="","",Registro!$A303)</f>
        <v/>
      </c>
      <c r="B303" s="20" t="str">
        <f>IF(Registro!$B303="","",Registro!$B303)</f>
        <v/>
      </c>
      <c r="C303" s="35" t="str">
        <f t="shared" si="8"/>
        <v/>
      </c>
      <c r="D303" s="23" t="str">
        <f>IF(Registro!$E303="","",IF(ISERROR(FIND("x",LOWER(Registro!$E303))),"-",IFERROR(SUMPRODUCT(--("0"&amp;LEFT(TRIM(MID(SUBSTITUTE(SUBSTITUTE(SUBSTITUTE(SUBSTITUTE(SUBSTITUTE(LOWER(Registro!$E303),"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",LEN(Registro!$E303))),({1,2,3,4,5,6,7,8,9,10,11,12,13,14,15,16,17,18,19,20,21,22,23,24,25,26,27,28,29,30}-1)*LEN(Registro!$E303)+1,LEN(Registro!$E303))),FIND("x",TRIM(MID(SUBSTITUTE(SUBSTITUTE(SUBSTITUTE(SUBSTITUTE(SUBSTITUTE(LOWER(Registro!$E303),"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",LEN(Registro!$E303))),({1,2,3,4,5,6,7,8,9,10,11,12,13,14,15,16,17,18,19,20,21,22,23,24,25,26,27,28,29,30}-1)*LEN(Registro!$E303)+1,LEN(Registro!$E303)))&amp;"x")-1))),"Revisar formato")))</f>
        <v/>
      </c>
      <c r="E303" s="24" t="str">
        <f>IF(Registro!$E303="","",IF(ISERROR(FIND("x",LOWER(Registro!$E303))),"-",IFERROR(SUMPRODUCT(--("0"&amp;LEFT(TRIM(MID(SUBSTITUTE(SUBSTITUTE(SUBSTITUTE(SUBSTITUTE(SUBSTITUTE(LOWER(Registro!$E303),"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",LEN(Registro!$E303))),({1,2,3,4,5,6,7,8,9,10,11,12,13,14,15,16,17,18,19,20,21,22,23,24,25,26,27,28,29,30}-1)*LEN(Registro!$E303)+1,LEN(Registro!$E303))),FIND("x",TRIM(MID(SUBSTITUTE(SUBSTITUTE(SUBSTITUTE(SUBSTITUTE(SUBSTITUTE(LOWER(Registro!$E303),"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",LEN(Registro!$E303))),({1,2,3,4,5,6,7,8,9,10,11,12,13,14,15,16,17,18,19,20,21,22,23,24,25,26,27,28,29,30}-1)*LEN(Registro!$E303)+1,LEN(Registro!$E303)))&amp;"x")-1)),--("0"&amp;MID(TRIM(MID(SUBSTITUTE(SUBSTITUTE(SUBSTITUTE(SUBSTITUTE(SUBSTITUTE(LOWER(Registro!$E303),"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",LEN(Registro!$E303))),({1,2,3,4,5,6,7,8,9,10,11,12,13,14,15,16,17,18,19,20,21,22,23,24,25,26,27,28,29,30}-1)*LEN(Registro!$E303)+1,LEN(Registro!$E303))),FIND("x",TRIM(MID(SUBSTITUTE(SUBSTITUTE(SUBSTITUTE(SUBSTITUTE(SUBSTITUTE(LOWER(Registro!$E303),"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",LEN(Registro!$E303))),({1,2,3,4,5,6,7,8,9,10,11,12,13,14,15,16,17,18,19,20,21,22,23,24,25,26,27,28,29,30}-1)*LEN(Registro!$E303)+1,LEN(Registro!$E303)))&amp;"x")+1,20))),"Revisar formato")))</f>
        <v/>
      </c>
      <c r="F303" s="23" t="str">
        <f>IF(Registro!$F303="","",IF(ISERROR(FIND("x",LOWER(Registro!$F303))),"-",IFERROR(SUMPRODUCT(--("0"&amp;LEFT(TRIM(MID(SUBSTITUTE(SUBSTITUTE(SUBSTITUTE(SUBSTITUTE(SUBSTITUTE(LOWER(Registro!$F303)," ",""),CHAR(10),"|"),";","|"),"+","|"),"|",REPT(" ",LEN(Registro!$F303))),({1,2,3,4,5,6,7,8,9,10,11,12,13,14,15,16,17,18,19,20,21,22,23,24,25,26,27,28,29,30}-1)*LEN(Registro!$F303)+1,LEN(Registro!$F303))),FIND("x",TRIM(MID(SUBSTITUTE(SUBSTITUTE(SUBSTITUTE(SUBSTITUTE(SUBSTITUTE(LOWER(Registro!$F303)," ",""),CHAR(10),"|"),";","|"),"+","|"),"|",REPT(" ",LEN(Registro!$F303))),({1,2,3,4,5,6,7,8,9,10,11,12,13,14,15,16,17,18,19,20,21,22,23,24,25,26,27,28,29,30}-1)*LEN(Registro!$F303)+1,LEN(Registro!$F303)))&amp;"x")-1))),"Revisar formato")))</f>
        <v/>
      </c>
      <c r="G303" s="24" t="str">
        <f>IF(Registro!$F303="","",IF(ISERROR(FIND("x",LOWER(Registro!$F303))),N(Registro!$G303),IFERROR(SUMPRODUCT(--("0"&amp;LEFT(TRIM(MID(SUBSTITUTE(SUBSTITUTE(SUBSTITUTE(SUBSTITUTE(SUBSTITUTE(LOWER(Registro!$F303)," ",""),CHAR(10),"|"),";","|"),"+","|"),"|",REPT(" ",LEN(Registro!$F303))),({1,2,3,4,5,6,7,8,9,10,11,12,13,14,15,16,17,18,19,20,21,22,23,24,25,26,27,28,29,30}-1)*LEN(Registro!$F303)+1,LEN(Registro!$F303))),FIND("x",TRIM(MID(SUBSTITUTE(SUBSTITUTE(SUBSTITUTE(SUBSTITUTE(SUBSTITUTE(LOWER(Registro!$F303)," ",""),CHAR(10),"|"),";","|"),"+","|"),"|",REPT(" ",LEN(Registro!$F303))),({1,2,3,4,5,6,7,8,9,10,11,12,13,14,15,16,17,18,19,20,21,22,23,24,25,26,27,28,29,30}-1)*LEN(Registro!$F303)+1,LEN(Registro!$F303)))&amp;"x")-1)),--("0"&amp;MID(TRIM(MID(SUBSTITUTE(SUBSTITUTE(SUBSTITUTE(SUBSTITUTE(SUBSTITUTE(LOWER(Registro!$F303)," ",""),CHAR(10),"|"),";","|"),"+","|"),"|",REPT(" ",LEN(Registro!$F303))),({1,2,3,4,5,6,7,8,9,10,11,12,13,14,15,16,17,18,19,20,21,22,23,24,25,26,27,28,29,30}-1)*LEN(Registro!$F303)+1,LEN(Registro!$F303))),FIND("x",TRIM(MID(SUBSTITUTE(SUBSTITUTE(SUBSTITUTE(SUBSTITUTE(SUBSTITUTE(LOWER(Registro!$F303)," ",""),CHAR(10),"|"),";","|"),"+","|"),"|",REPT(" ",LEN(Registro!$F303))),({1,2,3,4,5,6,7,8,9,10,11,12,13,14,15,16,17,18,19,20,21,22,23,24,25,26,27,28,29,30}-1)*LEN(Registro!$F303)+1,LEN(Registro!$F303)))&amp;"x")+1,20))),"Revisar formato")))</f>
        <v/>
      </c>
      <c r="H303" s="21" t="str">
        <f>IF(AND(Registro!$E303="",Registro!$F303=""),"",IF(NOT(AND(ISNUMBER(G303),ISNUMBER(Registro!$G303))),"",IF(G303&lt;Registro!$G303,"FALTA BOLETOS",IF(G303=Registro!$G303,"CONFORME","DIFERENCIA"))))</f>
        <v/>
      </c>
      <c r="I303" s="24" t="str">
        <f>IF(Registro!$H303="","",IFERROR(SUMPRODUCT(--("0"&amp;TRIM(RIGHT(SUBSTITUTE(TRIM(MID(SUBSTITUTE(SUBSTITUTE(Registro!$H303,";",CHAR(10)),CHAR(10),REPT(" ",LEN(Registro!$H303))),({1,2,3,4,5,6,7,8,9,10,11,12,13,14,15,16,17,18,19,20,21,22,23,24,25,26,27,28,29,30}-1)*LEN(Registro!$H303)+1,LEN(Registro!$H303)))," ",REPT(" ",50)),50)))),"Revisar formato"))</f>
        <v/>
      </c>
      <c r="J303" s="24" t="str">
        <f>IF(Registro!$I303="","",IFERROR(SUMPRODUCT(--("0"&amp;TRIM(RIGHT(SUBSTITUTE(TRIM(MID(SUBSTITUTE(SUBSTITUTE(Registro!$I303,";",CHAR(10)),CHAR(10),REPT(" ",LEN(Registro!$I303))),({1,2,3,4,5,6,7,8,9,10,11,12,13,14,15,16,17,18,19,20,21,22,23,24,25,26,27,28,29,30}-1)*LEN(Registro!$I303)+1,LEN(Registro!$I303)))," ",REPT(" ",50)),50)))),"Revisar formato"))</f>
        <v/>
      </c>
      <c r="K303" s="24" t="str">
        <f>IF(AND(Registro!$G303="",Registro!$H303=""),"",IF(AND(ISTEXT(I303),I303&lt;&gt;""),"Revisar formato",N(Registro!$G303)-N(I303)))</f>
        <v/>
      </c>
      <c r="L303" s="24" t="str">
        <f t="shared" si="9"/>
        <v/>
      </c>
      <c r="M303" s="36" t="str">
        <f>IF(AND(A303=Consulta!$B$3,C303=Consulta!$H$3),B303*10000+ROW(),"")</f>
        <v/>
      </c>
    </row>
    <row r="304" spans="1:13" x14ac:dyDescent="0.25">
      <c r="A304" s="21" t="str">
        <f>IF(Registro!$A304="","",Registro!$A304)</f>
        <v/>
      </c>
      <c r="B304" s="20" t="str">
        <f>IF(Registro!$B304="","",Registro!$B304)</f>
        <v/>
      </c>
      <c r="C304" s="35" t="str">
        <f t="shared" si="8"/>
        <v/>
      </c>
      <c r="D304" s="23" t="str">
        <f>IF(Registro!$E304="","",IF(ISERROR(FIND("x",LOWER(Registro!$E304))),"-",IFERROR(SUMPRODUCT(--("0"&amp;LEFT(TRIM(MID(SUBSTITUTE(SUBSTITUTE(SUBSTITUTE(SUBSTITUTE(SUBSTITUTE(LOWER(Registro!$E304),"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",LEN(Registro!$E304))),({1,2,3,4,5,6,7,8,9,10,11,12,13,14,15,16,17,18,19,20,21,22,23,24,25,26,27,28,29,30}-1)*LEN(Registro!$E304)+1,LEN(Registro!$E304))),FIND("x",TRIM(MID(SUBSTITUTE(SUBSTITUTE(SUBSTITUTE(SUBSTITUTE(SUBSTITUTE(LOWER(Registro!$E304),"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",LEN(Registro!$E304))),({1,2,3,4,5,6,7,8,9,10,11,12,13,14,15,16,17,18,19,20,21,22,23,24,25,26,27,28,29,30}-1)*LEN(Registro!$E304)+1,LEN(Registro!$E304)))&amp;"x")-1))),"Revisar formato")))</f>
        <v/>
      </c>
      <c r="E304" s="24" t="str">
        <f>IF(Registro!$E304="","",IF(ISERROR(FIND("x",LOWER(Registro!$E304))),"-",IFERROR(SUMPRODUCT(--("0"&amp;LEFT(TRIM(MID(SUBSTITUTE(SUBSTITUTE(SUBSTITUTE(SUBSTITUTE(SUBSTITUTE(LOWER(Registro!$E304),"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",LEN(Registro!$E304))),({1,2,3,4,5,6,7,8,9,10,11,12,13,14,15,16,17,18,19,20,21,22,23,24,25,26,27,28,29,30}-1)*LEN(Registro!$E304)+1,LEN(Registro!$E304))),FIND("x",TRIM(MID(SUBSTITUTE(SUBSTITUTE(SUBSTITUTE(SUBSTITUTE(SUBSTITUTE(LOWER(Registro!$E304),"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",LEN(Registro!$E304))),({1,2,3,4,5,6,7,8,9,10,11,12,13,14,15,16,17,18,19,20,21,22,23,24,25,26,27,28,29,30}-1)*LEN(Registro!$E304)+1,LEN(Registro!$E304)))&amp;"x")-1)),--("0"&amp;MID(TRIM(MID(SUBSTITUTE(SUBSTITUTE(SUBSTITUTE(SUBSTITUTE(SUBSTITUTE(LOWER(Registro!$E304),"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",LEN(Registro!$E304))),({1,2,3,4,5,6,7,8,9,10,11,12,13,14,15,16,17,18,19,20,21,22,23,24,25,26,27,28,29,30}-1)*LEN(Registro!$E304)+1,LEN(Registro!$E304))),FIND("x",TRIM(MID(SUBSTITUTE(SUBSTITUTE(SUBSTITUTE(SUBSTITUTE(SUBSTITUTE(LOWER(Registro!$E304),"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",LEN(Registro!$E304))),({1,2,3,4,5,6,7,8,9,10,11,12,13,14,15,16,17,18,19,20,21,22,23,24,25,26,27,28,29,30}-1)*LEN(Registro!$E304)+1,LEN(Registro!$E304)))&amp;"x")+1,20))),"Revisar formato")))</f>
        <v/>
      </c>
      <c r="F304" s="23" t="str">
        <f>IF(Registro!$F304="","",IF(ISERROR(FIND("x",LOWER(Registro!$F304))),"-",IFERROR(SUMPRODUCT(--("0"&amp;LEFT(TRIM(MID(SUBSTITUTE(SUBSTITUTE(SUBSTITUTE(SUBSTITUTE(SUBSTITUTE(LOWER(Registro!$F304)," ",""),CHAR(10),"|"),";","|"),"+","|"),"|",REPT(" ",LEN(Registro!$F304))),({1,2,3,4,5,6,7,8,9,10,11,12,13,14,15,16,17,18,19,20,21,22,23,24,25,26,27,28,29,30}-1)*LEN(Registro!$F304)+1,LEN(Registro!$F304))),FIND("x",TRIM(MID(SUBSTITUTE(SUBSTITUTE(SUBSTITUTE(SUBSTITUTE(SUBSTITUTE(LOWER(Registro!$F304)," ",""),CHAR(10),"|"),";","|"),"+","|"),"|",REPT(" ",LEN(Registro!$F304))),({1,2,3,4,5,6,7,8,9,10,11,12,13,14,15,16,17,18,19,20,21,22,23,24,25,26,27,28,29,30}-1)*LEN(Registro!$F304)+1,LEN(Registro!$F304)))&amp;"x")-1))),"Revisar formato")))</f>
        <v/>
      </c>
      <c r="G304" s="24" t="str">
        <f>IF(Registro!$F304="","",IF(ISERROR(FIND("x",LOWER(Registro!$F304))),N(Registro!$G304),IFERROR(SUMPRODUCT(--("0"&amp;LEFT(TRIM(MID(SUBSTITUTE(SUBSTITUTE(SUBSTITUTE(SUBSTITUTE(SUBSTITUTE(LOWER(Registro!$F304)," ",""),CHAR(10),"|"),";","|"),"+","|"),"|",REPT(" ",LEN(Registro!$F304))),({1,2,3,4,5,6,7,8,9,10,11,12,13,14,15,16,17,18,19,20,21,22,23,24,25,26,27,28,29,30}-1)*LEN(Registro!$F304)+1,LEN(Registro!$F304))),FIND("x",TRIM(MID(SUBSTITUTE(SUBSTITUTE(SUBSTITUTE(SUBSTITUTE(SUBSTITUTE(LOWER(Registro!$F304)," ",""),CHAR(10),"|"),";","|"),"+","|"),"|",REPT(" ",LEN(Registro!$F304))),({1,2,3,4,5,6,7,8,9,10,11,12,13,14,15,16,17,18,19,20,21,22,23,24,25,26,27,28,29,30}-1)*LEN(Registro!$F304)+1,LEN(Registro!$F304)))&amp;"x")-1)),--("0"&amp;MID(TRIM(MID(SUBSTITUTE(SUBSTITUTE(SUBSTITUTE(SUBSTITUTE(SUBSTITUTE(LOWER(Registro!$F304)," ",""),CHAR(10),"|"),";","|"),"+","|"),"|",REPT(" ",LEN(Registro!$F304))),({1,2,3,4,5,6,7,8,9,10,11,12,13,14,15,16,17,18,19,20,21,22,23,24,25,26,27,28,29,30}-1)*LEN(Registro!$F304)+1,LEN(Registro!$F304))),FIND("x",TRIM(MID(SUBSTITUTE(SUBSTITUTE(SUBSTITUTE(SUBSTITUTE(SUBSTITUTE(LOWER(Registro!$F304)," ",""),CHAR(10),"|"),";","|"),"+","|"),"|",REPT(" ",LEN(Registro!$F304))),({1,2,3,4,5,6,7,8,9,10,11,12,13,14,15,16,17,18,19,20,21,22,23,24,25,26,27,28,29,30}-1)*LEN(Registro!$F304)+1,LEN(Registro!$F304)))&amp;"x")+1,20))),"Revisar formato")))</f>
        <v/>
      </c>
      <c r="H304" s="21" t="str">
        <f>IF(AND(Registro!$E304="",Registro!$F304=""),"",IF(NOT(AND(ISNUMBER(G304),ISNUMBER(Registro!$G304))),"",IF(G304&lt;Registro!$G304,"FALTA BOLETOS",IF(G304=Registro!$G304,"CONFORME","DIFERENCIA"))))</f>
        <v/>
      </c>
      <c r="I304" s="24" t="str">
        <f>IF(Registro!$H304="","",IFERROR(SUMPRODUCT(--("0"&amp;TRIM(RIGHT(SUBSTITUTE(TRIM(MID(SUBSTITUTE(SUBSTITUTE(Registro!$H304,";",CHAR(10)),CHAR(10),REPT(" ",LEN(Registro!$H304))),({1,2,3,4,5,6,7,8,9,10,11,12,13,14,15,16,17,18,19,20,21,22,23,24,25,26,27,28,29,30}-1)*LEN(Registro!$H304)+1,LEN(Registro!$H304)))," ",REPT(" ",50)),50)))),"Revisar formato"))</f>
        <v/>
      </c>
      <c r="J304" s="24" t="str">
        <f>IF(Registro!$I304="","",IFERROR(SUMPRODUCT(--("0"&amp;TRIM(RIGHT(SUBSTITUTE(TRIM(MID(SUBSTITUTE(SUBSTITUTE(Registro!$I304,";",CHAR(10)),CHAR(10),REPT(" ",LEN(Registro!$I304))),({1,2,3,4,5,6,7,8,9,10,11,12,13,14,15,16,17,18,19,20,21,22,23,24,25,26,27,28,29,30}-1)*LEN(Registro!$I304)+1,LEN(Registro!$I304)))," ",REPT(" ",50)),50)))),"Revisar formato"))</f>
        <v/>
      </c>
      <c r="K304" s="24" t="str">
        <f>IF(AND(Registro!$G304="",Registro!$H304=""),"",IF(AND(ISTEXT(I304),I304&lt;&gt;""),"Revisar formato",N(Registro!$G304)-N(I304)))</f>
        <v/>
      </c>
      <c r="L304" s="24" t="str">
        <f t="shared" si="9"/>
        <v/>
      </c>
      <c r="M304" s="36" t="str">
        <f>IF(AND(A304=Consulta!$B$3,C304=Consulta!$H$3),B304*10000+ROW(),"")</f>
        <v/>
      </c>
    </row>
    <row r="305" spans="1:13" x14ac:dyDescent="0.25">
      <c r="A305" s="21" t="str">
        <f>IF(Registro!$A305="","",Registro!$A305)</f>
        <v/>
      </c>
      <c r="B305" s="20" t="str">
        <f>IF(Registro!$B305="","",Registro!$B305)</f>
        <v/>
      </c>
      <c r="C305" s="35" t="str">
        <f t="shared" si="8"/>
        <v/>
      </c>
      <c r="D305" s="23" t="str">
        <f>IF(Registro!$E305="","",IF(ISERROR(FIND("x",LOWER(Registro!$E305))),"-",IFERROR(SUMPRODUCT(--("0"&amp;LEFT(TRIM(MID(SUBSTITUTE(SUBSTITUTE(SUBSTITUTE(SUBSTITUTE(SUBSTITUTE(LOWER(Registro!$E305),"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",LEN(Registro!$E305))),({1,2,3,4,5,6,7,8,9,10,11,12,13,14,15,16,17,18,19,20,21,22,23,24,25,26,27,28,29,30}-1)*LEN(Registro!$E305)+1,LEN(Registro!$E305))),FIND("x",TRIM(MID(SUBSTITUTE(SUBSTITUTE(SUBSTITUTE(SUBSTITUTE(SUBSTITUTE(LOWER(Registro!$E305),"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",LEN(Registro!$E305))),({1,2,3,4,5,6,7,8,9,10,11,12,13,14,15,16,17,18,19,20,21,22,23,24,25,26,27,28,29,30}-1)*LEN(Registro!$E305)+1,LEN(Registro!$E305)))&amp;"x")-1))),"Revisar formato")))</f>
        <v/>
      </c>
      <c r="E305" s="24" t="str">
        <f>IF(Registro!$E305="","",IF(ISERROR(FIND("x",LOWER(Registro!$E305))),"-",IFERROR(SUMPRODUCT(--("0"&amp;LEFT(TRIM(MID(SUBSTITUTE(SUBSTITUTE(SUBSTITUTE(SUBSTITUTE(SUBSTITUTE(LOWER(Registro!$E305),"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",LEN(Registro!$E305))),({1,2,3,4,5,6,7,8,9,10,11,12,13,14,15,16,17,18,19,20,21,22,23,24,25,26,27,28,29,30}-1)*LEN(Registro!$E305)+1,LEN(Registro!$E305))),FIND("x",TRIM(MID(SUBSTITUTE(SUBSTITUTE(SUBSTITUTE(SUBSTITUTE(SUBSTITUTE(LOWER(Registro!$E305),"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",LEN(Registro!$E305))),({1,2,3,4,5,6,7,8,9,10,11,12,13,14,15,16,17,18,19,20,21,22,23,24,25,26,27,28,29,30}-1)*LEN(Registro!$E305)+1,LEN(Registro!$E305)))&amp;"x")-1)),--("0"&amp;MID(TRIM(MID(SUBSTITUTE(SUBSTITUTE(SUBSTITUTE(SUBSTITUTE(SUBSTITUTE(LOWER(Registro!$E305),"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",LEN(Registro!$E305))),({1,2,3,4,5,6,7,8,9,10,11,12,13,14,15,16,17,18,19,20,21,22,23,24,25,26,27,28,29,30}-1)*LEN(Registro!$E305)+1,LEN(Registro!$E305))),FIND("x",TRIM(MID(SUBSTITUTE(SUBSTITUTE(SUBSTITUTE(SUBSTITUTE(SUBSTITUTE(LOWER(Registro!$E305),"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",LEN(Registro!$E305))),({1,2,3,4,5,6,7,8,9,10,11,12,13,14,15,16,17,18,19,20,21,22,23,24,25,26,27,28,29,30}-1)*LEN(Registro!$E305)+1,LEN(Registro!$E305)))&amp;"x")+1,20))),"Revisar formato")))</f>
        <v/>
      </c>
      <c r="F305" s="23" t="str">
        <f>IF(Registro!$F305="","",IF(ISERROR(FIND("x",LOWER(Registro!$F305))),"-",IFERROR(SUMPRODUCT(--("0"&amp;LEFT(TRIM(MID(SUBSTITUTE(SUBSTITUTE(SUBSTITUTE(SUBSTITUTE(SUBSTITUTE(LOWER(Registro!$F305)," ",""),CHAR(10),"|"),";","|"),"+","|"),"|",REPT(" ",LEN(Registro!$F305))),({1,2,3,4,5,6,7,8,9,10,11,12,13,14,15,16,17,18,19,20,21,22,23,24,25,26,27,28,29,30}-1)*LEN(Registro!$F305)+1,LEN(Registro!$F305))),FIND("x",TRIM(MID(SUBSTITUTE(SUBSTITUTE(SUBSTITUTE(SUBSTITUTE(SUBSTITUTE(LOWER(Registro!$F305)," ",""),CHAR(10),"|"),";","|"),"+","|"),"|",REPT(" ",LEN(Registro!$F305))),({1,2,3,4,5,6,7,8,9,10,11,12,13,14,15,16,17,18,19,20,21,22,23,24,25,26,27,28,29,30}-1)*LEN(Registro!$F305)+1,LEN(Registro!$F305)))&amp;"x")-1))),"Revisar formato")))</f>
        <v/>
      </c>
      <c r="G305" s="24" t="str">
        <f>IF(Registro!$F305="","",IF(ISERROR(FIND("x",LOWER(Registro!$F305))),N(Registro!$G305),IFERROR(SUMPRODUCT(--("0"&amp;LEFT(TRIM(MID(SUBSTITUTE(SUBSTITUTE(SUBSTITUTE(SUBSTITUTE(SUBSTITUTE(LOWER(Registro!$F305)," ",""),CHAR(10),"|"),";","|"),"+","|"),"|",REPT(" ",LEN(Registro!$F305))),({1,2,3,4,5,6,7,8,9,10,11,12,13,14,15,16,17,18,19,20,21,22,23,24,25,26,27,28,29,30}-1)*LEN(Registro!$F305)+1,LEN(Registro!$F305))),FIND("x",TRIM(MID(SUBSTITUTE(SUBSTITUTE(SUBSTITUTE(SUBSTITUTE(SUBSTITUTE(LOWER(Registro!$F305)," ",""),CHAR(10),"|"),";","|"),"+","|"),"|",REPT(" ",LEN(Registro!$F305))),({1,2,3,4,5,6,7,8,9,10,11,12,13,14,15,16,17,18,19,20,21,22,23,24,25,26,27,28,29,30}-1)*LEN(Registro!$F305)+1,LEN(Registro!$F305)))&amp;"x")-1)),--("0"&amp;MID(TRIM(MID(SUBSTITUTE(SUBSTITUTE(SUBSTITUTE(SUBSTITUTE(SUBSTITUTE(LOWER(Registro!$F305)," ",""),CHAR(10),"|"),";","|"),"+","|"),"|",REPT(" ",LEN(Registro!$F305))),({1,2,3,4,5,6,7,8,9,10,11,12,13,14,15,16,17,18,19,20,21,22,23,24,25,26,27,28,29,30}-1)*LEN(Registro!$F305)+1,LEN(Registro!$F305))),FIND("x",TRIM(MID(SUBSTITUTE(SUBSTITUTE(SUBSTITUTE(SUBSTITUTE(SUBSTITUTE(LOWER(Registro!$F305)," ",""),CHAR(10),"|"),";","|"),"+","|"),"|",REPT(" ",LEN(Registro!$F305))),({1,2,3,4,5,6,7,8,9,10,11,12,13,14,15,16,17,18,19,20,21,22,23,24,25,26,27,28,29,30}-1)*LEN(Registro!$F305)+1,LEN(Registro!$F305)))&amp;"x")+1,20))),"Revisar formato")))</f>
        <v/>
      </c>
      <c r="H305" s="21" t="str">
        <f>IF(AND(Registro!$E305="",Registro!$F305=""),"",IF(NOT(AND(ISNUMBER(G305),ISNUMBER(Registro!$G305))),"",IF(G305&lt;Registro!$G305,"FALTA BOLETOS",IF(G305=Registro!$G305,"CONFORME","DIFERENCIA"))))</f>
        <v/>
      </c>
      <c r="I305" s="24" t="str">
        <f>IF(Registro!$H305="","",IFERROR(SUMPRODUCT(--("0"&amp;TRIM(RIGHT(SUBSTITUTE(TRIM(MID(SUBSTITUTE(SUBSTITUTE(Registro!$H305,";",CHAR(10)),CHAR(10),REPT(" ",LEN(Registro!$H305))),({1,2,3,4,5,6,7,8,9,10,11,12,13,14,15,16,17,18,19,20,21,22,23,24,25,26,27,28,29,30}-1)*LEN(Registro!$H305)+1,LEN(Registro!$H305)))," ",REPT(" ",50)),50)))),"Revisar formato"))</f>
        <v/>
      </c>
      <c r="J305" s="24" t="str">
        <f>IF(Registro!$I305="","",IFERROR(SUMPRODUCT(--("0"&amp;TRIM(RIGHT(SUBSTITUTE(TRIM(MID(SUBSTITUTE(SUBSTITUTE(Registro!$I305,";",CHAR(10)),CHAR(10),REPT(" ",LEN(Registro!$I305))),({1,2,3,4,5,6,7,8,9,10,11,12,13,14,15,16,17,18,19,20,21,22,23,24,25,26,27,28,29,30}-1)*LEN(Registro!$I305)+1,LEN(Registro!$I305)))," ",REPT(" ",50)),50)))),"Revisar formato"))</f>
        <v/>
      </c>
      <c r="K305" s="24" t="str">
        <f>IF(AND(Registro!$G305="",Registro!$H305=""),"",IF(AND(ISTEXT(I305),I305&lt;&gt;""),"Revisar formato",N(Registro!$G305)-N(I305)))</f>
        <v/>
      </c>
      <c r="L305" s="24" t="str">
        <f t="shared" si="9"/>
        <v/>
      </c>
      <c r="M305" s="36" t="str">
        <f>IF(AND(A305=Consulta!$B$3,C305=Consulta!$H$3),B305*10000+ROW(),"")</f>
        <v/>
      </c>
    </row>
    <row r="306" spans="1:13" x14ac:dyDescent="0.25">
      <c r="A306" s="21" t="str">
        <f>IF(Registro!$A306="","",Registro!$A306)</f>
        <v/>
      </c>
      <c r="B306" s="20" t="str">
        <f>IF(Registro!$B306="","",Registro!$B306)</f>
        <v/>
      </c>
      <c r="C306" s="35" t="str">
        <f t="shared" si="8"/>
        <v/>
      </c>
      <c r="D306" s="23" t="str">
        <f>IF(Registro!$E306="","",IF(ISERROR(FIND("x",LOWER(Registro!$E306))),"-",IFERROR(SUMPRODUCT(--("0"&amp;LEFT(TRIM(MID(SUBSTITUTE(SUBSTITUTE(SUBSTITUTE(SUBSTITUTE(SUBSTITUTE(LOWER(Registro!$E306),"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",LEN(Registro!$E306))),({1,2,3,4,5,6,7,8,9,10,11,12,13,14,15,16,17,18,19,20,21,22,23,24,25,26,27,28,29,30}-1)*LEN(Registro!$E306)+1,LEN(Registro!$E306))),FIND("x",TRIM(MID(SUBSTITUTE(SUBSTITUTE(SUBSTITUTE(SUBSTITUTE(SUBSTITUTE(LOWER(Registro!$E306),"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",LEN(Registro!$E306))),({1,2,3,4,5,6,7,8,9,10,11,12,13,14,15,16,17,18,19,20,21,22,23,24,25,26,27,28,29,30}-1)*LEN(Registro!$E306)+1,LEN(Registro!$E306)))&amp;"x")-1))),"Revisar formato")))</f>
        <v/>
      </c>
      <c r="E306" s="24" t="str">
        <f>IF(Registro!$E306="","",IF(ISERROR(FIND("x",LOWER(Registro!$E306))),"-",IFERROR(SUMPRODUCT(--("0"&amp;LEFT(TRIM(MID(SUBSTITUTE(SUBSTITUTE(SUBSTITUTE(SUBSTITUTE(SUBSTITUTE(LOWER(Registro!$E306),"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",LEN(Registro!$E306))),({1,2,3,4,5,6,7,8,9,10,11,12,13,14,15,16,17,18,19,20,21,22,23,24,25,26,27,28,29,30}-1)*LEN(Registro!$E306)+1,LEN(Registro!$E306))),FIND("x",TRIM(MID(SUBSTITUTE(SUBSTITUTE(SUBSTITUTE(SUBSTITUTE(SUBSTITUTE(LOWER(Registro!$E306),"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",LEN(Registro!$E306))),({1,2,3,4,5,6,7,8,9,10,11,12,13,14,15,16,17,18,19,20,21,22,23,24,25,26,27,28,29,30}-1)*LEN(Registro!$E306)+1,LEN(Registro!$E306)))&amp;"x")-1)),--("0"&amp;MID(TRIM(MID(SUBSTITUTE(SUBSTITUTE(SUBSTITUTE(SUBSTITUTE(SUBSTITUTE(LOWER(Registro!$E306),"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",LEN(Registro!$E306))),({1,2,3,4,5,6,7,8,9,10,11,12,13,14,15,16,17,18,19,20,21,22,23,24,25,26,27,28,29,30}-1)*LEN(Registro!$E306)+1,LEN(Registro!$E306))),FIND("x",TRIM(MID(SUBSTITUTE(SUBSTITUTE(SUBSTITUTE(SUBSTITUTE(SUBSTITUTE(LOWER(Registro!$E306),"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",LEN(Registro!$E306))),({1,2,3,4,5,6,7,8,9,10,11,12,13,14,15,16,17,18,19,20,21,22,23,24,25,26,27,28,29,30}-1)*LEN(Registro!$E306)+1,LEN(Registro!$E306)))&amp;"x")+1,20))),"Revisar formato")))</f>
        <v/>
      </c>
      <c r="F306" s="23" t="str">
        <f>IF(Registro!$F306="","",IF(ISERROR(FIND("x",LOWER(Registro!$F306))),"-",IFERROR(SUMPRODUCT(--("0"&amp;LEFT(TRIM(MID(SUBSTITUTE(SUBSTITUTE(SUBSTITUTE(SUBSTITUTE(SUBSTITUTE(LOWER(Registro!$F306)," ",""),CHAR(10),"|"),";","|"),"+","|"),"|",REPT(" ",LEN(Registro!$F306))),({1,2,3,4,5,6,7,8,9,10,11,12,13,14,15,16,17,18,19,20,21,22,23,24,25,26,27,28,29,30}-1)*LEN(Registro!$F306)+1,LEN(Registro!$F306))),FIND("x",TRIM(MID(SUBSTITUTE(SUBSTITUTE(SUBSTITUTE(SUBSTITUTE(SUBSTITUTE(LOWER(Registro!$F306)," ",""),CHAR(10),"|"),";","|"),"+","|"),"|",REPT(" ",LEN(Registro!$F306))),({1,2,3,4,5,6,7,8,9,10,11,12,13,14,15,16,17,18,19,20,21,22,23,24,25,26,27,28,29,30}-1)*LEN(Registro!$F306)+1,LEN(Registro!$F306)))&amp;"x")-1))),"Revisar formato")))</f>
        <v/>
      </c>
      <c r="G306" s="24" t="str">
        <f>IF(Registro!$F306="","",IF(ISERROR(FIND("x",LOWER(Registro!$F306))),N(Registro!$G306),IFERROR(SUMPRODUCT(--("0"&amp;LEFT(TRIM(MID(SUBSTITUTE(SUBSTITUTE(SUBSTITUTE(SUBSTITUTE(SUBSTITUTE(LOWER(Registro!$F306)," ",""),CHAR(10),"|"),";","|"),"+","|"),"|",REPT(" ",LEN(Registro!$F306))),({1,2,3,4,5,6,7,8,9,10,11,12,13,14,15,16,17,18,19,20,21,22,23,24,25,26,27,28,29,30}-1)*LEN(Registro!$F306)+1,LEN(Registro!$F306))),FIND("x",TRIM(MID(SUBSTITUTE(SUBSTITUTE(SUBSTITUTE(SUBSTITUTE(SUBSTITUTE(LOWER(Registro!$F306)," ",""),CHAR(10),"|"),";","|"),"+","|"),"|",REPT(" ",LEN(Registro!$F306))),({1,2,3,4,5,6,7,8,9,10,11,12,13,14,15,16,17,18,19,20,21,22,23,24,25,26,27,28,29,30}-1)*LEN(Registro!$F306)+1,LEN(Registro!$F306)))&amp;"x")-1)),--("0"&amp;MID(TRIM(MID(SUBSTITUTE(SUBSTITUTE(SUBSTITUTE(SUBSTITUTE(SUBSTITUTE(LOWER(Registro!$F306)," ",""),CHAR(10),"|"),";","|"),"+","|"),"|",REPT(" ",LEN(Registro!$F306))),({1,2,3,4,5,6,7,8,9,10,11,12,13,14,15,16,17,18,19,20,21,22,23,24,25,26,27,28,29,30}-1)*LEN(Registro!$F306)+1,LEN(Registro!$F306))),FIND("x",TRIM(MID(SUBSTITUTE(SUBSTITUTE(SUBSTITUTE(SUBSTITUTE(SUBSTITUTE(LOWER(Registro!$F306)," ",""),CHAR(10),"|"),";","|"),"+","|"),"|",REPT(" ",LEN(Registro!$F306))),({1,2,3,4,5,6,7,8,9,10,11,12,13,14,15,16,17,18,19,20,21,22,23,24,25,26,27,28,29,30}-1)*LEN(Registro!$F306)+1,LEN(Registro!$F306)))&amp;"x")+1,20))),"Revisar formato")))</f>
        <v/>
      </c>
      <c r="H306" s="21" t="str">
        <f>IF(AND(Registro!$E306="",Registro!$F306=""),"",IF(NOT(AND(ISNUMBER(G306),ISNUMBER(Registro!$G306))),"",IF(G306&lt;Registro!$G306,"FALTA BOLETOS",IF(G306=Registro!$G306,"CONFORME","DIFERENCIA"))))</f>
        <v/>
      </c>
      <c r="I306" s="24" t="str">
        <f>IF(Registro!$H306="","",IFERROR(SUMPRODUCT(--("0"&amp;TRIM(RIGHT(SUBSTITUTE(TRIM(MID(SUBSTITUTE(SUBSTITUTE(Registro!$H306,";",CHAR(10)),CHAR(10),REPT(" ",LEN(Registro!$H306))),({1,2,3,4,5,6,7,8,9,10,11,12,13,14,15,16,17,18,19,20,21,22,23,24,25,26,27,28,29,30}-1)*LEN(Registro!$H306)+1,LEN(Registro!$H306)))," ",REPT(" ",50)),50)))),"Revisar formato"))</f>
        <v/>
      </c>
      <c r="J306" s="24" t="str">
        <f>IF(Registro!$I306="","",IFERROR(SUMPRODUCT(--("0"&amp;TRIM(RIGHT(SUBSTITUTE(TRIM(MID(SUBSTITUTE(SUBSTITUTE(Registro!$I306,";",CHAR(10)),CHAR(10),REPT(" ",LEN(Registro!$I306))),({1,2,3,4,5,6,7,8,9,10,11,12,13,14,15,16,17,18,19,20,21,22,23,24,25,26,27,28,29,30}-1)*LEN(Registro!$I306)+1,LEN(Registro!$I306)))," ",REPT(" ",50)),50)))),"Revisar formato"))</f>
        <v/>
      </c>
      <c r="K306" s="24" t="str">
        <f>IF(AND(Registro!$G306="",Registro!$H306=""),"",IF(AND(ISTEXT(I306),I306&lt;&gt;""),"Revisar formato",N(Registro!$G306)-N(I306)))</f>
        <v/>
      </c>
      <c r="L306" s="24" t="str">
        <f t="shared" si="9"/>
        <v/>
      </c>
      <c r="M306" s="36" t="str">
        <f>IF(AND(A306=Consulta!$B$3,C306=Consulta!$H$3),B306*10000+ROW(),"")</f>
        <v/>
      </c>
    </row>
    <row r="307" spans="1:13" x14ac:dyDescent="0.25">
      <c r="A307" s="21" t="str">
        <f>IF(Registro!$A307="","",Registro!$A307)</f>
        <v/>
      </c>
      <c r="B307" s="20" t="str">
        <f>IF(Registro!$B307="","",Registro!$B307)</f>
        <v/>
      </c>
      <c r="C307" s="35" t="str">
        <f t="shared" si="8"/>
        <v/>
      </c>
      <c r="D307" s="23" t="str">
        <f>IF(Registro!$E307="","",IF(ISERROR(FIND("x",LOWER(Registro!$E307))),"-",IFERROR(SUMPRODUCT(--("0"&amp;LEFT(TRIM(MID(SUBSTITUTE(SUBSTITUTE(SUBSTITUTE(SUBSTITUTE(SUBSTITUTE(LOWER(Registro!$E307),"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",LEN(Registro!$E307))),({1,2,3,4,5,6,7,8,9,10,11,12,13,14,15,16,17,18,19,20,21,22,23,24,25,26,27,28,29,30}-1)*LEN(Registro!$E307)+1,LEN(Registro!$E307))),FIND("x",TRIM(MID(SUBSTITUTE(SUBSTITUTE(SUBSTITUTE(SUBSTITUTE(SUBSTITUTE(LOWER(Registro!$E307),"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",LEN(Registro!$E307))),({1,2,3,4,5,6,7,8,9,10,11,12,13,14,15,16,17,18,19,20,21,22,23,24,25,26,27,28,29,30}-1)*LEN(Registro!$E307)+1,LEN(Registro!$E307)))&amp;"x")-1))),"Revisar formato")))</f>
        <v/>
      </c>
      <c r="E307" s="24" t="str">
        <f>IF(Registro!$E307="","",IF(ISERROR(FIND("x",LOWER(Registro!$E307))),"-",IFERROR(SUMPRODUCT(--("0"&amp;LEFT(TRIM(MID(SUBSTITUTE(SUBSTITUTE(SUBSTITUTE(SUBSTITUTE(SUBSTITUTE(LOWER(Registro!$E307),"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",LEN(Registro!$E307))),({1,2,3,4,5,6,7,8,9,10,11,12,13,14,15,16,17,18,19,20,21,22,23,24,25,26,27,28,29,30}-1)*LEN(Registro!$E307)+1,LEN(Registro!$E307))),FIND("x",TRIM(MID(SUBSTITUTE(SUBSTITUTE(SUBSTITUTE(SUBSTITUTE(SUBSTITUTE(LOWER(Registro!$E307),"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",LEN(Registro!$E307))),({1,2,3,4,5,6,7,8,9,10,11,12,13,14,15,16,17,18,19,20,21,22,23,24,25,26,27,28,29,30}-1)*LEN(Registro!$E307)+1,LEN(Registro!$E307)))&amp;"x")-1)),--("0"&amp;MID(TRIM(MID(SUBSTITUTE(SUBSTITUTE(SUBSTITUTE(SUBSTITUTE(SUBSTITUTE(LOWER(Registro!$E307),"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",LEN(Registro!$E307))),({1,2,3,4,5,6,7,8,9,10,11,12,13,14,15,16,17,18,19,20,21,22,23,24,25,26,27,28,29,30}-1)*LEN(Registro!$E307)+1,LEN(Registro!$E307))),FIND("x",TRIM(MID(SUBSTITUTE(SUBSTITUTE(SUBSTITUTE(SUBSTITUTE(SUBSTITUTE(LOWER(Registro!$E307),"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",LEN(Registro!$E307))),({1,2,3,4,5,6,7,8,9,10,11,12,13,14,15,16,17,18,19,20,21,22,23,24,25,26,27,28,29,30}-1)*LEN(Registro!$E307)+1,LEN(Registro!$E307)))&amp;"x")+1,20))),"Revisar formato")))</f>
        <v/>
      </c>
      <c r="F307" s="23" t="str">
        <f>IF(Registro!$F307="","",IF(ISERROR(FIND("x",LOWER(Registro!$F307))),"-",IFERROR(SUMPRODUCT(--("0"&amp;LEFT(TRIM(MID(SUBSTITUTE(SUBSTITUTE(SUBSTITUTE(SUBSTITUTE(SUBSTITUTE(LOWER(Registro!$F307)," ",""),CHAR(10),"|"),";","|"),"+","|"),"|",REPT(" ",LEN(Registro!$F307))),({1,2,3,4,5,6,7,8,9,10,11,12,13,14,15,16,17,18,19,20,21,22,23,24,25,26,27,28,29,30}-1)*LEN(Registro!$F307)+1,LEN(Registro!$F307))),FIND("x",TRIM(MID(SUBSTITUTE(SUBSTITUTE(SUBSTITUTE(SUBSTITUTE(SUBSTITUTE(LOWER(Registro!$F307)," ",""),CHAR(10),"|"),";","|"),"+","|"),"|",REPT(" ",LEN(Registro!$F307))),({1,2,3,4,5,6,7,8,9,10,11,12,13,14,15,16,17,18,19,20,21,22,23,24,25,26,27,28,29,30}-1)*LEN(Registro!$F307)+1,LEN(Registro!$F307)))&amp;"x")-1))),"Revisar formato")))</f>
        <v/>
      </c>
      <c r="G307" s="24" t="str">
        <f>IF(Registro!$F307="","",IF(ISERROR(FIND("x",LOWER(Registro!$F307))),N(Registro!$G307),IFERROR(SUMPRODUCT(--("0"&amp;LEFT(TRIM(MID(SUBSTITUTE(SUBSTITUTE(SUBSTITUTE(SUBSTITUTE(SUBSTITUTE(LOWER(Registro!$F307)," ",""),CHAR(10),"|"),";","|"),"+","|"),"|",REPT(" ",LEN(Registro!$F307))),({1,2,3,4,5,6,7,8,9,10,11,12,13,14,15,16,17,18,19,20,21,22,23,24,25,26,27,28,29,30}-1)*LEN(Registro!$F307)+1,LEN(Registro!$F307))),FIND("x",TRIM(MID(SUBSTITUTE(SUBSTITUTE(SUBSTITUTE(SUBSTITUTE(SUBSTITUTE(LOWER(Registro!$F307)," ",""),CHAR(10),"|"),";","|"),"+","|"),"|",REPT(" ",LEN(Registro!$F307))),({1,2,3,4,5,6,7,8,9,10,11,12,13,14,15,16,17,18,19,20,21,22,23,24,25,26,27,28,29,30}-1)*LEN(Registro!$F307)+1,LEN(Registro!$F307)))&amp;"x")-1)),--("0"&amp;MID(TRIM(MID(SUBSTITUTE(SUBSTITUTE(SUBSTITUTE(SUBSTITUTE(SUBSTITUTE(LOWER(Registro!$F307)," ",""),CHAR(10),"|"),";","|"),"+","|"),"|",REPT(" ",LEN(Registro!$F307))),({1,2,3,4,5,6,7,8,9,10,11,12,13,14,15,16,17,18,19,20,21,22,23,24,25,26,27,28,29,30}-1)*LEN(Registro!$F307)+1,LEN(Registro!$F307))),FIND("x",TRIM(MID(SUBSTITUTE(SUBSTITUTE(SUBSTITUTE(SUBSTITUTE(SUBSTITUTE(LOWER(Registro!$F307)," ",""),CHAR(10),"|"),";","|"),"+","|"),"|",REPT(" ",LEN(Registro!$F307))),({1,2,3,4,5,6,7,8,9,10,11,12,13,14,15,16,17,18,19,20,21,22,23,24,25,26,27,28,29,30}-1)*LEN(Registro!$F307)+1,LEN(Registro!$F307)))&amp;"x")+1,20))),"Revisar formato")))</f>
        <v/>
      </c>
      <c r="H307" s="21" t="str">
        <f>IF(AND(Registro!$E307="",Registro!$F307=""),"",IF(NOT(AND(ISNUMBER(G307),ISNUMBER(Registro!$G307))),"",IF(G307&lt;Registro!$G307,"FALTA BOLETOS",IF(G307=Registro!$G307,"CONFORME","DIFERENCIA"))))</f>
        <v/>
      </c>
      <c r="I307" s="24" t="str">
        <f>IF(Registro!$H307="","",IFERROR(SUMPRODUCT(--("0"&amp;TRIM(RIGHT(SUBSTITUTE(TRIM(MID(SUBSTITUTE(SUBSTITUTE(Registro!$H307,";",CHAR(10)),CHAR(10),REPT(" ",LEN(Registro!$H307))),({1,2,3,4,5,6,7,8,9,10,11,12,13,14,15,16,17,18,19,20,21,22,23,24,25,26,27,28,29,30}-1)*LEN(Registro!$H307)+1,LEN(Registro!$H307)))," ",REPT(" ",50)),50)))),"Revisar formato"))</f>
        <v/>
      </c>
      <c r="J307" s="24" t="str">
        <f>IF(Registro!$I307="","",IFERROR(SUMPRODUCT(--("0"&amp;TRIM(RIGHT(SUBSTITUTE(TRIM(MID(SUBSTITUTE(SUBSTITUTE(Registro!$I307,";",CHAR(10)),CHAR(10),REPT(" ",LEN(Registro!$I307))),({1,2,3,4,5,6,7,8,9,10,11,12,13,14,15,16,17,18,19,20,21,22,23,24,25,26,27,28,29,30}-1)*LEN(Registro!$I307)+1,LEN(Registro!$I307)))," ",REPT(" ",50)),50)))),"Revisar formato"))</f>
        <v/>
      </c>
      <c r="K307" s="24" t="str">
        <f>IF(AND(Registro!$G307="",Registro!$H307=""),"",IF(AND(ISTEXT(I307),I307&lt;&gt;""),"Revisar formato",N(Registro!$G307)-N(I307)))</f>
        <v/>
      </c>
      <c r="L307" s="24" t="str">
        <f t="shared" si="9"/>
        <v/>
      </c>
      <c r="M307" s="36" t="str">
        <f>IF(AND(A307=Consulta!$B$3,C307=Consulta!$H$3),B307*10000+ROW(),"")</f>
        <v/>
      </c>
    </row>
    <row r="308" spans="1:13" x14ac:dyDescent="0.25">
      <c r="A308" s="21" t="str">
        <f>IF(Registro!$A308="","",Registro!$A308)</f>
        <v/>
      </c>
      <c r="B308" s="20" t="str">
        <f>IF(Registro!$B308="","",Registro!$B308)</f>
        <v/>
      </c>
      <c r="C308" s="35" t="str">
        <f t="shared" si="8"/>
        <v/>
      </c>
      <c r="D308" s="23" t="str">
        <f>IF(Registro!$E308="","",IF(ISERROR(FIND("x",LOWER(Registro!$E308))),"-",IFERROR(SUMPRODUCT(--("0"&amp;LEFT(TRIM(MID(SUBSTITUTE(SUBSTITUTE(SUBSTITUTE(SUBSTITUTE(SUBSTITUTE(LOWER(Registro!$E308),"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",LEN(Registro!$E308))),({1,2,3,4,5,6,7,8,9,10,11,12,13,14,15,16,17,18,19,20,21,22,23,24,25,26,27,28,29,30}-1)*LEN(Registro!$E308)+1,LEN(Registro!$E308))),FIND("x",TRIM(MID(SUBSTITUTE(SUBSTITUTE(SUBSTITUTE(SUBSTITUTE(SUBSTITUTE(LOWER(Registro!$E308),"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",LEN(Registro!$E308))),({1,2,3,4,5,6,7,8,9,10,11,12,13,14,15,16,17,18,19,20,21,22,23,24,25,26,27,28,29,30}-1)*LEN(Registro!$E308)+1,LEN(Registro!$E308)))&amp;"x")-1))),"Revisar formato")))</f>
        <v/>
      </c>
      <c r="E308" s="24" t="str">
        <f>IF(Registro!$E308="","",IF(ISERROR(FIND("x",LOWER(Registro!$E308))),"-",IFERROR(SUMPRODUCT(--("0"&amp;LEFT(TRIM(MID(SUBSTITUTE(SUBSTITUTE(SUBSTITUTE(SUBSTITUTE(SUBSTITUTE(LOWER(Registro!$E308),"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",LEN(Registro!$E308))),({1,2,3,4,5,6,7,8,9,10,11,12,13,14,15,16,17,18,19,20,21,22,23,24,25,26,27,28,29,30}-1)*LEN(Registro!$E308)+1,LEN(Registro!$E308))),FIND("x",TRIM(MID(SUBSTITUTE(SUBSTITUTE(SUBSTITUTE(SUBSTITUTE(SUBSTITUTE(LOWER(Registro!$E308),"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",LEN(Registro!$E308))),({1,2,3,4,5,6,7,8,9,10,11,12,13,14,15,16,17,18,19,20,21,22,23,24,25,26,27,28,29,30}-1)*LEN(Registro!$E308)+1,LEN(Registro!$E308)))&amp;"x")-1)),--("0"&amp;MID(TRIM(MID(SUBSTITUTE(SUBSTITUTE(SUBSTITUTE(SUBSTITUTE(SUBSTITUTE(LOWER(Registro!$E308),"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",LEN(Registro!$E308))),({1,2,3,4,5,6,7,8,9,10,11,12,13,14,15,16,17,18,19,20,21,22,23,24,25,26,27,28,29,30}-1)*LEN(Registro!$E308)+1,LEN(Registro!$E308))),FIND("x",TRIM(MID(SUBSTITUTE(SUBSTITUTE(SUBSTITUTE(SUBSTITUTE(SUBSTITUTE(LOWER(Registro!$E308),"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",LEN(Registro!$E308))),({1,2,3,4,5,6,7,8,9,10,11,12,13,14,15,16,17,18,19,20,21,22,23,24,25,26,27,28,29,30}-1)*LEN(Registro!$E308)+1,LEN(Registro!$E308)))&amp;"x")+1,20))),"Revisar formato")))</f>
        <v/>
      </c>
      <c r="F308" s="23" t="str">
        <f>IF(Registro!$F308="","",IF(ISERROR(FIND("x",LOWER(Registro!$F308))),"-",IFERROR(SUMPRODUCT(--("0"&amp;LEFT(TRIM(MID(SUBSTITUTE(SUBSTITUTE(SUBSTITUTE(SUBSTITUTE(SUBSTITUTE(LOWER(Registro!$F308)," ",""),CHAR(10),"|"),";","|"),"+","|"),"|",REPT(" ",LEN(Registro!$F308))),({1,2,3,4,5,6,7,8,9,10,11,12,13,14,15,16,17,18,19,20,21,22,23,24,25,26,27,28,29,30}-1)*LEN(Registro!$F308)+1,LEN(Registro!$F308))),FIND("x",TRIM(MID(SUBSTITUTE(SUBSTITUTE(SUBSTITUTE(SUBSTITUTE(SUBSTITUTE(LOWER(Registro!$F308)," ",""),CHAR(10),"|"),";","|"),"+","|"),"|",REPT(" ",LEN(Registro!$F308))),({1,2,3,4,5,6,7,8,9,10,11,12,13,14,15,16,17,18,19,20,21,22,23,24,25,26,27,28,29,30}-1)*LEN(Registro!$F308)+1,LEN(Registro!$F308)))&amp;"x")-1))),"Revisar formato")))</f>
        <v/>
      </c>
      <c r="G308" s="24" t="str">
        <f>IF(Registro!$F308="","",IF(ISERROR(FIND("x",LOWER(Registro!$F308))),N(Registro!$G308),IFERROR(SUMPRODUCT(--("0"&amp;LEFT(TRIM(MID(SUBSTITUTE(SUBSTITUTE(SUBSTITUTE(SUBSTITUTE(SUBSTITUTE(LOWER(Registro!$F308)," ",""),CHAR(10),"|"),";","|"),"+","|"),"|",REPT(" ",LEN(Registro!$F308))),({1,2,3,4,5,6,7,8,9,10,11,12,13,14,15,16,17,18,19,20,21,22,23,24,25,26,27,28,29,30}-1)*LEN(Registro!$F308)+1,LEN(Registro!$F308))),FIND("x",TRIM(MID(SUBSTITUTE(SUBSTITUTE(SUBSTITUTE(SUBSTITUTE(SUBSTITUTE(LOWER(Registro!$F308)," ",""),CHAR(10),"|"),";","|"),"+","|"),"|",REPT(" ",LEN(Registro!$F308))),({1,2,3,4,5,6,7,8,9,10,11,12,13,14,15,16,17,18,19,20,21,22,23,24,25,26,27,28,29,30}-1)*LEN(Registro!$F308)+1,LEN(Registro!$F308)))&amp;"x")-1)),--("0"&amp;MID(TRIM(MID(SUBSTITUTE(SUBSTITUTE(SUBSTITUTE(SUBSTITUTE(SUBSTITUTE(LOWER(Registro!$F308)," ",""),CHAR(10),"|"),";","|"),"+","|"),"|",REPT(" ",LEN(Registro!$F308))),({1,2,3,4,5,6,7,8,9,10,11,12,13,14,15,16,17,18,19,20,21,22,23,24,25,26,27,28,29,30}-1)*LEN(Registro!$F308)+1,LEN(Registro!$F308))),FIND("x",TRIM(MID(SUBSTITUTE(SUBSTITUTE(SUBSTITUTE(SUBSTITUTE(SUBSTITUTE(LOWER(Registro!$F308)," ",""),CHAR(10),"|"),";","|"),"+","|"),"|",REPT(" ",LEN(Registro!$F308))),({1,2,3,4,5,6,7,8,9,10,11,12,13,14,15,16,17,18,19,20,21,22,23,24,25,26,27,28,29,30}-1)*LEN(Registro!$F308)+1,LEN(Registro!$F308)))&amp;"x")+1,20))),"Revisar formato")))</f>
        <v/>
      </c>
      <c r="H308" s="21" t="str">
        <f>IF(AND(Registro!$E308="",Registro!$F308=""),"",IF(NOT(AND(ISNUMBER(G308),ISNUMBER(Registro!$G308))),"",IF(G308&lt;Registro!$G308,"FALTA BOLETOS",IF(G308=Registro!$G308,"CONFORME","DIFERENCIA"))))</f>
        <v/>
      </c>
      <c r="I308" s="24" t="str">
        <f>IF(Registro!$H308="","",IFERROR(SUMPRODUCT(--("0"&amp;TRIM(RIGHT(SUBSTITUTE(TRIM(MID(SUBSTITUTE(SUBSTITUTE(Registro!$H308,";",CHAR(10)),CHAR(10),REPT(" ",LEN(Registro!$H308))),({1,2,3,4,5,6,7,8,9,10,11,12,13,14,15,16,17,18,19,20,21,22,23,24,25,26,27,28,29,30}-1)*LEN(Registro!$H308)+1,LEN(Registro!$H308)))," ",REPT(" ",50)),50)))),"Revisar formato"))</f>
        <v/>
      </c>
      <c r="J308" s="24" t="str">
        <f>IF(Registro!$I308="","",IFERROR(SUMPRODUCT(--("0"&amp;TRIM(RIGHT(SUBSTITUTE(TRIM(MID(SUBSTITUTE(SUBSTITUTE(Registro!$I308,";",CHAR(10)),CHAR(10),REPT(" ",LEN(Registro!$I308))),({1,2,3,4,5,6,7,8,9,10,11,12,13,14,15,16,17,18,19,20,21,22,23,24,25,26,27,28,29,30}-1)*LEN(Registro!$I308)+1,LEN(Registro!$I308)))," ",REPT(" ",50)),50)))),"Revisar formato"))</f>
        <v/>
      </c>
      <c r="K308" s="24" t="str">
        <f>IF(AND(Registro!$G308="",Registro!$H308=""),"",IF(AND(ISTEXT(I308),I308&lt;&gt;""),"Revisar formato",N(Registro!$G308)-N(I308)))</f>
        <v/>
      </c>
      <c r="L308" s="24" t="str">
        <f t="shared" si="9"/>
        <v/>
      </c>
      <c r="M308" s="36" t="str">
        <f>IF(AND(A308=Consulta!$B$3,C308=Consulta!$H$3),B308*10000+ROW(),"")</f>
        <v/>
      </c>
    </row>
    <row r="309" spans="1:13" x14ac:dyDescent="0.25">
      <c r="A309" s="21" t="str">
        <f>IF(Registro!$A309="","",Registro!$A309)</f>
        <v/>
      </c>
      <c r="B309" s="20" t="str">
        <f>IF(Registro!$B309="","",Registro!$B309)</f>
        <v/>
      </c>
      <c r="C309" s="35" t="str">
        <f t="shared" si="8"/>
        <v/>
      </c>
      <c r="D309" s="23" t="str">
        <f>IF(Registro!$E309="","",IF(ISERROR(FIND("x",LOWER(Registro!$E309))),"-",IFERROR(SUMPRODUCT(--("0"&amp;LEFT(TRIM(MID(SUBSTITUTE(SUBSTITUTE(SUBSTITUTE(SUBSTITUTE(SUBSTITUTE(LOWER(Registro!$E309),"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",LEN(Registro!$E309))),({1,2,3,4,5,6,7,8,9,10,11,12,13,14,15,16,17,18,19,20,21,22,23,24,25,26,27,28,29,30}-1)*LEN(Registro!$E309)+1,LEN(Registro!$E309))),FIND("x",TRIM(MID(SUBSTITUTE(SUBSTITUTE(SUBSTITUTE(SUBSTITUTE(SUBSTITUTE(LOWER(Registro!$E309),"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",LEN(Registro!$E309))),({1,2,3,4,5,6,7,8,9,10,11,12,13,14,15,16,17,18,19,20,21,22,23,24,25,26,27,28,29,30}-1)*LEN(Registro!$E309)+1,LEN(Registro!$E309)))&amp;"x")-1))),"Revisar formato")))</f>
        <v/>
      </c>
      <c r="E309" s="24" t="str">
        <f>IF(Registro!$E309="","",IF(ISERROR(FIND("x",LOWER(Registro!$E309))),"-",IFERROR(SUMPRODUCT(--("0"&amp;LEFT(TRIM(MID(SUBSTITUTE(SUBSTITUTE(SUBSTITUTE(SUBSTITUTE(SUBSTITUTE(LOWER(Registro!$E309),"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",LEN(Registro!$E309))),({1,2,3,4,5,6,7,8,9,10,11,12,13,14,15,16,17,18,19,20,21,22,23,24,25,26,27,28,29,30}-1)*LEN(Registro!$E309)+1,LEN(Registro!$E309))),FIND("x",TRIM(MID(SUBSTITUTE(SUBSTITUTE(SUBSTITUTE(SUBSTITUTE(SUBSTITUTE(LOWER(Registro!$E309),"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",LEN(Registro!$E309))),({1,2,3,4,5,6,7,8,9,10,11,12,13,14,15,16,17,18,19,20,21,22,23,24,25,26,27,28,29,30}-1)*LEN(Registro!$E309)+1,LEN(Registro!$E309)))&amp;"x")-1)),--("0"&amp;MID(TRIM(MID(SUBSTITUTE(SUBSTITUTE(SUBSTITUTE(SUBSTITUTE(SUBSTITUTE(LOWER(Registro!$E309),"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",LEN(Registro!$E309))),({1,2,3,4,5,6,7,8,9,10,11,12,13,14,15,16,17,18,19,20,21,22,23,24,25,26,27,28,29,30}-1)*LEN(Registro!$E309)+1,LEN(Registro!$E309))),FIND("x",TRIM(MID(SUBSTITUTE(SUBSTITUTE(SUBSTITUTE(SUBSTITUTE(SUBSTITUTE(LOWER(Registro!$E309),"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",LEN(Registro!$E309))),({1,2,3,4,5,6,7,8,9,10,11,12,13,14,15,16,17,18,19,20,21,22,23,24,25,26,27,28,29,30}-1)*LEN(Registro!$E309)+1,LEN(Registro!$E309)))&amp;"x")+1,20))),"Revisar formato")))</f>
        <v/>
      </c>
      <c r="F309" s="23" t="str">
        <f>IF(Registro!$F309="","",IF(ISERROR(FIND("x",LOWER(Registro!$F309))),"-",IFERROR(SUMPRODUCT(--("0"&amp;LEFT(TRIM(MID(SUBSTITUTE(SUBSTITUTE(SUBSTITUTE(SUBSTITUTE(SUBSTITUTE(LOWER(Registro!$F309)," ",""),CHAR(10),"|"),";","|"),"+","|"),"|",REPT(" ",LEN(Registro!$F309))),({1,2,3,4,5,6,7,8,9,10,11,12,13,14,15,16,17,18,19,20,21,22,23,24,25,26,27,28,29,30}-1)*LEN(Registro!$F309)+1,LEN(Registro!$F309))),FIND("x",TRIM(MID(SUBSTITUTE(SUBSTITUTE(SUBSTITUTE(SUBSTITUTE(SUBSTITUTE(LOWER(Registro!$F309)," ",""),CHAR(10),"|"),";","|"),"+","|"),"|",REPT(" ",LEN(Registro!$F309))),({1,2,3,4,5,6,7,8,9,10,11,12,13,14,15,16,17,18,19,20,21,22,23,24,25,26,27,28,29,30}-1)*LEN(Registro!$F309)+1,LEN(Registro!$F309)))&amp;"x")-1))),"Revisar formato")))</f>
        <v/>
      </c>
      <c r="G309" s="24" t="str">
        <f>IF(Registro!$F309="","",IF(ISERROR(FIND("x",LOWER(Registro!$F309))),N(Registro!$G309),IFERROR(SUMPRODUCT(--("0"&amp;LEFT(TRIM(MID(SUBSTITUTE(SUBSTITUTE(SUBSTITUTE(SUBSTITUTE(SUBSTITUTE(LOWER(Registro!$F309)," ",""),CHAR(10),"|"),";","|"),"+","|"),"|",REPT(" ",LEN(Registro!$F309))),({1,2,3,4,5,6,7,8,9,10,11,12,13,14,15,16,17,18,19,20,21,22,23,24,25,26,27,28,29,30}-1)*LEN(Registro!$F309)+1,LEN(Registro!$F309))),FIND("x",TRIM(MID(SUBSTITUTE(SUBSTITUTE(SUBSTITUTE(SUBSTITUTE(SUBSTITUTE(LOWER(Registro!$F309)," ",""),CHAR(10),"|"),";","|"),"+","|"),"|",REPT(" ",LEN(Registro!$F309))),({1,2,3,4,5,6,7,8,9,10,11,12,13,14,15,16,17,18,19,20,21,22,23,24,25,26,27,28,29,30}-1)*LEN(Registro!$F309)+1,LEN(Registro!$F309)))&amp;"x")-1)),--("0"&amp;MID(TRIM(MID(SUBSTITUTE(SUBSTITUTE(SUBSTITUTE(SUBSTITUTE(SUBSTITUTE(LOWER(Registro!$F309)," ",""),CHAR(10),"|"),";","|"),"+","|"),"|",REPT(" ",LEN(Registro!$F309))),({1,2,3,4,5,6,7,8,9,10,11,12,13,14,15,16,17,18,19,20,21,22,23,24,25,26,27,28,29,30}-1)*LEN(Registro!$F309)+1,LEN(Registro!$F309))),FIND("x",TRIM(MID(SUBSTITUTE(SUBSTITUTE(SUBSTITUTE(SUBSTITUTE(SUBSTITUTE(LOWER(Registro!$F309)," ",""),CHAR(10),"|"),";","|"),"+","|"),"|",REPT(" ",LEN(Registro!$F309))),({1,2,3,4,5,6,7,8,9,10,11,12,13,14,15,16,17,18,19,20,21,22,23,24,25,26,27,28,29,30}-1)*LEN(Registro!$F309)+1,LEN(Registro!$F309)))&amp;"x")+1,20))),"Revisar formato")))</f>
        <v/>
      </c>
      <c r="H309" s="21" t="str">
        <f>IF(AND(Registro!$E309="",Registro!$F309=""),"",IF(NOT(AND(ISNUMBER(G309),ISNUMBER(Registro!$G309))),"",IF(G309&lt;Registro!$G309,"FALTA BOLETOS",IF(G309=Registro!$G309,"CONFORME","DIFERENCIA"))))</f>
        <v/>
      </c>
      <c r="I309" s="24" t="str">
        <f>IF(Registro!$H309="","",IFERROR(SUMPRODUCT(--("0"&amp;TRIM(RIGHT(SUBSTITUTE(TRIM(MID(SUBSTITUTE(SUBSTITUTE(Registro!$H309,";",CHAR(10)),CHAR(10),REPT(" ",LEN(Registro!$H309))),({1,2,3,4,5,6,7,8,9,10,11,12,13,14,15,16,17,18,19,20,21,22,23,24,25,26,27,28,29,30}-1)*LEN(Registro!$H309)+1,LEN(Registro!$H309)))," ",REPT(" ",50)),50)))),"Revisar formato"))</f>
        <v/>
      </c>
      <c r="J309" s="24" t="str">
        <f>IF(Registro!$I309="","",IFERROR(SUMPRODUCT(--("0"&amp;TRIM(RIGHT(SUBSTITUTE(TRIM(MID(SUBSTITUTE(SUBSTITUTE(Registro!$I309,";",CHAR(10)),CHAR(10),REPT(" ",LEN(Registro!$I309))),({1,2,3,4,5,6,7,8,9,10,11,12,13,14,15,16,17,18,19,20,21,22,23,24,25,26,27,28,29,30}-1)*LEN(Registro!$I309)+1,LEN(Registro!$I309)))," ",REPT(" ",50)),50)))),"Revisar formato"))</f>
        <v/>
      </c>
      <c r="K309" s="24" t="str">
        <f>IF(AND(Registro!$G309="",Registro!$H309=""),"",IF(AND(ISTEXT(I309),I309&lt;&gt;""),"Revisar formato",N(Registro!$G309)-N(I309)))</f>
        <v/>
      </c>
      <c r="L309" s="24" t="str">
        <f t="shared" si="9"/>
        <v/>
      </c>
      <c r="M309" s="36" t="str">
        <f>IF(AND(A309=Consulta!$B$3,C309=Consulta!$H$3),B309*10000+ROW(),"")</f>
        <v/>
      </c>
    </row>
    <row r="310" spans="1:13" x14ac:dyDescent="0.25">
      <c r="A310" s="21" t="str">
        <f>IF(Registro!$A310="","",Registro!$A310)</f>
        <v/>
      </c>
      <c r="B310" s="20" t="str">
        <f>IF(Registro!$B310="","",Registro!$B310)</f>
        <v/>
      </c>
      <c r="C310" s="35" t="str">
        <f t="shared" si="8"/>
        <v/>
      </c>
      <c r="D310" s="23" t="str">
        <f>IF(Registro!$E310="","",IF(ISERROR(FIND("x",LOWER(Registro!$E310))),"-",IFERROR(SUMPRODUCT(--("0"&amp;LEFT(TRIM(MID(SUBSTITUTE(SUBSTITUTE(SUBSTITUTE(SUBSTITUTE(SUBSTITUTE(LOWER(Registro!$E310),"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",LEN(Registro!$E310))),({1,2,3,4,5,6,7,8,9,10,11,12,13,14,15,16,17,18,19,20,21,22,23,24,25,26,27,28,29,30}-1)*LEN(Registro!$E310)+1,LEN(Registro!$E310))),FIND("x",TRIM(MID(SUBSTITUTE(SUBSTITUTE(SUBSTITUTE(SUBSTITUTE(SUBSTITUTE(LOWER(Registro!$E310),"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",LEN(Registro!$E310))),({1,2,3,4,5,6,7,8,9,10,11,12,13,14,15,16,17,18,19,20,21,22,23,24,25,26,27,28,29,30}-1)*LEN(Registro!$E310)+1,LEN(Registro!$E310)))&amp;"x")-1))),"Revisar formato")))</f>
        <v/>
      </c>
      <c r="E310" s="24" t="str">
        <f>IF(Registro!$E310="","",IF(ISERROR(FIND("x",LOWER(Registro!$E310))),"-",IFERROR(SUMPRODUCT(--("0"&amp;LEFT(TRIM(MID(SUBSTITUTE(SUBSTITUTE(SUBSTITUTE(SUBSTITUTE(SUBSTITUTE(LOWER(Registro!$E310),"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",LEN(Registro!$E310))),({1,2,3,4,5,6,7,8,9,10,11,12,13,14,15,16,17,18,19,20,21,22,23,24,25,26,27,28,29,30}-1)*LEN(Registro!$E310)+1,LEN(Registro!$E310))),FIND("x",TRIM(MID(SUBSTITUTE(SUBSTITUTE(SUBSTITUTE(SUBSTITUTE(SUBSTITUTE(LOWER(Registro!$E310),"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",LEN(Registro!$E310))),({1,2,3,4,5,6,7,8,9,10,11,12,13,14,15,16,17,18,19,20,21,22,23,24,25,26,27,28,29,30}-1)*LEN(Registro!$E310)+1,LEN(Registro!$E310)))&amp;"x")-1)),--("0"&amp;MID(TRIM(MID(SUBSTITUTE(SUBSTITUTE(SUBSTITUTE(SUBSTITUTE(SUBSTITUTE(LOWER(Registro!$E310),"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",LEN(Registro!$E310))),({1,2,3,4,5,6,7,8,9,10,11,12,13,14,15,16,17,18,19,20,21,22,23,24,25,26,27,28,29,30}-1)*LEN(Registro!$E310)+1,LEN(Registro!$E310))),FIND("x",TRIM(MID(SUBSTITUTE(SUBSTITUTE(SUBSTITUTE(SUBSTITUTE(SUBSTITUTE(LOWER(Registro!$E310),"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",LEN(Registro!$E310))),({1,2,3,4,5,6,7,8,9,10,11,12,13,14,15,16,17,18,19,20,21,22,23,24,25,26,27,28,29,30}-1)*LEN(Registro!$E310)+1,LEN(Registro!$E310)))&amp;"x")+1,20))),"Revisar formato")))</f>
        <v/>
      </c>
      <c r="F310" s="23" t="str">
        <f>IF(Registro!$F310="","",IF(ISERROR(FIND("x",LOWER(Registro!$F310))),"-",IFERROR(SUMPRODUCT(--("0"&amp;LEFT(TRIM(MID(SUBSTITUTE(SUBSTITUTE(SUBSTITUTE(SUBSTITUTE(SUBSTITUTE(LOWER(Registro!$F310)," ",""),CHAR(10),"|"),";","|"),"+","|"),"|",REPT(" ",LEN(Registro!$F310))),({1,2,3,4,5,6,7,8,9,10,11,12,13,14,15,16,17,18,19,20,21,22,23,24,25,26,27,28,29,30}-1)*LEN(Registro!$F310)+1,LEN(Registro!$F310))),FIND("x",TRIM(MID(SUBSTITUTE(SUBSTITUTE(SUBSTITUTE(SUBSTITUTE(SUBSTITUTE(LOWER(Registro!$F310)," ",""),CHAR(10),"|"),";","|"),"+","|"),"|",REPT(" ",LEN(Registro!$F310))),({1,2,3,4,5,6,7,8,9,10,11,12,13,14,15,16,17,18,19,20,21,22,23,24,25,26,27,28,29,30}-1)*LEN(Registro!$F310)+1,LEN(Registro!$F310)))&amp;"x")-1))),"Revisar formato")))</f>
        <v/>
      </c>
      <c r="G310" s="24" t="str">
        <f>IF(Registro!$F310="","",IF(ISERROR(FIND("x",LOWER(Registro!$F310))),N(Registro!$G310),IFERROR(SUMPRODUCT(--("0"&amp;LEFT(TRIM(MID(SUBSTITUTE(SUBSTITUTE(SUBSTITUTE(SUBSTITUTE(SUBSTITUTE(LOWER(Registro!$F310)," ",""),CHAR(10),"|"),";","|"),"+","|"),"|",REPT(" ",LEN(Registro!$F310))),({1,2,3,4,5,6,7,8,9,10,11,12,13,14,15,16,17,18,19,20,21,22,23,24,25,26,27,28,29,30}-1)*LEN(Registro!$F310)+1,LEN(Registro!$F310))),FIND("x",TRIM(MID(SUBSTITUTE(SUBSTITUTE(SUBSTITUTE(SUBSTITUTE(SUBSTITUTE(LOWER(Registro!$F310)," ",""),CHAR(10),"|"),";","|"),"+","|"),"|",REPT(" ",LEN(Registro!$F310))),({1,2,3,4,5,6,7,8,9,10,11,12,13,14,15,16,17,18,19,20,21,22,23,24,25,26,27,28,29,30}-1)*LEN(Registro!$F310)+1,LEN(Registro!$F310)))&amp;"x")-1)),--("0"&amp;MID(TRIM(MID(SUBSTITUTE(SUBSTITUTE(SUBSTITUTE(SUBSTITUTE(SUBSTITUTE(LOWER(Registro!$F310)," ",""),CHAR(10),"|"),";","|"),"+","|"),"|",REPT(" ",LEN(Registro!$F310))),({1,2,3,4,5,6,7,8,9,10,11,12,13,14,15,16,17,18,19,20,21,22,23,24,25,26,27,28,29,30}-1)*LEN(Registro!$F310)+1,LEN(Registro!$F310))),FIND("x",TRIM(MID(SUBSTITUTE(SUBSTITUTE(SUBSTITUTE(SUBSTITUTE(SUBSTITUTE(LOWER(Registro!$F310)," ",""),CHAR(10),"|"),";","|"),"+","|"),"|",REPT(" ",LEN(Registro!$F310))),({1,2,3,4,5,6,7,8,9,10,11,12,13,14,15,16,17,18,19,20,21,22,23,24,25,26,27,28,29,30}-1)*LEN(Registro!$F310)+1,LEN(Registro!$F310)))&amp;"x")+1,20))),"Revisar formato")))</f>
        <v/>
      </c>
      <c r="H310" s="21" t="str">
        <f>IF(AND(Registro!$E310="",Registro!$F310=""),"",IF(NOT(AND(ISNUMBER(G310),ISNUMBER(Registro!$G310))),"",IF(G310&lt;Registro!$G310,"FALTA BOLETOS",IF(G310=Registro!$G310,"CONFORME","DIFERENCIA"))))</f>
        <v/>
      </c>
      <c r="I310" s="24" t="str">
        <f>IF(Registro!$H310="","",IFERROR(SUMPRODUCT(--("0"&amp;TRIM(RIGHT(SUBSTITUTE(TRIM(MID(SUBSTITUTE(SUBSTITUTE(Registro!$H310,";",CHAR(10)),CHAR(10),REPT(" ",LEN(Registro!$H310))),({1,2,3,4,5,6,7,8,9,10,11,12,13,14,15,16,17,18,19,20,21,22,23,24,25,26,27,28,29,30}-1)*LEN(Registro!$H310)+1,LEN(Registro!$H310)))," ",REPT(" ",50)),50)))),"Revisar formato"))</f>
        <v/>
      </c>
      <c r="J310" s="24" t="str">
        <f>IF(Registro!$I310="","",IFERROR(SUMPRODUCT(--("0"&amp;TRIM(RIGHT(SUBSTITUTE(TRIM(MID(SUBSTITUTE(SUBSTITUTE(Registro!$I310,";",CHAR(10)),CHAR(10),REPT(" ",LEN(Registro!$I310))),({1,2,3,4,5,6,7,8,9,10,11,12,13,14,15,16,17,18,19,20,21,22,23,24,25,26,27,28,29,30}-1)*LEN(Registro!$I310)+1,LEN(Registro!$I310)))," ",REPT(" ",50)),50)))),"Revisar formato"))</f>
        <v/>
      </c>
      <c r="K310" s="24" t="str">
        <f>IF(AND(Registro!$G310="",Registro!$H310=""),"",IF(AND(ISTEXT(I310),I310&lt;&gt;""),"Revisar formato",N(Registro!$G310)-N(I310)))</f>
        <v/>
      </c>
      <c r="L310" s="24" t="str">
        <f t="shared" si="9"/>
        <v/>
      </c>
      <c r="M310" s="36" t="str">
        <f>IF(AND(A310=Consulta!$B$3,C310=Consulta!$H$3),B310*10000+ROW(),"")</f>
        <v/>
      </c>
    </row>
    <row r="311" spans="1:13" x14ac:dyDescent="0.25">
      <c r="A311" s="21" t="str">
        <f>IF(Registro!$A311="","",Registro!$A311)</f>
        <v/>
      </c>
      <c r="B311" s="20" t="str">
        <f>IF(Registro!$B311="","",Registro!$B311)</f>
        <v/>
      </c>
      <c r="C311" s="35" t="str">
        <f t="shared" si="8"/>
        <v/>
      </c>
      <c r="D311" s="23" t="str">
        <f>IF(Registro!$E311="","",IF(ISERROR(FIND("x",LOWER(Registro!$E311))),"-",IFERROR(SUMPRODUCT(--("0"&amp;LEFT(TRIM(MID(SUBSTITUTE(SUBSTITUTE(SUBSTITUTE(SUBSTITUTE(SUBSTITUTE(LOWER(Registro!$E311),"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",LEN(Registro!$E311))),({1,2,3,4,5,6,7,8,9,10,11,12,13,14,15,16,17,18,19,20,21,22,23,24,25,26,27,28,29,30}-1)*LEN(Registro!$E311)+1,LEN(Registro!$E311))),FIND("x",TRIM(MID(SUBSTITUTE(SUBSTITUTE(SUBSTITUTE(SUBSTITUTE(SUBSTITUTE(LOWER(Registro!$E311),"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",LEN(Registro!$E311))),({1,2,3,4,5,6,7,8,9,10,11,12,13,14,15,16,17,18,19,20,21,22,23,24,25,26,27,28,29,30}-1)*LEN(Registro!$E311)+1,LEN(Registro!$E311)))&amp;"x")-1))),"Revisar formato")))</f>
        <v/>
      </c>
      <c r="E311" s="24" t="str">
        <f>IF(Registro!$E311="","",IF(ISERROR(FIND("x",LOWER(Registro!$E311))),"-",IFERROR(SUMPRODUCT(--("0"&amp;LEFT(TRIM(MID(SUBSTITUTE(SUBSTITUTE(SUBSTITUTE(SUBSTITUTE(SUBSTITUTE(LOWER(Registro!$E311),"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",LEN(Registro!$E311))),({1,2,3,4,5,6,7,8,9,10,11,12,13,14,15,16,17,18,19,20,21,22,23,24,25,26,27,28,29,30}-1)*LEN(Registro!$E311)+1,LEN(Registro!$E311))),FIND("x",TRIM(MID(SUBSTITUTE(SUBSTITUTE(SUBSTITUTE(SUBSTITUTE(SUBSTITUTE(LOWER(Registro!$E311),"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",LEN(Registro!$E311))),({1,2,3,4,5,6,7,8,9,10,11,12,13,14,15,16,17,18,19,20,21,22,23,24,25,26,27,28,29,30}-1)*LEN(Registro!$E311)+1,LEN(Registro!$E311)))&amp;"x")-1)),--("0"&amp;MID(TRIM(MID(SUBSTITUTE(SUBSTITUTE(SUBSTITUTE(SUBSTITUTE(SUBSTITUTE(LOWER(Registro!$E311),"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",LEN(Registro!$E311))),({1,2,3,4,5,6,7,8,9,10,11,12,13,14,15,16,17,18,19,20,21,22,23,24,25,26,27,28,29,30}-1)*LEN(Registro!$E311)+1,LEN(Registro!$E311))),FIND("x",TRIM(MID(SUBSTITUTE(SUBSTITUTE(SUBSTITUTE(SUBSTITUTE(SUBSTITUTE(LOWER(Registro!$E311),"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",LEN(Registro!$E311))),({1,2,3,4,5,6,7,8,9,10,11,12,13,14,15,16,17,18,19,20,21,22,23,24,25,26,27,28,29,30}-1)*LEN(Registro!$E311)+1,LEN(Registro!$E311)))&amp;"x")+1,20))),"Revisar formato")))</f>
        <v/>
      </c>
      <c r="F311" s="23" t="str">
        <f>IF(Registro!$F311="","",IF(ISERROR(FIND("x",LOWER(Registro!$F311))),"-",IFERROR(SUMPRODUCT(--("0"&amp;LEFT(TRIM(MID(SUBSTITUTE(SUBSTITUTE(SUBSTITUTE(SUBSTITUTE(SUBSTITUTE(LOWER(Registro!$F311)," ",""),CHAR(10),"|"),";","|"),"+","|"),"|",REPT(" ",LEN(Registro!$F311))),({1,2,3,4,5,6,7,8,9,10,11,12,13,14,15,16,17,18,19,20,21,22,23,24,25,26,27,28,29,30}-1)*LEN(Registro!$F311)+1,LEN(Registro!$F311))),FIND("x",TRIM(MID(SUBSTITUTE(SUBSTITUTE(SUBSTITUTE(SUBSTITUTE(SUBSTITUTE(LOWER(Registro!$F311)," ",""),CHAR(10),"|"),";","|"),"+","|"),"|",REPT(" ",LEN(Registro!$F311))),({1,2,3,4,5,6,7,8,9,10,11,12,13,14,15,16,17,18,19,20,21,22,23,24,25,26,27,28,29,30}-1)*LEN(Registro!$F311)+1,LEN(Registro!$F311)))&amp;"x")-1))),"Revisar formato")))</f>
        <v/>
      </c>
      <c r="G311" s="24" t="str">
        <f>IF(Registro!$F311="","",IF(ISERROR(FIND("x",LOWER(Registro!$F311))),N(Registro!$G311),IFERROR(SUMPRODUCT(--("0"&amp;LEFT(TRIM(MID(SUBSTITUTE(SUBSTITUTE(SUBSTITUTE(SUBSTITUTE(SUBSTITUTE(LOWER(Registro!$F311)," ",""),CHAR(10),"|"),";","|"),"+","|"),"|",REPT(" ",LEN(Registro!$F311))),({1,2,3,4,5,6,7,8,9,10,11,12,13,14,15,16,17,18,19,20,21,22,23,24,25,26,27,28,29,30}-1)*LEN(Registro!$F311)+1,LEN(Registro!$F311))),FIND("x",TRIM(MID(SUBSTITUTE(SUBSTITUTE(SUBSTITUTE(SUBSTITUTE(SUBSTITUTE(LOWER(Registro!$F311)," ",""),CHAR(10),"|"),";","|"),"+","|"),"|",REPT(" ",LEN(Registro!$F311))),({1,2,3,4,5,6,7,8,9,10,11,12,13,14,15,16,17,18,19,20,21,22,23,24,25,26,27,28,29,30}-1)*LEN(Registro!$F311)+1,LEN(Registro!$F311)))&amp;"x")-1)),--("0"&amp;MID(TRIM(MID(SUBSTITUTE(SUBSTITUTE(SUBSTITUTE(SUBSTITUTE(SUBSTITUTE(LOWER(Registro!$F311)," ",""),CHAR(10),"|"),";","|"),"+","|"),"|",REPT(" ",LEN(Registro!$F311))),({1,2,3,4,5,6,7,8,9,10,11,12,13,14,15,16,17,18,19,20,21,22,23,24,25,26,27,28,29,30}-1)*LEN(Registro!$F311)+1,LEN(Registro!$F311))),FIND("x",TRIM(MID(SUBSTITUTE(SUBSTITUTE(SUBSTITUTE(SUBSTITUTE(SUBSTITUTE(LOWER(Registro!$F311)," ",""),CHAR(10),"|"),";","|"),"+","|"),"|",REPT(" ",LEN(Registro!$F311))),({1,2,3,4,5,6,7,8,9,10,11,12,13,14,15,16,17,18,19,20,21,22,23,24,25,26,27,28,29,30}-1)*LEN(Registro!$F311)+1,LEN(Registro!$F311)))&amp;"x")+1,20))),"Revisar formato")))</f>
        <v/>
      </c>
      <c r="H311" s="21" t="str">
        <f>IF(AND(Registro!$E311="",Registro!$F311=""),"",IF(NOT(AND(ISNUMBER(G311),ISNUMBER(Registro!$G311))),"",IF(G311&lt;Registro!$G311,"FALTA BOLETOS",IF(G311=Registro!$G311,"CONFORME","DIFERENCIA"))))</f>
        <v/>
      </c>
      <c r="I311" s="24" t="str">
        <f>IF(Registro!$H311="","",IFERROR(SUMPRODUCT(--("0"&amp;TRIM(RIGHT(SUBSTITUTE(TRIM(MID(SUBSTITUTE(SUBSTITUTE(Registro!$H311,";",CHAR(10)),CHAR(10),REPT(" ",LEN(Registro!$H311))),({1,2,3,4,5,6,7,8,9,10,11,12,13,14,15,16,17,18,19,20,21,22,23,24,25,26,27,28,29,30}-1)*LEN(Registro!$H311)+1,LEN(Registro!$H311)))," ",REPT(" ",50)),50)))),"Revisar formato"))</f>
        <v/>
      </c>
      <c r="J311" s="24" t="str">
        <f>IF(Registro!$I311="","",IFERROR(SUMPRODUCT(--("0"&amp;TRIM(RIGHT(SUBSTITUTE(TRIM(MID(SUBSTITUTE(SUBSTITUTE(Registro!$I311,";",CHAR(10)),CHAR(10),REPT(" ",LEN(Registro!$I311))),({1,2,3,4,5,6,7,8,9,10,11,12,13,14,15,16,17,18,19,20,21,22,23,24,25,26,27,28,29,30}-1)*LEN(Registro!$I311)+1,LEN(Registro!$I311)))," ",REPT(" ",50)),50)))),"Revisar formato"))</f>
        <v/>
      </c>
      <c r="K311" s="24" t="str">
        <f>IF(AND(Registro!$G311="",Registro!$H311=""),"",IF(AND(ISTEXT(I311),I311&lt;&gt;""),"Revisar formato",N(Registro!$G311)-N(I311)))</f>
        <v/>
      </c>
      <c r="L311" s="24" t="str">
        <f t="shared" si="9"/>
        <v/>
      </c>
      <c r="M311" s="36" t="str">
        <f>IF(AND(A311=Consulta!$B$3,C311=Consulta!$H$3),B311*10000+ROW(),"")</f>
        <v/>
      </c>
    </row>
    <row r="312" spans="1:13" x14ac:dyDescent="0.25">
      <c r="A312" s="21" t="str">
        <f>IF(Registro!$A312="","",Registro!$A312)</f>
        <v/>
      </c>
      <c r="B312" s="20" t="str">
        <f>IF(Registro!$B312="","",Registro!$B312)</f>
        <v/>
      </c>
      <c r="C312" s="35" t="str">
        <f t="shared" si="8"/>
        <v/>
      </c>
      <c r="D312" s="23" t="str">
        <f>IF(Registro!$E312="","",IF(ISERROR(FIND("x",LOWER(Registro!$E312))),"-",IFERROR(SUMPRODUCT(--("0"&amp;LEFT(TRIM(MID(SUBSTITUTE(SUBSTITUTE(SUBSTITUTE(SUBSTITUTE(SUBSTITUTE(LOWER(Registro!$E312),"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",LEN(Registro!$E312))),({1,2,3,4,5,6,7,8,9,10,11,12,13,14,15,16,17,18,19,20,21,22,23,24,25,26,27,28,29,30}-1)*LEN(Registro!$E312)+1,LEN(Registro!$E312))),FIND("x",TRIM(MID(SUBSTITUTE(SUBSTITUTE(SUBSTITUTE(SUBSTITUTE(SUBSTITUTE(LOWER(Registro!$E312),"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",LEN(Registro!$E312))),({1,2,3,4,5,6,7,8,9,10,11,12,13,14,15,16,17,18,19,20,21,22,23,24,25,26,27,28,29,30}-1)*LEN(Registro!$E312)+1,LEN(Registro!$E312)))&amp;"x")-1))),"Revisar formato")))</f>
        <v/>
      </c>
      <c r="E312" s="24" t="str">
        <f>IF(Registro!$E312="","",IF(ISERROR(FIND("x",LOWER(Registro!$E312))),"-",IFERROR(SUMPRODUCT(--("0"&amp;LEFT(TRIM(MID(SUBSTITUTE(SUBSTITUTE(SUBSTITUTE(SUBSTITUTE(SUBSTITUTE(LOWER(Registro!$E312),"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",LEN(Registro!$E312))),({1,2,3,4,5,6,7,8,9,10,11,12,13,14,15,16,17,18,19,20,21,22,23,24,25,26,27,28,29,30}-1)*LEN(Registro!$E312)+1,LEN(Registro!$E312))),FIND("x",TRIM(MID(SUBSTITUTE(SUBSTITUTE(SUBSTITUTE(SUBSTITUTE(SUBSTITUTE(LOWER(Registro!$E312),"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",LEN(Registro!$E312))),({1,2,3,4,5,6,7,8,9,10,11,12,13,14,15,16,17,18,19,20,21,22,23,24,25,26,27,28,29,30}-1)*LEN(Registro!$E312)+1,LEN(Registro!$E312)))&amp;"x")-1)),--("0"&amp;MID(TRIM(MID(SUBSTITUTE(SUBSTITUTE(SUBSTITUTE(SUBSTITUTE(SUBSTITUTE(LOWER(Registro!$E312),"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",LEN(Registro!$E312))),({1,2,3,4,5,6,7,8,9,10,11,12,13,14,15,16,17,18,19,20,21,22,23,24,25,26,27,28,29,30}-1)*LEN(Registro!$E312)+1,LEN(Registro!$E312))),FIND("x",TRIM(MID(SUBSTITUTE(SUBSTITUTE(SUBSTITUTE(SUBSTITUTE(SUBSTITUTE(LOWER(Registro!$E312),"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",LEN(Registro!$E312))),({1,2,3,4,5,6,7,8,9,10,11,12,13,14,15,16,17,18,19,20,21,22,23,24,25,26,27,28,29,30}-1)*LEN(Registro!$E312)+1,LEN(Registro!$E312)))&amp;"x")+1,20))),"Revisar formato")))</f>
        <v/>
      </c>
      <c r="F312" s="23" t="str">
        <f>IF(Registro!$F312="","",IF(ISERROR(FIND("x",LOWER(Registro!$F312))),"-",IFERROR(SUMPRODUCT(--("0"&amp;LEFT(TRIM(MID(SUBSTITUTE(SUBSTITUTE(SUBSTITUTE(SUBSTITUTE(SUBSTITUTE(LOWER(Registro!$F312)," ",""),CHAR(10),"|"),";","|"),"+","|"),"|",REPT(" ",LEN(Registro!$F312))),({1,2,3,4,5,6,7,8,9,10,11,12,13,14,15,16,17,18,19,20,21,22,23,24,25,26,27,28,29,30}-1)*LEN(Registro!$F312)+1,LEN(Registro!$F312))),FIND("x",TRIM(MID(SUBSTITUTE(SUBSTITUTE(SUBSTITUTE(SUBSTITUTE(SUBSTITUTE(LOWER(Registro!$F312)," ",""),CHAR(10),"|"),";","|"),"+","|"),"|",REPT(" ",LEN(Registro!$F312))),({1,2,3,4,5,6,7,8,9,10,11,12,13,14,15,16,17,18,19,20,21,22,23,24,25,26,27,28,29,30}-1)*LEN(Registro!$F312)+1,LEN(Registro!$F312)))&amp;"x")-1))),"Revisar formato")))</f>
        <v/>
      </c>
      <c r="G312" s="24" t="str">
        <f>IF(Registro!$F312="","",IF(ISERROR(FIND("x",LOWER(Registro!$F312))),N(Registro!$G312),IFERROR(SUMPRODUCT(--("0"&amp;LEFT(TRIM(MID(SUBSTITUTE(SUBSTITUTE(SUBSTITUTE(SUBSTITUTE(SUBSTITUTE(LOWER(Registro!$F312)," ",""),CHAR(10),"|"),";","|"),"+","|"),"|",REPT(" ",LEN(Registro!$F312))),({1,2,3,4,5,6,7,8,9,10,11,12,13,14,15,16,17,18,19,20,21,22,23,24,25,26,27,28,29,30}-1)*LEN(Registro!$F312)+1,LEN(Registro!$F312))),FIND("x",TRIM(MID(SUBSTITUTE(SUBSTITUTE(SUBSTITUTE(SUBSTITUTE(SUBSTITUTE(LOWER(Registro!$F312)," ",""),CHAR(10),"|"),";","|"),"+","|"),"|",REPT(" ",LEN(Registro!$F312))),({1,2,3,4,5,6,7,8,9,10,11,12,13,14,15,16,17,18,19,20,21,22,23,24,25,26,27,28,29,30}-1)*LEN(Registro!$F312)+1,LEN(Registro!$F312)))&amp;"x")-1)),--("0"&amp;MID(TRIM(MID(SUBSTITUTE(SUBSTITUTE(SUBSTITUTE(SUBSTITUTE(SUBSTITUTE(LOWER(Registro!$F312)," ",""),CHAR(10),"|"),";","|"),"+","|"),"|",REPT(" ",LEN(Registro!$F312))),({1,2,3,4,5,6,7,8,9,10,11,12,13,14,15,16,17,18,19,20,21,22,23,24,25,26,27,28,29,30}-1)*LEN(Registro!$F312)+1,LEN(Registro!$F312))),FIND("x",TRIM(MID(SUBSTITUTE(SUBSTITUTE(SUBSTITUTE(SUBSTITUTE(SUBSTITUTE(LOWER(Registro!$F312)," ",""),CHAR(10),"|"),";","|"),"+","|"),"|",REPT(" ",LEN(Registro!$F312))),({1,2,3,4,5,6,7,8,9,10,11,12,13,14,15,16,17,18,19,20,21,22,23,24,25,26,27,28,29,30}-1)*LEN(Registro!$F312)+1,LEN(Registro!$F312)))&amp;"x")+1,20))),"Revisar formato")))</f>
        <v/>
      </c>
      <c r="H312" s="21" t="str">
        <f>IF(AND(Registro!$E312="",Registro!$F312=""),"",IF(NOT(AND(ISNUMBER(G312),ISNUMBER(Registro!$G312))),"",IF(G312&lt;Registro!$G312,"FALTA BOLETOS",IF(G312=Registro!$G312,"CONFORME","DIFERENCIA"))))</f>
        <v/>
      </c>
      <c r="I312" s="24" t="str">
        <f>IF(Registro!$H312="","",IFERROR(SUMPRODUCT(--("0"&amp;TRIM(RIGHT(SUBSTITUTE(TRIM(MID(SUBSTITUTE(SUBSTITUTE(Registro!$H312,";",CHAR(10)),CHAR(10),REPT(" ",LEN(Registro!$H312))),({1,2,3,4,5,6,7,8,9,10,11,12,13,14,15,16,17,18,19,20,21,22,23,24,25,26,27,28,29,30}-1)*LEN(Registro!$H312)+1,LEN(Registro!$H312)))," ",REPT(" ",50)),50)))),"Revisar formato"))</f>
        <v/>
      </c>
      <c r="J312" s="24" t="str">
        <f>IF(Registro!$I312="","",IFERROR(SUMPRODUCT(--("0"&amp;TRIM(RIGHT(SUBSTITUTE(TRIM(MID(SUBSTITUTE(SUBSTITUTE(Registro!$I312,";",CHAR(10)),CHAR(10),REPT(" ",LEN(Registro!$I312))),({1,2,3,4,5,6,7,8,9,10,11,12,13,14,15,16,17,18,19,20,21,22,23,24,25,26,27,28,29,30}-1)*LEN(Registro!$I312)+1,LEN(Registro!$I312)))," ",REPT(" ",50)),50)))),"Revisar formato"))</f>
        <v/>
      </c>
      <c r="K312" s="24" t="str">
        <f>IF(AND(Registro!$G312="",Registro!$H312=""),"",IF(AND(ISTEXT(I312),I312&lt;&gt;""),"Revisar formato",N(Registro!$G312)-N(I312)))</f>
        <v/>
      </c>
      <c r="L312" s="24" t="str">
        <f t="shared" si="9"/>
        <v/>
      </c>
      <c r="M312" s="36" t="str">
        <f>IF(AND(A312=Consulta!$B$3,C312=Consulta!$H$3),B312*10000+ROW(),"")</f>
        <v/>
      </c>
    </row>
    <row r="313" spans="1:13" x14ac:dyDescent="0.25">
      <c r="A313" s="21" t="str">
        <f>IF(Registro!$A313="","",Registro!$A313)</f>
        <v/>
      </c>
      <c r="B313" s="20" t="str">
        <f>IF(Registro!$B313="","",Registro!$B313)</f>
        <v/>
      </c>
      <c r="C313" s="35" t="str">
        <f t="shared" si="8"/>
        <v/>
      </c>
      <c r="D313" s="23" t="str">
        <f>IF(Registro!$E313="","",IF(ISERROR(FIND("x",LOWER(Registro!$E313))),"-",IFERROR(SUMPRODUCT(--("0"&amp;LEFT(TRIM(MID(SUBSTITUTE(SUBSTITUTE(SUBSTITUTE(SUBSTITUTE(SUBSTITUTE(LOWER(Registro!$E313),"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",LEN(Registro!$E313))),({1,2,3,4,5,6,7,8,9,10,11,12,13,14,15,16,17,18,19,20,21,22,23,24,25,26,27,28,29,30}-1)*LEN(Registro!$E313)+1,LEN(Registro!$E313))),FIND("x",TRIM(MID(SUBSTITUTE(SUBSTITUTE(SUBSTITUTE(SUBSTITUTE(SUBSTITUTE(LOWER(Registro!$E313),"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",LEN(Registro!$E313))),({1,2,3,4,5,6,7,8,9,10,11,12,13,14,15,16,17,18,19,20,21,22,23,24,25,26,27,28,29,30}-1)*LEN(Registro!$E313)+1,LEN(Registro!$E313)))&amp;"x")-1))),"Revisar formato")))</f>
        <v/>
      </c>
      <c r="E313" s="24" t="str">
        <f>IF(Registro!$E313="","",IF(ISERROR(FIND("x",LOWER(Registro!$E313))),"-",IFERROR(SUMPRODUCT(--("0"&amp;LEFT(TRIM(MID(SUBSTITUTE(SUBSTITUTE(SUBSTITUTE(SUBSTITUTE(SUBSTITUTE(LOWER(Registro!$E313),"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",LEN(Registro!$E313))),({1,2,3,4,5,6,7,8,9,10,11,12,13,14,15,16,17,18,19,20,21,22,23,24,25,26,27,28,29,30}-1)*LEN(Registro!$E313)+1,LEN(Registro!$E313))),FIND("x",TRIM(MID(SUBSTITUTE(SUBSTITUTE(SUBSTITUTE(SUBSTITUTE(SUBSTITUTE(LOWER(Registro!$E313),"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",LEN(Registro!$E313))),({1,2,3,4,5,6,7,8,9,10,11,12,13,14,15,16,17,18,19,20,21,22,23,24,25,26,27,28,29,30}-1)*LEN(Registro!$E313)+1,LEN(Registro!$E313)))&amp;"x")-1)),--("0"&amp;MID(TRIM(MID(SUBSTITUTE(SUBSTITUTE(SUBSTITUTE(SUBSTITUTE(SUBSTITUTE(LOWER(Registro!$E313),"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",LEN(Registro!$E313))),({1,2,3,4,5,6,7,8,9,10,11,12,13,14,15,16,17,18,19,20,21,22,23,24,25,26,27,28,29,30}-1)*LEN(Registro!$E313)+1,LEN(Registro!$E313))),FIND("x",TRIM(MID(SUBSTITUTE(SUBSTITUTE(SUBSTITUTE(SUBSTITUTE(SUBSTITUTE(LOWER(Registro!$E313),"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",LEN(Registro!$E313))),({1,2,3,4,5,6,7,8,9,10,11,12,13,14,15,16,17,18,19,20,21,22,23,24,25,26,27,28,29,30}-1)*LEN(Registro!$E313)+1,LEN(Registro!$E313)))&amp;"x")+1,20))),"Revisar formato")))</f>
        <v/>
      </c>
      <c r="F313" s="23" t="str">
        <f>IF(Registro!$F313="","",IF(ISERROR(FIND("x",LOWER(Registro!$F313))),"-",IFERROR(SUMPRODUCT(--("0"&amp;LEFT(TRIM(MID(SUBSTITUTE(SUBSTITUTE(SUBSTITUTE(SUBSTITUTE(SUBSTITUTE(LOWER(Registro!$F313)," ",""),CHAR(10),"|"),";","|"),"+","|"),"|",REPT(" ",LEN(Registro!$F313))),({1,2,3,4,5,6,7,8,9,10,11,12,13,14,15,16,17,18,19,20,21,22,23,24,25,26,27,28,29,30}-1)*LEN(Registro!$F313)+1,LEN(Registro!$F313))),FIND("x",TRIM(MID(SUBSTITUTE(SUBSTITUTE(SUBSTITUTE(SUBSTITUTE(SUBSTITUTE(LOWER(Registro!$F313)," ",""),CHAR(10),"|"),";","|"),"+","|"),"|",REPT(" ",LEN(Registro!$F313))),({1,2,3,4,5,6,7,8,9,10,11,12,13,14,15,16,17,18,19,20,21,22,23,24,25,26,27,28,29,30}-1)*LEN(Registro!$F313)+1,LEN(Registro!$F313)))&amp;"x")-1))),"Revisar formato")))</f>
        <v/>
      </c>
      <c r="G313" s="24" t="str">
        <f>IF(Registro!$F313="","",IF(ISERROR(FIND("x",LOWER(Registro!$F313))),N(Registro!$G313),IFERROR(SUMPRODUCT(--("0"&amp;LEFT(TRIM(MID(SUBSTITUTE(SUBSTITUTE(SUBSTITUTE(SUBSTITUTE(SUBSTITUTE(LOWER(Registro!$F313)," ",""),CHAR(10),"|"),";","|"),"+","|"),"|",REPT(" ",LEN(Registro!$F313))),({1,2,3,4,5,6,7,8,9,10,11,12,13,14,15,16,17,18,19,20,21,22,23,24,25,26,27,28,29,30}-1)*LEN(Registro!$F313)+1,LEN(Registro!$F313))),FIND("x",TRIM(MID(SUBSTITUTE(SUBSTITUTE(SUBSTITUTE(SUBSTITUTE(SUBSTITUTE(LOWER(Registro!$F313)," ",""),CHAR(10),"|"),";","|"),"+","|"),"|",REPT(" ",LEN(Registro!$F313))),({1,2,3,4,5,6,7,8,9,10,11,12,13,14,15,16,17,18,19,20,21,22,23,24,25,26,27,28,29,30}-1)*LEN(Registro!$F313)+1,LEN(Registro!$F313)))&amp;"x")-1)),--("0"&amp;MID(TRIM(MID(SUBSTITUTE(SUBSTITUTE(SUBSTITUTE(SUBSTITUTE(SUBSTITUTE(LOWER(Registro!$F313)," ",""),CHAR(10),"|"),";","|"),"+","|"),"|",REPT(" ",LEN(Registro!$F313))),({1,2,3,4,5,6,7,8,9,10,11,12,13,14,15,16,17,18,19,20,21,22,23,24,25,26,27,28,29,30}-1)*LEN(Registro!$F313)+1,LEN(Registro!$F313))),FIND("x",TRIM(MID(SUBSTITUTE(SUBSTITUTE(SUBSTITUTE(SUBSTITUTE(SUBSTITUTE(LOWER(Registro!$F313)," ",""),CHAR(10),"|"),";","|"),"+","|"),"|",REPT(" ",LEN(Registro!$F313))),({1,2,3,4,5,6,7,8,9,10,11,12,13,14,15,16,17,18,19,20,21,22,23,24,25,26,27,28,29,30}-1)*LEN(Registro!$F313)+1,LEN(Registro!$F313)))&amp;"x")+1,20))),"Revisar formato")))</f>
        <v/>
      </c>
      <c r="H313" s="21" t="str">
        <f>IF(AND(Registro!$E313="",Registro!$F313=""),"",IF(NOT(AND(ISNUMBER(G313),ISNUMBER(Registro!$G313))),"",IF(G313&lt;Registro!$G313,"FALTA BOLETOS",IF(G313=Registro!$G313,"CONFORME","DIFERENCIA"))))</f>
        <v/>
      </c>
      <c r="I313" s="24" t="str">
        <f>IF(Registro!$H313="","",IFERROR(SUMPRODUCT(--("0"&amp;TRIM(RIGHT(SUBSTITUTE(TRIM(MID(SUBSTITUTE(SUBSTITUTE(Registro!$H313,";",CHAR(10)),CHAR(10),REPT(" ",LEN(Registro!$H313))),({1,2,3,4,5,6,7,8,9,10,11,12,13,14,15,16,17,18,19,20,21,22,23,24,25,26,27,28,29,30}-1)*LEN(Registro!$H313)+1,LEN(Registro!$H313)))," ",REPT(" ",50)),50)))),"Revisar formato"))</f>
        <v/>
      </c>
      <c r="J313" s="24" t="str">
        <f>IF(Registro!$I313="","",IFERROR(SUMPRODUCT(--("0"&amp;TRIM(RIGHT(SUBSTITUTE(TRIM(MID(SUBSTITUTE(SUBSTITUTE(Registro!$I313,";",CHAR(10)),CHAR(10),REPT(" ",LEN(Registro!$I313))),({1,2,3,4,5,6,7,8,9,10,11,12,13,14,15,16,17,18,19,20,21,22,23,24,25,26,27,28,29,30}-1)*LEN(Registro!$I313)+1,LEN(Registro!$I313)))," ",REPT(" ",50)),50)))),"Revisar formato"))</f>
        <v/>
      </c>
      <c r="K313" s="24" t="str">
        <f>IF(AND(Registro!$G313="",Registro!$H313=""),"",IF(AND(ISTEXT(I313),I313&lt;&gt;""),"Revisar formato",N(Registro!$G313)-N(I313)))</f>
        <v/>
      </c>
      <c r="L313" s="24" t="str">
        <f t="shared" si="9"/>
        <v/>
      </c>
      <c r="M313" s="36" t="str">
        <f>IF(AND(A313=Consulta!$B$3,C313=Consulta!$H$3),B313*10000+ROW(),"")</f>
        <v/>
      </c>
    </row>
    <row r="314" spans="1:13" x14ac:dyDescent="0.25">
      <c r="A314" s="21" t="str">
        <f>IF(Registro!$A314="","",Registro!$A314)</f>
        <v/>
      </c>
      <c r="B314" s="20" t="str">
        <f>IF(Registro!$B314="","",Registro!$B314)</f>
        <v/>
      </c>
      <c r="C314" s="35" t="str">
        <f t="shared" si="8"/>
        <v/>
      </c>
      <c r="D314" s="23" t="str">
        <f>IF(Registro!$E314="","",IF(ISERROR(FIND("x",LOWER(Registro!$E314))),"-",IFERROR(SUMPRODUCT(--("0"&amp;LEFT(TRIM(MID(SUBSTITUTE(SUBSTITUTE(SUBSTITUTE(SUBSTITUTE(SUBSTITUTE(LOWER(Registro!$E314),"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",LEN(Registro!$E314))),({1,2,3,4,5,6,7,8,9,10,11,12,13,14,15,16,17,18,19,20,21,22,23,24,25,26,27,28,29,30}-1)*LEN(Registro!$E314)+1,LEN(Registro!$E314))),FIND("x",TRIM(MID(SUBSTITUTE(SUBSTITUTE(SUBSTITUTE(SUBSTITUTE(SUBSTITUTE(LOWER(Registro!$E314),"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",LEN(Registro!$E314))),({1,2,3,4,5,6,7,8,9,10,11,12,13,14,15,16,17,18,19,20,21,22,23,24,25,26,27,28,29,30}-1)*LEN(Registro!$E314)+1,LEN(Registro!$E314)))&amp;"x")-1))),"Revisar formato")))</f>
        <v/>
      </c>
      <c r="E314" s="24" t="str">
        <f>IF(Registro!$E314="","",IF(ISERROR(FIND("x",LOWER(Registro!$E314))),"-",IFERROR(SUMPRODUCT(--("0"&amp;LEFT(TRIM(MID(SUBSTITUTE(SUBSTITUTE(SUBSTITUTE(SUBSTITUTE(SUBSTITUTE(LOWER(Registro!$E314),"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",LEN(Registro!$E314))),({1,2,3,4,5,6,7,8,9,10,11,12,13,14,15,16,17,18,19,20,21,22,23,24,25,26,27,28,29,30}-1)*LEN(Registro!$E314)+1,LEN(Registro!$E314))),FIND("x",TRIM(MID(SUBSTITUTE(SUBSTITUTE(SUBSTITUTE(SUBSTITUTE(SUBSTITUTE(LOWER(Registro!$E314),"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",LEN(Registro!$E314))),({1,2,3,4,5,6,7,8,9,10,11,12,13,14,15,16,17,18,19,20,21,22,23,24,25,26,27,28,29,30}-1)*LEN(Registro!$E314)+1,LEN(Registro!$E314)))&amp;"x")-1)),--("0"&amp;MID(TRIM(MID(SUBSTITUTE(SUBSTITUTE(SUBSTITUTE(SUBSTITUTE(SUBSTITUTE(LOWER(Registro!$E314),"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",LEN(Registro!$E314))),({1,2,3,4,5,6,7,8,9,10,11,12,13,14,15,16,17,18,19,20,21,22,23,24,25,26,27,28,29,30}-1)*LEN(Registro!$E314)+1,LEN(Registro!$E314))),FIND("x",TRIM(MID(SUBSTITUTE(SUBSTITUTE(SUBSTITUTE(SUBSTITUTE(SUBSTITUTE(LOWER(Registro!$E314),"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",LEN(Registro!$E314))),({1,2,3,4,5,6,7,8,9,10,11,12,13,14,15,16,17,18,19,20,21,22,23,24,25,26,27,28,29,30}-1)*LEN(Registro!$E314)+1,LEN(Registro!$E314)))&amp;"x")+1,20))),"Revisar formato")))</f>
        <v/>
      </c>
      <c r="F314" s="23" t="str">
        <f>IF(Registro!$F314="","",IF(ISERROR(FIND("x",LOWER(Registro!$F314))),"-",IFERROR(SUMPRODUCT(--("0"&amp;LEFT(TRIM(MID(SUBSTITUTE(SUBSTITUTE(SUBSTITUTE(SUBSTITUTE(SUBSTITUTE(LOWER(Registro!$F314)," ",""),CHAR(10),"|"),";","|"),"+","|"),"|",REPT(" ",LEN(Registro!$F314))),({1,2,3,4,5,6,7,8,9,10,11,12,13,14,15,16,17,18,19,20,21,22,23,24,25,26,27,28,29,30}-1)*LEN(Registro!$F314)+1,LEN(Registro!$F314))),FIND("x",TRIM(MID(SUBSTITUTE(SUBSTITUTE(SUBSTITUTE(SUBSTITUTE(SUBSTITUTE(LOWER(Registro!$F314)," ",""),CHAR(10),"|"),";","|"),"+","|"),"|",REPT(" ",LEN(Registro!$F314))),({1,2,3,4,5,6,7,8,9,10,11,12,13,14,15,16,17,18,19,20,21,22,23,24,25,26,27,28,29,30}-1)*LEN(Registro!$F314)+1,LEN(Registro!$F314)))&amp;"x")-1))),"Revisar formato")))</f>
        <v/>
      </c>
      <c r="G314" s="24" t="str">
        <f>IF(Registro!$F314="","",IF(ISERROR(FIND("x",LOWER(Registro!$F314))),N(Registro!$G314),IFERROR(SUMPRODUCT(--("0"&amp;LEFT(TRIM(MID(SUBSTITUTE(SUBSTITUTE(SUBSTITUTE(SUBSTITUTE(SUBSTITUTE(LOWER(Registro!$F314)," ",""),CHAR(10),"|"),";","|"),"+","|"),"|",REPT(" ",LEN(Registro!$F314))),({1,2,3,4,5,6,7,8,9,10,11,12,13,14,15,16,17,18,19,20,21,22,23,24,25,26,27,28,29,30}-1)*LEN(Registro!$F314)+1,LEN(Registro!$F314))),FIND("x",TRIM(MID(SUBSTITUTE(SUBSTITUTE(SUBSTITUTE(SUBSTITUTE(SUBSTITUTE(LOWER(Registro!$F314)," ",""),CHAR(10),"|"),";","|"),"+","|"),"|",REPT(" ",LEN(Registro!$F314))),({1,2,3,4,5,6,7,8,9,10,11,12,13,14,15,16,17,18,19,20,21,22,23,24,25,26,27,28,29,30}-1)*LEN(Registro!$F314)+1,LEN(Registro!$F314)))&amp;"x")-1)),--("0"&amp;MID(TRIM(MID(SUBSTITUTE(SUBSTITUTE(SUBSTITUTE(SUBSTITUTE(SUBSTITUTE(LOWER(Registro!$F314)," ",""),CHAR(10),"|"),";","|"),"+","|"),"|",REPT(" ",LEN(Registro!$F314))),({1,2,3,4,5,6,7,8,9,10,11,12,13,14,15,16,17,18,19,20,21,22,23,24,25,26,27,28,29,30}-1)*LEN(Registro!$F314)+1,LEN(Registro!$F314))),FIND("x",TRIM(MID(SUBSTITUTE(SUBSTITUTE(SUBSTITUTE(SUBSTITUTE(SUBSTITUTE(LOWER(Registro!$F314)," ",""),CHAR(10),"|"),";","|"),"+","|"),"|",REPT(" ",LEN(Registro!$F314))),({1,2,3,4,5,6,7,8,9,10,11,12,13,14,15,16,17,18,19,20,21,22,23,24,25,26,27,28,29,30}-1)*LEN(Registro!$F314)+1,LEN(Registro!$F314)))&amp;"x")+1,20))),"Revisar formato")))</f>
        <v/>
      </c>
      <c r="H314" s="21" t="str">
        <f>IF(AND(Registro!$E314="",Registro!$F314=""),"",IF(NOT(AND(ISNUMBER(G314),ISNUMBER(Registro!$G314))),"",IF(G314&lt;Registro!$G314,"FALTA BOLETOS",IF(G314=Registro!$G314,"CONFORME","DIFERENCIA"))))</f>
        <v/>
      </c>
      <c r="I314" s="24" t="str">
        <f>IF(Registro!$H314="","",IFERROR(SUMPRODUCT(--("0"&amp;TRIM(RIGHT(SUBSTITUTE(TRIM(MID(SUBSTITUTE(SUBSTITUTE(Registro!$H314,";",CHAR(10)),CHAR(10),REPT(" ",LEN(Registro!$H314))),({1,2,3,4,5,6,7,8,9,10,11,12,13,14,15,16,17,18,19,20,21,22,23,24,25,26,27,28,29,30}-1)*LEN(Registro!$H314)+1,LEN(Registro!$H314)))," ",REPT(" ",50)),50)))),"Revisar formato"))</f>
        <v/>
      </c>
      <c r="J314" s="24" t="str">
        <f>IF(Registro!$I314="","",IFERROR(SUMPRODUCT(--("0"&amp;TRIM(RIGHT(SUBSTITUTE(TRIM(MID(SUBSTITUTE(SUBSTITUTE(Registro!$I314,";",CHAR(10)),CHAR(10),REPT(" ",LEN(Registro!$I314))),({1,2,3,4,5,6,7,8,9,10,11,12,13,14,15,16,17,18,19,20,21,22,23,24,25,26,27,28,29,30}-1)*LEN(Registro!$I314)+1,LEN(Registro!$I314)))," ",REPT(" ",50)),50)))),"Revisar formato"))</f>
        <v/>
      </c>
      <c r="K314" s="24" t="str">
        <f>IF(AND(Registro!$G314="",Registro!$H314=""),"",IF(AND(ISTEXT(I314),I314&lt;&gt;""),"Revisar formato",N(Registro!$G314)-N(I314)))</f>
        <v/>
      </c>
      <c r="L314" s="24" t="str">
        <f t="shared" si="9"/>
        <v/>
      </c>
      <c r="M314" s="36" t="str">
        <f>IF(AND(A314=Consulta!$B$3,C314=Consulta!$H$3),B314*10000+ROW(),"")</f>
        <v/>
      </c>
    </row>
    <row r="315" spans="1:13" x14ac:dyDescent="0.25">
      <c r="A315" s="21" t="str">
        <f>IF(Registro!$A315="","",Registro!$A315)</f>
        <v/>
      </c>
      <c r="B315" s="20" t="str">
        <f>IF(Registro!$B315="","",Registro!$B315)</f>
        <v/>
      </c>
      <c r="C315" s="35" t="str">
        <f t="shared" si="8"/>
        <v/>
      </c>
      <c r="D315" s="23" t="str">
        <f>IF(Registro!$E315="","",IF(ISERROR(FIND("x",LOWER(Registro!$E315))),"-",IFERROR(SUMPRODUCT(--("0"&amp;LEFT(TRIM(MID(SUBSTITUTE(SUBSTITUTE(SUBSTITUTE(SUBSTITUTE(SUBSTITUTE(LOWER(Registro!$E315),"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",LEN(Registro!$E315))),({1,2,3,4,5,6,7,8,9,10,11,12,13,14,15,16,17,18,19,20,21,22,23,24,25,26,27,28,29,30}-1)*LEN(Registro!$E315)+1,LEN(Registro!$E315))),FIND("x",TRIM(MID(SUBSTITUTE(SUBSTITUTE(SUBSTITUTE(SUBSTITUTE(SUBSTITUTE(LOWER(Registro!$E315),"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",LEN(Registro!$E315))),({1,2,3,4,5,6,7,8,9,10,11,12,13,14,15,16,17,18,19,20,21,22,23,24,25,26,27,28,29,30}-1)*LEN(Registro!$E315)+1,LEN(Registro!$E315)))&amp;"x")-1))),"Revisar formato")))</f>
        <v/>
      </c>
      <c r="E315" s="24" t="str">
        <f>IF(Registro!$E315="","",IF(ISERROR(FIND("x",LOWER(Registro!$E315))),"-",IFERROR(SUMPRODUCT(--("0"&amp;LEFT(TRIM(MID(SUBSTITUTE(SUBSTITUTE(SUBSTITUTE(SUBSTITUTE(SUBSTITUTE(LOWER(Registro!$E315),"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",LEN(Registro!$E315))),({1,2,3,4,5,6,7,8,9,10,11,12,13,14,15,16,17,18,19,20,21,22,23,24,25,26,27,28,29,30}-1)*LEN(Registro!$E315)+1,LEN(Registro!$E315))),FIND("x",TRIM(MID(SUBSTITUTE(SUBSTITUTE(SUBSTITUTE(SUBSTITUTE(SUBSTITUTE(LOWER(Registro!$E315),"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",LEN(Registro!$E315))),({1,2,3,4,5,6,7,8,9,10,11,12,13,14,15,16,17,18,19,20,21,22,23,24,25,26,27,28,29,30}-1)*LEN(Registro!$E315)+1,LEN(Registro!$E315)))&amp;"x")-1)),--("0"&amp;MID(TRIM(MID(SUBSTITUTE(SUBSTITUTE(SUBSTITUTE(SUBSTITUTE(SUBSTITUTE(LOWER(Registro!$E315),"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",LEN(Registro!$E315))),({1,2,3,4,5,6,7,8,9,10,11,12,13,14,15,16,17,18,19,20,21,22,23,24,25,26,27,28,29,30}-1)*LEN(Registro!$E315)+1,LEN(Registro!$E315))),FIND("x",TRIM(MID(SUBSTITUTE(SUBSTITUTE(SUBSTITUTE(SUBSTITUTE(SUBSTITUTE(LOWER(Registro!$E315),"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",LEN(Registro!$E315))),({1,2,3,4,5,6,7,8,9,10,11,12,13,14,15,16,17,18,19,20,21,22,23,24,25,26,27,28,29,30}-1)*LEN(Registro!$E315)+1,LEN(Registro!$E315)))&amp;"x")+1,20))),"Revisar formato")))</f>
        <v/>
      </c>
      <c r="F315" s="23" t="str">
        <f>IF(Registro!$F315="","",IF(ISERROR(FIND("x",LOWER(Registro!$F315))),"-",IFERROR(SUMPRODUCT(--("0"&amp;LEFT(TRIM(MID(SUBSTITUTE(SUBSTITUTE(SUBSTITUTE(SUBSTITUTE(SUBSTITUTE(LOWER(Registro!$F315)," ",""),CHAR(10),"|"),";","|"),"+","|"),"|",REPT(" ",LEN(Registro!$F315))),({1,2,3,4,5,6,7,8,9,10,11,12,13,14,15,16,17,18,19,20,21,22,23,24,25,26,27,28,29,30}-1)*LEN(Registro!$F315)+1,LEN(Registro!$F315))),FIND("x",TRIM(MID(SUBSTITUTE(SUBSTITUTE(SUBSTITUTE(SUBSTITUTE(SUBSTITUTE(LOWER(Registro!$F315)," ",""),CHAR(10),"|"),";","|"),"+","|"),"|",REPT(" ",LEN(Registro!$F315))),({1,2,3,4,5,6,7,8,9,10,11,12,13,14,15,16,17,18,19,20,21,22,23,24,25,26,27,28,29,30}-1)*LEN(Registro!$F315)+1,LEN(Registro!$F315)))&amp;"x")-1))),"Revisar formato")))</f>
        <v/>
      </c>
      <c r="G315" s="24" t="str">
        <f>IF(Registro!$F315="","",IF(ISERROR(FIND("x",LOWER(Registro!$F315))),N(Registro!$G315),IFERROR(SUMPRODUCT(--("0"&amp;LEFT(TRIM(MID(SUBSTITUTE(SUBSTITUTE(SUBSTITUTE(SUBSTITUTE(SUBSTITUTE(LOWER(Registro!$F315)," ",""),CHAR(10),"|"),";","|"),"+","|"),"|",REPT(" ",LEN(Registro!$F315))),({1,2,3,4,5,6,7,8,9,10,11,12,13,14,15,16,17,18,19,20,21,22,23,24,25,26,27,28,29,30}-1)*LEN(Registro!$F315)+1,LEN(Registro!$F315))),FIND("x",TRIM(MID(SUBSTITUTE(SUBSTITUTE(SUBSTITUTE(SUBSTITUTE(SUBSTITUTE(LOWER(Registro!$F315)," ",""),CHAR(10),"|"),";","|"),"+","|"),"|",REPT(" ",LEN(Registro!$F315))),({1,2,3,4,5,6,7,8,9,10,11,12,13,14,15,16,17,18,19,20,21,22,23,24,25,26,27,28,29,30}-1)*LEN(Registro!$F315)+1,LEN(Registro!$F315)))&amp;"x")-1)),--("0"&amp;MID(TRIM(MID(SUBSTITUTE(SUBSTITUTE(SUBSTITUTE(SUBSTITUTE(SUBSTITUTE(LOWER(Registro!$F315)," ",""),CHAR(10),"|"),";","|"),"+","|"),"|",REPT(" ",LEN(Registro!$F315))),({1,2,3,4,5,6,7,8,9,10,11,12,13,14,15,16,17,18,19,20,21,22,23,24,25,26,27,28,29,30}-1)*LEN(Registro!$F315)+1,LEN(Registro!$F315))),FIND("x",TRIM(MID(SUBSTITUTE(SUBSTITUTE(SUBSTITUTE(SUBSTITUTE(SUBSTITUTE(LOWER(Registro!$F315)," ",""),CHAR(10),"|"),";","|"),"+","|"),"|",REPT(" ",LEN(Registro!$F315))),({1,2,3,4,5,6,7,8,9,10,11,12,13,14,15,16,17,18,19,20,21,22,23,24,25,26,27,28,29,30}-1)*LEN(Registro!$F315)+1,LEN(Registro!$F315)))&amp;"x")+1,20))),"Revisar formato")))</f>
        <v/>
      </c>
      <c r="H315" s="21" t="str">
        <f>IF(AND(Registro!$E315="",Registro!$F315=""),"",IF(NOT(AND(ISNUMBER(G315),ISNUMBER(Registro!$G315))),"",IF(G315&lt;Registro!$G315,"FALTA BOLETOS",IF(G315=Registro!$G315,"CONFORME","DIFERENCIA"))))</f>
        <v/>
      </c>
      <c r="I315" s="24" t="str">
        <f>IF(Registro!$H315="","",IFERROR(SUMPRODUCT(--("0"&amp;TRIM(RIGHT(SUBSTITUTE(TRIM(MID(SUBSTITUTE(SUBSTITUTE(Registro!$H315,";",CHAR(10)),CHAR(10),REPT(" ",LEN(Registro!$H315))),({1,2,3,4,5,6,7,8,9,10,11,12,13,14,15,16,17,18,19,20,21,22,23,24,25,26,27,28,29,30}-1)*LEN(Registro!$H315)+1,LEN(Registro!$H315)))," ",REPT(" ",50)),50)))),"Revisar formato"))</f>
        <v/>
      </c>
      <c r="J315" s="24" t="str">
        <f>IF(Registro!$I315="","",IFERROR(SUMPRODUCT(--("0"&amp;TRIM(RIGHT(SUBSTITUTE(TRIM(MID(SUBSTITUTE(SUBSTITUTE(Registro!$I315,";",CHAR(10)),CHAR(10),REPT(" ",LEN(Registro!$I315))),({1,2,3,4,5,6,7,8,9,10,11,12,13,14,15,16,17,18,19,20,21,22,23,24,25,26,27,28,29,30}-1)*LEN(Registro!$I315)+1,LEN(Registro!$I315)))," ",REPT(" ",50)),50)))),"Revisar formato"))</f>
        <v/>
      </c>
      <c r="K315" s="24" t="str">
        <f>IF(AND(Registro!$G315="",Registro!$H315=""),"",IF(AND(ISTEXT(I315),I315&lt;&gt;""),"Revisar formato",N(Registro!$G315)-N(I315)))</f>
        <v/>
      </c>
      <c r="L315" s="24" t="str">
        <f t="shared" si="9"/>
        <v/>
      </c>
      <c r="M315" s="36" t="str">
        <f>IF(AND(A315=Consulta!$B$3,C315=Consulta!$H$3),B315*10000+ROW(),"")</f>
        <v/>
      </c>
    </row>
    <row r="316" spans="1:13" x14ac:dyDescent="0.25">
      <c r="A316" s="21" t="str">
        <f>IF(Registro!$A316="","",Registro!$A316)</f>
        <v/>
      </c>
      <c r="B316" s="20" t="str">
        <f>IF(Registro!$B316="","",Registro!$B316)</f>
        <v/>
      </c>
      <c r="C316" s="35" t="str">
        <f t="shared" si="8"/>
        <v/>
      </c>
      <c r="D316" s="23" t="str">
        <f>IF(Registro!$E316="","",IF(ISERROR(FIND("x",LOWER(Registro!$E316))),"-",IFERROR(SUMPRODUCT(--("0"&amp;LEFT(TRIM(MID(SUBSTITUTE(SUBSTITUTE(SUBSTITUTE(SUBSTITUTE(SUBSTITUTE(LOWER(Registro!$E316),"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",LEN(Registro!$E316))),({1,2,3,4,5,6,7,8,9,10,11,12,13,14,15,16,17,18,19,20,21,22,23,24,25,26,27,28,29,30}-1)*LEN(Registro!$E316)+1,LEN(Registro!$E316))),FIND("x",TRIM(MID(SUBSTITUTE(SUBSTITUTE(SUBSTITUTE(SUBSTITUTE(SUBSTITUTE(LOWER(Registro!$E316),"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",LEN(Registro!$E316))),({1,2,3,4,5,6,7,8,9,10,11,12,13,14,15,16,17,18,19,20,21,22,23,24,25,26,27,28,29,30}-1)*LEN(Registro!$E316)+1,LEN(Registro!$E316)))&amp;"x")-1))),"Revisar formato")))</f>
        <v/>
      </c>
      <c r="E316" s="24" t="str">
        <f>IF(Registro!$E316="","",IF(ISERROR(FIND("x",LOWER(Registro!$E316))),"-",IFERROR(SUMPRODUCT(--("0"&amp;LEFT(TRIM(MID(SUBSTITUTE(SUBSTITUTE(SUBSTITUTE(SUBSTITUTE(SUBSTITUTE(LOWER(Registro!$E316),"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",LEN(Registro!$E316))),({1,2,3,4,5,6,7,8,9,10,11,12,13,14,15,16,17,18,19,20,21,22,23,24,25,26,27,28,29,30}-1)*LEN(Registro!$E316)+1,LEN(Registro!$E316))),FIND("x",TRIM(MID(SUBSTITUTE(SUBSTITUTE(SUBSTITUTE(SUBSTITUTE(SUBSTITUTE(LOWER(Registro!$E316),"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",LEN(Registro!$E316))),({1,2,3,4,5,6,7,8,9,10,11,12,13,14,15,16,17,18,19,20,21,22,23,24,25,26,27,28,29,30}-1)*LEN(Registro!$E316)+1,LEN(Registro!$E316)))&amp;"x")-1)),--("0"&amp;MID(TRIM(MID(SUBSTITUTE(SUBSTITUTE(SUBSTITUTE(SUBSTITUTE(SUBSTITUTE(LOWER(Registro!$E316),"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",LEN(Registro!$E316))),({1,2,3,4,5,6,7,8,9,10,11,12,13,14,15,16,17,18,19,20,21,22,23,24,25,26,27,28,29,30}-1)*LEN(Registro!$E316)+1,LEN(Registro!$E316))),FIND("x",TRIM(MID(SUBSTITUTE(SUBSTITUTE(SUBSTITUTE(SUBSTITUTE(SUBSTITUTE(LOWER(Registro!$E316),"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",LEN(Registro!$E316))),({1,2,3,4,5,6,7,8,9,10,11,12,13,14,15,16,17,18,19,20,21,22,23,24,25,26,27,28,29,30}-1)*LEN(Registro!$E316)+1,LEN(Registro!$E316)))&amp;"x")+1,20))),"Revisar formato")))</f>
        <v/>
      </c>
      <c r="F316" s="23" t="str">
        <f>IF(Registro!$F316="","",IF(ISERROR(FIND("x",LOWER(Registro!$F316))),"-",IFERROR(SUMPRODUCT(--("0"&amp;LEFT(TRIM(MID(SUBSTITUTE(SUBSTITUTE(SUBSTITUTE(SUBSTITUTE(SUBSTITUTE(LOWER(Registro!$F316)," ",""),CHAR(10),"|"),";","|"),"+","|"),"|",REPT(" ",LEN(Registro!$F316))),({1,2,3,4,5,6,7,8,9,10,11,12,13,14,15,16,17,18,19,20,21,22,23,24,25,26,27,28,29,30}-1)*LEN(Registro!$F316)+1,LEN(Registro!$F316))),FIND("x",TRIM(MID(SUBSTITUTE(SUBSTITUTE(SUBSTITUTE(SUBSTITUTE(SUBSTITUTE(LOWER(Registro!$F316)," ",""),CHAR(10),"|"),";","|"),"+","|"),"|",REPT(" ",LEN(Registro!$F316))),({1,2,3,4,5,6,7,8,9,10,11,12,13,14,15,16,17,18,19,20,21,22,23,24,25,26,27,28,29,30}-1)*LEN(Registro!$F316)+1,LEN(Registro!$F316)))&amp;"x")-1))),"Revisar formato")))</f>
        <v/>
      </c>
      <c r="G316" s="24" t="str">
        <f>IF(Registro!$F316="","",IF(ISERROR(FIND("x",LOWER(Registro!$F316))),N(Registro!$G316),IFERROR(SUMPRODUCT(--("0"&amp;LEFT(TRIM(MID(SUBSTITUTE(SUBSTITUTE(SUBSTITUTE(SUBSTITUTE(SUBSTITUTE(LOWER(Registro!$F316)," ",""),CHAR(10),"|"),";","|"),"+","|"),"|",REPT(" ",LEN(Registro!$F316))),({1,2,3,4,5,6,7,8,9,10,11,12,13,14,15,16,17,18,19,20,21,22,23,24,25,26,27,28,29,30}-1)*LEN(Registro!$F316)+1,LEN(Registro!$F316))),FIND("x",TRIM(MID(SUBSTITUTE(SUBSTITUTE(SUBSTITUTE(SUBSTITUTE(SUBSTITUTE(LOWER(Registro!$F316)," ",""),CHAR(10),"|"),";","|"),"+","|"),"|",REPT(" ",LEN(Registro!$F316))),({1,2,3,4,5,6,7,8,9,10,11,12,13,14,15,16,17,18,19,20,21,22,23,24,25,26,27,28,29,30}-1)*LEN(Registro!$F316)+1,LEN(Registro!$F316)))&amp;"x")-1)),--("0"&amp;MID(TRIM(MID(SUBSTITUTE(SUBSTITUTE(SUBSTITUTE(SUBSTITUTE(SUBSTITUTE(LOWER(Registro!$F316)," ",""),CHAR(10),"|"),";","|"),"+","|"),"|",REPT(" ",LEN(Registro!$F316))),({1,2,3,4,5,6,7,8,9,10,11,12,13,14,15,16,17,18,19,20,21,22,23,24,25,26,27,28,29,30}-1)*LEN(Registro!$F316)+1,LEN(Registro!$F316))),FIND("x",TRIM(MID(SUBSTITUTE(SUBSTITUTE(SUBSTITUTE(SUBSTITUTE(SUBSTITUTE(LOWER(Registro!$F316)," ",""),CHAR(10),"|"),";","|"),"+","|"),"|",REPT(" ",LEN(Registro!$F316))),({1,2,3,4,5,6,7,8,9,10,11,12,13,14,15,16,17,18,19,20,21,22,23,24,25,26,27,28,29,30}-1)*LEN(Registro!$F316)+1,LEN(Registro!$F316)))&amp;"x")+1,20))),"Revisar formato")))</f>
        <v/>
      </c>
      <c r="H316" s="21" t="str">
        <f>IF(AND(Registro!$E316="",Registro!$F316=""),"",IF(NOT(AND(ISNUMBER(G316),ISNUMBER(Registro!$G316))),"",IF(G316&lt;Registro!$G316,"FALTA BOLETOS",IF(G316=Registro!$G316,"CONFORME","DIFERENCIA"))))</f>
        <v/>
      </c>
      <c r="I316" s="24" t="str">
        <f>IF(Registro!$H316="","",IFERROR(SUMPRODUCT(--("0"&amp;TRIM(RIGHT(SUBSTITUTE(TRIM(MID(SUBSTITUTE(SUBSTITUTE(Registro!$H316,";",CHAR(10)),CHAR(10),REPT(" ",LEN(Registro!$H316))),({1,2,3,4,5,6,7,8,9,10,11,12,13,14,15,16,17,18,19,20,21,22,23,24,25,26,27,28,29,30}-1)*LEN(Registro!$H316)+1,LEN(Registro!$H316)))," ",REPT(" ",50)),50)))),"Revisar formato"))</f>
        <v/>
      </c>
      <c r="J316" s="24" t="str">
        <f>IF(Registro!$I316="","",IFERROR(SUMPRODUCT(--("0"&amp;TRIM(RIGHT(SUBSTITUTE(TRIM(MID(SUBSTITUTE(SUBSTITUTE(Registro!$I316,";",CHAR(10)),CHAR(10),REPT(" ",LEN(Registro!$I316))),({1,2,3,4,5,6,7,8,9,10,11,12,13,14,15,16,17,18,19,20,21,22,23,24,25,26,27,28,29,30}-1)*LEN(Registro!$I316)+1,LEN(Registro!$I316)))," ",REPT(" ",50)),50)))),"Revisar formato"))</f>
        <v/>
      </c>
      <c r="K316" s="24" t="str">
        <f>IF(AND(Registro!$G316="",Registro!$H316=""),"",IF(AND(ISTEXT(I316),I316&lt;&gt;""),"Revisar formato",N(Registro!$G316)-N(I316)))</f>
        <v/>
      </c>
      <c r="L316" s="24" t="str">
        <f t="shared" si="9"/>
        <v/>
      </c>
      <c r="M316" s="36" t="str">
        <f>IF(AND(A316=Consulta!$B$3,C316=Consulta!$H$3),B316*10000+ROW(),"")</f>
        <v/>
      </c>
    </row>
    <row r="317" spans="1:13" x14ac:dyDescent="0.25">
      <c r="A317" s="21" t="str">
        <f>IF(Registro!$A317="","",Registro!$A317)</f>
        <v/>
      </c>
      <c r="B317" s="20" t="str">
        <f>IF(Registro!$B317="","",Registro!$B317)</f>
        <v/>
      </c>
      <c r="C317" s="35" t="str">
        <f t="shared" si="8"/>
        <v/>
      </c>
      <c r="D317" s="23" t="str">
        <f>IF(Registro!$E317="","",IF(ISERROR(FIND("x",LOWER(Registro!$E317))),"-",IFERROR(SUMPRODUCT(--("0"&amp;LEFT(TRIM(MID(SUBSTITUTE(SUBSTITUTE(SUBSTITUTE(SUBSTITUTE(SUBSTITUTE(LOWER(Registro!$E317),"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",LEN(Registro!$E317))),({1,2,3,4,5,6,7,8,9,10,11,12,13,14,15,16,17,18,19,20,21,22,23,24,25,26,27,28,29,30}-1)*LEN(Registro!$E317)+1,LEN(Registro!$E317))),FIND("x",TRIM(MID(SUBSTITUTE(SUBSTITUTE(SUBSTITUTE(SUBSTITUTE(SUBSTITUTE(LOWER(Registro!$E317),"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",LEN(Registro!$E317))),({1,2,3,4,5,6,7,8,9,10,11,12,13,14,15,16,17,18,19,20,21,22,23,24,25,26,27,28,29,30}-1)*LEN(Registro!$E317)+1,LEN(Registro!$E317)))&amp;"x")-1))),"Revisar formato")))</f>
        <v/>
      </c>
      <c r="E317" s="24" t="str">
        <f>IF(Registro!$E317="","",IF(ISERROR(FIND("x",LOWER(Registro!$E317))),"-",IFERROR(SUMPRODUCT(--("0"&amp;LEFT(TRIM(MID(SUBSTITUTE(SUBSTITUTE(SUBSTITUTE(SUBSTITUTE(SUBSTITUTE(LOWER(Registro!$E317),"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",LEN(Registro!$E317))),({1,2,3,4,5,6,7,8,9,10,11,12,13,14,15,16,17,18,19,20,21,22,23,24,25,26,27,28,29,30}-1)*LEN(Registro!$E317)+1,LEN(Registro!$E317))),FIND("x",TRIM(MID(SUBSTITUTE(SUBSTITUTE(SUBSTITUTE(SUBSTITUTE(SUBSTITUTE(LOWER(Registro!$E317),"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",LEN(Registro!$E317))),({1,2,3,4,5,6,7,8,9,10,11,12,13,14,15,16,17,18,19,20,21,22,23,24,25,26,27,28,29,30}-1)*LEN(Registro!$E317)+1,LEN(Registro!$E317)))&amp;"x")-1)),--("0"&amp;MID(TRIM(MID(SUBSTITUTE(SUBSTITUTE(SUBSTITUTE(SUBSTITUTE(SUBSTITUTE(LOWER(Registro!$E317),"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",LEN(Registro!$E317))),({1,2,3,4,5,6,7,8,9,10,11,12,13,14,15,16,17,18,19,20,21,22,23,24,25,26,27,28,29,30}-1)*LEN(Registro!$E317)+1,LEN(Registro!$E317))),FIND("x",TRIM(MID(SUBSTITUTE(SUBSTITUTE(SUBSTITUTE(SUBSTITUTE(SUBSTITUTE(LOWER(Registro!$E317),"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",LEN(Registro!$E317))),({1,2,3,4,5,6,7,8,9,10,11,12,13,14,15,16,17,18,19,20,21,22,23,24,25,26,27,28,29,30}-1)*LEN(Registro!$E317)+1,LEN(Registro!$E317)))&amp;"x")+1,20))),"Revisar formato")))</f>
        <v/>
      </c>
      <c r="F317" s="23" t="str">
        <f>IF(Registro!$F317="","",IF(ISERROR(FIND("x",LOWER(Registro!$F317))),"-",IFERROR(SUMPRODUCT(--("0"&amp;LEFT(TRIM(MID(SUBSTITUTE(SUBSTITUTE(SUBSTITUTE(SUBSTITUTE(SUBSTITUTE(LOWER(Registro!$F317)," ",""),CHAR(10),"|"),";","|"),"+","|"),"|",REPT(" ",LEN(Registro!$F317))),({1,2,3,4,5,6,7,8,9,10,11,12,13,14,15,16,17,18,19,20,21,22,23,24,25,26,27,28,29,30}-1)*LEN(Registro!$F317)+1,LEN(Registro!$F317))),FIND("x",TRIM(MID(SUBSTITUTE(SUBSTITUTE(SUBSTITUTE(SUBSTITUTE(SUBSTITUTE(LOWER(Registro!$F317)," ",""),CHAR(10),"|"),";","|"),"+","|"),"|",REPT(" ",LEN(Registro!$F317))),({1,2,3,4,5,6,7,8,9,10,11,12,13,14,15,16,17,18,19,20,21,22,23,24,25,26,27,28,29,30}-1)*LEN(Registro!$F317)+1,LEN(Registro!$F317)))&amp;"x")-1))),"Revisar formato")))</f>
        <v/>
      </c>
      <c r="G317" s="24" t="str">
        <f>IF(Registro!$F317="","",IF(ISERROR(FIND("x",LOWER(Registro!$F317))),N(Registro!$G317),IFERROR(SUMPRODUCT(--("0"&amp;LEFT(TRIM(MID(SUBSTITUTE(SUBSTITUTE(SUBSTITUTE(SUBSTITUTE(SUBSTITUTE(LOWER(Registro!$F317)," ",""),CHAR(10),"|"),";","|"),"+","|"),"|",REPT(" ",LEN(Registro!$F317))),({1,2,3,4,5,6,7,8,9,10,11,12,13,14,15,16,17,18,19,20,21,22,23,24,25,26,27,28,29,30}-1)*LEN(Registro!$F317)+1,LEN(Registro!$F317))),FIND("x",TRIM(MID(SUBSTITUTE(SUBSTITUTE(SUBSTITUTE(SUBSTITUTE(SUBSTITUTE(LOWER(Registro!$F317)," ",""),CHAR(10),"|"),";","|"),"+","|"),"|",REPT(" ",LEN(Registro!$F317))),({1,2,3,4,5,6,7,8,9,10,11,12,13,14,15,16,17,18,19,20,21,22,23,24,25,26,27,28,29,30}-1)*LEN(Registro!$F317)+1,LEN(Registro!$F317)))&amp;"x")-1)),--("0"&amp;MID(TRIM(MID(SUBSTITUTE(SUBSTITUTE(SUBSTITUTE(SUBSTITUTE(SUBSTITUTE(LOWER(Registro!$F317)," ",""),CHAR(10),"|"),";","|"),"+","|"),"|",REPT(" ",LEN(Registro!$F317))),({1,2,3,4,5,6,7,8,9,10,11,12,13,14,15,16,17,18,19,20,21,22,23,24,25,26,27,28,29,30}-1)*LEN(Registro!$F317)+1,LEN(Registro!$F317))),FIND("x",TRIM(MID(SUBSTITUTE(SUBSTITUTE(SUBSTITUTE(SUBSTITUTE(SUBSTITUTE(LOWER(Registro!$F317)," ",""),CHAR(10),"|"),";","|"),"+","|"),"|",REPT(" ",LEN(Registro!$F317))),({1,2,3,4,5,6,7,8,9,10,11,12,13,14,15,16,17,18,19,20,21,22,23,24,25,26,27,28,29,30}-1)*LEN(Registro!$F317)+1,LEN(Registro!$F317)))&amp;"x")+1,20))),"Revisar formato")))</f>
        <v/>
      </c>
      <c r="H317" s="21" t="str">
        <f>IF(AND(Registro!$E317="",Registro!$F317=""),"",IF(NOT(AND(ISNUMBER(G317),ISNUMBER(Registro!$G317))),"",IF(G317&lt;Registro!$G317,"FALTA BOLETOS",IF(G317=Registro!$G317,"CONFORME","DIFERENCIA"))))</f>
        <v/>
      </c>
      <c r="I317" s="24" t="str">
        <f>IF(Registro!$H317="","",IFERROR(SUMPRODUCT(--("0"&amp;TRIM(RIGHT(SUBSTITUTE(TRIM(MID(SUBSTITUTE(SUBSTITUTE(Registro!$H317,";",CHAR(10)),CHAR(10),REPT(" ",LEN(Registro!$H317))),({1,2,3,4,5,6,7,8,9,10,11,12,13,14,15,16,17,18,19,20,21,22,23,24,25,26,27,28,29,30}-1)*LEN(Registro!$H317)+1,LEN(Registro!$H317)))," ",REPT(" ",50)),50)))),"Revisar formato"))</f>
        <v/>
      </c>
      <c r="J317" s="24" t="str">
        <f>IF(Registro!$I317="","",IFERROR(SUMPRODUCT(--("0"&amp;TRIM(RIGHT(SUBSTITUTE(TRIM(MID(SUBSTITUTE(SUBSTITUTE(Registro!$I317,";",CHAR(10)),CHAR(10),REPT(" ",LEN(Registro!$I317))),({1,2,3,4,5,6,7,8,9,10,11,12,13,14,15,16,17,18,19,20,21,22,23,24,25,26,27,28,29,30}-1)*LEN(Registro!$I317)+1,LEN(Registro!$I317)))," ",REPT(" ",50)),50)))),"Revisar formato"))</f>
        <v/>
      </c>
      <c r="K317" s="24" t="str">
        <f>IF(AND(Registro!$G317="",Registro!$H317=""),"",IF(AND(ISTEXT(I317),I317&lt;&gt;""),"Revisar formato",N(Registro!$G317)-N(I317)))</f>
        <v/>
      </c>
      <c r="L317" s="24" t="str">
        <f t="shared" si="9"/>
        <v/>
      </c>
      <c r="M317" s="36" t="str">
        <f>IF(AND(A317=Consulta!$B$3,C317=Consulta!$H$3),B317*10000+ROW(),"")</f>
        <v/>
      </c>
    </row>
    <row r="318" spans="1:13" x14ac:dyDescent="0.25">
      <c r="A318" s="21" t="str">
        <f>IF(Registro!$A318="","",Registro!$A318)</f>
        <v/>
      </c>
      <c r="B318" s="20" t="str">
        <f>IF(Registro!$B318="","",Registro!$B318)</f>
        <v/>
      </c>
      <c r="C318" s="35" t="str">
        <f t="shared" si="8"/>
        <v/>
      </c>
      <c r="D318" s="23" t="str">
        <f>IF(Registro!$E318="","",IF(ISERROR(FIND("x",LOWER(Registro!$E318))),"-",IFERROR(SUMPRODUCT(--("0"&amp;LEFT(TRIM(MID(SUBSTITUTE(SUBSTITUTE(SUBSTITUTE(SUBSTITUTE(SUBSTITUTE(LOWER(Registro!$E318),"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",LEN(Registro!$E318))),({1,2,3,4,5,6,7,8,9,10,11,12,13,14,15,16,17,18,19,20,21,22,23,24,25,26,27,28,29,30}-1)*LEN(Registro!$E318)+1,LEN(Registro!$E318))),FIND("x",TRIM(MID(SUBSTITUTE(SUBSTITUTE(SUBSTITUTE(SUBSTITUTE(SUBSTITUTE(LOWER(Registro!$E318),"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",LEN(Registro!$E318))),({1,2,3,4,5,6,7,8,9,10,11,12,13,14,15,16,17,18,19,20,21,22,23,24,25,26,27,28,29,30}-1)*LEN(Registro!$E318)+1,LEN(Registro!$E318)))&amp;"x")-1))),"Revisar formato")))</f>
        <v/>
      </c>
      <c r="E318" s="24" t="str">
        <f>IF(Registro!$E318="","",IF(ISERROR(FIND("x",LOWER(Registro!$E318))),"-",IFERROR(SUMPRODUCT(--("0"&amp;LEFT(TRIM(MID(SUBSTITUTE(SUBSTITUTE(SUBSTITUTE(SUBSTITUTE(SUBSTITUTE(LOWER(Registro!$E318),"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",LEN(Registro!$E318))),({1,2,3,4,5,6,7,8,9,10,11,12,13,14,15,16,17,18,19,20,21,22,23,24,25,26,27,28,29,30}-1)*LEN(Registro!$E318)+1,LEN(Registro!$E318))),FIND("x",TRIM(MID(SUBSTITUTE(SUBSTITUTE(SUBSTITUTE(SUBSTITUTE(SUBSTITUTE(LOWER(Registro!$E318),"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",LEN(Registro!$E318))),({1,2,3,4,5,6,7,8,9,10,11,12,13,14,15,16,17,18,19,20,21,22,23,24,25,26,27,28,29,30}-1)*LEN(Registro!$E318)+1,LEN(Registro!$E318)))&amp;"x")-1)),--("0"&amp;MID(TRIM(MID(SUBSTITUTE(SUBSTITUTE(SUBSTITUTE(SUBSTITUTE(SUBSTITUTE(LOWER(Registro!$E318),"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",LEN(Registro!$E318))),({1,2,3,4,5,6,7,8,9,10,11,12,13,14,15,16,17,18,19,20,21,22,23,24,25,26,27,28,29,30}-1)*LEN(Registro!$E318)+1,LEN(Registro!$E318))),FIND("x",TRIM(MID(SUBSTITUTE(SUBSTITUTE(SUBSTITUTE(SUBSTITUTE(SUBSTITUTE(LOWER(Registro!$E318),"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",LEN(Registro!$E318))),({1,2,3,4,5,6,7,8,9,10,11,12,13,14,15,16,17,18,19,20,21,22,23,24,25,26,27,28,29,30}-1)*LEN(Registro!$E318)+1,LEN(Registro!$E318)))&amp;"x")+1,20))),"Revisar formato")))</f>
        <v/>
      </c>
      <c r="F318" s="23" t="str">
        <f>IF(Registro!$F318="","",IF(ISERROR(FIND("x",LOWER(Registro!$F318))),"-",IFERROR(SUMPRODUCT(--("0"&amp;LEFT(TRIM(MID(SUBSTITUTE(SUBSTITUTE(SUBSTITUTE(SUBSTITUTE(SUBSTITUTE(LOWER(Registro!$F318)," ",""),CHAR(10),"|"),";","|"),"+","|"),"|",REPT(" ",LEN(Registro!$F318))),({1,2,3,4,5,6,7,8,9,10,11,12,13,14,15,16,17,18,19,20,21,22,23,24,25,26,27,28,29,30}-1)*LEN(Registro!$F318)+1,LEN(Registro!$F318))),FIND("x",TRIM(MID(SUBSTITUTE(SUBSTITUTE(SUBSTITUTE(SUBSTITUTE(SUBSTITUTE(LOWER(Registro!$F318)," ",""),CHAR(10),"|"),";","|"),"+","|"),"|",REPT(" ",LEN(Registro!$F318))),({1,2,3,4,5,6,7,8,9,10,11,12,13,14,15,16,17,18,19,20,21,22,23,24,25,26,27,28,29,30}-1)*LEN(Registro!$F318)+1,LEN(Registro!$F318)))&amp;"x")-1))),"Revisar formato")))</f>
        <v/>
      </c>
      <c r="G318" s="24" t="str">
        <f>IF(Registro!$F318="","",IF(ISERROR(FIND("x",LOWER(Registro!$F318))),N(Registro!$G318),IFERROR(SUMPRODUCT(--("0"&amp;LEFT(TRIM(MID(SUBSTITUTE(SUBSTITUTE(SUBSTITUTE(SUBSTITUTE(SUBSTITUTE(LOWER(Registro!$F318)," ",""),CHAR(10),"|"),";","|"),"+","|"),"|",REPT(" ",LEN(Registro!$F318))),({1,2,3,4,5,6,7,8,9,10,11,12,13,14,15,16,17,18,19,20,21,22,23,24,25,26,27,28,29,30}-1)*LEN(Registro!$F318)+1,LEN(Registro!$F318))),FIND("x",TRIM(MID(SUBSTITUTE(SUBSTITUTE(SUBSTITUTE(SUBSTITUTE(SUBSTITUTE(LOWER(Registro!$F318)," ",""),CHAR(10),"|"),";","|"),"+","|"),"|",REPT(" ",LEN(Registro!$F318))),({1,2,3,4,5,6,7,8,9,10,11,12,13,14,15,16,17,18,19,20,21,22,23,24,25,26,27,28,29,30}-1)*LEN(Registro!$F318)+1,LEN(Registro!$F318)))&amp;"x")-1)),--("0"&amp;MID(TRIM(MID(SUBSTITUTE(SUBSTITUTE(SUBSTITUTE(SUBSTITUTE(SUBSTITUTE(LOWER(Registro!$F318)," ",""),CHAR(10),"|"),";","|"),"+","|"),"|",REPT(" ",LEN(Registro!$F318))),({1,2,3,4,5,6,7,8,9,10,11,12,13,14,15,16,17,18,19,20,21,22,23,24,25,26,27,28,29,30}-1)*LEN(Registro!$F318)+1,LEN(Registro!$F318))),FIND("x",TRIM(MID(SUBSTITUTE(SUBSTITUTE(SUBSTITUTE(SUBSTITUTE(SUBSTITUTE(LOWER(Registro!$F318)," ",""),CHAR(10),"|"),";","|"),"+","|"),"|",REPT(" ",LEN(Registro!$F318))),({1,2,3,4,5,6,7,8,9,10,11,12,13,14,15,16,17,18,19,20,21,22,23,24,25,26,27,28,29,30}-1)*LEN(Registro!$F318)+1,LEN(Registro!$F318)))&amp;"x")+1,20))),"Revisar formato")))</f>
        <v/>
      </c>
      <c r="H318" s="21" t="str">
        <f>IF(AND(Registro!$E318="",Registro!$F318=""),"",IF(NOT(AND(ISNUMBER(G318),ISNUMBER(Registro!$G318))),"",IF(G318&lt;Registro!$G318,"FALTA BOLETOS",IF(G318=Registro!$G318,"CONFORME","DIFERENCIA"))))</f>
        <v/>
      </c>
      <c r="I318" s="24" t="str">
        <f>IF(Registro!$H318="","",IFERROR(SUMPRODUCT(--("0"&amp;TRIM(RIGHT(SUBSTITUTE(TRIM(MID(SUBSTITUTE(SUBSTITUTE(Registro!$H318,";",CHAR(10)),CHAR(10),REPT(" ",LEN(Registro!$H318))),({1,2,3,4,5,6,7,8,9,10,11,12,13,14,15,16,17,18,19,20,21,22,23,24,25,26,27,28,29,30}-1)*LEN(Registro!$H318)+1,LEN(Registro!$H318)))," ",REPT(" ",50)),50)))),"Revisar formato"))</f>
        <v/>
      </c>
      <c r="J318" s="24" t="str">
        <f>IF(Registro!$I318="","",IFERROR(SUMPRODUCT(--("0"&amp;TRIM(RIGHT(SUBSTITUTE(TRIM(MID(SUBSTITUTE(SUBSTITUTE(Registro!$I318,";",CHAR(10)),CHAR(10),REPT(" ",LEN(Registro!$I318))),({1,2,3,4,5,6,7,8,9,10,11,12,13,14,15,16,17,18,19,20,21,22,23,24,25,26,27,28,29,30}-1)*LEN(Registro!$I318)+1,LEN(Registro!$I318)))," ",REPT(" ",50)),50)))),"Revisar formato"))</f>
        <v/>
      </c>
      <c r="K318" s="24" t="str">
        <f>IF(AND(Registro!$G318="",Registro!$H318=""),"",IF(AND(ISTEXT(I318),I318&lt;&gt;""),"Revisar formato",N(Registro!$G318)-N(I318)))</f>
        <v/>
      </c>
      <c r="L318" s="24" t="str">
        <f t="shared" si="9"/>
        <v/>
      </c>
      <c r="M318" s="36" t="str">
        <f>IF(AND(A318=Consulta!$B$3,C318=Consulta!$H$3),B318*10000+ROW(),"")</f>
        <v/>
      </c>
    </row>
    <row r="319" spans="1:13" x14ac:dyDescent="0.25">
      <c r="A319" s="21" t="str">
        <f>IF(Registro!$A319="","",Registro!$A319)</f>
        <v/>
      </c>
      <c r="B319" s="20" t="str">
        <f>IF(Registro!$B319="","",Registro!$B319)</f>
        <v/>
      </c>
      <c r="C319" s="35" t="str">
        <f t="shared" si="8"/>
        <v/>
      </c>
      <c r="D319" s="23" t="str">
        <f>IF(Registro!$E319="","",IF(ISERROR(FIND("x",LOWER(Registro!$E319))),"-",IFERROR(SUMPRODUCT(--("0"&amp;LEFT(TRIM(MID(SUBSTITUTE(SUBSTITUTE(SUBSTITUTE(SUBSTITUTE(SUBSTITUTE(LOWER(Registro!$E319),"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",LEN(Registro!$E319))),({1,2,3,4,5,6,7,8,9,10,11,12,13,14,15,16,17,18,19,20,21,22,23,24,25,26,27,28,29,30}-1)*LEN(Registro!$E319)+1,LEN(Registro!$E319))),FIND("x",TRIM(MID(SUBSTITUTE(SUBSTITUTE(SUBSTITUTE(SUBSTITUTE(SUBSTITUTE(LOWER(Registro!$E319),"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",LEN(Registro!$E319))),({1,2,3,4,5,6,7,8,9,10,11,12,13,14,15,16,17,18,19,20,21,22,23,24,25,26,27,28,29,30}-1)*LEN(Registro!$E319)+1,LEN(Registro!$E319)))&amp;"x")-1))),"Revisar formato")))</f>
        <v/>
      </c>
      <c r="E319" s="24" t="str">
        <f>IF(Registro!$E319="","",IF(ISERROR(FIND("x",LOWER(Registro!$E319))),"-",IFERROR(SUMPRODUCT(--("0"&amp;LEFT(TRIM(MID(SUBSTITUTE(SUBSTITUTE(SUBSTITUTE(SUBSTITUTE(SUBSTITUTE(LOWER(Registro!$E319),"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",LEN(Registro!$E319))),({1,2,3,4,5,6,7,8,9,10,11,12,13,14,15,16,17,18,19,20,21,22,23,24,25,26,27,28,29,30}-1)*LEN(Registro!$E319)+1,LEN(Registro!$E319))),FIND("x",TRIM(MID(SUBSTITUTE(SUBSTITUTE(SUBSTITUTE(SUBSTITUTE(SUBSTITUTE(LOWER(Registro!$E319),"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",LEN(Registro!$E319))),({1,2,3,4,5,6,7,8,9,10,11,12,13,14,15,16,17,18,19,20,21,22,23,24,25,26,27,28,29,30}-1)*LEN(Registro!$E319)+1,LEN(Registro!$E319)))&amp;"x")-1)),--("0"&amp;MID(TRIM(MID(SUBSTITUTE(SUBSTITUTE(SUBSTITUTE(SUBSTITUTE(SUBSTITUTE(LOWER(Registro!$E319),"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",LEN(Registro!$E319))),({1,2,3,4,5,6,7,8,9,10,11,12,13,14,15,16,17,18,19,20,21,22,23,24,25,26,27,28,29,30}-1)*LEN(Registro!$E319)+1,LEN(Registro!$E319))),FIND("x",TRIM(MID(SUBSTITUTE(SUBSTITUTE(SUBSTITUTE(SUBSTITUTE(SUBSTITUTE(LOWER(Registro!$E319),"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",LEN(Registro!$E319))),({1,2,3,4,5,6,7,8,9,10,11,12,13,14,15,16,17,18,19,20,21,22,23,24,25,26,27,28,29,30}-1)*LEN(Registro!$E319)+1,LEN(Registro!$E319)))&amp;"x")+1,20))),"Revisar formato")))</f>
        <v/>
      </c>
      <c r="F319" s="23" t="str">
        <f>IF(Registro!$F319="","",IF(ISERROR(FIND("x",LOWER(Registro!$F319))),"-",IFERROR(SUMPRODUCT(--("0"&amp;LEFT(TRIM(MID(SUBSTITUTE(SUBSTITUTE(SUBSTITUTE(SUBSTITUTE(SUBSTITUTE(LOWER(Registro!$F319)," ",""),CHAR(10),"|"),";","|"),"+","|"),"|",REPT(" ",LEN(Registro!$F319))),({1,2,3,4,5,6,7,8,9,10,11,12,13,14,15,16,17,18,19,20,21,22,23,24,25,26,27,28,29,30}-1)*LEN(Registro!$F319)+1,LEN(Registro!$F319))),FIND("x",TRIM(MID(SUBSTITUTE(SUBSTITUTE(SUBSTITUTE(SUBSTITUTE(SUBSTITUTE(LOWER(Registro!$F319)," ",""),CHAR(10),"|"),";","|"),"+","|"),"|",REPT(" ",LEN(Registro!$F319))),({1,2,3,4,5,6,7,8,9,10,11,12,13,14,15,16,17,18,19,20,21,22,23,24,25,26,27,28,29,30}-1)*LEN(Registro!$F319)+1,LEN(Registro!$F319)))&amp;"x")-1))),"Revisar formato")))</f>
        <v/>
      </c>
      <c r="G319" s="24" t="str">
        <f>IF(Registro!$F319="","",IF(ISERROR(FIND("x",LOWER(Registro!$F319))),N(Registro!$G319),IFERROR(SUMPRODUCT(--("0"&amp;LEFT(TRIM(MID(SUBSTITUTE(SUBSTITUTE(SUBSTITUTE(SUBSTITUTE(SUBSTITUTE(LOWER(Registro!$F319)," ",""),CHAR(10),"|"),";","|"),"+","|"),"|",REPT(" ",LEN(Registro!$F319))),({1,2,3,4,5,6,7,8,9,10,11,12,13,14,15,16,17,18,19,20,21,22,23,24,25,26,27,28,29,30}-1)*LEN(Registro!$F319)+1,LEN(Registro!$F319))),FIND("x",TRIM(MID(SUBSTITUTE(SUBSTITUTE(SUBSTITUTE(SUBSTITUTE(SUBSTITUTE(LOWER(Registro!$F319)," ",""),CHAR(10),"|"),";","|"),"+","|"),"|",REPT(" ",LEN(Registro!$F319))),({1,2,3,4,5,6,7,8,9,10,11,12,13,14,15,16,17,18,19,20,21,22,23,24,25,26,27,28,29,30}-1)*LEN(Registro!$F319)+1,LEN(Registro!$F319)))&amp;"x")-1)),--("0"&amp;MID(TRIM(MID(SUBSTITUTE(SUBSTITUTE(SUBSTITUTE(SUBSTITUTE(SUBSTITUTE(LOWER(Registro!$F319)," ",""),CHAR(10),"|"),";","|"),"+","|"),"|",REPT(" ",LEN(Registro!$F319))),({1,2,3,4,5,6,7,8,9,10,11,12,13,14,15,16,17,18,19,20,21,22,23,24,25,26,27,28,29,30}-1)*LEN(Registro!$F319)+1,LEN(Registro!$F319))),FIND("x",TRIM(MID(SUBSTITUTE(SUBSTITUTE(SUBSTITUTE(SUBSTITUTE(SUBSTITUTE(LOWER(Registro!$F319)," ",""),CHAR(10),"|"),";","|"),"+","|"),"|",REPT(" ",LEN(Registro!$F319))),({1,2,3,4,5,6,7,8,9,10,11,12,13,14,15,16,17,18,19,20,21,22,23,24,25,26,27,28,29,30}-1)*LEN(Registro!$F319)+1,LEN(Registro!$F319)))&amp;"x")+1,20))),"Revisar formato")))</f>
        <v/>
      </c>
      <c r="H319" s="21" t="str">
        <f>IF(AND(Registro!$E319="",Registro!$F319=""),"",IF(NOT(AND(ISNUMBER(G319),ISNUMBER(Registro!$G319))),"",IF(G319&lt;Registro!$G319,"FALTA BOLETOS",IF(G319=Registro!$G319,"CONFORME","DIFERENCIA"))))</f>
        <v/>
      </c>
      <c r="I319" s="24" t="str">
        <f>IF(Registro!$H319="","",IFERROR(SUMPRODUCT(--("0"&amp;TRIM(RIGHT(SUBSTITUTE(TRIM(MID(SUBSTITUTE(SUBSTITUTE(Registro!$H319,";",CHAR(10)),CHAR(10),REPT(" ",LEN(Registro!$H319))),({1,2,3,4,5,6,7,8,9,10,11,12,13,14,15,16,17,18,19,20,21,22,23,24,25,26,27,28,29,30}-1)*LEN(Registro!$H319)+1,LEN(Registro!$H319)))," ",REPT(" ",50)),50)))),"Revisar formato"))</f>
        <v/>
      </c>
      <c r="J319" s="24" t="str">
        <f>IF(Registro!$I319="","",IFERROR(SUMPRODUCT(--("0"&amp;TRIM(RIGHT(SUBSTITUTE(TRIM(MID(SUBSTITUTE(SUBSTITUTE(Registro!$I319,";",CHAR(10)),CHAR(10),REPT(" ",LEN(Registro!$I319))),({1,2,3,4,5,6,7,8,9,10,11,12,13,14,15,16,17,18,19,20,21,22,23,24,25,26,27,28,29,30}-1)*LEN(Registro!$I319)+1,LEN(Registro!$I319)))," ",REPT(" ",50)),50)))),"Revisar formato"))</f>
        <v/>
      </c>
      <c r="K319" s="24" t="str">
        <f>IF(AND(Registro!$G319="",Registro!$H319=""),"",IF(AND(ISTEXT(I319),I319&lt;&gt;""),"Revisar formato",N(Registro!$G319)-N(I319)))</f>
        <v/>
      </c>
      <c r="L319" s="24" t="str">
        <f t="shared" si="9"/>
        <v/>
      </c>
      <c r="M319" s="36" t="str">
        <f>IF(AND(A319=Consulta!$B$3,C319=Consulta!$H$3),B319*10000+ROW(),"")</f>
        <v/>
      </c>
    </row>
    <row r="320" spans="1:13" x14ac:dyDescent="0.25">
      <c r="A320" s="21" t="str">
        <f>IF(Registro!$A320="","",Registro!$A320)</f>
        <v/>
      </c>
      <c r="B320" s="20" t="str">
        <f>IF(Registro!$B320="","",Registro!$B320)</f>
        <v/>
      </c>
      <c r="C320" s="35" t="str">
        <f t="shared" si="8"/>
        <v/>
      </c>
      <c r="D320" s="23" t="str">
        <f>IF(Registro!$E320="","",IF(ISERROR(FIND("x",LOWER(Registro!$E320))),"-",IFERROR(SUMPRODUCT(--("0"&amp;LEFT(TRIM(MID(SUBSTITUTE(SUBSTITUTE(SUBSTITUTE(SUBSTITUTE(SUBSTITUTE(LOWER(Registro!$E320),"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",LEN(Registro!$E320))),({1,2,3,4,5,6,7,8,9,10,11,12,13,14,15,16,17,18,19,20,21,22,23,24,25,26,27,28,29,30}-1)*LEN(Registro!$E320)+1,LEN(Registro!$E320))),FIND("x",TRIM(MID(SUBSTITUTE(SUBSTITUTE(SUBSTITUTE(SUBSTITUTE(SUBSTITUTE(LOWER(Registro!$E320),"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",LEN(Registro!$E320))),({1,2,3,4,5,6,7,8,9,10,11,12,13,14,15,16,17,18,19,20,21,22,23,24,25,26,27,28,29,30}-1)*LEN(Registro!$E320)+1,LEN(Registro!$E320)))&amp;"x")-1))),"Revisar formato")))</f>
        <v/>
      </c>
      <c r="E320" s="24" t="str">
        <f>IF(Registro!$E320="","",IF(ISERROR(FIND("x",LOWER(Registro!$E320))),"-",IFERROR(SUMPRODUCT(--("0"&amp;LEFT(TRIM(MID(SUBSTITUTE(SUBSTITUTE(SUBSTITUTE(SUBSTITUTE(SUBSTITUTE(LOWER(Registro!$E320),"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",LEN(Registro!$E320))),({1,2,3,4,5,6,7,8,9,10,11,12,13,14,15,16,17,18,19,20,21,22,23,24,25,26,27,28,29,30}-1)*LEN(Registro!$E320)+1,LEN(Registro!$E320))),FIND("x",TRIM(MID(SUBSTITUTE(SUBSTITUTE(SUBSTITUTE(SUBSTITUTE(SUBSTITUTE(LOWER(Registro!$E320),"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",LEN(Registro!$E320))),({1,2,3,4,5,6,7,8,9,10,11,12,13,14,15,16,17,18,19,20,21,22,23,24,25,26,27,28,29,30}-1)*LEN(Registro!$E320)+1,LEN(Registro!$E320)))&amp;"x")-1)),--("0"&amp;MID(TRIM(MID(SUBSTITUTE(SUBSTITUTE(SUBSTITUTE(SUBSTITUTE(SUBSTITUTE(LOWER(Registro!$E320),"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",LEN(Registro!$E320))),({1,2,3,4,5,6,7,8,9,10,11,12,13,14,15,16,17,18,19,20,21,22,23,24,25,26,27,28,29,30}-1)*LEN(Registro!$E320)+1,LEN(Registro!$E320))),FIND("x",TRIM(MID(SUBSTITUTE(SUBSTITUTE(SUBSTITUTE(SUBSTITUTE(SUBSTITUTE(LOWER(Registro!$E320),"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",LEN(Registro!$E320))),({1,2,3,4,5,6,7,8,9,10,11,12,13,14,15,16,17,18,19,20,21,22,23,24,25,26,27,28,29,30}-1)*LEN(Registro!$E320)+1,LEN(Registro!$E320)))&amp;"x")+1,20))),"Revisar formato")))</f>
        <v/>
      </c>
      <c r="F320" s="23" t="str">
        <f>IF(Registro!$F320="","",IF(ISERROR(FIND("x",LOWER(Registro!$F320))),"-",IFERROR(SUMPRODUCT(--("0"&amp;LEFT(TRIM(MID(SUBSTITUTE(SUBSTITUTE(SUBSTITUTE(SUBSTITUTE(SUBSTITUTE(LOWER(Registro!$F320)," ",""),CHAR(10),"|"),";","|"),"+","|"),"|",REPT(" ",LEN(Registro!$F320))),({1,2,3,4,5,6,7,8,9,10,11,12,13,14,15,16,17,18,19,20,21,22,23,24,25,26,27,28,29,30}-1)*LEN(Registro!$F320)+1,LEN(Registro!$F320))),FIND("x",TRIM(MID(SUBSTITUTE(SUBSTITUTE(SUBSTITUTE(SUBSTITUTE(SUBSTITUTE(LOWER(Registro!$F320)," ",""),CHAR(10),"|"),";","|"),"+","|"),"|",REPT(" ",LEN(Registro!$F320))),({1,2,3,4,5,6,7,8,9,10,11,12,13,14,15,16,17,18,19,20,21,22,23,24,25,26,27,28,29,30}-1)*LEN(Registro!$F320)+1,LEN(Registro!$F320)))&amp;"x")-1))),"Revisar formato")))</f>
        <v/>
      </c>
      <c r="G320" s="24" t="str">
        <f>IF(Registro!$F320="","",IF(ISERROR(FIND("x",LOWER(Registro!$F320))),N(Registro!$G320),IFERROR(SUMPRODUCT(--("0"&amp;LEFT(TRIM(MID(SUBSTITUTE(SUBSTITUTE(SUBSTITUTE(SUBSTITUTE(SUBSTITUTE(LOWER(Registro!$F320)," ",""),CHAR(10),"|"),";","|"),"+","|"),"|",REPT(" ",LEN(Registro!$F320))),({1,2,3,4,5,6,7,8,9,10,11,12,13,14,15,16,17,18,19,20,21,22,23,24,25,26,27,28,29,30}-1)*LEN(Registro!$F320)+1,LEN(Registro!$F320))),FIND("x",TRIM(MID(SUBSTITUTE(SUBSTITUTE(SUBSTITUTE(SUBSTITUTE(SUBSTITUTE(LOWER(Registro!$F320)," ",""),CHAR(10),"|"),";","|"),"+","|"),"|",REPT(" ",LEN(Registro!$F320))),({1,2,3,4,5,6,7,8,9,10,11,12,13,14,15,16,17,18,19,20,21,22,23,24,25,26,27,28,29,30}-1)*LEN(Registro!$F320)+1,LEN(Registro!$F320)))&amp;"x")-1)),--("0"&amp;MID(TRIM(MID(SUBSTITUTE(SUBSTITUTE(SUBSTITUTE(SUBSTITUTE(SUBSTITUTE(LOWER(Registro!$F320)," ",""),CHAR(10),"|"),";","|"),"+","|"),"|",REPT(" ",LEN(Registro!$F320))),({1,2,3,4,5,6,7,8,9,10,11,12,13,14,15,16,17,18,19,20,21,22,23,24,25,26,27,28,29,30}-1)*LEN(Registro!$F320)+1,LEN(Registro!$F320))),FIND("x",TRIM(MID(SUBSTITUTE(SUBSTITUTE(SUBSTITUTE(SUBSTITUTE(SUBSTITUTE(LOWER(Registro!$F320)," ",""),CHAR(10),"|"),";","|"),"+","|"),"|",REPT(" ",LEN(Registro!$F320))),({1,2,3,4,5,6,7,8,9,10,11,12,13,14,15,16,17,18,19,20,21,22,23,24,25,26,27,28,29,30}-1)*LEN(Registro!$F320)+1,LEN(Registro!$F320)))&amp;"x")+1,20))),"Revisar formato")))</f>
        <v/>
      </c>
      <c r="H320" s="21" t="str">
        <f>IF(AND(Registro!$E320="",Registro!$F320=""),"",IF(NOT(AND(ISNUMBER(G320),ISNUMBER(Registro!$G320))),"",IF(G320&lt;Registro!$G320,"FALTA BOLETOS",IF(G320=Registro!$G320,"CONFORME","DIFERENCIA"))))</f>
        <v/>
      </c>
      <c r="I320" s="24" t="str">
        <f>IF(Registro!$H320="","",IFERROR(SUMPRODUCT(--("0"&amp;TRIM(RIGHT(SUBSTITUTE(TRIM(MID(SUBSTITUTE(SUBSTITUTE(Registro!$H320,";",CHAR(10)),CHAR(10),REPT(" ",LEN(Registro!$H320))),({1,2,3,4,5,6,7,8,9,10,11,12,13,14,15,16,17,18,19,20,21,22,23,24,25,26,27,28,29,30}-1)*LEN(Registro!$H320)+1,LEN(Registro!$H320)))," ",REPT(" ",50)),50)))),"Revisar formato"))</f>
        <v/>
      </c>
      <c r="J320" s="24" t="str">
        <f>IF(Registro!$I320="","",IFERROR(SUMPRODUCT(--("0"&amp;TRIM(RIGHT(SUBSTITUTE(TRIM(MID(SUBSTITUTE(SUBSTITUTE(Registro!$I320,";",CHAR(10)),CHAR(10),REPT(" ",LEN(Registro!$I320))),({1,2,3,4,5,6,7,8,9,10,11,12,13,14,15,16,17,18,19,20,21,22,23,24,25,26,27,28,29,30}-1)*LEN(Registro!$I320)+1,LEN(Registro!$I320)))," ",REPT(" ",50)),50)))),"Revisar formato"))</f>
        <v/>
      </c>
      <c r="K320" s="24" t="str">
        <f>IF(AND(Registro!$G320="",Registro!$H320=""),"",IF(AND(ISTEXT(I320),I320&lt;&gt;""),"Revisar formato",N(Registro!$G320)-N(I320)))</f>
        <v/>
      </c>
      <c r="L320" s="24" t="str">
        <f t="shared" si="9"/>
        <v/>
      </c>
      <c r="M320" s="36" t="str">
        <f>IF(AND(A320=Consulta!$B$3,C320=Consulta!$H$3),B320*10000+ROW(),"")</f>
        <v/>
      </c>
    </row>
    <row r="321" spans="1:13" x14ac:dyDescent="0.25">
      <c r="A321" s="21" t="str">
        <f>IF(Registro!$A321="","",Registro!$A321)</f>
        <v/>
      </c>
      <c r="B321" s="20" t="str">
        <f>IF(Registro!$B321="","",Registro!$B321)</f>
        <v/>
      </c>
      <c r="C321" s="35" t="str">
        <f t="shared" si="8"/>
        <v/>
      </c>
      <c r="D321" s="23" t="str">
        <f>IF(Registro!$E321="","",IF(ISERROR(FIND("x",LOWER(Registro!$E321))),"-",IFERROR(SUMPRODUCT(--("0"&amp;LEFT(TRIM(MID(SUBSTITUTE(SUBSTITUTE(SUBSTITUTE(SUBSTITUTE(SUBSTITUTE(LOWER(Registro!$E321),"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",LEN(Registro!$E321))),({1,2,3,4,5,6,7,8,9,10,11,12,13,14,15,16,17,18,19,20,21,22,23,24,25,26,27,28,29,30}-1)*LEN(Registro!$E321)+1,LEN(Registro!$E321))),FIND("x",TRIM(MID(SUBSTITUTE(SUBSTITUTE(SUBSTITUTE(SUBSTITUTE(SUBSTITUTE(LOWER(Registro!$E321),"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",LEN(Registro!$E321))),({1,2,3,4,5,6,7,8,9,10,11,12,13,14,15,16,17,18,19,20,21,22,23,24,25,26,27,28,29,30}-1)*LEN(Registro!$E321)+1,LEN(Registro!$E321)))&amp;"x")-1))),"Revisar formato")))</f>
        <v/>
      </c>
      <c r="E321" s="24" t="str">
        <f>IF(Registro!$E321="","",IF(ISERROR(FIND("x",LOWER(Registro!$E321))),"-",IFERROR(SUMPRODUCT(--("0"&amp;LEFT(TRIM(MID(SUBSTITUTE(SUBSTITUTE(SUBSTITUTE(SUBSTITUTE(SUBSTITUTE(LOWER(Registro!$E321),"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",LEN(Registro!$E321))),({1,2,3,4,5,6,7,8,9,10,11,12,13,14,15,16,17,18,19,20,21,22,23,24,25,26,27,28,29,30}-1)*LEN(Registro!$E321)+1,LEN(Registro!$E321))),FIND("x",TRIM(MID(SUBSTITUTE(SUBSTITUTE(SUBSTITUTE(SUBSTITUTE(SUBSTITUTE(LOWER(Registro!$E321),"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",LEN(Registro!$E321))),({1,2,3,4,5,6,7,8,9,10,11,12,13,14,15,16,17,18,19,20,21,22,23,24,25,26,27,28,29,30}-1)*LEN(Registro!$E321)+1,LEN(Registro!$E321)))&amp;"x")-1)),--("0"&amp;MID(TRIM(MID(SUBSTITUTE(SUBSTITUTE(SUBSTITUTE(SUBSTITUTE(SUBSTITUTE(LOWER(Registro!$E321),"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",LEN(Registro!$E321))),({1,2,3,4,5,6,7,8,9,10,11,12,13,14,15,16,17,18,19,20,21,22,23,24,25,26,27,28,29,30}-1)*LEN(Registro!$E321)+1,LEN(Registro!$E321))),FIND("x",TRIM(MID(SUBSTITUTE(SUBSTITUTE(SUBSTITUTE(SUBSTITUTE(SUBSTITUTE(LOWER(Registro!$E321),"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",LEN(Registro!$E321))),({1,2,3,4,5,6,7,8,9,10,11,12,13,14,15,16,17,18,19,20,21,22,23,24,25,26,27,28,29,30}-1)*LEN(Registro!$E321)+1,LEN(Registro!$E321)))&amp;"x")+1,20))),"Revisar formato")))</f>
        <v/>
      </c>
      <c r="F321" s="23" t="str">
        <f>IF(Registro!$F321="","",IF(ISERROR(FIND("x",LOWER(Registro!$F321))),"-",IFERROR(SUMPRODUCT(--("0"&amp;LEFT(TRIM(MID(SUBSTITUTE(SUBSTITUTE(SUBSTITUTE(SUBSTITUTE(SUBSTITUTE(LOWER(Registro!$F321)," ",""),CHAR(10),"|"),";","|"),"+","|"),"|",REPT(" ",LEN(Registro!$F321))),({1,2,3,4,5,6,7,8,9,10,11,12,13,14,15,16,17,18,19,20,21,22,23,24,25,26,27,28,29,30}-1)*LEN(Registro!$F321)+1,LEN(Registro!$F321))),FIND("x",TRIM(MID(SUBSTITUTE(SUBSTITUTE(SUBSTITUTE(SUBSTITUTE(SUBSTITUTE(LOWER(Registro!$F321)," ",""),CHAR(10),"|"),";","|"),"+","|"),"|",REPT(" ",LEN(Registro!$F321))),({1,2,3,4,5,6,7,8,9,10,11,12,13,14,15,16,17,18,19,20,21,22,23,24,25,26,27,28,29,30}-1)*LEN(Registro!$F321)+1,LEN(Registro!$F321)))&amp;"x")-1))),"Revisar formato")))</f>
        <v/>
      </c>
      <c r="G321" s="24" t="str">
        <f>IF(Registro!$F321="","",IF(ISERROR(FIND("x",LOWER(Registro!$F321))),N(Registro!$G321),IFERROR(SUMPRODUCT(--("0"&amp;LEFT(TRIM(MID(SUBSTITUTE(SUBSTITUTE(SUBSTITUTE(SUBSTITUTE(SUBSTITUTE(LOWER(Registro!$F321)," ",""),CHAR(10),"|"),";","|"),"+","|"),"|",REPT(" ",LEN(Registro!$F321))),({1,2,3,4,5,6,7,8,9,10,11,12,13,14,15,16,17,18,19,20,21,22,23,24,25,26,27,28,29,30}-1)*LEN(Registro!$F321)+1,LEN(Registro!$F321))),FIND("x",TRIM(MID(SUBSTITUTE(SUBSTITUTE(SUBSTITUTE(SUBSTITUTE(SUBSTITUTE(LOWER(Registro!$F321)," ",""),CHAR(10),"|"),";","|"),"+","|"),"|",REPT(" ",LEN(Registro!$F321))),({1,2,3,4,5,6,7,8,9,10,11,12,13,14,15,16,17,18,19,20,21,22,23,24,25,26,27,28,29,30}-1)*LEN(Registro!$F321)+1,LEN(Registro!$F321)))&amp;"x")-1)),--("0"&amp;MID(TRIM(MID(SUBSTITUTE(SUBSTITUTE(SUBSTITUTE(SUBSTITUTE(SUBSTITUTE(LOWER(Registro!$F321)," ",""),CHAR(10),"|"),";","|"),"+","|"),"|",REPT(" ",LEN(Registro!$F321))),({1,2,3,4,5,6,7,8,9,10,11,12,13,14,15,16,17,18,19,20,21,22,23,24,25,26,27,28,29,30}-1)*LEN(Registro!$F321)+1,LEN(Registro!$F321))),FIND("x",TRIM(MID(SUBSTITUTE(SUBSTITUTE(SUBSTITUTE(SUBSTITUTE(SUBSTITUTE(LOWER(Registro!$F321)," ",""),CHAR(10),"|"),";","|"),"+","|"),"|",REPT(" ",LEN(Registro!$F321))),({1,2,3,4,5,6,7,8,9,10,11,12,13,14,15,16,17,18,19,20,21,22,23,24,25,26,27,28,29,30}-1)*LEN(Registro!$F321)+1,LEN(Registro!$F321)))&amp;"x")+1,20))),"Revisar formato")))</f>
        <v/>
      </c>
      <c r="H321" s="21" t="str">
        <f>IF(AND(Registro!$E321="",Registro!$F321=""),"",IF(NOT(AND(ISNUMBER(G321),ISNUMBER(Registro!$G321))),"",IF(G321&lt;Registro!$G321,"FALTA BOLETOS",IF(G321=Registro!$G321,"CONFORME","DIFERENCIA"))))</f>
        <v/>
      </c>
      <c r="I321" s="24" t="str">
        <f>IF(Registro!$H321="","",IFERROR(SUMPRODUCT(--("0"&amp;TRIM(RIGHT(SUBSTITUTE(TRIM(MID(SUBSTITUTE(SUBSTITUTE(Registro!$H321,";",CHAR(10)),CHAR(10),REPT(" ",LEN(Registro!$H321))),({1,2,3,4,5,6,7,8,9,10,11,12,13,14,15,16,17,18,19,20,21,22,23,24,25,26,27,28,29,30}-1)*LEN(Registro!$H321)+1,LEN(Registro!$H321)))," ",REPT(" ",50)),50)))),"Revisar formato"))</f>
        <v/>
      </c>
      <c r="J321" s="24" t="str">
        <f>IF(Registro!$I321="","",IFERROR(SUMPRODUCT(--("0"&amp;TRIM(RIGHT(SUBSTITUTE(TRIM(MID(SUBSTITUTE(SUBSTITUTE(Registro!$I321,";",CHAR(10)),CHAR(10),REPT(" ",LEN(Registro!$I321))),({1,2,3,4,5,6,7,8,9,10,11,12,13,14,15,16,17,18,19,20,21,22,23,24,25,26,27,28,29,30}-1)*LEN(Registro!$I321)+1,LEN(Registro!$I321)))," ",REPT(" ",50)),50)))),"Revisar formato"))</f>
        <v/>
      </c>
      <c r="K321" s="24" t="str">
        <f>IF(AND(Registro!$G321="",Registro!$H321=""),"",IF(AND(ISTEXT(I321),I321&lt;&gt;""),"Revisar formato",N(Registro!$G321)-N(I321)))</f>
        <v/>
      </c>
      <c r="L321" s="24" t="str">
        <f t="shared" si="9"/>
        <v/>
      </c>
      <c r="M321" s="36" t="str">
        <f>IF(AND(A321=Consulta!$B$3,C321=Consulta!$H$3),B321*10000+ROW(),"")</f>
        <v/>
      </c>
    </row>
    <row r="322" spans="1:13" x14ac:dyDescent="0.25">
      <c r="A322" s="21" t="str">
        <f>IF(Registro!$A322="","",Registro!$A322)</f>
        <v/>
      </c>
      <c r="B322" s="20" t="str">
        <f>IF(Registro!$B322="","",Registro!$B322)</f>
        <v/>
      </c>
      <c r="C322" s="35" t="str">
        <f t="shared" ref="C322:C385" si="10">IF(ISNUMBER(B322),YEAR(B322)*100+MONTH(B322),"")</f>
        <v/>
      </c>
      <c r="D322" s="23" t="str">
        <f>IF(Registro!$E322="","",IF(ISERROR(FIND("x",LOWER(Registro!$E322))),"-",IFERROR(SUMPRODUCT(--("0"&amp;LEFT(TRIM(MID(SUBSTITUTE(SUBSTITUTE(SUBSTITUTE(SUBSTITUTE(SUBSTITUTE(LOWER(Registro!$E322),"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",LEN(Registro!$E322))),({1,2,3,4,5,6,7,8,9,10,11,12,13,14,15,16,17,18,19,20,21,22,23,24,25,26,27,28,29,30}-1)*LEN(Registro!$E322)+1,LEN(Registro!$E322))),FIND("x",TRIM(MID(SUBSTITUTE(SUBSTITUTE(SUBSTITUTE(SUBSTITUTE(SUBSTITUTE(LOWER(Registro!$E322),"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",LEN(Registro!$E322))),({1,2,3,4,5,6,7,8,9,10,11,12,13,14,15,16,17,18,19,20,21,22,23,24,25,26,27,28,29,30}-1)*LEN(Registro!$E322)+1,LEN(Registro!$E322)))&amp;"x")-1))),"Revisar formato")))</f>
        <v/>
      </c>
      <c r="E322" s="24" t="str">
        <f>IF(Registro!$E322="","",IF(ISERROR(FIND("x",LOWER(Registro!$E322))),"-",IFERROR(SUMPRODUCT(--("0"&amp;LEFT(TRIM(MID(SUBSTITUTE(SUBSTITUTE(SUBSTITUTE(SUBSTITUTE(SUBSTITUTE(LOWER(Registro!$E322),"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",LEN(Registro!$E322))),({1,2,3,4,5,6,7,8,9,10,11,12,13,14,15,16,17,18,19,20,21,22,23,24,25,26,27,28,29,30}-1)*LEN(Registro!$E322)+1,LEN(Registro!$E322))),FIND("x",TRIM(MID(SUBSTITUTE(SUBSTITUTE(SUBSTITUTE(SUBSTITUTE(SUBSTITUTE(LOWER(Registro!$E322),"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",LEN(Registro!$E322))),({1,2,3,4,5,6,7,8,9,10,11,12,13,14,15,16,17,18,19,20,21,22,23,24,25,26,27,28,29,30}-1)*LEN(Registro!$E322)+1,LEN(Registro!$E322)))&amp;"x")-1)),--("0"&amp;MID(TRIM(MID(SUBSTITUTE(SUBSTITUTE(SUBSTITUTE(SUBSTITUTE(SUBSTITUTE(LOWER(Registro!$E322),"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",LEN(Registro!$E322))),({1,2,3,4,5,6,7,8,9,10,11,12,13,14,15,16,17,18,19,20,21,22,23,24,25,26,27,28,29,30}-1)*LEN(Registro!$E322)+1,LEN(Registro!$E322))),FIND("x",TRIM(MID(SUBSTITUTE(SUBSTITUTE(SUBSTITUTE(SUBSTITUTE(SUBSTITUTE(LOWER(Registro!$E322),"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",LEN(Registro!$E322))),({1,2,3,4,5,6,7,8,9,10,11,12,13,14,15,16,17,18,19,20,21,22,23,24,25,26,27,28,29,30}-1)*LEN(Registro!$E322)+1,LEN(Registro!$E322)))&amp;"x")+1,20))),"Revisar formato")))</f>
        <v/>
      </c>
      <c r="F322" s="23" t="str">
        <f>IF(Registro!$F322="","",IF(ISERROR(FIND("x",LOWER(Registro!$F322))),"-",IFERROR(SUMPRODUCT(--("0"&amp;LEFT(TRIM(MID(SUBSTITUTE(SUBSTITUTE(SUBSTITUTE(SUBSTITUTE(SUBSTITUTE(LOWER(Registro!$F322)," ",""),CHAR(10),"|"),";","|"),"+","|"),"|",REPT(" ",LEN(Registro!$F322))),({1,2,3,4,5,6,7,8,9,10,11,12,13,14,15,16,17,18,19,20,21,22,23,24,25,26,27,28,29,30}-1)*LEN(Registro!$F322)+1,LEN(Registro!$F322))),FIND("x",TRIM(MID(SUBSTITUTE(SUBSTITUTE(SUBSTITUTE(SUBSTITUTE(SUBSTITUTE(LOWER(Registro!$F322)," ",""),CHAR(10),"|"),";","|"),"+","|"),"|",REPT(" ",LEN(Registro!$F322))),({1,2,3,4,5,6,7,8,9,10,11,12,13,14,15,16,17,18,19,20,21,22,23,24,25,26,27,28,29,30}-1)*LEN(Registro!$F322)+1,LEN(Registro!$F322)))&amp;"x")-1))),"Revisar formato")))</f>
        <v/>
      </c>
      <c r="G322" s="24" t="str">
        <f>IF(Registro!$F322="","",IF(ISERROR(FIND("x",LOWER(Registro!$F322))),N(Registro!$G322),IFERROR(SUMPRODUCT(--("0"&amp;LEFT(TRIM(MID(SUBSTITUTE(SUBSTITUTE(SUBSTITUTE(SUBSTITUTE(SUBSTITUTE(LOWER(Registro!$F322)," ",""),CHAR(10),"|"),";","|"),"+","|"),"|",REPT(" ",LEN(Registro!$F322))),({1,2,3,4,5,6,7,8,9,10,11,12,13,14,15,16,17,18,19,20,21,22,23,24,25,26,27,28,29,30}-1)*LEN(Registro!$F322)+1,LEN(Registro!$F322))),FIND("x",TRIM(MID(SUBSTITUTE(SUBSTITUTE(SUBSTITUTE(SUBSTITUTE(SUBSTITUTE(LOWER(Registro!$F322)," ",""),CHAR(10),"|"),";","|"),"+","|"),"|",REPT(" ",LEN(Registro!$F322))),({1,2,3,4,5,6,7,8,9,10,11,12,13,14,15,16,17,18,19,20,21,22,23,24,25,26,27,28,29,30}-1)*LEN(Registro!$F322)+1,LEN(Registro!$F322)))&amp;"x")-1)),--("0"&amp;MID(TRIM(MID(SUBSTITUTE(SUBSTITUTE(SUBSTITUTE(SUBSTITUTE(SUBSTITUTE(LOWER(Registro!$F322)," ",""),CHAR(10),"|"),";","|"),"+","|"),"|",REPT(" ",LEN(Registro!$F322))),({1,2,3,4,5,6,7,8,9,10,11,12,13,14,15,16,17,18,19,20,21,22,23,24,25,26,27,28,29,30}-1)*LEN(Registro!$F322)+1,LEN(Registro!$F322))),FIND("x",TRIM(MID(SUBSTITUTE(SUBSTITUTE(SUBSTITUTE(SUBSTITUTE(SUBSTITUTE(LOWER(Registro!$F322)," ",""),CHAR(10),"|"),";","|"),"+","|"),"|",REPT(" ",LEN(Registro!$F322))),({1,2,3,4,5,6,7,8,9,10,11,12,13,14,15,16,17,18,19,20,21,22,23,24,25,26,27,28,29,30}-1)*LEN(Registro!$F322)+1,LEN(Registro!$F322)))&amp;"x")+1,20))),"Revisar formato")))</f>
        <v/>
      </c>
      <c r="H322" s="21" t="str">
        <f>IF(AND(Registro!$E322="",Registro!$F322=""),"",IF(NOT(AND(ISNUMBER(G322),ISNUMBER(Registro!$G322))),"",IF(G322&lt;Registro!$G322,"FALTA BOLETOS",IF(G322=Registro!$G322,"CONFORME","DIFERENCIA"))))</f>
        <v/>
      </c>
      <c r="I322" s="24" t="str">
        <f>IF(Registro!$H322="","",IFERROR(SUMPRODUCT(--("0"&amp;TRIM(RIGHT(SUBSTITUTE(TRIM(MID(SUBSTITUTE(SUBSTITUTE(Registro!$H322,";",CHAR(10)),CHAR(10),REPT(" ",LEN(Registro!$H322))),({1,2,3,4,5,6,7,8,9,10,11,12,13,14,15,16,17,18,19,20,21,22,23,24,25,26,27,28,29,30}-1)*LEN(Registro!$H322)+1,LEN(Registro!$H322)))," ",REPT(" ",50)),50)))),"Revisar formato"))</f>
        <v/>
      </c>
      <c r="J322" s="24" t="str">
        <f>IF(Registro!$I322="","",IFERROR(SUMPRODUCT(--("0"&amp;TRIM(RIGHT(SUBSTITUTE(TRIM(MID(SUBSTITUTE(SUBSTITUTE(Registro!$I322,";",CHAR(10)),CHAR(10),REPT(" ",LEN(Registro!$I322))),({1,2,3,4,5,6,7,8,9,10,11,12,13,14,15,16,17,18,19,20,21,22,23,24,25,26,27,28,29,30}-1)*LEN(Registro!$I322)+1,LEN(Registro!$I322)))," ",REPT(" ",50)),50)))),"Revisar formato"))</f>
        <v/>
      </c>
      <c r="K322" s="24" t="str">
        <f>IF(AND(Registro!$G322="",Registro!$H322=""),"",IF(AND(ISTEXT(I322),I322&lt;&gt;""),"Revisar formato",N(Registro!$G322)-N(I322)))</f>
        <v/>
      </c>
      <c r="L322" s="24" t="str">
        <f t="shared" ref="L322:L385" si="11">IF(K322="","",IF(OR(K322="Revisar formato",AND(ISTEXT(J322),J322&lt;&gt;"")),"Revisar formato",K322-N(J322)))</f>
        <v/>
      </c>
      <c r="M322" s="36" t="str">
        <f>IF(AND(A322=Consulta!$B$3,C322=Consulta!$H$3),B322*10000+ROW(),"")</f>
        <v/>
      </c>
    </row>
    <row r="323" spans="1:13" x14ac:dyDescent="0.25">
      <c r="A323" s="21" t="str">
        <f>IF(Registro!$A323="","",Registro!$A323)</f>
        <v/>
      </c>
      <c r="B323" s="20" t="str">
        <f>IF(Registro!$B323="","",Registro!$B323)</f>
        <v/>
      </c>
      <c r="C323" s="35" t="str">
        <f t="shared" si="10"/>
        <v/>
      </c>
      <c r="D323" s="23" t="str">
        <f>IF(Registro!$E323="","",IF(ISERROR(FIND("x",LOWER(Registro!$E323))),"-",IFERROR(SUMPRODUCT(--("0"&amp;LEFT(TRIM(MID(SUBSTITUTE(SUBSTITUTE(SUBSTITUTE(SUBSTITUTE(SUBSTITUTE(LOWER(Registro!$E323),"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",LEN(Registro!$E323))),({1,2,3,4,5,6,7,8,9,10,11,12,13,14,15,16,17,18,19,20,21,22,23,24,25,26,27,28,29,30}-1)*LEN(Registro!$E323)+1,LEN(Registro!$E323))),FIND("x",TRIM(MID(SUBSTITUTE(SUBSTITUTE(SUBSTITUTE(SUBSTITUTE(SUBSTITUTE(LOWER(Registro!$E323),"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",LEN(Registro!$E323))),({1,2,3,4,5,6,7,8,9,10,11,12,13,14,15,16,17,18,19,20,21,22,23,24,25,26,27,28,29,30}-1)*LEN(Registro!$E323)+1,LEN(Registro!$E323)))&amp;"x")-1))),"Revisar formato")))</f>
        <v/>
      </c>
      <c r="E323" s="24" t="str">
        <f>IF(Registro!$E323="","",IF(ISERROR(FIND("x",LOWER(Registro!$E323))),"-",IFERROR(SUMPRODUCT(--("0"&amp;LEFT(TRIM(MID(SUBSTITUTE(SUBSTITUTE(SUBSTITUTE(SUBSTITUTE(SUBSTITUTE(LOWER(Registro!$E323),"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",LEN(Registro!$E323))),({1,2,3,4,5,6,7,8,9,10,11,12,13,14,15,16,17,18,19,20,21,22,23,24,25,26,27,28,29,30}-1)*LEN(Registro!$E323)+1,LEN(Registro!$E323))),FIND("x",TRIM(MID(SUBSTITUTE(SUBSTITUTE(SUBSTITUTE(SUBSTITUTE(SUBSTITUTE(LOWER(Registro!$E323),"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",LEN(Registro!$E323))),({1,2,3,4,5,6,7,8,9,10,11,12,13,14,15,16,17,18,19,20,21,22,23,24,25,26,27,28,29,30}-1)*LEN(Registro!$E323)+1,LEN(Registro!$E323)))&amp;"x")-1)),--("0"&amp;MID(TRIM(MID(SUBSTITUTE(SUBSTITUTE(SUBSTITUTE(SUBSTITUTE(SUBSTITUTE(LOWER(Registro!$E323),"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",LEN(Registro!$E323))),({1,2,3,4,5,6,7,8,9,10,11,12,13,14,15,16,17,18,19,20,21,22,23,24,25,26,27,28,29,30}-1)*LEN(Registro!$E323)+1,LEN(Registro!$E323))),FIND("x",TRIM(MID(SUBSTITUTE(SUBSTITUTE(SUBSTITUTE(SUBSTITUTE(SUBSTITUTE(LOWER(Registro!$E323),"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",LEN(Registro!$E323))),({1,2,3,4,5,6,7,8,9,10,11,12,13,14,15,16,17,18,19,20,21,22,23,24,25,26,27,28,29,30}-1)*LEN(Registro!$E323)+1,LEN(Registro!$E323)))&amp;"x")+1,20))),"Revisar formato")))</f>
        <v/>
      </c>
      <c r="F323" s="23" t="str">
        <f>IF(Registro!$F323="","",IF(ISERROR(FIND("x",LOWER(Registro!$F323))),"-",IFERROR(SUMPRODUCT(--("0"&amp;LEFT(TRIM(MID(SUBSTITUTE(SUBSTITUTE(SUBSTITUTE(SUBSTITUTE(SUBSTITUTE(LOWER(Registro!$F323)," ",""),CHAR(10),"|"),";","|"),"+","|"),"|",REPT(" ",LEN(Registro!$F323))),({1,2,3,4,5,6,7,8,9,10,11,12,13,14,15,16,17,18,19,20,21,22,23,24,25,26,27,28,29,30}-1)*LEN(Registro!$F323)+1,LEN(Registro!$F323))),FIND("x",TRIM(MID(SUBSTITUTE(SUBSTITUTE(SUBSTITUTE(SUBSTITUTE(SUBSTITUTE(LOWER(Registro!$F323)," ",""),CHAR(10),"|"),";","|"),"+","|"),"|",REPT(" ",LEN(Registro!$F323))),({1,2,3,4,5,6,7,8,9,10,11,12,13,14,15,16,17,18,19,20,21,22,23,24,25,26,27,28,29,30}-1)*LEN(Registro!$F323)+1,LEN(Registro!$F323)))&amp;"x")-1))),"Revisar formato")))</f>
        <v/>
      </c>
      <c r="G323" s="24" t="str">
        <f>IF(Registro!$F323="","",IF(ISERROR(FIND("x",LOWER(Registro!$F323))),N(Registro!$G323),IFERROR(SUMPRODUCT(--("0"&amp;LEFT(TRIM(MID(SUBSTITUTE(SUBSTITUTE(SUBSTITUTE(SUBSTITUTE(SUBSTITUTE(LOWER(Registro!$F323)," ",""),CHAR(10),"|"),";","|"),"+","|"),"|",REPT(" ",LEN(Registro!$F323))),({1,2,3,4,5,6,7,8,9,10,11,12,13,14,15,16,17,18,19,20,21,22,23,24,25,26,27,28,29,30}-1)*LEN(Registro!$F323)+1,LEN(Registro!$F323))),FIND("x",TRIM(MID(SUBSTITUTE(SUBSTITUTE(SUBSTITUTE(SUBSTITUTE(SUBSTITUTE(LOWER(Registro!$F323)," ",""),CHAR(10),"|"),";","|"),"+","|"),"|",REPT(" ",LEN(Registro!$F323))),({1,2,3,4,5,6,7,8,9,10,11,12,13,14,15,16,17,18,19,20,21,22,23,24,25,26,27,28,29,30}-1)*LEN(Registro!$F323)+1,LEN(Registro!$F323)))&amp;"x")-1)),--("0"&amp;MID(TRIM(MID(SUBSTITUTE(SUBSTITUTE(SUBSTITUTE(SUBSTITUTE(SUBSTITUTE(LOWER(Registro!$F323)," ",""),CHAR(10),"|"),";","|"),"+","|"),"|",REPT(" ",LEN(Registro!$F323))),({1,2,3,4,5,6,7,8,9,10,11,12,13,14,15,16,17,18,19,20,21,22,23,24,25,26,27,28,29,30}-1)*LEN(Registro!$F323)+1,LEN(Registro!$F323))),FIND("x",TRIM(MID(SUBSTITUTE(SUBSTITUTE(SUBSTITUTE(SUBSTITUTE(SUBSTITUTE(LOWER(Registro!$F323)," ",""),CHAR(10),"|"),";","|"),"+","|"),"|",REPT(" ",LEN(Registro!$F323))),({1,2,3,4,5,6,7,8,9,10,11,12,13,14,15,16,17,18,19,20,21,22,23,24,25,26,27,28,29,30}-1)*LEN(Registro!$F323)+1,LEN(Registro!$F323)))&amp;"x")+1,20))),"Revisar formato")))</f>
        <v/>
      </c>
      <c r="H323" s="21" t="str">
        <f>IF(AND(Registro!$E323="",Registro!$F323=""),"",IF(NOT(AND(ISNUMBER(G323),ISNUMBER(Registro!$G323))),"",IF(G323&lt;Registro!$G323,"FALTA BOLETOS",IF(G323=Registro!$G323,"CONFORME","DIFERENCIA"))))</f>
        <v/>
      </c>
      <c r="I323" s="24" t="str">
        <f>IF(Registro!$H323="","",IFERROR(SUMPRODUCT(--("0"&amp;TRIM(RIGHT(SUBSTITUTE(TRIM(MID(SUBSTITUTE(SUBSTITUTE(Registro!$H323,";",CHAR(10)),CHAR(10),REPT(" ",LEN(Registro!$H323))),({1,2,3,4,5,6,7,8,9,10,11,12,13,14,15,16,17,18,19,20,21,22,23,24,25,26,27,28,29,30}-1)*LEN(Registro!$H323)+1,LEN(Registro!$H323)))," ",REPT(" ",50)),50)))),"Revisar formato"))</f>
        <v/>
      </c>
      <c r="J323" s="24" t="str">
        <f>IF(Registro!$I323="","",IFERROR(SUMPRODUCT(--("0"&amp;TRIM(RIGHT(SUBSTITUTE(TRIM(MID(SUBSTITUTE(SUBSTITUTE(Registro!$I323,";",CHAR(10)),CHAR(10),REPT(" ",LEN(Registro!$I323))),({1,2,3,4,5,6,7,8,9,10,11,12,13,14,15,16,17,18,19,20,21,22,23,24,25,26,27,28,29,30}-1)*LEN(Registro!$I323)+1,LEN(Registro!$I323)))," ",REPT(" ",50)),50)))),"Revisar formato"))</f>
        <v/>
      </c>
      <c r="K323" s="24" t="str">
        <f>IF(AND(Registro!$G323="",Registro!$H323=""),"",IF(AND(ISTEXT(I323),I323&lt;&gt;""),"Revisar formato",N(Registro!$G323)-N(I323)))</f>
        <v/>
      </c>
      <c r="L323" s="24" t="str">
        <f t="shared" si="11"/>
        <v/>
      </c>
      <c r="M323" s="36" t="str">
        <f>IF(AND(A323=Consulta!$B$3,C323=Consulta!$H$3),B323*10000+ROW(),"")</f>
        <v/>
      </c>
    </row>
    <row r="324" spans="1:13" x14ac:dyDescent="0.25">
      <c r="A324" s="21" t="str">
        <f>IF(Registro!$A324="","",Registro!$A324)</f>
        <v/>
      </c>
      <c r="B324" s="20" t="str">
        <f>IF(Registro!$B324="","",Registro!$B324)</f>
        <v/>
      </c>
      <c r="C324" s="35" t="str">
        <f t="shared" si="10"/>
        <v/>
      </c>
      <c r="D324" s="23" t="str">
        <f>IF(Registro!$E324="","",IF(ISERROR(FIND("x",LOWER(Registro!$E324))),"-",IFERROR(SUMPRODUCT(--("0"&amp;LEFT(TRIM(MID(SUBSTITUTE(SUBSTITUTE(SUBSTITUTE(SUBSTITUTE(SUBSTITUTE(LOWER(Registro!$E324),"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",LEN(Registro!$E324))),({1,2,3,4,5,6,7,8,9,10,11,12,13,14,15,16,17,18,19,20,21,22,23,24,25,26,27,28,29,30}-1)*LEN(Registro!$E324)+1,LEN(Registro!$E324))),FIND("x",TRIM(MID(SUBSTITUTE(SUBSTITUTE(SUBSTITUTE(SUBSTITUTE(SUBSTITUTE(LOWER(Registro!$E324),"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",LEN(Registro!$E324))),({1,2,3,4,5,6,7,8,9,10,11,12,13,14,15,16,17,18,19,20,21,22,23,24,25,26,27,28,29,30}-1)*LEN(Registro!$E324)+1,LEN(Registro!$E324)))&amp;"x")-1))),"Revisar formato")))</f>
        <v/>
      </c>
      <c r="E324" s="24" t="str">
        <f>IF(Registro!$E324="","",IF(ISERROR(FIND("x",LOWER(Registro!$E324))),"-",IFERROR(SUMPRODUCT(--("0"&amp;LEFT(TRIM(MID(SUBSTITUTE(SUBSTITUTE(SUBSTITUTE(SUBSTITUTE(SUBSTITUTE(LOWER(Registro!$E324),"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",LEN(Registro!$E324))),({1,2,3,4,5,6,7,8,9,10,11,12,13,14,15,16,17,18,19,20,21,22,23,24,25,26,27,28,29,30}-1)*LEN(Registro!$E324)+1,LEN(Registro!$E324))),FIND("x",TRIM(MID(SUBSTITUTE(SUBSTITUTE(SUBSTITUTE(SUBSTITUTE(SUBSTITUTE(LOWER(Registro!$E324),"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",LEN(Registro!$E324))),({1,2,3,4,5,6,7,8,9,10,11,12,13,14,15,16,17,18,19,20,21,22,23,24,25,26,27,28,29,30}-1)*LEN(Registro!$E324)+1,LEN(Registro!$E324)))&amp;"x")-1)),--("0"&amp;MID(TRIM(MID(SUBSTITUTE(SUBSTITUTE(SUBSTITUTE(SUBSTITUTE(SUBSTITUTE(LOWER(Registro!$E324),"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",LEN(Registro!$E324))),({1,2,3,4,5,6,7,8,9,10,11,12,13,14,15,16,17,18,19,20,21,22,23,24,25,26,27,28,29,30}-1)*LEN(Registro!$E324)+1,LEN(Registro!$E324))),FIND("x",TRIM(MID(SUBSTITUTE(SUBSTITUTE(SUBSTITUTE(SUBSTITUTE(SUBSTITUTE(LOWER(Registro!$E324),"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",LEN(Registro!$E324))),({1,2,3,4,5,6,7,8,9,10,11,12,13,14,15,16,17,18,19,20,21,22,23,24,25,26,27,28,29,30}-1)*LEN(Registro!$E324)+1,LEN(Registro!$E324)))&amp;"x")+1,20))),"Revisar formato")))</f>
        <v/>
      </c>
      <c r="F324" s="23" t="str">
        <f>IF(Registro!$F324="","",IF(ISERROR(FIND("x",LOWER(Registro!$F324))),"-",IFERROR(SUMPRODUCT(--("0"&amp;LEFT(TRIM(MID(SUBSTITUTE(SUBSTITUTE(SUBSTITUTE(SUBSTITUTE(SUBSTITUTE(LOWER(Registro!$F324)," ",""),CHAR(10),"|"),";","|"),"+","|"),"|",REPT(" ",LEN(Registro!$F324))),({1,2,3,4,5,6,7,8,9,10,11,12,13,14,15,16,17,18,19,20,21,22,23,24,25,26,27,28,29,30}-1)*LEN(Registro!$F324)+1,LEN(Registro!$F324))),FIND("x",TRIM(MID(SUBSTITUTE(SUBSTITUTE(SUBSTITUTE(SUBSTITUTE(SUBSTITUTE(LOWER(Registro!$F324)," ",""),CHAR(10),"|"),";","|"),"+","|"),"|",REPT(" ",LEN(Registro!$F324))),({1,2,3,4,5,6,7,8,9,10,11,12,13,14,15,16,17,18,19,20,21,22,23,24,25,26,27,28,29,30}-1)*LEN(Registro!$F324)+1,LEN(Registro!$F324)))&amp;"x")-1))),"Revisar formato")))</f>
        <v/>
      </c>
      <c r="G324" s="24" t="str">
        <f>IF(Registro!$F324="","",IF(ISERROR(FIND("x",LOWER(Registro!$F324))),N(Registro!$G324),IFERROR(SUMPRODUCT(--("0"&amp;LEFT(TRIM(MID(SUBSTITUTE(SUBSTITUTE(SUBSTITUTE(SUBSTITUTE(SUBSTITUTE(LOWER(Registro!$F324)," ",""),CHAR(10),"|"),";","|"),"+","|"),"|",REPT(" ",LEN(Registro!$F324))),({1,2,3,4,5,6,7,8,9,10,11,12,13,14,15,16,17,18,19,20,21,22,23,24,25,26,27,28,29,30}-1)*LEN(Registro!$F324)+1,LEN(Registro!$F324))),FIND("x",TRIM(MID(SUBSTITUTE(SUBSTITUTE(SUBSTITUTE(SUBSTITUTE(SUBSTITUTE(LOWER(Registro!$F324)," ",""),CHAR(10),"|"),";","|"),"+","|"),"|",REPT(" ",LEN(Registro!$F324))),({1,2,3,4,5,6,7,8,9,10,11,12,13,14,15,16,17,18,19,20,21,22,23,24,25,26,27,28,29,30}-1)*LEN(Registro!$F324)+1,LEN(Registro!$F324)))&amp;"x")-1)),--("0"&amp;MID(TRIM(MID(SUBSTITUTE(SUBSTITUTE(SUBSTITUTE(SUBSTITUTE(SUBSTITUTE(LOWER(Registro!$F324)," ",""),CHAR(10),"|"),";","|"),"+","|"),"|",REPT(" ",LEN(Registro!$F324))),({1,2,3,4,5,6,7,8,9,10,11,12,13,14,15,16,17,18,19,20,21,22,23,24,25,26,27,28,29,30}-1)*LEN(Registro!$F324)+1,LEN(Registro!$F324))),FIND("x",TRIM(MID(SUBSTITUTE(SUBSTITUTE(SUBSTITUTE(SUBSTITUTE(SUBSTITUTE(LOWER(Registro!$F324)," ",""),CHAR(10),"|"),";","|"),"+","|"),"|",REPT(" ",LEN(Registro!$F324))),({1,2,3,4,5,6,7,8,9,10,11,12,13,14,15,16,17,18,19,20,21,22,23,24,25,26,27,28,29,30}-1)*LEN(Registro!$F324)+1,LEN(Registro!$F324)))&amp;"x")+1,20))),"Revisar formato")))</f>
        <v/>
      </c>
      <c r="H324" s="21" t="str">
        <f>IF(AND(Registro!$E324="",Registro!$F324=""),"",IF(NOT(AND(ISNUMBER(G324),ISNUMBER(Registro!$G324))),"",IF(G324&lt;Registro!$G324,"FALTA BOLETOS",IF(G324=Registro!$G324,"CONFORME","DIFERENCIA"))))</f>
        <v/>
      </c>
      <c r="I324" s="24" t="str">
        <f>IF(Registro!$H324="","",IFERROR(SUMPRODUCT(--("0"&amp;TRIM(RIGHT(SUBSTITUTE(TRIM(MID(SUBSTITUTE(SUBSTITUTE(Registro!$H324,";",CHAR(10)),CHAR(10),REPT(" ",LEN(Registro!$H324))),({1,2,3,4,5,6,7,8,9,10,11,12,13,14,15,16,17,18,19,20,21,22,23,24,25,26,27,28,29,30}-1)*LEN(Registro!$H324)+1,LEN(Registro!$H324)))," ",REPT(" ",50)),50)))),"Revisar formato"))</f>
        <v/>
      </c>
      <c r="J324" s="24" t="str">
        <f>IF(Registro!$I324="","",IFERROR(SUMPRODUCT(--("0"&amp;TRIM(RIGHT(SUBSTITUTE(TRIM(MID(SUBSTITUTE(SUBSTITUTE(Registro!$I324,";",CHAR(10)),CHAR(10),REPT(" ",LEN(Registro!$I324))),({1,2,3,4,5,6,7,8,9,10,11,12,13,14,15,16,17,18,19,20,21,22,23,24,25,26,27,28,29,30}-1)*LEN(Registro!$I324)+1,LEN(Registro!$I324)))," ",REPT(" ",50)),50)))),"Revisar formato"))</f>
        <v/>
      </c>
      <c r="K324" s="24" t="str">
        <f>IF(AND(Registro!$G324="",Registro!$H324=""),"",IF(AND(ISTEXT(I324),I324&lt;&gt;""),"Revisar formato",N(Registro!$G324)-N(I324)))</f>
        <v/>
      </c>
      <c r="L324" s="24" t="str">
        <f t="shared" si="11"/>
        <v/>
      </c>
      <c r="M324" s="36" t="str">
        <f>IF(AND(A324=Consulta!$B$3,C324=Consulta!$H$3),B324*10000+ROW(),"")</f>
        <v/>
      </c>
    </row>
    <row r="325" spans="1:13" x14ac:dyDescent="0.25">
      <c r="A325" s="21" t="str">
        <f>IF(Registro!$A325="","",Registro!$A325)</f>
        <v/>
      </c>
      <c r="B325" s="20" t="str">
        <f>IF(Registro!$B325="","",Registro!$B325)</f>
        <v/>
      </c>
      <c r="C325" s="35" t="str">
        <f t="shared" si="10"/>
        <v/>
      </c>
      <c r="D325" s="23" t="str">
        <f>IF(Registro!$E325="","",IF(ISERROR(FIND("x",LOWER(Registro!$E325))),"-",IFERROR(SUMPRODUCT(--("0"&amp;LEFT(TRIM(MID(SUBSTITUTE(SUBSTITUTE(SUBSTITUTE(SUBSTITUTE(SUBSTITUTE(LOWER(Registro!$E325),"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",LEN(Registro!$E325))),({1,2,3,4,5,6,7,8,9,10,11,12,13,14,15,16,17,18,19,20,21,22,23,24,25,26,27,28,29,30}-1)*LEN(Registro!$E325)+1,LEN(Registro!$E325))),FIND("x",TRIM(MID(SUBSTITUTE(SUBSTITUTE(SUBSTITUTE(SUBSTITUTE(SUBSTITUTE(LOWER(Registro!$E325),"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",LEN(Registro!$E325))),({1,2,3,4,5,6,7,8,9,10,11,12,13,14,15,16,17,18,19,20,21,22,23,24,25,26,27,28,29,30}-1)*LEN(Registro!$E325)+1,LEN(Registro!$E325)))&amp;"x")-1))),"Revisar formato")))</f>
        <v/>
      </c>
      <c r="E325" s="24" t="str">
        <f>IF(Registro!$E325="","",IF(ISERROR(FIND("x",LOWER(Registro!$E325))),"-",IFERROR(SUMPRODUCT(--("0"&amp;LEFT(TRIM(MID(SUBSTITUTE(SUBSTITUTE(SUBSTITUTE(SUBSTITUTE(SUBSTITUTE(LOWER(Registro!$E325),"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",LEN(Registro!$E325))),({1,2,3,4,5,6,7,8,9,10,11,12,13,14,15,16,17,18,19,20,21,22,23,24,25,26,27,28,29,30}-1)*LEN(Registro!$E325)+1,LEN(Registro!$E325))),FIND("x",TRIM(MID(SUBSTITUTE(SUBSTITUTE(SUBSTITUTE(SUBSTITUTE(SUBSTITUTE(LOWER(Registro!$E325),"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",LEN(Registro!$E325))),({1,2,3,4,5,6,7,8,9,10,11,12,13,14,15,16,17,18,19,20,21,22,23,24,25,26,27,28,29,30}-1)*LEN(Registro!$E325)+1,LEN(Registro!$E325)))&amp;"x")-1)),--("0"&amp;MID(TRIM(MID(SUBSTITUTE(SUBSTITUTE(SUBSTITUTE(SUBSTITUTE(SUBSTITUTE(LOWER(Registro!$E325),"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",LEN(Registro!$E325))),({1,2,3,4,5,6,7,8,9,10,11,12,13,14,15,16,17,18,19,20,21,22,23,24,25,26,27,28,29,30}-1)*LEN(Registro!$E325)+1,LEN(Registro!$E325))),FIND("x",TRIM(MID(SUBSTITUTE(SUBSTITUTE(SUBSTITUTE(SUBSTITUTE(SUBSTITUTE(LOWER(Registro!$E325),"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",LEN(Registro!$E325))),({1,2,3,4,5,6,7,8,9,10,11,12,13,14,15,16,17,18,19,20,21,22,23,24,25,26,27,28,29,30}-1)*LEN(Registro!$E325)+1,LEN(Registro!$E325)))&amp;"x")+1,20))),"Revisar formato")))</f>
        <v/>
      </c>
      <c r="F325" s="23" t="str">
        <f>IF(Registro!$F325="","",IF(ISERROR(FIND("x",LOWER(Registro!$F325))),"-",IFERROR(SUMPRODUCT(--("0"&amp;LEFT(TRIM(MID(SUBSTITUTE(SUBSTITUTE(SUBSTITUTE(SUBSTITUTE(SUBSTITUTE(LOWER(Registro!$F325)," ",""),CHAR(10),"|"),";","|"),"+","|"),"|",REPT(" ",LEN(Registro!$F325))),({1,2,3,4,5,6,7,8,9,10,11,12,13,14,15,16,17,18,19,20,21,22,23,24,25,26,27,28,29,30}-1)*LEN(Registro!$F325)+1,LEN(Registro!$F325))),FIND("x",TRIM(MID(SUBSTITUTE(SUBSTITUTE(SUBSTITUTE(SUBSTITUTE(SUBSTITUTE(LOWER(Registro!$F325)," ",""),CHAR(10),"|"),";","|"),"+","|"),"|",REPT(" ",LEN(Registro!$F325))),({1,2,3,4,5,6,7,8,9,10,11,12,13,14,15,16,17,18,19,20,21,22,23,24,25,26,27,28,29,30}-1)*LEN(Registro!$F325)+1,LEN(Registro!$F325)))&amp;"x")-1))),"Revisar formato")))</f>
        <v/>
      </c>
      <c r="G325" s="24" t="str">
        <f>IF(Registro!$F325="","",IF(ISERROR(FIND("x",LOWER(Registro!$F325))),N(Registro!$G325),IFERROR(SUMPRODUCT(--("0"&amp;LEFT(TRIM(MID(SUBSTITUTE(SUBSTITUTE(SUBSTITUTE(SUBSTITUTE(SUBSTITUTE(LOWER(Registro!$F325)," ",""),CHAR(10),"|"),";","|"),"+","|"),"|",REPT(" ",LEN(Registro!$F325))),({1,2,3,4,5,6,7,8,9,10,11,12,13,14,15,16,17,18,19,20,21,22,23,24,25,26,27,28,29,30}-1)*LEN(Registro!$F325)+1,LEN(Registro!$F325))),FIND("x",TRIM(MID(SUBSTITUTE(SUBSTITUTE(SUBSTITUTE(SUBSTITUTE(SUBSTITUTE(LOWER(Registro!$F325)," ",""),CHAR(10),"|"),";","|"),"+","|"),"|",REPT(" ",LEN(Registro!$F325))),({1,2,3,4,5,6,7,8,9,10,11,12,13,14,15,16,17,18,19,20,21,22,23,24,25,26,27,28,29,30}-1)*LEN(Registro!$F325)+1,LEN(Registro!$F325)))&amp;"x")-1)),--("0"&amp;MID(TRIM(MID(SUBSTITUTE(SUBSTITUTE(SUBSTITUTE(SUBSTITUTE(SUBSTITUTE(LOWER(Registro!$F325)," ",""),CHAR(10),"|"),";","|"),"+","|"),"|",REPT(" ",LEN(Registro!$F325))),({1,2,3,4,5,6,7,8,9,10,11,12,13,14,15,16,17,18,19,20,21,22,23,24,25,26,27,28,29,30}-1)*LEN(Registro!$F325)+1,LEN(Registro!$F325))),FIND("x",TRIM(MID(SUBSTITUTE(SUBSTITUTE(SUBSTITUTE(SUBSTITUTE(SUBSTITUTE(LOWER(Registro!$F325)," ",""),CHAR(10),"|"),";","|"),"+","|"),"|",REPT(" ",LEN(Registro!$F325))),({1,2,3,4,5,6,7,8,9,10,11,12,13,14,15,16,17,18,19,20,21,22,23,24,25,26,27,28,29,30}-1)*LEN(Registro!$F325)+1,LEN(Registro!$F325)))&amp;"x")+1,20))),"Revisar formato")))</f>
        <v/>
      </c>
      <c r="H325" s="21" t="str">
        <f>IF(AND(Registro!$E325="",Registro!$F325=""),"",IF(NOT(AND(ISNUMBER(G325),ISNUMBER(Registro!$G325))),"",IF(G325&lt;Registro!$G325,"FALTA BOLETOS",IF(G325=Registro!$G325,"CONFORME","DIFERENCIA"))))</f>
        <v/>
      </c>
      <c r="I325" s="24" t="str">
        <f>IF(Registro!$H325="","",IFERROR(SUMPRODUCT(--("0"&amp;TRIM(RIGHT(SUBSTITUTE(TRIM(MID(SUBSTITUTE(SUBSTITUTE(Registro!$H325,";",CHAR(10)),CHAR(10),REPT(" ",LEN(Registro!$H325))),({1,2,3,4,5,6,7,8,9,10,11,12,13,14,15,16,17,18,19,20,21,22,23,24,25,26,27,28,29,30}-1)*LEN(Registro!$H325)+1,LEN(Registro!$H325)))," ",REPT(" ",50)),50)))),"Revisar formato"))</f>
        <v/>
      </c>
      <c r="J325" s="24" t="str">
        <f>IF(Registro!$I325="","",IFERROR(SUMPRODUCT(--("0"&amp;TRIM(RIGHT(SUBSTITUTE(TRIM(MID(SUBSTITUTE(SUBSTITUTE(Registro!$I325,";",CHAR(10)),CHAR(10),REPT(" ",LEN(Registro!$I325))),({1,2,3,4,5,6,7,8,9,10,11,12,13,14,15,16,17,18,19,20,21,22,23,24,25,26,27,28,29,30}-1)*LEN(Registro!$I325)+1,LEN(Registro!$I325)))," ",REPT(" ",50)),50)))),"Revisar formato"))</f>
        <v/>
      </c>
      <c r="K325" s="24" t="str">
        <f>IF(AND(Registro!$G325="",Registro!$H325=""),"",IF(AND(ISTEXT(I325),I325&lt;&gt;""),"Revisar formato",N(Registro!$G325)-N(I325)))</f>
        <v/>
      </c>
      <c r="L325" s="24" t="str">
        <f t="shared" si="11"/>
        <v/>
      </c>
      <c r="M325" s="36" t="str">
        <f>IF(AND(A325=Consulta!$B$3,C325=Consulta!$H$3),B325*10000+ROW(),"")</f>
        <v/>
      </c>
    </row>
    <row r="326" spans="1:13" x14ac:dyDescent="0.25">
      <c r="A326" s="21" t="str">
        <f>IF(Registro!$A326="","",Registro!$A326)</f>
        <v/>
      </c>
      <c r="B326" s="20" t="str">
        <f>IF(Registro!$B326="","",Registro!$B326)</f>
        <v/>
      </c>
      <c r="C326" s="35" t="str">
        <f t="shared" si="10"/>
        <v/>
      </c>
      <c r="D326" s="23" t="str">
        <f>IF(Registro!$E326="","",IF(ISERROR(FIND("x",LOWER(Registro!$E326))),"-",IFERROR(SUMPRODUCT(--("0"&amp;LEFT(TRIM(MID(SUBSTITUTE(SUBSTITUTE(SUBSTITUTE(SUBSTITUTE(SUBSTITUTE(LOWER(Registro!$E326),"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",LEN(Registro!$E326))),({1,2,3,4,5,6,7,8,9,10,11,12,13,14,15,16,17,18,19,20,21,22,23,24,25,26,27,28,29,30}-1)*LEN(Registro!$E326)+1,LEN(Registro!$E326))),FIND("x",TRIM(MID(SUBSTITUTE(SUBSTITUTE(SUBSTITUTE(SUBSTITUTE(SUBSTITUTE(LOWER(Registro!$E326),"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",LEN(Registro!$E326))),({1,2,3,4,5,6,7,8,9,10,11,12,13,14,15,16,17,18,19,20,21,22,23,24,25,26,27,28,29,30}-1)*LEN(Registro!$E326)+1,LEN(Registro!$E326)))&amp;"x")-1))),"Revisar formato")))</f>
        <v/>
      </c>
      <c r="E326" s="24" t="str">
        <f>IF(Registro!$E326="","",IF(ISERROR(FIND("x",LOWER(Registro!$E326))),"-",IFERROR(SUMPRODUCT(--("0"&amp;LEFT(TRIM(MID(SUBSTITUTE(SUBSTITUTE(SUBSTITUTE(SUBSTITUTE(SUBSTITUTE(LOWER(Registro!$E326),"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",LEN(Registro!$E326))),({1,2,3,4,5,6,7,8,9,10,11,12,13,14,15,16,17,18,19,20,21,22,23,24,25,26,27,28,29,30}-1)*LEN(Registro!$E326)+1,LEN(Registro!$E326))),FIND("x",TRIM(MID(SUBSTITUTE(SUBSTITUTE(SUBSTITUTE(SUBSTITUTE(SUBSTITUTE(LOWER(Registro!$E326),"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",LEN(Registro!$E326))),({1,2,3,4,5,6,7,8,9,10,11,12,13,14,15,16,17,18,19,20,21,22,23,24,25,26,27,28,29,30}-1)*LEN(Registro!$E326)+1,LEN(Registro!$E326)))&amp;"x")-1)),--("0"&amp;MID(TRIM(MID(SUBSTITUTE(SUBSTITUTE(SUBSTITUTE(SUBSTITUTE(SUBSTITUTE(LOWER(Registro!$E326),"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",LEN(Registro!$E326))),({1,2,3,4,5,6,7,8,9,10,11,12,13,14,15,16,17,18,19,20,21,22,23,24,25,26,27,28,29,30}-1)*LEN(Registro!$E326)+1,LEN(Registro!$E326))),FIND("x",TRIM(MID(SUBSTITUTE(SUBSTITUTE(SUBSTITUTE(SUBSTITUTE(SUBSTITUTE(LOWER(Registro!$E326),"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",LEN(Registro!$E326))),({1,2,3,4,5,6,7,8,9,10,11,12,13,14,15,16,17,18,19,20,21,22,23,24,25,26,27,28,29,30}-1)*LEN(Registro!$E326)+1,LEN(Registro!$E326)))&amp;"x")+1,20))),"Revisar formato")))</f>
        <v/>
      </c>
      <c r="F326" s="23" t="str">
        <f>IF(Registro!$F326="","",IF(ISERROR(FIND("x",LOWER(Registro!$F326))),"-",IFERROR(SUMPRODUCT(--("0"&amp;LEFT(TRIM(MID(SUBSTITUTE(SUBSTITUTE(SUBSTITUTE(SUBSTITUTE(SUBSTITUTE(LOWER(Registro!$F326)," ",""),CHAR(10),"|"),";","|"),"+","|"),"|",REPT(" ",LEN(Registro!$F326))),({1,2,3,4,5,6,7,8,9,10,11,12,13,14,15,16,17,18,19,20,21,22,23,24,25,26,27,28,29,30}-1)*LEN(Registro!$F326)+1,LEN(Registro!$F326))),FIND("x",TRIM(MID(SUBSTITUTE(SUBSTITUTE(SUBSTITUTE(SUBSTITUTE(SUBSTITUTE(LOWER(Registro!$F326)," ",""),CHAR(10),"|"),";","|"),"+","|"),"|",REPT(" ",LEN(Registro!$F326))),({1,2,3,4,5,6,7,8,9,10,11,12,13,14,15,16,17,18,19,20,21,22,23,24,25,26,27,28,29,30}-1)*LEN(Registro!$F326)+1,LEN(Registro!$F326)))&amp;"x")-1))),"Revisar formato")))</f>
        <v/>
      </c>
      <c r="G326" s="24" t="str">
        <f>IF(Registro!$F326="","",IF(ISERROR(FIND("x",LOWER(Registro!$F326))),N(Registro!$G326),IFERROR(SUMPRODUCT(--("0"&amp;LEFT(TRIM(MID(SUBSTITUTE(SUBSTITUTE(SUBSTITUTE(SUBSTITUTE(SUBSTITUTE(LOWER(Registro!$F326)," ",""),CHAR(10),"|"),";","|"),"+","|"),"|",REPT(" ",LEN(Registro!$F326))),({1,2,3,4,5,6,7,8,9,10,11,12,13,14,15,16,17,18,19,20,21,22,23,24,25,26,27,28,29,30}-1)*LEN(Registro!$F326)+1,LEN(Registro!$F326))),FIND("x",TRIM(MID(SUBSTITUTE(SUBSTITUTE(SUBSTITUTE(SUBSTITUTE(SUBSTITUTE(LOWER(Registro!$F326)," ",""),CHAR(10),"|"),";","|"),"+","|"),"|",REPT(" ",LEN(Registro!$F326))),({1,2,3,4,5,6,7,8,9,10,11,12,13,14,15,16,17,18,19,20,21,22,23,24,25,26,27,28,29,30}-1)*LEN(Registro!$F326)+1,LEN(Registro!$F326)))&amp;"x")-1)),--("0"&amp;MID(TRIM(MID(SUBSTITUTE(SUBSTITUTE(SUBSTITUTE(SUBSTITUTE(SUBSTITUTE(LOWER(Registro!$F326)," ",""),CHAR(10),"|"),";","|"),"+","|"),"|",REPT(" ",LEN(Registro!$F326))),({1,2,3,4,5,6,7,8,9,10,11,12,13,14,15,16,17,18,19,20,21,22,23,24,25,26,27,28,29,30}-1)*LEN(Registro!$F326)+1,LEN(Registro!$F326))),FIND("x",TRIM(MID(SUBSTITUTE(SUBSTITUTE(SUBSTITUTE(SUBSTITUTE(SUBSTITUTE(LOWER(Registro!$F326)," ",""),CHAR(10),"|"),";","|"),"+","|"),"|",REPT(" ",LEN(Registro!$F326))),({1,2,3,4,5,6,7,8,9,10,11,12,13,14,15,16,17,18,19,20,21,22,23,24,25,26,27,28,29,30}-1)*LEN(Registro!$F326)+1,LEN(Registro!$F326)))&amp;"x")+1,20))),"Revisar formato")))</f>
        <v/>
      </c>
      <c r="H326" s="21" t="str">
        <f>IF(AND(Registro!$E326="",Registro!$F326=""),"",IF(NOT(AND(ISNUMBER(G326),ISNUMBER(Registro!$G326))),"",IF(G326&lt;Registro!$G326,"FALTA BOLETOS",IF(G326=Registro!$G326,"CONFORME","DIFERENCIA"))))</f>
        <v/>
      </c>
      <c r="I326" s="24" t="str">
        <f>IF(Registro!$H326="","",IFERROR(SUMPRODUCT(--("0"&amp;TRIM(RIGHT(SUBSTITUTE(TRIM(MID(SUBSTITUTE(SUBSTITUTE(Registro!$H326,";",CHAR(10)),CHAR(10),REPT(" ",LEN(Registro!$H326))),({1,2,3,4,5,6,7,8,9,10,11,12,13,14,15,16,17,18,19,20,21,22,23,24,25,26,27,28,29,30}-1)*LEN(Registro!$H326)+1,LEN(Registro!$H326)))," ",REPT(" ",50)),50)))),"Revisar formato"))</f>
        <v/>
      </c>
      <c r="J326" s="24" t="str">
        <f>IF(Registro!$I326="","",IFERROR(SUMPRODUCT(--("0"&amp;TRIM(RIGHT(SUBSTITUTE(TRIM(MID(SUBSTITUTE(SUBSTITUTE(Registro!$I326,";",CHAR(10)),CHAR(10),REPT(" ",LEN(Registro!$I326))),({1,2,3,4,5,6,7,8,9,10,11,12,13,14,15,16,17,18,19,20,21,22,23,24,25,26,27,28,29,30}-1)*LEN(Registro!$I326)+1,LEN(Registro!$I326)))," ",REPT(" ",50)),50)))),"Revisar formato"))</f>
        <v/>
      </c>
      <c r="K326" s="24" t="str">
        <f>IF(AND(Registro!$G326="",Registro!$H326=""),"",IF(AND(ISTEXT(I326),I326&lt;&gt;""),"Revisar formato",N(Registro!$G326)-N(I326)))</f>
        <v/>
      </c>
      <c r="L326" s="24" t="str">
        <f t="shared" si="11"/>
        <v/>
      </c>
      <c r="M326" s="36" t="str">
        <f>IF(AND(A326=Consulta!$B$3,C326=Consulta!$H$3),B326*10000+ROW(),"")</f>
        <v/>
      </c>
    </row>
    <row r="327" spans="1:13" x14ac:dyDescent="0.25">
      <c r="A327" s="21" t="str">
        <f>IF(Registro!$A327="","",Registro!$A327)</f>
        <v/>
      </c>
      <c r="B327" s="20" t="str">
        <f>IF(Registro!$B327="","",Registro!$B327)</f>
        <v/>
      </c>
      <c r="C327" s="35" t="str">
        <f t="shared" si="10"/>
        <v/>
      </c>
      <c r="D327" s="23" t="str">
        <f>IF(Registro!$E327="","",IF(ISERROR(FIND("x",LOWER(Registro!$E327))),"-",IFERROR(SUMPRODUCT(--("0"&amp;LEFT(TRIM(MID(SUBSTITUTE(SUBSTITUTE(SUBSTITUTE(SUBSTITUTE(SUBSTITUTE(LOWER(Registro!$E327),"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",LEN(Registro!$E327))),({1,2,3,4,5,6,7,8,9,10,11,12,13,14,15,16,17,18,19,20,21,22,23,24,25,26,27,28,29,30}-1)*LEN(Registro!$E327)+1,LEN(Registro!$E327))),FIND("x",TRIM(MID(SUBSTITUTE(SUBSTITUTE(SUBSTITUTE(SUBSTITUTE(SUBSTITUTE(LOWER(Registro!$E327),"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",LEN(Registro!$E327))),({1,2,3,4,5,6,7,8,9,10,11,12,13,14,15,16,17,18,19,20,21,22,23,24,25,26,27,28,29,30}-1)*LEN(Registro!$E327)+1,LEN(Registro!$E327)))&amp;"x")-1))),"Revisar formato")))</f>
        <v/>
      </c>
      <c r="E327" s="24" t="str">
        <f>IF(Registro!$E327="","",IF(ISERROR(FIND("x",LOWER(Registro!$E327))),"-",IFERROR(SUMPRODUCT(--("0"&amp;LEFT(TRIM(MID(SUBSTITUTE(SUBSTITUTE(SUBSTITUTE(SUBSTITUTE(SUBSTITUTE(LOWER(Registro!$E327),"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",LEN(Registro!$E327))),({1,2,3,4,5,6,7,8,9,10,11,12,13,14,15,16,17,18,19,20,21,22,23,24,25,26,27,28,29,30}-1)*LEN(Registro!$E327)+1,LEN(Registro!$E327))),FIND("x",TRIM(MID(SUBSTITUTE(SUBSTITUTE(SUBSTITUTE(SUBSTITUTE(SUBSTITUTE(LOWER(Registro!$E327),"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",LEN(Registro!$E327))),({1,2,3,4,5,6,7,8,9,10,11,12,13,14,15,16,17,18,19,20,21,22,23,24,25,26,27,28,29,30}-1)*LEN(Registro!$E327)+1,LEN(Registro!$E327)))&amp;"x")-1)),--("0"&amp;MID(TRIM(MID(SUBSTITUTE(SUBSTITUTE(SUBSTITUTE(SUBSTITUTE(SUBSTITUTE(LOWER(Registro!$E327),"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",LEN(Registro!$E327))),({1,2,3,4,5,6,7,8,9,10,11,12,13,14,15,16,17,18,19,20,21,22,23,24,25,26,27,28,29,30}-1)*LEN(Registro!$E327)+1,LEN(Registro!$E327))),FIND("x",TRIM(MID(SUBSTITUTE(SUBSTITUTE(SUBSTITUTE(SUBSTITUTE(SUBSTITUTE(LOWER(Registro!$E327),"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",LEN(Registro!$E327))),({1,2,3,4,5,6,7,8,9,10,11,12,13,14,15,16,17,18,19,20,21,22,23,24,25,26,27,28,29,30}-1)*LEN(Registro!$E327)+1,LEN(Registro!$E327)))&amp;"x")+1,20))),"Revisar formato")))</f>
        <v/>
      </c>
      <c r="F327" s="23" t="str">
        <f>IF(Registro!$F327="","",IF(ISERROR(FIND("x",LOWER(Registro!$F327))),"-",IFERROR(SUMPRODUCT(--("0"&amp;LEFT(TRIM(MID(SUBSTITUTE(SUBSTITUTE(SUBSTITUTE(SUBSTITUTE(SUBSTITUTE(LOWER(Registro!$F327)," ",""),CHAR(10),"|"),";","|"),"+","|"),"|",REPT(" ",LEN(Registro!$F327))),({1,2,3,4,5,6,7,8,9,10,11,12,13,14,15,16,17,18,19,20,21,22,23,24,25,26,27,28,29,30}-1)*LEN(Registro!$F327)+1,LEN(Registro!$F327))),FIND("x",TRIM(MID(SUBSTITUTE(SUBSTITUTE(SUBSTITUTE(SUBSTITUTE(SUBSTITUTE(LOWER(Registro!$F327)," ",""),CHAR(10),"|"),";","|"),"+","|"),"|",REPT(" ",LEN(Registro!$F327))),({1,2,3,4,5,6,7,8,9,10,11,12,13,14,15,16,17,18,19,20,21,22,23,24,25,26,27,28,29,30}-1)*LEN(Registro!$F327)+1,LEN(Registro!$F327)))&amp;"x")-1))),"Revisar formato")))</f>
        <v/>
      </c>
      <c r="G327" s="24" t="str">
        <f>IF(Registro!$F327="","",IF(ISERROR(FIND("x",LOWER(Registro!$F327))),N(Registro!$G327),IFERROR(SUMPRODUCT(--("0"&amp;LEFT(TRIM(MID(SUBSTITUTE(SUBSTITUTE(SUBSTITUTE(SUBSTITUTE(SUBSTITUTE(LOWER(Registro!$F327)," ",""),CHAR(10),"|"),";","|"),"+","|"),"|",REPT(" ",LEN(Registro!$F327))),({1,2,3,4,5,6,7,8,9,10,11,12,13,14,15,16,17,18,19,20,21,22,23,24,25,26,27,28,29,30}-1)*LEN(Registro!$F327)+1,LEN(Registro!$F327))),FIND("x",TRIM(MID(SUBSTITUTE(SUBSTITUTE(SUBSTITUTE(SUBSTITUTE(SUBSTITUTE(LOWER(Registro!$F327)," ",""),CHAR(10),"|"),";","|"),"+","|"),"|",REPT(" ",LEN(Registro!$F327))),({1,2,3,4,5,6,7,8,9,10,11,12,13,14,15,16,17,18,19,20,21,22,23,24,25,26,27,28,29,30}-1)*LEN(Registro!$F327)+1,LEN(Registro!$F327)))&amp;"x")-1)),--("0"&amp;MID(TRIM(MID(SUBSTITUTE(SUBSTITUTE(SUBSTITUTE(SUBSTITUTE(SUBSTITUTE(LOWER(Registro!$F327)," ",""),CHAR(10),"|"),";","|"),"+","|"),"|",REPT(" ",LEN(Registro!$F327))),({1,2,3,4,5,6,7,8,9,10,11,12,13,14,15,16,17,18,19,20,21,22,23,24,25,26,27,28,29,30}-1)*LEN(Registro!$F327)+1,LEN(Registro!$F327))),FIND("x",TRIM(MID(SUBSTITUTE(SUBSTITUTE(SUBSTITUTE(SUBSTITUTE(SUBSTITUTE(LOWER(Registro!$F327)," ",""),CHAR(10),"|"),";","|"),"+","|"),"|",REPT(" ",LEN(Registro!$F327))),({1,2,3,4,5,6,7,8,9,10,11,12,13,14,15,16,17,18,19,20,21,22,23,24,25,26,27,28,29,30}-1)*LEN(Registro!$F327)+1,LEN(Registro!$F327)))&amp;"x")+1,20))),"Revisar formato")))</f>
        <v/>
      </c>
      <c r="H327" s="21" t="str">
        <f>IF(AND(Registro!$E327="",Registro!$F327=""),"",IF(NOT(AND(ISNUMBER(G327),ISNUMBER(Registro!$G327))),"",IF(G327&lt;Registro!$G327,"FALTA BOLETOS",IF(G327=Registro!$G327,"CONFORME","DIFERENCIA"))))</f>
        <v/>
      </c>
      <c r="I327" s="24" t="str">
        <f>IF(Registro!$H327="","",IFERROR(SUMPRODUCT(--("0"&amp;TRIM(RIGHT(SUBSTITUTE(TRIM(MID(SUBSTITUTE(SUBSTITUTE(Registro!$H327,";",CHAR(10)),CHAR(10),REPT(" ",LEN(Registro!$H327))),({1,2,3,4,5,6,7,8,9,10,11,12,13,14,15,16,17,18,19,20,21,22,23,24,25,26,27,28,29,30}-1)*LEN(Registro!$H327)+1,LEN(Registro!$H327)))," ",REPT(" ",50)),50)))),"Revisar formato"))</f>
        <v/>
      </c>
      <c r="J327" s="24" t="str">
        <f>IF(Registro!$I327="","",IFERROR(SUMPRODUCT(--("0"&amp;TRIM(RIGHT(SUBSTITUTE(TRIM(MID(SUBSTITUTE(SUBSTITUTE(Registro!$I327,";",CHAR(10)),CHAR(10),REPT(" ",LEN(Registro!$I327))),({1,2,3,4,5,6,7,8,9,10,11,12,13,14,15,16,17,18,19,20,21,22,23,24,25,26,27,28,29,30}-1)*LEN(Registro!$I327)+1,LEN(Registro!$I327)))," ",REPT(" ",50)),50)))),"Revisar formato"))</f>
        <v/>
      </c>
      <c r="K327" s="24" t="str">
        <f>IF(AND(Registro!$G327="",Registro!$H327=""),"",IF(AND(ISTEXT(I327),I327&lt;&gt;""),"Revisar formato",N(Registro!$G327)-N(I327)))</f>
        <v/>
      </c>
      <c r="L327" s="24" t="str">
        <f t="shared" si="11"/>
        <v/>
      </c>
      <c r="M327" s="36" t="str">
        <f>IF(AND(A327=Consulta!$B$3,C327=Consulta!$H$3),B327*10000+ROW(),"")</f>
        <v/>
      </c>
    </row>
    <row r="328" spans="1:13" x14ac:dyDescent="0.25">
      <c r="A328" s="21" t="str">
        <f>IF(Registro!$A328="","",Registro!$A328)</f>
        <v/>
      </c>
      <c r="B328" s="20" t="str">
        <f>IF(Registro!$B328="","",Registro!$B328)</f>
        <v/>
      </c>
      <c r="C328" s="35" t="str">
        <f t="shared" si="10"/>
        <v/>
      </c>
      <c r="D328" s="23" t="str">
        <f>IF(Registro!$E328="","",IF(ISERROR(FIND("x",LOWER(Registro!$E328))),"-",IFERROR(SUMPRODUCT(--("0"&amp;LEFT(TRIM(MID(SUBSTITUTE(SUBSTITUTE(SUBSTITUTE(SUBSTITUTE(SUBSTITUTE(LOWER(Registro!$E328),"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",LEN(Registro!$E328))),({1,2,3,4,5,6,7,8,9,10,11,12,13,14,15,16,17,18,19,20,21,22,23,24,25,26,27,28,29,30}-1)*LEN(Registro!$E328)+1,LEN(Registro!$E328))),FIND("x",TRIM(MID(SUBSTITUTE(SUBSTITUTE(SUBSTITUTE(SUBSTITUTE(SUBSTITUTE(LOWER(Registro!$E328),"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",LEN(Registro!$E328))),({1,2,3,4,5,6,7,8,9,10,11,12,13,14,15,16,17,18,19,20,21,22,23,24,25,26,27,28,29,30}-1)*LEN(Registro!$E328)+1,LEN(Registro!$E328)))&amp;"x")-1))),"Revisar formato")))</f>
        <v/>
      </c>
      <c r="E328" s="24" t="str">
        <f>IF(Registro!$E328="","",IF(ISERROR(FIND("x",LOWER(Registro!$E328))),"-",IFERROR(SUMPRODUCT(--("0"&amp;LEFT(TRIM(MID(SUBSTITUTE(SUBSTITUTE(SUBSTITUTE(SUBSTITUTE(SUBSTITUTE(LOWER(Registro!$E328),"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",LEN(Registro!$E328))),({1,2,3,4,5,6,7,8,9,10,11,12,13,14,15,16,17,18,19,20,21,22,23,24,25,26,27,28,29,30}-1)*LEN(Registro!$E328)+1,LEN(Registro!$E328))),FIND("x",TRIM(MID(SUBSTITUTE(SUBSTITUTE(SUBSTITUTE(SUBSTITUTE(SUBSTITUTE(LOWER(Registro!$E328),"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",LEN(Registro!$E328))),({1,2,3,4,5,6,7,8,9,10,11,12,13,14,15,16,17,18,19,20,21,22,23,24,25,26,27,28,29,30}-1)*LEN(Registro!$E328)+1,LEN(Registro!$E328)))&amp;"x")-1)),--("0"&amp;MID(TRIM(MID(SUBSTITUTE(SUBSTITUTE(SUBSTITUTE(SUBSTITUTE(SUBSTITUTE(LOWER(Registro!$E328),"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",LEN(Registro!$E328))),({1,2,3,4,5,6,7,8,9,10,11,12,13,14,15,16,17,18,19,20,21,22,23,24,25,26,27,28,29,30}-1)*LEN(Registro!$E328)+1,LEN(Registro!$E328))),FIND("x",TRIM(MID(SUBSTITUTE(SUBSTITUTE(SUBSTITUTE(SUBSTITUTE(SUBSTITUTE(LOWER(Registro!$E328),"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",LEN(Registro!$E328))),({1,2,3,4,5,6,7,8,9,10,11,12,13,14,15,16,17,18,19,20,21,22,23,24,25,26,27,28,29,30}-1)*LEN(Registro!$E328)+1,LEN(Registro!$E328)))&amp;"x")+1,20))),"Revisar formato")))</f>
        <v/>
      </c>
      <c r="F328" s="23" t="str">
        <f>IF(Registro!$F328="","",IF(ISERROR(FIND("x",LOWER(Registro!$F328))),"-",IFERROR(SUMPRODUCT(--("0"&amp;LEFT(TRIM(MID(SUBSTITUTE(SUBSTITUTE(SUBSTITUTE(SUBSTITUTE(SUBSTITUTE(LOWER(Registro!$F328)," ",""),CHAR(10),"|"),";","|"),"+","|"),"|",REPT(" ",LEN(Registro!$F328))),({1,2,3,4,5,6,7,8,9,10,11,12,13,14,15,16,17,18,19,20,21,22,23,24,25,26,27,28,29,30}-1)*LEN(Registro!$F328)+1,LEN(Registro!$F328))),FIND("x",TRIM(MID(SUBSTITUTE(SUBSTITUTE(SUBSTITUTE(SUBSTITUTE(SUBSTITUTE(LOWER(Registro!$F328)," ",""),CHAR(10),"|"),";","|"),"+","|"),"|",REPT(" ",LEN(Registro!$F328))),({1,2,3,4,5,6,7,8,9,10,11,12,13,14,15,16,17,18,19,20,21,22,23,24,25,26,27,28,29,30}-1)*LEN(Registro!$F328)+1,LEN(Registro!$F328)))&amp;"x")-1))),"Revisar formato")))</f>
        <v/>
      </c>
      <c r="G328" s="24" t="str">
        <f>IF(Registro!$F328="","",IF(ISERROR(FIND("x",LOWER(Registro!$F328))),N(Registro!$G328),IFERROR(SUMPRODUCT(--("0"&amp;LEFT(TRIM(MID(SUBSTITUTE(SUBSTITUTE(SUBSTITUTE(SUBSTITUTE(SUBSTITUTE(LOWER(Registro!$F328)," ",""),CHAR(10),"|"),";","|"),"+","|"),"|",REPT(" ",LEN(Registro!$F328))),({1,2,3,4,5,6,7,8,9,10,11,12,13,14,15,16,17,18,19,20,21,22,23,24,25,26,27,28,29,30}-1)*LEN(Registro!$F328)+1,LEN(Registro!$F328))),FIND("x",TRIM(MID(SUBSTITUTE(SUBSTITUTE(SUBSTITUTE(SUBSTITUTE(SUBSTITUTE(LOWER(Registro!$F328)," ",""),CHAR(10),"|"),";","|"),"+","|"),"|",REPT(" ",LEN(Registro!$F328))),({1,2,3,4,5,6,7,8,9,10,11,12,13,14,15,16,17,18,19,20,21,22,23,24,25,26,27,28,29,30}-1)*LEN(Registro!$F328)+1,LEN(Registro!$F328)))&amp;"x")-1)),--("0"&amp;MID(TRIM(MID(SUBSTITUTE(SUBSTITUTE(SUBSTITUTE(SUBSTITUTE(SUBSTITUTE(LOWER(Registro!$F328)," ",""),CHAR(10),"|"),";","|"),"+","|"),"|",REPT(" ",LEN(Registro!$F328))),({1,2,3,4,5,6,7,8,9,10,11,12,13,14,15,16,17,18,19,20,21,22,23,24,25,26,27,28,29,30}-1)*LEN(Registro!$F328)+1,LEN(Registro!$F328))),FIND("x",TRIM(MID(SUBSTITUTE(SUBSTITUTE(SUBSTITUTE(SUBSTITUTE(SUBSTITUTE(LOWER(Registro!$F328)," ",""),CHAR(10),"|"),";","|"),"+","|"),"|",REPT(" ",LEN(Registro!$F328))),({1,2,3,4,5,6,7,8,9,10,11,12,13,14,15,16,17,18,19,20,21,22,23,24,25,26,27,28,29,30}-1)*LEN(Registro!$F328)+1,LEN(Registro!$F328)))&amp;"x")+1,20))),"Revisar formato")))</f>
        <v/>
      </c>
      <c r="H328" s="21" t="str">
        <f>IF(AND(Registro!$E328="",Registro!$F328=""),"",IF(NOT(AND(ISNUMBER(G328),ISNUMBER(Registro!$G328))),"",IF(G328&lt;Registro!$G328,"FALTA BOLETOS",IF(G328=Registro!$G328,"CONFORME","DIFERENCIA"))))</f>
        <v/>
      </c>
      <c r="I328" s="24" t="str">
        <f>IF(Registro!$H328="","",IFERROR(SUMPRODUCT(--("0"&amp;TRIM(RIGHT(SUBSTITUTE(TRIM(MID(SUBSTITUTE(SUBSTITUTE(Registro!$H328,";",CHAR(10)),CHAR(10),REPT(" ",LEN(Registro!$H328))),({1,2,3,4,5,6,7,8,9,10,11,12,13,14,15,16,17,18,19,20,21,22,23,24,25,26,27,28,29,30}-1)*LEN(Registro!$H328)+1,LEN(Registro!$H328)))," ",REPT(" ",50)),50)))),"Revisar formato"))</f>
        <v/>
      </c>
      <c r="J328" s="24" t="str">
        <f>IF(Registro!$I328="","",IFERROR(SUMPRODUCT(--("0"&amp;TRIM(RIGHT(SUBSTITUTE(TRIM(MID(SUBSTITUTE(SUBSTITUTE(Registro!$I328,";",CHAR(10)),CHAR(10),REPT(" ",LEN(Registro!$I328))),({1,2,3,4,5,6,7,8,9,10,11,12,13,14,15,16,17,18,19,20,21,22,23,24,25,26,27,28,29,30}-1)*LEN(Registro!$I328)+1,LEN(Registro!$I328)))," ",REPT(" ",50)),50)))),"Revisar formato"))</f>
        <v/>
      </c>
      <c r="K328" s="24" t="str">
        <f>IF(AND(Registro!$G328="",Registro!$H328=""),"",IF(AND(ISTEXT(I328),I328&lt;&gt;""),"Revisar formato",N(Registro!$G328)-N(I328)))</f>
        <v/>
      </c>
      <c r="L328" s="24" t="str">
        <f t="shared" si="11"/>
        <v/>
      </c>
      <c r="M328" s="36" t="str">
        <f>IF(AND(A328=Consulta!$B$3,C328=Consulta!$H$3),B328*10000+ROW(),"")</f>
        <v/>
      </c>
    </row>
    <row r="329" spans="1:13" x14ac:dyDescent="0.25">
      <c r="A329" s="21" t="str">
        <f>IF(Registro!$A329="","",Registro!$A329)</f>
        <v/>
      </c>
      <c r="B329" s="20" t="str">
        <f>IF(Registro!$B329="","",Registro!$B329)</f>
        <v/>
      </c>
      <c r="C329" s="35" t="str">
        <f t="shared" si="10"/>
        <v/>
      </c>
      <c r="D329" s="23" t="str">
        <f>IF(Registro!$E329="","",IF(ISERROR(FIND("x",LOWER(Registro!$E329))),"-",IFERROR(SUMPRODUCT(--("0"&amp;LEFT(TRIM(MID(SUBSTITUTE(SUBSTITUTE(SUBSTITUTE(SUBSTITUTE(SUBSTITUTE(LOWER(Registro!$E329),"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",LEN(Registro!$E329))),({1,2,3,4,5,6,7,8,9,10,11,12,13,14,15,16,17,18,19,20,21,22,23,24,25,26,27,28,29,30}-1)*LEN(Registro!$E329)+1,LEN(Registro!$E329))),FIND("x",TRIM(MID(SUBSTITUTE(SUBSTITUTE(SUBSTITUTE(SUBSTITUTE(SUBSTITUTE(LOWER(Registro!$E329),"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",LEN(Registro!$E329))),({1,2,3,4,5,6,7,8,9,10,11,12,13,14,15,16,17,18,19,20,21,22,23,24,25,26,27,28,29,30}-1)*LEN(Registro!$E329)+1,LEN(Registro!$E329)))&amp;"x")-1))),"Revisar formato")))</f>
        <v/>
      </c>
      <c r="E329" s="24" t="str">
        <f>IF(Registro!$E329="","",IF(ISERROR(FIND("x",LOWER(Registro!$E329))),"-",IFERROR(SUMPRODUCT(--("0"&amp;LEFT(TRIM(MID(SUBSTITUTE(SUBSTITUTE(SUBSTITUTE(SUBSTITUTE(SUBSTITUTE(LOWER(Registro!$E329),"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",LEN(Registro!$E329))),({1,2,3,4,5,6,7,8,9,10,11,12,13,14,15,16,17,18,19,20,21,22,23,24,25,26,27,28,29,30}-1)*LEN(Registro!$E329)+1,LEN(Registro!$E329))),FIND("x",TRIM(MID(SUBSTITUTE(SUBSTITUTE(SUBSTITUTE(SUBSTITUTE(SUBSTITUTE(LOWER(Registro!$E329),"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",LEN(Registro!$E329))),({1,2,3,4,5,6,7,8,9,10,11,12,13,14,15,16,17,18,19,20,21,22,23,24,25,26,27,28,29,30}-1)*LEN(Registro!$E329)+1,LEN(Registro!$E329)))&amp;"x")-1)),--("0"&amp;MID(TRIM(MID(SUBSTITUTE(SUBSTITUTE(SUBSTITUTE(SUBSTITUTE(SUBSTITUTE(LOWER(Registro!$E329),"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",LEN(Registro!$E329))),({1,2,3,4,5,6,7,8,9,10,11,12,13,14,15,16,17,18,19,20,21,22,23,24,25,26,27,28,29,30}-1)*LEN(Registro!$E329)+1,LEN(Registro!$E329))),FIND("x",TRIM(MID(SUBSTITUTE(SUBSTITUTE(SUBSTITUTE(SUBSTITUTE(SUBSTITUTE(LOWER(Registro!$E329),"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",LEN(Registro!$E329))),({1,2,3,4,5,6,7,8,9,10,11,12,13,14,15,16,17,18,19,20,21,22,23,24,25,26,27,28,29,30}-1)*LEN(Registro!$E329)+1,LEN(Registro!$E329)))&amp;"x")+1,20))),"Revisar formato")))</f>
        <v/>
      </c>
      <c r="F329" s="23" t="str">
        <f>IF(Registro!$F329="","",IF(ISERROR(FIND("x",LOWER(Registro!$F329))),"-",IFERROR(SUMPRODUCT(--("0"&amp;LEFT(TRIM(MID(SUBSTITUTE(SUBSTITUTE(SUBSTITUTE(SUBSTITUTE(SUBSTITUTE(LOWER(Registro!$F329)," ",""),CHAR(10),"|"),";","|"),"+","|"),"|",REPT(" ",LEN(Registro!$F329))),({1,2,3,4,5,6,7,8,9,10,11,12,13,14,15,16,17,18,19,20,21,22,23,24,25,26,27,28,29,30}-1)*LEN(Registro!$F329)+1,LEN(Registro!$F329))),FIND("x",TRIM(MID(SUBSTITUTE(SUBSTITUTE(SUBSTITUTE(SUBSTITUTE(SUBSTITUTE(LOWER(Registro!$F329)," ",""),CHAR(10),"|"),";","|"),"+","|"),"|",REPT(" ",LEN(Registro!$F329))),({1,2,3,4,5,6,7,8,9,10,11,12,13,14,15,16,17,18,19,20,21,22,23,24,25,26,27,28,29,30}-1)*LEN(Registro!$F329)+1,LEN(Registro!$F329)))&amp;"x")-1))),"Revisar formato")))</f>
        <v/>
      </c>
      <c r="G329" s="24" t="str">
        <f>IF(Registro!$F329="","",IF(ISERROR(FIND("x",LOWER(Registro!$F329))),N(Registro!$G329),IFERROR(SUMPRODUCT(--("0"&amp;LEFT(TRIM(MID(SUBSTITUTE(SUBSTITUTE(SUBSTITUTE(SUBSTITUTE(SUBSTITUTE(LOWER(Registro!$F329)," ",""),CHAR(10),"|"),";","|"),"+","|"),"|",REPT(" ",LEN(Registro!$F329))),({1,2,3,4,5,6,7,8,9,10,11,12,13,14,15,16,17,18,19,20,21,22,23,24,25,26,27,28,29,30}-1)*LEN(Registro!$F329)+1,LEN(Registro!$F329))),FIND("x",TRIM(MID(SUBSTITUTE(SUBSTITUTE(SUBSTITUTE(SUBSTITUTE(SUBSTITUTE(LOWER(Registro!$F329)," ",""),CHAR(10),"|"),";","|"),"+","|"),"|",REPT(" ",LEN(Registro!$F329))),({1,2,3,4,5,6,7,8,9,10,11,12,13,14,15,16,17,18,19,20,21,22,23,24,25,26,27,28,29,30}-1)*LEN(Registro!$F329)+1,LEN(Registro!$F329)))&amp;"x")-1)),--("0"&amp;MID(TRIM(MID(SUBSTITUTE(SUBSTITUTE(SUBSTITUTE(SUBSTITUTE(SUBSTITUTE(LOWER(Registro!$F329)," ",""),CHAR(10),"|"),";","|"),"+","|"),"|",REPT(" ",LEN(Registro!$F329))),({1,2,3,4,5,6,7,8,9,10,11,12,13,14,15,16,17,18,19,20,21,22,23,24,25,26,27,28,29,30}-1)*LEN(Registro!$F329)+1,LEN(Registro!$F329))),FIND("x",TRIM(MID(SUBSTITUTE(SUBSTITUTE(SUBSTITUTE(SUBSTITUTE(SUBSTITUTE(LOWER(Registro!$F329)," ",""),CHAR(10),"|"),";","|"),"+","|"),"|",REPT(" ",LEN(Registro!$F329))),({1,2,3,4,5,6,7,8,9,10,11,12,13,14,15,16,17,18,19,20,21,22,23,24,25,26,27,28,29,30}-1)*LEN(Registro!$F329)+1,LEN(Registro!$F329)))&amp;"x")+1,20))),"Revisar formato")))</f>
        <v/>
      </c>
      <c r="H329" s="21" t="str">
        <f>IF(AND(Registro!$E329="",Registro!$F329=""),"",IF(NOT(AND(ISNUMBER(G329),ISNUMBER(Registro!$G329))),"",IF(G329&lt;Registro!$G329,"FALTA BOLETOS",IF(G329=Registro!$G329,"CONFORME","DIFERENCIA"))))</f>
        <v/>
      </c>
      <c r="I329" s="24" t="str">
        <f>IF(Registro!$H329="","",IFERROR(SUMPRODUCT(--("0"&amp;TRIM(RIGHT(SUBSTITUTE(TRIM(MID(SUBSTITUTE(SUBSTITUTE(Registro!$H329,";",CHAR(10)),CHAR(10),REPT(" ",LEN(Registro!$H329))),({1,2,3,4,5,6,7,8,9,10,11,12,13,14,15,16,17,18,19,20,21,22,23,24,25,26,27,28,29,30}-1)*LEN(Registro!$H329)+1,LEN(Registro!$H329)))," ",REPT(" ",50)),50)))),"Revisar formato"))</f>
        <v/>
      </c>
      <c r="J329" s="24" t="str">
        <f>IF(Registro!$I329="","",IFERROR(SUMPRODUCT(--("0"&amp;TRIM(RIGHT(SUBSTITUTE(TRIM(MID(SUBSTITUTE(SUBSTITUTE(Registro!$I329,";",CHAR(10)),CHAR(10),REPT(" ",LEN(Registro!$I329))),({1,2,3,4,5,6,7,8,9,10,11,12,13,14,15,16,17,18,19,20,21,22,23,24,25,26,27,28,29,30}-1)*LEN(Registro!$I329)+1,LEN(Registro!$I329)))," ",REPT(" ",50)),50)))),"Revisar formato"))</f>
        <v/>
      </c>
      <c r="K329" s="24" t="str">
        <f>IF(AND(Registro!$G329="",Registro!$H329=""),"",IF(AND(ISTEXT(I329),I329&lt;&gt;""),"Revisar formato",N(Registro!$G329)-N(I329)))</f>
        <v/>
      </c>
      <c r="L329" s="24" t="str">
        <f t="shared" si="11"/>
        <v/>
      </c>
      <c r="M329" s="36" t="str">
        <f>IF(AND(A329=Consulta!$B$3,C329=Consulta!$H$3),B329*10000+ROW(),"")</f>
        <v/>
      </c>
    </row>
    <row r="330" spans="1:13" x14ac:dyDescent="0.25">
      <c r="A330" s="21" t="str">
        <f>IF(Registro!$A330="","",Registro!$A330)</f>
        <v/>
      </c>
      <c r="B330" s="20" t="str">
        <f>IF(Registro!$B330="","",Registro!$B330)</f>
        <v/>
      </c>
      <c r="C330" s="35" t="str">
        <f t="shared" si="10"/>
        <v/>
      </c>
      <c r="D330" s="23" t="str">
        <f>IF(Registro!$E330="","",IF(ISERROR(FIND("x",LOWER(Registro!$E330))),"-",IFERROR(SUMPRODUCT(--("0"&amp;LEFT(TRIM(MID(SUBSTITUTE(SUBSTITUTE(SUBSTITUTE(SUBSTITUTE(SUBSTITUTE(LOWER(Registro!$E330),"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",LEN(Registro!$E330))),({1,2,3,4,5,6,7,8,9,10,11,12,13,14,15,16,17,18,19,20,21,22,23,24,25,26,27,28,29,30}-1)*LEN(Registro!$E330)+1,LEN(Registro!$E330))),FIND("x",TRIM(MID(SUBSTITUTE(SUBSTITUTE(SUBSTITUTE(SUBSTITUTE(SUBSTITUTE(LOWER(Registro!$E330),"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",LEN(Registro!$E330))),({1,2,3,4,5,6,7,8,9,10,11,12,13,14,15,16,17,18,19,20,21,22,23,24,25,26,27,28,29,30}-1)*LEN(Registro!$E330)+1,LEN(Registro!$E330)))&amp;"x")-1))),"Revisar formato")))</f>
        <v/>
      </c>
      <c r="E330" s="24" t="str">
        <f>IF(Registro!$E330="","",IF(ISERROR(FIND("x",LOWER(Registro!$E330))),"-",IFERROR(SUMPRODUCT(--("0"&amp;LEFT(TRIM(MID(SUBSTITUTE(SUBSTITUTE(SUBSTITUTE(SUBSTITUTE(SUBSTITUTE(LOWER(Registro!$E330),"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",LEN(Registro!$E330))),({1,2,3,4,5,6,7,8,9,10,11,12,13,14,15,16,17,18,19,20,21,22,23,24,25,26,27,28,29,30}-1)*LEN(Registro!$E330)+1,LEN(Registro!$E330))),FIND("x",TRIM(MID(SUBSTITUTE(SUBSTITUTE(SUBSTITUTE(SUBSTITUTE(SUBSTITUTE(LOWER(Registro!$E330),"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",LEN(Registro!$E330))),({1,2,3,4,5,6,7,8,9,10,11,12,13,14,15,16,17,18,19,20,21,22,23,24,25,26,27,28,29,30}-1)*LEN(Registro!$E330)+1,LEN(Registro!$E330)))&amp;"x")-1)),--("0"&amp;MID(TRIM(MID(SUBSTITUTE(SUBSTITUTE(SUBSTITUTE(SUBSTITUTE(SUBSTITUTE(LOWER(Registro!$E330),"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",LEN(Registro!$E330))),({1,2,3,4,5,6,7,8,9,10,11,12,13,14,15,16,17,18,19,20,21,22,23,24,25,26,27,28,29,30}-1)*LEN(Registro!$E330)+1,LEN(Registro!$E330))),FIND("x",TRIM(MID(SUBSTITUTE(SUBSTITUTE(SUBSTITUTE(SUBSTITUTE(SUBSTITUTE(LOWER(Registro!$E330),"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",LEN(Registro!$E330))),({1,2,3,4,5,6,7,8,9,10,11,12,13,14,15,16,17,18,19,20,21,22,23,24,25,26,27,28,29,30}-1)*LEN(Registro!$E330)+1,LEN(Registro!$E330)))&amp;"x")+1,20))),"Revisar formato")))</f>
        <v/>
      </c>
      <c r="F330" s="23" t="str">
        <f>IF(Registro!$F330="","",IF(ISERROR(FIND("x",LOWER(Registro!$F330))),"-",IFERROR(SUMPRODUCT(--("0"&amp;LEFT(TRIM(MID(SUBSTITUTE(SUBSTITUTE(SUBSTITUTE(SUBSTITUTE(SUBSTITUTE(LOWER(Registro!$F330)," ",""),CHAR(10),"|"),";","|"),"+","|"),"|",REPT(" ",LEN(Registro!$F330))),({1,2,3,4,5,6,7,8,9,10,11,12,13,14,15,16,17,18,19,20,21,22,23,24,25,26,27,28,29,30}-1)*LEN(Registro!$F330)+1,LEN(Registro!$F330))),FIND("x",TRIM(MID(SUBSTITUTE(SUBSTITUTE(SUBSTITUTE(SUBSTITUTE(SUBSTITUTE(LOWER(Registro!$F330)," ",""),CHAR(10),"|"),";","|"),"+","|"),"|",REPT(" ",LEN(Registro!$F330))),({1,2,3,4,5,6,7,8,9,10,11,12,13,14,15,16,17,18,19,20,21,22,23,24,25,26,27,28,29,30}-1)*LEN(Registro!$F330)+1,LEN(Registro!$F330)))&amp;"x")-1))),"Revisar formato")))</f>
        <v/>
      </c>
      <c r="G330" s="24" t="str">
        <f>IF(Registro!$F330="","",IF(ISERROR(FIND("x",LOWER(Registro!$F330))),N(Registro!$G330),IFERROR(SUMPRODUCT(--("0"&amp;LEFT(TRIM(MID(SUBSTITUTE(SUBSTITUTE(SUBSTITUTE(SUBSTITUTE(SUBSTITUTE(LOWER(Registro!$F330)," ",""),CHAR(10),"|"),";","|"),"+","|"),"|",REPT(" ",LEN(Registro!$F330))),({1,2,3,4,5,6,7,8,9,10,11,12,13,14,15,16,17,18,19,20,21,22,23,24,25,26,27,28,29,30}-1)*LEN(Registro!$F330)+1,LEN(Registro!$F330))),FIND("x",TRIM(MID(SUBSTITUTE(SUBSTITUTE(SUBSTITUTE(SUBSTITUTE(SUBSTITUTE(LOWER(Registro!$F330)," ",""),CHAR(10),"|"),";","|"),"+","|"),"|",REPT(" ",LEN(Registro!$F330))),({1,2,3,4,5,6,7,8,9,10,11,12,13,14,15,16,17,18,19,20,21,22,23,24,25,26,27,28,29,30}-1)*LEN(Registro!$F330)+1,LEN(Registro!$F330)))&amp;"x")-1)),--("0"&amp;MID(TRIM(MID(SUBSTITUTE(SUBSTITUTE(SUBSTITUTE(SUBSTITUTE(SUBSTITUTE(LOWER(Registro!$F330)," ",""),CHAR(10),"|"),";","|"),"+","|"),"|",REPT(" ",LEN(Registro!$F330))),({1,2,3,4,5,6,7,8,9,10,11,12,13,14,15,16,17,18,19,20,21,22,23,24,25,26,27,28,29,30}-1)*LEN(Registro!$F330)+1,LEN(Registro!$F330))),FIND("x",TRIM(MID(SUBSTITUTE(SUBSTITUTE(SUBSTITUTE(SUBSTITUTE(SUBSTITUTE(LOWER(Registro!$F330)," ",""),CHAR(10),"|"),";","|"),"+","|"),"|",REPT(" ",LEN(Registro!$F330))),({1,2,3,4,5,6,7,8,9,10,11,12,13,14,15,16,17,18,19,20,21,22,23,24,25,26,27,28,29,30}-1)*LEN(Registro!$F330)+1,LEN(Registro!$F330)))&amp;"x")+1,20))),"Revisar formato")))</f>
        <v/>
      </c>
      <c r="H330" s="21" t="str">
        <f>IF(AND(Registro!$E330="",Registro!$F330=""),"",IF(NOT(AND(ISNUMBER(G330),ISNUMBER(Registro!$G330))),"",IF(G330&lt;Registro!$G330,"FALTA BOLETOS",IF(G330=Registro!$G330,"CONFORME","DIFERENCIA"))))</f>
        <v/>
      </c>
      <c r="I330" s="24" t="str">
        <f>IF(Registro!$H330="","",IFERROR(SUMPRODUCT(--("0"&amp;TRIM(RIGHT(SUBSTITUTE(TRIM(MID(SUBSTITUTE(SUBSTITUTE(Registro!$H330,";",CHAR(10)),CHAR(10),REPT(" ",LEN(Registro!$H330))),({1,2,3,4,5,6,7,8,9,10,11,12,13,14,15,16,17,18,19,20,21,22,23,24,25,26,27,28,29,30}-1)*LEN(Registro!$H330)+1,LEN(Registro!$H330)))," ",REPT(" ",50)),50)))),"Revisar formato"))</f>
        <v/>
      </c>
      <c r="J330" s="24" t="str">
        <f>IF(Registro!$I330="","",IFERROR(SUMPRODUCT(--("0"&amp;TRIM(RIGHT(SUBSTITUTE(TRIM(MID(SUBSTITUTE(SUBSTITUTE(Registro!$I330,";",CHAR(10)),CHAR(10),REPT(" ",LEN(Registro!$I330))),({1,2,3,4,5,6,7,8,9,10,11,12,13,14,15,16,17,18,19,20,21,22,23,24,25,26,27,28,29,30}-1)*LEN(Registro!$I330)+1,LEN(Registro!$I330)))," ",REPT(" ",50)),50)))),"Revisar formato"))</f>
        <v/>
      </c>
      <c r="K330" s="24" t="str">
        <f>IF(AND(Registro!$G330="",Registro!$H330=""),"",IF(AND(ISTEXT(I330),I330&lt;&gt;""),"Revisar formato",N(Registro!$G330)-N(I330)))</f>
        <v/>
      </c>
      <c r="L330" s="24" t="str">
        <f t="shared" si="11"/>
        <v/>
      </c>
      <c r="M330" s="36" t="str">
        <f>IF(AND(A330=Consulta!$B$3,C330=Consulta!$H$3),B330*10000+ROW(),"")</f>
        <v/>
      </c>
    </row>
    <row r="331" spans="1:13" x14ac:dyDescent="0.25">
      <c r="A331" s="21" t="str">
        <f>IF(Registro!$A331="","",Registro!$A331)</f>
        <v/>
      </c>
      <c r="B331" s="20" t="str">
        <f>IF(Registro!$B331="","",Registro!$B331)</f>
        <v/>
      </c>
      <c r="C331" s="35" t="str">
        <f t="shared" si="10"/>
        <v/>
      </c>
      <c r="D331" s="23" t="str">
        <f>IF(Registro!$E331="","",IF(ISERROR(FIND("x",LOWER(Registro!$E331))),"-",IFERROR(SUMPRODUCT(--("0"&amp;LEFT(TRIM(MID(SUBSTITUTE(SUBSTITUTE(SUBSTITUTE(SUBSTITUTE(SUBSTITUTE(LOWER(Registro!$E331),"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",LEN(Registro!$E331))),({1,2,3,4,5,6,7,8,9,10,11,12,13,14,15,16,17,18,19,20,21,22,23,24,25,26,27,28,29,30}-1)*LEN(Registro!$E331)+1,LEN(Registro!$E331))),FIND("x",TRIM(MID(SUBSTITUTE(SUBSTITUTE(SUBSTITUTE(SUBSTITUTE(SUBSTITUTE(LOWER(Registro!$E331),"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",LEN(Registro!$E331))),({1,2,3,4,5,6,7,8,9,10,11,12,13,14,15,16,17,18,19,20,21,22,23,24,25,26,27,28,29,30}-1)*LEN(Registro!$E331)+1,LEN(Registro!$E331)))&amp;"x")-1))),"Revisar formato")))</f>
        <v/>
      </c>
      <c r="E331" s="24" t="str">
        <f>IF(Registro!$E331="","",IF(ISERROR(FIND("x",LOWER(Registro!$E331))),"-",IFERROR(SUMPRODUCT(--("0"&amp;LEFT(TRIM(MID(SUBSTITUTE(SUBSTITUTE(SUBSTITUTE(SUBSTITUTE(SUBSTITUTE(LOWER(Registro!$E331),"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",LEN(Registro!$E331))),({1,2,3,4,5,6,7,8,9,10,11,12,13,14,15,16,17,18,19,20,21,22,23,24,25,26,27,28,29,30}-1)*LEN(Registro!$E331)+1,LEN(Registro!$E331))),FIND("x",TRIM(MID(SUBSTITUTE(SUBSTITUTE(SUBSTITUTE(SUBSTITUTE(SUBSTITUTE(LOWER(Registro!$E331),"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",LEN(Registro!$E331))),({1,2,3,4,5,6,7,8,9,10,11,12,13,14,15,16,17,18,19,20,21,22,23,24,25,26,27,28,29,30}-1)*LEN(Registro!$E331)+1,LEN(Registro!$E331)))&amp;"x")-1)),--("0"&amp;MID(TRIM(MID(SUBSTITUTE(SUBSTITUTE(SUBSTITUTE(SUBSTITUTE(SUBSTITUTE(LOWER(Registro!$E331),"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",LEN(Registro!$E331))),({1,2,3,4,5,6,7,8,9,10,11,12,13,14,15,16,17,18,19,20,21,22,23,24,25,26,27,28,29,30}-1)*LEN(Registro!$E331)+1,LEN(Registro!$E331))),FIND("x",TRIM(MID(SUBSTITUTE(SUBSTITUTE(SUBSTITUTE(SUBSTITUTE(SUBSTITUTE(LOWER(Registro!$E331),"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",LEN(Registro!$E331))),({1,2,3,4,5,6,7,8,9,10,11,12,13,14,15,16,17,18,19,20,21,22,23,24,25,26,27,28,29,30}-1)*LEN(Registro!$E331)+1,LEN(Registro!$E331)))&amp;"x")+1,20))),"Revisar formato")))</f>
        <v/>
      </c>
      <c r="F331" s="23" t="str">
        <f>IF(Registro!$F331="","",IF(ISERROR(FIND("x",LOWER(Registro!$F331))),"-",IFERROR(SUMPRODUCT(--("0"&amp;LEFT(TRIM(MID(SUBSTITUTE(SUBSTITUTE(SUBSTITUTE(SUBSTITUTE(SUBSTITUTE(LOWER(Registro!$F331)," ",""),CHAR(10),"|"),";","|"),"+","|"),"|",REPT(" ",LEN(Registro!$F331))),({1,2,3,4,5,6,7,8,9,10,11,12,13,14,15,16,17,18,19,20,21,22,23,24,25,26,27,28,29,30}-1)*LEN(Registro!$F331)+1,LEN(Registro!$F331))),FIND("x",TRIM(MID(SUBSTITUTE(SUBSTITUTE(SUBSTITUTE(SUBSTITUTE(SUBSTITUTE(LOWER(Registro!$F331)," ",""),CHAR(10),"|"),";","|"),"+","|"),"|",REPT(" ",LEN(Registro!$F331))),({1,2,3,4,5,6,7,8,9,10,11,12,13,14,15,16,17,18,19,20,21,22,23,24,25,26,27,28,29,30}-1)*LEN(Registro!$F331)+1,LEN(Registro!$F331)))&amp;"x")-1))),"Revisar formato")))</f>
        <v/>
      </c>
      <c r="G331" s="24" t="str">
        <f>IF(Registro!$F331="","",IF(ISERROR(FIND("x",LOWER(Registro!$F331))),N(Registro!$G331),IFERROR(SUMPRODUCT(--("0"&amp;LEFT(TRIM(MID(SUBSTITUTE(SUBSTITUTE(SUBSTITUTE(SUBSTITUTE(SUBSTITUTE(LOWER(Registro!$F331)," ",""),CHAR(10),"|"),";","|"),"+","|"),"|",REPT(" ",LEN(Registro!$F331))),({1,2,3,4,5,6,7,8,9,10,11,12,13,14,15,16,17,18,19,20,21,22,23,24,25,26,27,28,29,30}-1)*LEN(Registro!$F331)+1,LEN(Registro!$F331))),FIND("x",TRIM(MID(SUBSTITUTE(SUBSTITUTE(SUBSTITUTE(SUBSTITUTE(SUBSTITUTE(LOWER(Registro!$F331)," ",""),CHAR(10),"|"),";","|"),"+","|"),"|",REPT(" ",LEN(Registro!$F331))),({1,2,3,4,5,6,7,8,9,10,11,12,13,14,15,16,17,18,19,20,21,22,23,24,25,26,27,28,29,30}-1)*LEN(Registro!$F331)+1,LEN(Registro!$F331)))&amp;"x")-1)),--("0"&amp;MID(TRIM(MID(SUBSTITUTE(SUBSTITUTE(SUBSTITUTE(SUBSTITUTE(SUBSTITUTE(LOWER(Registro!$F331)," ",""),CHAR(10),"|"),";","|"),"+","|"),"|",REPT(" ",LEN(Registro!$F331))),({1,2,3,4,5,6,7,8,9,10,11,12,13,14,15,16,17,18,19,20,21,22,23,24,25,26,27,28,29,30}-1)*LEN(Registro!$F331)+1,LEN(Registro!$F331))),FIND("x",TRIM(MID(SUBSTITUTE(SUBSTITUTE(SUBSTITUTE(SUBSTITUTE(SUBSTITUTE(LOWER(Registro!$F331)," ",""),CHAR(10),"|"),";","|"),"+","|"),"|",REPT(" ",LEN(Registro!$F331))),({1,2,3,4,5,6,7,8,9,10,11,12,13,14,15,16,17,18,19,20,21,22,23,24,25,26,27,28,29,30}-1)*LEN(Registro!$F331)+1,LEN(Registro!$F331)))&amp;"x")+1,20))),"Revisar formato")))</f>
        <v/>
      </c>
      <c r="H331" s="21" t="str">
        <f>IF(AND(Registro!$E331="",Registro!$F331=""),"",IF(NOT(AND(ISNUMBER(G331),ISNUMBER(Registro!$G331))),"",IF(G331&lt;Registro!$G331,"FALTA BOLETOS",IF(G331=Registro!$G331,"CONFORME","DIFERENCIA"))))</f>
        <v/>
      </c>
      <c r="I331" s="24" t="str">
        <f>IF(Registro!$H331="","",IFERROR(SUMPRODUCT(--("0"&amp;TRIM(RIGHT(SUBSTITUTE(TRIM(MID(SUBSTITUTE(SUBSTITUTE(Registro!$H331,";",CHAR(10)),CHAR(10),REPT(" ",LEN(Registro!$H331))),({1,2,3,4,5,6,7,8,9,10,11,12,13,14,15,16,17,18,19,20,21,22,23,24,25,26,27,28,29,30}-1)*LEN(Registro!$H331)+1,LEN(Registro!$H331)))," ",REPT(" ",50)),50)))),"Revisar formato"))</f>
        <v/>
      </c>
      <c r="J331" s="24" t="str">
        <f>IF(Registro!$I331="","",IFERROR(SUMPRODUCT(--("0"&amp;TRIM(RIGHT(SUBSTITUTE(TRIM(MID(SUBSTITUTE(SUBSTITUTE(Registro!$I331,";",CHAR(10)),CHAR(10),REPT(" ",LEN(Registro!$I331))),({1,2,3,4,5,6,7,8,9,10,11,12,13,14,15,16,17,18,19,20,21,22,23,24,25,26,27,28,29,30}-1)*LEN(Registro!$I331)+1,LEN(Registro!$I331)))," ",REPT(" ",50)),50)))),"Revisar formato"))</f>
        <v/>
      </c>
      <c r="K331" s="24" t="str">
        <f>IF(AND(Registro!$G331="",Registro!$H331=""),"",IF(AND(ISTEXT(I331),I331&lt;&gt;""),"Revisar formato",N(Registro!$G331)-N(I331)))</f>
        <v/>
      </c>
      <c r="L331" s="24" t="str">
        <f t="shared" si="11"/>
        <v/>
      </c>
      <c r="M331" s="36" t="str">
        <f>IF(AND(A331=Consulta!$B$3,C331=Consulta!$H$3),B331*10000+ROW(),"")</f>
        <v/>
      </c>
    </row>
    <row r="332" spans="1:13" x14ac:dyDescent="0.25">
      <c r="A332" s="21" t="str">
        <f>IF(Registro!$A332="","",Registro!$A332)</f>
        <v/>
      </c>
      <c r="B332" s="20" t="str">
        <f>IF(Registro!$B332="","",Registro!$B332)</f>
        <v/>
      </c>
      <c r="C332" s="35" t="str">
        <f t="shared" si="10"/>
        <v/>
      </c>
      <c r="D332" s="23" t="str">
        <f>IF(Registro!$E332="","",IF(ISERROR(FIND("x",LOWER(Registro!$E332))),"-",IFERROR(SUMPRODUCT(--("0"&amp;LEFT(TRIM(MID(SUBSTITUTE(SUBSTITUTE(SUBSTITUTE(SUBSTITUTE(SUBSTITUTE(LOWER(Registro!$E332),"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",LEN(Registro!$E332))),({1,2,3,4,5,6,7,8,9,10,11,12,13,14,15,16,17,18,19,20,21,22,23,24,25,26,27,28,29,30}-1)*LEN(Registro!$E332)+1,LEN(Registro!$E332))),FIND("x",TRIM(MID(SUBSTITUTE(SUBSTITUTE(SUBSTITUTE(SUBSTITUTE(SUBSTITUTE(LOWER(Registro!$E332),"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",LEN(Registro!$E332))),({1,2,3,4,5,6,7,8,9,10,11,12,13,14,15,16,17,18,19,20,21,22,23,24,25,26,27,28,29,30}-1)*LEN(Registro!$E332)+1,LEN(Registro!$E332)))&amp;"x")-1))),"Revisar formato")))</f>
        <v/>
      </c>
      <c r="E332" s="24" t="str">
        <f>IF(Registro!$E332="","",IF(ISERROR(FIND("x",LOWER(Registro!$E332))),"-",IFERROR(SUMPRODUCT(--("0"&amp;LEFT(TRIM(MID(SUBSTITUTE(SUBSTITUTE(SUBSTITUTE(SUBSTITUTE(SUBSTITUTE(LOWER(Registro!$E332),"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",LEN(Registro!$E332))),({1,2,3,4,5,6,7,8,9,10,11,12,13,14,15,16,17,18,19,20,21,22,23,24,25,26,27,28,29,30}-1)*LEN(Registro!$E332)+1,LEN(Registro!$E332))),FIND("x",TRIM(MID(SUBSTITUTE(SUBSTITUTE(SUBSTITUTE(SUBSTITUTE(SUBSTITUTE(LOWER(Registro!$E332),"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",LEN(Registro!$E332))),({1,2,3,4,5,6,7,8,9,10,11,12,13,14,15,16,17,18,19,20,21,22,23,24,25,26,27,28,29,30}-1)*LEN(Registro!$E332)+1,LEN(Registro!$E332)))&amp;"x")-1)),--("0"&amp;MID(TRIM(MID(SUBSTITUTE(SUBSTITUTE(SUBSTITUTE(SUBSTITUTE(SUBSTITUTE(LOWER(Registro!$E332),"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",LEN(Registro!$E332))),({1,2,3,4,5,6,7,8,9,10,11,12,13,14,15,16,17,18,19,20,21,22,23,24,25,26,27,28,29,30}-1)*LEN(Registro!$E332)+1,LEN(Registro!$E332))),FIND("x",TRIM(MID(SUBSTITUTE(SUBSTITUTE(SUBSTITUTE(SUBSTITUTE(SUBSTITUTE(LOWER(Registro!$E332),"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",LEN(Registro!$E332))),({1,2,3,4,5,6,7,8,9,10,11,12,13,14,15,16,17,18,19,20,21,22,23,24,25,26,27,28,29,30}-1)*LEN(Registro!$E332)+1,LEN(Registro!$E332)))&amp;"x")+1,20))),"Revisar formato")))</f>
        <v/>
      </c>
      <c r="F332" s="23" t="str">
        <f>IF(Registro!$F332="","",IF(ISERROR(FIND("x",LOWER(Registro!$F332))),"-",IFERROR(SUMPRODUCT(--("0"&amp;LEFT(TRIM(MID(SUBSTITUTE(SUBSTITUTE(SUBSTITUTE(SUBSTITUTE(SUBSTITUTE(LOWER(Registro!$F332)," ",""),CHAR(10),"|"),";","|"),"+","|"),"|",REPT(" ",LEN(Registro!$F332))),({1,2,3,4,5,6,7,8,9,10,11,12,13,14,15,16,17,18,19,20,21,22,23,24,25,26,27,28,29,30}-1)*LEN(Registro!$F332)+1,LEN(Registro!$F332))),FIND("x",TRIM(MID(SUBSTITUTE(SUBSTITUTE(SUBSTITUTE(SUBSTITUTE(SUBSTITUTE(LOWER(Registro!$F332)," ",""),CHAR(10),"|"),";","|"),"+","|"),"|",REPT(" ",LEN(Registro!$F332))),({1,2,3,4,5,6,7,8,9,10,11,12,13,14,15,16,17,18,19,20,21,22,23,24,25,26,27,28,29,30}-1)*LEN(Registro!$F332)+1,LEN(Registro!$F332)))&amp;"x")-1))),"Revisar formato")))</f>
        <v/>
      </c>
      <c r="G332" s="24" t="str">
        <f>IF(Registro!$F332="","",IF(ISERROR(FIND("x",LOWER(Registro!$F332))),N(Registro!$G332),IFERROR(SUMPRODUCT(--("0"&amp;LEFT(TRIM(MID(SUBSTITUTE(SUBSTITUTE(SUBSTITUTE(SUBSTITUTE(SUBSTITUTE(LOWER(Registro!$F332)," ",""),CHAR(10),"|"),";","|"),"+","|"),"|",REPT(" ",LEN(Registro!$F332))),({1,2,3,4,5,6,7,8,9,10,11,12,13,14,15,16,17,18,19,20,21,22,23,24,25,26,27,28,29,30}-1)*LEN(Registro!$F332)+1,LEN(Registro!$F332))),FIND("x",TRIM(MID(SUBSTITUTE(SUBSTITUTE(SUBSTITUTE(SUBSTITUTE(SUBSTITUTE(LOWER(Registro!$F332)," ",""),CHAR(10),"|"),";","|"),"+","|"),"|",REPT(" ",LEN(Registro!$F332))),({1,2,3,4,5,6,7,8,9,10,11,12,13,14,15,16,17,18,19,20,21,22,23,24,25,26,27,28,29,30}-1)*LEN(Registro!$F332)+1,LEN(Registro!$F332)))&amp;"x")-1)),--("0"&amp;MID(TRIM(MID(SUBSTITUTE(SUBSTITUTE(SUBSTITUTE(SUBSTITUTE(SUBSTITUTE(LOWER(Registro!$F332)," ",""),CHAR(10),"|"),";","|"),"+","|"),"|",REPT(" ",LEN(Registro!$F332))),({1,2,3,4,5,6,7,8,9,10,11,12,13,14,15,16,17,18,19,20,21,22,23,24,25,26,27,28,29,30}-1)*LEN(Registro!$F332)+1,LEN(Registro!$F332))),FIND("x",TRIM(MID(SUBSTITUTE(SUBSTITUTE(SUBSTITUTE(SUBSTITUTE(SUBSTITUTE(LOWER(Registro!$F332)," ",""),CHAR(10),"|"),";","|"),"+","|"),"|",REPT(" ",LEN(Registro!$F332))),({1,2,3,4,5,6,7,8,9,10,11,12,13,14,15,16,17,18,19,20,21,22,23,24,25,26,27,28,29,30}-1)*LEN(Registro!$F332)+1,LEN(Registro!$F332)))&amp;"x")+1,20))),"Revisar formato")))</f>
        <v/>
      </c>
      <c r="H332" s="21" t="str">
        <f>IF(AND(Registro!$E332="",Registro!$F332=""),"",IF(NOT(AND(ISNUMBER(G332),ISNUMBER(Registro!$G332))),"",IF(G332&lt;Registro!$G332,"FALTA BOLETOS",IF(G332=Registro!$G332,"CONFORME","DIFERENCIA"))))</f>
        <v/>
      </c>
      <c r="I332" s="24" t="str">
        <f>IF(Registro!$H332="","",IFERROR(SUMPRODUCT(--("0"&amp;TRIM(RIGHT(SUBSTITUTE(TRIM(MID(SUBSTITUTE(SUBSTITUTE(Registro!$H332,";",CHAR(10)),CHAR(10),REPT(" ",LEN(Registro!$H332))),({1,2,3,4,5,6,7,8,9,10,11,12,13,14,15,16,17,18,19,20,21,22,23,24,25,26,27,28,29,30}-1)*LEN(Registro!$H332)+1,LEN(Registro!$H332)))," ",REPT(" ",50)),50)))),"Revisar formato"))</f>
        <v/>
      </c>
      <c r="J332" s="24" t="str">
        <f>IF(Registro!$I332="","",IFERROR(SUMPRODUCT(--("0"&amp;TRIM(RIGHT(SUBSTITUTE(TRIM(MID(SUBSTITUTE(SUBSTITUTE(Registro!$I332,";",CHAR(10)),CHAR(10),REPT(" ",LEN(Registro!$I332))),({1,2,3,4,5,6,7,8,9,10,11,12,13,14,15,16,17,18,19,20,21,22,23,24,25,26,27,28,29,30}-1)*LEN(Registro!$I332)+1,LEN(Registro!$I332)))," ",REPT(" ",50)),50)))),"Revisar formato"))</f>
        <v/>
      </c>
      <c r="K332" s="24" t="str">
        <f>IF(AND(Registro!$G332="",Registro!$H332=""),"",IF(AND(ISTEXT(I332),I332&lt;&gt;""),"Revisar formato",N(Registro!$G332)-N(I332)))</f>
        <v/>
      </c>
      <c r="L332" s="24" t="str">
        <f t="shared" si="11"/>
        <v/>
      </c>
      <c r="M332" s="36" t="str">
        <f>IF(AND(A332=Consulta!$B$3,C332=Consulta!$H$3),B332*10000+ROW(),"")</f>
        <v/>
      </c>
    </row>
    <row r="333" spans="1:13" x14ac:dyDescent="0.25">
      <c r="A333" s="21" t="str">
        <f>IF(Registro!$A333="","",Registro!$A333)</f>
        <v/>
      </c>
      <c r="B333" s="20" t="str">
        <f>IF(Registro!$B333="","",Registro!$B333)</f>
        <v/>
      </c>
      <c r="C333" s="35" t="str">
        <f t="shared" si="10"/>
        <v/>
      </c>
      <c r="D333" s="23" t="str">
        <f>IF(Registro!$E333="","",IF(ISERROR(FIND("x",LOWER(Registro!$E333))),"-",IFERROR(SUMPRODUCT(--("0"&amp;LEFT(TRIM(MID(SUBSTITUTE(SUBSTITUTE(SUBSTITUTE(SUBSTITUTE(SUBSTITUTE(LOWER(Registro!$E333),"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",LEN(Registro!$E333))),({1,2,3,4,5,6,7,8,9,10,11,12,13,14,15,16,17,18,19,20,21,22,23,24,25,26,27,28,29,30}-1)*LEN(Registro!$E333)+1,LEN(Registro!$E333))),FIND("x",TRIM(MID(SUBSTITUTE(SUBSTITUTE(SUBSTITUTE(SUBSTITUTE(SUBSTITUTE(LOWER(Registro!$E333),"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",LEN(Registro!$E333))),({1,2,3,4,5,6,7,8,9,10,11,12,13,14,15,16,17,18,19,20,21,22,23,24,25,26,27,28,29,30}-1)*LEN(Registro!$E333)+1,LEN(Registro!$E333)))&amp;"x")-1))),"Revisar formato")))</f>
        <v/>
      </c>
      <c r="E333" s="24" t="str">
        <f>IF(Registro!$E333="","",IF(ISERROR(FIND("x",LOWER(Registro!$E333))),"-",IFERROR(SUMPRODUCT(--("0"&amp;LEFT(TRIM(MID(SUBSTITUTE(SUBSTITUTE(SUBSTITUTE(SUBSTITUTE(SUBSTITUTE(LOWER(Registro!$E333),"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",LEN(Registro!$E333))),({1,2,3,4,5,6,7,8,9,10,11,12,13,14,15,16,17,18,19,20,21,22,23,24,25,26,27,28,29,30}-1)*LEN(Registro!$E333)+1,LEN(Registro!$E333))),FIND("x",TRIM(MID(SUBSTITUTE(SUBSTITUTE(SUBSTITUTE(SUBSTITUTE(SUBSTITUTE(LOWER(Registro!$E333),"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",LEN(Registro!$E333))),({1,2,3,4,5,6,7,8,9,10,11,12,13,14,15,16,17,18,19,20,21,22,23,24,25,26,27,28,29,30}-1)*LEN(Registro!$E333)+1,LEN(Registro!$E333)))&amp;"x")-1)),--("0"&amp;MID(TRIM(MID(SUBSTITUTE(SUBSTITUTE(SUBSTITUTE(SUBSTITUTE(SUBSTITUTE(LOWER(Registro!$E333),"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",LEN(Registro!$E333))),({1,2,3,4,5,6,7,8,9,10,11,12,13,14,15,16,17,18,19,20,21,22,23,24,25,26,27,28,29,30}-1)*LEN(Registro!$E333)+1,LEN(Registro!$E333))),FIND("x",TRIM(MID(SUBSTITUTE(SUBSTITUTE(SUBSTITUTE(SUBSTITUTE(SUBSTITUTE(LOWER(Registro!$E333),"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",LEN(Registro!$E333))),({1,2,3,4,5,6,7,8,9,10,11,12,13,14,15,16,17,18,19,20,21,22,23,24,25,26,27,28,29,30}-1)*LEN(Registro!$E333)+1,LEN(Registro!$E333)))&amp;"x")+1,20))),"Revisar formato")))</f>
        <v/>
      </c>
      <c r="F333" s="23" t="str">
        <f>IF(Registro!$F333="","",IF(ISERROR(FIND("x",LOWER(Registro!$F333))),"-",IFERROR(SUMPRODUCT(--("0"&amp;LEFT(TRIM(MID(SUBSTITUTE(SUBSTITUTE(SUBSTITUTE(SUBSTITUTE(SUBSTITUTE(LOWER(Registro!$F333)," ",""),CHAR(10),"|"),";","|"),"+","|"),"|",REPT(" ",LEN(Registro!$F333))),({1,2,3,4,5,6,7,8,9,10,11,12,13,14,15,16,17,18,19,20,21,22,23,24,25,26,27,28,29,30}-1)*LEN(Registro!$F333)+1,LEN(Registro!$F333))),FIND("x",TRIM(MID(SUBSTITUTE(SUBSTITUTE(SUBSTITUTE(SUBSTITUTE(SUBSTITUTE(LOWER(Registro!$F333)," ",""),CHAR(10),"|"),";","|"),"+","|"),"|",REPT(" ",LEN(Registro!$F333))),({1,2,3,4,5,6,7,8,9,10,11,12,13,14,15,16,17,18,19,20,21,22,23,24,25,26,27,28,29,30}-1)*LEN(Registro!$F333)+1,LEN(Registro!$F333)))&amp;"x")-1))),"Revisar formato")))</f>
        <v/>
      </c>
      <c r="G333" s="24" t="str">
        <f>IF(Registro!$F333="","",IF(ISERROR(FIND("x",LOWER(Registro!$F333))),N(Registro!$G333),IFERROR(SUMPRODUCT(--("0"&amp;LEFT(TRIM(MID(SUBSTITUTE(SUBSTITUTE(SUBSTITUTE(SUBSTITUTE(SUBSTITUTE(LOWER(Registro!$F333)," ",""),CHAR(10),"|"),";","|"),"+","|"),"|",REPT(" ",LEN(Registro!$F333))),({1,2,3,4,5,6,7,8,9,10,11,12,13,14,15,16,17,18,19,20,21,22,23,24,25,26,27,28,29,30}-1)*LEN(Registro!$F333)+1,LEN(Registro!$F333))),FIND("x",TRIM(MID(SUBSTITUTE(SUBSTITUTE(SUBSTITUTE(SUBSTITUTE(SUBSTITUTE(LOWER(Registro!$F333)," ",""),CHAR(10),"|"),";","|"),"+","|"),"|",REPT(" ",LEN(Registro!$F333))),({1,2,3,4,5,6,7,8,9,10,11,12,13,14,15,16,17,18,19,20,21,22,23,24,25,26,27,28,29,30}-1)*LEN(Registro!$F333)+1,LEN(Registro!$F333)))&amp;"x")-1)),--("0"&amp;MID(TRIM(MID(SUBSTITUTE(SUBSTITUTE(SUBSTITUTE(SUBSTITUTE(SUBSTITUTE(LOWER(Registro!$F333)," ",""),CHAR(10),"|"),";","|"),"+","|"),"|",REPT(" ",LEN(Registro!$F333))),({1,2,3,4,5,6,7,8,9,10,11,12,13,14,15,16,17,18,19,20,21,22,23,24,25,26,27,28,29,30}-1)*LEN(Registro!$F333)+1,LEN(Registro!$F333))),FIND("x",TRIM(MID(SUBSTITUTE(SUBSTITUTE(SUBSTITUTE(SUBSTITUTE(SUBSTITUTE(LOWER(Registro!$F333)," ",""),CHAR(10),"|"),";","|"),"+","|"),"|",REPT(" ",LEN(Registro!$F333))),({1,2,3,4,5,6,7,8,9,10,11,12,13,14,15,16,17,18,19,20,21,22,23,24,25,26,27,28,29,30}-1)*LEN(Registro!$F333)+1,LEN(Registro!$F333)))&amp;"x")+1,20))),"Revisar formato")))</f>
        <v/>
      </c>
      <c r="H333" s="21" t="str">
        <f>IF(AND(Registro!$E333="",Registro!$F333=""),"",IF(NOT(AND(ISNUMBER(G333),ISNUMBER(Registro!$G333))),"",IF(G333&lt;Registro!$G333,"FALTA BOLETOS",IF(G333=Registro!$G333,"CONFORME","DIFERENCIA"))))</f>
        <v/>
      </c>
      <c r="I333" s="24" t="str">
        <f>IF(Registro!$H333="","",IFERROR(SUMPRODUCT(--("0"&amp;TRIM(RIGHT(SUBSTITUTE(TRIM(MID(SUBSTITUTE(SUBSTITUTE(Registro!$H333,";",CHAR(10)),CHAR(10),REPT(" ",LEN(Registro!$H333))),({1,2,3,4,5,6,7,8,9,10,11,12,13,14,15,16,17,18,19,20,21,22,23,24,25,26,27,28,29,30}-1)*LEN(Registro!$H333)+1,LEN(Registro!$H333)))," ",REPT(" ",50)),50)))),"Revisar formato"))</f>
        <v/>
      </c>
      <c r="J333" s="24" t="str">
        <f>IF(Registro!$I333="","",IFERROR(SUMPRODUCT(--("0"&amp;TRIM(RIGHT(SUBSTITUTE(TRIM(MID(SUBSTITUTE(SUBSTITUTE(Registro!$I333,";",CHAR(10)),CHAR(10),REPT(" ",LEN(Registro!$I333))),({1,2,3,4,5,6,7,8,9,10,11,12,13,14,15,16,17,18,19,20,21,22,23,24,25,26,27,28,29,30}-1)*LEN(Registro!$I333)+1,LEN(Registro!$I333)))," ",REPT(" ",50)),50)))),"Revisar formato"))</f>
        <v/>
      </c>
      <c r="K333" s="24" t="str">
        <f>IF(AND(Registro!$G333="",Registro!$H333=""),"",IF(AND(ISTEXT(I333),I333&lt;&gt;""),"Revisar formato",N(Registro!$G333)-N(I333)))</f>
        <v/>
      </c>
      <c r="L333" s="24" t="str">
        <f t="shared" si="11"/>
        <v/>
      </c>
      <c r="M333" s="36" t="str">
        <f>IF(AND(A333=Consulta!$B$3,C333=Consulta!$H$3),B333*10000+ROW(),"")</f>
        <v/>
      </c>
    </row>
    <row r="334" spans="1:13" x14ac:dyDescent="0.25">
      <c r="A334" s="21" t="str">
        <f>IF(Registro!$A334="","",Registro!$A334)</f>
        <v/>
      </c>
      <c r="B334" s="20" t="str">
        <f>IF(Registro!$B334="","",Registro!$B334)</f>
        <v/>
      </c>
      <c r="C334" s="35" t="str">
        <f t="shared" si="10"/>
        <v/>
      </c>
      <c r="D334" s="23" t="str">
        <f>IF(Registro!$E334="","",IF(ISERROR(FIND("x",LOWER(Registro!$E334))),"-",IFERROR(SUMPRODUCT(--("0"&amp;LEFT(TRIM(MID(SUBSTITUTE(SUBSTITUTE(SUBSTITUTE(SUBSTITUTE(SUBSTITUTE(LOWER(Registro!$E334),"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",LEN(Registro!$E334))),({1,2,3,4,5,6,7,8,9,10,11,12,13,14,15,16,17,18,19,20,21,22,23,24,25,26,27,28,29,30}-1)*LEN(Registro!$E334)+1,LEN(Registro!$E334))),FIND("x",TRIM(MID(SUBSTITUTE(SUBSTITUTE(SUBSTITUTE(SUBSTITUTE(SUBSTITUTE(LOWER(Registro!$E334),"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",LEN(Registro!$E334))),({1,2,3,4,5,6,7,8,9,10,11,12,13,14,15,16,17,18,19,20,21,22,23,24,25,26,27,28,29,30}-1)*LEN(Registro!$E334)+1,LEN(Registro!$E334)))&amp;"x")-1))),"Revisar formato")))</f>
        <v/>
      </c>
      <c r="E334" s="24" t="str">
        <f>IF(Registro!$E334="","",IF(ISERROR(FIND("x",LOWER(Registro!$E334))),"-",IFERROR(SUMPRODUCT(--("0"&amp;LEFT(TRIM(MID(SUBSTITUTE(SUBSTITUTE(SUBSTITUTE(SUBSTITUTE(SUBSTITUTE(LOWER(Registro!$E334),"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",LEN(Registro!$E334))),({1,2,3,4,5,6,7,8,9,10,11,12,13,14,15,16,17,18,19,20,21,22,23,24,25,26,27,28,29,30}-1)*LEN(Registro!$E334)+1,LEN(Registro!$E334))),FIND("x",TRIM(MID(SUBSTITUTE(SUBSTITUTE(SUBSTITUTE(SUBSTITUTE(SUBSTITUTE(LOWER(Registro!$E334),"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",LEN(Registro!$E334))),({1,2,3,4,5,6,7,8,9,10,11,12,13,14,15,16,17,18,19,20,21,22,23,24,25,26,27,28,29,30}-1)*LEN(Registro!$E334)+1,LEN(Registro!$E334)))&amp;"x")-1)),--("0"&amp;MID(TRIM(MID(SUBSTITUTE(SUBSTITUTE(SUBSTITUTE(SUBSTITUTE(SUBSTITUTE(LOWER(Registro!$E334),"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",LEN(Registro!$E334))),({1,2,3,4,5,6,7,8,9,10,11,12,13,14,15,16,17,18,19,20,21,22,23,24,25,26,27,28,29,30}-1)*LEN(Registro!$E334)+1,LEN(Registro!$E334))),FIND("x",TRIM(MID(SUBSTITUTE(SUBSTITUTE(SUBSTITUTE(SUBSTITUTE(SUBSTITUTE(LOWER(Registro!$E334),"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",LEN(Registro!$E334))),({1,2,3,4,5,6,7,8,9,10,11,12,13,14,15,16,17,18,19,20,21,22,23,24,25,26,27,28,29,30}-1)*LEN(Registro!$E334)+1,LEN(Registro!$E334)))&amp;"x")+1,20))),"Revisar formato")))</f>
        <v/>
      </c>
      <c r="F334" s="23" t="str">
        <f>IF(Registro!$F334="","",IF(ISERROR(FIND("x",LOWER(Registro!$F334))),"-",IFERROR(SUMPRODUCT(--("0"&amp;LEFT(TRIM(MID(SUBSTITUTE(SUBSTITUTE(SUBSTITUTE(SUBSTITUTE(SUBSTITUTE(LOWER(Registro!$F334)," ",""),CHAR(10),"|"),";","|"),"+","|"),"|",REPT(" ",LEN(Registro!$F334))),({1,2,3,4,5,6,7,8,9,10,11,12,13,14,15,16,17,18,19,20,21,22,23,24,25,26,27,28,29,30}-1)*LEN(Registro!$F334)+1,LEN(Registro!$F334))),FIND("x",TRIM(MID(SUBSTITUTE(SUBSTITUTE(SUBSTITUTE(SUBSTITUTE(SUBSTITUTE(LOWER(Registro!$F334)," ",""),CHAR(10),"|"),";","|"),"+","|"),"|",REPT(" ",LEN(Registro!$F334))),({1,2,3,4,5,6,7,8,9,10,11,12,13,14,15,16,17,18,19,20,21,22,23,24,25,26,27,28,29,30}-1)*LEN(Registro!$F334)+1,LEN(Registro!$F334)))&amp;"x")-1))),"Revisar formato")))</f>
        <v/>
      </c>
      <c r="G334" s="24" t="str">
        <f>IF(Registro!$F334="","",IF(ISERROR(FIND("x",LOWER(Registro!$F334))),N(Registro!$G334),IFERROR(SUMPRODUCT(--("0"&amp;LEFT(TRIM(MID(SUBSTITUTE(SUBSTITUTE(SUBSTITUTE(SUBSTITUTE(SUBSTITUTE(LOWER(Registro!$F334)," ",""),CHAR(10),"|"),";","|"),"+","|"),"|",REPT(" ",LEN(Registro!$F334))),({1,2,3,4,5,6,7,8,9,10,11,12,13,14,15,16,17,18,19,20,21,22,23,24,25,26,27,28,29,30}-1)*LEN(Registro!$F334)+1,LEN(Registro!$F334))),FIND("x",TRIM(MID(SUBSTITUTE(SUBSTITUTE(SUBSTITUTE(SUBSTITUTE(SUBSTITUTE(LOWER(Registro!$F334)," ",""),CHAR(10),"|"),";","|"),"+","|"),"|",REPT(" ",LEN(Registro!$F334))),({1,2,3,4,5,6,7,8,9,10,11,12,13,14,15,16,17,18,19,20,21,22,23,24,25,26,27,28,29,30}-1)*LEN(Registro!$F334)+1,LEN(Registro!$F334)))&amp;"x")-1)),--("0"&amp;MID(TRIM(MID(SUBSTITUTE(SUBSTITUTE(SUBSTITUTE(SUBSTITUTE(SUBSTITUTE(LOWER(Registro!$F334)," ",""),CHAR(10),"|"),";","|"),"+","|"),"|",REPT(" ",LEN(Registro!$F334))),({1,2,3,4,5,6,7,8,9,10,11,12,13,14,15,16,17,18,19,20,21,22,23,24,25,26,27,28,29,30}-1)*LEN(Registro!$F334)+1,LEN(Registro!$F334))),FIND("x",TRIM(MID(SUBSTITUTE(SUBSTITUTE(SUBSTITUTE(SUBSTITUTE(SUBSTITUTE(LOWER(Registro!$F334)," ",""),CHAR(10),"|"),";","|"),"+","|"),"|",REPT(" ",LEN(Registro!$F334))),({1,2,3,4,5,6,7,8,9,10,11,12,13,14,15,16,17,18,19,20,21,22,23,24,25,26,27,28,29,30}-1)*LEN(Registro!$F334)+1,LEN(Registro!$F334)))&amp;"x")+1,20))),"Revisar formato")))</f>
        <v/>
      </c>
      <c r="H334" s="21" t="str">
        <f>IF(AND(Registro!$E334="",Registro!$F334=""),"",IF(NOT(AND(ISNUMBER(G334),ISNUMBER(Registro!$G334))),"",IF(G334&lt;Registro!$G334,"FALTA BOLETOS",IF(G334=Registro!$G334,"CONFORME","DIFERENCIA"))))</f>
        <v/>
      </c>
      <c r="I334" s="24" t="str">
        <f>IF(Registro!$H334="","",IFERROR(SUMPRODUCT(--("0"&amp;TRIM(RIGHT(SUBSTITUTE(TRIM(MID(SUBSTITUTE(SUBSTITUTE(Registro!$H334,";",CHAR(10)),CHAR(10),REPT(" ",LEN(Registro!$H334))),({1,2,3,4,5,6,7,8,9,10,11,12,13,14,15,16,17,18,19,20,21,22,23,24,25,26,27,28,29,30}-1)*LEN(Registro!$H334)+1,LEN(Registro!$H334)))," ",REPT(" ",50)),50)))),"Revisar formato"))</f>
        <v/>
      </c>
      <c r="J334" s="24" t="str">
        <f>IF(Registro!$I334="","",IFERROR(SUMPRODUCT(--("0"&amp;TRIM(RIGHT(SUBSTITUTE(TRIM(MID(SUBSTITUTE(SUBSTITUTE(Registro!$I334,";",CHAR(10)),CHAR(10),REPT(" ",LEN(Registro!$I334))),({1,2,3,4,5,6,7,8,9,10,11,12,13,14,15,16,17,18,19,20,21,22,23,24,25,26,27,28,29,30}-1)*LEN(Registro!$I334)+1,LEN(Registro!$I334)))," ",REPT(" ",50)),50)))),"Revisar formato"))</f>
        <v/>
      </c>
      <c r="K334" s="24" t="str">
        <f>IF(AND(Registro!$G334="",Registro!$H334=""),"",IF(AND(ISTEXT(I334),I334&lt;&gt;""),"Revisar formato",N(Registro!$G334)-N(I334)))</f>
        <v/>
      </c>
      <c r="L334" s="24" t="str">
        <f t="shared" si="11"/>
        <v/>
      </c>
      <c r="M334" s="36" t="str">
        <f>IF(AND(A334=Consulta!$B$3,C334=Consulta!$H$3),B334*10000+ROW(),"")</f>
        <v/>
      </c>
    </row>
    <row r="335" spans="1:13" x14ac:dyDescent="0.25">
      <c r="A335" s="21" t="str">
        <f>IF(Registro!$A335="","",Registro!$A335)</f>
        <v/>
      </c>
      <c r="B335" s="20" t="str">
        <f>IF(Registro!$B335="","",Registro!$B335)</f>
        <v/>
      </c>
      <c r="C335" s="35" t="str">
        <f t="shared" si="10"/>
        <v/>
      </c>
      <c r="D335" s="23" t="str">
        <f>IF(Registro!$E335="","",IF(ISERROR(FIND("x",LOWER(Registro!$E335))),"-",IFERROR(SUMPRODUCT(--("0"&amp;LEFT(TRIM(MID(SUBSTITUTE(SUBSTITUTE(SUBSTITUTE(SUBSTITUTE(SUBSTITUTE(LOWER(Registro!$E335),"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",LEN(Registro!$E335))),({1,2,3,4,5,6,7,8,9,10,11,12,13,14,15,16,17,18,19,20,21,22,23,24,25,26,27,28,29,30}-1)*LEN(Registro!$E335)+1,LEN(Registro!$E335))),FIND("x",TRIM(MID(SUBSTITUTE(SUBSTITUTE(SUBSTITUTE(SUBSTITUTE(SUBSTITUTE(LOWER(Registro!$E335),"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",LEN(Registro!$E335))),({1,2,3,4,5,6,7,8,9,10,11,12,13,14,15,16,17,18,19,20,21,22,23,24,25,26,27,28,29,30}-1)*LEN(Registro!$E335)+1,LEN(Registro!$E335)))&amp;"x")-1))),"Revisar formato")))</f>
        <v/>
      </c>
      <c r="E335" s="24" t="str">
        <f>IF(Registro!$E335="","",IF(ISERROR(FIND("x",LOWER(Registro!$E335))),"-",IFERROR(SUMPRODUCT(--("0"&amp;LEFT(TRIM(MID(SUBSTITUTE(SUBSTITUTE(SUBSTITUTE(SUBSTITUTE(SUBSTITUTE(LOWER(Registro!$E335),"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",LEN(Registro!$E335))),({1,2,3,4,5,6,7,8,9,10,11,12,13,14,15,16,17,18,19,20,21,22,23,24,25,26,27,28,29,30}-1)*LEN(Registro!$E335)+1,LEN(Registro!$E335))),FIND("x",TRIM(MID(SUBSTITUTE(SUBSTITUTE(SUBSTITUTE(SUBSTITUTE(SUBSTITUTE(LOWER(Registro!$E335),"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",LEN(Registro!$E335))),({1,2,3,4,5,6,7,8,9,10,11,12,13,14,15,16,17,18,19,20,21,22,23,24,25,26,27,28,29,30}-1)*LEN(Registro!$E335)+1,LEN(Registro!$E335)))&amp;"x")-1)),--("0"&amp;MID(TRIM(MID(SUBSTITUTE(SUBSTITUTE(SUBSTITUTE(SUBSTITUTE(SUBSTITUTE(LOWER(Registro!$E335),"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",LEN(Registro!$E335))),({1,2,3,4,5,6,7,8,9,10,11,12,13,14,15,16,17,18,19,20,21,22,23,24,25,26,27,28,29,30}-1)*LEN(Registro!$E335)+1,LEN(Registro!$E335))),FIND("x",TRIM(MID(SUBSTITUTE(SUBSTITUTE(SUBSTITUTE(SUBSTITUTE(SUBSTITUTE(LOWER(Registro!$E335),"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",LEN(Registro!$E335))),({1,2,3,4,5,6,7,8,9,10,11,12,13,14,15,16,17,18,19,20,21,22,23,24,25,26,27,28,29,30}-1)*LEN(Registro!$E335)+1,LEN(Registro!$E335)))&amp;"x")+1,20))),"Revisar formato")))</f>
        <v/>
      </c>
      <c r="F335" s="23" t="str">
        <f>IF(Registro!$F335="","",IF(ISERROR(FIND("x",LOWER(Registro!$F335))),"-",IFERROR(SUMPRODUCT(--("0"&amp;LEFT(TRIM(MID(SUBSTITUTE(SUBSTITUTE(SUBSTITUTE(SUBSTITUTE(SUBSTITUTE(LOWER(Registro!$F335)," ",""),CHAR(10),"|"),";","|"),"+","|"),"|",REPT(" ",LEN(Registro!$F335))),({1,2,3,4,5,6,7,8,9,10,11,12,13,14,15,16,17,18,19,20,21,22,23,24,25,26,27,28,29,30}-1)*LEN(Registro!$F335)+1,LEN(Registro!$F335))),FIND("x",TRIM(MID(SUBSTITUTE(SUBSTITUTE(SUBSTITUTE(SUBSTITUTE(SUBSTITUTE(LOWER(Registro!$F335)," ",""),CHAR(10),"|"),";","|"),"+","|"),"|",REPT(" ",LEN(Registro!$F335))),({1,2,3,4,5,6,7,8,9,10,11,12,13,14,15,16,17,18,19,20,21,22,23,24,25,26,27,28,29,30}-1)*LEN(Registro!$F335)+1,LEN(Registro!$F335)))&amp;"x")-1))),"Revisar formato")))</f>
        <v/>
      </c>
      <c r="G335" s="24" t="str">
        <f>IF(Registro!$F335="","",IF(ISERROR(FIND("x",LOWER(Registro!$F335))),N(Registro!$G335),IFERROR(SUMPRODUCT(--("0"&amp;LEFT(TRIM(MID(SUBSTITUTE(SUBSTITUTE(SUBSTITUTE(SUBSTITUTE(SUBSTITUTE(LOWER(Registro!$F335)," ",""),CHAR(10),"|"),";","|"),"+","|"),"|",REPT(" ",LEN(Registro!$F335))),({1,2,3,4,5,6,7,8,9,10,11,12,13,14,15,16,17,18,19,20,21,22,23,24,25,26,27,28,29,30}-1)*LEN(Registro!$F335)+1,LEN(Registro!$F335))),FIND("x",TRIM(MID(SUBSTITUTE(SUBSTITUTE(SUBSTITUTE(SUBSTITUTE(SUBSTITUTE(LOWER(Registro!$F335)," ",""),CHAR(10),"|"),";","|"),"+","|"),"|",REPT(" ",LEN(Registro!$F335))),({1,2,3,4,5,6,7,8,9,10,11,12,13,14,15,16,17,18,19,20,21,22,23,24,25,26,27,28,29,30}-1)*LEN(Registro!$F335)+1,LEN(Registro!$F335)))&amp;"x")-1)),--("0"&amp;MID(TRIM(MID(SUBSTITUTE(SUBSTITUTE(SUBSTITUTE(SUBSTITUTE(SUBSTITUTE(LOWER(Registro!$F335)," ",""),CHAR(10),"|"),";","|"),"+","|"),"|",REPT(" ",LEN(Registro!$F335))),({1,2,3,4,5,6,7,8,9,10,11,12,13,14,15,16,17,18,19,20,21,22,23,24,25,26,27,28,29,30}-1)*LEN(Registro!$F335)+1,LEN(Registro!$F335))),FIND("x",TRIM(MID(SUBSTITUTE(SUBSTITUTE(SUBSTITUTE(SUBSTITUTE(SUBSTITUTE(LOWER(Registro!$F335)," ",""),CHAR(10),"|"),";","|"),"+","|"),"|",REPT(" ",LEN(Registro!$F335))),({1,2,3,4,5,6,7,8,9,10,11,12,13,14,15,16,17,18,19,20,21,22,23,24,25,26,27,28,29,30}-1)*LEN(Registro!$F335)+1,LEN(Registro!$F335)))&amp;"x")+1,20))),"Revisar formato")))</f>
        <v/>
      </c>
      <c r="H335" s="21" t="str">
        <f>IF(AND(Registro!$E335="",Registro!$F335=""),"",IF(NOT(AND(ISNUMBER(G335),ISNUMBER(Registro!$G335))),"",IF(G335&lt;Registro!$G335,"FALTA BOLETOS",IF(G335=Registro!$G335,"CONFORME","DIFERENCIA"))))</f>
        <v/>
      </c>
      <c r="I335" s="24" t="str">
        <f>IF(Registro!$H335="","",IFERROR(SUMPRODUCT(--("0"&amp;TRIM(RIGHT(SUBSTITUTE(TRIM(MID(SUBSTITUTE(SUBSTITUTE(Registro!$H335,";",CHAR(10)),CHAR(10),REPT(" ",LEN(Registro!$H335))),({1,2,3,4,5,6,7,8,9,10,11,12,13,14,15,16,17,18,19,20,21,22,23,24,25,26,27,28,29,30}-1)*LEN(Registro!$H335)+1,LEN(Registro!$H335)))," ",REPT(" ",50)),50)))),"Revisar formato"))</f>
        <v/>
      </c>
      <c r="J335" s="24" t="str">
        <f>IF(Registro!$I335="","",IFERROR(SUMPRODUCT(--("0"&amp;TRIM(RIGHT(SUBSTITUTE(TRIM(MID(SUBSTITUTE(SUBSTITUTE(Registro!$I335,";",CHAR(10)),CHAR(10),REPT(" ",LEN(Registro!$I335))),({1,2,3,4,5,6,7,8,9,10,11,12,13,14,15,16,17,18,19,20,21,22,23,24,25,26,27,28,29,30}-1)*LEN(Registro!$I335)+1,LEN(Registro!$I335)))," ",REPT(" ",50)),50)))),"Revisar formato"))</f>
        <v/>
      </c>
      <c r="K335" s="24" t="str">
        <f>IF(AND(Registro!$G335="",Registro!$H335=""),"",IF(AND(ISTEXT(I335),I335&lt;&gt;""),"Revisar formato",N(Registro!$G335)-N(I335)))</f>
        <v/>
      </c>
      <c r="L335" s="24" t="str">
        <f t="shared" si="11"/>
        <v/>
      </c>
      <c r="M335" s="36" t="str">
        <f>IF(AND(A335=Consulta!$B$3,C335=Consulta!$H$3),B335*10000+ROW(),"")</f>
        <v/>
      </c>
    </row>
    <row r="336" spans="1:13" x14ac:dyDescent="0.25">
      <c r="A336" s="21" t="str">
        <f>IF(Registro!$A336="","",Registro!$A336)</f>
        <v/>
      </c>
      <c r="B336" s="20" t="str">
        <f>IF(Registro!$B336="","",Registro!$B336)</f>
        <v/>
      </c>
      <c r="C336" s="35" t="str">
        <f t="shared" si="10"/>
        <v/>
      </c>
      <c r="D336" s="23" t="str">
        <f>IF(Registro!$E336="","",IF(ISERROR(FIND("x",LOWER(Registro!$E336))),"-",IFERROR(SUMPRODUCT(--("0"&amp;LEFT(TRIM(MID(SUBSTITUTE(SUBSTITUTE(SUBSTITUTE(SUBSTITUTE(SUBSTITUTE(LOWER(Registro!$E336),"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",LEN(Registro!$E336))),({1,2,3,4,5,6,7,8,9,10,11,12,13,14,15,16,17,18,19,20,21,22,23,24,25,26,27,28,29,30}-1)*LEN(Registro!$E336)+1,LEN(Registro!$E336))),FIND("x",TRIM(MID(SUBSTITUTE(SUBSTITUTE(SUBSTITUTE(SUBSTITUTE(SUBSTITUTE(LOWER(Registro!$E336),"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",LEN(Registro!$E336))),({1,2,3,4,5,6,7,8,9,10,11,12,13,14,15,16,17,18,19,20,21,22,23,24,25,26,27,28,29,30}-1)*LEN(Registro!$E336)+1,LEN(Registro!$E336)))&amp;"x")-1))),"Revisar formato")))</f>
        <v/>
      </c>
      <c r="E336" s="24" t="str">
        <f>IF(Registro!$E336="","",IF(ISERROR(FIND("x",LOWER(Registro!$E336))),"-",IFERROR(SUMPRODUCT(--("0"&amp;LEFT(TRIM(MID(SUBSTITUTE(SUBSTITUTE(SUBSTITUTE(SUBSTITUTE(SUBSTITUTE(LOWER(Registro!$E336),"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",LEN(Registro!$E336))),({1,2,3,4,5,6,7,8,9,10,11,12,13,14,15,16,17,18,19,20,21,22,23,24,25,26,27,28,29,30}-1)*LEN(Registro!$E336)+1,LEN(Registro!$E336))),FIND("x",TRIM(MID(SUBSTITUTE(SUBSTITUTE(SUBSTITUTE(SUBSTITUTE(SUBSTITUTE(LOWER(Registro!$E336),"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",LEN(Registro!$E336))),({1,2,3,4,5,6,7,8,9,10,11,12,13,14,15,16,17,18,19,20,21,22,23,24,25,26,27,28,29,30}-1)*LEN(Registro!$E336)+1,LEN(Registro!$E336)))&amp;"x")-1)),--("0"&amp;MID(TRIM(MID(SUBSTITUTE(SUBSTITUTE(SUBSTITUTE(SUBSTITUTE(SUBSTITUTE(LOWER(Registro!$E336),"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",LEN(Registro!$E336))),({1,2,3,4,5,6,7,8,9,10,11,12,13,14,15,16,17,18,19,20,21,22,23,24,25,26,27,28,29,30}-1)*LEN(Registro!$E336)+1,LEN(Registro!$E336))),FIND("x",TRIM(MID(SUBSTITUTE(SUBSTITUTE(SUBSTITUTE(SUBSTITUTE(SUBSTITUTE(LOWER(Registro!$E336),"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",LEN(Registro!$E336))),({1,2,3,4,5,6,7,8,9,10,11,12,13,14,15,16,17,18,19,20,21,22,23,24,25,26,27,28,29,30}-1)*LEN(Registro!$E336)+1,LEN(Registro!$E336)))&amp;"x")+1,20))),"Revisar formato")))</f>
        <v/>
      </c>
      <c r="F336" s="23" t="str">
        <f>IF(Registro!$F336="","",IF(ISERROR(FIND("x",LOWER(Registro!$F336))),"-",IFERROR(SUMPRODUCT(--("0"&amp;LEFT(TRIM(MID(SUBSTITUTE(SUBSTITUTE(SUBSTITUTE(SUBSTITUTE(SUBSTITUTE(LOWER(Registro!$F336)," ",""),CHAR(10),"|"),";","|"),"+","|"),"|",REPT(" ",LEN(Registro!$F336))),({1,2,3,4,5,6,7,8,9,10,11,12,13,14,15,16,17,18,19,20,21,22,23,24,25,26,27,28,29,30}-1)*LEN(Registro!$F336)+1,LEN(Registro!$F336))),FIND("x",TRIM(MID(SUBSTITUTE(SUBSTITUTE(SUBSTITUTE(SUBSTITUTE(SUBSTITUTE(LOWER(Registro!$F336)," ",""),CHAR(10),"|"),";","|"),"+","|"),"|",REPT(" ",LEN(Registro!$F336))),({1,2,3,4,5,6,7,8,9,10,11,12,13,14,15,16,17,18,19,20,21,22,23,24,25,26,27,28,29,30}-1)*LEN(Registro!$F336)+1,LEN(Registro!$F336)))&amp;"x")-1))),"Revisar formato")))</f>
        <v/>
      </c>
      <c r="G336" s="24" t="str">
        <f>IF(Registro!$F336="","",IF(ISERROR(FIND("x",LOWER(Registro!$F336))),N(Registro!$G336),IFERROR(SUMPRODUCT(--("0"&amp;LEFT(TRIM(MID(SUBSTITUTE(SUBSTITUTE(SUBSTITUTE(SUBSTITUTE(SUBSTITUTE(LOWER(Registro!$F336)," ",""),CHAR(10),"|"),";","|"),"+","|"),"|",REPT(" ",LEN(Registro!$F336))),({1,2,3,4,5,6,7,8,9,10,11,12,13,14,15,16,17,18,19,20,21,22,23,24,25,26,27,28,29,30}-1)*LEN(Registro!$F336)+1,LEN(Registro!$F336))),FIND("x",TRIM(MID(SUBSTITUTE(SUBSTITUTE(SUBSTITUTE(SUBSTITUTE(SUBSTITUTE(LOWER(Registro!$F336)," ",""),CHAR(10),"|"),";","|"),"+","|"),"|",REPT(" ",LEN(Registro!$F336))),({1,2,3,4,5,6,7,8,9,10,11,12,13,14,15,16,17,18,19,20,21,22,23,24,25,26,27,28,29,30}-1)*LEN(Registro!$F336)+1,LEN(Registro!$F336)))&amp;"x")-1)),--("0"&amp;MID(TRIM(MID(SUBSTITUTE(SUBSTITUTE(SUBSTITUTE(SUBSTITUTE(SUBSTITUTE(LOWER(Registro!$F336)," ",""),CHAR(10),"|"),";","|"),"+","|"),"|",REPT(" ",LEN(Registro!$F336))),({1,2,3,4,5,6,7,8,9,10,11,12,13,14,15,16,17,18,19,20,21,22,23,24,25,26,27,28,29,30}-1)*LEN(Registro!$F336)+1,LEN(Registro!$F336))),FIND("x",TRIM(MID(SUBSTITUTE(SUBSTITUTE(SUBSTITUTE(SUBSTITUTE(SUBSTITUTE(LOWER(Registro!$F336)," ",""),CHAR(10),"|"),";","|"),"+","|"),"|",REPT(" ",LEN(Registro!$F336))),({1,2,3,4,5,6,7,8,9,10,11,12,13,14,15,16,17,18,19,20,21,22,23,24,25,26,27,28,29,30}-1)*LEN(Registro!$F336)+1,LEN(Registro!$F336)))&amp;"x")+1,20))),"Revisar formato")))</f>
        <v/>
      </c>
      <c r="H336" s="21" t="str">
        <f>IF(AND(Registro!$E336="",Registro!$F336=""),"",IF(NOT(AND(ISNUMBER(G336),ISNUMBER(Registro!$G336))),"",IF(G336&lt;Registro!$G336,"FALTA BOLETOS",IF(G336=Registro!$G336,"CONFORME","DIFERENCIA"))))</f>
        <v/>
      </c>
      <c r="I336" s="24" t="str">
        <f>IF(Registro!$H336="","",IFERROR(SUMPRODUCT(--("0"&amp;TRIM(RIGHT(SUBSTITUTE(TRIM(MID(SUBSTITUTE(SUBSTITUTE(Registro!$H336,";",CHAR(10)),CHAR(10),REPT(" ",LEN(Registro!$H336))),({1,2,3,4,5,6,7,8,9,10,11,12,13,14,15,16,17,18,19,20,21,22,23,24,25,26,27,28,29,30}-1)*LEN(Registro!$H336)+1,LEN(Registro!$H336)))," ",REPT(" ",50)),50)))),"Revisar formato"))</f>
        <v/>
      </c>
      <c r="J336" s="24" t="str">
        <f>IF(Registro!$I336="","",IFERROR(SUMPRODUCT(--("0"&amp;TRIM(RIGHT(SUBSTITUTE(TRIM(MID(SUBSTITUTE(SUBSTITUTE(Registro!$I336,";",CHAR(10)),CHAR(10),REPT(" ",LEN(Registro!$I336))),({1,2,3,4,5,6,7,8,9,10,11,12,13,14,15,16,17,18,19,20,21,22,23,24,25,26,27,28,29,30}-1)*LEN(Registro!$I336)+1,LEN(Registro!$I336)))," ",REPT(" ",50)),50)))),"Revisar formato"))</f>
        <v/>
      </c>
      <c r="K336" s="24" t="str">
        <f>IF(AND(Registro!$G336="",Registro!$H336=""),"",IF(AND(ISTEXT(I336),I336&lt;&gt;""),"Revisar formato",N(Registro!$G336)-N(I336)))</f>
        <v/>
      </c>
      <c r="L336" s="24" t="str">
        <f t="shared" si="11"/>
        <v/>
      </c>
      <c r="M336" s="36" t="str">
        <f>IF(AND(A336=Consulta!$B$3,C336=Consulta!$H$3),B336*10000+ROW(),"")</f>
        <v/>
      </c>
    </row>
    <row r="337" spans="1:13" x14ac:dyDescent="0.25">
      <c r="A337" s="21" t="str">
        <f>IF(Registro!$A337="","",Registro!$A337)</f>
        <v/>
      </c>
      <c r="B337" s="20" t="str">
        <f>IF(Registro!$B337="","",Registro!$B337)</f>
        <v/>
      </c>
      <c r="C337" s="35" t="str">
        <f t="shared" si="10"/>
        <v/>
      </c>
      <c r="D337" s="23" t="str">
        <f>IF(Registro!$E337="","",IF(ISERROR(FIND("x",LOWER(Registro!$E337))),"-",IFERROR(SUMPRODUCT(--("0"&amp;LEFT(TRIM(MID(SUBSTITUTE(SUBSTITUTE(SUBSTITUTE(SUBSTITUTE(SUBSTITUTE(LOWER(Registro!$E337),"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",LEN(Registro!$E337))),({1,2,3,4,5,6,7,8,9,10,11,12,13,14,15,16,17,18,19,20,21,22,23,24,25,26,27,28,29,30}-1)*LEN(Registro!$E337)+1,LEN(Registro!$E337))),FIND("x",TRIM(MID(SUBSTITUTE(SUBSTITUTE(SUBSTITUTE(SUBSTITUTE(SUBSTITUTE(LOWER(Registro!$E337),"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",LEN(Registro!$E337))),({1,2,3,4,5,6,7,8,9,10,11,12,13,14,15,16,17,18,19,20,21,22,23,24,25,26,27,28,29,30}-1)*LEN(Registro!$E337)+1,LEN(Registro!$E337)))&amp;"x")-1))),"Revisar formato")))</f>
        <v/>
      </c>
      <c r="E337" s="24" t="str">
        <f>IF(Registro!$E337="","",IF(ISERROR(FIND("x",LOWER(Registro!$E337))),"-",IFERROR(SUMPRODUCT(--("0"&amp;LEFT(TRIM(MID(SUBSTITUTE(SUBSTITUTE(SUBSTITUTE(SUBSTITUTE(SUBSTITUTE(LOWER(Registro!$E337),"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",LEN(Registro!$E337))),({1,2,3,4,5,6,7,8,9,10,11,12,13,14,15,16,17,18,19,20,21,22,23,24,25,26,27,28,29,30}-1)*LEN(Registro!$E337)+1,LEN(Registro!$E337))),FIND("x",TRIM(MID(SUBSTITUTE(SUBSTITUTE(SUBSTITUTE(SUBSTITUTE(SUBSTITUTE(LOWER(Registro!$E337),"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",LEN(Registro!$E337))),({1,2,3,4,5,6,7,8,9,10,11,12,13,14,15,16,17,18,19,20,21,22,23,24,25,26,27,28,29,30}-1)*LEN(Registro!$E337)+1,LEN(Registro!$E337)))&amp;"x")-1)),--("0"&amp;MID(TRIM(MID(SUBSTITUTE(SUBSTITUTE(SUBSTITUTE(SUBSTITUTE(SUBSTITUTE(LOWER(Registro!$E337),"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",LEN(Registro!$E337))),({1,2,3,4,5,6,7,8,9,10,11,12,13,14,15,16,17,18,19,20,21,22,23,24,25,26,27,28,29,30}-1)*LEN(Registro!$E337)+1,LEN(Registro!$E337))),FIND("x",TRIM(MID(SUBSTITUTE(SUBSTITUTE(SUBSTITUTE(SUBSTITUTE(SUBSTITUTE(LOWER(Registro!$E337),"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",LEN(Registro!$E337))),({1,2,3,4,5,6,7,8,9,10,11,12,13,14,15,16,17,18,19,20,21,22,23,24,25,26,27,28,29,30}-1)*LEN(Registro!$E337)+1,LEN(Registro!$E337)))&amp;"x")+1,20))),"Revisar formato")))</f>
        <v/>
      </c>
      <c r="F337" s="23" t="str">
        <f>IF(Registro!$F337="","",IF(ISERROR(FIND("x",LOWER(Registro!$F337))),"-",IFERROR(SUMPRODUCT(--("0"&amp;LEFT(TRIM(MID(SUBSTITUTE(SUBSTITUTE(SUBSTITUTE(SUBSTITUTE(SUBSTITUTE(LOWER(Registro!$F337)," ",""),CHAR(10),"|"),";","|"),"+","|"),"|",REPT(" ",LEN(Registro!$F337))),({1,2,3,4,5,6,7,8,9,10,11,12,13,14,15,16,17,18,19,20,21,22,23,24,25,26,27,28,29,30}-1)*LEN(Registro!$F337)+1,LEN(Registro!$F337))),FIND("x",TRIM(MID(SUBSTITUTE(SUBSTITUTE(SUBSTITUTE(SUBSTITUTE(SUBSTITUTE(LOWER(Registro!$F337)," ",""),CHAR(10),"|"),";","|"),"+","|"),"|",REPT(" ",LEN(Registro!$F337))),({1,2,3,4,5,6,7,8,9,10,11,12,13,14,15,16,17,18,19,20,21,22,23,24,25,26,27,28,29,30}-1)*LEN(Registro!$F337)+1,LEN(Registro!$F337)))&amp;"x")-1))),"Revisar formato")))</f>
        <v/>
      </c>
      <c r="G337" s="24" t="str">
        <f>IF(Registro!$F337="","",IF(ISERROR(FIND("x",LOWER(Registro!$F337))),N(Registro!$G337),IFERROR(SUMPRODUCT(--("0"&amp;LEFT(TRIM(MID(SUBSTITUTE(SUBSTITUTE(SUBSTITUTE(SUBSTITUTE(SUBSTITUTE(LOWER(Registro!$F337)," ",""),CHAR(10),"|"),";","|"),"+","|"),"|",REPT(" ",LEN(Registro!$F337))),({1,2,3,4,5,6,7,8,9,10,11,12,13,14,15,16,17,18,19,20,21,22,23,24,25,26,27,28,29,30}-1)*LEN(Registro!$F337)+1,LEN(Registro!$F337))),FIND("x",TRIM(MID(SUBSTITUTE(SUBSTITUTE(SUBSTITUTE(SUBSTITUTE(SUBSTITUTE(LOWER(Registro!$F337)," ",""),CHAR(10),"|"),";","|"),"+","|"),"|",REPT(" ",LEN(Registro!$F337))),({1,2,3,4,5,6,7,8,9,10,11,12,13,14,15,16,17,18,19,20,21,22,23,24,25,26,27,28,29,30}-1)*LEN(Registro!$F337)+1,LEN(Registro!$F337)))&amp;"x")-1)),--("0"&amp;MID(TRIM(MID(SUBSTITUTE(SUBSTITUTE(SUBSTITUTE(SUBSTITUTE(SUBSTITUTE(LOWER(Registro!$F337)," ",""),CHAR(10),"|"),";","|"),"+","|"),"|",REPT(" ",LEN(Registro!$F337))),({1,2,3,4,5,6,7,8,9,10,11,12,13,14,15,16,17,18,19,20,21,22,23,24,25,26,27,28,29,30}-1)*LEN(Registro!$F337)+1,LEN(Registro!$F337))),FIND("x",TRIM(MID(SUBSTITUTE(SUBSTITUTE(SUBSTITUTE(SUBSTITUTE(SUBSTITUTE(LOWER(Registro!$F337)," ",""),CHAR(10),"|"),";","|"),"+","|"),"|",REPT(" ",LEN(Registro!$F337))),({1,2,3,4,5,6,7,8,9,10,11,12,13,14,15,16,17,18,19,20,21,22,23,24,25,26,27,28,29,30}-1)*LEN(Registro!$F337)+1,LEN(Registro!$F337)))&amp;"x")+1,20))),"Revisar formato")))</f>
        <v/>
      </c>
      <c r="H337" s="21" t="str">
        <f>IF(AND(Registro!$E337="",Registro!$F337=""),"",IF(NOT(AND(ISNUMBER(G337),ISNUMBER(Registro!$G337))),"",IF(G337&lt;Registro!$G337,"FALTA BOLETOS",IF(G337=Registro!$G337,"CONFORME","DIFERENCIA"))))</f>
        <v/>
      </c>
      <c r="I337" s="24" t="str">
        <f>IF(Registro!$H337="","",IFERROR(SUMPRODUCT(--("0"&amp;TRIM(RIGHT(SUBSTITUTE(TRIM(MID(SUBSTITUTE(SUBSTITUTE(Registro!$H337,";",CHAR(10)),CHAR(10),REPT(" ",LEN(Registro!$H337))),({1,2,3,4,5,6,7,8,9,10,11,12,13,14,15,16,17,18,19,20,21,22,23,24,25,26,27,28,29,30}-1)*LEN(Registro!$H337)+1,LEN(Registro!$H337)))," ",REPT(" ",50)),50)))),"Revisar formato"))</f>
        <v/>
      </c>
      <c r="J337" s="24" t="str">
        <f>IF(Registro!$I337="","",IFERROR(SUMPRODUCT(--("0"&amp;TRIM(RIGHT(SUBSTITUTE(TRIM(MID(SUBSTITUTE(SUBSTITUTE(Registro!$I337,";",CHAR(10)),CHAR(10),REPT(" ",LEN(Registro!$I337))),({1,2,3,4,5,6,7,8,9,10,11,12,13,14,15,16,17,18,19,20,21,22,23,24,25,26,27,28,29,30}-1)*LEN(Registro!$I337)+1,LEN(Registro!$I337)))," ",REPT(" ",50)),50)))),"Revisar formato"))</f>
        <v/>
      </c>
      <c r="K337" s="24" t="str">
        <f>IF(AND(Registro!$G337="",Registro!$H337=""),"",IF(AND(ISTEXT(I337),I337&lt;&gt;""),"Revisar formato",N(Registro!$G337)-N(I337)))</f>
        <v/>
      </c>
      <c r="L337" s="24" t="str">
        <f t="shared" si="11"/>
        <v/>
      </c>
      <c r="M337" s="36" t="str">
        <f>IF(AND(A337=Consulta!$B$3,C337=Consulta!$H$3),B337*10000+ROW(),"")</f>
        <v/>
      </c>
    </row>
    <row r="338" spans="1:13" x14ac:dyDescent="0.25">
      <c r="A338" s="21" t="str">
        <f>IF(Registro!$A338="","",Registro!$A338)</f>
        <v/>
      </c>
      <c r="B338" s="20" t="str">
        <f>IF(Registro!$B338="","",Registro!$B338)</f>
        <v/>
      </c>
      <c r="C338" s="35" t="str">
        <f t="shared" si="10"/>
        <v/>
      </c>
      <c r="D338" s="23" t="str">
        <f>IF(Registro!$E338="","",IF(ISERROR(FIND("x",LOWER(Registro!$E338))),"-",IFERROR(SUMPRODUCT(--("0"&amp;LEFT(TRIM(MID(SUBSTITUTE(SUBSTITUTE(SUBSTITUTE(SUBSTITUTE(SUBSTITUTE(LOWER(Registro!$E338),"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",LEN(Registro!$E338))),({1,2,3,4,5,6,7,8,9,10,11,12,13,14,15,16,17,18,19,20,21,22,23,24,25,26,27,28,29,30}-1)*LEN(Registro!$E338)+1,LEN(Registro!$E338))),FIND("x",TRIM(MID(SUBSTITUTE(SUBSTITUTE(SUBSTITUTE(SUBSTITUTE(SUBSTITUTE(LOWER(Registro!$E338),"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",LEN(Registro!$E338))),({1,2,3,4,5,6,7,8,9,10,11,12,13,14,15,16,17,18,19,20,21,22,23,24,25,26,27,28,29,30}-1)*LEN(Registro!$E338)+1,LEN(Registro!$E338)))&amp;"x")-1))),"Revisar formato")))</f>
        <v/>
      </c>
      <c r="E338" s="24" t="str">
        <f>IF(Registro!$E338="","",IF(ISERROR(FIND("x",LOWER(Registro!$E338))),"-",IFERROR(SUMPRODUCT(--("0"&amp;LEFT(TRIM(MID(SUBSTITUTE(SUBSTITUTE(SUBSTITUTE(SUBSTITUTE(SUBSTITUTE(LOWER(Registro!$E338),"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",LEN(Registro!$E338))),({1,2,3,4,5,6,7,8,9,10,11,12,13,14,15,16,17,18,19,20,21,22,23,24,25,26,27,28,29,30}-1)*LEN(Registro!$E338)+1,LEN(Registro!$E338))),FIND("x",TRIM(MID(SUBSTITUTE(SUBSTITUTE(SUBSTITUTE(SUBSTITUTE(SUBSTITUTE(LOWER(Registro!$E338),"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",LEN(Registro!$E338))),({1,2,3,4,5,6,7,8,9,10,11,12,13,14,15,16,17,18,19,20,21,22,23,24,25,26,27,28,29,30}-1)*LEN(Registro!$E338)+1,LEN(Registro!$E338)))&amp;"x")-1)),--("0"&amp;MID(TRIM(MID(SUBSTITUTE(SUBSTITUTE(SUBSTITUTE(SUBSTITUTE(SUBSTITUTE(LOWER(Registro!$E338),"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",LEN(Registro!$E338))),({1,2,3,4,5,6,7,8,9,10,11,12,13,14,15,16,17,18,19,20,21,22,23,24,25,26,27,28,29,30}-1)*LEN(Registro!$E338)+1,LEN(Registro!$E338))),FIND("x",TRIM(MID(SUBSTITUTE(SUBSTITUTE(SUBSTITUTE(SUBSTITUTE(SUBSTITUTE(LOWER(Registro!$E338),"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",LEN(Registro!$E338))),({1,2,3,4,5,6,7,8,9,10,11,12,13,14,15,16,17,18,19,20,21,22,23,24,25,26,27,28,29,30}-1)*LEN(Registro!$E338)+1,LEN(Registro!$E338)))&amp;"x")+1,20))),"Revisar formato")))</f>
        <v/>
      </c>
      <c r="F338" s="23" t="str">
        <f>IF(Registro!$F338="","",IF(ISERROR(FIND("x",LOWER(Registro!$F338))),"-",IFERROR(SUMPRODUCT(--("0"&amp;LEFT(TRIM(MID(SUBSTITUTE(SUBSTITUTE(SUBSTITUTE(SUBSTITUTE(SUBSTITUTE(LOWER(Registro!$F338)," ",""),CHAR(10),"|"),";","|"),"+","|"),"|",REPT(" ",LEN(Registro!$F338))),({1,2,3,4,5,6,7,8,9,10,11,12,13,14,15,16,17,18,19,20,21,22,23,24,25,26,27,28,29,30}-1)*LEN(Registro!$F338)+1,LEN(Registro!$F338))),FIND("x",TRIM(MID(SUBSTITUTE(SUBSTITUTE(SUBSTITUTE(SUBSTITUTE(SUBSTITUTE(LOWER(Registro!$F338)," ",""),CHAR(10),"|"),";","|"),"+","|"),"|",REPT(" ",LEN(Registro!$F338))),({1,2,3,4,5,6,7,8,9,10,11,12,13,14,15,16,17,18,19,20,21,22,23,24,25,26,27,28,29,30}-1)*LEN(Registro!$F338)+1,LEN(Registro!$F338)))&amp;"x")-1))),"Revisar formato")))</f>
        <v/>
      </c>
      <c r="G338" s="24" t="str">
        <f>IF(Registro!$F338="","",IF(ISERROR(FIND("x",LOWER(Registro!$F338))),N(Registro!$G338),IFERROR(SUMPRODUCT(--("0"&amp;LEFT(TRIM(MID(SUBSTITUTE(SUBSTITUTE(SUBSTITUTE(SUBSTITUTE(SUBSTITUTE(LOWER(Registro!$F338)," ",""),CHAR(10),"|"),";","|"),"+","|"),"|",REPT(" ",LEN(Registro!$F338))),({1,2,3,4,5,6,7,8,9,10,11,12,13,14,15,16,17,18,19,20,21,22,23,24,25,26,27,28,29,30}-1)*LEN(Registro!$F338)+1,LEN(Registro!$F338))),FIND("x",TRIM(MID(SUBSTITUTE(SUBSTITUTE(SUBSTITUTE(SUBSTITUTE(SUBSTITUTE(LOWER(Registro!$F338)," ",""),CHAR(10),"|"),";","|"),"+","|"),"|",REPT(" ",LEN(Registro!$F338))),({1,2,3,4,5,6,7,8,9,10,11,12,13,14,15,16,17,18,19,20,21,22,23,24,25,26,27,28,29,30}-1)*LEN(Registro!$F338)+1,LEN(Registro!$F338)))&amp;"x")-1)),--("0"&amp;MID(TRIM(MID(SUBSTITUTE(SUBSTITUTE(SUBSTITUTE(SUBSTITUTE(SUBSTITUTE(LOWER(Registro!$F338)," ",""),CHAR(10),"|"),";","|"),"+","|"),"|",REPT(" ",LEN(Registro!$F338))),({1,2,3,4,5,6,7,8,9,10,11,12,13,14,15,16,17,18,19,20,21,22,23,24,25,26,27,28,29,30}-1)*LEN(Registro!$F338)+1,LEN(Registro!$F338))),FIND("x",TRIM(MID(SUBSTITUTE(SUBSTITUTE(SUBSTITUTE(SUBSTITUTE(SUBSTITUTE(LOWER(Registro!$F338)," ",""),CHAR(10),"|"),";","|"),"+","|"),"|",REPT(" ",LEN(Registro!$F338))),({1,2,3,4,5,6,7,8,9,10,11,12,13,14,15,16,17,18,19,20,21,22,23,24,25,26,27,28,29,30}-1)*LEN(Registro!$F338)+1,LEN(Registro!$F338)))&amp;"x")+1,20))),"Revisar formato")))</f>
        <v/>
      </c>
      <c r="H338" s="21" t="str">
        <f>IF(AND(Registro!$E338="",Registro!$F338=""),"",IF(NOT(AND(ISNUMBER(G338),ISNUMBER(Registro!$G338))),"",IF(G338&lt;Registro!$G338,"FALTA BOLETOS",IF(G338=Registro!$G338,"CONFORME","DIFERENCIA"))))</f>
        <v/>
      </c>
      <c r="I338" s="24" t="str">
        <f>IF(Registro!$H338="","",IFERROR(SUMPRODUCT(--("0"&amp;TRIM(RIGHT(SUBSTITUTE(TRIM(MID(SUBSTITUTE(SUBSTITUTE(Registro!$H338,";",CHAR(10)),CHAR(10),REPT(" ",LEN(Registro!$H338))),({1,2,3,4,5,6,7,8,9,10,11,12,13,14,15,16,17,18,19,20,21,22,23,24,25,26,27,28,29,30}-1)*LEN(Registro!$H338)+1,LEN(Registro!$H338)))," ",REPT(" ",50)),50)))),"Revisar formato"))</f>
        <v/>
      </c>
      <c r="J338" s="24" t="str">
        <f>IF(Registro!$I338="","",IFERROR(SUMPRODUCT(--("0"&amp;TRIM(RIGHT(SUBSTITUTE(TRIM(MID(SUBSTITUTE(SUBSTITUTE(Registro!$I338,";",CHAR(10)),CHAR(10),REPT(" ",LEN(Registro!$I338))),({1,2,3,4,5,6,7,8,9,10,11,12,13,14,15,16,17,18,19,20,21,22,23,24,25,26,27,28,29,30}-1)*LEN(Registro!$I338)+1,LEN(Registro!$I338)))," ",REPT(" ",50)),50)))),"Revisar formato"))</f>
        <v/>
      </c>
      <c r="K338" s="24" t="str">
        <f>IF(AND(Registro!$G338="",Registro!$H338=""),"",IF(AND(ISTEXT(I338),I338&lt;&gt;""),"Revisar formato",N(Registro!$G338)-N(I338)))</f>
        <v/>
      </c>
      <c r="L338" s="24" t="str">
        <f t="shared" si="11"/>
        <v/>
      </c>
      <c r="M338" s="36" t="str">
        <f>IF(AND(A338=Consulta!$B$3,C338=Consulta!$H$3),B338*10000+ROW(),"")</f>
        <v/>
      </c>
    </row>
    <row r="339" spans="1:13" x14ac:dyDescent="0.25">
      <c r="A339" s="21" t="str">
        <f>IF(Registro!$A339="","",Registro!$A339)</f>
        <v/>
      </c>
      <c r="B339" s="20" t="str">
        <f>IF(Registro!$B339="","",Registro!$B339)</f>
        <v/>
      </c>
      <c r="C339" s="35" t="str">
        <f t="shared" si="10"/>
        <v/>
      </c>
      <c r="D339" s="23" t="str">
        <f>IF(Registro!$E339="","",IF(ISERROR(FIND("x",LOWER(Registro!$E339))),"-",IFERROR(SUMPRODUCT(--("0"&amp;LEFT(TRIM(MID(SUBSTITUTE(SUBSTITUTE(SUBSTITUTE(SUBSTITUTE(SUBSTITUTE(LOWER(Registro!$E339),"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",LEN(Registro!$E339))),({1,2,3,4,5,6,7,8,9,10,11,12,13,14,15,16,17,18,19,20,21,22,23,24,25,26,27,28,29,30}-1)*LEN(Registro!$E339)+1,LEN(Registro!$E339))),FIND("x",TRIM(MID(SUBSTITUTE(SUBSTITUTE(SUBSTITUTE(SUBSTITUTE(SUBSTITUTE(LOWER(Registro!$E339),"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",LEN(Registro!$E339))),({1,2,3,4,5,6,7,8,9,10,11,12,13,14,15,16,17,18,19,20,21,22,23,24,25,26,27,28,29,30}-1)*LEN(Registro!$E339)+1,LEN(Registro!$E339)))&amp;"x")-1))),"Revisar formato")))</f>
        <v/>
      </c>
      <c r="E339" s="24" t="str">
        <f>IF(Registro!$E339="","",IF(ISERROR(FIND("x",LOWER(Registro!$E339))),"-",IFERROR(SUMPRODUCT(--("0"&amp;LEFT(TRIM(MID(SUBSTITUTE(SUBSTITUTE(SUBSTITUTE(SUBSTITUTE(SUBSTITUTE(LOWER(Registro!$E339),"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",LEN(Registro!$E339))),({1,2,3,4,5,6,7,8,9,10,11,12,13,14,15,16,17,18,19,20,21,22,23,24,25,26,27,28,29,30}-1)*LEN(Registro!$E339)+1,LEN(Registro!$E339))),FIND("x",TRIM(MID(SUBSTITUTE(SUBSTITUTE(SUBSTITUTE(SUBSTITUTE(SUBSTITUTE(LOWER(Registro!$E339),"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",LEN(Registro!$E339))),({1,2,3,4,5,6,7,8,9,10,11,12,13,14,15,16,17,18,19,20,21,22,23,24,25,26,27,28,29,30}-1)*LEN(Registro!$E339)+1,LEN(Registro!$E339)))&amp;"x")-1)),--("0"&amp;MID(TRIM(MID(SUBSTITUTE(SUBSTITUTE(SUBSTITUTE(SUBSTITUTE(SUBSTITUTE(LOWER(Registro!$E339),"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",LEN(Registro!$E339))),({1,2,3,4,5,6,7,8,9,10,11,12,13,14,15,16,17,18,19,20,21,22,23,24,25,26,27,28,29,30}-1)*LEN(Registro!$E339)+1,LEN(Registro!$E339))),FIND("x",TRIM(MID(SUBSTITUTE(SUBSTITUTE(SUBSTITUTE(SUBSTITUTE(SUBSTITUTE(LOWER(Registro!$E339),"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",LEN(Registro!$E339))),({1,2,3,4,5,6,7,8,9,10,11,12,13,14,15,16,17,18,19,20,21,22,23,24,25,26,27,28,29,30}-1)*LEN(Registro!$E339)+1,LEN(Registro!$E339)))&amp;"x")+1,20))),"Revisar formato")))</f>
        <v/>
      </c>
      <c r="F339" s="23" t="str">
        <f>IF(Registro!$F339="","",IF(ISERROR(FIND("x",LOWER(Registro!$F339))),"-",IFERROR(SUMPRODUCT(--("0"&amp;LEFT(TRIM(MID(SUBSTITUTE(SUBSTITUTE(SUBSTITUTE(SUBSTITUTE(SUBSTITUTE(LOWER(Registro!$F339)," ",""),CHAR(10),"|"),";","|"),"+","|"),"|",REPT(" ",LEN(Registro!$F339))),({1,2,3,4,5,6,7,8,9,10,11,12,13,14,15,16,17,18,19,20,21,22,23,24,25,26,27,28,29,30}-1)*LEN(Registro!$F339)+1,LEN(Registro!$F339))),FIND("x",TRIM(MID(SUBSTITUTE(SUBSTITUTE(SUBSTITUTE(SUBSTITUTE(SUBSTITUTE(LOWER(Registro!$F339)," ",""),CHAR(10),"|"),";","|"),"+","|"),"|",REPT(" ",LEN(Registro!$F339))),({1,2,3,4,5,6,7,8,9,10,11,12,13,14,15,16,17,18,19,20,21,22,23,24,25,26,27,28,29,30}-1)*LEN(Registro!$F339)+1,LEN(Registro!$F339)))&amp;"x")-1))),"Revisar formato")))</f>
        <v/>
      </c>
      <c r="G339" s="24" t="str">
        <f>IF(Registro!$F339="","",IF(ISERROR(FIND("x",LOWER(Registro!$F339))),N(Registro!$G339),IFERROR(SUMPRODUCT(--("0"&amp;LEFT(TRIM(MID(SUBSTITUTE(SUBSTITUTE(SUBSTITUTE(SUBSTITUTE(SUBSTITUTE(LOWER(Registro!$F339)," ",""),CHAR(10),"|"),";","|"),"+","|"),"|",REPT(" ",LEN(Registro!$F339))),({1,2,3,4,5,6,7,8,9,10,11,12,13,14,15,16,17,18,19,20,21,22,23,24,25,26,27,28,29,30}-1)*LEN(Registro!$F339)+1,LEN(Registro!$F339))),FIND("x",TRIM(MID(SUBSTITUTE(SUBSTITUTE(SUBSTITUTE(SUBSTITUTE(SUBSTITUTE(LOWER(Registro!$F339)," ",""),CHAR(10),"|"),";","|"),"+","|"),"|",REPT(" ",LEN(Registro!$F339))),({1,2,3,4,5,6,7,8,9,10,11,12,13,14,15,16,17,18,19,20,21,22,23,24,25,26,27,28,29,30}-1)*LEN(Registro!$F339)+1,LEN(Registro!$F339)))&amp;"x")-1)),--("0"&amp;MID(TRIM(MID(SUBSTITUTE(SUBSTITUTE(SUBSTITUTE(SUBSTITUTE(SUBSTITUTE(LOWER(Registro!$F339)," ",""),CHAR(10),"|"),";","|"),"+","|"),"|",REPT(" ",LEN(Registro!$F339))),({1,2,3,4,5,6,7,8,9,10,11,12,13,14,15,16,17,18,19,20,21,22,23,24,25,26,27,28,29,30}-1)*LEN(Registro!$F339)+1,LEN(Registro!$F339))),FIND("x",TRIM(MID(SUBSTITUTE(SUBSTITUTE(SUBSTITUTE(SUBSTITUTE(SUBSTITUTE(LOWER(Registro!$F339)," ",""),CHAR(10),"|"),";","|"),"+","|"),"|",REPT(" ",LEN(Registro!$F339))),({1,2,3,4,5,6,7,8,9,10,11,12,13,14,15,16,17,18,19,20,21,22,23,24,25,26,27,28,29,30}-1)*LEN(Registro!$F339)+1,LEN(Registro!$F339)))&amp;"x")+1,20))),"Revisar formato")))</f>
        <v/>
      </c>
      <c r="H339" s="21" t="str">
        <f>IF(AND(Registro!$E339="",Registro!$F339=""),"",IF(NOT(AND(ISNUMBER(G339),ISNUMBER(Registro!$G339))),"",IF(G339&lt;Registro!$G339,"FALTA BOLETOS",IF(G339=Registro!$G339,"CONFORME","DIFERENCIA"))))</f>
        <v/>
      </c>
      <c r="I339" s="24" t="str">
        <f>IF(Registro!$H339="","",IFERROR(SUMPRODUCT(--("0"&amp;TRIM(RIGHT(SUBSTITUTE(TRIM(MID(SUBSTITUTE(SUBSTITUTE(Registro!$H339,";",CHAR(10)),CHAR(10),REPT(" ",LEN(Registro!$H339))),({1,2,3,4,5,6,7,8,9,10,11,12,13,14,15,16,17,18,19,20,21,22,23,24,25,26,27,28,29,30}-1)*LEN(Registro!$H339)+1,LEN(Registro!$H339)))," ",REPT(" ",50)),50)))),"Revisar formato"))</f>
        <v/>
      </c>
      <c r="J339" s="24" t="str">
        <f>IF(Registro!$I339="","",IFERROR(SUMPRODUCT(--("0"&amp;TRIM(RIGHT(SUBSTITUTE(TRIM(MID(SUBSTITUTE(SUBSTITUTE(Registro!$I339,";",CHAR(10)),CHAR(10),REPT(" ",LEN(Registro!$I339))),({1,2,3,4,5,6,7,8,9,10,11,12,13,14,15,16,17,18,19,20,21,22,23,24,25,26,27,28,29,30}-1)*LEN(Registro!$I339)+1,LEN(Registro!$I339)))," ",REPT(" ",50)),50)))),"Revisar formato"))</f>
        <v/>
      </c>
      <c r="K339" s="24" t="str">
        <f>IF(AND(Registro!$G339="",Registro!$H339=""),"",IF(AND(ISTEXT(I339),I339&lt;&gt;""),"Revisar formato",N(Registro!$G339)-N(I339)))</f>
        <v/>
      </c>
      <c r="L339" s="24" t="str">
        <f t="shared" si="11"/>
        <v/>
      </c>
      <c r="M339" s="36" t="str">
        <f>IF(AND(A339=Consulta!$B$3,C339=Consulta!$H$3),B339*10000+ROW(),"")</f>
        <v/>
      </c>
    </row>
    <row r="340" spans="1:13" x14ac:dyDescent="0.25">
      <c r="A340" s="21" t="str">
        <f>IF(Registro!$A340="","",Registro!$A340)</f>
        <v/>
      </c>
      <c r="B340" s="20" t="str">
        <f>IF(Registro!$B340="","",Registro!$B340)</f>
        <v/>
      </c>
      <c r="C340" s="35" t="str">
        <f t="shared" si="10"/>
        <v/>
      </c>
      <c r="D340" s="23" t="str">
        <f>IF(Registro!$E340="","",IF(ISERROR(FIND("x",LOWER(Registro!$E340))),"-",IFERROR(SUMPRODUCT(--("0"&amp;LEFT(TRIM(MID(SUBSTITUTE(SUBSTITUTE(SUBSTITUTE(SUBSTITUTE(SUBSTITUTE(LOWER(Registro!$E340),"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",LEN(Registro!$E340))),({1,2,3,4,5,6,7,8,9,10,11,12,13,14,15,16,17,18,19,20,21,22,23,24,25,26,27,28,29,30}-1)*LEN(Registro!$E340)+1,LEN(Registro!$E340))),FIND("x",TRIM(MID(SUBSTITUTE(SUBSTITUTE(SUBSTITUTE(SUBSTITUTE(SUBSTITUTE(LOWER(Registro!$E340),"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",LEN(Registro!$E340))),({1,2,3,4,5,6,7,8,9,10,11,12,13,14,15,16,17,18,19,20,21,22,23,24,25,26,27,28,29,30}-1)*LEN(Registro!$E340)+1,LEN(Registro!$E340)))&amp;"x")-1))),"Revisar formato")))</f>
        <v/>
      </c>
      <c r="E340" s="24" t="str">
        <f>IF(Registro!$E340="","",IF(ISERROR(FIND("x",LOWER(Registro!$E340))),"-",IFERROR(SUMPRODUCT(--("0"&amp;LEFT(TRIM(MID(SUBSTITUTE(SUBSTITUTE(SUBSTITUTE(SUBSTITUTE(SUBSTITUTE(LOWER(Registro!$E340),"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",LEN(Registro!$E340))),({1,2,3,4,5,6,7,8,9,10,11,12,13,14,15,16,17,18,19,20,21,22,23,24,25,26,27,28,29,30}-1)*LEN(Registro!$E340)+1,LEN(Registro!$E340))),FIND("x",TRIM(MID(SUBSTITUTE(SUBSTITUTE(SUBSTITUTE(SUBSTITUTE(SUBSTITUTE(LOWER(Registro!$E340),"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",LEN(Registro!$E340))),({1,2,3,4,5,6,7,8,9,10,11,12,13,14,15,16,17,18,19,20,21,22,23,24,25,26,27,28,29,30}-1)*LEN(Registro!$E340)+1,LEN(Registro!$E340)))&amp;"x")-1)),--("0"&amp;MID(TRIM(MID(SUBSTITUTE(SUBSTITUTE(SUBSTITUTE(SUBSTITUTE(SUBSTITUTE(LOWER(Registro!$E340),"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",LEN(Registro!$E340))),({1,2,3,4,5,6,7,8,9,10,11,12,13,14,15,16,17,18,19,20,21,22,23,24,25,26,27,28,29,30}-1)*LEN(Registro!$E340)+1,LEN(Registro!$E340))),FIND("x",TRIM(MID(SUBSTITUTE(SUBSTITUTE(SUBSTITUTE(SUBSTITUTE(SUBSTITUTE(LOWER(Registro!$E340),"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",LEN(Registro!$E340))),({1,2,3,4,5,6,7,8,9,10,11,12,13,14,15,16,17,18,19,20,21,22,23,24,25,26,27,28,29,30}-1)*LEN(Registro!$E340)+1,LEN(Registro!$E340)))&amp;"x")+1,20))),"Revisar formato")))</f>
        <v/>
      </c>
      <c r="F340" s="23" t="str">
        <f>IF(Registro!$F340="","",IF(ISERROR(FIND("x",LOWER(Registro!$F340))),"-",IFERROR(SUMPRODUCT(--("0"&amp;LEFT(TRIM(MID(SUBSTITUTE(SUBSTITUTE(SUBSTITUTE(SUBSTITUTE(SUBSTITUTE(LOWER(Registro!$F340)," ",""),CHAR(10),"|"),";","|"),"+","|"),"|",REPT(" ",LEN(Registro!$F340))),({1,2,3,4,5,6,7,8,9,10,11,12,13,14,15,16,17,18,19,20,21,22,23,24,25,26,27,28,29,30}-1)*LEN(Registro!$F340)+1,LEN(Registro!$F340))),FIND("x",TRIM(MID(SUBSTITUTE(SUBSTITUTE(SUBSTITUTE(SUBSTITUTE(SUBSTITUTE(LOWER(Registro!$F340)," ",""),CHAR(10),"|"),";","|"),"+","|"),"|",REPT(" ",LEN(Registro!$F340))),({1,2,3,4,5,6,7,8,9,10,11,12,13,14,15,16,17,18,19,20,21,22,23,24,25,26,27,28,29,30}-1)*LEN(Registro!$F340)+1,LEN(Registro!$F340)))&amp;"x")-1))),"Revisar formato")))</f>
        <v/>
      </c>
      <c r="G340" s="24" t="str">
        <f>IF(Registro!$F340="","",IF(ISERROR(FIND("x",LOWER(Registro!$F340))),N(Registro!$G340),IFERROR(SUMPRODUCT(--("0"&amp;LEFT(TRIM(MID(SUBSTITUTE(SUBSTITUTE(SUBSTITUTE(SUBSTITUTE(SUBSTITUTE(LOWER(Registro!$F340)," ",""),CHAR(10),"|"),";","|"),"+","|"),"|",REPT(" ",LEN(Registro!$F340))),({1,2,3,4,5,6,7,8,9,10,11,12,13,14,15,16,17,18,19,20,21,22,23,24,25,26,27,28,29,30}-1)*LEN(Registro!$F340)+1,LEN(Registro!$F340))),FIND("x",TRIM(MID(SUBSTITUTE(SUBSTITUTE(SUBSTITUTE(SUBSTITUTE(SUBSTITUTE(LOWER(Registro!$F340)," ",""),CHAR(10),"|"),";","|"),"+","|"),"|",REPT(" ",LEN(Registro!$F340))),({1,2,3,4,5,6,7,8,9,10,11,12,13,14,15,16,17,18,19,20,21,22,23,24,25,26,27,28,29,30}-1)*LEN(Registro!$F340)+1,LEN(Registro!$F340)))&amp;"x")-1)),--("0"&amp;MID(TRIM(MID(SUBSTITUTE(SUBSTITUTE(SUBSTITUTE(SUBSTITUTE(SUBSTITUTE(LOWER(Registro!$F340)," ",""),CHAR(10),"|"),";","|"),"+","|"),"|",REPT(" ",LEN(Registro!$F340))),({1,2,3,4,5,6,7,8,9,10,11,12,13,14,15,16,17,18,19,20,21,22,23,24,25,26,27,28,29,30}-1)*LEN(Registro!$F340)+1,LEN(Registro!$F340))),FIND("x",TRIM(MID(SUBSTITUTE(SUBSTITUTE(SUBSTITUTE(SUBSTITUTE(SUBSTITUTE(LOWER(Registro!$F340)," ",""),CHAR(10),"|"),";","|"),"+","|"),"|",REPT(" ",LEN(Registro!$F340))),({1,2,3,4,5,6,7,8,9,10,11,12,13,14,15,16,17,18,19,20,21,22,23,24,25,26,27,28,29,30}-1)*LEN(Registro!$F340)+1,LEN(Registro!$F340)))&amp;"x")+1,20))),"Revisar formato")))</f>
        <v/>
      </c>
      <c r="H340" s="21" t="str">
        <f>IF(AND(Registro!$E340="",Registro!$F340=""),"",IF(NOT(AND(ISNUMBER(G340),ISNUMBER(Registro!$G340))),"",IF(G340&lt;Registro!$G340,"FALTA BOLETOS",IF(G340=Registro!$G340,"CONFORME","DIFERENCIA"))))</f>
        <v/>
      </c>
      <c r="I340" s="24" t="str">
        <f>IF(Registro!$H340="","",IFERROR(SUMPRODUCT(--("0"&amp;TRIM(RIGHT(SUBSTITUTE(TRIM(MID(SUBSTITUTE(SUBSTITUTE(Registro!$H340,";",CHAR(10)),CHAR(10),REPT(" ",LEN(Registro!$H340))),({1,2,3,4,5,6,7,8,9,10,11,12,13,14,15,16,17,18,19,20,21,22,23,24,25,26,27,28,29,30}-1)*LEN(Registro!$H340)+1,LEN(Registro!$H340)))," ",REPT(" ",50)),50)))),"Revisar formato"))</f>
        <v/>
      </c>
      <c r="J340" s="24" t="str">
        <f>IF(Registro!$I340="","",IFERROR(SUMPRODUCT(--("0"&amp;TRIM(RIGHT(SUBSTITUTE(TRIM(MID(SUBSTITUTE(SUBSTITUTE(Registro!$I340,";",CHAR(10)),CHAR(10),REPT(" ",LEN(Registro!$I340))),({1,2,3,4,5,6,7,8,9,10,11,12,13,14,15,16,17,18,19,20,21,22,23,24,25,26,27,28,29,30}-1)*LEN(Registro!$I340)+1,LEN(Registro!$I340)))," ",REPT(" ",50)),50)))),"Revisar formato"))</f>
        <v/>
      </c>
      <c r="K340" s="24" t="str">
        <f>IF(AND(Registro!$G340="",Registro!$H340=""),"",IF(AND(ISTEXT(I340),I340&lt;&gt;""),"Revisar formato",N(Registro!$G340)-N(I340)))</f>
        <v/>
      </c>
      <c r="L340" s="24" t="str">
        <f t="shared" si="11"/>
        <v/>
      </c>
      <c r="M340" s="36" t="str">
        <f>IF(AND(A340=Consulta!$B$3,C340=Consulta!$H$3),B340*10000+ROW(),"")</f>
        <v/>
      </c>
    </row>
    <row r="341" spans="1:13" x14ac:dyDescent="0.25">
      <c r="A341" s="21" t="str">
        <f>IF(Registro!$A341="","",Registro!$A341)</f>
        <v/>
      </c>
      <c r="B341" s="20" t="str">
        <f>IF(Registro!$B341="","",Registro!$B341)</f>
        <v/>
      </c>
      <c r="C341" s="35" t="str">
        <f t="shared" si="10"/>
        <v/>
      </c>
      <c r="D341" s="23" t="str">
        <f>IF(Registro!$E341="","",IF(ISERROR(FIND("x",LOWER(Registro!$E341))),"-",IFERROR(SUMPRODUCT(--("0"&amp;LEFT(TRIM(MID(SUBSTITUTE(SUBSTITUTE(SUBSTITUTE(SUBSTITUTE(SUBSTITUTE(LOWER(Registro!$E341),"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",LEN(Registro!$E341))),({1,2,3,4,5,6,7,8,9,10,11,12,13,14,15,16,17,18,19,20,21,22,23,24,25,26,27,28,29,30}-1)*LEN(Registro!$E341)+1,LEN(Registro!$E341))),FIND("x",TRIM(MID(SUBSTITUTE(SUBSTITUTE(SUBSTITUTE(SUBSTITUTE(SUBSTITUTE(LOWER(Registro!$E341),"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",LEN(Registro!$E341))),({1,2,3,4,5,6,7,8,9,10,11,12,13,14,15,16,17,18,19,20,21,22,23,24,25,26,27,28,29,30}-1)*LEN(Registro!$E341)+1,LEN(Registro!$E341)))&amp;"x")-1))),"Revisar formato")))</f>
        <v/>
      </c>
      <c r="E341" s="24" t="str">
        <f>IF(Registro!$E341="","",IF(ISERROR(FIND("x",LOWER(Registro!$E341))),"-",IFERROR(SUMPRODUCT(--("0"&amp;LEFT(TRIM(MID(SUBSTITUTE(SUBSTITUTE(SUBSTITUTE(SUBSTITUTE(SUBSTITUTE(LOWER(Registro!$E341),"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",LEN(Registro!$E341))),({1,2,3,4,5,6,7,8,9,10,11,12,13,14,15,16,17,18,19,20,21,22,23,24,25,26,27,28,29,30}-1)*LEN(Registro!$E341)+1,LEN(Registro!$E341))),FIND("x",TRIM(MID(SUBSTITUTE(SUBSTITUTE(SUBSTITUTE(SUBSTITUTE(SUBSTITUTE(LOWER(Registro!$E341),"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",LEN(Registro!$E341))),({1,2,3,4,5,6,7,8,9,10,11,12,13,14,15,16,17,18,19,20,21,22,23,24,25,26,27,28,29,30}-1)*LEN(Registro!$E341)+1,LEN(Registro!$E341)))&amp;"x")-1)),--("0"&amp;MID(TRIM(MID(SUBSTITUTE(SUBSTITUTE(SUBSTITUTE(SUBSTITUTE(SUBSTITUTE(LOWER(Registro!$E341),"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",LEN(Registro!$E341))),({1,2,3,4,5,6,7,8,9,10,11,12,13,14,15,16,17,18,19,20,21,22,23,24,25,26,27,28,29,30}-1)*LEN(Registro!$E341)+1,LEN(Registro!$E341))),FIND("x",TRIM(MID(SUBSTITUTE(SUBSTITUTE(SUBSTITUTE(SUBSTITUTE(SUBSTITUTE(LOWER(Registro!$E341),"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",LEN(Registro!$E341))),({1,2,3,4,5,6,7,8,9,10,11,12,13,14,15,16,17,18,19,20,21,22,23,24,25,26,27,28,29,30}-1)*LEN(Registro!$E341)+1,LEN(Registro!$E341)))&amp;"x")+1,20))),"Revisar formato")))</f>
        <v/>
      </c>
      <c r="F341" s="23" t="str">
        <f>IF(Registro!$F341="","",IF(ISERROR(FIND("x",LOWER(Registro!$F341))),"-",IFERROR(SUMPRODUCT(--("0"&amp;LEFT(TRIM(MID(SUBSTITUTE(SUBSTITUTE(SUBSTITUTE(SUBSTITUTE(SUBSTITUTE(LOWER(Registro!$F341)," ",""),CHAR(10),"|"),";","|"),"+","|"),"|",REPT(" ",LEN(Registro!$F341))),({1,2,3,4,5,6,7,8,9,10,11,12,13,14,15,16,17,18,19,20,21,22,23,24,25,26,27,28,29,30}-1)*LEN(Registro!$F341)+1,LEN(Registro!$F341))),FIND("x",TRIM(MID(SUBSTITUTE(SUBSTITUTE(SUBSTITUTE(SUBSTITUTE(SUBSTITUTE(LOWER(Registro!$F341)," ",""),CHAR(10),"|"),";","|"),"+","|"),"|",REPT(" ",LEN(Registro!$F341))),({1,2,3,4,5,6,7,8,9,10,11,12,13,14,15,16,17,18,19,20,21,22,23,24,25,26,27,28,29,30}-1)*LEN(Registro!$F341)+1,LEN(Registro!$F341)))&amp;"x")-1))),"Revisar formato")))</f>
        <v/>
      </c>
      <c r="G341" s="24" t="str">
        <f>IF(Registro!$F341="","",IF(ISERROR(FIND("x",LOWER(Registro!$F341))),N(Registro!$G341),IFERROR(SUMPRODUCT(--("0"&amp;LEFT(TRIM(MID(SUBSTITUTE(SUBSTITUTE(SUBSTITUTE(SUBSTITUTE(SUBSTITUTE(LOWER(Registro!$F341)," ",""),CHAR(10),"|"),";","|"),"+","|"),"|",REPT(" ",LEN(Registro!$F341))),({1,2,3,4,5,6,7,8,9,10,11,12,13,14,15,16,17,18,19,20,21,22,23,24,25,26,27,28,29,30}-1)*LEN(Registro!$F341)+1,LEN(Registro!$F341))),FIND("x",TRIM(MID(SUBSTITUTE(SUBSTITUTE(SUBSTITUTE(SUBSTITUTE(SUBSTITUTE(LOWER(Registro!$F341)," ",""),CHAR(10),"|"),";","|"),"+","|"),"|",REPT(" ",LEN(Registro!$F341))),({1,2,3,4,5,6,7,8,9,10,11,12,13,14,15,16,17,18,19,20,21,22,23,24,25,26,27,28,29,30}-1)*LEN(Registro!$F341)+1,LEN(Registro!$F341)))&amp;"x")-1)),--("0"&amp;MID(TRIM(MID(SUBSTITUTE(SUBSTITUTE(SUBSTITUTE(SUBSTITUTE(SUBSTITUTE(LOWER(Registro!$F341)," ",""),CHAR(10),"|"),";","|"),"+","|"),"|",REPT(" ",LEN(Registro!$F341))),({1,2,3,4,5,6,7,8,9,10,11,12,13,14,15,16,17,18,19,20,21,22,23,24,25,26,27,28,29,30}-1)*LEN(Registro!$F341)+1,LEN(Registro!$F341))),FIND("x",TRIM(MID(SUBSTITUTE(SUBSTITUTE(SUBSTITUTE(SUBSTITUTE(SUBSTITUTE(LOWER(Registro!$F341)," ",""),CHAR(10),"|"),";","|"),"+","|"),"|",REPT(" ",LEN(Registro!$F341))),({1,2,3,4,5,6,7,8,9,10,11,12,13,14,15,16,17,18,19,20,21,22,23,24,25,26,27,28,29,30}-1)*LEN(Registro!$F341)+1,LEN(Registro!$F341)))&amp;"x")+1,20))),"Revisar formato")))</f>
        <v/>
      </c>
      <c r="H341" s="21" t="str">
        <f>IF(AND(Registro!$E341="",Registro!$F341=""),"",IF(NOT(AND(ISNUMBER(G341),ISNUMBER(Registro!$G341))),"",IF(G341&lt;Registro!$G341,"FALTA BOLETOS",IF(G341=Registro!$G341,"CONFORME","DIFERENCIA"))))</f>
        <v/>
      </c>
      <c r="I341" s="24" t="str">
        <f>IF(Registro!$H341="","",IFERROR(SUMPRODUCT(--("0"&amp;TRIM(RIGHT(SUBSTITUTE(TRIM(MID(SUBSTITUTE(SUBSTITUTE(Registro!$H341,";",CHAR(10)),CHAR(10),REPT(" ",LEN(Registro!$H341))),({1,2,3,4,5,6,7,8,9,10,11,12,13,14,15,16,17,18,19,20,21,22,23,24,25,26,27,28,29,30}-1)*LEN(Registro!$H341)+1,LEN(Registro!$H341)))," ",REPT(" ",50)),50)))),"Revisar formato"))</f>
        <v/>
      </c>
      <c r="J341" s="24" t="str">
        <f>IF(Registro!$I341="","",IFERROR(SUMPRODUCT(--("0"&amp;TRIM(RIGHT(SUBSTITUTE(TRIM(MID(SUBSTITUTE(SUBSTITUTE(Registro!$I341,";",CHAR(10)),CHAR(10),REPT(" ",LEN(Registro!$I341))),({1,2,3,4,5,6,7,8,9,10,11,12,13,14,15,16,17,18,19,20,21,22,23,24,25,26,27,28,29,30}-1)*LEN(Registro!$I341)+1,LEN(Registro!$I341)))," ",REPT(" ",50)),50)))),"Revisar formato"))</f>
        <v/>
      </c>
      <c r="K341" s="24" t="str">
        <f>IF(AND(Registro!$G341="",Registro!$H341=""),"",IF(AND(ISTEXT(I341),I341&lt;&gt;""),"Revisar formato",N(Registro!$G341)-N(I341)))</f>
        <v/>
      </c>
      <c r="L341" s="24" t="str">
        <f t="shared" si="11"/>
        <v/>
      </c>
      <c r="M341" s="36" t="str">
        <f>IF(AND(A341=Consulta!$B$3,C341=Consulta!$H$3),B341*10000+ROW(),"")</f>
        <v/>
      </c>
    </row>
    <row r="342" spans="1:13" x14ac:dyDescent="0.25">
      <c r="A342" s="21" t="str">
        <f>IF(Registro!$A342="","",Registro!$A342)</f>
        <v/>
      </c>
      <c r="B342" s="20" t="str">
        <f>IF(Registro!$B342="","",Registro!$B342)</f>
        <v/>
      </c>
      <c r="C342" s="35" t="str">
        <f t="shared" si="10"/>
        <v/>
      </c>
      <c r="D342" s="23" t="str">
        <f>IF(Registro!$E342="","",IF(ISERROR(FIND("x",LOWER(Registro!$E342))),"-",IFERROR(SUMPRODUCT(--("0"&amp;LEFT(TRIM(MID(SUBSTITUTE(SUBSTITUTE(SUBSTITUTE(SUBSTITUTE(SUBSTITUTE(LOWER(Registro!$E342),"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",LEN(Registro!$E342))),({1,2,3,4,5,6,7,8,9,10,11,12,13,14,15,16,17,18,19,20,21,22,23,24,25,26,27,28,29,30}-1)*LEN(Registro!$E342)+1,LEN(Registro!$E342))),FIND("x",TRIM(MID(SUBSTITUTE(SUBSTITUTE(SUBSTITUTE(SUBSTITUTE(SUBSTITUTE(LOWER(Registro!$E342),"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",LEN(Registro!$E342))),({1,2,3,4,5,6,7,8,9,10,11,12,13,14,15,16,17,18,19,20,21,22,23,24,25,26,27,28,29,30}-1)*LEN(Registro!$E342)+1,LEN(Registro!$E342)))&amp;"x")-1))),"Revisar formato")))</f>
        <v/>
      </c>
      <c r="E342" s="24" t="str">
        <f>IF(Registro!$E342="","",IF(ISERROR(FIND("x",LOWER(Registro!$E342))),"-",IFERROR(SUMPRODUCT(--("0"&amp;LEFT(TRIM(MID(SUBSTITUTE(SUBSTITUTE(SUBSTITUTE(SUBSTITUTE(SUBSTITUTE(LOWER(Registro!$E342),"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",LEN(Registro!$E342))),({1,2,3,4,5,6,7,8,9,10,11,12,13,14,15,16,17,18,19,20,21,22,23,24,25,26,27,28,29,30}-1)*LEN(Registro!$E342)+1,LEN(Registro!$E342))),FIND("x",TRIM(MID(SUBSTITUTE(SUBSTITUTE(SUBSTITUTE(SUBSTITUTE(SUBSTITUTE(LOWER(Registro!$E342),"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",LEN(Registro!$E342))),({1,2,3,4,5,6,7,8,9,10,11,12,13,14,15,16,17,18,19,20,21,22,23,24,25,26,27,28,29,30}-1)*LEN(Registro!$E342)+1,LEN(Registro!$E342)))&amp;"x")-1)),--("0"&amp;MID(TRIM(MID(SUBSTITUTE(SUBSTITUTE(SUBSTITUTE(SUBSTITUTE(SUBSTITUTE(LOWER(Registro!$E342),"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",LEN(Registro!$E342))),({1,2,3,4,5,6,7,8,9,10,11,12,13,14,15,16,17,18,19,20,21,22,23,24,25,26,27,28,29,30}-1)*LEN(Registro!$E342)+1,LEN(Registro!$E342))),FIND("x",TRIM(MID(SUBSTITUTE(SUBSTITUTE(SUBSTITUTE(SUBSTITUTE(SUBSTITUTE(LOWER(Registro!$E342),"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",LEN(Registro!$E342))),({1,2,3,4,5,6,7,8,9,10,11,12,13,14,15,16,17,18,19,20,21,22,23,24,25,26,27,28,29,30}-1)*LEN(Registro!$E342)+1,LEN(Registro!$E342)))&amp;"x")+1,20))),"Revisar formato")))</f>
        <v/>
      </c>
      <c r="F342" s="23" t="str">
        <f>IF(Registro!$F342="","",IF(ISERROR(FIND("x",LOWER(Registro!$F342))),"-",IFERROR(SUMPRODUCT(--("0"&amp;LEFT(TRIM(MID(SUBSTITUTE(SUBSTITUTE(SUBSTITUTE(SUBSTITUTE(SUBSTITUTE(LOWER(Registro!$F342)," ",""),CHAR(10),"|"),";","|"),"+","|"),"|",REPT(" ",LEN(Registro!$F342))),({1,2,3,4,5,6,7,8,9,10,11,12,13,14,15,16,17,18,19,20,21,22,23,24,25,26,27,28,29,30}-1)*LEN(Registro!$F342)+1,LEN(Registro!$F342))),FIND("x",TRIM(MID(SUBSTITUTE(SUBSTITUTE(SUBSTITUTE(SUBSTITUTE(SUBSTITUTE(LOWER(Registro!$F342)," ",""),CHAR(10),"|"),";","|"),"+","|"),"|",REPT(" ",LEN(Registro!$F342))),({1,2,3,4,5,6,7,8,9,10,11,12,13,14,15,16,17,18,19,20,21,22,23,24,25,26,27,28,29,30}-1)*LEN(Registro!$F342)+1,LEN(Registro!$F342)))&amp;"x")-1))),"Revisar formato")))</f>
        <v/>
      </c>
      <c r="G342" s="24" t="str">
        <f>IF(Registro!$F342="","",IF(ISERROR(FIND("x",LOWER(Registro!$F342))),N(Registro!$G342),IFERROR(SUMPRODUCT(--("0"&amp;LEFT(TRIM(MID(SUBSTITUTE(SUBSTITUTE(SUBSTITUTE(SUBSTITUTE(SUBSTITUTE(LOWER(Registro!$F342)," ",""),CHAR(10),"|"),";","|"),"+","|"),"|",REPT(" ",LEN(Registro!$F342))),({1,2,3,4,5,6,7,8,9,10,11,12,13,14,15,16,17,18,19,20,21,22,23,24,25,26,27,28,29,30}-1)*LEN(Registro!$F342)+1,LEN(Registro!$F342))),FIND("x",TRIM(MID(SUBSTITUTE(SUBSTITUTE(SUBSTITUTE(SUBSTITUTE(SUBSTITUTE(LOWER(Registro!$F342)," ",""),CHAR(10),"|"),";","|"),"+","|"),"|",REPT(" ",LEN(Registro!$F342))),({1,2,3,4,5,6,7,8,9,10,11,12,13,14,15,16,17,18,19,20,21,22,23,24,25,26,27,28,29,30}-1)*LEN(Registro!$F342)+1,LEN(Registro!$F342)))&amp;"x")-1)),--("0"&amp;MID(TRIM(MID(SUBSTITUTE(SUBSTITUTE(SUBSTITUTE(SUBSTITUTE(SUBSTITUTE(LOWER(Registro!$F342)," ",""),CHAR(10),"|"),";","|"),"+","|"),"|",REPT(" ",LEN(Registro!$F342))),({1,2,3,4,5,6,7,8,9,10,11,12,13,14,15,16,17,18,19,20,21,22,23,24,25,26,27,28,29,30}-1)*LEN(Registro!$F342)+1,LEN(Registro!$F342))),FIND("x",TRIM(MID(SUBSTITUTE(SUBSTITUTE(SUBSTITUTE(SUBSTITUTE(SUBSTITUTE(LOWER(Registro!$F342)," ",""),CHAR(10),"|"),";","|"),"+","|"),"|",REPT(" ",LEN(Registro!$F342))),({1,2,3,4,5,6,7,8,9,10,11,12,13,14,15,16,17,18,19,20,21,22,23,24,25,26,27,28,29,30}-1)*LEN(Registro!$F342)+1,LEN(Registro!$F342)))&amp;"x")+1,20))),"Revisar formato")))</f>
        <v/>
      </c>
      <c r="H342" s="21" t="str">
        <f>IF(AND(Registro!$E342="",Registro!$F342=""),"",IF(NOT(AND(ISNUMBER(G342),ISNUMBER(Registro!$G342))),"",IF(G342&lt;Registro!$G342,"FALTA BOLETOS",IF(G342=Registro!$G342,"CONFORME","DIFERENCIA"))))</f>
        <v/>
      </c>
      <c r="I342" s="24" t="str">
        <f>IF(Registro!$H342="","",IFERROR(SUMPRODUCT(--("0"&amp;TRIM(RIGHT(SUBSTITUTE(TRIM(MID(SUBSTITUTE(SUBSTITUTE(Registro!$H342,";",CHAR(10)),CHAR(10),REPT(" ",LEN(Registro!$H342))),({1,2,3,4,5,6,7,8,9,10,11,12,13,14,15,16,17,18,19,20,21,22,23,24,25,26,27,28,29,30}-1)*LEN(Registro!$H342)+1,LEN(Registro!$H342)))," ",REPT(" ",50)),50)))),"Revisar formato"))</f>
        <v/>
      </c>
      <c r="J342" s="24" t="str">
        <f>IF(Registro!$I342="","",IFERROR(SUMPRODUCT(--("0"&amp;TRIM(RIGHT(SUBSTITUTE(TRIM(MID(SUBSTITUTE(SUBSTITUTE(Registro!$I342,";",CHAR(10)),CHAR(10),REPT(" ",LEN(Registro!$I342))),({1,2,3,4,5,6,7,8,9,10,11,12,13,14,15,16,17,18,19,20,21,22,23,24,25,26,27,28,29,30}-1)*LEN(Registro!$I342)+1,LEN(Registro!$I342)))," ",REPT(" ",50)),50)))),"Revisar formato"))</f>
        <v/>
      </c>
      <c r="K342" s="24" t="str">
        <f>IF(AND(Registro!$G342="",Registro!$H342=""),"",IF(AND(ISTEXT(I342),I342&lt;&gt;""),"Revisar formato",N(Registro!$G342)-N(I342)))</f>
        <v/>
      </c>
      <c r="L342" s="24" t="str">
        <f t="shared" si="11"/>
        <v/>
      </c>
      <c r="M342" s="36" t="str">
        <f>IF(AND(A342=Consulta!$B$3,C342=Consulta!$H$3),B342*10000+ROW(),"")</f>
        <v/>
      </c>
    </row>
    <row r="343" spans="1:13" x14ac:dyDescent="0.25">
      <c r="A343" s="21" t="str">
        <f>IF(Registro!$A343="","",Registro!$A343)</f>
        <v/>
      </c>
      <c r="B343" s="20" t="str">
        <f>IF(Registro!$B343="","",Registro!$B343)</f>
        <v/>
      </c>
      <c r="C343" s="35" t="str">
        <f t="shared" si="10"/>
        <v/>
      </c>
      <c r="D343" s="23" t="str">
        <f>IF(Registro!$E343="","",IF(ISERROR(FIND("x",LOWER(Registro!$E343))),"-",IFERROR(SUMPRODUCT(--("0"&amp;LEFT(TRIM(MID(SUBSTITUTE(SUBSTITUTE(SUBSTITUTE(SUBSTITUTE(SUBSTITUTE(LOWER(Registro!$E343),"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",LEN(Registro!$E343))),({1,2,3,4,5,6,7,8,9,10,11,12,13,14,15,16,17,18,19,20,21,22,23,24,25,26,27,28,29,30}-1)*LEN(Registro!$E343)+1,LEN(Registro!$E343))),FIND("x",TRIM(MID(SUBSTITUTE(SUBSTITUTE(SUBSTITUTE(SUBSTITUTE(SUBSTITUTE(LOWER(Registro!$E343),"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",LEN(Registro!$E343))),({1,2,3,4,5,6,7,8,9,10,11,12,13,14,15,16,17,18,19,20,21,22,23,24,25,26,27,28,29,30}-1)*LEN(Registro!$E343)+1,LEN(Registro!$E343)))&amp;"x")-1))),"Revisar formato")))</f>
        <v/>
      </c>
      <c r="E343" s="24" t="str">
        <f>IF(Registro!$E343="","",IF(ISERROR(FIND("x",LOWER(Registro!$E343))),"-",IFERROR(SUMPRODUCT(--("0"&amp;LEFT(TRIM(MID(SUBSTITUTE(SUBSTITUTE(SUBSTITUTE(SUBSTITUTE(SUBSTITUTE(LOWER(Registro!$E343),"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",LEN(Registro!$E343))),({1,2,3,4,5,6,7,8,9,10,11,12,13,14,15,16,17,18,19,20,21,22,23,24,25,26,27,28,29,30}-1)*LEN(Registro!$E343)+1,LEN(Registro!$E343))),FIND("x",TRIM(MID(SUBSTITUTE(SUBSTITUTE(SUBSTITUTE(SUBSTITUTE(SUBSTITUTE(LOWER(Registro!$E343),"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",LEN(Registro!$E343))),({1,2,3,4,5,6,7,8,9,10,11,12,13,14,15,16,17,18,19,20,21,22,23,24,25,26,27,28,29,30}-1)*LEN(Registro!$E343)+1,LEN(Registro!$E343)))&amp;"x")-1)),--("0"&amp;MID(TRIM(MID(SUBSTITUTE(SUBSTITUTE(SUBSTITUTE(SUBSTITUTE(SUBSTITUTE(LOWER(Registro!$E343),"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",LEN(Registro!$E343))),({1,2,3,4,5,6,7,8,9,10,11,12,13,14,15,16,17,18,19,20,21,22,23,24,25,26,27,28,29,30}-1)*LEN(Registro!$E343)+1,LEN(Registro!$E343))),FIND("x",TRIM(MID(SUBSTITUTE(SUBSTITUTE(SUBSTITUTE(SUBSTITUTE(SUBSTITUTE(LOWER(Registro!$E343),"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",LEN(Registro!$E343))),({1,2,3,4,5,6,7,8,9,10,11,12,13,14,15,16,17,18,19,20,21,22,23,24,25,26,27,28,29,30}-1)*LEN(Registro!$E343)+1,LEN(Registro!$E343)))&amp;"x")+1,20))),"Revisar formato")))</f>
        <v/>
      </c>
      <c r="F343" s="23" t="str">
        <f>IF(Registro!$F343="","",IF(ISERROR(FIND("x",LOWER(Registro!$F343))),"-",IFERROR(SUMPRODUCT(--("0"&amp;LEFT(TRIM(MID(SUBSTITUTE(SUBSTITUTE(SUBSTITUTE(SUBSTITUTE(SUBSTITUTE(LOWER(Registro!$F343)," ",""),CHAR(10),"|"),";","|"),"+","|"),"|",REPT(" ",LEN(Registro!$F343))),({1,2,3,4,5,6,7,8,9,10,11,12,13,14,15,16,17,18,19,20,21,22,23,24,25,26,27,28,29,30}-1)*LEN(Registro!$F343)+1,LEN(Registro!$F343))),FIND("x",TRIM(MID(SUBSTITUTE(SUBSTITUTE(SUBSTITUTE(SUBSTITUTE(SUBSTITUTE(LOWER(Registro!$F343)," ",""),CHAR(10),"|"),";","|"),"+","|"),"|",REPT(" ",LEN(Registro!$F343))),({1,2,3,4,5,6,7,8,9,10,11,12,13,14,15,16,17,18,19,20,21,22,23,24,25,26,27,28,29,30}-1)*LEN(Registro!$F343)+1,LEN(Registro!$F343)))&amp;"x")-1))),"Revisar formato")))</f>
        <v/>
      </c>
      <c r="G343" s="24" t="str">
        <f>IF(Registro!$F343="","",IF(ISERROR(FIND("x",LOWER(Registro!$F343))),N(Registro!$G343),IFERROR(SUMPRODUCT(--("0"&amp;LEFT(TRIM(MID(SUBSTITUTE(SUBSTITUTE(SUBSTITUTE(SUBSTITUTE(SUBSTITUTE(LOWER(Registro!$F343)," ",""),CHAR(10),"|"),";","|"),"+","|"),"|",REPT(" ",LEN(Registro!$F343))),({1,2,3,4,5,6,7,8,9,10,11,12,13,14,15,16,17,18,19,20,21,22,23,24,25,26,27,28,29,30}-1)*LEN(Registro!$F343)+1,LEN(Registro!$F343))),FIND("x",TRIM(MID(SUBSTITUTE(SUBSTITUTE(SUBSTITUTE(SUBSTITUTE(SUBSTITUTE(LOWER(Registro!$F343)," ",""),CHAR(10),"|"),";","|"),"+","|"),"|",REPT(" ",LEN(Registro!$F343))),({1,2,3,4,5,6,7,8,9,10,11,12,13,14,15,16,17,18,19,20,21,22,23,24,25,26,27,28,29,30}-1)*LEN(Registro!$F343)+1,LEN(Registro!$F343)))&amp;"x")-1)),--("0"&amp;MID(TRIM(MID(SUBSTITUTE(SUBSTITUTE(SUBSTITUTE(SUBSTITUTE(SUBSTITUTE(LOWER(Registro!$F343)," ",""),CHAR(10),"|"),";","|"),"+","|"),"|",REPT(" ",LEN(Registro!$F343))),({1,2,3,4,5,6,7,8,9,10,11,12,13,14,15,16,17,18,19,20,21,22,23,24,25,26,27,28,29,30}-1)*LEN(Registro!$F343)+1,LEN(Registro!$F343))),FIND("x",TRIM(MID(SUBSTITUTE(SUBSTITUTE(SUBSTITUTE(SUBSTITUTE(SUBSTITUTE(LOWER(Registro!$F343)," ",""),CHAR(10),"|"),";","|"),"+","|"),"|",REPT(" ",LEN(Registro!$F343))),({1,2,3,4,5,6,7,8,9,10,11,12,13,14,15,16,17,18,19,20,21,22,23,24,25,26,27,28,29,30}-1)*LEN(Registro!$F343)+1,LEN(Registro!$F343)))&amp;"x")+1,20))),"Revisar formato")))</f>
        <v/>
      </c>
      <c r="H343" s="21" t="str">
        <f>IF(AND(Registro!$E343="",Registro!$F343=""),"",IF(NOT(AND(ISNUMBER(G343),ISNUMBER(Registro!$G343))),"",IF(G343&lt;Registro!$G343,"FALTA BOLETOS",IF(G343=Registro!$G343,"CONFORME","DIFERENCIA"))))</f>
        <v/>
      </c>
      <c r="I343" s="24" t="str">
        <f>IF(Registro!$H343="","",IFERROR(SUMPRODUCT(--("0"&amp;TRIM(RIGHT(SUBSTITUTE(TRIM(MID(SUBSTITUTE(SUBSTITUTE(Registro!$H343,";",CHAR(10)),CHAR(10),REPT(" ",LEN(Registro!$H343))),({1,2,3,4,5,6,7,8,9,10,11,12,13,14,15,16,17,18,19,20,21,22,23,24,25,26,27,28,29,30}-1)*LEN(Registro!$H343)+1,LEN(Registro!$H343)))," ",REPT(" ",50)),50)))),"Revisar formato"))</f>
        <v/>
      </c>
      <c r="J343" s="24" t="str">
        <f>IF(Registro!$I343="","",IFERROR(SUMPRODUCT(--("0"&amp;TRIM(RIGHT(SUBSTITUTE(TRIM(MID(SUBSTITUTE(SUBSTITUTE(Registro!$I343,";",CHAR(10)),CHAR(10),REPT(" ",LEN(Registro!$I343))),({1,2,3,4,5,6,7,8,9,10,11,12,13,14,15,16,17,18,19,20,21,22,23,24,25,26,27,28,29,30}-1)*LEN(Registro!$I343)+1,LEN(Registro!$I343)))," ",REPT(" ",50)),50)))),"Revisar formato"))</f>
        <v/>
      </c>
      <c r="K343" s="24" t="str">
        <f>IF(AND(Registro!$G343="",Registro!$H343=""),"",IF(AND(ISTEXT(I343),I343&lt;&gt;""),"Revisar formato",N(Registro!$G343)-N(I343)))</f>
        <v/>
      </c>
      <c r="L343" s="24" t="str">
        <f t="shared" si="11"/>
        <v/>
      </c>
      <c r="M343" s="36" t="str">
        <f>IF(AND(A343=Consulta!$B$3,C343=Consulta!$H$3),B343*10000+ROW(),"")</f>
        <v/>
      </c>
    </row>
    <row r="344" spans="1:13" x14ac:dyDescent="0.25">
      <c r="A344" s="21" t="str">
        <f>IF(Registro!$A344="","",Registro!$A344)</f>
        <v/>
      </c>
      <c r="B344" s="20" t="str">
        <f>IF(Registro!$B344="","",Registro!$B344)</f>
        <v/>
      </c>
      <c r="C344" s="35" t="str">
        <f t="shared" si="10"/>
        <v/>
      </c>
      <c r="D344" s="23" t="str">
        <f>IF(Registro!$E344="","",IF(ISERROR(FIND("x",LOWER(Registro!$E344))),"-",IFERROR(SUMPRODUCT(--("0"&amp;LEFT(TRIM(MID(SUBSTITUTE(SUBSTITUTE(SUBSTITUTE(SUBSTITUTE(SUBSTITUTE(LOWER(Registro!$E344),"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",LEN(Registro!$E344))),({1,2,3,4,5,6,7,8,9,10,11,12,13,14,15,16,17,18,19,20,21,22,23,24,25,26,27,28,29,30}-1)*LEN(Registro!$E344)+1,LEN(Registro!$E344))),FIND("x",TRIM(MID(SUBSTITUTE(SUBSTITUTE(SUBSTITUTE(SUBSTITUTE(SUBSTITUTE(LOWER(Registro!$E344),"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",LEN(Registro!$E344))),({1,2,3,4,5,6,7,8,9,10,11,12,13,14,15,16,17,18,19,20,21,22,23,24,25,26,27,28,29,30}-1)*LEN(Registro!$E344)+1,LEN(Registro!$E344)))&amp;"x")-1))),"Revisar formato")))</f>
        <v/>
      </c>
      <c r="E344" s="24" t="str">
        <f>IF(Registro!$E344="","",IF(ISERROR(FIND("x",LOWER(Registro!$E344))),"-",IFERROR(SUMPRODUCT(--("0"&amp;LEFT(TRIM(MID(SUBSTITUTE(SUBSTITUTE(SUBSTITUTE(SUBSTITUTE(SUBSTITUTE(LOWER(Registro!$E344),"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",LEN(Registro!$E344))),({1,2,3,4,5,6,7,8,9,10,11,12,13,14,15,16,17,18,19,20,21,22,23,24,25,26,27,28,29,30}-1)*LEN(Registro!$E344)+1,LEN(Registro!$E344))),FIND("x",TRIM(MID(SUBSTITUTE(SUBSTITUTE(SUBSTITUTE(SUBSTITUTE(SUBSTITUTE(LOWER(Registro!$E344),"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",LEN(Registro!$E344))),({1,2,3,4,5,6,7,8,9,10,11,12,13,14,15,16,17,18,19,20,21,22,23,24,25,26,27,28,29,30}-1)*LEN(Registro!$E344)+1,LEN(Registro!$E344)))&amp;"x")-1)),--("0"&amp;MID(TRIM(MID(SUBSTITUTE(SUBSTITUTE(SUBSTITUTE(SUBSTITUTE(SUBSTITUTE(LOWER(Registro!$E344),"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",LEN(Registro!$E344))),({1,2,3,4,5,6,7,8,9,10,11,12,13,14,15,16,17,18,19,20,21,22,23,24,25,26,27,28,29,30}-1)*LEN(Registro!$E344)+1,LEN(Registro!$E344))),FIND("x",TRIM(MID(SUBSTITUTE(SUBSTITUTE(SUBSTITUTE(SUBSTITUTE(SUBSTITUTE(LOWER(Registro!$E344),"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",LEN(Registro!$E344))),({1,2,3,4,5,6,7,8,9,10,11,12,13,14,15,16,17,18,19,20,21,22,23,24,25,26,27,28,29,30}-1)*LEN(Registro!$E344)+1,LEN(Registro!$E344)))&amp;"x")+1,20))),"Revisar formato")))</f>
        <v/>
      </c>
      <c r="F344" s="23" t="str">
        <f>IF(Registro!$F344="","",IF(ISERROR(FIND("x",LOWER(Registro!$F344))),"-",IFERROR(SUMPRODUCT(--("0"&amp;LEFT(TRIM(MID(SUBSTITUTE(SUBSTITUTE(SUBSTITUTE(SUBSTITUTE(SUBSTITUTE(LOWER(Registro!$F344)," ",""),CHAR(10),"|"),";","|"),"+","|"),"|",REPT(" ",LEN(Registro!$F344))),({1,2,3,4,5,6,7,8,9,10,11,12,13,14,15,16,17,18,19,20,21,22,23,24,25,26,27,28,29,30}-1)*LEN(Registro!$F344)+1,LEN(Registro!$F344))),FIND("x",TRIM(MID(SUBSTITUTE(SUBSTITUTE(SUBSTITUTE(SUBSTITUTE(SUBSTITUTE(LOWER(Registro!$F344)," ",""),CHAR(10),"|"),";","|"),"+","|"),"|",REPT(" ",LEN(Registro!$F344))),({1,2,3,4,5,6,7,8,9,10,11,12,13,14,15,16,17,18,19,20,21,22,23,24,25,26,27,28,29,30}-1)*LEN(Registro!$F344)+1,LEN(Registro!$F344)))&amp;"x")-1))),"Revisar formato")))</f>
        <v/>
      </c>
      <c r="G344" s="24" t="str">
        <f>IF(Registro!$F344="","",IF(ISERROR(FIND("x",LOWER(Registro!$F344))),N(Registro!$G344),IFERROR(SUMPRODUCT(--("0"&amp;LEFT(TRIM(MID(SUBSTITUTE(SUBSTITUTE(SUBSTITUTE(SUBSTITUTE(SUBSTITUTE(LOWER(Registro!$F344)," ",""),CHAR(10),"|"),";","|"),"+","|"),"|",REPT(" ",LEN(Registro!$F344))),({1,2,3,4,5,6,7,8,9,10,11,12,13,14,15,16,17,18,19,20,21,22,23,24,25,26,27,28,29,30}-1)*LEN(Registro!$F344)+1,LEN(Registro!$F344))),FIND("x",TRIM(MID(SUBSTITUTE(SUBSTITUTE(SUBSTITUTE(SUBSTITUTE(SUBSTITUTE(LOWER(Registro!$F344)," ",""),CHAR(10),"|"),";","|"),"+","|"),"|",REPT(" ",LEN(Registro!$F344))),({1,2,3,4,5,6,7,8,9,10,11,12,13,14,15,16,17,18,19,20,21,22,23,24,25,26,27,28,29,30}-1)*LEN(Registro!$F344)+1,LEN(Registro!$F344)))&amp;"x")-1)),--("0"&amp;MID(TRIM(MID(SUBSTITUTE(SUBSTITUTE(SUBSTITUTE(SUBSTITUTE(SUBSTITUTE(LOWER(Registro!$F344)," ",""),CHAR(10),"|"),";","|"),"+","|"),"|",REPT(" ",LEN(Registro!$F344))),({1,2,3,4,5,6,7,8,9,10,11,12,13,14,15,16,17,18,19,20,21,22,23,24,25,26,27,28,29,30}-1)*LEN(Registro!$F344)+1,LEN(Registro!$F344))),FIND("x",TRIM(MID(SUBSTITUTE(SUBSTITUTE(SUBSTITUTE(SUBSTITUTE(SUBSTITUTE(LOWER(Registro!$F344)," ",""),CHAR(10),"|"),";","|"),"+","|"),"|",REPT(" ",LEN(Registro!$F344))),({1,2,3,4,5,6,7,8,9,10,11,12,13,14,15,16,17,18,19,20,21,22,23,24,25,26,27,28,29,30}-1)*LEN(Registro!$F344)+1,LEN(Registro!$F344)))&amp;"x")+1,20))),"Revisar formato")))</f>
        <v/>
      </c>
      <c r="H344" s="21" t="str">
        <f>IF(AND(Registro!$E344="",Registro!$F344=""),"",IF(NOT(AND(ISNUMBER(G344),ISNUMBER(Registro!$G344))),"",IF(G344&lt;Registro!$G344,"FALTA BOLETOS",IF(G344=Registro!$G344,"CONFORME","DIFERENCIA"))))</f>
        <v/>
      </c>
      <c r="I344" s="24" t="str">
        <f>IF(Registro!$H344="","",IFERROR(SUMPRODUCT(--("0"&amp;TRIM(RIGHT(SUBSTITUTE(TRIM(MID(SUBSTITUTE(SUBSTITUTE(Registro!$H344,";",CHAR(10)),CHAR(10),REPT(" ",LEN(Registro!$H344))),({1,2,3,4,5,6,7,8,9,10,11,12,13,14,15,16,17,18,19,20,21,22,23,24,25,26,27,28,29,30}-1)*LEN(Registro!$H344)+1,LEN(Registro!$H344)))," ",REPT(" ",50)),50)))),"Revisar formato"))</f>
        <v/>
      </c>
      <c r="J344" s="24" t="str">
        <f>IF(Registro!$I344="","",IFERROR(SUMPRODUCT(--("0"&amp;TRIM(RIGHT(SUBSTITUTE(TRIM(MID(SUBSTITUTE(SUBSTITUTE(Registro!$I344,";",CHAR(10)),CHAR(10),REPT(" ",LEN(Registro!$I344))),({1,2,3,4,5,6,7,8,9,10,11,12,13,14,15,16,17,18,19,20,21,22,23,24,25,26,27,28,29,30}-1)*LEN(Registro!$I344)+1,LEN(Registro!$I344)))," ",REPT(" ",50)),50)))),"Revisar formato"))</f>
        <v/>
      </c>
      <c r="K344" s="24" t="str">
        <f>IF(AND(Registro!$G344="",Registro!$H344=""),"",IF(AND(ISTEXT(I344),I344&lt;&gt;""),"Revisar formato",N(Registro!$G344)-N(I344)))</f>
        <v/>
      </c>
      <c r="L344" s="24" t="str">
        <f t="shared" si="11"/>
        <v/>
      </c>
      <c r="M344" s="36" t="str">
        <f>IF(AND(A344=Consulta!$B$3,C344=Consulta!$H$3),B344*10000+ROW(),"")</f>
        <v/>
      </c>
    </row>
    <row r="345" spans="1:13" x14ac:dyDescent="0.25">
      <c r="A345" s="21" t="str">
        <f>IF(Registro!$A345="","",Registro!$A345)</f>
        <v/>
      </c>
      <c r="B345" s="20" t="str">
        <f>IF(Registro!$B345="","",Registro!$B345)</f>
        <v/>
      </c>
      <c r="C345" s="35" t="str">
        <f t="shared" si="10"/>
        <v/>
      </c>
      <c r="D345" s="23" t="str">
        <f>IF(Registro!$E345="","",IF(ISERROR(FIND("x",LOWER(Registro!$E345))),"-",IFERROR(SUMPRODUCT(--("0"&amp;LEFT(TRIM(MID(SUBSTITUTE(SUBSTITUTE(SUBSTITUTE(SUBSTITUTE(SUBSTITUTE(LOWER(Registro!$E345),"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",LEN(Registro!$E345))),({1,2,3,4,5,6,7,8,9,10,11,12,13,14,15,16,17,18,19,20,21,22,23,24,25,26,27,28,29,30}-1)*LEN(Registro!$E345)+1,LEN(Registro!$E345))),FIND("x",TRIM(MID(SUBSTITUTE(SUBSTITUTE(SUBSTITUTE(SUBSTITUTE(SUBSTITUTE(LOWER(Registro!$E345),"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",LEN(Registro!$E345))),({1,2,3,4,5,6,7,8,9,10,11,12,13,14,15,16,17,18,19,20,21,22,23,24,25,26,27,28,29,30}-1)*LEN(Registro!$E345)+1,LEN(Registro!$E345)))&amp;"x")-1))),"Revisar formato")))</f>
        <v/>
      </c>
      <c r="E345" s="24" t="str">
        <f>IF(Registro!$E345="","",IF(ISERROR(FIND("x",LOWER(Registro!$E345))),"-",IFERROR(SUMPRODUCT(--("0"&amp;LEFT(TRIM(MID(SUBSTITUTE(SUBSTITUTE(SUBSTITUTE(SUBSTITUTE(SUBSTITUTE(LOWER(Registro!$E345),"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",LEN(Registro!$E345))),({1,2,3,4,5,6,7,8,9,10,11,12,13,14,15,16,17,18,19,20,21,22,23,24,25,26,27,28,29,30}-1)*LEN(Registro!$E345)+1,LEN(Registro!$E345))),FIND("x",TRIM(MID(SUBSTITUTE(SUBSTITUTE(SUBSTITUTE(SUBSTITUTE(SUBSTITUTE(LOWER(Registro!$E345),"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",LEN(Registro!$E345))),({1,2,3,4,5,6,7,8,9,10,11,12,13,14,15,16,17,18,19,20,21,22,23,24,25,26,27,28,29,30}-1)*LEN(Registro!$E345)+1,LEN(Registro!$E345)))&amp;"x")-1)),--("0"&amp;MID(TRIM(MID(SUBSTITUTE(SUBSTITUTE(SUBSTITUTE(SUBSTITUTE(SUBSTITUTE(LOWER(Registro!$E345),"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",LEN(Registro!$E345))),({1,2,3,4,5,6,7,8,9,10,11,12,13,14,15,16,17,18,19,20,21,22,23,24,25,26,27,28,29,30}-1)*LEN(Registro!$E345)+1,LEN(Registro!$E345))),FIND("x",TRIM(MID(SUBSTITUTE(SUBSTITUTE(SUBSTITUTE(SUBSTITUTE(SUBSTITUTE(LOWER(Registro!$E345),"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",LEN(Registro!$E345))),({1,2,3,4,5,6,7,8,9,10,11,12,13,14,15,16,17,18,19,20,21,22,23,24,25,26,27,28,29,30}-1)*LEN(Registro!$E345)+1,LEN(Registro!$E345)))&amp;"x")+1,20))),"Revisar formato")))</f>
        <v/>
      </c>
      <c r="F345" s="23" t="str">
        <f>IF(Registro!$F345="","",IF(ISERROR(FIND("x",LOWER(Registro!$F345))),"-",IFERROR(SUMPRODUCT(--("0"&amp;LEFT(TRIM(MID(SUBSTITUTE(SUBSTITUTE(SUBSTITUTE(SUBSTITUTE(SUBSTITUTE(LOWER(Registro!$F345)," ",""),CHAR(10),"|"),";","|"),"+","|"),"|",REPT(" ",LEN(Registro!$F345))),({1,2,3,4,5,6,7,8,9,10,11,12,13,14,15,16,17,18,19,20,21,22,23,24,25,26,27,28,29,30}-1)*LEN(Registro!$F345)+1,LEN(Registro!$F345))),FIND("x",TRIM(MID(SUBSTITUTE(SUBSTITUTE(SUBSTITUTE(SUBSTITUTE(SUBSTITUTE(LOWER(Registro!$F345)," ",""),CHAR(10),"|"),";","|"),"+","|"),"|",REPT(" ",LEN(Registro!$F345))),({1,2,3,4,5,6,7,8,9,10,11,12,13,14,15,16,17,18,19,20,21,22,23,24,25,26,27,28,29,30}-1)*LEN(Registro!$F345)+1,LEN(Registro!$F345)))&amp;"x")-1))),"Revisar formato")))</f>
        <v/>
      </c>
      <c r="G345" s="24" t="str">
        <f>IF(Registro!$F345="","",IF(ISERROR(FIND("x",LOWER(Registro!$F345))),N(Registro!$G345),IFERROR(SUMPRODUCT(--("0"&amp;LEFT(TRIM(MID(SUBSTITUTE(SUBSTITUTE(SUBSTITUTE(SUBSTITUTE(SUBSTITUTE(LOWER(Registro!$F345)," ",""),CHAR(10),"|"),";","|"),"+","|"),"|",REPT(" ",LEN(Registro!$F345))),({1,2,3,4,5,6,7,8,9,10,11,12,13,14,15,16,17,18,19,20,21,22,23,24,25,26,27,28,29,30}-1)*LEN(Registro!$F345)+1,LEN(Registro!$F345))),FIND("x",TRIM(MID(SUBSTITUTE(SUBSTITUTE(SUBSTITUTE(SUBSTITUTE(SUBSTITUTE(LOWER(Registro!$F345)," ",""),CHAR(10),"|"),";","|"),"+","|"),"|",REPT(" ",LEN(Registro!$F345))),({1,2,3,4,5,6,7,8,9,10,11,12,13,14,15,16,17,18,19,20,21,22,23,24,25,26,27,28,29,30}-1)*LEN(Registro!$F345)+1,LEN(Registro!$F345)))&amp;"x")-1)),--("0"&amp;MID(TRIM(MID(SUBSTITUTE(SUBSTITUTE(SUBSTITUTE(SUBSTITUTE(SUBSTITUTE(LOWER(Registro!$F345)," ",""),CHAR(10),"|"),";","|"),"+","|"),"|",REPT(" ",LEN(Registro!$F345))),({1,2,3,4,5,6,7,8,9,10,11,12,13,14,15,16,17,18,19,20,21,22,23,24,25,26,27,28,29,30}-1)*LEN(Registro!$F345)+1,LEN(Registro!$F345))),FIND("x",TRIM(MID(SUBSTITUTE(SUBSTITUTE(SUBSTITUTE(SUBSTITUTE(SUBSTITUTE(LOWER(Registro!$F345)," ",""),CHAR(10),"|"),";","|"),"+","|"),"|",REPT(" ",LEN(Registro!$F345))),({1,2,3,4,5,6,7,8,9,10,11,12,13,14,15,16,17,18,19,20,21,22,23,24,25,26,27,28,29,30}-1)*LEN(Registro!$F345)+1,LEN(Registro!$F345)))&amp;"x")+1,20))),"Revisar formato")))</f>
        <v/>
      </c>
      <c r="H345" s="21" t="str">
        <f>IF(AND(Registro!$E345="",Registro!$F345=""),"",IF(NOT(AND(ISNUMBER(G345),ISNUMBER(Registro!$G345))),"",IF(G345&lt;Registro!$G345,"FALTA BOLETOS",IF(G345=Registro!$G345,"CONFORME","DIFERENCIA"))))</f>
        <v/>
      </c>
      <c r="I345" s="24" t="str">
        <f>IF(Registro!$H345="","",IFERROR(SUMPRODUCT(--("0"&amp;TRIM(RIGHT(SUBSTITUTE(TRIM(MID(SUBSTITUTE(SUBSTITUTE(Registro!$H345,";",CHAR(10)),CHAR(10),REPT(" ",LEN(Registro!$H345))),({1,2,3,4,5,6,7,8,9,10,11,12,13,14,15,16,17,18,19,20,21,22,23,24,25,26,27,28,29,30}-1)*LEN(Registro!$H345)+1,LEN(Registro!$H345)))," ",REPT(" ",50)),50)))),"Revisar formato"))</f>
        <v/>
      </c>
      <c r="J345" s="24" t="str">
        <f>IF(Registro!$I345="","",IFERROR(SUMPRODUCT(--("0"&amp;TRIM(RIGHT(SUBSTITUTE(TRIM(MID(SUBSTITUTE(SUBSTITUTE(Registro!$I345,";",CHAR(10)),CHAR(10),REPT(" ",LEN(Registro!$I345))),({1,2,3,4,5,6,7,8,9,10,11,12,13,14,15,16,17,18,19,20,21,22,23,24,25,26,27,28,29,30}-1)*LEN(Registro!$I345)+1,LEN(Registro!$I345)))," ",REPT(" ",50)),50)))),"Revisar formato"))</f>
        <v/>
      </c>
      <c r="K345" s="24" t="str">
        <f>IF(AND(Registro!$G345="",Registro!$H345=""),"",IF(AND(ISTEXT(I345),I345&lt;&gt;""),"Revisar formato",N(Registro!$G345)-N(I345)))</f>
        <v/>
      </c>
      <c r="L345" s="24" t="str">
        <f t="shared" si="11"/>
        <v/>
      </c>
      <c r="M345" s="36" t="str">
        <f>IF(AND(A345=Consulta!$B$3,C345=Consulta!$H$3),B345*10000+ROW(),"")</f>
        <v/>
      </c>
    </row>
    <row r="346" spans="1:13" x14ac:dyDescent="0.25">
      <c r="A346" s="21" t="str">
        <f>IF(Registro!$A346="","",Registro!$A346)</f>
        <v/>
      </c>
      <c r="B346" s="20" t="str">
        <f>IF(Registro!$B346="","",Registro!$B346)</f>
        <v/>
      </c>
      <c r="C346" s="35" t="str">
        <f t="shared" si="10"/>
        <v/>
      </c>
      <c r="D346" s="23" t="str">
        <f>IF(Registro!$E346="","",IF(ISERROR(FIND("x",LOWER(Registro!$E346))),"-",IFERROR(SUMPRODUCT(--("0"&amp;LEFT(TRIM(MID(SUBSTITUTE(SUBSTITUTE(SUBSTITUTE(SUBSTITUTE(SUBSTITUTE(LOWER(Registro!$E346),"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",LEN(Registro!$E346))),({1,2,3,4,5,6,7,8,9,10,11,12,13,14,15,16,17,18,19,20,21,22,23,24,25,26,27,28,29,30}-1)*LEN(Registro!$E346)+1,LEN(Registro!$E346))),FIND("x",TRIM(MID(SUBSTITUTE(SUBSTITUTE(SUBSTITUTE(SUBSTITUTE(SUBSTITUTE(LOWER(Registro!$E346),"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",LEN(Registro!$E346))),({1,2,3,4,5,6,7,8,9,10,11,12,13,14,15,16,17,18,19,20,21,22,23,24,25,26,27,28,29,30}-1)*LEN(Registro!$E346)+1,LEN(Registro!$E346)))&amp;"x")-1))),"Revisar formato")))</f>
        <v/>
      </c>
      <c r="E346" s="24" t="str">
        <f>IF(Registro!$E346="","",IF(ISERROR(FIND("x",LOWER(Registro!$E346))),"-",IFERROR(SUMPRODUCT(--("0"&amp;LEFT(TRIM(MID(SUBSTITUTE(SUBSTITUTE(SUBSTITUTE(SUBSTITUTE(SUBSTITUTE(LOWER(Registro!$E346),"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",LEN(Registro!$E346))),({1,2,3,4,5,6,7,8,9,10,11,12,13,14,15,16,17,18,19,20,21,22,23,24,25,26,27,28,29,30}-1)*LEN(Registro!$E346)+1,LEN(Registro!$E346))),FIND("x",TRIM(MID(SUBSTITUTE(SUBSTITUTE(SUBSTITUTE(SUBSTITUTE(SUBSTITUTE(LOWER(Registro!$E346),"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",LEN(Registro!$E346))),({1,2,3,4,5,6,7,8,9,10,11,12,13,14,15,16,17,18,19,20,21,22,23,24,25,26,27,28,29,30}-1)*LEN(Registro!$E346)+1,LEN(Registro!$E346)))&amp;"x")-1)),--("0"&amp;MID(TRIM(MID(SUBSTITUTE(SUBSTITUTE(SUBSTITUTE(SUBSTITUTE(SUBSTITUTE(LOWER(Registro!$E346),"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",LEN(Registro!$E346))),({1,2,3,4,5,6,7,8,9,10,11,12,13,14,15,16,17,18,19,20,21,22,23,24,25,26,27,28,29,30}-1)*LEN(Registro!$E346)+1,LEN(Registro!$E346))),FIND("x",TRIM(MID(SUBSTITUTE(SUBSTITUTE(SUBSTITUTE(SUBSTITUTE(SUBSTITUTE(LOWER(Registro!$E346),"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",LEN(Registro!$E346))),({1,2,3,4,5,6,7,8,9,10,11,12,13,14,15,16,17,18,19,20,21,22,23,24,25,26,27,28,29,30}-1)*LEN(Registro!$E346)+1,LEN(Registro!$E346)))&amp;"x")+1,20))),"Revisar formato")))</f>
        <v/>
      </c>
      <c r="F346" s="23" t="str">
        <f>IF(Registro!$F346="","",IF(ISERROR(FIND("x",LOWER(Registro!$F346))),"-",IFERROR(SUMPRODUCT(--("0"&amp;LEFT(TRIM(MID(SUBSTITUTE(SUBSTITUTE(SUBSTITUTE(SUBSTITUTE(SUBSTITUTE(LOWER(Registro!$F346)," ",""),CHAR(10),"|"),";","|"),"+","|"),"|",REPT(" ",LEN(Registro!$F346))),({1,2,3,4,5,6,7,8,9,10,11,12,13,14,15,16,17,18,19,20,21,22,23,24,25,26,27,28,29,30}-1)*LEN(Registro!$F346)+1,LEN(Registro!$F346))),FIND("x",TRIM(MID(SUBSTITUTE(SUBSTITUTE(SUBSTITUTE(SUBSTITUTE(SUBSTITUTE(LOWER(Registro!$F346)," ",""),CHAR(10),"|"),";","|"),"+","|"),"|",REPT(" ",LEN(Registro!$F346))),({1,2,3,4,5,6,7,8,9,10,11,12,13,14,15,16,17,18,19,20,21,22,23,24,25,26,27,28,29,30}-1)*LEN(Registro!$F346)+1,LEN(Registro!$F346)))&amp;"x")-1))),"Revisar formato")))</f>
        <v/>
      </c>
      <c r="G346" s="24" t="str">
        <f>IF(Registro!$F346="","",IF(ISERROR(FIND("x",LOWER(Registro!$F346))),N(Registro!$G346),IFERROR(SUMPRODUCT(--("0"&amp;LEFT(TRIM(MID(SUBSTITUTE(SUBSTITUTE(SUBSTITUTE(SUBSTITUTE(SUBSTITUTE(LOWER(Registro!$F346)," ",""),CHAR(10),"|"),";","|"),"+","|"),"|",REPT(" ",LEN(Registro!$F346))),({1,2,3,4,5,6,7,8,9,10,11,12,13,14,15,16,17,18,19,20,21,22,23,24,25,26,27,28,29,30}-1)*LEN(Registro!$F346)+1,LEN(Registro!$F346))),FIND("x",TRIM(MID(SUBSTITUTE(SUBSTITUTE(SUBSTITUTE(SUBSTITUTE(SUBSTITUTE(LOWER(Registro!$F346)," ",""),CHAR(10),"|"),";","|"),"+","|"),"|",REPT(" ",LEN(Registro!$F346))),({1,2,3,4,5,6,7,8,9,10,11,12,13,14,15,16,17,18,19,20,21,22,23,24,25,26,27,28,29,30}-1)*LEN(Registro!$F346)+1,LEN(Registro!$F346)))&amp;"x")-1)),--("0"&amp;MID(TRIM(MID(SUBSTITUTE(SUBSTITUTE(SUBSTITUTE(SUBSTITUTE(SUBSTITUTE(LOWER(Registro!$F346)," ",""),CHAR(10),"|"),";","|"),"+","|"),"|",REPT(" ",LEN(Registro!$F346))),({1,2,3,4,5,6,7,8,9,10,11,12,13,14,15,16,17,18,19,20,21,22,23,24,25,26,27,28,29,30}-1)*LEN(Registro!$F346)+1,LEN(Registro!$F346))),FIND("x",TRIM(MID(SUBSTITUTE(SUBSTITUTE(SUBSTITUTE(SUBSTITUTE(SUBSTITUTE(LOWER(Registro!$F346)," ",""),CHAR(10),"|"),";","|"),"+","|"),"|",REPT(" ",LEN(Registro!$F346))),({1,2,3,4,5,6,7,8,9,10,11,12,13,14,15,16,17,18,19,20,21,22,23,24,25,26,27,28,29,30}-1)*LEN(Registro!$F346)+1,LEN(Registro!$F346)))&amp;"x")+1,20))),"Revisar formato")))</f>
        <v/>
      </c>
      <c r="H346" s="21" t="str">
        <f>IF(AND(Registro!$E346="",Registro!$F346=""),"",IF(NOT(AND(ISNUMBER(G346),ISNUMBER(Registro!$G346))),"",IF(G346&lt;Registro!$G346,"FALTA BOLETOS",IF(G346=Registro!$G346,"CONFORME","DIFERENCIA"))))</f>
        <v/>
      </c>
      <c r="I346" s="24" t="str">
        <f>IF(Registro!$H346="","",IFERROR(SUMPRODUCT(--("0"&amp;TRIM(RIGHT(SUBSTITUTE(TRIM(MID(SUBSTITUTE(SUBSTITUTE(Registro!$H346,";",CHAR(10)),CHAR(10),REPT(" ",LEN(Registro!$H346))),({1,2,3,4,5,6,7,8,9,10,11,12,13,14,15,16,17,18,19,20,21,22,23,24,25,26,27,28,29,30}-1)*LEN(Registro!$H346)+1,LEN(Registro!$H346)))," ",REPT(" ",50)),50)))),"Revisar formato"))</f>
        <v/>
      </c>
      <c r="J346" s="24" t="str">
        <f>IF(Registro!$I346="","",IFERROR(SUMPRODUCT(--("0"&amp;TRIM(RIGHT(SUBSTITUTE(TRIM(MID(SUBSTITUTE(SUBSTITUTE(Registro!$I346,";",CHAR(10)),CHAR(10),REPT(" ",LEN(Registro!$I346))),({1,2,3,4,5,6,7,8,9,10,11,12,13,14,15,16,17,18,19,20,21,22,23,24,25,26,27,28,29,30}-1)*LEN(Registro!$I346)+1,LEN(Registro!$I346)))," ",REPT(" ",50)),50)))),"Revisar formato"))</f>
        <v/>
      </c>
      <c r="K346" s="24" t="str">
        <f>IF(AND(Registro!$G346="",Registro!$H346=""),"",IF(AND(ISTEXT(I346),I346&lt;&gt;""),"Revisar formato",N(Registro!$G346)-N(I346)))</f>
        <v/>
      </c>
      <c r="L346" s="24" t="str">
        <f t="shared" si="11"/>
        <v/>
      </c>
      <c r="M346" s="36" t="str">
        <f>IF(AND(A346=Consulta!$B$3,C346=Consulta!$H$3),B346*10000+ROW(),"")</f>
        <v/>
      </c>
    </row>
    <row r="347" spans="1:13" x14ac:dyDescent="0.25">
      <c r="A347" s="21" t="str">
        <f>IF(Registro!$A347="","",Registro!$A347)</f>
        <v/>
      </c>
      <c r="B347" s="20" t="str">
        <f>IF(Registro!$B347="","",Registro!$B347)</f>
        <v/>
      </c>
      <c r="C347" s="35" t="str">
        <f t="shared" si="10"/>
        <v/>
      </c>
      <c r="D347" s="23" t="str">
        <f>IF(Registro!$E347="","",IF(ISERROR(FIND("x",LOWER(Registro!$E347))),"-",IFERROR(SUMPRODUCT(--("0"&amp;LEFT(TRIM(MID(SUBSTITUTE(SUBSTITUTE(SUBSTITUTE(SUBSTITUTE(SUBSTITUTE(LOWER(Registro!$E347),"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",LEN(Registro!$E347))),({1,2,3,4,5,6,7,8,9,10,11,12,13,14,15,16,17,18,19,20,21,22,23,24,25,26,27,28,29,30}-1)*LEN(Registro!$E347)+1,LEN(Registro!$E347))),FIND("x",TRIM(MID(SUBSTITUTE(SUBSTITUTE(SUBSTITUTE(SUBSTITUTE(SUBSTITUTE(LOWER(Registro!$E347),"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",LEN(Registro!$E347))),({1,2,3,4,5,6,7,8,9,10,11,12,13,14,15,16,17,18,19,20,21,22,23,24,25,26,27,28,29,30}-1)*LEN(Registro!$E347)+1,LEN(Registro!$E347)))&amp;"x")-1))),"Revisar formato")))</f>
        <v/>
      </c>
      <c r="E347" s="24" t="str">
        <f>IF(Registro!$E347="","",IF(ISERROR(FIND("x",LOWER(Registro!$E347))),"-",IFERROR(SUMPRODUCT(--("0"&amp;LEFT(TRIM(MID(SUBSTITUTE(SUBSTITUTE(SUBSTITUTE(SUBSTITUTE(SUBSTITUTE(LOWER(Registro!$E347),"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",LEN(Registro!$E347))),({1,2,3,4,5,6,7,8,9,10,11,12,13,14,15,16,17,18,19,20,21,22,23,24,25,26,27,28,29,30}-1)*LEN(Registro!$E347)+1,LEN(Registro!$E347))),FIND("x",TRIM(MID(SUBSTITUTE(SUBSTITUTE(SUBSTITUTE(SUBSTITUTE(SUBSTITUTE(LOWER(Registro!$E347),"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",LEN(Registro!$E347))),({1,2,3,4,5,6,7,8,9,10,11,12,13,14,15,16,17,18,19,20,21,22,23,24,25,26,27,28,29,30}-1)*LEN(Registro!$E347)+1,LEN(Registro!$E347)))&amp;"x")-1)),--("0"&amp;MID(TRIM(MID(SUBSTITUTE(SUBSTITUTE(SUBSTITUTE(SUBSTITUTE(SUBSTITUTE(LOWER(Registro!$E347),"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",LEN(Registro!$E347))),({1,2,3,4,5,6,7,8,9,10,11,12,13,14,15,16,17,18,19,20,21,22,23,24,25,26,27,28,29,30}-1)*LEN(Registro!$E347)+1,LEN(Registro!$E347))),FIND("x",TRIM(MID(SUBSTITUTE(SUBSTITUTE(SUBSTITUTE(SUBSTITUTE(SUBSTITUTE(LOWER(Registro!$E347),"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",LEN(Registro!$E347))),({1,2,3,4,5,6,7,8,9,10,11,12,13,14,15,16,17,18,19,20,21,22,23,24,25,26,27,28,29,30}-1)*LEN(Registro!$E347)+1,LEN(Registro!$E347)))&amp;"x")+1,20))),"Revisar formato")))</f>
        <v/>
      </c>
      <c r="F347" s="23" t="str">
        <f>IF(Registro!$F347="","",IF(ISERROR(FIND("x",LOWER(Registro!$F347))),"-",IFERROR(SUMPRODUCT(--("0"&amp;LEFT(TRIM(MID(SUBSTITUTE(SUBSTITUTE(SUBSTITUTE(SUBSTITUTE(SUBSTITUTE(LOWER(Registro!$F347)," ",""),CHAR(10),"|"),";","|"),"+","|"),"|",REPT(" ",LEN(Registro!$F347))),({1,2,3,4,5,6,7,8,9,10,11,12,13,14,15,16,17,18,19,20,21,22,23,24,25,26,27,28,29,30}-1)*LEN(Registro!$F347)+1,LEN(Registro!$F347))),FIND("x",TRIM(MID(SUBSTITUTE(SUBSTITUTE(SUBSTITUTE(SUBSTITUTE(SUBSTITUTE(LOWER(Registro!$F347)," ",""),CHAR(10),"|"),";","|"),"+","|"),"|",REPT(" ",LEN(Registro!$F347))),({1,2,3,4,5,6,7,8,9,10,11,12,13,14,15,16,17,18,19,20,21,22,23,24,25,26,27,28,29,30}-1)*LEN(Registro!$F347)+1,LEN(Registro!$F347)))&amp;"x")-1))),"Revisar formato")))</f>
        <v/>
      </c>
      <c r="G347" s="24" t="str">
        <f>IF(Registro!$F347="","",IF(ISERROR(FIND("x",LOWER(Registro!$F347))),N(Registro!$G347),IFERROR(SUMPRODUCT(--("0"&amp;LEFT(TRIM(MID(SUBSTITUTE(SUBSTITUTE(SUBSTITUTE(SUBSTITUTE(SUBSTITUTE(LOWER(Registro!$F347)," ",""),CHAR(10),"|"),";","|"),"+","|"),"|",REPT(" ",LEN(Registro!$F347))),({1,2,3,4,5,6,7,8,9,10,11,12,13,14,15,16,17,18,19,20,21,22,23,24,25,26,27,28,29,30}-1)*LEN(Registro!$F347)+1,LEN(Registro!$F347))),FIND("x",TRIM(MID(SUBSTITUTE(SUBSTITUTE(SUBSTITUTE(SUBSTITUTE(SUBSTITUTE(LOWER(Registro!$F347)," ",""),CHAR(10),"|"),";","|"),"+","|"),"|",REPT(" ",LEN(Registro!$F347))),({1,2,3,4,5,6,7,8,9,10,11,12,13,14,15,16,17,18,19,20,21,22,23,24,25,26,27,28,29,30}-1)*LEN(Registro!$F347)+1,LEN(Registro!$F347)))&amp;"x")-1)),--("0"&amp;MID(TRIM(MID(SUBSTITUTE(SUBSTITUTE(SUBSTITUTE(SUBSTITUTE(SUBSTITUTE(LOWER(Registro!$F347)," ",""),CHAR(10),"|"),";","|"),"+","|"),"|",REPT(" ",LEN(Registro!$F347))),({1,2,3,4,5,6,7,8,9,10,11,12,13,14,15,16,17,18,19,20,21,22,23,24,25,26,27,28,29,30}-1)*LEN(Registro!$F347)+1,LEN(Registro!$F347))),FIND("x",TRIM(MID(SUBSTITUTE(SUBSTITUTE(SUBSTITUTE(SUBSTITUTE(SUBSTITUTE(LOWER(Registro!$F347)," ",""),CHAR(10),"|"),";","|"),"+","|"),"|",REPT(" ",LEN(Registro!$F347))),({1,2,3,4,5,6,7,8,9,10,11,12,13,14,15,16,17,18,19,20,21,22,23,24,25,26,27,28,29,30}-1)*LEN(Registro!$F347)+1,LEN(Registro!$F347)))&amp;"x")+1,20))),"Revisar formato")))</f>
        <v/>
      </c>
      <c r="H347" s="21" t="str">
        <f>IF(AND(Registro!$E347="",Registro!$F347=""),"",IF(NOT(AND(ISNUMBER(G347),ISNUMBER(Registro!$G347))),"",IF(G347&lt;Registro!$G347,"FALTA BOLETOS",IF(G347=Registro!$G347,"CONFORME","DIFERENCIA"))))</f>
        <v/>
      </c>
      <c r="I347" s="24" t="str">
        <f>IF(Registro!$H347="","",IFERROR(SUMPRODUCT(--("0"&amp;TRIM(RIGHT(SUBSTITUTE(TRIM(MID(SUBSTITUTE(SUBSTITUTE(Registro!$H347,";",CHAR(10)),CHAR(10),REPT(" ",LEN(Registro!$H347))),({1,2,3,4,5,6,7,8,9,10,11,12,13,14,15,16,17,18,19,20,21,22,23,24,25,26,27,28,29,30}-1)*LEN(Registro!$H347)+1,LEN(Registro!$H347)))," ",REPT(" ",50)),50)))),"Revisar formato"))</f>
        <v/>
      </c>
      <c r="J347" s="24" t="str">
        <f>IF(Registro!$I347="","",IFERROR(SUMPRODUCT(--("0"&amp;TRIM(RIGHT(SUBSTITUTE(TRIM(MID(SUBSTITUTE(SUBSTITUTE(Registro!$I347,";",CHAR(10)),CHAR(10),REPT(" ",LEN(Registro!$I347))),({1,2,3,4,5,6,7,8,9,10,11,12,13,14,15,16,17,18,19,20,21,22,23,24,25,26,27,28,29,30}-1)*LEN(Registro!$I347)+1,LEN(Registro!$I347)))," ",REPT(" ",50)),50)))),"Revisar formato"))</f>
        <v/>
      </c>
      <c r="K347" s="24" t="str">
        <f>IF(AND(Registro!$G347="",Registro!$H347=""),"",IF(AND(ISTEXT(I347),I347&lt;&gt;""),"Revisar formato",N(Registro!$G347)-N(I347)))</f>
        <v/>
      </c>
      <c r="L347" s="24" t="str">
        <f t="shared" si="11"/>
        <v/>
      </c>
      <c r="M347" s="36" t="str">
        <f>IF(AND(A347=Consulta!$B$3,C347=Consulta!$H$3),B347*10000+ROW(),"")</f>
        <v/>
      </c>
    </row>
    <row r="348" spans="1:13" x14ac:dyDescent="0.25">
      <c r="A348" s="21" t="str">
        <f>IF(Registro!$A348="","",Registro!$A348)</f>
        <v/>
      </c>
      <c r="B348" s="20" t="str">
        <f>IF(Registro!$B348="","",Registro!$B348)</f>
        <v/>
      </c>
      <c r="C348" s="35" t="str">
        <f t="shared" si="10"/>
        <v/>
      </c>
      <c r="D348" s="23" t="str">
        <f>IF(Registro!$E348="","",IF(ISERROR(FIND("x",LOWER(Registro!$E348))),"-",IFERROR(SUMPRODUCT(--("0"&amp;LEFT(TRIM(MID(SUBSTITUTE(SUBSTITUTE(SUBSTITUTE(SUBSTITUTE(SUBSTITUTE(LOWER(Registro!$E348),"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",LEN(Registro!$E348))),({1,2,3,4,5,6,7,8,9,10,11,12,13,14,15,16,17,18,19,20,21,22,23,24,25,26,27,28,29,30}-1)*LEN(Registro!$E348)+1,LEN(Registro!$E348))),FIND("x",TRIM(MID(SUBSTITUTE(SUBSTITUTE(SUBSTITUTE(SUBSTITUTE(SUBSTITUTE(LOWER(Registro!$E348),"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",LEN(Registro!$E348))),({1,2,3,4,5,6,7,8,9,10,11,12,13,14,15,16,17,18,19,20,21,22,23,24,25,26,27,28,29,30}-1)*LEN(Registro!$E348)+1,LEN(Registro!$E348)))&amp;"x")-1))),"Revisar formato")))</f>
        <v/>
      </c>
      <c r="E348" s="24" t="str">
        <f>IF(Registro!$E348="","",IF(ISERROR(FIND("x",LOWER(Registro!$E348))),"-",IFERROR(SUMPRODUCT(--("0"&amp;LEFT(TRIM(MID(SUBSTITUTE(SUBSTITUTE(SUBSTITUTE(SUBSTITUTE(SUBSTITUTE(LOWER(Registro!$E348),"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",LEN(Registro!$E348))),({1,2,3,4,5,6,7,8,9,10,11,12,13,14,15,16,17,18,19,20,21,22,23,24,25,26,27,28,29,30}-1)*LEN(Registro!$E348)+1,LEN(Registro!$E348))),FIND("x",TRIM(MID(SUBSTITUTE(SUBSTITUTE(SUBSTITUTE(SUBSTITUTE(SUBSTITUTE(LOWER(Registro!$E348),"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",LEN(Registro!$E348))),({1,2,3,4,5,6,7,8,9,10,11,12,13,14,15,16,17,18,19,20,21,22,23,24,25,26,27,28,29,30}-1)*LEN(Registro!$E348)+1,LEN(Registro!$E348)))&amp;"x")-1)),--("0"&amp;MID(TRIM(MID(SUBSTITUTE(SUBSTITUTE(SUBSTITUTE(SUBSTITUTE(SUBSTITUTE(LOWER(Registro!$E348),"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",LEN(Registro!$E348))),({1,2,3,4,5,6,7,8,9,10,11,12,13,14,15,16,17,18,19,20,21,22,23,24,25,26,27,28,29,30}-1)*LEN(Registro!$E348)+1,LEN(Registro!$E348))),FIND("x",TRIM(MID(SUBSTITUTE(SUBSTITUTE(SUBSTITUTE(SUBSTITUTE(SUBSTITUTE(LOWER(Registro!$E348),"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",LEN(Registro!$E348))),({1,2,3,4,5,6,7,8,9,10,11,12,13,14,15,16,17,18,19,20,21,22,23,24,25,26,27,28,29,30}-1)*LEN(Registro!$E348)+1,LEN(Registro!$E348)))&amp;"x")+1,20))),"Revisar formato")))</f>
        <v/>
      </c>
      <c r="F348" s="23" t="str">
        <f>IF(Registro!$F348="","",IF(ISERROR(FIND("x",LOWER(Registro!$F348))),"-",IFERROR(SUMPRODUCT(--("0"&amp;LEFT(TRIM(MID(SUBSTITUTE(SUBSTITUTE(SUBSTITUTE(SUBSTITUTE(SUBSTITUTE(LOWER(Registro!$F348)," ",""),CHAR(10),"|"),";","|"),"+","|"),"|",REPT(" ",LEN(Registro!$F348))),({1,2,3,4,5,6,7,8,9,10,11,12,13,14,15,16,17,18,19,20,21,22,23,24,25,26,27,28,29,30}-1)*LEN(Registro!$F348)+1,LEN(Registro!$F348))),FIND("x",TRIM(MID(SUBSTITUTE(SUBSTITUTE(SUBSTITUTE(SUBSTITUTE(SUBSTITUTE(LOWER(Registro!$F348)," ",""),CHAR(10),"|"),";","|"),"+","|"),"|",REPT(" ",LEN(Registro!$F348))),({1,2,3,4,5,6,7,8,9,10,11,12,13,14,15,16,17,18,19,20,21,22,23,24,25,26,27,28,29,30}-1)*LEN(Registro!$F348)+1,LEN(Registro!$F348)))&amp;"x")-1))),"Revisar formato")))</f>
        <v/>
      </c>
      <c r="G348" s="24" t="str">
        <f>IF(Registro!$F348="","",IF(ISERROR(FIND("x",LOWER(Registro!$F348))),N(Registro!$G348),IFERROR(SUMPRODUCT(--("0"&amp;LEFT(TRIM(MID(SUBSTITUTE(SUBSTITUTE(SUBSTITUTE(SUBSTITUTE(SUBSTITUTE(LOWER(Registro!$F348)," ",""),CHAR(10),"|"),";","|"),"+","|"),"|",REPT(" ",LEN(Registro!$F348))),({1,2,3,4,5,6,7,8,9,10,11,12,13,14,15,16,17,18,19,20,21,22,23,24,25,26,27,28,29,30}-1)*LEN(Registro!$F348)+1,LEN(Registro!$F348))),FIND("x",TRIM(MID(SUBSTITUTE(SUBSTITUTE(SUBSTITUTE(SUBSTITUTE(SUBSTITUTE(LOWER(Registro!$F348)," ",""),CHAR(10),"|"),";","|"),"+","|"),"|",REPT(" ",LEN(Registro!$F348))),({1,2,3,4,5,6,7,8,9,10,11,12,13,14,15,16,17,18,19,20,21,22,23,24,25,26,27,28,29,30}-1)*LEN(Registro!$F348)+1,LEN(Registro!$F348)))&amp;"x")-1)),--("0"&amp;MID(TRIM(MID(SUBSTITUTE(SUBSTITUTE(SUBSTITUTE(SUBSTITUTE(SUBSTITUTE(LOWER(Registro!$F348)," ",""),CHAR(10),"|"),";","|"),"+","|"),"|",REPT(" ",LEN(Registro!$F348))),({1,2,3,4,5,6,7,8,9,10,11,12,13,14,15,16,17,18,19,20,21,22,23,24,25,26,27,28,29,30}-1)*LEN(Registro!$F348)+1,LEN(Registro!$F348))),FIND("x",TRIM(MID(SUBSTITUTE(SUBSTITUTE(SUBSTITUTE(SUBSTITUTE(SUBSTITUTE(LOWER(Registro!$F348)," ",""),CHAR(10),"|"),";","|"),"+","|"),"|",REPT(" ",LEN(Registro!$F348))),({1,2,3,4,5,6,7,8,9,10,11,12,13,14,15,16,17,18,19,20,21,22,23,24,25,26,27,28,29,30}-1)*LEN(Registro!$F348)+1,LEN(Registro!$F348)))&amp;"x")+1,20))),"Revisar formato")))</f>
        <v/>
      </c>
      <c r="H348" s="21" t="str">
        <f>IF(AND(Registro!$E348="",Registro!$F348=""),"",IF(NOT(AND(ISNUMBER(G348),ISNUMBER(Registro!$G348))),"",IF(G348&lt;Registro!$G348,"FALTA BOLETOS",IF(G348=Registro!$G348,"CONFORME","DIFERENCIA"))))</f>
        <v/>
      </c>
      <c r="I348" s="24" t="str">
        <f>IF(Registro!$H348="","",IFERROR(SUMPRODUCT(--("0"&amp;TRIM(RIGHT(SUBSTITUTE(TRIM(MID(SUBSTITUTE(SUBSTITUTE(Registro!$H348,";",CHAR(10)),CHAR(10),REPT(" ",LEN(Registro!$H348))),({1,2,3,4,5,6,7,8,9,10,11,12,13,14,15,16,17,18,19,20,21,22,23,24,25,26,27,28,29,30}-1)*LEN(Registro!$H348)+1,LEN(Registro!$H348)))," ",REPT(" ",50)),50)))),"Revisar formato"))</f>
        <v/>
      </c>
      <c r="J348" s="24" t="str">
        <f>IF(Registro!$I348="","",IFERROR(SUMPRODUCT(--("0"&amp;TRIM(RIGHT(SUBSTITUTE(TRIM(MID(SUBSTITUTE(SUBSTITUTE(Registro!$I348,";",CHAR(10)),CHAR(10),REPT(" ",LEN(Registro!$I348))),({1,2,3,4,5,6,7,8,9,10,11,12,13,14,15,16,17,18,19,20,21,22,23,24,25,26,27,28,29,30}-1)*LEN(Registro!$I348)+1,LEN(Registro!$I348)))," ",REPT(" ",50)),50)))),"Revisar formato"))</f>
        <v/>
      </c>
      <c r="K348" s="24" t="str">
        <f>IF(AND(Registro!$G348="",Registro!$H348=""),"",IF(AND(ISTEXT(I348),I348&lt;&gt;""),"Revisar formato",N(Registro!$G348)-N(I348)))</f>
        <v/>
      </c>
      <c r="L348" s="24" t="str">
        <f t="shared" si="11"/>
        <v/>
      </c>
      <c r="M348" s="36" t="str">
        <f>IF(AND(A348=Consulta!$B$3,C348=Consulta!$H$3),B348*10000+ROW(),"")</f>
        <v/>
      </c>
    </row>
    <row r="349" spans="1:13" x14ac:dyDescent="0.25">
      <c r="A349" s="21" t="str">
        <f>IF(Registro!$A349="","",Registro!$A349)</f>
        <v/>
      </c>
      <c r="B349" s="20" t="str">
        <f>IF(Registro!$B349="","",Registro!$B349)</f>
        <v/>
      </c>
      <c r="C349" s="35" t="str">
        <f t="shared" si="10"/>
        <v/>
      </c>
      <c r="D349" s="23" t="str">
        <f>IF(Registro!$E349="","",IF(ISERROR(FIND("x",LOWER(Registro!$E349))),"-",IFERROR(SUMPRODUCT(--("0"&amp;LEFT(TRIM(MID(SUBSTITUTE(SUBSTITUTE(SUBSTITUTE(SUBSTITUTE(SUBSTITUTE(LOWER(Registro!$E349),"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",LEN(Registro!$E349))),({1,2,3,4,5,6,7,8,9,10,11,12,13,14,15,16,17,18,19,20,21,22,23,24,25,26,27,28,29,30}-1)*LEN(Registro!$E349)+1,LEN(Registro!$E349))),FIND("x",TRIM(MID(SUBSTITUTE(SUBSTITUTE(SUBSTITUTE(SUBSTITUTE(SUBSTITUTE(LOWER(Registro!$E349),"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",LEN(Registro!$E349))),({1,2,3,4,5,6,7,8,9,10,11,12,13,14,15,16,17,18,19,20,21,22,23,24,25,26,27,28,29,30}-1)*LEN(Registro!$E349)+1,LEN(Registro!$E349)))&amp;"x")-1))),"Revisar formato")))</f>
        <v/>
      </c>
      <c r="E349" s="24" t="str">
        <f>IF(Registro!$E349="","",IF(ISERROR(FIND("x",LOWER(Registro!$E349))),"-",IFERROR(SUMPRODUCT(--("0"&amp;LEFT(TRIM(MID(SUBSTITUTE(SUBSTITUTE(SUBSTITUTE(SUBSTITUTE(SUBSTITUTE(LOWER(Registro!$E349),"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",LEN(Registro!$E349))),({1,2,3,4,5,6,7,8,9,10,11,12,13,14,15,16,17,18,19,20,21,22,23,24,25,26,27,28,29,30}-1)*LEN(Registro!$E349)+1,LEN(Registro!$E349))),FIND("x",TRIM(MID(SUBSTITUTE(SUBSTITUTE(SUBSTITUTE(SUBSTITUTE(SUBSTITUTE(LOWER(Registro!$E349),"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",LEN(Registro!$E349))),({1,2,3,4,5,6,7,8,9,10,11,12,13,14,15,16,17,18,19,20,21,22,23,24,25,26,27,28,29,30}-1)*LEN(Registro!$E349)+1,LEN(Registro!$E349)))&amp;"x")-1)),--("0"&amp;MID(TRIM(MID(SUBSTITUTE(SUBSTITUTE(SUBSTITUTE(SUBSTITUTE(SUBSTITUTE(LOWER(Registro!$E349),"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",LEN(Registro!$E349))),({1,2,3,4,5,6,7,8,9,10,11,12,13,14,15,16,17,18,19,20,21,22,23,24,25,26,27,28,29,30}-1)*LEN(Registro!$E349)+1,LEN(Registro!$E349))),FIND("x",TRIM(MID(SUBSTITUTE(SUBSTITUTE(SUBSTITUTE(SUBSTITUTE(SUBSTITUTE(LOWER(Registro!$E349),"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",LEN(Registro!$E349))),({1,2,3,4,5,6,7,8,9,10,11,12,13,14,15,16,17,18,19,20,21,22,23,24,25,26,27,28,29,30}-1)*LEN(Registro!$E349)+1,LEN(Registro!$E349)))&amp;"x")+1,20))),"Revisar formato")))</f>
        <v/>
      </c>
      <c r="F349" s="23" t="str">
        <f>IF(Registro!$F349="","",IF(ISERROR(FIND("x",LOWER(Registro!$F349))),"-",IFERROR(SUMPRODUCT(--("0"&amp;LEFT(TRIM(MID(SUBSTITUTE(SUBSTITUTE(SUBSTITUTE(SUBSTITUTE(SUBSTITUTE(LOWER(Registro!$F349)," ",""),CHAR(10),"|"),";","|"),"+","|"),"|",REPT(" ",LEN(Registro!$F349))),({1,2,3,4,5,6,7,8,9,10,11,12,13,14,15,16,17,18,19,20,21,22,23,24,25,26,27,28,29,30}-1)*LEN(Registro!$F349)+1,LEN(Registro!$F349))),FIND("x",TRIM(MID(SUBSTITUTE(SUBSTITUTE(SUBSTITUTE(SUBSTITUTE(SUBSTITUTE(LOWER(Registro!$F349)," ",""),CHAR(10),"|"),";","|"),"+","|"),"|",REPT(" ",LEN(Registro!$F349))),({1,2,3,4,5,6,7,8,9,10,11,12,13,14,15,16,17,18,19,20,21,22,23,24,25,26,27,28,29,30}-1)*LEN(Registro!$F349)+1,LEN(Registro!$F349)))&amp;"x")-1))),"Revisar formato")))</f>
        <v/>
      </c>
      <c r="G349" s="24" t="str">
        <f>IF(Registro!$F349="","",IF(ISERROR(FIND("x",LOWER(Registro!$F349))),N(Registro!$G349),IFERROR(SUMPRODUCT(--("0"&amp;LEFT(TRIM(MID(SUBSTITUTE(SUBSTITUTE(SUBSTITUTE(SUBSTITUTE(SUBSTITUTE(LOWER(Registro!$F349)," ",""),CHAR(10),"|"),";","|"),"+","|"),"|",REPT(" ",LEN(Registro!$F349))),({1,2,3,4,5,6,7,8,9,10,11,12,13,14,15,16,17,18,19,20,21,22,23,24,25,26,27,28,29,30}-1)*LEN(Registro!$F349)+1,LEN(Registro!$F349))),FIND("x",TRIM(MID(SUBSTITUTE(SUBSTITUTE(SUBSTITUTE(SUBSTITUTE(SUBSTITUTE(LOWER(Registro!$F349)," ",""),CHAR(10),"|"),";","|"),"+","|"),"|",REPT(" ",LEN(Registro!$F349))),({1,2,3,4,5,6,7,8,9,10,11,12,13,14,15,16,17,18,19,20,21,22,23,24,25,26,27,28,29,30}-1)*LEN(Registro!$F349)+1,LEN(Registro!$F349)))&amp;"x")-1)),--("0"&amp;MID(TRIM(MID(SUBSTITUTE(SUBSTITUTE(SUBSTITUTE(SUBSTITUTE(SUBSTITUTE(LOWER(Registro!$F349)," ",""),CHAR(10),"|"),";","|"),"+","|"),"|",REPT(" ",LEN(Registro!$F349))),({1,2,3,4,5,6,7,8,9,10,11,12,13,14,15,16,17,18,19,20,21,22,23,24,25,26,27,28,29,30}-1)*LEN(Registro!$F349)+1,LEN(Registro!$F349))),FIND("x",TRIM(MID(SUBSTITUTE(SUBSTITUTE(SUBSTITUTE(SUBSTITUTE(SUBSTITUTE(LOWER(Registro!$F349)," ",""),CHAR(10),"|"),";","|"),"+","|"),"|",REPT(" ",LEN(Registro!$F349))),({1,2,3,4,5,6,7,8,9,10,11,12,13,14,15,16,17,18,19,20,21,22,23,24,25,26,27,28,29,30}-1)*LEN(Registro!$F349)+1,LEN(Registro!$F349)))&amp;"x")+1,20))),"Revisar formato")))</f>
        <v/>
      </c>
      <c r="H349" s="21" t="str">
        <f>IF(AND(Registro!$E349="",Registro!$F349=""),"",IF(NOT(AND(ISNUMBER(G349),ISNUMBER(Registro!$G349))),"",IF(G349&lt;Registro!$G349,"FALTA BOLETOS",IF(G349=Registro!$G349,"CONFORME","DIFERENCIA"))))</f>
        <v/>
      </c>
      <c r="I349" s="24" t="str">
        <f>IF(Registro!$H349="","",IFERROR(SUMPRODUCT(--("0"&amp;TRIM(RIGHT(SUBSTITUTE(TRIM(MID(SUBSTITUTE(SUBSTITUTE(Registro!$H349,";",CHAR(10)),CHAR(10),REPT(" ",LEN(Registro!$H349))),({1,2,3,4,5,6,7,8,9,10,11,12,13,14,15,16,17,18,19,20,21,22,23,24,25,26,27,28,29,30}-1)*LEN(Registro!$H349)+1,LEN(Registro!$H349)))," ",REPT(" ",50)),50)))),"Revisar formato"))</f>
        <v/>
      </c>
      <c r="J349" s="24" t="str">
        <f>IF(Registro!$I349="","",IFERROR(SUMPRODUCT(--("0"&amp;TRIM(RIGHT(SUBSTITUTE(TRIM(MID(SUBSTITUTE(SUBSTITUTE(Registro!$I349,";",CHAR(10)),CHAR(10),REPT(" ",LEN(Registro!$I349))),({1,2,3,4,5,6,7,8,9,10,11,12,13,14,15,16,17,18,19,20,21,22,23,24,25,26,27,28,29,30}-1)*LEN(Registro!$I349)+1,LEN(Registro!$I349)))," ",REPT(" ",50)),50)))),"Revisar formato"))</f>
        <v/>
      </c>
      <c r="K349" s="24" t="str">
        <f>IF(AND(Registro!$G349="",Registro!$H349=""),"",IF(AND(ISTEXT(I349),I349&lt;&gt;""),"Revisar formato",N(Registro!$G349)-N(I349)))</f>
        <v/>
      </c>
      <c r="L349" s="24" t="str">
        <f t="shared" si="11"/>
        <v/>
      </c>
      <c r="M349" s="36" t="str">
        <f>IF(AND(A349=Consulta!$B$3,C349=Consulta!$H$3),B349*10000+ROW(),"")</f>
        <v/>
      </c>
    </row>
    <row r="350" spans="1:13" x14ac:dyDescent="0.25">
      <c r="A350" s="21" t="str">
        <f>IF(Registro!$A350="","",Registro!$A350)</f>
        <v/>
      </c>
      <c r="B350" s="20" t="str">
        <f>IF(Registro!$B350="","",Registro!$B350)</f>
        <v/>
      </c>
      <c r="C350" s="35" t="str">
        <f t="shared" si="10"/>
        <v/>
      </c>
      <c r="D350" s="23" t="str">
        <f>IF(Registro!$E350="","",IF(ISERROR(FIND("x",LOWER(Registro!$E350))),"-",IFERROR(SUMPRODUCT(--("0"&amp;LEFT(TRIM(MID(SUBSTITUTE(SUBSTITUTE(SUBSTITUTE(SUBSTITUTE(SUBSTITUTE(LOWER(Registro!$E350),"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",LEN(Registro!$E350))),({1,2,3,4,5,6,7,8,9,10,11,12,13,14,15,16,17,18,19,20,21,22,23,24,25,26,27,28,29,30}-1)*LEN(Registro!$E350)+1,LEN(Registro!$E350))),FIND("x",TRIM(MID(SUBSTITUTE(SUBSTITUTE(SUBSTITUTE(SUBSTITUTE(SUBSTITUTE(LOWER(Registro!$E350),"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",LEN(Registro!$E350))),({1,2,3,4,5,6,7,8,9,10,11,12,13,14,15,16,17,18,19,20,21,22,23,24,25,26,27,28,29,30}-1)*LEN(Registro!$E350)+1,LEN(Registro!$E350)))&amp;"x")-1))),"Revisar formato")))</f>
        <v/>
      </c>
      <c r="E350" s="24" t="str">
        <f>IF(Registro!$E350="","",IF(ISERROR(FIND("x",LOWER(Registro!$E350))),"-",IFERROR(SUMPRODUCT(--("0"&amp;LEFT(TRIM(MID(SUBSTITUTE(SUBSTITUTE(SUBSTITUTE(SUBSTITUTE(SUBSTITUTE(LOWER(Registro!$E350),"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",LEN(Registro!$E350))),({1,2,3,4,5,6,7,8,9,10,11,12,13,14,15,16,17,18,19,20,21,22,23,24,25,26,27,28,29,30}-1)*LEN(Registro!$E350)+1,LEN(Registro!$E350))),FIND("x",TRIM(MID(SUBSTITUTE(SUBSTITUTE(SUBSTITUTE(SUBSTITUTE(SUBSTITUTE(LOWER(Registro!$E350),"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",LEN(Registro!$E350))),({1,2,3,4,5,6,7,8,9,10,11,12,13,14,15,16,17,18,19,20,21,22,23,24,25,26,27,28,29,30}-1)*LEN(Registro!$E350)+1,LEN(Registro!$E350)))&amp;"x")-1)),--("0"&amp;MID(TRIM(MID(SUBSTITUTE(SUBSTITUTE(SUBSTITUTE(SUBSTITUTE(SUBSTITUTE(LOWER(Registro!$E350),"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",LEN(Registro!$E350))),({1,2,3,4,5,6,7,8,9,10,11,12,13,14,15,16,17,18,19,20,21,22,23,24,25,26,27,28,29,30}-1)*LEN(Registro!$E350)+1,LEN(Registro!$E350))),FIND("x",TRIM(MID(SUBSTITUTE(SUBSTITUTE(SUBSTITUTE(SUBSTITUTE(SUBSTITUTE(LOWER(Registro!$E350),"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",LEN(Registro!$E350))),({1,2,3,4,5,6,7,8,9,10,11,12,13,14,15,16,17,18,19,20,21,22,23,24,25,26,27,28,29,30}-1)*LEN(Registro!$E350)+1,LEN(Registro!$E350)))&amp;"x")+1,20))),"Revisar formato")))</f>
        <v/>
      </c>
      <c r="F350" s="23" t="str">
        <f>IF(Registro!$F350="","",IF(ISERROR(FIND("x",LOWER(Registro!$F350))),"-",IFERROR(SUMPRODUCT(--("0"&amp;LEFT(TRIM(MID(SUBSTITUTE(SUBSTITUTE(SUBSTITUTE(SUBSTITUTE(SUBSTITUTE(LOWER(Registro!$F350)," ",""),CHAR(10),"|"),";","|"),"+","|"),"|",REPT(" ",LEN(Registro!$F350))),({1,2,3,4,5,6,7,8,9,10,11,12,13,14,15,16,17,18,19,20,21,22,23,24,25,26,27,28,29,30}-1)*LEN(Registro!$F350)+1,LEN(Registro!$F350))),FIND("x",TRIM(MID(SUBSTITUTE(SUBSTITUTE(SUBSTITUTE(SUBSTITUTE(SUBSTITUTE(LOWER(Registro!$F350)," ",""),CHAR(10),"|"),";","|"),"+","|"),"|",REPT(" ",LEN(Registro!$F350))),({1,2,3,4,5,6,7,8,9,10,11,12,13,14,15,16,17,18,19,20,21,22,23,24,25,26,27,28,29,30}-1)*LEN(Registro!$F350)+1,LEN(Registro!$F350)))&amp;"x")-1))),"Revisar formato")))</f>
        <v/>
      </c>
      <c r="G350" s="24" t="str">
        <f>IF(Registro!$F350="","",IF(ISERROR(FIND("x",LOWER(Registro!$F350))),N(Registro!$G350),IFERROR(SUMPRODUCT(--("0"&amp;LEFT(TRIM(MID(SUBSTITUTE(SUBSTITUTE(SUBSTITUTE(SUBSTITUTE(SUBSTITUTE(LOWER(Registro!$F350)," ",""),CHAR(10),"|"),";","|"),"+","|"),"|",REPT(" ",LEN(Registro!$F350))),({1,2,3,4,5,6,7,8,9,10,11,12,13,14,15,16,17,18,19,20,21,22,23,24,25,26,27,28,29,30}-1)*LEN(Registro!$F350)+1,LEN(Registro!$F350))),FIND("x",TRIM(MID(SUBSTITUTE(SUBSTITUTE(SUBSTITUTE(SUBSTITUTE(SUBSTITUTE(LOWER(Registro!$F350)," ",""),CHAR(10),"|"),";","|"),"+","|"),"|",REPT(" ",LEN(Registro!$F350))),({1,2,3,4,5,6,7,8,9,10,11,12,13,14,15,16,17,18,19,20,21,22,23,24,25,26,27,28,29,30}-1)*LEN(Registro!$F350)+1,LEN(Registro!$F350)))&amp;"x")-1)),--("0"&amp;MID(TRIM(MID(SUBSTITUTE(SUBSTITUTE(SUBSTITUTE(SUBSTITUTE(SUBSTITUTE(LOWER(Registro!$F350)," ",""),CHAR(10),"|"),";","|"),"+","|"),"|",REPT(" ",LEN(Registro!$F350))),({1,2,3,4,5,6,7,8,9,10,11,12,13,14,15,16,17,18,19,20,21,22,23,24,25,26,27,28,29,30}-1)*LEN(Registro!$F350)+1,LEN(Registro!$F350))),FIND("x",TRIM(MID(SUBSTITUTE(SUBSTITUTE(SUBSTITUTE(SUBSTITUTE(SUBSTITUTE(LOWER(Registro!$F350)," ",""),CHAR(10),"|"),";","|"),"+","|"),"|",REPT(" ",LEN(Registro!$F350))),({1,2,3,4,5,6,7,8,9,10,11,12,13,14,15,16,17,18,19,20,21,22,23,24,25,26,27,28,29,30}-1)*LEN(Registro!$F350)+1,LEN(Registro!$F350)))&amp;"x")+1,20))),"Revisar formato")))</f>
        <v/>
      </c>
      <c r="H350" s="21" t="str">
        <f>IF(AND(Registro!$E350="",Registro!$F350=""),"",IF(NOT(AND(ISNUMBER(G350),ISNUMBER(Registro!$G350))),"",IF(G350&lt;Registro!$G350,"FALTA BOLETOS",IF(G350=Registro!$G350,"CONFORME","DIFERENCIA"))))</f>
        <v/>
      </c>
      <c r="I350" s="24" t="str">
        <f>IF(Registro!$H350="","",IFERROR(SUMPRODUCT(--("0"&amp;TRIM(RIGHT(SUBSTITUTE(TRIM(MID(SUBSTITUTE(SUBSTITUTE(Registro!$H350,";",CHAR(10)),CHAR(10),REPT(" ",LEN(Registro!$H350))),({1,2,3,4,5,6,7,8,9,10,11,12,13,14,15,16,17,18,19,20,21,22,23,24,25,26,27,28,29,30}-1)*LEN(Registro!$H350)+1,LEN(Registro!$H350)))," ",REPT(" ",50)),50)))),"Revisar formato"))</f>
        <v/>
      </c>
      <c r="J350" s="24" t="str">
        <f>IF(Registro!$I350="","",IFERROR(SUMPRODUCT(--("0"&amp;TRIM(RIGHT(SUBSTITUTE(TRIM(MID(SUBSTITUTE(SUBSTITUTE(Registro!$I350,";",CHAR(10)),CHAR(10),REPT(" ",LEN(Registro!$I350))),({1,2,3,4,5,6,7,8,9,10,11,12,13,14,15,16,17,18,19,20,21,22,23,24,25,26,27,28,29,30}-1)*LEN(Registro!$I350)+1,LEN(Registro!$I350)))," ",REPT(" ",50)),50)))),"Revisar formato"))</f>
        <v/>
      </c>
      <c r="K350" s="24" t="str">
        <f>IF(AND(Registro!$G350="",Registro!$H350=""),"",IF(AND(ISTEXT(I350),I350&lt;&gt;""),"Revisar formato",N(Registro!$G350)-N(I350)))</f>
        <v/>
      </c>
      <c r="L350" s="24" t="str">
        <f t="shared" si="11"/>
        <v/>
      </c>
      <c r="M350" s="36" t="str">
        <f>IF(AND(A350=Consulta!$B$3,C350=Consulta!$H$3),B350*10000+ROW(),"")</f>
        <v/>
      </c>
    </row>
    <row r="351" spans="1:13" x14ac:dyDescent="0.25">
      <c r="A351" s="21" t="str">
        <f>IF(Registro!$A351="","",Registro!$A351)</f>
        <v/>
      </c>
      <c r="B351" s="20" t="str">
        <f>IF(Registro!$B351="","",Registro!$B351)</f>
        <v/>
      </c>
      <c r="C351" s="35" t="str">
        <f t="shared" si="10"/>
        <v/>
      </c>
      <c r="D351" s="23" t="str">
        <f>IF(Registro!$E351="","",IF(ISERROR(FIND("x",LOWER(Registro!$E351))),"-",IFERROR(SUMPRODUCT(--("0"&amp;LEFT(TRIM(MID(SUBSTITUTE(SUBSTITUTE(SUBSTITUTE(SUBSTITUTE(SUBSTITUTE(LOWER(Registro!$E351),"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",LEN(Registro!$E351))),({1,2,3,4,5,6,7,8,9,10,11,12,13,14,15,16,17,18,19,20,21,22,23,24,25,26,27,28,29,30}-1)*LEN(Registro!$E351)+1,LEN(Registro!$E351))),FIND("x",TRIM(MID(SUBSTITUTE(SUBSTITUTE(SUBSTITUTE(SUBSTITUTE(SUBSTITUTE(LOWER(Registro!$E351),"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",LEN(Registro!$E351))),({1,2,3,4,5,6,7,8,9,10,11,12,13,14,15,16,17,18,19,20,21,22,23,24,25,26,27,28,29,30}-1)*LEN(Registro!$E351)+1,LEN(Registro!$E351)))&amp;"x")-1))),"Revisar formato")))</f>
        <v/>
      </c>
      <c r="E351" s="24" t="str">
        <f>IF(Registro!$E351="","",IF(ISERROR(FIND("x",LOWER(Registro!$E351))),"-",IFERROR(SUMPRODUCT(--("0"&amp;LEFT(TRIM(MID(SUBSTITUTE(SUBSTITUTE(SUBSTITUTE(SUBSTITUTE(SUBSTITUTE(LOWER(Registro!$E351),"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",LEN(Registro!$E351))),({1,2,3,4,5,6,7,8,9,10,11,12,13,14,15,16,17,18,19,20,21,22,23,24,25,26,27,28,29,30}-1)*LEN(Registro!$E351)+1,LEN(Registro!$E351))),FIND("x",TRIM(MID(SUBSTITUTE(SUBSTITUTE(SUBSTITUTE(SUBSTITUTE(SUBSTITUTE(LOWER(Registro!$E351),"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",LEN(Registro!$E351))),({1,2,3,4,5,6,7,8,9,10,11,12,13,14,15,16,17,18,19,20,21,22,23,24,25,26,27,28,29,30}-1)*LEN(Registro!$E351)+1,LEN(Registro!$E351)))&amp;"x")-1)),--("0"&amp;MID(TRIM(MID(SUBSTITUTE(SUBSTITUTE(SUBSTITUTE(SUBSTITUTE(SUBSTITUTE(LOWER(Registro!$E351),"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",LEN(Registro!$E351))),({1,2,3,4,5,6,7,8,9,10,11,12,13,14,15,16,17,18,19,20,21,22,23,24,25,26,27,28,29,30}-1)*LEN(Registro!$E351)+1,LEN(Registro!$E351))),FIND("x",TRIM(MID(SUBSTITUTE(SUBSTITUTE(SUBSTITUTE(SUBSTITUTE(SUBSTITUTE(LOWER(Registro!$E351),"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",LEN(Registro!$E351))),({1,2,3,4,5,6,7,8,9,10,11,12,13,14,15,16,17,18,19,20,21,22,23,24,25,26,27,28,29,30}-1)*LEN(Registro!$E351)+1,LEN(Registro!$E351)))&amp;"x")+1,20))),"Revisar formato")))</f>
        <v/>
      </c>
      <c r="F351" s="23" t="str">
        <f>IF(Registro!$F351="","",IF(ISERROR(FIND("x",LOWER(Registro!$F351))),"-",IFERROR(SUMPRODUCT(--("0"&amp;LEFT(TRIM(MID(SUBSTITUTE(SUBSTITUTE(SUBSTITUTE(SUBSTITUTE(SUBSTITUTE(LOWER(Registro!$F351)," ",""),CHAR(10),"|"),";","|"),"+","|"),"|",REPT(" ",LEN(Registro!$F351))),({1,2,3,4,5,6,7,8,9,10,11,12,13,14,15,16,17,18,19,20,21,22,23,24,25,26,27,28,29,30}-1)*LEN(Registro!$F351)+1,LEN(Registro!$F351))),FIND("x",TRIM(MID(SUBSTITUTE(SUBSTITUTE(SUBSTITUTE(SUBSTITUTE(SUBSTITUTE(LOWER(Registro!$F351)," ",""),CHAR(10),"|"),";","|"),"+","|"),"|",REPT(" ",LEN(Registro!$F351))),({1,2,3,4,5,6,7,8,9,10,11,12,13,14,15,16,17,18,19,20,21,22,23,24,25,26,27,28,29,30}-1)*LEN(Registro!$F351)+1,LEN(Registro!$F351)))&amp;"x")-1))),"Revisar formato")))</f>
        <v/>
      </c>
      <c r="G351" s="24" t="str">
        <f>IF(Registro!$F351="","",IF(ISERROR(FIND("x",LOWER(Registro!$F351))),N(Registro!$G351),IFERROR(SUMPRODUCT(--("0"&amp;LEFT(TRIM(MID(SUBSTITUTE(SUBSTITUTE(SUBSTITUTE(SUBSTITUTE(SUBSTITUTE(LOWER(Registro!$F351)," ",""),CHAR(10),"|"),";","|"),"+","|"),"|",REPT(" ",LEN(Registro!$F351))),({1,2,3,4,5,6,7,8,9,10,11,12,13,14,15,16,17,18,19,20,21,22,23,24,25,26,27,28,29,30}-1)*LEN(Registro!$F351)+1,LEN(Registro!$F351))),FIND("x",TRIM(MID(SUBSTITUTE(SUBSTITUTE(SUBSTITUTE(SUBSTITUTE(SUBSTITUTE(LOWER(Registro!$F351)," ",""),CHAR(10),"|"),";","|"),"+","|"),"|",REPT(" ",LEN(Registro!$F351))),({1,2,3,4,5,6,7,8,9,10,11,12,13,14,15,16,17,18,19,20,21,22,23,24,25,26,27,28,29,30}-1)*LEN(Registro!$F351)+1,LEN(Registro!$F351)))&amp;"x")-1)),--("0"&amp;MID(TRIM(MID(SUBSTITUTE(SUBSTITUTE(SUBSTITUTE(SUBSTITUTE(SUBSTITUTE(LOWER(Registro!$F351)," ",""),CHAR(10),"|"),";","|"),"+","|"),"|",REPT(" ",LEN(Registro!$F351))),({1,2,3,4,5,6,7,8,9,10,11,12,13,14,15,16,17,18,19,20,21,22,23,24,25,26,27,28,29,30}-1)*LEN(Registro!$F351)+1,LEN(Registro!$F351))),FIND("x",TRIM(MID(SUBSTITUTE(SUBSTITUTE(SUBSTITUTE(SUBSTITUTE(SUBSTITUTE(LOWER(Registro!$F351)," ",""),CHAR(10),"|"),";","|"),"+","|"),"|",REPT(" ",LEN(Registro!$F351))),({1,2,3,4,5,6,7,8,9,10,11,12,13,14,15,16,17,18,19,20,21,22,23,24,25,26,27,28,29,30}-1)*LEN(Registro!$F351)+1,LEN(Registro!$F351)))&amp;"x")+1,20))),"Revisar formato")))</f>
        <v/>
      </c>
      <c r="H351" s="21" t="str">
        <f>IF(AND(Registro!$E351="",Registro!$F351=""),"",IF(NOT(AND(ISNUMBER(G351),ISNUMBER(Registro!$G351))),"",IF(G351&lt;Registro!$G351,"FALTA BOLETOS",IF(G351=Registro!$G351,"CONFORME","DIFERENCIA"))))</f>
        <v/>
      </c>
      <c r="I351" s="24" t="str">
        <f>IF(Registro!$H351="","",IFERROR(SUMPRODUCT(--("0"&amp;TRIM(RIGHT(SUBSTITUTE(TRIM(MID(SUBSTITUTE(SUBSTITUTE(Registro!$H351,";",CHAR(10)),CHAR(10),REPT(" ",LEN(Registro!$H351))),({1,2,3,4,5,6,7,8,9,10,11,12,13,14,15,16,17,18,19,20,21,22,23,24,25,26,27,28,29,30}-1)*LEN(Registro!$H351)+1,LEN(Registro!$H351)))," ",REPT(" ",50)),50)))),"Revisar formato"))</f>
        <v/>
      </c>
      <c r="J351" s="24" t="str">
        <f>IF(Registro!$I351="","",IFERROR(SUMPRODUCT(--("0"&amp;TRIM(RIGHT(SUBSTITUTE(TRIM(MID(SUBSTITUTE(SUBSTITUTE(Registro!$I351,";",CHAR(10)),CHAR(10),REPT(" ",LEN(Registro!$I351))),({1,2,3,4,5,6,7,8,9,10,11,12,13,14,15,16,17,18,19,20,21,22,23,24,25,26,27,28,29,30}-1)*LEN(Registro!$I351)+1,LEN(Registro!$I351)))," ",REPT(" ",50)),50)))),"Revisar formato"))</f>
        <v/>
      </c>
      <c r="K351" s="24" t="str">
        <f>IF(AND(Registro!$G351="",Registro!$H351=""),"",IF(AND(ISTEXT(I351),I351&lt;&gt;""),"Revisar formato",N(Registro!$G351)-N(I351)))</f>
        <v/>
      </c>
      <c r="L351" s="24" t="str">
        <f t="shared" si="11"/>
        <v/>
      </c>
      <c r="M351" s="36" t="str">
        <f>IF(AND(A351=Consulta!$B$3,C351=Consulta!$H$3),B351*10000+ROW(),"")</f>
        <v/>
      </c>
    </row>
    <row r="352" spans="1:13" x14ac:dyDescent="0.25">
      <c r="A352" s="21" t="str">
        <f>IF(Registro!$A352="","",Registro!$A352)</f>
        <v/>
      </c>
      <c r="B352" s="20" t="str">
        <f>IF(Registro!$B352="","",Registro!$B352)</f>
        <v/>
      </c>
      <c r="C352" s="35" t="str">
        <f t="shared" si="10"/>
        <v/>
      </c>
      <c r="D352" s="23" t="str">
        <f>IF(Registro!$E352="","",IF(ISERROR(FIND("x",LOWER(Registro!$E352))),"-",IFERROR(SUMPRODUCT(--("0"&amp;LEFT(TRIM(MID(SUBSTITUTE(SUBSTITUTE(SUBSTITUTE(SUBSTITUTE(SUBSTITUTE(LOWER(Registro!$E352),"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",LEN(Registro!$E352))),({1,2,3,4,5,6,7,8,9,10,11,12,13,14,15,16,17,18,19,20,21,22,23,24,25,26,27,28,29,30}-1)*LEN(Registro!$E352)+1,LEN(Registro!$E352))),FIND("x",TRIM(MID(SUBSTITUTE(SUBSTITUTE(SUBSTITUTE(SUBSTITUTE(SUBSTITUTE(LOWER(Registro!$E352),"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",LEN(Registro!$E352))),({1,2,3,4,5,6,7,8,9,10,11,12,13,14,15,16,17,18,19,20,21,22,23,24,25,26,27,28,29,30}-1)*LEN(Registro!$E352)+1,LEN(Registro!$E352)))&amp;"x")-1))),"Revisar formato")))</f>
        <v/>
      </c>
      <c r="E352" s="24" t="str">
        <f>IF(Registro!$E352="","",IF(ISERROR(FIND("x",LOWER(Registro!$E352))),"-",IFERROR(SUMPRODUCT(--("0"&amp;LEFT(TRIM(MID(SUBSTITUTE(SUBSTITUTE(SUBSTITUTE(SUBSTITUTE(SUBSTITUTE(LOWER(Registro!$E352),"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",LEN(Registro!$E352))),({1,2,3,4,5,6,7,8,9,10,11,12,13,14,15,16,17,18,19,20,21,22,23,24,25,26,27,28,29,30}-1)*LEN(Registro!$E352)+1,LEN(Registro!$E352))),FIND("x",TRIM(MID(SUBSTITUTE(SUBSTITUTE(SUBSTITUTE(SUBSTITUTE(SUBSTITUTE(LOWER(Registro!$E352),"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",LEN(Registro!$E352))),({1,2,3,4,5,6,7,8,9,10,11,12,13,14,15,16,17,18,19,20,21,22,23,24,25,26,27,28,29,30}-1)*LEN(Registro!$E352)+1,LEN(Registro!$E352)))&amp;"x")-1)),--("0"&amp;MID(TRIM(MID(SUBSTITUTE(SUBSTITUTE(SUBSTITUTE(SUBSTITUTE(SUBSTITUTE(LOWER(Registro!$E352),"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",LEN(Registro!$E352))),({1,2,3,4,5,6,7,8,9,10,11,12,13,14,15,16,17,18,19,20,21,22,23,24,25,26,27,28,29,30}-1)*LEN(Registro!$E352)+1,LEN(Registro!$E352))),FIND("x",TRIM(MID(SUBSTITUTE(SUBSTITUTE(SUBSTITUTE(SUBSTITUTE(SUBSTITUTE(LOWER(Registro!$E352),"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",LEN(Registro!$E352))),({1,2,3,4,5,6,7,8,9,10,11,12,13,14,15,16,17,18,19,20,21,22,23,24,25,26,27,28,29,30}-1)*LEN(Registro!$E352)+1,LEN(Registro!$E352)))&amp;"x")+1,20))),"Revisar formato")))</f>
        <v/>
      </c>
      <c r="F352" s="23" t="str">
        <f>IF(Registro!$F352="","",IF(ISERROR(FIND("x",LOWER(Registro!$F352))),"-",IFERROR(SUMPRODUCT(--("0"&amp;LEFT(TRIM(MID(SUBSTITUTE(SUBSTITUTE(SUBSTITUTE(SUBSTITUTE(SUBSTITUTE(LOWER(Registro!$F352)," ",""),CHAR(10),"|"),";","|"),"+","|"),"|",REPT(" ",LEN(Registro!$F352))),({1,2,3,4,5,6,7,8,9,10,11,12,13,14,15,16,17,18,19,20,21,22,23,24,25,26,27,28,29,30}-1)*LEN(Registro!$F352)+1,LEN(Registro!$F352))),FIND("x",TRIM(MID(SUBSTITUTE(SUBSTITUTE(SUBSTITUTE(SUBSTITUTE(SUBSTITUTE(LOWER(Registro!$F352)," ",""),CHAR(10),"|"),";","|"),"+","|"),"|",REPT(" ",LEN(Registro!$F352))),({1,2,3,4,5,6,7,8,9,10,11,12,13,14,15,16,17,18,19,20,21,22,23,24,25,26,27,28,29,30}-1)*LEN(Registro!$F352)+1,LEN(Registro!$F352)))&amp;"x")-1))),"Revisar formato")))</f>
        <v/>
      </c>
      <c r="G352" s="24" t="str">
        <f>IF(Registro!$F352="","",IF(ISERROR(FIND("x",LOWER(Registro!$F352))),N(Registro!$G352),IFERROR(SUMPRODUCT(--("0"&amp;LEFT(TRIM(MID(SUBSTITUTE(SUBSTITUTE(SUBSTITUTE(SUBSTITUTE(SUBSTITUTE(LOWER(Registro!$F352)," ",""),CHAR(10),"|"),";","|"),"+","|"),"|",REPT(" ",LEN(Registro!$F352))),({1,2,3,4,5,6,7,8,9,10,11,12,13,14,15,16,17,18,19,20,21,22,23,24,25,26,27,28,29,30}-1)*LEN(Registro!$F352)+1,LEN(Registro!$F352))),FIND("x",TRIM(MID(SUBSTITUTE(SUBSTITUTE(SUBSTITUTE(SUBSTITUTE(SUBSTITUTE(LOWER(Registro!$F352)," ",""),CHAR(10),"|"),";","|"),"+","|"),"|",REPT(" ",LEN(Registro!$F352))),({1,2,3,4,5,6,7,8,9,10,11,12,13,14,15,16,17,18,19,20,21,22,23,24,25,26,27,28,29,30}-1)*LEN(Registro!$F352)+1,LEN(Registro!$F352)))&amp;"x")-1)),--("0"&amp;MID(TRIM(MID(SUBSTITUTE(SUBSTITUTE(SUBSTITUTE(SUBSTITUTE(SUBSTITUTE(LOWER(Registro!$F352)," ",""),CHAR(10),"|"),";","|"),"+","|"),"|",REPT(" ",LEN(Registro!$F352))),({1,2,3,4,5,6,7,8,9,10,11,12,13,14,15,16,17,18,19,20,21,22,23,24,25,26,27,28,29,30}-1)*LEN(Registro!$F352)+1,LEN(Registro!$F352))),FIND("x",TRIM(MID(SUBSTITUTE(SUBSTITUTE(SUBSTITUTE(SUBSTITUTE(SUBSTITUTE(LOWER(Registro!$F352)," ",""),CHAR(10),"|"),";","|"),"+","|"),"|",REPT(" ",LEN(Registro!$F352))),({1,2,3,4,5,6,7,8,9,10,11,12,13,14,15,16,17,18,19,20,21,22,23,24,25,26,27,28,29,30}-1)*LEN(Registro!$F352)+1,LEN(Registro!$F352)))&amp;"x")+1,20))),"Revisar formato")))</f>
        <v/>
      </c>
      <c r="H352" s="21" t="str">
        <f>IF(AND(Registro!$E352="",Registro!$F352=""),"",IF(NOT(AND(ISNUMBER(G352),ISNUMBER(Registro!$G352))),"",IF(G352&lt;Registro!$G352,"FALTA BOLETOS",IF(G352=Registro!$G352,"CONFORME","DIFERENCIA"))))</f>
        <v/>
      </c>
      <c r="I352" s="24" t="str">
        <f>IF(Registro!$H352="","",IFERROR(SUMPRODUCT(--("0"&amp;TRIM(RIGHT(SUBSTITUTE(TRIM(MID(SUBSTITUTE(SUBSTITUTE(Registro!$H352,";",CHAR(10)),CHAR(10),REPT(" ",LEN(Registro!$H352))),({1,2,3,4,5,6,7,8,9,10,11,12,13,14,15,16,17,18,19,20,21,22,23,24,25,26,27,28,29,30}-1)*LEN(Registro!$H352)+1,LEN(Registro!$H352)))," ",REPT(" ",50)),50)))),"Revisar formato"))</f>
        <v/>
      </c>
      <c r="J352" s="24" t="str">
        <f>IF(Registro!$I352="","",IFERROR(SUMPRODUCT(--("0"&amp;TRIM(RIGHT(SUBSTITUTE(TRIM(MID(SUBSTITUTE(SUBSTITUTE(Registro!$I352,";",CHAR(10)),CHAR(10),REPT(" ",LEN(Registro!$I352))),({1,2,3,4,5,6,7,8,9,10,11,12,13,14,15,16,17,18,19,20,21,22,23,24,25,26,27,28,29,30}-1)*LEN(Registro!$I352)+1,LEN(Registro!$I352)))," ",REPT(" ",50)),50)))),"Revisar formato"))</f>
        <v/>
      </c>
      <c r="K352" s="24" t="str">
        <f>IF(AND(Registro!$G352="",Registro!$H352=""),"",IF(AND(ISTEXT(I352),I352&lt;&gt;""),"Revisar formato",N(Registro!$G352)-N(I352)))</f>
        <v/>
      </c>
      <c r="L352" s="24" t="str">
        <f t="shared" si="11"/>
        <v/>
      </c>
      <c r="M352" s="36" t="str">
        <f>IF(AND(A352=Consulta!$B$3,C352=Consulta!$H$3),B352*10000+ROW(),"")</f>
        <v/>
      </c>
    </row>
    <row r="353" spans="1:13" x14ac:dyDescent="0.25">
      <c r="A353" s="21" t="str">
        <f>IF(Registro!$A353="","",Registro!$A353)</f>
        <v/>
      </c>
      <c r="B353" s="20" t="str">
        <f>IF(Registro!$B353="","",Registro!$B353)</f>
        <v/>
      </c>
      <c r="C353" s="35" t="str">
        <f t="shared" si="10"/>
        <v/>
      </c>
      <c r="D353" s="23" t="str">
        <f>IF(Registro!$E353="","",IF(ISERROR(FIND("x",LOWER(Registro!$E353))),"-",IFERROR(SUMPRODUCT(--("0"&amp;LEFT(TRIM(MID(SUBSTITUTE(SUBSTITUTE(SUBSTITUTE(SUBSTITUTE(SUBSTITUTE(LOWER(Registro!$E353),"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",LEN(Registro!$E353))),({1,2,3,4,5,6,7,8,9,10,11,12,13,14,15,16,17,18,19,20,21,22,23,24,25,26,27,28,29,30}-1)*LEN(Registro!$E353)+1,LEN(Registro!$E353))),FIND("x",TRIM(MID(SUBSTITUTE(SUBSTITUTE(SUBSTITUTE(SUBSTITUTE(SUBSTITUTE(LOWER(Registro!$E353),"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",LEN(Registro!$E353))),({1,2,3,4,5,6,7,8,9,10,11,12,13,14,15,16,17,18,19,20,21,22,23,24,25,26,27,28,29,30}-1)*LEN(Registro!$E353)+1,LEN(Registro!$E353)))&amp;"x")-1))),"Revisar formato")))</f>
        <v/>
      </c>
      <c r="E353" s="24" t="str">
        <f>IF(Registro!$E353="","",IF(ISERROR(FIND("x",LOWER(Registro!$E353))),"-",IFERROR(SUMPRODUCT(--("0"&amp;LEFT(TRIM(MID(SUBSTITUTE(SUBSTITUTE(SUBSTITUTE(SUBSTITUTE(SUBSTITUTE(LOWER(Registro!$E353),"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",LEN(Registro!$E353))),({1,2,3,4,5,6,7,8,9,10,11,12,13,14,15,16,17,18,19,20,21,22,23,24,25,26,27,28,29,30}-1)*LEN(Registro!$E353)+1,LEN(Registro!$E353))),FIND("x",TRIM(MID(SUBSTITUTE(SUBSTITUTE(SUBSTITUTE(SUBSTITUTE(SUBSTITUTE(LOWER(Registro!$E353),"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",LEN(Registro!$E353))),({1,2,3,4,5,6,7,8,9,10,11,12,13,14,15,16,17,18,19,20,21,22,23,24,25,26,27,28,29,30}-1)*LEN(Registro!$E353)+1,LEN(Registro!$E353)))&amp;"x")-1)),--("0"&amp;MID(TRIM(MID(SUBSTITUTE(SUBSTITUTE(SUBSTITUTE(SUBSTITUTE(SUBSTITUTE(LOWER(Registro!$E353),"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",LEN(Registro!$E353))),({1,2,3,4,5,6,7,8,9,10,11,12,13,14,15,16,17,18,19,20,21,22,23,24,25,26,27,28,29,30}-1)*LEN(Registro!$E353)+1,LEN(Registro!$E353))),FIND("x",TRIM(MID(SUBSTITUTE(SUBSTITUTE(SUBSTITUTE(SUBSTITUTE(SUBSTITUTE(LOWER(Registro!$E353),"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",LEN(Registro!$E353))),({1,2,3,4,5,6,7,8,9,10,11,12,13,14,15,16,17,18,19,20,21,22,23,24,25,26,27,28,29,30}-1)*LEN(Registro!$E353)+1,LEN(Registro!$E353)))&amp;"x")+1,20))),"Revisar formato")))</f>
        <v/>
      </c>
      <c r="F353" s="23" t="str">
        <f>IF(Registro!$F353="","",IF(ISERROR(FIND("x",LOWER(Registro!$F353))),"-",IFERROR(SUMPRODUCT(--("0"&amp;LEFT(TRIM(MID(SUBSTITUTE(SUBSTITUTE(SUBSTITUTE(SUBSTITUTE(SUBSTITUTE(LOWER(Registro!$F353)," ",""),CHAR(10),"|"),";","|"),"+","|"),"|",REPT(" ",LEN(Registro!$F353))),({1,2,3,4,5,6,7,8,9,10,11,12,13,14,15,16,17,18,19,20,21,22,23,24,25,26,27,28,29,30}-1)*LEN(Registro!$F353)+1,LEN(Registro!$F353))),FIND("x",TRIM(MID(SUBSTITUTE(SUBSTITUTE(SUBSTITUTE(SUBSTITUTE(SUBSTITUTE(LOWER(Registro!$F353)," ",""),CHAR(10),"|"),";","|"),"+","|"),"|",REPT(" ",LEN(Registro!$F353))),({1,2,3,4,5,6,7,8,9,10,11,12,13,14,15,16,17,18,19,20,21,22,23,24,25,26,27,28,29,30}-1)*LEN(Registro!$F353)+1,LEN(Registro!$F353)))&amp;"x")-1))),"Revisar formato")))</f>
        <v/>
      </c>
      <c r="G353" s="24" t="str">
        <f>IF(Registro!$F353="","",IF(ISERROR(FIND("x",LOWER(Registro!$F353))),N(Registro!$G353),IFERROR(SUMPRODUCT(--("0"&amp;LEFT(TRIM(MID(SUBSTITUTE(SUBSTITUTE(SUBSTITUTE(SUBSTITUTE(SUBSTITUTE(LOWER(Registro!$F353)," ",""),CHAR(10),"|"),";","|"),"+","|"),"|",REPT(" ",LEN(Registro!$F353))),({1,2,3,4,5,6,7,8,9,10,11,12,13,14,15,16,17,18,19,20,21,22,23,24,25,26,27,28,29,30}-1)*LEN(Registro!$F353)+1,LEN(Registro!$F353))),FIND("x",TRIM(MID(SUBSTITUTE(SUBSTITUTE(SUBSTITUTE(SUBSTITUTE(SUBSTITUTE(LOWER(Registro!$F353)," ",""),CHAR(10),"|"),";","|"),"+","|"),"|",REPT(" ",LEN(Registro!$F353))),({1,2,3,4,5,6,7,8,9,10,11,12,13,14,15,16,17,18,19,20,21,22,23,24,25,26,27,28,29,30}-1)*LEN(Registro!$F353)+1,LEN(Registro!$F353)))&amp;"x")-1)),--("0"&amp;MID(TRIM(MID(SUBSTITUTE(SUBSTITUTE(SUBSTITUTE(SUBSTITUTE(SUBSTITUTE(LOWER(Registro!$F353)," ",""),CHAR(10),"|"),";","|"),"+","|"),"|",REPT(" ",LEN(Registro!$F353))),({1,2,3,4,5,6,7,8,9,10,11,12,13,14,15,16,17,18,19,20,21,22,23,24,25,26,27,28,29,30}-1)*LEN(Registro!$F353)+1,LEN(Registro!$F353))),FIND("x",TRIM(MID(SUBSTITUTE(SUBSTITUTE(SUBSTITUTE(SUBSTITUTE(SUBSTITUTE(LOWER(Registro!$F353)," ",""),CHAR(10),"|"),";","|"),"+","|"),"|",REPT(" ",LEN(Registro!$F353))),({1,2,3,4,5,6,7,8,9,10,11,12,13,14,15,16,17,18,19,20,21,22,23,24,25,26,27,28,29,30}-1)*LEN(Registro!$F353)+1,LEN(Registro!$F353)))&amp;"x")+1,20))),"Revisar formato")))</f>
        <v/>
      </c>
      <c r="H353" s="21" t="str">
        <f>IF(AND(Registro!$E353="",Registro!$F353=""),"",IF(NOT(AND(ISNUMBER(G353),ISNUMBER(Registro!$G353))),"",IF(G353&lt;Registro!$G353,"FALTA BOLETOS",IF(G353=Registro!$G353,"CONFORME","DIFERENCIA"))))</f>
        <v/>
      </c>
      <c r="I353" s="24" t="str">
        <f>IF(Registro!$H353="","",IFERROR(SUMPRODUCT(--("0"&amp;TRIM(RIGHT(SUBSTITUTE(TRIM(MID(SUBSTITUTE(SUBSTITUTE(Registro!$H353,";",CHAR(10)),CHAR(10),REPT(" ",LEN(Registro!$H353))),({1,2,3,4,5,6,7,8,9,10,11,12,13,14,15,16,17,18,19,20,21,22,23,24,25,26,27,28,29,30}-1)*LEN(Registro!$H353)+1,LEN(Registro!$H353)))," ",REPT(" ",50)),50)))),"Revisar formato"))</f>
        <v/>
      </c>
      <c r="J353" s="24" t="str">
        <f>IF(Registro!$I353="","",IFERROR(SUMPRODUCT(--("0"&amp;TRIM(RIGHT(SUBSTITUTE(TRIM(MID(SUBSTITUTE(SUBSTITUTE(Registro!$I353,";",CHAR(10)),CHAR(10),REPT(" ",LEN(Registro!$I353))),({1,2,3,4,5,6,7,8,9,10,11,12,13,14,15,16,17,18,19,20,21,22,23,24,25,26,27,28,29,30}-1)*LEN(Registro!$I353)+1,LEN(Registro!$I353)))," ",REPT(" ",50)),50)))),"Revisar formato"))</f>
        <v/>
      </c>
      <c r="K353" s="24" t="str">
        <f>IF(AND(Registro!$G353="",Registro!$H353=""),"",IF(AND(ISTEXT(I353),I353&lt;&gt;""),"Revisar formato",N(Registro!$G353)-N(I353)))</f>
        <v/>
      </c>
      <c r="L353" s="24" t="str">
        <f t="shared" si="11"/>
        <v/>
      </c>
      <c r="M353" s="36" t="str">
        <f>IF(AND(A353=Consulta!$B$3,C353=Consulta!$H$3),B353*10000+ROW(),"")</f>
        <v/>
      </c>
    </row>
    <row r="354" spans="1:13" x14ac:dyDescent="0.25">
      <c r="A354" s="21" t="str">
        <f>IF(Registro!$A354="","",Registro!$A354)</f>
        <v/>
      </c>
      <c r="B354" s="20" t="str">
        <f>IF(Registro!$B354="","",Registro!$B354)</f>
        <v/>
      </c>
      <c r="C354" s="35" t="str">
        <f t="shared" si="10"/>
        <v/>
      </c>
      <c r="D354" s="23" t="str">
        <f>IF(Registro!$E354="","",IF(ISERROR(FIND("x",LOWER(Registro!$E354))),"-",IFERROR(SUMPRODUCT(--("0"&amp;LEFT(TRIM(MID(SUBSTITUTE(SUBSTITUTE(SUBSTITUTE(SUBSTITUTE(SUBSTITUTE(LOWER(Registro!$E354),"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",LEN(Registro!$E354))),({1,2,3,4,5,6,7,8,9,10,11,12,13,14,15,16,17,18,19,20,21,22,23,24,25,26,27,28,29,30}-1)*LEN(Registro!$E354)+1,LEN(Registro!$E354))),FIND("x",TRIM(MID(SUBSTITUTE(SUBSTITUTE(SUBSTITUTE(SUBSTITUTE(SUBSTITUTE(LOWER(Registro!$E354),"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",LEN(Registro!$E354))),({1,2,3,4,5,6,7,8,9,10,11,12,13,14,15,16,17,18,19,20,21,22,23,24,25,26,27,28,29,30}-1)*LEN(Registro!$E354)+1,LEN(Registro!$E354)))&amp;"x")-1))),"Revisar formato")))</f>
        <v/>
      </c>
      <c r="E354" s="24" t="str">
        <f>IF(Registro!$E354="","",IF(ISERROR(FIND("x",LOWER(Registro!$E354))),"-",IFERROR(SUMPRODUCT(--("0"&amp;LEFT(TRIM(MID(SUBSTITUTE(SUBSTITUTE(SUBSTITUTE(SUBSTITUTE(SUBSTITUTE(LOWER(Registro!$E354),"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",LEN(Registro!$E354))),({1,2,3,4,5,6,7,8,9,10,11,12,13,14,15,16,17,18,19,20,21,22,23,24,25,26,27,28,29,30}-1)*LEN(Registro!$E354)+1,LEN(Registro!$E354))),FIND("x",TRIM(MID(SUBSTITUTE(SUBSTITUTE(SUBSTITUTE(SUBSTITUTE(SUBSTITUTE(LOWER(Registro!$E354),"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",LEN(Registro!$E354))),({1,2,3,4,5,6,7,8,9,10,11,12,13,14,15,16,17,18,19,20,21,22,23,24,25,26,27,28,29,30}-1)*LEN(Registro!$E354)+1,LEN(Registro!$E354)))&amp;"x")-1)),--("0"&amp;MID(TRIM(MID(SUBSTITUTE(SUBSTITUTE(SUBSTITUTE(SUBSTITUTE(SUBSTITUTE(LOWER(Registro!$E354),"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",LEN(Registro!$E354))),({1,2,3,4,5,6,7,8,9,10,11,12,13,14,15,16,17,18,19,20,21,22,23,24,25,26,27,28,29,30}-1)*LEN(Registro!$E354)+1,LEN(Registro!$E354))),FIND("x",TRIM(MID(SUBSTITUTE(SUBSTITUTE(SUBSTITUTE(SUBSTITUTE(SUBSTITUTE(LOWER(Registro!$E354),"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",LEN(Registro!$E354))),({1,2,3,4,5,6,7,8,9,10,11,12,13,14,15,16,17,18,19,20,21,22,23,24,25,26,27,28,29,30}-1)*LEN(Registro!$E354)+1,LEN(Registro!$E354)))&amp;"x")+1,20))),"Revisar formato")))</f>
        <v/>
      </c>
      <c r="F354" s="23" t="str">
        <f>IF(Registro!$F354="","",IF(ISERROR(FIND("x",LOWER(Registro!$F354))),"-",IFERROR(SUMPRODUCT(--("0"&amp;LEFT(TRIM(MID(SUBSTITUTE(SUBSTITUTE(SUBSTITUTE(SUBSTITUTE(SUBSTITUTE(LOWER(Registro!$F354)," ",""),CHAR(10),"|"),";","|"),"+","|"),"|",REPT(" ",LEN(Registro!$F354))),({1,2,3,4,5,6,7,8,9,10,11,12,13,14,15,16,17,18,19,20,21,22,23,24,25,26,27,28,29,30}-1)*LEN(Registro!$F354)+1,LEN(Registro!$F354))),FIND("x",TRIM(MID(SUBSTITUTE(SUBSTITUTE(SUBSTITUTE(SUBSTITUTE(SUBSTITUTE(LOWER(Registro!$F354)," ",""),CHAR(10),"|"),";","|"),"+","|"),"|",REPT(" ",LEN(Registro!$F354))),({1,2,3,4,5,6,7,8,9,10,11,12,13,14,15,16,17,18,19,20,21,22,23,24,25,26,27,28,29,30}-1)*LEN(Registro!$F354)+1,LEN(Registro!$F354)))&amp;"x")-1))),"Revisar formato")))</f>
        <v/>
      </c>
      <c r="G354" s="24" t="str">
        <f>IF(Registro!$F354="","",IF(ISERROR(FIND("x",LOWER(Registro!$F354))),N(Registro!$G354),IFERROR(SUMPRODUCT(--("0"&amp;LEFT(TRIM(MID(SUBSTITUTE(SUBSTITUTE(SUBSTITUTE(SUBSTITUTE(SUBSTITUTE(LOWER(Registro!$F354)," ",""),CHAR(10),"|"),";","|"),"+","|"),"|",REPT(" ",LEN(Registro!$F354))),({1,2,3,4,5,6,7,8,9,10,11,12,13,14,15,16,17,18,19,20,21,22,23,24,25,26,27,28,29,30}-1)*LEN(Registro!$F354)+1,LEN(Registro!$F354))),FIND("x",TRIM(MID(SUBSTITUTE(SUBSTITUTE(SUBSTITUTE(SUBSTITUTE(SUBSTITUTE(LOWER(Registro!$F354)," ",""),CHAR(10),"|"),";","|"),"+","|"),"|",REPT(" ",LEN(Registro!$F354))),({1,2,3,4,5,6,7,8,9,10,11,12,13,14,15,16,17,18,19,20,21,22,23,24,25,26,27,28,29,30}-1)*LEN(Registro!$F354)+1,LEN(Registro!$F354)))&amp;"x")-1)),--("0"&amp;MID(TRIM(MID(SUBSTITUTE(SUBSTITUTE(SUBSTITUTE(SUBSTITUTE(SUBSTITUTE(LOWER(Registro!$F354)," ",""),CHAR(10),"|"),";","|"),"+","|"),"|",REPT(" ",LEN(Registro!$F354))),({1,2,3,4,5,6,7,8,9,10,11,12,13,14,15,16,17,18,19,20,21,22,23,24,25,26,27,28,29,30}-1)*LEN(Registro!$F354)+1,LEN(Registro!$F354))),FIND("x",TRIM(MID(SUBSTITUTE(SUBSTITUTE(SUBSTITUTE(SUBSTITUTE(SUBSTITUTE(LOWER(Registro!$F354)," ",""),CHAR(10),"|"),";","|"),"+","|"),"|",REPT(" ",LEN(Registro!$F354))),({1,2,3,4,5,6,7,8,9,10,11,12,13,14,15,16,17,18,19,20,21,22,23,24,25,26,27,28,29,30}-1)*LEN(Registro!$F354)+1,LEN(Registro!$F354)))&amp;"x")+1,20))),"Revisar formato")))</f>
        <v/>
      </c>
      <c r="H354" s="21" t="str">
        <f>IF(AND(Registro!$E354="",Registro!$F354=""),"",IF(NOT(AND(ISNUMBER(G354),ISNUMBER(Registro!$G354))),"",IF(G354&lt;Registro!$G354,"FALTA BOLETOS",IF(G354=Registro!$G354,"CONFORME","DIFERENCIA"))))</f>
        <v/>
      </c>
      <c r="I354" s="24" t="str">
        <f>IF(Registro!$H354="","",IFERROR(SUMPRODUCT(--("0"&amp;TRIM(RIGHT(SUBSTITUTE(TRIM(MID(SUBSTITUTE(SUBSTITUTE(Registro!$H354,";",CHAR(10)),CHAR(10),REPT(" ",LEN(Registro!$H354))),({1,2,3,4,5,6,7,8,9,10,11,12,13,14,15,16,17,18,19,20,21,22,23,24,25,26,27,28,29,30}-1)*LEN(Registro!$H354)+1,LEN(Registro!$H354)))," ",REPT(" ",50)),50)))),"Revisar formato"))</f>
        <v/>
      </c>
      <c r="J354" s="24" t="str">
        <f>IF(Registro!$I354="","",IFERROR(SUMPRODUCT(--("0"&amp;TRIM(RIGHT(SUBSTITUTE(TRIM(MID(SUBSTITUTE(SUBSTITUTE(Registro!$I354,";",CHAR(10)),CHAR(10),REPT(" ",LEN(Registro!$I354))),({1,2,3,4,5,6,7,8,9,10,11,12,13,14,15,16,17,18,19,20,21,22,23,24,25,26,27,28,29,30}-1)*LEN(Registro!$I354)+1,LEN(Registro!$I354)))," ",REPT(" ",50)),50)))),"Revisar formato"))</f>
        <v/>
      </c>
      <c r="K354" s="24" t="str">
        <f>IF(AND(Registro!$G354="",Registro!$H354=""),"",IF(AND(ISTEXT(I354),I354&lt;&gt;""),"Revisar formato",N(Registro!$G354)-N(I354)))</f>
        <v/>
      </c>
      <c r="L354" s="24" t="str">
        <f t="shared" si="11"/>
        <v/>
      </c>
      <c r="M354" s="36" t="str">
        <f>IF(AND(A354=Consulta!$B$3,C354=Consulta!$H$3),B354*10000+ROW(),"")</f>
        <v/>
      </c>
    </row>
    <row r="355" spans="1:13" x14ac:dyDescent="0.25">
      <c r="A355" s="21" t="str">
        <f>IF(Registro!$A355="","",Registro!$A355)</f>
        <v/>
      </c>
      <c r="B355" s="20" t="str">
        <f>IF(Registro!$B355="","",Registro!$B355)</f>
        <v/>
      </c>
      <c r="C355" s="35" t="str">
        <f t="shared" si="10"/>
        <v/>
      </c>
      <c r="D355" s="23" t="str">
        <f>IF(Registro!$E355="","",IF(ISERROR(FIND("x",LOWER(Registro!$E355))),"-",IFERROR(SUMPRODUCT(--("0"&amp;LEFT(TRIM(MID(SUBSTITUTE(SUBSTITUTE(SUBSTITUTE(SUBSTITUTE(SUBSTITUTE(LOWER(Registro!$E355),"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",LEN(Registro!$E355))),({1,2,3,4,5,6,7,8,9,10,11,12,13,14,15,16,17,18,19,20,21,22,23,24,25,26,27,28,29,30}-1)*LEN(Registro!$E355)+1,LEN(Registro!$E355))),FIND("x",TRIM(MID(SUBSTITUTE(SUBSTITUTE(SUBSTITUTE(SUBSTITUTE(SUBSTITUTE(LOWER(Registro!$E355),"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",LEN(Registro!$E355))),({1,2,3,4,5,6,7,8,9,10,11,12,13,14,15,16,17,18,19,20,21,22,23,24,25,26,27,28,29,30}-1)*LEN(Registro!$E355)+1,LEN(Registro!$E355)))&amp;"x")-1))),"Revisar formato")))</f>
        <v/>
      </c>
      <c r="E355" s="24" t="str">
        <f>IF(Registro!$E355="","",IF(ISERROR(FIND("x",LOWER(Registro!$E355))),"-",IFERROR(SUMPRODUCT(--("0"&amp;LEFT(TRIM(MID(SUBSTITUTE(SUBSTITUTE(SUBSTITUTE(SUBSTITUTE(SUBSTITUTE(LOWER(Registro!$E355),"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",LEN(Registro!$E355))),({1,2,3,4,5,6,7,8,9,10,11,12,13,14,15,16,17,18,19,20,21,22,23,24,25,26,27,28,29,30}-1)*LEN(Registro!$E355)+1,LEN(Registro!$E355))),FIND("x",TRIM(MID(SUBSTITUTE(SUBSTITUTE(SUBSTITUTE(SUBSTITUTE(SUBSTITUTE(LOWER(Registro!$E355),"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",LEN(Registro!$E355))),({1,2,3,4,5,6,7,8,9,10,11,12,13,14,15,16,17,18,19,20,21,22,23,24,25,26,27,28,29,30}-1)*LEN(Registro!$E355)+1,LEN(Registro!$E355)))&amp;"x")-1)),--("0"&amp;MID(TRIM(MID(SUBSTITUTE(SUBSTITUTE(SUBSTITUTE(SUBSTITUTE(SUBSTITUTE(LOWER(Registro!$E355),"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",LEN(Registro!$E355))),({1,2,3,4,5,6,7,8,9,10,11,12,13,14,15,16,17,18,19,20,21,22,23,24,25,26,27,28,29,30}-1)*LEN(Registro!$E355)+1,LEN(Registro!$E355))),FIND("x",TRIM(MID(SUBSTITUTE(SUBSTITUTE(SUBSTITUTE(SUBSTITUTE(SUBSTITUTE(LOWER(Registro!$E355),"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",LEN(Registro!$E355))),({1,2,3,4,5,6,7,8,9,10,11,12,13,14,15,16,17,18,19,20,21,22,23,24,25,26,27,28,29,30}-1)*LEN(Registro!$E355)+1,LEN(Registro!$E355)))&amp;"x")+1,20))),"Revisar formato")))</f>
        <v/>
      </c>
      <c r="F355" s="23" t="str">
        <f>IF(Registro!$F355="","",IF(ISERROR(FIND("x",LOWER(Registro!$F355))),"-",IFERROR(SUMPRODUCT(--("0"&amp;LEFT(TRIM(MID(SUBSTITUTE(SUBSTITUTE(SUBSTITUTE(SUBSTITUTE(SUBSTITUTE(LOWER(Registro!$F355)," ",""),CHAR(10),"|"),";","|"),"+","|"),"|",REPT(" ",LEN(Registro!$F355))),({1,2,3,4,5,6,7,8,9,10,11,12,13,14,15,16,17,18,19,20,21,22,23,24,25,26,27,28,29,30}-1)*LEN(Registro!$F355)+1,LEN(Registro!$F355))),FIND("x",TRIM(MID(SUBSTITUTE(SUBSTITUTE(SUBSTITUTE(SUBSTITUTE(SUBSTITUTE(LOWER(Registro!$F355)," ",""),CHAR(10),"|"),";","|"),"+","|"),"|",REPT(" ",LEN(Registro!$F355))),({1,2,3,4,5,6,7,8,9,10,11,12,13,14,15,16,17,18,19,20,21,22,23,24,25,26,27,28,29,30}-1)*LEN(Registro!$F355)+1,LEN(Registro!$F355)))&amp;"x")-1))),"Revisar formato")))</f>
        <v/>
      </c>
      <c r="G355" s="24" t="str">
        <f>IF(Registro!$F355="","",IF(ISERROR(FIND("x",LOWER(Registro!$F355))),N(Registro!$G355),IFERROR(SUMPRODUCT(--("0"&amp;LEFT(TRIM(MID(SUBSTITUTE(SUBSTITUTE(SUBSTITUTE(SUBSTITUTE(SUBSTITUTE(LOWER(Registro!$F355)," ",""),CHAR(10),"|"),";","|"),"+","|"),"|",REPT(" ",LEN(Registro!$F355))),({1,2,3,4,5,6,7,8,9,10,11,12,13,14,15,16,17,18,19,20,21,22,23,24,25,26,27,28,29,30}-1)*LEN(Registro!$F355)+1,LEN(Registro!$F355))),FIND("x",TRIM(MID(SUBSTITUTE(SUBSTITUTE(SUBSTITUTE(SUBSTITUTE(SUBSTITUTE(LOWER(Registro!$F355)," ",""),CHAR(10),"|"),";","|"),"+","|"),"|",REPT(" ",LEN(Registro!$F355))),({1,2,3,4,5,6,7,8,9,10,11,12,13,14,15,16,17,18,19,20,21,22,23,24,25,26,27,28,29,30}-1)*LEN(Registro!$F355)+1,LEN(Registro!$F355)))&amp;"x")-1)),--("0"&amp;MID(TRIM(MID(SUBSTITUTE(SUBSTITUTE(SUBSTITUTE(SUBSTITUTE(SUBSTITUTE(LOWER(Registro!$F355)," ",""),CHAR(10),"|"),";","|"),"+","|"),"|",REPT(" ",LEN(Registro!$F355))),({1,2,3,4,5,6,7,8,9,10,11,12,13,14,15,16,17,18,19,20,21,22,23,24,25,26,27,28,29,30}-1)*LEN(Registro!$F355)+1,LEN(Registro!$F355))),FIND("x",TRIM(MID(SUBSTITUTE(SUBSTITUTE(SUBSTITUTE(SUBSTITUTE(SUBSTITUTE(LOWER(Registro!$F355)," ",""),CHAR(10),"|"),";","|"),"+","|"),"|",REPT(" ",LEN(Registro!$F355))),({1,2,3,4,5,6,7,8,9,10,11,12,13,14,15,16,17,18,19,20,21,22,23,24,25,26,27,28,29,30}-1)*LEN(Registro!$F355)+1,LEN(Registro!$F355)))&amp;"x")+1,20))),"Revisar formato")))</f>
        <v/>
      </c>
      <c r="H355" s="21" t="str">
        <f>IF(AND(Registro!$E355="",Registro!$F355=""),"",IF(NOT(AND(ISNUMBER(G355),ISNUMBER(Registro!$G355))),"",IF(G355&lt;Registro!$G355,"FALTA BOLETOS",IF(G355=Registro!$G355,"CONFORME","DIFERENCIA"))))</f>
        <v/>
      </c>
      <c r="I355" s="24" t="str">
        <f>IF(Registro!$H355="","",IFERROR(SUMPRODUCT(--("0"&amp;TRIM(RIGHT(SUBSTITUTE(TRIM(MID(SUBSTITUTE(SUBSTITUTE(Registro!$H355,";",CHAR(10)),CHAR(10),REPT(" ",LEN(Registro!$H355))),({1,2,3,4,5,6,7,8,9,10,11,12,13,14,15,16,17,18,19,20,21,22,23,24,25,26,27,28,29,30}-1)*LEN(Registro!$H355)+1,LEN(Registro!$H355)))," ",REPT(" ",50)),50)))),"Revisar formato"))</f>
        <v/>
      </c>
      <c r="J355" s="24" t="str">
        <f>IF(Registro!$I355="","",IFERROR(SUMPRODUCT(--("0"&amp;TRIM(RIGHT(SUBSTITUTE(TRIM(MID(SUBSTITUTE(SUBSTITUTE(Registro!$I355,";",CHAR(10)),CHAR(10),REPT(" ",LEN(Registro!$I355))),({1,2,3,4,5,6,7,8,9,10,11,12,13,14,15,16,17,18,19,20,21,22,23,24,25,26,27,28,29,30}-1)*LEN(Registro!$I355)+1,LEN(Registro!$I355)))," ",REPT(" ",50)),50)))),"Revisar formato"))</f>
        <v/>
      </c>
      <c r="K355" s="24" t="str">
        <f>IF(AND(Registro!$G355="",Registro!$H355=""),"",IF(AND(ISTEXT(I355),I355&lt;&gt;""),"Revisar formato",N(Registro!$G355)-N(I355)))</f>
        <v/>
      </c>
      <c r="L355" s="24" t="str">
        <f t="shared" si="11"/>
        <v/>
      </c>
      <c r="M355" s="36" t="str">
        <f>IF(AND(A355=Consulta!$B$3,C355=Consulta!$H$3),B355*10000+ROW(),"")</f>
        <v/>
      </c>
    </row>
    <row r="356" spans="1:13" x14ac:dyDescent="0.25">
      <c r="A356" s="21" t="str">
        <f>IF(Registro!$A356="","",Registro!$A356)</f>
        <v/>
      </c>
      <c r="B356" s="20" t="str">
        <f>IF(Registro!$B356="","",Registro!$B356)</f>
        <v/>
      </c>
      <c r="C356" s="35" t="str">
        <f t="shared" si="10"/>
        <v/>
      </c>
      <c r="D356" s="23" t="str">
        <f>IF(Registro!$E356="","",IF(ISERROR(FIND("x",LOWER(Registro!$E356))),"-",IFERROR(SUMPRODUCT(--("0"&amp;LEFT(TRIM(MID(SUBSTITUTE(SUBSTITUTE(SUBSTITUTE(SUBSTITUTE(SUBSTITUTE(LOWER(Registro!$E356),"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",LEN(Registro!$E356))),({1,2,3,4,5,6,7,8,9,10,11,12,13,14,15,16,17,18,19,20,21,22,23,24,25,26,27,28,29,30}-1)*LEN(Registro!$E356)+1,LEN(Registro!$E356))),FIND("x",TRIM(MID(SUBSTITUTE(SUBSTITUTE(SUBSTITUTE(SUBSTITUTE(SUBSTITUTE(LOWER(Registro!$E356),"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",LEN(Registro!$E356))),({1,2,3,4,5,6,7,8,9,10,11,12,13,14,15,16,17,18,19,20,21,22,23,24,25,26,27,28,29,30}-1)*LEN(Registro!$E356)+1,LEN(Registro!$E356)))&amp;"x")-1))),"Revisar formato")))</f>
        <v/>
      </c>
      <c r="E356" s="24" t="str">
        <f>IF(Registro!$E356="","",IF(ISERROR(FIND("x",LOWER(Registro!$E356))),"-",IFERROR(SUMPRODUCT(--("0"&amp;LEFT(TRIM(MID(SUBSTITUTE(SUBSTITUTE(SUBSTITUTE(SUBSTITUTE(SUBSTITUTE(LOWER(Registro!$E356),"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",LEN(Registro!$E356))),({1,2,3,4,5,6,7,8,9,10,11,12,13,14,15,16,17,18,19,20,21,22,23,24,25,26,27,28,29,30}-1)*LEN(Registro!$E356)+1,LEN(Registro!$E356))),FIND("x",TRIM(MID(SUBSTITUTE(SUBSTITUTE(SUBSTITUTE(SUBSTITUTE(SUBSTITUTE(LOWER(Registro!$E356),"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",LEN(Registro!$E356))),({1,2,3,4,5,6,7,8,9,10,11,12,13,14,15,16,17,18,19,20,21,22,23,24,25,26,27,28,29,30}-1)*LEN(Registro!$E356)+1,LEN(Registro!$E356)))&amp;"x")-1)),--("0"&amp;MID(TRIM(MID(SUBSTITUTE(SUBSTITUTE(SUBSTITUTE(SUBSTITUTE(SUBSTITUTE(LOWER(Registro!$E356),"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",LEN(Registro!$E356))),({1,2,3,4,5,6,7,8,9,10,11,12,13,14,15,16,17,18,19,20,21,22,23,24,25,26,27,28,29,30}-1)*LEN(Registro!$E356)+1,LEN(Registro!$E356))),FIND("x",TRIM(MID(SUBSTITUTE(SUBSTITUTE(SUBSTITUTE(SUBSTITUTE(SUBSTITUTE(LOWER(Registro!$E356),"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",LEN(Registro!$E356))),({1,2,3,4,5,6,7,8,9,10,11,12,13,14,15,16,17,18,19,20,21,22,23,24,25,26,27,28,29,30}-1)*LEN(Registro!$E356)+1,LEN(Registro!$E356)))&amp;"x")+1,20))),"Revisar formato")))</f>
        <v/>
      </c>
      <c r="F356" s="23" t="str">
        <f>IF(Registro!$F356="","",IF(ISERROR(FIND("x",LOWER(Registro!$F356))),"-",IFERROR(SUMPRODUCT(--("0"&amp;LEFT(TRIM(MID(SUBSTITUTE(SUBSTITUTE(SUBSTITUTE(SUBSTITUTE(SUBSTITUTE(LOWER(Registro!$F356)," ",""),CHAR(10),"|"),";","|"),"+","|"),"|",REPT(" ",LEN(Registro!$F356))),({1,2,3,4,5,6,7,8,9,10,11,12,13,14,15,16,17,18,19,20,21,22,23,24,25,26,27,28,29,30}-1)*LEN(Registro!$F356)+1,LEN(Registro!$F356))),FIND("x",TRIM(MID(SUBSTITUTE(SUBSTITUTE(SUBSTITUTE(SUBSTITUTE(SUBSTITUTE(LOWER(Registro!$F356)," ",""),CHAR(10),"|"),";","|"),"+","|"),"|",REPT(" ",LEN(Registro!$F356))),({1,2,3,4,5,6,7,8,9,10,11,12,13,14,15,16,17,18,19,20,21,22,23,24,25,26,27,28,29,30}-1)*LEN(Registro!$F356)+1,LEN(Registro!$F356)))&amp;"x")-1))),"Revisar formato")))</f>
        <v/>
      </c>
      <c r="G356" s="24" t="str">
        <f>IF(Registro!$F356="","",IF(ISERROR(FIND("x",LOWER(Registro!$F356))),N(Registro!$G356),IFERROR(SUMPRODUCT(--("0"&amp;LEFT(TRIM(MID(SUBSTITUTE(SUBSTITUTE(SUBSTITUTE(SUBSTITUTE(SUBSTITUTE(LOWER(Registro!$F356)," ",""),CHAR(10),"|"),";","|"),"+","|"),"|",REPT(" ",LEN(Registro!$F356))),({1,2,3,4,5,6,7,8,9,10,11,12,13,14,15,16,17,18,19,20,21,22,23,24,25,26,27,28,29,30}-1)*LEN(Registro!$F356)+1,LEN(Registro!$F356))),FIND("x",TRIM(MID(SUBSTITUTE(SUBSTITUTE(SUBSTITUTE(SUBSTITUTE(SUBSTITUTE(LOWER(Registro!$F356)," ",""),CHAR(10),"|"),";","|"),"+","|"),"|",REPT(" ",LEN(Registro!$F356))),({1,2,3,4,5,6,7,8,9,10,11,12,13,14,15,16,17,18,19,20,21,22,23,24,25,26,27,28,29,30}-1)*LEN(Registro!$F356)+1,LEN(Registro!$F356)))&amp;"x")-1)),--("0"&amp;MID(TRIM(MID(SUBSTITUTE(SUBSTITUTE(SUBSTITUTE(SUBSTITUTE(SUBSTITUTE(LOWER(Registro!$F356)," ",""),CHAR(10),"|"),";","|"),"+","|"),"|",REPT(" ",LEN(Registro!$F356))),({1,2,3,4,5,6,7,8,9,10,11,12,13,14,15,16,17,18,19,20,21,22,23,24,25,26,27,28,29,30}-1)*LEN(Registro!$F356)+1,LEN(Registro!$F356))),FIND("x",TRIM(MID(SUBSTITUTE(SUBSTITUTE(SUBSTITUTE(SUBSTITUTE(SUBSTITUTE(LOWER(Registro!$F356)," ",""),CHAR(10),"|"),";","|"),"+","|"),"|",REPT(" ",LEN(Registro!$F356))),({1,2,3,4,5,6,7,8,9,10,11,12,13,14,15,16,17,18,19,20,21,22,23,24,25,26,27,28,29,30}-1)*LEN(Registro!$F356)+1,LEN(Registro!$F356)))&amp;"x")+1,20))),"Revisar formato")))</f>
        <v/>
      </c>
      <c r="H356" s="21" t="str">
        <f>IF(AND(Registro!$E356="",Registro!$F356=""),"",IF(NOT(AND(ISNUMBER(G356),ISNUMBER(Registro!$G356))),"",IF(G356&lt;Registro!$G356,"FALTA BOLETOS",IF(G356=Registro!$G356,"CONFORME","DIFERENCIA"))))</f>
        <v/>
      </c>
      <c r="I356" s="24" t="str">
        <f>IF(Registro!$H356="","",IFERROR(SUMPRODUCT(--("0"&amp;TRIM(RIGHT(SUBSTITUTE(TRIM(MID(SUBSTITUTE(SUBSTITUTE(Registro!$H356,";",CHAR(10)),CHAR(10),REPT(" ",LEN(Registro!$H356))),({1,2,3,4,5,6,7,8,9,10,11,12,13,14,15,16,17,18,19,20,21,22,23,24,25,26,27,28,29,30}-1)*LEN(Registro!$H356)+1,LEN(Registro!$H356)))," ",REPT(" ",50)),50)))),"Revisar formato"))</f>
        <v/>
      </c>
      <c r="J356" s="24" t="str">
        <f>IF(Registro!$I356="","",IFERROR(SUMPRODUCT(--("0"&amp;TRIM(RIGHT(SUBSTITUTE(TRIM(MID(SUBSTITUTE(SUBSTITUTE(Registro!$I356,";",CHAR(10)),CHAR(10),REPT(" ",LEN(Registro!$I356))),({1,2,3,4,5,6,7,8,9,10,11,12,13,14,15,16,17,18,19,20,21,22,23,24,25,26,27,28,29,30}-1)*LEN(Registro!$I356)+1,LEN(Registro!$I356)))," ",REPT(" ",50)),50)))),"Revisar formato"))</f>
        <v/>
      </c>
      <c r="K356" s="24" t="str">
        <f>IF(AND(Registro!$G356="",Registro!$H356=""),"",IF(AND(ISTEXT(I356),I356&lt;&gt;""),"Revisar formato",N(Registro!$G356)-N(I356)))</f>
        <v/>
      </c>
      <c r="L356" s="24" t="str">
        <f t="shared" si="11"/>
        <v/>
      </c>
      <c r="M356" s="36" t="str">
        <f>IF(AND(A356=Consulta!$B$3,C356=Consulta!$H$3),B356*10000+ROW(),"")</f>
        <v/>
      </c>
    </row>
    <row r="357" spans="1:13" x14ac:dyDescent="0.25">
      <c r="A357" s="21" t="str">
        <f>IF(Registro!$A357="","",Registro!$A357)</f>
        <v/>
      </c>
      <c r="B357" s="20" t="str">
        <f>IF(Registro!$B357="","",Registro!$B357)</f>
        <v/>
      </c>
      <c r="C357" s="35" t="str">
        <f t="shared" si="10"/>
        <v/>
      </c>
      <c r="D357" s="23" t="str">
        <f>IF(Registro!$E357="","",IF(ISERROR(FIND("x",LOWER(Registro!$E357))),"-",IFERROR(SUMPRODUCT(--("0"&amp;LEFT(TRIM(MID(SUBSTITUTE(SUBSTITUTE(SUBSTITUTE(SUBSTITUTE(SUBSTITUTE(LOWER(Registro!$E357),"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",LEN(Registro!$E357))),({1,2,3,4,5,6,7,8,9,10,11,12,13,14,15,16,17,18,19,20,21,22,23,24,25,26,27,28,29,30}-1)*LEN(Registro!$E357)+1,LEN(Registro!$E357))),FIND("x",TRIM(MID(SUBSTITUTE(SUBSTITUTE(SUBSTITUTE(SUBSTITUTE(SUBSTITUTE(LOWER(Registro!$E357),"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",LEN(Registro!$E357))),({1,2,3,4,5,6,7,8,9,10,11,12,13,14,15,16,17,18,19,20,21,22,23,24,25,26,27,28,29,30}-1)*LEN(Registro!$E357)+1,LEN(Registro!$E357)))&amp;"x")-1))),"Revisar formato")))</f>
        <v/>
      </c>
      <c r="E357" s="24" t="str">
        <f>IF(Registro!$E357="","",IF(ISERROR(FIND("x",LOWER(Registro!$E357))),"-",IFERROR(SUMPRODUCT(--("0"&amp;LEFT(TRIM(MID(SUBSTITUTE(SUBSTITUTE(SUBSTITUTE(SUBSTITUTE(SUBSTITUTE(LOWER(Registro!$E357),"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",LEN(Registro!$E357))),({1,2,3,4,5,6,7,8,9,10,11,12,13,14,15,16,17,18,19,20,21,22,23,24,25,26,27,28,29,30}-1)*LEN(Registro!$E357)+1,LEN(Registro!$E357))),FIND("x",TRIM(MID(SUBSTITUTE(SUBSTITUTE(SUBSTITUTE(SUBSTITUTE(SUBSTITUTE(LOWER(Registro!$E357),"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",LEN(Registro!$E357))),({1,2,3,4,5,6,7,8,9,10,11,12,13,14,15,16,17,18,19,20,21,22,23,24,25,26,27,28,29,30}-1)*LEN(Registro!$E357)+1,LEN(Registro!$E357)))&amp;"x")-1)),--("0"&amp;MID(TRIM(MID(SUBSTITUTE(SUBSTITUTE(SUBSTITUTE(SUBSTITUTE(SUBSTITUTE(LOWER(Registro!$E357),"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",LEN(Registro!$E357))),({1,2,3,4,5,6,7,8,9,10,11,12,13,14,15,16,17,18,19,20,21,22,23,24,25,26,27,28,29,30}-1)*LEN(Registro!$E357)+1,LEN(Registro!$E357))),FIND("x",TRIM(MID(SUBSTITUTE(SUBSTITUTE(SUBSTITUTE(SUBSTITUTE(SUBSTITUTE(LOWER(Registro!$E357),"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",LEN(Registro!$E357))),({1,2,3,4,5,6,7,8,9,10,11,12,13,14,15,16,17,18,19,20,21,22,23,24,25,26,27,28,29,30}-1)*LEN(Registro!$E357)+1,LEN(Registro!$E357)))&amp;"x")+1,20))),"Revisar formato")))</f>
        <v/>
      </c>
      <c r="F357" s="23" t="str">
        <f>IF(Registro!$F357="","",IF(ISERROR(FIND("x",LOWER(Registro!$F357))),"-",IFERROR(SUMPRODUCT(--("0"&amp;LEFT(TRIM(MID(SUBSTITUTE(SUBSTITUTE(SUBSTITUTE(SUBSTITUTE(SUBSTITUTE(LOWER(Registro!$F357)," ",""),CHAR(10),"|"),";","|"),"+","|"),"|",REPT(" ",LEN(Registro!$F357))),({1,2,3,4,5,6,7,8,9,10,11,12,13,14,15,16,17,18,19,20,21,22,23,24,25,26,27,28,29,30}-1)*LEN(Registro!$F357)+1,LEN(Registro!$F357))),FIND("x",TRIM(MID(SUBSTITUTE(SUBSTITUTE(SUBSTITUTE(SUBSTITUTE(SUBSTITUTE(LOWER(Registro!$F357)," ",""),CHAR(10),"|"),";","|"),"+","|"),"|",REPT(" ",LEN(Registro!$F357))),({1,2,3,4,5,6,7,8,9,10,11,12,13,14,15,16,17,18,19,20,21,22,23,24,25,26,27,28,29,30}-1)*LEN(Registro!$F357)+1,LEN(Registro!$F357)))&amp;"x")-1))),"Revisar formato")))</f>
        <v/>
      </c>
      <c r="G357" s="24" t="str">
        <f>IF(Registro!$F357="","",IF(ISERROR(FIND("x",LOWER(Registro!$F357))),N(Registro!$G357),IFERROR(SUMPRODUCT(--("0"&amp;LEFT(TRIM(MID(SUBSTITUTE(SUBSTITUTE(SUBSTITUTE(SUBSTITUTE(SUBSTITUTE(LOWER(Registro!$F357)," ",""),CHAR(10),"|"),";","|"),"+","|"),"|",REPT(" ",LEN(Registro!$F357))),({1,2,3,4,5,6,7,8,9,10,11,12,13,14,15,16,17,18,19,20,21,22,23,24,25,26,27,28,29,30}-1)*LEN(Registro!$F357)+1,LEN(Registro!$F357))),FIND("x",TRIM(MID(SUBSTITUTE(SUBSTITUTE(SUBSTITUTE(SUBSTITUTE(SUBSTITUTE(LOWER(Registro!$F357)," ",""),CHAR(10),"|"),";","|"),"+","|"),"|",REPT(" ",LEN(Registro!$F357))),({1,2,3,4,5,6,7,8,9,10,11,12,13,14,15,16,17,18,19,20,21,22,23,24,25,26,27,28,29,30}-1)*LEN(Registro!$F357)+1,LEN(Registro!$F357)))&amp;"x")-1)),--("0"&amp;MID(TRIM(MID(SUBSTITUTE(SUBSTITUTE(SUBSTITUTE(SUBSTITUTE(SUBSTITUTE(LOWER(Registro!$F357)," ",""),CHAR(10),"|"),";","|"),"+","|"),"|",REPT(" ",LEN(Registro!$F357))),({1,2,3,4,5,6,7,8,9,10,11,12,13,14,15,16,17,18,19,20,21,22,23,24,25,26,27,28,29,30}-1)*LEN(Registro!$F357)+1,LEN(Registro!$F357))),FIND("x",TRIM(MID(SUBSTITUTE(SUBSTITUTE(SUBSTITUTE(SUBSTITUTE(SUBSTITUTE(LOWER(Registro!$F357)," ",""),CHAR(10),"|"),";","|"),"+","|"),"|",REPT(" ",LEN(Registro!$F357))),({1,2,3,4,5,6,7,8,9,10,11,12,13,14,15,16,17,18,19,20,21,22,23,24,25,26,27,28,29,30}-1)*LEN(Registro!$F357)+1,LEN(Registro!$F357)))&amp;"x")+1,20))),"Revisar formato")))</f>
        <v/>
      </c>
      <c r="H357" s="21" t="str">
        <f>IF(AND(Registro!$E357="",Registro!$F357=""),"",IF(NOT(AND(ISNUMBER(G357),ISNUMBER(Registro!$G357))),"",IF(G357&lt;Registro!$G357,"FALTA BOLETOS",IF(G357=Registro!$G357,"CONFORME","DIFERENCIA"))))</f>
        <v/>
      </c>
      <c r="I357" s="24" t="str">
        <f>IF(Registro!$H357="","",IFERROR(SUMPRODUCT(--("0"&amp;TRIM(RIGHT(SUBSTITUTE(TRIM(MID(SUBSTITUTE(SUBSTITUTE(Registro!$H357,";",CHAR(10)),CHAR(10),REPT(" ",LEN(Registro!$H357))),({1,2,3,4,5,6,7,8,9,10,11,12,13,14,15,16,17,18,19,20,21,22,23,24,25,26,27,28,29,30}-1)*LEN(Registro!$H357)+1,LEN(Registro!$H357)))," ",REPT(" ",50)),50)))),"Revisar formato"))</f>
        <v/>
      </c>
      <c r="J357" s="24" t="str">
        <f>IF(Registro!$I357="","",IFERROR(SUMPRODUCT(--("0"&amp;TRIM(RIGHT(SUBSTITUTE(TRIM(MID(SUBSTITUTE(SUBSTITUTE(Registro!$I357,";",CHAR(10)),CHAR(10),REPT(" ",LEN(Registro!$I357))),({1,2,3,4,5,6,7,8,9,10,11,12,13,14,15,16,17,18,19,20,21,22,23,24,25,26,27,28,29,30}-1)*LEN(Registro!$I357)+1,LEN(Registro!$I357)))," ",REPT(" ",50)),50)))),"Revisar formato"))</f>
        <v/>
      </c>
      <c r="K357" s="24" t="str">
        <f>IF(AND(Registro!$G357="",Registro!$H357=""),"",IF(AND(ISTEXT(I357),I357&lt;&gt;""),"Revisar formato",N(Registro!$G357)-N(I357)))</f>
        <v/>
      </c>
      <c r="L357" s="24" t="str">
        <f t="shared" si="11"/>
        <v/>
      </c>
      <c r="M357" s="36" t="str">
        <f>IF(AND(A357=Consulta!$B$3,C357=Consulta!$H$3),B357*10000+ROW(),"")</f>
        <v/>
      </c>
    </row>
    <row r="358" spans="1:13" x14ac:dyDescent="0.25">
      <c r="A358" s="21" t="str">
        <f>IF(Registro!$A358="","",Registro!$A358)</f>
        <v/>
      </c>
      <c r="B358" s="20" t="str">
        <f>IF(Registro!$B358="","",Registro!$B358)</f>
        <v/>
      </c>
      <c r="C358" s="35" t="str">
        <f t="shared" si="10"/>
        <v/>
      </c>
      <c r="D358" s="23" t="str">
        <f>IF(Registro!$E358="","",IF(ISERROR(FIND("x",LOWER(Registro!$E358))),"-",IFERROR(SUMPRODUCT(--("0"&amp;LEFT(TRIM(MID(SUBSTITUTE(SUBSTITUTE(SUBSTITUTE(SUBSTITUTE(SUBSTITUTE(LOWER(Registro!$E358),"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",LEN(Registro!$E358))),({1,2,3,4,5,6,7,8,9,10,11,12,13,14,15,16,17,18,19,20,21,22,23,24,25,26,27,28,29,30}-1)*LEN(Registro!$E358)+1,LEN(Registro!$E358))),FIND("x",TRIM(MID(SUBSTITUTE(SUBSTITUTE(SUBSTITUTE(SUBSTITUTE(SUBSTITUTE(LOWER(Registro!$E358),"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",LEN(Registro!$E358))),({1,2,3,4,5,6,7,8,9,10,11,12,13,14,15,16,17,18,19,20,21,22,23,24,25,26,27,28,29,30}-1)*LEN(Registro!$E358)+1,LEN(Registro!$E358)))&amp;"x")-1))),"Revisar formato")))</f>
        <v/>
      </c>
      <c r="E358" s="24" t="str">
        <f>IF(Registro!$E358="","",IF(ISERROR(FIND("x",LOWER(Registro!$E358))),"-",IFERROR(SUMPRODUCT(--("0"&amp;LEFT(TRIM(MID(SUBSTITUTE(SUBSTITUTE(SUBSTITUTE(SUBSTITUTE(SUBSTITUTE(LOWER(Registro!$E358),"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",LEN(Registro!$E358))),({1,2,3,4,5,6,7,8,9,10,11,12,13,14,15,16,17,18,19,20,21,22,23,24,25,26,27,28,29,30}-1)*LEN(Registro!$E358)+1,LEN(Registro!$E358))),FIND("x",TRIM(MID(SUBSTITUTE(SUBSTITUTE(SUBSTITUTE(SUBSTITUTE(SUBSTITUTE(LOWER(Registro!$E358),"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",LEN(Registro!$E358))),({1,2,3,4,5,6,7,8,9,10,11,12,13,14,15,16,17,18,19,20,21,22,23,24,25,26,27,28,29,30}-1)*LEN(Registro!$E358)+1,LEN(Registro!$E358)))&amp;"x")-1)),--("0"&amp;MID(TRIM(MID(SUBSTITUTE(SUBSTITUTE(SUBSTITUTE(SUBSTITUTE(SUBSTITUTE(LOWER(Registro!$E358),"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",LEN(Registro!$E358))),({1,2,3,4,5,6,7,8,9,10,11,12,13,14,15,16,17,18,19,20,21,22,23,24,25,26,27,28,29,30}-1)*LEN(Registro!$E358)+1,LEN(Registro!$E358))),FIND("x",TRIM(MID(SUBSTITUTE(SUBSTITUTE(SUBSTITUTE(SUBSTITUTE(SUBSTITUTE(LOWER(Registro!$E358),"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",LEN(Registro!$E358))),({1,2,3,4,5,6,7,8,9,10,11,12,13,14,15,16,17,18,19,20,21,22,23,24,25,26,27,28,29,30}-1)*LEN(Registro!$E358)+1,LEN(Registro!$E358)))&amp;"x")+1,20))),"Revisar formato")))</f>
        <v/>
      </c>
      <c r="F358" s="23" t="str">
        <f>IF(Registro!$F358="","",IF(ISERROR(FIND("x",LOWER(Registro!$F358))),"-",IFERROR(SUMPRODUCT(--("0"&amp;LEFT(TRIM(MID(SUBSTITUTE(SUBSTITUTE(SUBSTITUTE(SUBSTITUTE(SUBSTITUTE(LOWER(Registro!$F358)," ",""),CHAR(10),"|"),";","|"),"+","|"),"|",REPT(" ",LEN(Registro!$F358))),({1,2,3,4,5,6,7,8,9,10,11,12,13,14,15,16,17,18,19,20,21,22,23,24,25,26,27,28,29,30}-1)*LEN(Registro!$F358)+1,LEN(Registro!$F358))),FIND("x",TRIM(MID(SUBSTITUTE(SUBSTITUTE(SUBSTITUTE(SUBSTITUTE(SUBSTITUTE(LOWER(Registro!$F358)," ",""),CHAR(10),"|"),";","|"),"+","|"),"|",REPT(" ",LEN(Registro!$F358))),({1,2,3,4,5,6,7,8,9,10,11,12,13,14,15,16,17,18,19,20,21,22,23,24,25,26,27,28,29,30}-1)*LEN(Registro!$F358)+1,LEN(Registro!$F358)))&amp;"x")-1))),"Revisar formato")))</f>
        <v/>
      </c>
      <c r="G358" s="24" t="str">
        <f>IF(Registro!$F358="","",IF(ISERROR(FIND("x",LOWER(Registro!$F358))),N(Registro!$G358),IFERROR(SUMPRODUCT(--("0"&amp;LEFT(TRIM(MID(SUBSTITUTE(SUBSTITUTE(SUBSTITUTE(SUBSTITUTE(SUBSTITUTE(LOWER(Registro!$F358)," ",""),CHAR(10),"|"),";","|"),"+","|"),"|",REPT(" ",LEN(Registro!$F358))),({1,2,3,4,5,6,7,8,9,10,11,12,13,14,15,16,17,18,19,20,21,22,23,24,25,26,27,28,29,30}-1)*LEN(Registro!$F358)+1,LEN(Registro!$F358))),FIND("x",TRIM(MID(SUBSTITUTE(SUBSTITUTE(SUBSTITUTE(SUBSTITUTE(SUBSTITUTE(LOWER(Registro!$F358)," ",""),CHAR(10),"|"),";","|"),"+","|"),"|",REPT(" ",LEN(Registro!$F358))),({1,2,3,4,5,6,7,8,9,10,11,12,13,14,15,16,17,18,19,20,21,22,23,24,25,26,27,28,29,30}-1)*LEN(Registro!$F358)+1,LEN(Registro!$F358)))&amp;"x")-1)),--("0"&amp;MID(TRIM(MID(SUBSTITUTE(SUBSTITUTE(SUBSTITUTE(SUBSTITUTE(SUBSTITUTE(LOWER(Registro!$F358)," ",""),CHAR(10),"|"),";","|"),"+","|"),"|",REPT(" ",LEN(Registro!$F358))),({1,2,3,4,5,6,7,8,9,10,11,12,13,14,15,16,17,18,19,20,21,22,23,24,25,26,27,28,29,30}-1)*LEN(Registro!$F358)+1,LEN(Registro!$F358))),FIND("x",TRIM(MID(SUBSTITUTE(SUBSTITUTE(SUBSTITUTE(SUBSTITUTE(SUBSTITUTE(LOWER(Registro!$F358)," ",""),CHAR(10),"|"),";","|"),"+","|"),"|",REPT(" ",LEN(Registro!$F358))),({1,2,3,4,5,6,7,8,9,10,11,12,13,14,15,16,17,18,19,20,21,22,23,24,25,26,27,28,29,30}-1)*LEN(Registro!$F358)+1,LEN(Registro!$F358)))&amp;"x")+1,20))),"Revisar formato")))</f>
        <v/>
      </c>
      <c r="H358" s="21" t="str">
        <f>IF(AND(Registro!$E358="",Registro!$F358=""),"",IF(NOT(AND(ISNUMBER(G358),ISNUMBER(Registro!$G358))),"",IF(G358&lt;Registro!$G358,"FALTA BOLETOS",IF(G358=Registro!$G358,"CONFORME","DIFERENCIA"))))</f>
        <v/>
      </c>
      <c r="I358" s="24" t="str">
        <f>IF(Registro!$H358="","",IFERROR(SUMPRODUCT(--("0"&amp;TRIM(RIGHT(SUBSTITUTE(TRIM(MID(SUBSTITUTE(SUBSTITUTE(Registro!$H358,";",CHAR(10)),CHAR(10),REPT(" ",LEN(Registro!$H358))),({1,2,3,4,5,6,7,8,9,10,11,12,13,14,15,16,17,18,19,20,21,22,23,24,25,26,27,28,29,30}-1)*LEN(Registro!$H358)+1,LEN(Registro!$H358)))," ",REPT(" ",50)),50)))),"Revisar formato"))</f>
        <v/>
      </c>
      <c r="J358" s="24" t="str">
        <f>IF(Registro!$I358="","",IFERROR(SUMPRODUCT(--("0"&amp;TRIM(RIGHT(SUBSTITUTE(TRIM(MID(SUBSTITUTE(SUBSTITUTE(Registro!$I358,";",CHAR(10)),CHAR(10),REPT(" ",LEN(Registro!$I358))),({1,2,3,4,5,6,7,8,9,10,11,12,13,14,15,16,17,18,19,20,21,22,23,24,25,26,27,28,29,30}-1)*LEN(Registro!$I358)+1,LEN(Registro!$I358)))," ",REPT(" ",50)),50)))),"Revisar formato"))</f>
        <v/>
      </c>
      <c r="K358" s="24" t="str">
        <f>IF(AND(Registro!$G358="",Registro!$H358=""),"",IF(AND(ISTEXT(I358),I358&lt;&gt;""),"Revisar formato",N(Registro!$G358)-N(I358)))</f>
        <v/>
      </c>
      <c r="L358" s="24" t="str">
        <f t="shared" si="11"/>
        <v/>
      </c>
      <c r="M358" s="36" t="str">
        <f>IF(AND(A358=Consulta!$B$3,C358=Consulta!$H$3),B358*10000+ROW(),"")</f>
        <v/>
      </c>
    </row>
    <row r="359" spans="1:13" x14ac:dyDescent="0.25">
      <c r="A359" s="21" t="str">
        <f>IF(Registro!$A359="","",Registro!$A359)</f>
        <v/>
      </c>
      <c r="B359" s="20" t="str">
        <f>IF(Registro!$B359="","",Registro!$B359)</f>
        <v/>
      </c>
      <c r="C359" s="35" t="str">
        <f t="shared" si="10"/>
        <v/>
      </c>
      <c r="D359" s="23" t="str">
        <f>IF(Registro!$E359="","",IF(ISERROR(FIND("x",LOWER(Registro!$E359))),"-",IFERROR(SUMPRODUCT(--("0"&amp;LEFT(TRIM(MID(SUBSTITUTE(SUBSTITUTE(SUBSTITUTE(SUBSTITUTE(SUBSTITUTE(LOWER(Registro!$E359),"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",LEN(Registro!$E359))),({1,2,3,4,5,6,7,8,9,10,11,12,13,14,15,16,17,18,19,20,21,22,23,24,25,26,27,28,29,30}-1)*LEN(Registro!$E359)+1,LEN(Registro!$E359))),FIND("x",TRIM(MID(SUBSTITUTE(SUBSTITUTE(SUBSTITUTE(SUBSTITUTE(SUBSTITUTE(LOWER(Registro!$E359),"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",LEN(Registro!$E359))),({1,2,3,4,5,6,7,8,9,10,11,12,13,14,15,16,17,18,19,20,21,22,23,24,25,26,27,28,29,30}-1)*LEN(Registro!$E359)+1,LEN(Registro!$E359)))&amp;"x")-1))),"Revisar formato")))</f>
        <v/>
      </c>
      <c r="E359" s="24" t="str">
        <f>IF(Registro!$E359="","",IF(ISERROR(FIND("x",LOWER(Registro!$E359))),"-",IFERROR(SUMPRODUCT(--("0"&amp;LEFT(TRIM(MID(SUBSTITUTE(SUBSTITUTE(SUBSTITUTE(SUBSTITUTE(SUBSTITUTE(LOWER(Registro!$E359),"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",LEN(Registro!$E359))),({1,2,3,4,5,6,7,8,9,10,11,12,13,14,15,16,17,18,19,20,21,22,23,24,25,26,27,28,29,30}-1)*LEN(Registro!$E359)+1,LEN(Registro!$E359))),FIND("x",TRIM(MID(SUBSTITUTE(SUBSTITUTE(SUBSTITUTE(SUBSTITUTE(SUBSTITUTE(LOWER(Registro!$E359),"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",LEN(Registro!$E359))),({1,2,3,4,5,6,7,8,9,10,11,12,13,14,15,16,17,18,19,20,21,22,23,24,25,26,27,28,29,30}-1)*LEN(Registro!$E359)+1,LEN(Registro!$E359)))&amp;"x")-1)),--("0"&amp;MID(TRIM(MID(SUBSTITUTE(SUBSTITUTE(SUBSTITUTE(SUBSTITUTE(SUBSTITUTE(LOWER(Registro!$E359),"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",LEN(Registro!$E359))),({1,2,3,4,5,6,7,8,9,10,11,12,13,14,15,16,17,18,19,20,21,22,23,24,25,26,27,28,29,30}-1)*LEN(Registro!$E359)+1,LEN(Registro!$E359))),FIND("x",TRIM(MID(SUBSTITUTE(SUBSTITUTE(SUBSTITUTE(SUBSTITUTE(SUBSTITUTE(LOWER(Registro!$E359),"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",LEN(Registro!$E359))),({1,2,3,4,5,6,7,8,9,10,11,12,13,14,15,16,17,18,19,20,21,22,23,24,25,26,27,28,29,30}-1)*LEN(Registro!$E359)+1,LEN(Registro!$E359)))&amp;"x")+1,20))),"Revisar formato")))</f>
        <v/>
      </c>
      <c r="F359" s="23" t="str">
        <f>IF(Registro!$F359="","",IF(ISERROR(FIND("x",LOWER(Registro!$F359))),"-",IFERROR(SUMPRODUCT(--("0"&amp;LEFT(TRIM(MID(SUBSTITUTE(SUBSTITUTE(SUBSTITUTE(SUBSTITUTE(SUBSTITUTE(LOWER(Registro!$F359)," ",""),CHAR(10),"|"),";","|"),"+","|"),"|",REPT(" ",LEN(Registro!$F359))),({1,2,3,4,5,6,7,8,9,10,11,12,13,14,15,16,17,18,19,20,21,22,23,24,25,26,27,28,29,30}-1)*LEN(Registro!$F359)+1,LEN(Registro!$F359))),FIND("x",TRIM(MID(SUBSTITUTE(SUBSTITUTE(SUBSTITUTE(SUBSTITUTE(SUBSTITUTE(LOWER(Registro!$F359)," ",""),CHAR(10),"|"),";","|"),"+","|"),"|",REPT(" ",LEN(Registro!$F359))),({1,2,3,4,5,6,7,8,9,10,11,12,13,14,15,16,17,18,19,20,21,22,23,24,25,26,27,28,29,30}-1)*LEN(Registro!$F359)+1,LEN(Registro!$F359)))&amp;"x")-1))),"Revisar formato")))</f>
        <v/>
      </c>
      <c r="G359" s="24" t="str">
        <f>IF(Registro!$F359="","",IF(ISERROR(FIND("x",LOWER(Registro!$F359))),N(Registro!$G359),IFERROR(SUMPRODUCT(--("0"&amp;LEFT(TRIM(MID(SUBSTITUTE(SUBSTITUTE(SUBSTITUTE(SUBSTITUTE(SUBSTITUTE(LOWER(Registro!$F359)," ",""),CHAR(10),"|"),";","|"),"+","|"),"|",REPT(" ",LEN(Registro!$F359))),({1,2,3,4,5,6,7,8,9,10,11,12,13,14,15,16,17,18,19,20,21,22,23,24,25,26,27,28,29,30}-1)*LEN(Registro!$F359)+1,LEN(Registro!$F359))),FIND("x",TRIM(MID(SUBSTITUTE(SUBSTITUTE(SUBSTITUTE(SUBSTITUTE(SUBSTITUTE(LOWER(Registro!$F359)," ",""),CHAR(10),"|"),";","|"),"+","|"),"|",REPT(" ",LEN(Registro!$F359))),({1,2,3,4,5,6,7,8,9,10,11,12,13,14,15,16,17,18,19,20,21,22,23,24,25,26,27,28,29,30}-1)*LEN(Registro!$F359)+1,LEN(Registro!$F359)))&amp;"x")-1)),--("0"&amp;MID(TRIM(MID(SUBSTITUTE(SUBSTITUTE(SUBSTITUTE(SUBSTITUTE(SUBSTITUTE(LOWER(Registro!$F359)," ",""),CHAR(10),"|"),";","|"),"+","|"),"|",REPT(" ",LEN(Registro!$F359))),({1,2,3,4,5,6,7,8,9,10,11,12,13,14,15,16,17,18,19,20,21,22,23,24,25,26,27,28,29,30}-1)*LEN(Registro!$F359)+1,LEN(Registro!$F359))),FIND("x",TRIM(MID(SUBSTITUTE(SUBSTITUTE(SUBSTITUTE(SUBSTITUTE(SUBSTITUTE(LOWER(Registro!$F359)," ",""),CHAR(10),"|"),";","|"),"+","|"),"|",REPT(" ",LEN(Registro!$F359))),({1,2,3,4,5,6,7,8,9,10,11,12,13,14,15,16,17,18,19,20,21,22,23,24,25,26,27,28,29,30}-1)*LEN(Registro!$F359)+1,LEN(Registro!$F359)))&amp;"x")+1,20))),"Revisar formato")))</f>
        <v/>
      </c>
      <c r="H359" s="21" t="str">
        <f>IF(AND(Registro!$E359="",Registro!$F359=""),"",IF(NOT(AND(ISNUMBER(G359),ISNUMBER(Registro!$G359))),"",IF(G359&lt;Registro!$G359,"FALTA BOLETOS",IF(G359=Registro!$G359,"CONFORME","DIFERENCIA"))))</f>
        <v/>
      </c>
      <c r="I359" s="24" t="str">
        <f>IF(Registro!$H359="","",IFERROR(SUMPRODUCT(--("0"&amp;TRIM(RIGHT(SUBSTITUTE(TRIM(MID(SUBSTITUTE(SUBSTITUTE(Registro!$H359,";",CHAR(10)),CHAR(10),REPT(" ",LEN(Registro!$H359))),({1,2,3,4,5,6,7,8,9,10,11,12,13,14,15,16,17,18,19,20,21,22,23,24,25,26,27,28,29,30}-1)*LEN(Registro!$H359)+1,LEN(Registro!$H359)))," ",REPT(" ",50)),50)))),"Revisar formato"))</f>
        <v/>
      </c>
      <c r="J359" s="24" t="str">
        <f>IF(Registro!$I359="","",IFERROR(SUMPRODUCT(--("0"&amp;TRIM(RIGHT(SUBSTITUTE(TRIM(MID(SUBSTITUTE(SUBSTITUTE(Registro!$I359,";",CHAR(10)),CHAR(10),REPT(" ",LEN(Registro!$I359))),({1,2,3,4,5,6,7,8,9,10,11,12,13,14,15,16,17,18,19,20,21,22,23,24,25,26,27,28,29,30}-1)*LEN(Registro!$I359)+1,LEN(Registro!$I359)))," ",REPT(" ",50)),50)))),"Revisar formato"))</f>
        <v/>
      </c>
      <c r="K359" s="24" t="str">
        <f>IF(AND(Registro!$G359="",Registro!$H359=""),"",IF(AND(ISTEXT(I359),I359&lt;&gt;""),"Revisar formato",N(Registro!$G359)-N(I359)))</f>
        <v/>
      </c>
      <c r="L359" s="24" t="str">
        <f t="shared" si="11"/>
        <v/>
      </c>
      <c r="M359" s="36" t="str">
        <f>IF(AND(A359=Consulta!$B$3,C359=Consulta!$H$3),B359*10000+ROW(),"")</f>
        <v/>
      </c>
    </row>
    <row r="360" spans="1:13" x14ac:dyDescent="0.25">
      <c r="A360" s="21" t="str">
        <f>IF(Registro!$A360="","",Registro!$A360)</f>
        <v/>
      </c>
      <c r="B360" s="20" t="str">
        <f>IF(Registro!$B360="","",Registro!$B360)</f>
        <v/>
      </c>
      <c r="C360" s="35" t="str">
        <f t="shared" si="10"/>
        <v/>
      </c>
      <c r="D360" s="23" t="str">
        <f>IF(Registro!$E360="","",IF(ISERROR(FIND("x",LOWER(Registro!$E360))),"-",IFERROR(SUMPRODUCT(--("0"&amp;LEFT(TRIM(MID(SUBSTITUTE(SUBSTITUTE(SUBSTITUTE(SUBSTITUTE(SUBSTITUTE(LOWER(Registro!$E360),"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",LEN(Registro!$E360))),({1,2,3,4,5,6,7,8,9,10,11,12,13,14,15,16,17,18,19,20,21,22,23,24,25,26,27,28,29,30}-1)*LEN(Registro!$E360)+1,LEN(Registro!$E360))),FIND("x",TRIM(MID(SUBSTITUTE(SUBSTITUTE(SUBSTITUTE(SUBSTITUTE(SUBSTITUTE(LOWER(Registro!$E360),"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",LEN(Registro!$E360))),({1,2,3,4,5,6,7,8,9,10,11,12,13,14,15,16,17,18,19,20,21,22,23,24,25,26,27,28,29,30}-1)*LEN(Registro!$E360)+1,LEN(Registro!$E360)))&amp;"x")-1))),"Revisar formato")))</f>
        <v/>
      </c>
      <c r="E360" s="24" t="str">
        <f>IF(Registro!$E360="","",IF(ISERROR(FIND("x",LOWER(Registro!$E360))),"-",IFERROR(SUMPRODUCT(--("0"&amp;LEFT(TRIM(MID(SUBSTITUTE(SUBSTITUTE(SUBSTITUTE(SUBSTITUTE(SUBSTITUTE(LOWER(Registro!$E360),"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",LEN(Registro!$E360))),({1,2,3,4,5,6,7,8,9,10,11,12,13,14,15,16,17,18,19,20,21,22,23,24,25,26,27,28,29,30}-1)*LEN(Registro!$E360)+1,LEN(Registro!$E360))),FIND("x",TRIM(MID(SUBSTITUTE(SUBSTITUTE(SUBSTITUTE(SUBSTITUTE(SUBSTITUTE(LOWER(Registro!$E360),"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",LEN(Registro!$E360))),({1,2,3,4,5,6,7,8,9,10,11,12,13,14,15,16,17,18,19,20,21,22,23,24,25,26,27,28,29,30}-1)*LEN(Registro!$E360)+1,LEN(Registro!$E360)))&amp;"x")-1)),--("0"&amp;MID(TRIM(MID(SUBSTITUTE(SUBSTITUTE(SUBSTITUTE(SUBSTITUTE(SUBSTITUTE(LOWER(Registro!$E360),"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",LEN(Registro!$E360))),({1,2,3,4,5,6,7,8,9,10,11,12,13,14,15,16,17,18,19,20,21,22,23,24,25,26,27,28,29,30}-1)*LEN(Registro!$E360)+1,LEN(Registro!$E360))),FIND("x",TRIM(MID(SUBSTITUTE(SUBSTITUTE(SUBSTITUTE(SUBSTITUTE(SUBSTITUTE(LOWER(Registro!$E360),"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",LEN(Registro!$E360))),({1,2,3,4,5,6,7,8,9,10,11,12,13,14,15,16,17,18,19,20,21,22,23,24,25,26,27,28,29,30}-1)*LEN(Registro!$E360)+1,LEN(Registro!$E360)))&amp;"x")+1,20))),"Revisar formato")))</f>
        <v/>
      </c>
      <c r="F360" s="23" t="str">
        <f>IF(Registro!$F360="","",IF(ISERROR(FIND("x",LOWER(Registro!$F360))),"-",IFERROR(SUMPRODUCT(--("0"&amp;LEFT(TRIM(MID(SUBSTITUTE(SUBSTITUTE(SUBSTITUTE(SUBSTITUTE(SUBSTITUTE(LOWER(Registro!$F360)," ",""),CHAR(10),"|"),";","|"),"+","|"),"|",REPT(" ",LEN(Registro!$F360))),({1,2,3,4,5,6,7,8,9,10,11,12,13,14,15,16,17,18,19,20,21,22,23,24,25,26,27,28,29,30}-1)*LEN(Registro!$F360)+1,LEN(Registro!$F360))),FIND("x",TRIM(MID(SUBSTITUTE(SUBSTITUTE(SUBSTITUTE(SUBSTITUTE(SUBSTITUTE(LOWER(Registro!$F360)," ",""),CHAR(10),"|"),";","|"),"+","|"),"|",REPT(" ",LEN(Registro!$F360))),({1,2,3,4,5,6,7,8,9,10,11,12,13,14,15,16,17,18,19,20,21,22,23,24,25,26,27,28,29,30}-1)*LEN(Registro!$F360)+1,LEN(Registro!$F360)))&amp;"x")-1))),"Revisar formato")))</f>
        <v/>
      </c>
      <c r="G360" s="24" t="str">
        <f>IF(Registro!$F360="","",IF(ISERROR(FIND("x",LOWER(Registro!$F360))),N(Registro!$G360),IFERROR(SUMPRODUCT(--("0"&amp;LEFT(TRIM(MID(SUBSTITUTE(SUBSTITUTE(SUBSTITUTE(SUBSTITUTE(SUBSTITUTE(LOWER(Registro!$F360)," ",""),CHAR(10),"|"),";","|"),"+","|"),"|",REPT(" ",LEN(Registro!$F360))),({1,2,3,4,5,6,7,8,9,10,11,12,13,14,15,16,17,18,19,20,21,22,23,24,25,26,27,28,29,30}-1)*LEN(Registro!$F360)+1,LEN(Registro!$F360))),FIND("x",TRIM(MID(SUBSTITUTE(SUBSTITUTE(SUBSTITUTE(SUBSTITUTE(SUBSTITUTE(LOWER(Registro!$F360)," ",""),CHAR(10),"|"),";","|"),"+","|"),"|",REPT(" ",LEN(Registro!$F360))),({1,2,3,4,5,6,7,8,9,10,11,12,13,14,15,16,17,18,19,20,21,22,23,24,25,26,27,28,29,30}-1)*LEN(Registro!$F360)+1,LEN(Registro!$F360)))&amp;"x")-1)),--("0"&amp;MID(TRIM(MID(SUBSTITUTE(SUBSTITUTE(SUBSTITUTE(SUBSTITUTE(SUBSTITUTE(LOWER(Registro!$F360)," ",""),CHAR(10),"|"),";","|"),"+","|"),"|",REPT(" ",LEN(Registro!$F360))),({1,2,3,4,5,6,7,8,9,10,11,12,13,14,15,16,17,18,19,20,21,22,23,24,25,26,27,28,29,30}-1)*LEN(Registro!$F360)+1,LEN(Registro!$F360))),FIND("x",TRIM(MID(SUBSTITUTE(SUBSTITUTE(SUBSTITUTE(SUBSTITUTE(SUBSTITUTE(LOWER(Registro!$F360)," ",""),CHAR(10),"|"),";","|"),"+","|"),"|",REPT(" ",LEN(Registro!$F360))),({1,2,3,4,5,6,7,8,9,10,11,12,13,14,15,16,17,18,19,20,21,22,23,24,25,26,27,28,29,30}-1)*LEN(Registro!$F360)+1,LEN(Registro!$F360)))&amp;"x")+1,20))),"Revisar formato")))</f>
        <v/>
      </c>
      <c r="H360" s="21" t="str">
        <f>IF(AND(Registro!$E360="",Registro!$F360=""),"",IF(NOT(AND(ISNUMBER(G360),ISNUMBER(Registro!$G360))),"",IF(G360&lt;Registro!$G360,"FALTA BOLETOS",IF(G360=Registro!$G360,"CONFORME","DIFERENCIA"))))</f>
        <v/>
      </c>
      <c r="I360" s="24" t="str">
        <f>IF(Registro!$H360="","",IFERROR(SUMPRODUCT(--("0"&amp;TRIM(RIGHT(SUBSTITUTE(TRIM(MID(SUBSTITUTE(SUBSTITUTE(Registro!$H360,";",CHAR(10)),CHAR(10),REPT(" ",LEN(Registro!$H360))),({1,2,3,4,5,6,7,8,9,10,11,12,13,14,15,16,17,18,19,20,21,22,23,24,25,26,27,28,29,30}-1)*LEN(Registro!$H360)+1,LEN(Registro!$H360)))," ",REPT(" ",50)),50)))),"Revisar formato"))</f>
        <v/>
      </c>
      <c r="J360" s="24" t="str">
        <f>IF(Registro!$I360="","",IFERROR(SUMPRODUCT(--("0"&amp;TRIM(RIGHT(SUBSTITUTE(TRIM(MID(SUBSTITUTE(SUBSTITUTE(Registro!$I360,";",CHAR(10)),CHAR(10),REPT(" ",LEN(Registro!$I360))),({1,2,3,4,5,6,7,8,9,10,11,12,13,14,15,16,17,18,19,20,21,22,23,24,25,26,27,28,29,30}-1)*LEN(Registro!$I360)+1,LEN(Registro!$I360)))," ",REPT(" ",50)),50)))),"Revisar formato"))</f>
        <v/>
      </c>
      <c r="K360" s="24" t="str">
        <f>IF(AND(Registro!$G360="",Registro!$H360=""),"",IF(AND(ISTEXT(I360),I360&lt;&gt;""),"Revisar formato",N(Registro!$G360)-N(I360)))</f>
        <v/>
      </c>
      <c r="L360" s="24" t="str">
        <f t="shared" si="11"/>
        <v/>
      </c>
      <c r="M360" s="36" t="str">
        <f>IF(AND(A360=Consulta!$B$3,C360=Consulta!$H$3),B360*10000+ROW(),"")</f>
        <v/>
      </c>
    </row>
    <row r="361" spans="1:13" x14ac:dyDescent="0.25">
      <c r="A361" s="21" t="str">
        <f>IF(Registro!$A361="","",Registro!$A361)</f>
        <v/>
      </c>
      <c r="B361" s="20" t="str">
        <f>IF(Registro!$B361="","",Registro!$B361)</f>
        <v/>
      </c>
      <c r="C361" s="35" t="str">
        <f t="shared" si="10"/>
        <v/>
      </c>
      <c r="D361" s="23" t="str">
        <f>IF(Registro!$E361="","",IF(ISERROR(FIND("x",LOWER(Registro!$E361))),"-",IFERROR(SUMPRODUCT(--("0"&amp;LEFT(TRIM(MID(SUBSTITUTE(SUBSTITUTE(SUBSTITUTE(SUBSTITUTE(SUBSTITUTE(LOWER(Registro!$E361),"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",LEN(Registro!$E361))),({1,2,3,4,5,6,7,8,9,10,11,12,13,14,15,16,17,18,19,20,21,22,23,24,25,26,27,28,29,30}-1)*LEN(Registro!$E361)+1,LEN(Registro!$E361))),FIND("x",TRIM(MID(SUBSTITUTE(SUBSTITUTE(SUBSTITUTE(SUBSTITUTE(SUBSTITUTE(LOWER(Registro!$E361),"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",LEN(Registro!$E361))),({1,2,3,4,5,6,7,8,9,10,11,12,13,14,15,16,17,18,19,20,21,22,23,24,25,26,27,28,29,30}-1)*LEN(Registro!$E361)+1,LEN(Registro!$E361)))&amp;"x")-1))),"Revisar formato")))</f>
        <v/>
      </c>
      <c r="E361" s="24" t="str">
        <f>IF(Registro!$E361="","",IF(ISERROR(FIND("x",LOWER(Registro!$E361))),"-",IFERROR(SUMPRODUCT(--("0"&amp;LEFT(TRIM(MID(SUBSTITUTE(SUBSTITUTE(SUBSTITUTE(SUBSTITUTE(SUBSTITUTE(LOWER(Registro!$E361),"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",LEN(Registro!$E361))),({1,2,3,4,5,6,7,8,9,10,11,12,13,14,15,16,17,18,19,20,21,22,23,24,25,26,27,28,29,30}-1)*LEN(Registro!$E361)+1,LEN(Registro!$E361))),FIND("x",TRIM(MID(SUBSTITUTE(SUBSTITUTE(SUBSTITUTE(SUBSTITUTE(SUBSTITUTE(LOWER(Registro!$E361),"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",LEN(Registro!$E361))),({1,2,3,4,5,6,7,8,9,10,11,12,13,14,15,16,17,18,19,20,21,22,23,24,25,26,27,28,29,30}-1)*LEN(Registro!$E361)+1,LEN(Registro!$E361)))&amp;"x")-1)),--("0"&amp;MID(TRIM(MID(SUBSTITUTE(SUBSTITUTE(SUBSTITUTE(SUBSTITUTE(SUBSTITUTE(LOWER(Registro!$E361),"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",LEN(Registro!$E361))),({1,2,3,4,5,6,7,8,9,10,11,12,13,14,15,16,17,18,19,20,21,22,23,24,25,26,27,28,29,30}-1)*LEN(Registro!$E361)+1,LEN(Registro!$E361))),FIND("x",TRIM(MID(SUBSTITUTE(SUBSTITUTE(SUBSTITUTE(SUBSTITUTE(SUBSTITUTE(LOWER(Registro!$E361),"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",LEN(Registro!$E361))),({1,2,3,4,5,6,7,8,9,10,11,12,13,14,15,16,17,18,19,20,21,22,23,24,25,26,27,28,29,30}-1)*LEN(Registro!$E361)+1,LEN(Registro!$E361)))&amp;"x")+1,20))),"Revisar formato")))</f>
        <v/>
      </c>
      <c r="F361" s="23" t="str">
        <f>IF(Registro!$F361="","",IF(ISERROR(FIND("x",LOWER(Registro!$F361))),"-",IFERROR(SUMPRODUCT(--("0"&amp;LEFT(TRIM(MID(SUBSTITUTE(SUBSTITUTE(SUBSTITUTE(SUBSTITUTE(SUBSTITUTE(LOWER(Registro!$F361)," ",""),CHAR(10),"|"),";","|"),"+","|"),"|",REPT(" ",LEN(Registro!$F361))),({1,2,3,4,5,6,7,8,9,10,11,12,13,14,15,16,17,18,19,20,21,22,23,24,25,26,27,28,29,30}-1)*LEN(Registro!$F361)+1,LEN(Registro!$F361))),FIND("x",TRIM(MID(SUBSTITUTE(SUBSTITUTE(SUBSTITUTE(SUBSTITUTE(SUBSTITUTE(LOWER(Registro!$F361)," ",""),CHAR(10),"|"),";","|"),"+","|"),"|",REPT(" ",LEN(Registro!$F361))),({1,2,3,4,5,6,7,8,9,10,11,12,13,14,15,16,17,18,19,20,21,22,23,24,25,26,27,28,29,30}-1)*LEN(Registro!$F361)+1,LEN(Registro!$F361)))&amp;"x")-1))),"Revisar formato")))</f>
        <v/>
      </c>
      <c r="G361" s="24" t="str">
        <f>IF(Registro!$F361="","",IF(ISERROR(FIND("x",LOWER(Registro!$F361))),N(Registro!$G361),IFERROR(SUMPRODUCT(--("0"&amp;LEFT(TRIM(MID(SUBSTITUTE(SUBSTITUTE(SUBSTITUTE(SUBSTITUTE(SUBSTITUTE(LOWER(Registro!$F361)," ",""),CHAR(10),"|"),";","|"),"+","|"),"|",REPT(" ",LEN(Registro!$F361))),({1,2,3,4,5,6,7,8,9,10,11,12,13,14,15,16,17,18,19,20,21,22,23,24,25,26,27,28,29,30}-1)*LEN(Registro!$F361)+1,LEN(Registro!$F361))),FIND("x",TRIM(MID(SUBSTITUTE(SUBSTITUTE(SUBSTITUTE(SUBSTITUTE(SUBSTITUTE(LOWER(Registro!$F361)," ",""),CHAR(10),"|"),";","|"),"+","|"),"|",REPT(" ",LEN(Registro!$F361))),({1,2,3,4,5,6,7,8,9,10,11,12,13,14,15,16,17,18,19,20,21,22,23,24,25,26,27,28,29,30}-1)*LEN(Registro!$F361)+1,LEN(Registro!$F361)))&amp;"x")-1)),--("0"&amp;MID(TRIM(MID(SUBSTITUTE(SUBSTITUTE(SUBSTITUTE(SUBSTITUTE(SUBSTITUTE(LOWER(Registro!$F361)," ",""),CHAR(10),"|"),";","|"),"+","|"),"|",REPT(" ",LEN(Registro!$F361))),({1,2,3,4,5,6,7,8,9,10,11,12,13,14,15,16,17,18,19,20,21,22,23,24,25,26,27,28,29,30}-1)*LEN(Registro!$F361)+1,LEN(Registro!$F361))),FIND("x",TRIM(MID(SUBSTITUTE(SUBSTITUTE(SUBSTITUTE(SUBSTITUTE(SUBSTITUTE(LOWER(Registro!$F361)," ",""),CHAR(10),"|"),";","|"),"+","|"),"|",REPT(" ",LEN(Registro!$F361))),({1,2,3,4,5,6,7,8,9,10,11,12,13,14,15,16,17,18,19,20,21,22,23,24,25,26,27,28,29,30}-1)*LEN(Registro!$F361)+1,LEN(Registro!$F361)))&amp;"x")+1,20))),"Revisar formato")))</f>
        <v/>
      </c>
      <c r="H361" s="21" t="str">
        <f>IF(AND(Registro!$E361="",Registro!$F361=""),"",IF(NOT(AND(ISNUMBER(G361),ISNUMBER(Registro!$G361))),"",IF(G361&lt;Registro!$G361,"FALTA BOLETOS",IF(G361=Registro!$G361,"CONFORME","DIFERENCIA"))))</f>
        <v/>
      </c>
      <c r="I361" s="24" t="str">
        <f>IF(Registro!$H361="","",IFERROR(SUMPRODUCT(--("0"&amp;TRIM(RIGHT(SUBSTITUTE(TRIM(MID(SUBSTITUTE(SUBSTITUTE(Registro!$H361,";",CHAR(10)),CHAR(10),REPT(" ",LEN(Registro!$H361))),({1,2,3,4,5,6,7,8,9,10,11,12,13,14,15,16,17,18,19,20,21,22,23,24,25,26,27,28,29,30}-1)*LEN(Registro!$H361)+1,LEN(Registro!$H361)))," ",REPT(" ",50)),50)))),"Revisar formato"))</f>
        <v/>
      </c>
      <c r="J361" s="24" t="str">
        <f>IF(Registro!$I361="","",IFERROR(SUMPRODUCT(--("0"&amp;TRIM(RIGHT(SUBSTITUTE(TRIM(MID(SUBSTITUTE(SUBSTITUTE(Registro!$I361,";",CHAR(10)),CHAR(10),REPT(" ",LEN(Registro!$I361))),({1,2,3,4,5,6,7,8,9,10,11,12,13,14,15,16,17,18,19,20,21,22,23,24,25,26,27,28,29,30}-1)*LEN(Registro!$I361)+1,LEN(Registro!$I361)))," ",REPT(" ",50)),50)))),"Revisar formato"))</f>
        <v/>
      </c>
      <c r="K361" s="24" t="str">
        <f>IF(AND(Registro!$G361="",Registro!$H361=""),"",IF(AND(ISTEXT(I361),I361&lt;&gt;""),"Revisar formato",N(Registro!$G361)-N(I361)))</f>
        <v/>
      </c>
      <c r="L361" s="24" t="str">
        <f t="shared" si="11"/>
        <v/>
      </c>
      <c r="M361" s="36" t="str">
        <f>IF(AND(A361=Consulta!$B$3,C361=Consulta!$H$3),B361*10000+ROW(),"")</f>
        <v/>
      </c>
    </row>
    <row r="362" spans="1:13" x14ac:dyDescent="0.25">
      <c r="A362" s="21" t="str">
        <f>IF(Registro!$A362="","",Registro!$A362)</f>
        <v/>
      </c>
      <c r="B362" s="20" t="str">
        <f>IF(Registro!$B362="","",Registro!$B362)</f>
        <v/>
      </c>
      <c r="C362" s="35" t="str">
        <f t="shared" si="10"/>
        <v/>
      </c>
      <c r="D362" s="23" t="str">
        <f>IF(Registro!$E362="","",IF(ISERROR(FIND("x",LOWER(Registro!$E362))),"-",IFERROR(SUMPRODUCT(--("0"&amp;LEFT(TRIM(MID(SUBSTITUTE(SUBSTITUTE(SUBSTITUTE(SUBSTITUTE(SUBSTITUTE(LOWER(Registro!$E362),"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",LEN(Registro!$E362))),({1,2,3,4,5,6,7,8,9,10,11,12,13,14,15,16,17,18,19,20,21,22,23,24,25,26,27,28,29,30}-1)*LEN(Registro!$E362)+1,LEN(Registro!$E362))),FIND("x",TRIM(MID(SUBSTITUTE(SUBSTITUTE(SUBSTITUTE(SUBSTITUTE(SUBSTITUTE(LOWER(Registro!$E362),"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",LEN(Registro!$E362))),({1,2,3,4,5,6,7,8,9,10,11,12,13,14,15,16,17,18,19,20,21,22,23,24,25,26,27,28,29,30}-1)*LEN(Registro!$E362)+1,LEN(Registro!$E362)))&amp;"x")-1))),"Revisar formato")))</f>
        <v/>
      </c>
      <c r="E362" s="24" t="str">
        <f>IF(Registro!$E362="","",IF(ISERROR(FIND("x",LOWER(Registro!$E362))),"-",IFERROR(SUMPRODUCT(--("0"&amp;LEFT(TRIM(MID(SUBSTITUTE(SUBSTITUTE(SUBSTITUTE(SUBSTITUTE(SUBSTITUTE(LOWER(Registro!$E362),"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",LEN(Registro!$E362))),({1,2,3,4,5,6,7,8,9,10,11,12,13,14,15,16,17,18,19,20,21,22,23,24,25,26,27,28,29,30}-1)*LEN(Registro!$E362)+1,LEN(Registro!$E362))),FIND("x",TRIM(MID(SUBSTITUTE(SUBSTITUTE(SUBSTITUTE(SUBSTITUTE(SUBSTITUTE(LOWER(Registro!$E362),"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",LEN(Registro!$E362))),({1,2,3,4,5,6,7,8,9,10,11,12,13,14,15,16,17,18,19,20,21,22,23,24,25,26,27,28,29,30}-1)*LEN(Registro!$E362)+1,LEN(Registro!$E362)))&amp;"x")-1)),--("0"&amp;MID(TRIM(MID(SUBSTITUTE(SUBSTITUTE(SUBSTITUTE(SUBSTITUTE(SUBSTITUTE(LOWER(Registro!$E362),"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",LEN(Registro!$E362))),({1,2,3,4,5,6,7,8,9,10,11,12,13,14,15,16,17,18,19,20,21,22,23,24,25,26,27,28,29,30}-1)*LEN(Registro!$E362)+1,LEN(Registro!$E362))),FIND("x",TRIM(MID(SUBSTITUTE(SUBSTITUTE(SUBSTITUTE(SUBSTITUTE(SUBSTITUTE(LOWER(Registro!$E362),"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",LEN(Registro!$E362))),({1,2,3,4,5,6,7,8,9,10,11,12,13,14,15,16,17,18,19,20,21,22,23,24,25,26,27,28,29,30}-1)*LEN(Registro!$E362)+1,LEN(Registro!$E362)))&amp;"x")+1,20))),"Revisar formato")))</f>
        <v/>
      </c>
      <c r="F362" s="23" t="str">
        <f>IF(Registro!$F362="","",IF(ISERROR(FIND("x",LOWER(Registro!$F362))),"-",IFERROR(SUMPRODUCT(--("0"&amp;LEFT(TRIM(MID(SUBSTITUTE(SUBSTITUTE(SUBSTITUTE(SUBSTITUTE(SUBSTITUTE(LOWER(Registro!$F362)," ",""),CHAR(10),"|"),";","|"),"+","|"),"|",REPT(" ",LEN(Registro!$F362))),({1,2,3,4,5,6,7,8,9,10,11,12,13,14,15,16,17,18,19,20,21,22,23,24,25,26,27,28,29,30}-1)*LEN(Registro!$F362)+1,LEN(Registro!$F362))),FIND("x",TRIM(MID(SUBSTITUTE(SUBSTITUTE(SUBSTITUTE(SUBSTITUTE(SUBSTITUTE(LOWER(Registro!$F362)," ",""),CHAR(10),"|"),";","|"),"+","|"),"|",REPT(" ",LEN(Registro!$F362))),({1,2,3,4,5,6,7,8,9,10,11,12,13,14,15,16,17,18,19,20,21,22,23,24,25,26,27,28,29,30}-1)*LEN(Registro!$F362)+1,LEN(Registro!$F362)))&amp;"x")-1))),"Revisar formato")))</f>
        <v/>
      </c>
      <c r="G362" s="24" t="str">
        <f>IF(Registro!$F362="","",IF(ISERROR(FIND("x",LOWER(Registro!$F362))),N(Registro!$G362),IFERROR(SUMPRODUCT(--("0"&amp;LEFT(TRIM(MID(SUBSTITUTE(SUBSTITUTE(SUBSTITUTE(SUBSTITUTE(SUBSTITUTE(LOWER(Registro!$F362)," ",""),CHAR(10),"|"),";","|"),"+","|"),"|",REPT(" ",LEN(Registro!$F362))),({1,2,3,4,5,6,7,8,9,10,11,12,13,14,15,16,17,18,19,20,21,22,23,24,25,26,27,28,29,30}-1)*LEN(Registro!$F362)+1,LEN(Registro!$F362))),FIND("x",TRIM(MID(SUBSTITUTE(SUBSTITUTE(SUBSTITUTE(SUBSTITUTE(SUBSTITUTE(LOWER(Registro!$F362)," ",""),CHAR(10),"|"),";","|"),"+","|"),"|",REPT(" ",LEN(Registro!$F362))),({1,2,3,4,5,6,7,8,9,10,11,12,13,14,15,16,17,18,19,20,21,22,23,24,25,26,27,28,29,30}-1)*LEN(Registro!$F362)+1,LEN(Registro!$F362)))&amp;"x")-1)),--("0"&amp;MID(TRIM(MID(SUBSTITUTE(SUBSTITUTE(SUBSTITUTE(SUBSTITUTE(SUBSTITUTE(LOWER(Registro!$F362)," ",""),CHAR(10),"|"),";","|"),"+","|"),"|",REPT(" ",LEN(Registro!$F362))),({1,2,3,4,5,6,7,8,9,10,11,12,13,14,15,16,17,18,19,20,21,22,23,24,25,26,27,28,29,30}-1)*LEN(Registro!$F362)+1,LEN(Registro!$F362))),FIND("x",TRIM(MID(SUBSTITUTE(SUBSTITUTE(SUBSTITUTE(SUBSTITUTE(SUBSTITUTE(LOWER(Registro!$F362)," ",""),CHAR(10),"|"),";","|"),"+","|"),"|",REPT(" ",LEN(Registro!$F362))),({1,2,3,4,5,6,7,8,9,10,11,12,13,14,15,16,17,18,19,20,21,22,23,24,25,26,27,28,29,30}-1)*LEN(Registro!$F362)+1,LEN(Registro!$F362)))&amp;"x")+1,20))),"Revisar formato")))</f>
        <v/>
      </c>
      <c r="H362" s="21" t="str">
        <f>IF(AND(Registro!$E362="",Registro!$F362=""),"",IF(NOT(AND(ISNUMBER(G362),ISNUMBER(Registro!$G362))),"",IF(G362&lt;Registro!$G362,"FALTA BOLETOS",IF(G362=Registro!$G362,"CONFORME","DIFERENCIA"))))</f>
        <v/>
      </c>
      <c r="I362" s="24" t="str">
        <f>IF(Registro!$H362="","",IFERROR(SUMPRODUCT(--("0"&amp;TRIM(RIGHT(SUBSTITUTE(TRIM(MID(SUBSTITUTE(SUBSTITUTE(Registro!$H362,";",CHAR(10)),CHAR(10),REPT(" ",LEN(Registro!$H362))),({1,2,3,4,5,6,7,8,9,10,11,12,13,14,15,16,17,18,19,20,21,22,23,24,25,26,27,28,29,30}-1)*LEN(Registro!$H362)+1,LEN(Registro!$H362)))," ",REPT(" ",50)),50)))),"Revisar formato"))</f>
        <v/>
      </c>
      <c r="J362" s="24" t="str">
        <f>IF(Registro!$I362="","",IFERROR(SUMPRODUCT(--("0"&amp;TRIM(RIGHT(SUBSTITUTE(TRIM(MID(SUBSTITUTE(SUBSTITUTE(Registro!$I362,";",CHAR(10)),CHAR(10),REPT(" ",LEN(Registro!$I362))),({1,2,3,4,5,6,7,8,9,10,11,12,13,14,15,16,17,18,19,20,21,22,23,24,25,26,27,28,29,30}-1)*LEN(Registro!$I362)+1,LEN(Registro!$I362)))," ",REPT(" ",50)),50)))),"Revisar formato"))</f>
        <v/>
      </c>
      <c r="K362" s="24" t="str">
        <f>IF(AND(Registro!$G362="",Registro!$H362=""),"",IF(AND(ISTEXT(I362),I362&lt;&gt;""),"Revisar formato",N(Registro!$G362)-N(I362)))</f>
        <v/>
      </c>
      <c r="L362" s="24" t="str">
        <f t="shared" si="11"/>
        <v/>
      </c>
      <c r="M362" s="36" t="str">
        <f>IF(AND(A362=Consulta!$B$3,C362=Consulta!$H$3),B362*10000+ROW(),"")</f>
        <v/>
      </c>
    </row>
    <row r="363" spans="1:13" x14ac:dyDescent="0.25">
      <c r="A363" s="21" t="str">
        <f>IF(Registro!$A363="","",Registro!$A363)</f>
        <v/>
      </c>
      <c r="B363" s="20" t="str">
        <f>IF(Registro!$B363="","",Registro!$B363)</f>
        <v/>
      </c>
      <c r="C363" s="35" t="str">
        <f t="shared" si="10"/>
        <v/>
      </c>
      <c r="D363" s="23" t="str">
        <f>IF(Registro!$E363="","",IF(ISERROR(FIND("x",LOWER(Registro!$E363))),"-",IFERROR(SUMPRODUCT(--("0"&amp;LEFT(TRIM(MID(SUBSTITUTE(SUBSTITUTE(SUBSTITUTE(SUBSTITUTE(SUBSTITUTE(LOWER(Registro!$E363),"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",LEN(Registro!$E363))),({1,2,3,4,5,6,7,8,9,10,11,12,13,14,15,16,17,18,19,20,21,22,23,24,25,26,27,28,29,30}-1)*LEN(Registro!$E363)+1,LEN(Registro!$E363))),FIND("x",TRIM(MID(SUBSTITUTE(SUBSTITUTE(SUBSTITUTE(SUBSTITUTE(SUBSTITUTE(LOWER(Registro!$E363),"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",LEN(Registro!$E363))),({1,2,3,4,5,6,7,8,9,10,11,12,13,14,15,16,17,18,19,20,21,22,23,24,25,26,27,28,29,30}-1)*LEN(Registro!$E363)+1,LEN(Registro!$E363)))&amp;"x")-1))),"Revisar formato")))</f>
        <v/>
      </c>
      <c r="E363" s="24" t="str">
        <f>IF(Registro!$E363="","",IF(ISERROR(FIND("x",LOWER(Registro!$E363))),"-",IFERROR(SUMPRODUCT(--("0"&amp;LEFT(TRIM(MID(SUBSTITUTE(SUBSTITUTE(SUBSTITUTE(SUBSTITUTE(SUBSTITUTE(LOWER(Registro!$E363),"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",LEN(Registro!$E363))),({1,2,3,4,5,6,7,8,9,10,11,12,13,14,15,16,17,18,19,20,21,22,23,24,25,26,27,28,29,30}-1)*LEN(Registro!$E363)+1,LEN(Registro!$E363))),FIND("x",TRIM(MID(SUBSTITUTE(SUBSTITUTE(SUBSTITUTE(SUBSTITUTE(SUBSTITUTE(LOWER(Registro!$E363),"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",LEN(Registro!$E363))),({1,2,3,4,5,6,7,8,9,10,11,12,13,14,15,16,17,18,19,20,21,22,23,24,25,26,27,28,29,30}-1)*LEN(Registro!$E363)+1,LEN(Registro!$E363)))&amp;"x")-1)),--("0"&amp;MID(TRIM(MID(SUBSTITUTE(SUBSTITUTE(SUBSTITUTE(SUBSTITUTE(SUBSTITUTE(LOWER(Registro!$E363),"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",LEN(Registro!$E363))),({1,2,3,4,5,6,7,8,9,10,11,12,13,14,15,16,17,18,19,20,21,22,23,24,25,26,27,28,29,30}-1)*LEN(Registro!$E363)+1,LEN(Registro!$E363))),FIND("x",TRIM(MID(SUBSTITUTE(SUBSTITUTE(SUBSTITUTE(SUBSTITUTE(SUBSTITUTE(LOWER(Registro!$E363),"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",LEN(Registro!$E363))),({1,2,3,4,5,6,7,8,9,10,11,12,13,14,15,16,17,18,19,20,21,22,23,24,25,26,27,28,29,30}-1)*LEN(Registro!$E363)+1,LEN(Registro!$E363)))&amp;"x")+1,20))),"Revisar formato")))</f>
        <v/>
      </c>
      <c r="F363" s="23" t="str">
        <f>IF(Registro!$F363="","",IF(ISERROR(FIND("x",LOWER(Registro!$F363))),"-",IFERROR(SUMPRODUCT(--("0"&amp;LEFT(TRIM(MID(SUBSTITUTE(SUBSTITUTE(SUBSTITUTE(SUBSTITUTE(SUBSTITUTE(LOWER(Registro!$F363)," ",""),CHAR(10),"|"),";","|"),"+","|"),"|",REPT(" ",LEN(Registro!$F363))),({1,2,3,4,5,6,7,8,9,10,11,12,13,14,15,16,17,18,19,20,21,22,23,24,25,26,27,28,29,30}-1)*LEN(Registro!$F363)+1,LEN(Registro!$F363))),FIND("x",TRIM(MID(SUBSTITUTE(SUBSTITUTE(SUBSTITUTE(SUBSTITUTE(SUBSTITUTE(LOWER(Registro!$F363)," ",""),CHAR(10),"|"),";","|"),"+","|"),"|",REPT(" ",LEN(Registro!$F363))),({1,2,3,4,5,6,7,8,9,10,11,12,13,14,15,16,17,18,19,20,21,22,23,24,25,26,27,28,29,30}-1)*LEN(Registro!$F363)+1,LEN(Registro!$F363)))&amp;"x")-1))),"Revisar formato")))</f>
        <v/>
      </c>
      <c r="G363" s="24" t="str">
        <f>IF(Registro!$F363="","",IF(ISERROR(FIND("x",LOWER(Registro!$F363))),N(Registro!$G363),IFERROR(SUMPRODUCT(--("0"&amp;LEFT(TRIM(MID(SUBSTITUTE(SUBSTITUTE(SUBSTITUTE(SUBSTITUTE(SUBSTITUTE(LOWER(Registro!$F363)," ",""),CHAR(10),"|"),";","|"),"+","|"),"|",REPT(" ",LEN(Registro!$F363))),({1,2,3,4,5,6,7,8,9,10,11,12,13,14,15,16,17,18,19,20,21,22,23,24,25,26,27,28,29,30}-1)*LEN(Registro!$F363)+1,LEN(Registro!$F363))),FIND("x",TRIM(MID(SUBSTITUTE(SUBSTITUTE(SUBSTITUTE(SUBSTITUTE(SUBSTITUTE(LOWER(Registro!$F363)," ",""),CHAR(10),"|"),";","|"),"+","|"),"|",REPT(" ",LEN(Registro!$F363))),({1,2,3,4,5,6,7,8,9,10,11,12,13,14,15,16,17,18,19,20,21,22,23,24,25,26,27,28,29,30}-1)*LEN(Registro!$F363)+1,LEN(Registro!$F363)))&amp;"x")-1)),--("0"&amp;MID(TRIM(MID(SUBSTITUTE(SUBSTITUTE(SUBSTITUTE(SUBSTITUTE(SUBSTITUTE(LOWER(Registro!$F363)," ",""),CHAR(10),"|"),";","|"),"+","|"),"|",REPT(" ",LEN(Registro!$F363))),({1,2,3,4,5,6,7,8,9,10,11,12,13,14,15,16,17,18,19,20,21,22,23,24,25,26,27,28,29,30}-1)*LEN(Registro!$F363)+1,LEN(Registro!$F363))),FIND("x",TRIM(MID(SUBSTITUTE(SUBSTITUTE(SUBSTITUTE(SUBSTITUTE(SUBSTITUTE(LOWER(Registro!$F363)," ",""),CHAR(10),"|"),";","|"),"+","|"),"|",REPT(" ",LEN(Registro!$F363))),({1,2,3,4,5,6,7,8,9,10,11,12,13,14,15,16,17,18,19,20,21,22,23,24,25,26,27,28,29,30}-1)*LEN(Registro!$F363)+1,LEN(Registro!$F363)))&amp;"x")+1,20))),"Revisar formato")))</f>
        <v/>
      </c>
      <c r="H363" s="21" t="str">
        <f>IF(AND(Registro!$E363="",Registro!$F363=""),"",IF(NOT(AND(ISNUMBER(G363),ISNUMBER(Registro!$G363))),"",IF(G363&lt;Registro!$G363,"FALTA BOLETOS",IF(G363=Registro!$G363,"CONFORME","DIFERENCIA"))))</f>
        <v/>
      </c>
      <c r="I363" s="24" t="str">
        <f>IF(Registro!$H363="","",IFERROR(SUMPRODUCT(--("0"&amp;TRIM(RIGHT(SUBSTITUTE(TRIM(MID(SUBSTITUTE(SUBSTITUTE(Registro!$H363,";",CHAR(10)),CHAR(10),REPT(" ",LEN(Registro!$H363))),({1,2,3,4,5,6,7,8,9,10,11,12,13,14,15,16,17,18,19,20,21,22,23,24,25,26,27,28,29,30}-1)*LEN(Registro!$H363)+1,LEN(Registro!$H363)))," ",REPT(" ",50)),50)))),"Revisar formato"))</f>
        <v/>
      </c>
      <c r="J363" s="24" t="str">
        <f>IF(Registro!$I363="","",IFERROR(SUMPRODUCT(--("0"&amp;TRIM(RIGHT(SUBSTITUTE(TRIM(MID(SUBSTITUTE(SUBSTITUTE(Registro!$I363,";",CHAR(10)),CHAR(10),REPT(" ",LEN(Registro!$I363))),({1,2,3,4,5,6,7,8,9,10,11,12,13,14,15,16,17,18,19,20,21,22,23,24,25,26,27,28,29,30}-1)*LEN(Registro!$I363)+1,LEN(Registro!$I363)))," ",REPT(" ",50)),50)))),"Revisar formato"))</f>
        <v/>
      </c>
      <c r="K363" s="24" t="str">
        <f>IF(AND(Registro!$G363="",Registro!$H363=""),"",IF(AND(ISTEXT(I363),I363&lt;&gt;""),"Revisar formato",N(Registro!$G363)-N(I363)))</f>
        <v/>
      </c>
      <c r="L363" s="24" t="str">
        <f t="shared" si="11"/>
        <v/>
      </c>
      <c r="M363" s="36" t="str">
        <f>IF(AND(A363=Consulta!$B$3,C363=Consulta!$H$3),B363*10000+ROW(),"")</f>
        <v/>
      </c>
    </row>
    <row r="364" spans="1:13" x14ac:dyDescent="0.25">
      <c r="A364" s="21" t="str">
        <f>IF(Registro!$A364="","",Registro!$A364)</f>
        <v/>
      </c>
      <c r="B364" s="20" t="str">
        <f>IF(Registro!$B364="","",Registro!$B364)</f>
        <v/>
      </c>
      <c r="C364" s="35" t="str">
        <f t="shared" si="10"/>
        <v/>
      </c>
      <c r="D364" s="23" t="str">
        <f>IF(Registro!$E364="","",IF(ISERROR(FIND("x",LOWER(Registro!$E364))),"-",IFERROR(SUMPRODUCT(--("0"&amp;LEFT(TRIM(MID(SUBSTITUTE(SUBSTITUTE(SUBSTITUTE(SUBSTITUTE(SUBSTITUTE(LOWER(Registro!$E364),"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",LEN(Registro!$E364))),({1,2,3,4,5,6,7,8,9,10,11,12,13,14,15,16,17,18,19,20,21,22,23,24,25,26,27,28,29,30}-1)*LEN(Registro!$E364)+1,LEN(Registro!$E364))),FIND("x",TRIM(MID(SUBSTITUTE(SUBSTITUTE(SUBSTITUTE(SUBSTITUTE(SUBSTITUTE(LOWER(Registro!$E364),"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",LEN(Registro!$E364))),({1,2,3,4,5,6,7,8,9,10,11,12,13,14,15,16,17,18,19,20,21,22,23,24,25,26,27,28,29,30}-1)*LEN(Registro!$E364)+1,LEN(Registro!$E364)))&amp;"x")-1))),"Revisar formato")))</f>
        <v/>
      </c>
      <c r="E364" s="24" t="str">
        <f>IF(Registro!$E364="","",IF(ISERROR(FIND("x",LOWER(Registro!$E364))),"-",IFERROR(SUMPRODUCT(--("0"&amp;LEFT(TRIM(MID(SUBSTITUTE(SUBSTITUTE(SUBSTITUTE(SUBSTITUTE(SUBSTITUTE(LOWER(Registro!$E364),"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",LEN(Registro!$E364))),({1,2,3,4,5,6,7,8,9,10,11,12,13,14,15,16,17,18,19,20,21,22,23,24,25,26,27,28,29,30}-1)*LEN(Registro!$E364)+1,LEN(Registro!$E364))),FIND("x",TRIM(MID(SUBSTITUTE(SUBSTITUTE(SUBSTITUTE(SUBSTITUTE(SUBSTITUTE(LOWER(Registro!$E364),"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",LEN(Registro!$E364))),({1,2,3,4,5,6,7,8,9,10,11,12,13,14,15,16,17,18,19,20,21,22,23,24,25,26,27,28,29,30}-1)*LEN(Registro!$E364)+1,LEN(Registro!$E364)))&amp;"x")-1)),--("0"&amp;MID(TRIM(MID(SUBSTITUTE(SUBSTITUTE(SUBSTITUTE(SUBSTITUTE(SUBSTITUTE(LOWER(Registro!$E364),"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",LEN(Registro!$E364))),({1,2,3,4,5,6,7,8,9,10,11,12,13,14,15,16,17,18,19,20,21,22,23,24,25,26,27,28,29,30}-1)*LEN(Registro!$E364)+1,LEN(Registro!$E364))),FIND("x",TRIM(MID(SUBSTITUTE(SUBSTITUTE(SUBSTITUTE(SUBSTITUTE(SUBSTITUTE(LOWER(Registro!$E364),"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",LEN(Registro!$E364))),({1,2,3,4,5,6,7,8,9,10,11,12,13,14,15,16,17,18,19,20,21,22,23,24,25,26,27,28,29,30}-1)*LEN(Registro!$E364)+1,LEN(Registro!$E364)))&amp;"x")+1,20))),"Revisar formato")))</f>
        <v/>
      </c>
      <c r="F364" s="23" t="str">
        <f>IF(Registro!$F364="","",IF(ISERROR(FIND("x",LOWER(Registro!$F364))),"-",IFERROR(SUMPRODUCT(--("0"&amp;LEFT(TRIM(MID(SUBSTITUTE(SUBSTITUTE(SUBSTITUTE(SUBSTITUTE(SUBSTITUTE(LOWER(Registro!$F364)," ",""),CHAR(10),"|"),";","|"),"+","|"),"|",REPT(" ",LEN(Registro!$F364))),({1,2,3,4,5,6,7,8,9,10,11,12,13,14,15,16,17,18,19,20,21,22,23,24,25,26,27,28,29,30}-1)*LEN(Registro!$F364)+1,LEN(Registro!$F364))),FIND("x",TRIM(MID(SUBSTITUTE(SUBSTITUTE(SUBSTITUTE(SUBSTITUTE(SUBSTITUTE(LOWER(Registro!$F364)," ",""),CHAR(10),"|"),";","|"),"+","|"),"|",REPT(" ",LEN(Registro!$F364))),({1,2,3,4,5,6,7,8,9,10,11,12,13,14,15,16,17,18,19,20,21,22,23,24,25,26,27,28,29,30}-1)*LEN(Registro!$F364)+1,LEN(Registro!$F364)))&amp;"x")-1))),"Revisar formato")))</f>
        <v/>
      </c>
      <c r="G364" s="24" t="str">
        <f>IF(Registro!$F364="","",IF(ISERROR(FIND("x",LOWER(Registro!$F364))),N(Registro!$G364),IFERROR(SUMPRODUCT(--("0"&amp;LEFT(TRIM(MID(SUBSTITUTE(SUBSTITUTE(SUBSTITUTE(SUBSTITUTE(SUBSTITUTE(LOWER(Registro!$F364)," ",""),CHAR(10),"|"),";","|"),"+","|"),"|",REPT(" ",LEN(Registro!$F364))),({1,2,3,4,5,6,7,8,9,10,11,12,13,14,15,16,17,18,19,20,21,22,23,24,25,26,27,28,29,30}-1)*LEN(Registro!$F364)+1,LEN(Registro!$F364))),FIND("x",TRIM(MID(SUBSTITUTE(SUBSTITUTE(SUBSTITUTE(SUBSTITUTE(SUBSTITUTE(LOWER(Registro!$F364)," ",""),CHAR(10),"|"),";","|"),"+","|"),"|",REPT(" ",LEN(Registro!$F364))),({1,2,3,4,5,6,7,8,9,10,11,12,13,14,15,16,17,18,19,20,21,22,23,24,25,26,27,28,29,30}-1)*LEN(Registro!$F364)+1,LEN(Registro!$F364)))&amp;"x")-1)),--("0"&amp;MID(TRIM(MID(SUBSTITUTE(SUBSTITUTE(SUBSTITUTE(SUBSTITUTE(SUBSTITUTE(LOWER(Registro!$F364)," ",""),CHAR(10),"|"),";","|"),"+","|"),"|",REPT(" ",LEN(Registro!$F364))),({1,2,3,4,5,6,7,8,9,10,11,12,13,14,15,16,17,18,19,20,21,22,23,24,25,26,27,28,29,30}-1)*LEN(Registro!$F364)+1,LEN(Registro!$F364))),FIND("x",TRIM(MID(SUBSTITUTE(SUBSTITUTE(SUBSTITUTE(SUBSTITUTE(SUBSTITUTE(LOWER(Registro!$F364)," ",""),CHAR(10),"|"),";","|"),"+","|"),"|",REPT(" ",LEN(Registro!$F364))),({1,2,3,4,5,6,7,8,9,10,11,12,13,14,15,16,17,18,19,20,21,22,23,24,25,26,27,28,29,30}-1)*LEN(Registro!$F364)+1,LEN(Registro!$F364)))&amp;"x")+1,20))),"Revisar formato")))</f>
        <v/>
      </c>
      <c r="H364" s="21" t="str">
        <f>IF(AND(Registro!$E364="",Registro!$F364=""),"",IF(NOT(AND(ISNUMBER(G364),ISNUMBER(Registro!$G364))),"",IF(G364&lt;Registro!$G364,"FALTA BOLETOS",IF(G364=Registro!$G364,"CONFORME","DIFERENCIA"))))</f>
        <v/>
      </c>
      <c r="I364" s="24" t="str">
        <f>IF(Registro!$H364="","",IFERROR(SUMPRODUCT(--("0"&amp;TRIM(RIGHT(SUBSTITUTE(TRIM(MID(SUBSTITUTE(SUBSTITUTE(Registro!$H364,";",CHAR(10)),CHAR(10),REPT(" ",LEN(Registro!$H364))),({1,2,3,4,5,6,7,8,9,10,11,12,13,14,15,16,17,18,19,20,21,22,23,24,25,26,27,28,29,30}-1)*LEN(Registro!$H364)+1,LEN(Registro!$H364)))," ",REPT(" ",50)),50)))),"Revisar formato"))</f>
        <v/>
      </c>
      <c r="J364" s="24" t="str">
        <f>IF(Registro!$I364="","",IFERROR(SUMPRODUCT(--("0"&amp;TRIM(RIGHT(SUBSTITUTE(TRIM(MID(SUBSTITUTE(SUBSTITUTE(Registro!$I364,";",CHAR(10)),CHAR(10),REPT(" ",LEN(Registro!$I364))),({1,2,3,4,5,6,7,8,9,10,11,12,13,14,15,16,17,18,19,20,21,22,23,24,25,26,27,28,29,30}-1)*LEN(Registro!$I364)+1,LEN(Registro!$I364)))," ",REPT(" ",50)),50)))),"Revisar formato"))</f>
        <v/>
      </c>
      <c r="K364" s="24" t="str">
        <f>IF(AND(Registro!$G364="",Registro!$H364=""),"",IF(AND(ISTEXT(I364),I364&lt;&gt;""),"Revisar formato",N(Registro!$G364)-N(I364)))</f>
        <v/>
      </c>
      <c r="L364" s="24" t="str">
        <f t="shared" si="11"/>
        <v/>
      </c>
      <c r="M364" s="36" t="str">
        <f>IF(AND(A364=Consulta!$B$3,C364=Consulta!$H$3),B364*10000+ROW(),"")</f>
        <v/>
      </c>
    </row>
    <row r="365" spans="1:13" x14ac:dyDescent="0.25">
      <c r="A365" s="21" t="str">
        <f>IF(Registro!$A365="","",Registro!$A365)</f>
        <v/>
      </c>
      <c r="B365" s="20" t="str">
        <f>IF(Registro!$B365="","",Registro!$B365)</f>
        <v/>
      </c>
      <c r="C365" s="35" t="str">
        <f t="shared" si="10"/>
        <v/>
      </c>
      <c r="D365" s="23" t="str">
        <f>IF(Registro!$E365="","",IF(ISERROR(FIND("x",LOWER(Registro!$E365))),"-",IFERROR(SUMPRODUCT(--("0"&amp;LEFT(TRIM(MID(SUBSTITUTE(SUBSTITUTE(SUBSTITUTE(SUBSTITUTE(SUBSTITUTE(LOWER(Registro!$E365),"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",LEN(Registro!$E365))),({1,2,3,4,5,6,7,8,9,10,11,12,13,14,15,16,17,18,19,20,21,22,23,24,25,26,27,28,29,30}-1)*LEN(Registro!$E365)+1,LEN(Registro!$E365))),FIND("x",TRIM(MID(SUBSTITUTE(SUBSTITUTE(SUBSTITUTE(SUBSTITUTE(SUBSTITUTE(LOWER(Registro!$E365),"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",LEN(Registro!$E365))),({1,2,3,4,5,6,7,8,9,10,11,12,13,14,15,16,17,18,19,20,21,22,23,24,25,26,27,28,29,30}-1)*LEN(Registro!$E365)+1,LEN(Registro!$E365)))&amp;"x")-1))),"Revisar formato")))</f>
        <v/>
      </c>
      <c r="E365" s="24" t="str">
        <f>IF(Registro!$E365="","",IF(ISERROR(FIND("x",LOWER(Registro!$E365))),"-",IFERROR(SUMPRODUCT(--("0"&amp;LEFT(TRIM(MID(SUBSTITUTE(SUBSTITUTE(SUBSTITUTE(SUBSTITUTE(SUBSTITUTE(LOWER(Registro!$E365),"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",LEN(Registro!$E365))),({1,2,3,4,5,6,7,8,9,10,11,12,13,14,15,16,17,18,19,20,21,22,23,24,25,26,27,28,29,30}-1)*LEN(Registro!$E365)+1,LEN(Registro!$E365))),FIND("x",TRIM(MID(SUBSTITUTE(SUBSTITUTE(SUBSTITUTE(SUBSTITUTE(SUBSTITUTE(LOWER(Registro!$E365),"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",LEN(Registro!$E365))),({1,2,3,4,5,6,7,8,9,10,11,12,13,14,15,16,17,18,19,20,21,22,23,24,25,26,27,28,29,30}-1)*LEN(Registro!$E365)+1,LEN(Registro!$E365)))&amp;"x")-1)),--("0"&amp;MID(TRIM(MID(SUBSTITUTE(SUBSTITUTE(SUBSTITUTE(SUBSTITUTE(SUBSTITUTE(LOWER(Registro!$E365),"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",LEN(Registro!$E365))),({1,2,3,4,5,6,7,8,9,10,11,12,13,14,15,16,17,18,19,20,21,22,23,24,25,26,27,28,29,30}-1)*LEN(Registro!$E365)+1,LEN(Registro!$E365))),FIND("x",TRIM(MID(SUBSTITUTE(SUBSTITUTE(SUBSTITUTE(SUBSTITUTE(SUBSTITUTE(LOWER(Registro!$E365),"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",LEN(Registro!$E365))),({1,2,3,4,5,6,7,8,9,10,11,12,13,14,15,16,17,18,19,20,21,22,23,24,25,26,27,28,29,30}-1)*LEN(Registro!$E365)+1,LEN(Registro!$E365)))&amp;"x")+1,20))),"Revisar formato")))</f>
        <v/>
      </c>
      <c r="F365" s="23" t="str">
        <f>IF(Registro!$F365="","",IF(ISERROR(FIND("x",LOWER(Registro!$F365))),"-",IFERROR(SUMPRODUCT(--("0"&amp;LEFT(TRIM(MID(SUBSTITUTE(SUBSTITUTE(SUBSTITUTE(SUBSTITUTE(SUBSTITUTE(LOWER(Registro!$F365)," ",""),CHAR(10),"|"),";","|"),"+","|"),"|",REPT(" ",LEN(Registro!$F365))),({1,2,3,4,5,6,7,8,9,10,11,12,13,14,15,16,17,18,19,20,21,22,23,24,25,26,27,28,29,30}-1)*LEN(Registro!$F365)+1,LEN(Registro!$F365))),FIND("x",TRIM(MID(SUBSTITUTE(SUBSTITUTE(SUBSTITUTE(SUBSTITUTE(SUBSTITUTE(LOWER(Registro!$F365)," ",""),CHAR(10),"|"),";","|"),"+","|"),"|",REPT(" ",LEN(Registro!$F365))),({1,2,3,4,5,6,7,8,9,10,11,12,13,14,15,16,17,18,19,20,21,22,23,24,25,26,27,28,29,30}-1)*LEN(Registro!$F365)+1,LEN(Registro!$F365)))&amp;"x")-1))),"Revisar formato")))</f>
        <v/>
      </c>
      <c r="G365" s="24" t="str">
        <f>IF(Registro!$F365="","",IF(ISERROR(FIND("x",LOWER(Registro!$F365))),N(Registro!$G365),IFERROR(SUMPRODUCT(--("0"&amp;LEFT(TRIM(MID(SUBSTITUTE(SUBSTITUTE(SUBSTITUTE(SUBSTITUTE(SUBSTITUTE(LOWER(Registro!$F365)," ",""),CHAR(10),"|"),";","|"),"+","|"),"|",REPT(" ",LEN(Registro!$F365))),({1,2,3,4,5,6,7,8,9,10,11,12,13,14,15,16,17,18,19,20,21,22,23,24,25,26,27,28,29,30}-1)*LEN(Registro!$F365)+1,LEN(Registro!$F365))),FIND("x",TRIM(MID(SUBSTITUTE(SUBSTITUTE(SUBSTITUTE(SUBSTITUTE(SUBSTITUTE(LOWER(Registro!$F365)," ",""),CHAR(10),"|"),";","|"),"+","|"),"|",REPT(" ",LEN(Registro!$F365))),({1,2,3,4,5,6,7,8,9,10,11,12,13,14,15,16,17,18,19,20,21,22,23,24,25,26,27,28,29,30}-1)*LEN(Registro!$F365)+1,LEN(Registro!$F365)))&amp;"x")-1)),--("0"&amp;MID(TRIM(MID(SUBSTITUTE(SUBSTITUTE(SUBSTITUTE(SUBSTITUTE(SUBSTITUTE(LOWER(Registro!$F365)," ",""),CHAR(10),"|"),";","|"),"+","|"),"|",REPT(" ",LEN(Registro!$F365))),({1,2,3,4,5,6,7,8,9,10,11,12,13,14,15,16,17,18,19,20,21,22,23,24,25,26,27,28,29,30}-1)*LEN(Registro!$F365)+1,LEN(Registro!$F365))),FIND("x",TRIM(MID(SUBSTITUTE(SUBSTITUTE(SUBSTITUTE(SUBSTITUTE(SUBSTITUTE(LOWER(Registro!$F365)," ",""),CHAR(10),"|"),";","|"),"+","|"),"|",REPT(" ",LEN(Registro!$F365))),({1,2,3,4,5,6,7,8,9,10,11,12,13,14,15,16,17,18,19,20,21,22,23,24,25,26,27,28,29,30}-1)*LEN(Registro!$F365)+1,LEN(Registro!$F365)))&amp;"x")+1,20))),"Revisar formato")))</f>
        <v/>
      </c>
      <c r="H365" s="21" t="str">
        <f>IF(AND(Registro!$E365="",Registro!$F365=""),"",IF(NOT(AND(ISNUMBER(G365),ISNUMBER(Registro!$G365))),"",IF(G365&lt;Registro!$G365,"FALTA BOLETOS",IF(G365=Registro!$G365,"CONFORME","DIFERENCIA"))))</f>
        <v/>
      </c>
      <c r="I365" s="24" t="str">
        <f>IF(Registro!$H365="","",IFERROR(SUMPRODUCT(--("0"&amp;TRIM(RIGHT(SUBSTITUTE(TRIM(MID(SUBSTITUTE(SUBSTITUTE(Registro!$H365,";",CHAR(10)),CHAR(10),REPT(" ",LEN(Registro!$H365))),({1,2,3,4,5,6,7,8,9,10,11,12,13,14,15,16,17,18,19,20,21,22,23,24,25,26,27,28,29,30}-1)*LEN(Registro!$H365)+1,LEN(Registro!$H365)))," ",REPT(" ",50)),50)))),"Revisar formato"))</f>
        <v/>
      </c>
      <c r="J365" s="24" t="str">
        <f>IF(Registro!$I365="","",IFERROR(SUMPRODUCT(--("0"&amp;TRIM(RIGHT(SUBSTITUTE(TRIM(MID(SUBSTITUTE(SUBSTITUTE(Registro!$I365,";",CHAR(10)),CHAR(10),REPT(" ",LEN(Registro!$I365))),({1,2,3,4,5,6,7,8,9,10,11,12,13,14,15,16,17,18,19,20,21,22,23,24,25,26,27,28,29,30}-1)*LEN(Registro!$I365)+1,LEN(Registro!$I365)))," ",REPT(" ",50)),50)))),"Revisar formato"))</f>
        <v/>
      </c>
      <c r="K365" s="24" t="str">
        <f>IF(AND(Registro!$G365="",Registro!$H365=""),"",IF(AND(ISTEXT(I365),I365&lt;&gt;""),"Revisar formato",N(Registro!$G365)-N(I365)))</f>
        <v/>
      </c>
      <c r="L365" s="24" t="str">
        <f t="shared" si="11"/>
        <v/>
      </c>
      <c r="M365" s="36" t="str">
        <f>IF(AND(A365=Consulta!$B$3,C365=Consulta!$H$3),B365*10000+ROW(),"")</f>
        <v/>
      </c>
    </row>
    <row r="366" spans="1:13" x14ac:dyDescent="0.25">
      <c r="A366" s="21" t="str">
        <f>IF(Registro!$A366="","",Registro!$A366)</f>
        <v/>
      </c>
      <c r="B366" s="20" t="str">
        <f>IF(Registro!$B366="","",Registro!$B366)</f>
        <v/>
      </c>
      <c r="C366" s="35" t="str">
        <f t="shared" si="10"/>
        <v/>
      </c>
      <c r="D366" s="23" t="str">
        <f>IF(Registro!$E366="","",IF(ISERROR(FIND("x",LOWER(Registro!$E366))),"-",IFERROR(SUMPRODUCT(--("0"&amp;LEFT(TRIM(MID(SUBSTITUTE(SUBSTITUTE(SUBSTITUTE(SUBSTITUTE(SUBSTITUTE(LOWER(Registro!$E366),"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",LEN(Registro!$E366))),({1,2,3,4,5,6,7,8,9,10,11,12,13,14,15,16,17,18,19,20,21,22,23,24,25,26,27,28,29,30}-1)*LEN(Registro!$E366)+1,LEN(Registro!$E366))),FIND("x",TRIM(MID(SUBSTITUTE(SUBSTITUTE(SUBSTITUTE(SUBSTITUTE(SUBSTITUTE(LOWER(Registro!$E366),"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",LEN(Registro!$E366))),({1,2,3,4,5,6,7,8,9,10,11,12,13,14,15,16,17,18,19,20,21,22,23,24,25,26,27,28,29,30}-1)*LEN(Registro!$E366)+1,LEN(Registro!$E366)))&amp;"x")-1))),"Revisar formato")))</f>
        <v/>
      </c>
      <c r="E366" s="24" t="str">
        <f>IF(Registro!$E366="","",IF(ISERROR(FIND("x",LOWER(Registro!$E366))),"-",IFERROR(SUMPRODUCT(--("0"&amp;LEFT(TRIM(MID(SUBSTITUTE(SUBSTITUTE(SUBSTITUTE(SUBSTITUTE(SUBSTITUTE(LOWER(Registro!$E366),"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",LEN(Registro!$E366))),({1,2,3,4,5,6,7,8,9,10,11,12,13,14,15,16,17,18,19,20,21,22,23,24,25,26,27,28,29,30}-1)*LEN(Registro!$E366)+1,LEN(Registro!$E366))),FIND("x",TRIM(MID(SUBSTITUTE(SUBSTITUTE(SUBSTITUTE(SUBSTITUTE(SUBSTITUTE(LOWER(Registro!$E366),"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",LEN(Registro!$E366))),({1,2,3,4,5,6,7,8,9,10,11,12,13,14,15,16,17,18,19,20,21,22,23,24,25,26,27,28,29,30}-1)*LEN(Registro!$E366)+1,LEN(Registro!$E366)))&amp;"x")-1)),--("0"&amp;MID(TRIM(MID(SUBSTITUTE(SUBSTITUTE(SUBSTITUTE(SUBSTITUTE(SUBSTITUTE(LOWER(Registro!$E366),"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",LEN(Registro!$E366))),({1,2,3,4,5,6,7,8,9,10,11,12,13,14,15,16,17,18,19,20,21,22,23,24,25,26,27,28,29,30}-1)*LEN(Registro!$E366)+1,LEN(Registro!$E366))),FIND("x",TRIM(MID(SUBSTITUTE(SUBSTITUTE(SUBSTITUTE(SUBSTITUTE(SUBSTITUTE(LOWER(Registro!$E366),"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",LEN(Registro!$E366))),({1,2,3,4,5,6,7,8,9,10,11,12,13,14,15,16,17,18,19,20,21,22,23,24,25,26,27,28,29,30}-1)*LEN(Registro!$E366)+1,LEN(Registro!$E366)))&amp;"x")+1,20))),"Revisar formato")))</f>
        <v/>
      </c>
      <c r="F366" s="23" t="str">
        <f>IF(Registro!$F366="","",IF(ISERROR(FIND("x",LOWER(Registro!$F366))),"-",IFERROR(SUMPRODUCT(--("0"&amp;LEFT(TRIM(MID(SUBSTITUTE(SUBSTITUTE(SUBSTITUTE(SUBSTITUTE(SUBSTITUTE(LOWER(Registro!$F366)," ",""),CHAR(10),"|"),";","|"),"+","|"),"|",REPT(" ",LEN(Registro!$F366))),({1,2,3,4,5,6,7,8,9,10,11,12,13,14,15,16,17,18,19,20,21,22,23,24,25,26,27,28,29,30}-1)*LEN(Registro!$F366)+1,LEN(Registro!$F366))),FIND("x",TRIM(MID(SUBSTITUTE(SUBSTITUTE(SUBSTITUTE(SUBSTITUTE(SUBSTITUTE(LOWER(Registro!$F366)," ",""),CHAR(10),"|"),";","|"),"+","|"),"|",REPT(" ",LEN(Registro!$F366))),({1,2,3,4,5,6,7,8,9,10,11,12,13,14,15,16,17,18,19,20,21,22,23,24,25,26,27,28,29,30}-1)*LEN(Registro!$F366)+1,LEN(Registro!$F366)))&amp;"x")-1))),"Revisar formato")))</f>
        <v/>
      </c>
      <c r="G366" s="24" t="str">
        <f>IF(Registro!$F366="","",IF(ISERROR(FIND("x",LOWER(Registro!$F366))),N(Registro!$G366),IFERROR(SUMPRODUCT(--("0"&amp;LEFT(TRIM(MID(SUBSTITUTE(SUBSTITUTE(SUBSTITUTE(SUBSTITUTE(SUBSTITUTE(LOWER(Registro!$F366)," ",""),CHAR(10),"|"),";","|"),"+","|"),"|",REPT(" ",LEN(Registro!$F366))),({1,2,3,4,5,6,7,8,9,10,11,12,13,14,15,16,17,18,19,20,21,22,23,24,25,26,27,28,29,30}-1)*LEN(Registro!$F366)+1,LEN(Registro!$F366))),FIND("x",TRIM(MID(SUBSTITUTE(SUBSTITUTE(SUBSTITUTE(SUBSTITUTE(SUBSTITUTE(LOWER(Registro!$F366)," ",""),CHAR(10),"|"),";","|"),"+","|"),"|",REPT(" ",LEN(Registro!$F366))),({1,2,3,4,5,6,7,8,9,10,11,12,13,14,15,16,17,18,19,20,21,22,23,24,25,26,27,28,29,30}-1)*LEN(Registro!$F366)+1,LEN(Registro!$F366)))&amp;"x")-1)),--("0"&amp;MID(TRIM(MID(SUBSTITUTE(SUBSTITUTE(SUBSTITUTE(SUBSTITUTE(SUBSTITUTE(LOWER(Registro!$F366)," ",""),CHAR(10),"|"),";","|"),"+","|"),"|",REPT(" ",LEN(Registro!$F366))),({1,2,3,4,5,6,7,8,9,10,11,12,13,14,15,16,17,18,19,20,21,22,23,24,25,26,27,28,29,30}-1)*LEN(Registro!$F366)+1,LEN(Registro!$F366))),FIND("x",TRIM(MID(SUBSTITUTE(SUBSTITUTE(SUBSTITUTE(SUBSTITUTE(SUBSTITUTE(LOWER(Registro!$F366)," ",""),CHAR(10),"|"),";","|"),"+","|"),"|",REPT(" ",LEN(Registro!$F366))),({1,2,3,4,5,6,7,8,9,10,11,12,13,14,15,16,17,18,19,20,21,22,23,24,25,26,27,28,29,30}-1)*LEN(Registro!$F366)+1,LEN(Registro!$F366)))&amp;"x")+1,20))),"Revisar formato")))</f>
        <v/>
      </c>
      <c r="H366" s="21" t="str">
        <f>IF(AND(Registro!$E366="",Registro!$F366=""),"",IF(NOT(AND(ISNUMBER(G366),ISNUMBER(Registro!$G366))),"",IF(G366&lt;Registro!$G366,"FALTA BOLETOS",IF(G366=Registro!$G366,"CONFORME","DIFERENCIA"))))</f>
        <v/>
      </c>
      <c r="I366" s="24" t="str">
        <f>IF(Registro!$H366="","",IFERROR(SUMPRODUCT(--("0"&amp;TRIM(RIGHT(SUBSTITUTE(TRIM(MID(SUBSTITUTE(SUBSTITUTE(Registro!$H366,";",CHAR(10)),CHAR(10),REPT(" ",LEN(Registro!$H366))),({1,2,3,4,5,6,7,8,9,10,11,12,13,14,15,16,17,18,19,20,21,22,23,24,25,26,27,28,29,30}-1)*LEN(Registro!$H366)+1,LEN(Registro!$H366)))," ",REPT(" ",50)),50)))),"Revisar formato"))</f>
        <v/>
      </c>
      <c r="J366" s="24" t="str">
        <f>IF(Registro!$I366="","",IFERROR(SUMPRODUCT(--("0"&amp;TRIM(RIGHT(SUBSTITUTE(TRIM(MID(SUBSTITUTE(SUBSTITUTE(Registro!$I366,";",CHAR(10)),CHAR(10),REPT(" ",LEN(Registro!$I366))),({1,2,3,4,5,6,7,8,9,10,11,12,13,14,15,16,17,18,19,20,21,22,23,24,25,26,27,28,29,30}-1)*LEN(Registro!$I366)+1,LEN(Registro!$I366)))," ",REPT(" ",50)),50)))),"Revisar formato"))</f>
        <v/>
      </c>
      <c r="K366" s="24" t="str">
        <f>IF(AND(Registro!$G366="",Registro!$H366=""),"",IF(AND(ISTEXT(I366),I366&lt;&gt;""),"Revisar formato",N(Registro!$G366)-N(I366)))</f>
        <v/>
      </c>
      <c r="L366" s="24" t="str">
        <f t="shared" si="11"/>
        <v/>
      </c>
      <c r="M366" s="36" t="str">
        <f>IF(AND(A366=Consulta!$B$3,C366=Consulta!$H$3),B366*10000+ROW(),"")</f>
        <v/>
      </c>
    </row>
    <row r="367" spans="1:13" x14ac:dyDescent="0.25">
      <c r="A367" s="21" t="str">
        <f>IF(Registro!$A367="","",Registro!$A367)</f>
        <v/>
      </c>
      <c r="B367" s="20" t="str">
        <f>IF(Registro!$B367="","",Registro!$B367)</f>
        <v/>
      </c>
      <c r="C367" s="35" t="str">
        <f t="shared" si="10"/>
        <v/>
      </c>
      <c r="D367" s="23" t="str">
        <f>IF(Registro!$E367="","",IF(ISERROR(FIND("x",LOWER(Registro!$E367))),"-",IFERROR(SUMPRODUCT(--("0"&amp;LEFT(TRIM(MID(SUBSTITUTE(SUBSTITUTE(SUBSTITUTE(SUBSTITUTE(SUBSTITUTE(LOWER(Registro!$E367),"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",LEN(Registro!$E367))),({1,2,3,4,5,6,7,8,9,10,11,12,13,14,15,16,17,18,19,20,21,22,23,24,25,26,27,28,29,30}-1)*LEN(Registro!$E367)+1,LEN(Registro!$E367))),FIND("x",TRIM(MID(SUBSTITUTE(SUBSTITUTE(SUBSTITUTE(SUBSTITUTE(SUBSTITUTE(LOWER(Registro!$E367),"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",LEN(Registro!$E367))),({1,2,3,4,5,6,7,8,9,10,11,12,13,14,15,16,17,18,19,20,21,22,23,24,25,26,27,28,29,30}-1)*LEN(Registro!$E367)+1,LEN(Registro!$E367)))&amp;"x")-1))),"Revisar formato")))</f>
        <v/>
      </c>
      <c r="E367" s="24" t="str">
        <f>IF(Registro!$E367="","",IF(ISERROR(FIND("x",LOWER(Registro!$E367))),"-",IFERROR(SUMPRODUCT(--("0"&amp;LEFT(TRIM(MID(SUBSTITUTE(SUBSTITUTE(SUBSTITUTE(SUBSTITUTE(SUBSTITUTE(LOWER(Registro!$E367),"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",LEN(Registro!$E367))),({1,2,3,4,5,6,7,8,9,10,11,12,13,14,15,16,17,18,19,20,21,22,23,24,25,26,27,28,29,30}-1)*LEN(Registro!$E367)+1,LEN(Registro!$E367))),FIND("x",TRIM(MID(SUBSTITUTE(SUBSTITUTE(SUBSTITUTE(SUBSTITUTE(SUBSTITUTE(LOWER(Registro!$E367),"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",LEN(Registro!$E367))),({1,2,3,4,5,6,7,8,9,10,11,12,13,14,15,16,17,18,19,20,21,22,23,24,25,26,27,28,29,30}-1)*LEN(Registro!$E367)+1,LEN(Registro!$E367)))&amp;"x")-1)),--("0"&amp;MID(TRIM(MID(SUBSTITUTE(SUBSTITUTE(SUBSTITUTE(SUBSTITUTE(SUBSTITUTE(LOWER(Registro!$E367),"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",LEN(Registro!$E367))),({1,2,3,4,5,6,7,8,9,10,11,12,13,14,15,16,17,18,19,20,21,22,23,24,25,26,27,28,29,30}-1)*LEN(Registro!$E367)+1,LEN(Registro!$E367))),FIND("x",TRIM(MID(SUBSTITUTE(SUBSTITUTE(SUBSTITUTE(SUBSTITUTE(SUBSTITUTE(LOWER(Registro!$E367),"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",LEN(Registro!$E367))),({1,2,3,4,5,6,7,8,9,10,11,12,13,14,15,16,17,18,19,20,21,22,23,24,25,26,27,28,29,30}-1)*LEN(Registro!$E367)+1,LEN(Registro!$E367)))&amp;"x")+1,20))),"Revisar formato")))</f>
        <v/>
      </c>
      <c r="F367" s="23" t="str">
        <f>IF(Registro!$F367="","",IF(ISERROR(FIND("x",LOWER(Registro!$F367))),"-",IFERROR(SUMPRODUCT(--("0"&amp;LEFT(TRIM(MID(SUBSTITUTE(SUBSTITUTE(SUBSTITUTE(SUBSTITUTE(SUBSTITUTE(LOWER(Registro!$F367)," ",""),CHAR(10),"|"),";","|"),"+","|"),"|",REPT(" ",LEN(Registro!$F367))),({1,2,3,4,5,6,7,8,9,10,11,12,13,14,15,16,17,18,19,20,21,22,23,24,25,26,27,28,29,30}-1)*LEN(Registro!$F367)+1,LEN(Registro!$F367))),FIND("x",TRIM(MID(SUBSTITUTE(SUBSTITUTE(SUBSTITUTE(SUBSTITUTE(SUBSTITUTE(LOWER(Registro!$F367)," ",""),CHAR(10),"|"),";","|"),"+","|"),"|",REPT(" ",LEN(Registro!$F367))),({1,2,3,4,5,6,7,8,9,10,11,12,13,14,15,16,17,18,19,20,21,22,23,24,25,26,27,28,29,30}-1)*LEN(Registro!$F367)+1,LEN(Registro!$F367)))&amp;"x")-1))),"Revisar formato")))</f>
        <v/>
      </c>
      <c r="G367" s="24" t="str">
        <f>IF(Registro!$F367="","",IF(ISERROR(FIND("x",LOWER(Registro!$F367))),N(Registro!$G367),IFERROR(SUMPRODUCT(--("0"&amp;LEFT(TRIM(MID(SUBSTITUTE(SUBSTITUTE(SUBSTITUTE(SUBSTITUTE(SUBSTITUTE(LOWER(Registro!$F367)," ",""),CHAR(10),"|"),";","|"),"+","|"),"|",REPT(" ",LEN(Registro!$F367))),({1,2,3,4,5,6,7,8,9,10,11,12,13,14,15,16,17,18,19,20,21,22,23,24,25,26,27,28,29,30}-1)*LEN(Registro!$F367)+1,LEN(Registro!$F367))),FIND("x",TRIM(MID(SUBSTITUTE(SUBSTITUTE(SUBSTITUTE(SUBSTITUTE(SUBSTITUTE(LOWER(Registro!$F367)," ",""),CHAR(10),"|"),";","|"),"+","|"),"|",REPT(" ",LEN(Registro!$F367))),({1,2,3,4,5,6,7,8,9,10,11,12,13,14,15,16,17,18,19,20,21,22,23,24,25,26,27,28,29,30}-1)*LEN(Registro!$F367)+1,LEN(Registro!$F367)))&amp;"x")-1)),--("0"&amp;MID(TRIM(MID(SUBSTITUTE(SUBSTITUTE(SUBSTITUTE(SUBSTITUTE(SUBSTITUTE(LOWER(Registro!$F367)," ",""),CHAR(10),"|"),";","|"),"+","|"),"|",REPT(" ",LEN(Registro!$F367))),({1,2,3,4,5,6,7,8,9,10,11,12,13,14,15,16,17,18,19,20,21,22,23,24,25,26,27,28,29,30}-1)*LEN(Registro!$F367)+1,LEN(Registro!$F367))),FIND("x",TRIM(MID(SUBSTITUTE(SUBSTITUTE(SUBSTITUTE(SUBSTITUTE(SUBSTITUTE(LOWER(Registro!$F367)," ",""),CHAR(10),"|"),";","|"),"+","|"),"|",REPT(" ",LEN(Registro!$F367))),({1,2,3,4,5,6,7,8,9,10,11,12,13,14,15,16,17,18,19,20,21,22,23,24,25,26,27,28,29,30}-1)*LEN(Registro!$F367)+1,LEN(Registro!$F367)))&amp;"x")+1,20))),"Revisar formato")))</f>
        <v/>
      </c>
      <c r="H367" s="21" t="str">
        <f>IF(AND(Registro!$E367="",Registro!$F367=""),"",IF(NOT(AND(ISNUMBER(G367),ISNUMBER(Registro!$G367))),"",IF(G367&lt;Registro!$G367,"FALTA BOLETOS",IF(G367=Registro!$G367,"CONFORME","DIFERENCIA"))))</f>
        <v/>
      </c>
      <c r="I367" s="24" t="str">
        <f>IF(Registro!$H367="","",IFERROR(SUMPRODUCT(--("0"&amp;TRIM(RIGHT(SUBSTITUTE(TRIM(MID(SUBSTITUTE(SUBSTITUTE(Registro!$H367,";",CHAR(10)),CHAR(10),REPT(" ",LEN(Registro!$H367))),({1,2,3,4,5,6,7,8,9,10,11,12,13,14,15,16,17,18,19,20,21,22,23,24,25,26,27,28,29,30}-1)*LEN(Registro!$H367)+1,LEN(Registro!$H367)))," ",REPT(" ",50)),50)))),"Revisar formato"))</f>
        <v/>
      </c>
      <c r="J367" s="24" t="str">
        <f>IF(Registro!$I367="","",IFERROR(SUMPRODUCT(--("0"&amp;TRIM(RIGHT(SUBSTITUTE(TRIM(MID(SUBSTITUTE(SUBSTITUTE(Registro!$I367,";",CHAR(10)),CHAR(10),REPT(" ",LEN(Registro!$I367))),({1,2,3,4,5,6,7,8,9,10,11,12,13,14,15,16,17,18,19,20,21,22,23,24,25,26,27,28,29,30}-1)*LEN(Registro!$I367)+1,LEN(Registro!$I367)))," ",REPT(" ",50)),50)))),"Revisar formato"))</f>
        <v/>
      </c>
      <c r="K367" s="24" t="str">
        <f>IF(AND(Registro!$G367="",Registro!$H367=""),"",IF(AND(ISTEXT(I367),I367&lt;&gt;""),"Revisar formato",N(Registro!$G367)-N(I367)))</f>
        <v/>
      </c>
      <c r="L367" s="24" t="str">
        <f t="shared" si="11"/>
        <v/>
      </c>
      <c r="M367" s="36" t="str">
        <f>IF(AND(A367=Consulta!$B$3,C367=Consulta!$H$3),B367*10000+ROW(),"")</f>
        <v/>
      </c>
    </row>
    <row r="368" spans="1:13" x14ac:dyDescent="0.25">
      <c r="A368" s="21" t="str">
        <f>IF(Registro!$A368="","",Registro!$A368)</f>
        <v/>
      </c>
      <c r="B368" s="20" t="str">
        <f>IF(Registro!$B368="","",Registro!$B368)</f>
        <v/>
      </c>
      <c r="C368" s="35" t="str">
        <f t="shared" si="10"/>
        <v/>
      </c>
      <c r="D368" s="23" t="str">
        <f>IF(Registro!$E368="","",IF(ISERROR(FIND("x",LOWER(Registro!$E368))),"-",IFERROR(SUMPRODUCT(--("0"&amp;LEFT(TRIM(MID(SUBSTITUTE(SUBSTITUTE(SUBSTITUTE(SUBSTITUTE(SUBSTITUTE(LOWER(Registro!$E368),"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",LEN(Registro!$E368))),({1,2,3,4,5,6,7,8,9,10,11,12,13,14,15,16,17,18,19,20,21,22,23,24,25,26,27,28,29,30}-1)*LEN(Registro!$E368)+1,LEN(Registro!$E368))),FIND("x",TRIM(MID(SUBSTITUTE(SUBSTITUTE(SUBSTITUTE(SUBSTITUTE(SUBSTITUTE(LOWER(Registro!$E368),"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",LEN(Registro!$E368))),({1,2,3,4,5,6,7,8,9,10,11,12,13,14,15,16,17,18,19,20,21,22,23,24,25,26,27,28,29,30}-1)*LEN(Registro!$E368)+1,LEN(Registro!$E368)))&amp;"x")-1))),"Revisar formato")))</f>
        <v/>
      </c>
      <c r="E368" s="24" t="str">
        <f>IF(Registro!$E368="","",IF(ISERROR(FIND("x",LOWER(Registro!$E368))),"-",IFERROR(SUMPRODUCT(--("0"&amp;LEFT(TRIM(MID(SUBSTITUTE(SUBSTITUTE(SUBSTITUTE(SUBSTITUTE(SUBSTITUTE(LOWER(Registro!$E368),"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",LEN(Registro!$E368))),({1,2,3,4,5,6,7,8,9,10,11,12,13,14,15,16,17,18,19,20,21,22,23,24,25,26,27,28,29,30}-1)*LEN(Registro!$E368)+1,LEN(Registro!$E368))),FIND("x",TRIM(MID(SUBSTITUTE(SUBSTITUTE(SUBSTITUTE(SUBSTITUTE(SUBSTITUTE(LOWER(Registro!$E368),"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",LEN(Registro!$E368))),({1,2,3,4,5,6,7,8,9,10,11,12,13,14,15,16,17,18,19,20,21,22,23,24,25,26,27,28,29,30}-1)*LEN(Registro!$E368)+1,LEN(Registro!$E368)))&amp;"x")-1)),--("0"&amp;MID(TRIM(MID(SUBSTITUTE(SUBSTITUTE(SUBSTITUTE(SUBSTITUTE(SUBSTITUTE(LOWER(Registro!$E368),"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",LEN(Registro!$E368))),({1,2,3,4,5,6,7,8,9,10,11,12,13,14,15,16,17,18,19,20,21,22,23,24,25,26,27,28,29,30}-1)*LEN(Registro!$E368)+1,LEN(Registro!$E368))),FIND("x",TRIM(MID(SUBSTITUTE(SUBSTITUTE(SUBSTITUTE(SUBSTITUTE(SUBSTITUTE(LOWER(Registro!$E368),"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",LEN(Registro!$E368))),({1,2,3,4,5,6,7,8,9,10,11,12,13,14,15,16,17,18,19,20,21,22,23,24,25,26,27,28,29,30}-1)*LEN(Registro!$E368)+1,LEN(Registro!$E368)))&amp;"x")+1,20))),"Revisar formato")))</f>
        <v/>
      </c>
      <c r="F368" s="23" t="str">
        <f>IF(Registro!$F368="","",IF(ISERROR(FIND("x",LOWER(Registro!$F368))),"-",IFERROR(SUMPRODUCT(--("0"&amp;LEFT(TRIM(MID(SUBSTITUTE(SUBSTITUTE(SUBSTITUTE(SUBSTITUTE(SUBSTITUTE(LOWER(Registro!$F368)," ",""),CHAR(10),"|"),";","|"),"+","|"),"|",REPT(" ",LEN(Registro!$F368))),({1,2,3,4,5,6,7,8,9,10,11,12,13,14,15,16,17,18,19,20,21,22,23,24,25,26,27,28,29,30}-1)*LEN(Registro!$F368)+1,LEN(Registro!$F368))),FIND("x",TRIM(MID(SUBSTITUTE(SUBSTITUTE(SUBSTITUTE(SUBSTITUTE(SUBSTITUTE(LOWER(Registro!$F368)," ",""),CHAR(10),"|"),";","|"),"+","|"),"|",REPT(" ",LEN(Registro!$F368))),({1,2,3,4,5,6,7,8,9,10,11,12,13,14,15,16,17,18,19,20,21,22,23,24,25,26,27,28,29,30}-1)*LEN(Registro!$F368)+1,LEN(Registro!$F368)))&amp;"x")-1))),"Revisar formato")))</f>
        <v/>
      </c>
      <c r="G368" s="24" t="str">
        <f>IF(Registro!$F368="","",IF(ISERROR(FIND("x",LOWER(Registro!$F368))),N(Registro!$G368),IFERROR(SUMPRODUCT(--("0"&amp;LEFT(TRIM(MID(SUBSTITUTE(SUBSTITUTE(SUBSTITUTE(SUBSTITUTE(SUBSTITUTE(LOWER(Registro!$F368)," ",""),CHAR(10),"|"),";","|"),"+","|"),"|",REPT(" ",LEN(Registro!$F368))),({1,2,3,4,5,6,7,8,9,10,11,12,13,14,15,16,17,18,19,20,21,22,23,24,25,26,27,28,29,30}-1)*LEN(Registro!$F368)+1,LEN(Registro!$F368))),FIND("x",TRIM(MID(SUBSTITUTE(SUBSTITUTE(SUBSTITUTE(SUBSTITUTE(SUBSTITUTE(LOWER(Registro!$F368)," ",""),CHAR(10),"|"),";","|"),"+","|"),"|",REPT(" ",LEN(Registro!$F368))),({1,2,3,4,5,6,7,8,9,10,11,12,13,14,15,16,17,18,19,20,21,22,23,24,25,26,27,28,29,30}-1)*LEN(Registro!$F368)+1,LEN(Registro!$F368)))&amp;"x")-1)),--("0"&amp;MID(TRIM(MID(SUBSTITUTE(SUBSTITUTE(SUBSTITUTE(SUBSTITUTE(SUBSTITUTE(LOWER(Registro!$F368)," ",""),CHAR(10),"|"),";","|"),"+","|"),"|",REPT(" ",LEN(Registro!$F368))),({1,2,3,4,5,6,7,8,9,10,11,12,13,14,15,16,17,18,19,20,21,22,23,24,25,26,27,28,29,30}-1)*LEN(Registro!$F368)+1,LEN(Registro!$F368))),FIND("x",TRIM(MID(SUBSTITUTE(SUBSTITUTE(SUBSTITUTE(SUBSTITUTE(SUBSTITUTE(LOWER(Registro!$F368)," ",""),CHAR(10),"|"),";","|"),"+","|"),"|",REPT(" ",LEN(Registro!$F368))),({1,2,3,4,5,6,7,8,9,10,11,12,13,14,15,16,17,18,19,20,21,22,23,24,25,26,27,28,29,30}-1)*LEN(Registro!$F368)+1,LEN(Registro!$F368)))&amp;"x")+1,20))),"Revisar formato")))</f>
        <v/>
      </c>
      <c r="H368" s="21" t="str">
        <f>IF(AND(Registro!$E368="",Registro!$F368=""),"",IF(NOT(AND(ISNUMBER(G368),ISNUMBER(Registro!$G368))),"",IF(G368&lt;Registro!$G368,"FALTA BOLETOS",IF(G368=Registro!$G368,"CONFORME","DIFERENCIA"))))</f>
        <v/>
      </c>
      <c r="I368" s="24" t="str">
        <f>IF(Registro!$H368="","",IFERROR(SUMPRODUCT(--("0"&amp;TRIM(RIGHT(SUBSTITUTE(TRIM(MID(SUBSTITUTE(SUBSTITUTE(Registro!$H368,";",CHAR(10)),CHAR(10),REPT(" ",LEN(Registro!$H368))),({1,2,3,4,5,6,7,8,9,10,11,12,13,14,15,16,17,18,19,20,21,22,23,24,25,26,27,28,29,30}-1)*LEN(Registro!$H368)+1,LEN(Registro!$H368)))," ",REPT(" ",50)),50)))),"Revisar formato"))</f>
        <v/>
      </c>
      <c r="J368" s="24" t="str">
        <f>IF(Registro!$I368="","",IFERROR(SUMPRODUCT(--("0"&amp;TRIM(RIGHT(SUBSTITUTE(TRIM(MID(SUBSTITUTE(SUBSTITUTE(Registro!$I368,";",CHAR(10)),CHAR(10),REPT(" ",LEN(Registro!$I368))),({1,2,3,4,5,6,7,8,9,10,11,12,13,14,15,16,17,18,19,20,21,22,23,24,25,26,27,28,29,30}-1)*LEN(Registro!$I368)+1,LEN(Registro!$I368)))," ",REPT(" ",50)),50)))),"Revisar formato"))</f>
        <v/>
      </c>
      <c r="K368" s="24" t="str">
        <f>IF(AND(Registro!$G368="",Registro!$H368=""),"",IF(AND(ISTEXT(I368),I368&lt;&gt;""),"Revisar formato",N(Registro!$G368)-N(I368)))</f>
        <v/>
      </c>
      <c r="L368" s="24" t="str">
        <f t="shared" si="11"/>
        <v/>
      </c>
      <c r="M368" s="36" t="str">
        <f>IF(AND(A368=Consulta!$B$3,C368=Consulta!$H$3),B368*10000+ROW(),"")</f>
        <v/>
      </c>
    </row>
    <row r="369" spans="1:13" x14ac:dyDescent="0.25">
      <c r="A369" s="21" t="str">
        <f>IF(Registro!$A369="","",Registro!$A369)</f>
        <v/>
      </c>
      <c r="B369" s="20" t="str">
        <f>IF(Registro!$B369="","",Registro!$B369)</f>
        <v/>
      </c>
      <c r="C369" s="35" t="str">
        <f t="shared" si="10"/>
        <v/>
      </c>
      <c r="D369" s="23" t="str">
        <f>IF(Registro!$E369="","",IF(ISERROR(FIND("x",LOWER(Registro!$E369))),"-",IFERROR(SUMPRODUCT(--("0"&amp;LEFT(TRIM(MID(SUBSTITUTE(SUBSTITUTE(SUBSTITUTE(SUBSTITUTE(SUBSTITUTE(LOWER(Registro!$E369),"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",LEN(Registro!$E369))),({1,2,3,4,5,6,7,8,9,10,11,12,13,14,15,16,17,18,19,20,21,22,23,24,25,26,27,28,29,30}-1)*LEN(Registro!$E369)+1,LEN(Registro!$E369))),FIND("x",TRIM(MID(SUBSTITUTE(SUBSTITUTE(SUBSTITUTE(SUBSTITUTE(SUBSTITUTE(LOWER(Registro!$E369),"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",LEN(Registro!$E369))),({1,2,3,4,5,6,7,8,9,10,11,12,13,14,15,16,17,18,19,20,21,22,23,24,25,26,27,28,29,30}-1)*LEN(Registro!$E369)+1,LEN(Registro!$E369)))&amp;"x")-1))),"Revisar formato")))</f>
        <v/>
      </c>
      <c r="E369" s="24" t="str">
        <f>IF(Registro!$E369="","",IF(ISERROR(FIND("x",LOWER(Registro!$E369))),"-",IFERROR(SUMPRODUCT(--("0"&amp;LEFT(TRIM(MID(SUBSTITUTE(SUBSTITUTE(SUBSTITUTE(SUBSTITUTE(SUBSTITUTE(LOWER(Registro!$E369),"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",LEN(Registro!$E369))),({1,2,3,4,5,6,7,8,9,10,11,12,13,14,15,16,17,18,19,20,21,22,23,24,25,26,27,28,29,30}-1)*LEN(Registro!$E369)+1,LEN(Registro!$E369))),FIND("x",TRIM(MID(SUBSTITUTE(SUBSTITUTE(SUBSTITUTE(SUBSTITUTE(SUBSTITUTE(LOWER(Registro!$E369),"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",LEN(Registro!$E369))),({1,2,3,4,5,6,7,8,9,10,11,12,13,14,15,16,17,18,19,20,21,22,23,24,25,26,27,28,29,30}-1)*LEN(Registro!$E369)+1,LEN(Registro!$E369)))&amp;"x")-1)),--("0"&amp;MID(TRIM(MID(SUBSTITUTE(SUBSTITUTE(SUBSTITUTE(SUBSTITUTE(SUBSTITUTE(LOWER(Registro!$E369),"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",LEN(Registro!$E369))),({1,2,3,4,5,6,7,8,9,10,11,12,13,14,15,16,17,18,19,20,21,22,23,24,25,26,27,28,29,30}-1)*LEN(Registro!$E369)+1,LEN(Registro!$E369))),FIND("x",TRIM(MID(SUBSTITUTE(SUBSTITUTE(SUBSTITUTE(SUBSTITUTE(SUBSTITUTE(LOWER(Registro!$E369),"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",LEN(Registro!$E369))),({1,2,3,4,5,6,7,8,9,10,11,12,13,14,15,16,17,18,19,20,21,22,23,24,25,26,27,28,29,30}-1)*LEN(Registro!$E369)+1,LEN(Registro!$E369)))&amp;"x")+1,20))),"Revisar formato")))</f>
        <v/>
      </c>
      <c r="F369" s="23" t="str">
        <f>IF(Registro!$F369="","",IF(ISERROR(FIND("x",LOWER(Registro!$F369))),"-",IFERROR(SUMPRODUCT(--("0"&amp;LEFT(TRIM(MID(SUBSTITUTE(SUBSTITUTE(SUBSTITUTE(SUBSTITUTE(SUBSTITUTE(LOWER(Registro!$F369)," ",""),CHAR(10),"|"),";","|"),"+","|"),"|",REPT(" ",LEN(Registro!$F369))),({1,2,3,4,5,6,7,8,9,10,11,12,13,14,15,16,17,18,19,20,21,22,23,24,25,26,27,28,29,30}-1)*LEN(Registro!$F369)+1,LEN(Registro!$F369))),FIND("x",TRIM(MID(SUBSTITUTE(SUBSTITUTE(SUBSTITUTE(SUBSTITUTE(SUBSTITUTE(LOWER(Registro!$F369)," ",""),CHAR(10),"|"),";","|"),"+","|"),"|",REPT(" ",LEN(Registro!$F369))),({1,2,3,4,5,6,7,8,9,10,11,12,13,14,15,16,17,18,19,20,21,22,23,24,25,26,27,28,29,30}-1)*LEN(Registro!$F369)+1,LEN(Registro!$F369)))&amp;"x")-1))),"Revisar formato")))</f>
        <v/>
      </c>
      <c r="G369" s="24" t="str">
        <f>IF(Registro!$F369="","",IF(ISERROR(FIND("x",LOWER(Registro!$F369))),N(Registro!$G369),IFERROR(SUMPRODUCT(--("0"&amp;LEFT(TRIM(MID(SUBSTITUTE(SUBSTITUTE(SUBSTITUTE(SUBSTITUTE(SUBSTITUTE(LOWER(Registro!$F369)," ",""),CHAR(10),"|"),";","|"),"+","|"),"|",REPT(" ",LEN(Registro!$F369))),({1,2,3,4,5,6,7,8,9,10,11,12,13,14,15,16,17,18,19,20,21,22,23,24,25,26,27,28,29,30}-1)*LEN(Registro!$F369)+1,LEN(Registro!$F369))),FIND("x",TRIM(MID(SUBSTITUTE(SUBSTITUTE(SUBSTITUTE(SUBSTITUTE(SUBSTITUTE(LOWER(Registro!$F369)," ",""),CHAR(10),"|"),";","|"),"+","|"),"|",REPT(" ",LEN(Registro!$F369))),({1,2,3,4,5,6,7,8,9,10,11,12,13,14,15,16,17,18,19,20,21,22,23,24,25,26,27,28,29,30}-1)*LEN(Registro!$F369)+1,LEN(Registro!$F369)))&amp;"x")-1)),--("0"&amp;MID(TRIM(MID(SUBSTITUTE(SUBSTITUTE(SUBSTITUTE(SUBSTITUTE(SUBSTITUTE(LOWER(Registro!$F369)," ",""),CHAR(10),"|"),";","|"),"+","|"),"|",REPT(" ",LEN(Registro!$F369))),({1,2,3,4,5,6,7,8,9,10,11,12,13,14,15,16,17,18,19,20,21,22,23,24,25,26,27,28,29,30}-1)*LEN(Registro!$F369)+1,LEN(Registro!$F369))),FIND("x",TRIM(MID(SUBSTITUTE(SUBSTITUTE(SUBSTITUTE(SUBSTITUTE(SUBSTITUTE(LOWER(Registro!$F369)," ",""),CHAR(10),"|"),";","|"),"+","|"),"|",REPT(" ",LEN(Registro!$F369))),({1,2,3,4,5,6,7,8,9,10,11,12,13,14,15,16,17,18,19,20,21,22,23,24,25,26,27,28,29,30}-1)*LEN(Registro!$F369)+1,LEN(Registro!$F369)))&amp;"x")+1,20))),"Revisar formato")))</f>
        <v/>
      </c>
      <c r="H369" s="21" t="str">
        <f>IF(AND(Registro!$E369="",Registro!$F369=""),"",IF(NOT(AND(ISNUMBER(G369),ISNUMBER(Registro!$G369))),"",IF(G369&lt;Registro!$G369,"FALTA BOLETOS",IF(G369=Registro!$G369,"CONFORME","DIFERENCIA"))))</f>
        <v/>
      </c>
      <c r="I369" s="24" t="str">
        <f>IF(Registro!$H369="","",IFERROR(SUMPRODUCT(--("0"&amp;TRIM(RIGHT(SUBSTITUTE(TRIM(MID(SUBSTITUTE(SUBSTITUTE(Registro!$H369,";",CHAR(10)),CHAR(10),REPT(" ",LEN(Registro!$H369))),({1,2,3,4,5,6,7,8,9,10,11,12,13,14,15,16,17,18,19,20,21,22,23,24,25,26,27,28,29,30}-1)*LEN(Registro!$H369)+1,LEN(Registro!$H369)))," ",REPT(" ",50)),50)))),"Revisar formato"))</f>
        <v/>
      </c>
      <c r="J369" s="24" t="str">
        <f>IF(Registro!$I369="","",IFERROR(SUMPRODUCT(--("0"&amp;TRIM(RIGHT(SUBSTITUTE(TRIM(MID(SUBSTITUTE(SUBSTITUTE(Registro!$I369,";",CHAR(10)),CHAR(10),REPT(" ",LEN(Registro!$I369))),({1,2,3,4,5,6,7,8,9,10,11,12,13,14,15,16,17,18,19,20,21,22,23,24,25,26,27,28,29,30}-1)*LEN(Registro!$I369)+1,LEN(Registro!$I369)))," ",REPT(" ",50)),50)))),"Revisar formato"))</f>
        <v/>
      </c>
      <c r="K369" s="24" t="str">
        <f>IF(AND(Registro!$G369="",Registro!$H369=""),"",IF(AND(ISTEXT(I369),I369&lt;&gt;""),"Revisar formato",N(Registro!$G369)-N(I369)))</f>
        <v/>
      </c>
      <c r="L369" s="24" t="str">
        <f t="shared" si="11"/>
        <v/>
      </c>
      <c r="M369" s="36" t="str">
        <f>IF(AND(A369=Consulta!$B$3,C369=Consulta!$H$3),B369*10000+ROW(),"")</f>
        <v/>
      </c>
    </row>
    <row r="370" spans="1:13" x14ac:dyDescent="0.25">
      <c r="A370" s="21" t="str">
        <f>IF(Registro!$A370="","",Registro!$A370)</f>
        <v/>
      </c>
      <c r="B370" s="20" t="str">
        <f>IF(Registro!$B370="","",Registro!$B370)</f>
        <v/>
      </c>
      <c r="C370" s="35" t="str">
        <f t="shared" si="10"/>
        <v/>
      </c>
      <c r="D370" s="23" t="str">
        <f>IF(Registro!$E370="","",IF(ISERROR(FIND("x",LOWER(Registro!$E370))),"-",IFERROR(SUMPRODUCT(--("0"&amp;LEFT(TRIM(MID(SUBSTITUTE(SUBSTITUTE(SUBSTITUTE(SUBSTITUTE(SUBSTITUTE(LOWER(Registro!$E370),"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",LEN(Registro!$E370))),({1,2,3,4,5,6,7,8,9,10,11,12,13,14,15,16,17,18,19,20,21,22,23,24,25,26,27,28,29,30}-1)*LEN(Registro!$E370)+1,LEN(Registro!$E370))),FIND("x",TRIM(MID(SUBSTITUTE(SUBSTITUTE(SUBSTITUTE(SUBSTITUTE(SUBSTITUTE(LOWER(Registro!$E370),"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",LEN(Registro!$E370))),({1,2,3,4,5,6,7,8,9,10,11,12,13,14,15,16,17,18,19,20,21,22,23,24,25,26,27,28,29,30}-1)*LEN(Registro!$E370)+1,LEN(Registro!$E370)))&amp;"x")-1))),"Revisar formato")))</f>
        <v/>
      </c>
      <c r="E370" s="24" t="str">
        <f>IF(Registro!$E370="","",IF(ISERROR(FIND("x",LOWER(Registro!$E370))),"-",IFERROR(SUMPRODUCT(--("0"&amp;LEFT(TRIM(MID(SUBSTITUTE(SUBSTITUTE(SUBSTITUTE(SUBSTITUTE(SUBSTITUTE(LOWER(Registro!$E370),"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",LEN(Registro!$E370))),({1,2,3,4,5,6,7,8,9,10,11,12,13,14,15,16,17,18,19,20,21,22,23,24,25,26,27,28,29,30}-1)*LEN(Registro!$E370)+1,LEN(Registro!$E370))),FIND("x",TRIM(MID(SUBSTITUTE(SUBSTITUTE(SUBSTITUTE(SUBSTITUTE(SUBSTITUTE(LOWER(Registro!$E370),"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",LEN(Registro!$E370))),({1,2,3,4,5,6,7,8,9,10,11,12,13,14,15,16,17,18,19,20,21,22,23,24,25,26,27,28,29,30}-1)*LEN(Registro!$E370)+1,LEN(Registro!$E370)))&amp;"x")-1)),--("0"&amp;MID(TRIM(MID(SUBSTITUTE(SUBSTITUTE(SUBSTITUTE(SUBSTITUTE(SUBSTITUTE(LOWER(Registro!$E370),"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",LEN(Registro!$E370))),({1,2,3,4,5,6,7,8,9,10,11,12,13,14,15,16,17,18,19,20,21,22,23,24,25,26,27,28,29,30}-1)*LEN(Registro!$E370)+1,LEN(Registro!$E370))),FIND("x",TRIM(MID(SUBSTITUTE(SUBSTITUTE(SUBSTITUTE(SUBSTITUTE(SUBSTITUTE(LOWER(Registro!$E370),"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",LEN(Registro!$E370))),({1,2,3,4,5,6,7,8,9,10,11,12,13,14,15,16,17,18,19,20,21,22,23,24,25,26,27,28,29,30}-1)*LEN(Registro!$E370)+1,LEN(Registro!$E370)))&amp;"x")+1,20))),"Revisar formato")))</f>
        <v/>
      </c>
      <c r="F370" s="23" t="str">
        <f>IF(Registro!$F370="","",IF(ISERROR(FIND("x",LOWER(Registro!$F370))),"-",IFERROR(SUMPRODUCT(--("0"&amp;LEFT(TRIM(MID(SUBSTITUTE(SUBSTITUTE(SUBSTITUTE(SUBSTITUTE(SUBSTITUTE(LOWER(Registro!$F370)," ",""),CHAR(10),"|"),";","|"),"+","|"),"|",REPT(" ",LEN(Registro!$F370))),({1,2,3,4,5,6,7,8,9,10,11,12,13,14,15,16,17,18,19,20,21,22,23,24,25,26,27,28,29,30}-1)*LEN(Registro!$F370)+1,LEN(Registro!$F370))),FIND("x",TRIM(MID(SUBSTITUTE(SUBSTITUTE(SUBSTITUTE(SUBSTITUTE(SUBSTITUTE(LOWER(Registro!$F370)," ",""),CHAR(10),"|"),";","|"),"+","|"),"|",REPT(" ",LEN(Registro!$F370))),({1,2,3,4,5,6,7,8,9,10,11,12,13,14,15,16,17,18,19,20,21,22,23,24,25,26,27,28,29,30}-1)*LEN(Registro!$F370)+1,LEN(Registro!$F370)))&amp;"x")-1))),"Revisar formato")))</f>
        <v/>
      </c>
      <c r="G370" s="24" t="str">
        <f>IF(Registro!$F370="","",IF(ISERROR(FIND("x",LOWER(Registro!$F370))),N(Registro!$G370),IFERROR(SUMPRODUCT(--("0"&amp;LEFT(TRIM(MID(SUBSTITUTE(SUBSTITUTE(SUBSTITUTE(SUBSTITUTE(SUBSTITUTE(LOWER(Registro!$F370)," ",""),CHAR(10),"|"),";","|"),"+","|"),"|",REPT(" ",LEN(Registro!$F370))),({1,2,3,4,5,6,7,8,9,10,11,12,13,14,15,16,17,18,19,20,21,22,23,24,25,26,27,28,29,30}-1)*LEN(Registro!$F370)+1,LEN(Registro!$F370))),FIND("x",TRIM(MID(SUBSTITUTE(SUBSTITUTE(SUBSTITUTE(SUBSTITUTE(SUBSTITUTE(LOWER(Registro!$F370)," ",""),CHAR(10),"|"),";","|"),"+","|"),"|",REPT(" ",LEN(Registro!$F370))),({1,2,3,4,5,6,7,8,9,10,11,12,13,14,15,16,17,18,19,20,21,22,23,24,25,26,27,28,29,30}-1)*LEN(Registro!$F370)+1,LEN(Registro!$F370)))&amp;"x")-1)),--("0"&amp;MID(TRIM(MID(SUBSTITUTE(SUBSTITUTE(SUBSTITUTE(SUBSTITUTE(SUBSTITUTE(LOWER(Registro!$F370)," ",""),CHAR(10),"|"),";","|"),"+","|"),"|",REPT(" ",LEN(Registro!$F370))),({1,2,3,4,5,6,7,8,9,10,11,12,13,14,15,16,17,18,19,20,21,22,23,24,25,26,27,28,29,30}-1)*LEN(Registro!$F370)+1,LEN(Registro!$F370))),FIND("x",TRIM(MID(SUBSTITUTE(SUBSTITUTE(SUBSTITUTE(SUBSTITUTE(SUBSTITUTE(LOWER(Registro!$F370)," ",""),CHAR(10),"|"),";","|"),"+","|"),"|",REPT(" ",LEN(Registro!$F370))),({1,2,3,4,5,6,7,8,9,10,11,12,13,14,15,16,17,18,19,20,21,22,23,24,25,26,27,28,29,30}-1)*LEN(Registro!$F370)+1,LEN(Registro!$F370)))&amp;"x")+1,20))),"Revisar formato")))</f>
        <v/>
      </c>
      <c r="H370" s="21" t="str">
        <f>IF(AND(Registro!$E370="",Registro!$F370=""),"",IF(NOT(AND(ISNUMBER(G370),ISNUMBER(Registro!$G370))),"",IF(G370&lt;Registro!$G370,"FALTA BOLETOS",IF(G370=Registro!$G370,"CONFORME","DIFERENCIA"))))</f>
        <v/>
      </c>
      <c r="I370" s="24" t="str">
        <f>IF(Registro!$H370="","",IFERROR(SUMPRODUCT(--("0"&amp;TRIM(RIGHT(SUBSTITUTE(TRIM(MID(SUBSTITUTE(SUBSTITUTE(Registro!$H370,";",CHAR(10)),CHAR(10),REPT(" ",LEN(Registro!$H370))),({1,2,3,4,5,6,7,8,9,10,11,12,13,14,15,16,17,18,19,20,21,22,23,24,25,26,27,28,29,30}-1)*LEN(Registro!$H370)+1,LEN(Registro!$H370)))," ",REPT(" ",50)),50)))),"Revisar formato"))</f>
        <v/>
      </c>
      <c r="J370" s="24" t="str">
        <f>IF(Registro!$I370="","",IFERROR(SUMPRODUCT(--("0"&amp;TRIM(RIGHT(SUBSTITUTE(TRIM(MID(SUBSTITUTE(SUBSTITUTE(Registro!$I370,";",CHAR(10)),CHAR(10),REPT(" ",LEN(Registro!$I370))),({1,2,3,4,5,6,7,8,9,10,11,12,13,14,15,16,17,18,19,20,21,22,23,24,25,26,27,28,29,30}-1)*LEN(Registro!$I370)+1,LEN(Registro!$I370)))," ",REPT(" ",50)),50)))),"Revisar formato"))</f>
        <v/>
      </c>
      <c r="K370" s="24" t="str">
        <f>IF(AND(Registro!$G370="",Registro!$H370=""),"",IF(AND(ISTEXT(I370),I370&lt;&gt;""),"Revisar formato",N(Registro!$G370)-N(I370)))</f>
        <v/>
      </c>
      <c r="L370" s="24" t="str">
        <f t="shared" si="11"/>
        <v/>
      </c>
      <c r="M370" s="36" t="str">
        <f>IF(AND(A370=Consulta!$B$3,C370=Consulta!$H$3),B370*10000+ROW(),"")</f>
        <v/>
      </c>
    </row>
    <row r="371" spans="1:13" x14ac:dyDescent="0.25">
      <c r="A371" s="21" t="str">
        <f>IF(Registro!$A371="","",Registro!$A371)</f>
        <v/>
      </c>
      <c r="B371" s="20" t="str">
        <f>IF(Registro!$B371="","",Registro!$B371)</f>
        <v/>
      </c>
      <c r="C371" s="35" t="str">
        <f t="shared" si="10"/>
        <v/>
      </c>
      <c r="D371" s="23" t="str">
        <f>IF(Registro!$E371="","",IF(ISERROR(FIND("x",LOWER(Registro!$E371))),"-",IFERROR(SUMPRODUCT(--("0"&amp;LEFT(TRIM(MID(SUBSTITUTE(SUBSTITUTE(SUBSTITUTE(SUBSTITUTE(SUBSTITUTE(LOWER(Registro!$E371),"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",LEN(Registro!$E371))),({1,2,3,4,5,6,7,8,9,10,11,12,13,14,15,16,17,18,19,20,21,22,23,24,25,26,27,28,29,30}-1)*LEN(Registro!$E371)+1,LEN(Registro!$E371))),FIND("x",TRIM(MID(SUBSTITUTE(SUBSTITUTE(SUBSTITUTE(SUBSTITUTE(SUBSTITUTE(LOWER(Registro!$E371),"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",LEN(Registro!$E371))),({1,2,3,4,5,6,7,8,9,10,11,12,13,14,15,16,17,18,19,20,21,22,23,24,25,26,27,28,29,30}-1)*LEN(Registro!$E371)+1,LEN(Registro!$E371)))&amp;"x")-1))),"Revisar formato")))</f>
        <v/>
      </c>
      <c r="E371" s="24" t="str">
        <f>IF(Registro!$E371="","",IF(ISERROR(FIND("x",LOWER(Registro!$E371))),"-",IFERROR(SUMPRODUCT(--("0"&amp;LEFT(TRIM(MID(SUBSTITUTE(SUBSTITUTE(SUBSTITUTE(SUBSTITUTE(SUBSTITUTE(LOWER(Registro!$E371),"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",LEN(Registro!$E371))),({1,2,3,4,5,6,7,8,9,10,11,12,13,14,15,16,17,18,19,20,21,22,23,24,25,26,27,28,29,30}-1)*LEN(Registro!$E371)+1,LEN(Registro!$E371))),FIND("x",TRIM(MID(SUBSTITUTE(SUBSTITUTE(SUBSTITUTE(SUBSTITUTE(SUBSTITUTE(LOWER(Registro!$E371),"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",LEN(Registro!$E371))),({1,2,3,4,5,6,7,8,9,10,11,12,13,14,15,16,17,18,19,20,21,22,23,24,25,26,27,28,29,30}-1)*LEN(Registro!$E371)+1,LEN(Registro!$E371)))&amp;"x")-1)),--("0"&amp;MID(TRIM(MID(SUBSTITUTE(SUBSTITUTE(SUBSTITUTE(SUBSTITUTE(SUBSTITUTE(LOWER(Registro!$E371),"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",LEN(Registro!$E371))),({1,2,3,4,5,6,7,8,9,10,11,12,13,14,15,16,17,18,19,20,21,22,23,24,25,26,27,28,29,30}-1)*LEN(Registro!$E371)+1,LEN(Registro!$E371))),FIND("x",TRIM(MID(SUBSTITUTE(SUBSTITUTE(SUBSTITUTE(SUBSTITUTE(SUBSTITUTE(LOWER(Registro!$E371),"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",LEN(Registro!$E371))),({1,2,3,4,5,6,7,8,9,10,11,12,13,14,15,16,17,18,19,20,21,22,23,24,25,26,27,28,29,30}-1)*LEN(Registro!$E371)+1,LEN(Registro!$E371)))&amp;"x")+1,20))),"Revisar formato")))</f>
        <v/>
      </c>
      <c r="F371" s="23" t="str">
        <f>IF(Registro!$F371="","",IF(ISERROR(FIND("x",LOWER(Registro!$F371))),"-",IFERROR(SUMPRODUCT(--("0"&amp;LEFT(TRIM(MID(SUBSTITUTE(SUBSTITUTE(SUBSTITUTE(SUBSTITUTE(SUBSTITUTE(LOWER(Registro!$F371)," ",""),CHAR(10),"|"),";","|"),"+","|"),"|",REPT(" ",LEN(Registro!$F371))),({1,2,3,4,5,6,7,8,9,10,11,12,13,14,15,16,17,18,19,20,21,22,23,24,25,26,27,28,29,30}-1)*LEN(Registro!$F371)+1,LEN(Registro!$F371))),FIND("x",TRIM(MID(SUBSTITUTE(SUBSTITUTE(SUBSTITUTE(SUBSTITUTE(SUBSTITUTE(LOWER(Registro!$F371)," ",""),CHAR(10),"|"),";","|"),"+","|"),"|",REPT(" ",LEN(Registro!$F371))),({1,2,3,4,5,6,7,8,9,10,11,12,13,14,15,16,17,18,19,20,21,22,23,24,25,26,27,28,29,30}-1)*LEN(Registro!$F371)+1,LEN(Registro!$F371)))&amp;"x")-1))),"Revisar formato")))</f>
        <v/>
      </c>
      <c r="G371" s="24" t="str">
        <f>IF(Registro!$F371="","",IF(ISERROR(FIND("x",LOWER(Registro!$F371))),N(Registro!$G371),IFERROR(SUMPRODUCT(--("0"&amp;LEFT(TRIM(MID(SUBSTITUTE(SUBSTITUTE(SUBSTITUTE(SUBSTITUTE(SUBSTITUTE(LOWER(Registro!$F371)," ",""),CHAR(10),"|"),";","|"),"+","|"),"|",REPT(" ",LEN(Registro!$F371))),({1,2,3,4,5,6,7,8,9,10,11,12,13,14,15,16,17,18,19,20,21,22,23,24,25,26,27,28,29,30}-1)*LEN(Registro!$F371)+1,LEN(Registro!$F371))),FIND("x",TRIM(MID(SUBSTITUTE(SUBSTITUTE(SUBSTITUTE(SUBSTITUTE(SUBSTITUTE(LOWER(Registro!$F371)," ",""),CHAR(10),"|"),";","|"),"+","|"),"|",REPT(" ",LEN(Registro!$F371))),({1,2,3,4,5,6,7,8,9,10,11,12,13,14,15,16,17,18,19,20,21,22,23,24,25,26,27,28,29,30}-1)*LEN(Registro!$F371)+1,LEN(Registro!$F371)))&amp;"x")-1)),--("0"&amp;MID(TRIM(MID(SUBSTITUTE(SUBSTITUTE(SUBSTITUTE(SUBSTITUTE(SUBSTITUTE(LOWER(Registro!$F371)," ",""),CHAR(10),"|"),";","|"),"+","|"),"|",REPT(" ",LEN(Registro!$F371))),({1,2,3,4,5,6,7,8,9,10,11,12,13,14,15,16,17,18,19,20,21,22,23,24,25,26,27,28,29,30}-1)*LEN(Registro!$F371)+1,LEN(Registro!$F371))),FIND("x",TRIM(MID(SUBSTITUTE(SUBSTITUTE(SUBSTITUTE(SUBSTITUTE(SUBSTITUTE(LOWER(Registro!$F371)," ",""),CHAR(10),"|"),";","|"),"+","|"),"|",REPT(" ",LEN(Registro!$F371))),({1,2,3,4,5,6,7,8,9,10,11,12,13,14,15,16,17,18,19,20,21,22,23,24,25,26,27,28,29,30}-1)*LEN(Registro!$F371)+1,LEN(Registro!$F371)))&amp;"x")+1,20))),"Revisar formato")))</f>
        <v/>
      </c>
      <c r="H371" s="21" t="str">
        <f>IF(AND(Registro!$E371="",Registro!$F371=""),"",IF(NOT(AND(ISNUMBER(G371),ISNUMBER(Registro!$G371))),"",IF(G371&lt;Registro!$G371,"FALTA BOLETOS",IF(G371=Registro!$G371,"CONFORME","DIFERENCIA"))))</f>
        <v/>
      </c>
      <c r="I371" s="24" t="str">
        <f>IF(Registro!$H371="","",IFERROR(SUMPRODUCT(--("0"&amp;TRIM(RIGHT(SUBSTITUTE(TRIM(MID(SUBSTITUTE(SUBSTITUTE(Registro!$H371,";",CHAR(10)),CHAR(10),REPT(" ",LEN(Registro!$H371))),({1,2,3,4,5,6,7,8,9,10,11,12,13,14,15,16,17,18,19,20,21,22,23,24,25,26,27,28,29,30}-1)*LEN(Registro!$H371)+1,LEN(Registro!$H371)))," ",REPT(" ",50)),50)))),"Revisar formato"))</f>
        <v/>
      </c>
      <c r="J371" s="24" t="str">
        <f>IF(Registro!$I371="","",IFERROR(SUMPRODUCT(--("0"&amp;TRIM(RIGHT(SUBSTITUTE(TRIM(MID(SUBSTITUTE(SUBSTITUTE(Registro!$I371,";",CHAR(10)),CHAR(10),REPT(" ",LEN(Registro!$I371))),({1,2,3,4,5,6,7,8,9,10,11,12,13,14,15,16,17,18,19,20,21,22,23,24,25,26,27,28,29,30}-1)*LEN(Registro!$I371)+1,LEN(Registro!$I371)))," ",REPT(" ",50)),50)))),"Revisar formato"))</f>
        <v/>
      </c>
      <c r="K371" s="24" t="str">
        <f>IF(AND(Registro!$G371="",Registro!$H371=""),"",IF(AND(ISTEXT(I371),I371&lt;&gt;""),"Revisar formato",N(Registro!$G371)-N(I371)))</f>
        <v/>
      </c>
      <c r="L371" s="24" t="str">
        <f t="shared" si="11"/>
        <v/>
      </c>
      <c r="M371" s="36" t="str">
        <f>IF(AND(A371=Consulta!$B$3,C371=Consulta!$H$3),B371*10000+ROW(),"")</f>
        <v/>
      </c>
    </row>
    <row r="372" spans="1:13" x14ac:dyDescent="0.25">
      <c r="A372" s="21" t="str">
        <f>IF(Registro!$A372="","",Registro!$A372)</f>
        <v/>
      </c>
      <c r="B372" s="20" t="str">
        <f>IF(Registro!$B372="","",Registro!$B372)</f>
        <v/>
      </c>
      <c r="C372" s="35" t="str">
        <f t="shared" si="10"/>
        <v/>
      </c>
      <c r="D372" s="23" t="str">
        <f>IF(Registro!$E372="","",IF(ISERROR(FIND("x",LOWER(Registro!$E372))),"-",IFERROR(SUMPRODUCT(--("0"&amp;LEFT(TRIM(MID(SUBSTITUTE(SUBSTITUTE(SUBSTITUTE(SUBSTITUTE(SUBSTITUTE(LOWER(Registro!$E372),"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",LEN(Registro!$E372))),({1,2,3,4,5,6,7,8,9,10,11,12,13,14,15,16,17,18,19,20,21,22,23,24,25,26,27,28,29,30}-1)*LEN(Registro!$E372)+1,LEN(Registro!$E372))),FIND("x",TRIM(MID(SUBSTITUTE(SUBSTITUTE(SUBSTITUTE(SUBSTITUTE(SUBSTITUTE(LOWER(Registro!$E372),"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",LEN(Registro!$E372))),({1,2,3,4,5,6,7,8,9,10,11,12,13,14,15,16,17,18,19,20,21,22,23,24,25,26,27,28,29,30}-1)*LEN(Registro!$E372)+1,LEN(Registro!$E372)))&amp;"x")-1))),"Revisar formato")))</f>
        <v/>
      </c>
      <c r="E372" s="24" t="str">
        <f>IF(Registro!$E372="","",IF(ISERROR(FIND("x",LOWER(Registro!$E372))),"-",IFERROR(SUMPRODUCT(--("0"&amp;LEFT(TRIM(MID(SUBSTITUTE(SUBSTITUTE(SUBSTITUTE(SUBSTITUTE(SUBSTITUTE(LOWER(Registro!$E372),"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",LEN(Registro!$E372))),({1,2,3,4,5,6,7,8,9,10,11,12,13,14,15,16,17,18,19,20,21,22,23,24,25,26,27,28,29,30}-1)*LEN(Registro!$E372)+1,LEN(Registro!$E372))),FIND("x",TRIM(MID(SUBSTITUTE(SUBSTITUTE(SUBSTITUTE(SUBSTITUTE(SUBSTITUTE(LOWER(Registro!$E372),"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",LEN(Registro!$E372))),({1,2,3,4,5,6,7,8,9,10,11,12,13,14,15,16,17,18,19,20,21,22,23,24,25,26,27,28,29,30}-1)*LEN(Registro!$E372)+1,LEN(Registro!$E372)))&amp;"x")-1)),--("0"&amp;MID(TRIM(MID(SUBSTITUTE(SUBSTITUTE(SUBSTITUTE(SUBSTITUTE(SUBSTITUTE(LOWER(Registro!$E372),"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",LEN(Registro!$E372))),({1,2,3,4,5,6,7,8,9,10,11,12,13,14,15,16,17,18,19,20,21,22,23,24,25,26,27,28,29,30}-1)*LEN(Registro!$E372)+1,LEN(Registro!$E372))),FIND("x",TRIM(MID(SUBSTITUTE(SUBSTITUTE(SUBSTITUTE(SUBSTITUTE(SUBSTITUTE(LOWER(Registro!$E372),"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",LEN(Registro!$E372))),({1,2,3,4,5,6,7,8,9,10,11,12,13,14,15,16,17,18,19,20,21,22,23,24,25,26,27,28,29,30}-1)*LEN(Registro!$E372)+1,LEN(Registro!$E372)))&amp;"x")+1,20))),"Revisar formato")))</f>
        <v/>
      </c>
      <c r="F372" s="23" t="str">
        <f>IF(Registro!$F372="","",IF(ISERROR(FIND("x",LOWER(Registro!$F372))),"-",IFERROR(SUMPRODUCT(--("0"&amp;LEFT(TRIM(MID(SUBSTITUTE(SUBSTITUTE(SUBSTITUTE(SUBSTITUTE(SUBSTITUTE(LOWER(Registro!$F372)," ",""),CHAR(10),"|"),";","|"),"+","|"),"|",REPT(" ",LEN(Registro!$F372))),({1,2,3,4,5,6,7,8,9,10,11,12,13,14,15,16,17,18,19,20,21,22,23,24,25,26,27,28,29,30}-1)*LEN(Registro!$F372)+1,LEN(Registro!$F372))),FIND("x",TRIM(MID(SUBSTITUTE(SUBSTITUTE(SUBSTITUTE(SUBSTITUTE(SUBSTITUTE(LOWER(Registro!$F372)," ",""),CHAR(10),"|"),";","|"),"+","|"),"|",REPT(" ",LEN(Registro!$F372))),({1,2,3,4,5,6,7,8,9,10,11,12,13,14,15,16,17,18,19,20,21,22,23,24,25,26,27,28,29,30}-1)*LEN(Registro!$F372)+1,LEN(Registro!$F372)))&amp;"x")-1))),"Revisar formato")))</f>
        <v/>
      </c>
      <c r="G372" s="24" t="str">
        <f>IF(Registro!$F372="","",IF(ISERROR(FIND("x",LOWER(Registro!$F372))),N(Registro!$G372),IFERROR(SUMPRODUCT(--("0"&amp;LEFT(TRIM(MID(SUBSTITUTE(SUBSTITUTE(SUBSTITUTE(SUBSTITUTE(SUBSTITUTE(LOWER(Registro!$F372)," ",""),CHAR(10),"|"),";","|"),"+","|"),"|",REPT(" ",LEN(Registro!$F372))),({1,2,3,4,5,6,7,8,9,10,11,12,13,14,15,16,17,18,19,20,21,22,23,24,25,26,27,28,29,30}-1)*LEN(Registro!$F372)+1,LEN(Registro!$F372))),FIND("x",TRIM(MID(SUBSTITUTE(SUBSTITUTE(SUBSTITUTE(SUBSTITUTE(SUBSTITUTE(LOWER(Registro!$F372)," ",""),CHAR(10),"|"),";","|"),"+","|"),"|",REPT(" ",LEN(Registro!$F372))),({1,2,3,4,5,6,7,8,9,10,11,12,13,14,15,16,17,18,19,20,21,22,23,24,25,26,27,28,29,30}-1)*LEN(Registro!$F372)+1,LEN(Registro!$F372)))&amp;"x")-1)),--("0"&amp;MID(TRIM(MID(SUBSTITUTE(SUBSTITUTE(SUBSTITUTE(SUBSTITUTE(SUBSTITUTE(LOWER(Registro!$F372)," ",""),CHAR(10),"|"),";","|"),"+","|"),"|",REPT(" ",LEN(Registro!$F372))),({1,2,3,4,5,6,7,8,9,10,11,12,13,14,15,16,17,18,19,20,21,22,23,24,25,26,27,28,29,30}-1)*LEN(Registro!$F372)+1,LEN(Registro!$F372))),FIND("x",TRIM(MID(SUBSTITUTE(SUBSTITUTE(SUBSTITUTE(SUBSTITUTE(SUBSTITUTE(LOWER(Registro!$F372)," ",""),CHAR(10),"|"),";","|"),"+","|"),"|",REPT(" ",LEN(Registro!$F372))),({1,2,3,4,5,6,7,8,9,10,11,12,13,14,15,16,17,18,19,20,21,22,23,24,25,26,27,28,29,30}-1)*LEN(Registro!$F372)+1,LEN(Registro!$F372)))&amp;"x")+1,20))),"Revisar formato")))</f>
        <v/>
      </c>
      <c r="H372" s="21" t="str">
        <f>IF(AND(Registro!$E372="",Registro!$F372=""),"",IF(NOT(AND(ISNUMBER(G372),ISNUMBER(Registro!$G372))),"",IF(G372&lt;Registro!$G372,"FALTA BOLETOS",IF(G372=Registro!$G372,"CONFORME","DIFERENCIA"))))</f>
        <v/>
      </c>
      <c r="I372" s="24" t="str">
        <f>IF(Registro!$H372="","",IFERROR(SUMPRODUCT(--("0"&amp;TRIM(RIGHT(SUBSTITUTE(TRIM(MID(SUBSTITUTE(SUBSTITUTE(Registro!$H372,";",CHAR(10)),CHAR(10),REPT(" ",LEN(Registro!$H372))),({1,2,3,4,5,6,7,8,9,10,11,12,13,14,15,16,17,18,19,20,21,22,23,24,25,26,27,28,29,30}-1)*LEN(Registro!$H372)+1,LEN(Registro!$H372)))," ",REPT(" ",50)),50)))),"Revisar formato"))</f>
        <v/>
      </c>
      <c r="J372" s="24" t="str">
        <f>IF(Registro!$I372="","",IFERROR(SUMPRODUCT(--("0"&amp;TRIM(RIGHT(SUBSTITUTE(TRIM(MID(SUBSTITUTE(SUBSTITUTE(Registro!$I372,";",CHAR(10)),CHAR(10),REPT(" ",LEN(Registro!$I372))),({1,2,3,4,5,6,7,8,9,10,11,12,13,14,15,16,17,18,19,20,21,22,23,24,25,26,27,28,29,30}-1)*LEN(Registro!$I372)+1,LEN(Registro!$I372)))," ",REPT(" ",50)),50)))),"Revisar formato"))</f>
        <v/>
      </c>
      <c r="K372" s="24" t="str">
        <f>IF(AND(Registro!$G372="",Registro!$H372=""),"",IF(AND(ISTEXT(I372),I372&lt;&gt;""),"Revisar formato",N(Registro!$G372)-N(I372)))</f>
        <v/>
      </c>
      <c r="L372" s="24" t="str">
        <f t="shared" si="11"/>
        <v/>
      </c>
      <c r="M372" s="36" t="str">
        <f>IF(AND(A372=Consulta!$B$3,C372=Consulta!$H$3),B372*10000+ROW(),"")</f>
        <v/>
      </c>
    </row>
    <row r="373" spans="1:13" x14ac:dyDescent="0.25">
      <c r="A373" s="21" t="str">
        <f>IF(Registro!$A373="","",Registro!$A373)</f>
        <v/>
      </c>
      <c r="B373" s="20" t="str">
        <f>IF(Registro!$B373="","",Registro!$B373)</f>
        <v/>
      </c>
      <c r="C373" s="35" t="str">
        <f t="shared" si="10"/>
        <v/>
      </c>
      <c r="D373" s="23" t="str">
        <f>IF(Registro!$E373="","",IF(ISERROR(FIND("x",LOWER(Registro!$E373))),"-",IFERROR(SUMPRODUCT(--("0"&amp;LEFT(TRIM(MID(SUBSTITUTE(SUBSTITUTE(SUBSTITUTE(SUBSTITUTE(SUBSTITUTE(LOWER(Registro!$E373),"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",LEN(Registro!$E373))),({1,2,3,4,5,6,7,8,9,10,11,12,13,14,15,16,17,18,19,20,21,22,23,24,25,26,27,28,29,30}-1)*LEN(Registro!$E373)+1,LEN(Registro!$E373))),FIND("x",TRIM(MID(SUBSTITUTE(SUBSTITUTE(SUBSTITUTE(SUBSTITUTE(SUBSTITUTE(LOWER(Registro!$E373),"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",LEN(Registro!$E373))),({1,2,3,4,5,6,7,8,9,10,11,12,13,14,15,16,17,18,19,20,21,22,23,24,25,26,27,28,29,30}-1)*LEN(Registro!$E373)+1,LEN(Registro!$E373)))&amp;"x")-1))),"Revisar formato")))</f>
        <v/>
      </c>
      <c r="E373" s="24" t="str">
        <f>IF(Registro!$E373="","",IF(ISERROR(FIND("x",LOWER(Registro!$E373))),"-",IFERROR(SUMPRODUCT(--("0"&amp;LEFT(TRIM(MID(SUBSTITUTE(SUBSTITUTE(SUBSTITUTE(SUBSTITUTE(SUBSTITUTE(LOWER(Registro!$E373),"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",LEN(Registro!$E373))),({1,2,3,4,5,6,7,8,9,10,11,12,13,14,15,16,17,18,19,20,21,22,23,24,25,26,27,28,29,30}-1)*LEN(Registro!$E373)+1,LEN(Registro!$E373))),FIND("x",TRIM(MID(SUBSTITUTE(SUBSTITUTE(SUBSTITUTE(SUBSTITUTE(SUBSTITUTE(LOWER(Registro!$E373),"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",LEN(Registro!$E373))),({1,2,3,4,5,6,7,8,9,10,11,12,13,14,15,16,17,18,19,20,21,22,23,24,25,26,27,28,29,30}-1)*LEN(Registro!$E373)+1,LEN(Registro!$E373)))&amp;"x")-1)),--("0"&amp;MID(TRIM(MID(SUBSTITUTE(SUBSTITUTE(SUBSTITUTE(SUBSTITUTE(SUBSTITUTE(LOWER(Registro!$E373),"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",LEN(Registro!$E373))),({1,2,3,4,5,6,7,8,9,10,11,12,13,14,15,16,17,18,19,20,21,22,23,24,25,26,27,28,29,30}-1)*LEN(Registro!$E373)+1,LEN(Registro!$E373))),FIND("x",TRIM(MID(SUBSTITUTE(SUBSTITUTE(SUBSTITUTE(SUBSTITUTE(SUBSTITUTE(LOWER(Registro!$E373),"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",LEN(Registro!$E373))),({1,2,3,4,5,6,7,8,9,10,11,12,13,14,15,16,17,18,19,20,21,22,23,24,25,26,27,28,29,30}-1)*LEN(Registro!$E373)+1,LEN(Registro!$E373)))&amp;"x")+1,20))),"Revisar formato")))</f>
        <v/>
      </c>
      <c r="F373" s="23" t="str">
        <f>IF(Registro!$F373="","",IF(ISERROR(FIND("x",LOWER(Registro!$F373))),"-",IFERROR(SUMPRODUCT(--("0"&amp;LEFT(TRIM(MID(SUBSTITUTE(SUBSTITUTE(SUBSTITUTE(SUBSTITUTE(SUBSTITUTE(LOWER(Registro!$F373)," ",""),CHAR(10),"|"),";","|"),"+","|"),"|",REPT(" ",LEN(Registro!$F373))),({1,2,3,4,5,6,7,8,9,10,11,12,13,14,15,16,17,18,19,20,21,22,23,24,25,26,27,28,29,30}-1)*LEN(Registro!$F373)+1,LEN(Registro!$F373))),FIND("x",TRIM(MID(SUBSTITUTE(SUBSTITUTE(SUBSTITUTE(SUBSTITUTE(SUBSTITUTE(LOWER(Registro!$F373)," ",""),CHAR(10),"|"),";","|"),"+","|"),"|",REPT(" ",LEN(Registro!$F373))),({1,2,3,4,5,6,7,8,9,10,11,12,13,14,15,16,17,18,19,20,21,22,23,24,25,26,27,28,29,30}-1)*LEN(Registro!$F373)+1,LEN(Registro!$F373)))&amp;"x")-1))),"Revisar formato")))</f>
        <v/>
      </c>
      <c r="G373" s="24" t="str">
        <f>IF(Registro!$F373="","",IF(ISERROR(FIND("x",LOWER(Registro!$F373))),N(Registro!$G373),IFERROR(SUMPRODUCT(--("0"&amp;LEFT(TRIM(MID(SUBSTITUTE(SUBSTITUTE(SUBSTITUTE(SUBSTITUTE(SUBSTITUTE(LOWER(Registro!$F373)," ",""),CHAR(10),"|"),";","|"),"+","|"),"|",REPT(" ",LEN(Registro!$F373))),({1,2,3,4,5,6,7,8,9,10,11,12,13,14,15,16,17,18,19,20,21,22,23,24,25,26,27,28,29,30}-1)*LEN(Registro!$F373)+1,LEN(Registro!$F373))),FIND("x",TRIM(MID(SUBSTITUTE(SUBSTITUTE(SUBSTITUTE(SUBSTITUTE(SUBSTITUTE(LOWER(Registro!$F373)," ",""),CHAR(10),"|"),";","|"),"+","|"),"|",REPT(" ",LEN(Registro!$F373))),({1,2,3,4,5,6,7,8,9,10,11,12,13,14,15,16,17,18,19,20,21,22,23,24,25,26,27,28,29,30}-1)*LEN(Registro!$F373)+1,LEN(Registro!$F373)))&amp;"x")-1)),--("0"&amp;MID(TRIM(MID(SUBSTITUTE(SUBSTITUTE(SUBSTITUTE(SUBSTITUTE(SUBSTITUTE(LOWER(Registro!$F373)," ",""),CHAR(10),"|"),";","|"),"+","|"),"|",REPT(" ",LEN(Registro!$F373))),({1,2,3,4,5,6,7,8,9,10,11,12,13,14,15,16,17,18,19,20,21,22,23,24,25,26,27,28,29,30}-1)*LEN(Registro!$F373)+1,LEN(Registro!$F373))),FIND("x",TRIM(MID(SUBSTITUTE(SUBSTITUTE(SUBSTITUTE(SUBSTITUTE(SUBSTITUTE(LOWER(Registro!$F373)," ",""),CHAR(10),"|"),";","|"),"+","|"),"|",REPT(" ",LEN(Registro!$F373))),({1,2,3,4,5,6,7,8,9,10,11,12,13,14,15,16,17,18,19,20,21,22,23,24,25,26,27,28,29,30}-1)*LEN(Registro!$F373)+1,LEN(Registro!$F373)))&amp;"x")+1,20))),"Revisar formato")))</f>
        <v/>
      </c>
      <c r="H373" s="21" t="str">
        <f>IF(AND(Registro!$E373="",Registro!$F373=""),"",IF(NOT(AND(ISNUMBER(G373),ISNUMBER(Registro!$G373))),"",IF(G373&lt;Registro!$G373,"FALTA BOLETOS",IF(G373=Registro!$G373,"CONFORME","DIFERENCIA"))))</f>
        <v/>
      </c>
      <c r="I373" s="24" t="str">
        <f>IF(Registro!$H373="","",IFERROR(SUMPRODUCT(--("0"&amp;TRIM(RIGHT(SUBSTITUTE(TRIM(MID(SUBSTITUTE(SUBSTITUTE(Registro!$H373,";",CHAR(10)),CHAR(10),REPT(" ",LEN(Registro!$H373))),({1,2,3,4,5,6,7,8,9,10,11,12,13,14,15,16,17,18,19,20,21,22,23,24,25,26,27,28,29,30}-1)*LEN(Registro!$H373)+1,LEN(Registro!$H373)))," ",REPT(" ",50)),50)))),"Revisar formato"))</f>
        <v/>
      </c>
      <c r="J373" s="24" t="str">
        <f>IF(Registro!$I373="","",IFERROR(SUMPRODUCT(--("0"&amp;TRIM(RIGHT(SUBSTITUTE(TRIM(MID(SUBSTITUTE(SUBSTITUTE(Registro!$I373,";",CHAR(10)),CHAR(10),REPT(" ",LEN(Registro!$I373))),({1,2,3,4,5,6,7,8,9,10,11,12,13,14,15,16,17,18,19,20,21,22,23,24,25,26,27,28,29,30}-1)*LEN(Registro!$I373)+1,LEN(Registro!$I373)))," ",REPT(" ",50)),50)))),"Revisar formato"))</f>
        <v/>
      </c>
      <c r="K373" s="24" t="str">
        <f>IF(AND(Registro!$G373="",Registro!$H373=""),"",IF(AND(ISTEXT(I373),I373&lt;&gt;""),"Revisar formato",N(Registro!$G373)-N(I373)))</f>
        <v/>
      </c>
      <c r="L373" s="24" t="str">
        <f t="shared" si="11"/>
        <v/>
      </c>
      <c r="M373" s="36" t="str">
        <f>IF(AND(A373=Consulta!$B$3,C373=Consulta!$H$3),B373*10000+ROW(),"")</f>
        <v/>
      </c>
    </row>
    <row r="374" spans="1:13" x14ac:dyDescent="0.25">
      <c r="A374" s="21" t="str">
        <f>IF(Registro!$A374="","",Registro!$A374)</f>
        <v/>
      </c>
      <c r="B374" s="20" t="str">
        <f>IF(Registro!$B374="","",Registro!$B374)</f>
        <v/>
      </c>
      <c r="C374" s="35" t="str">
        <f t="shared" si="10"/>
        <v/>
      </c>
      <c r="D374" s="23" t="str">
        <f>IF(Registro!$E374="","",IF(ISERROR(FIND("x",LOWER(Registro!$E374))),"-",IFERROR(SUMPRODUCT(--("0"&amp;LEFT(TRIM(MID(SUBSTITUTE(SUBSTITUTE(SUBSTITUTE(SUBSTITUTE(SUBSTITUTE(LOWER(Registro!$E374),"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",LEN(Registro!$E374))),({1,2,3,4,5,6,7,8,9,10,11,12,13,14,15,16,17,18,19,20,21,22,23,24,25,26,27,28,29,30}-1)*LEN(Registro!$E374)+1,LEN(Registro!$E374))),FIND("x",TRIM(MID(SUBSTITUTE(SUBSTITUTE(SUBSTITUTE(SUBSTITUTE(SUBSTITUTE(LOWER(Registro!$E374),"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",LEN(Registro!$E374))),({1,2,3,4,5,6,7,8,9,10,11,12,13,14,15,16,17,18,19,20,21,22,23,24,25,26,27,28,29,30}-1)*LEN(Registro!$E374)+1,LEN(Registro!$E374)))&amp;"x")-1))),"Revisar formato")))</f>
        <v/>
      </c>
      <c r="E374" s="24" t="str">
        <f>IF(Registro!$E374="","",IF(ISERROR(FIND("x",LOWER(Registro!$E374))),"-",IFERROR(SUMPRODUCT(--("0"&amp;LEFT(TRIM(MID(SUBSTITUTE(SUBSTITUTE(SUBSTITUTE(SUBSTITUTE(SUBSTITUTE(LOWER(Registro!$E374),"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",LEN(Registro!$E374))),({1,2,3,4,5,6,7,8,9,10,11,12,13,14,15,16,17,18,19,20,21,22,23,24,25,26,27,28,29,30}-1)*LEN(Registro!$E374)+1,LEN(Registro!$E374))),FIND("x",TRIM(MID(SUBSTITUTE(SUBSTITUTE(SUBSTITUTE(SUBSTITUTE(SUBSTITUTE(LOWER(Registro!$E374),"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",LEN(Registro!$E374))),({1,2,3,4,5,6,7,8,9,10,11,12,13,14,15,16,17,18,19,20,21,22,23,24,25,26,27,28,29,30}-1)*LEN(Registro!$E374)+1,LEN(Registro!$E374)))&amp;"x")-1)),--("0"&amp;MID(TRIM(MID(SUBSTITUTE(SUBSTITUTE(SUBSTITUTE(SUBSTITUTE(SUBSTITUTE(LOWER(Registro!$E374),"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",LEN(Registro!$E374))),({1,2,3,4,5,6,7,8,9,10,11,12,13,14,15,16,17,18,19,20,21,22,23,24,25,26,27,28,29,30}-1)*LEN(Registro!$E374)+1,LEN(Registro!$E374))),FIND("x",TRIM(MID(SUBSTITUTE(SUBSTITUTE(SUBSTITUTE(SUBSTITUTE(SUBSTITUTE(LOWER(Registro!$E374),"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",LEN(Registro!$E374))),({1,2,3,4,5,6,7,8,9,10,11,12,13,14,15,16,17,18,19,20,21,22,23,24,25,26,27,28,29,30}-1)*LEN(Registro!$E374)+1,LEN(Registro!$E374)))&amp;"x")+1,20))),"Revisar formato")))</f>
        <v/>
      </c>
      <c r="F374" s="23" t="str">
        <f>IF(Registro!$F374="","",IF(ISERROR(FIND("x",LOWER(Registro!$F374))),"-",IFERROR(SUMPRODUCT(--("0"&amp;LEFT(TRIM(MID(SUBSTITUTE(SUBSTITUTE(SUBSTITUTE(SUBSTITUTE(SUBSTITUTE(LOWER(Registro!$F374)," ",""),CHAR(10),"|"),";","|"),"+","|"),"|",REPT(" ",LEN(Registro!$F374))),({1,2,3,4,5,6,7,8,9,10,11,12,13,14,15,16,17,18,19,20,21,22,23,24,25,26,27,28,29,30}-1)*LEN(Registro!$F374)+1,LEN(Registro!$F374))),FIND("x",TRIM(MID(SUBSTITUTE(SUBSTITUTE(SUBSTITUTE(SUBSTITUTE(SUBSTITUTE(LOWER(Registro!$F374)," ",""),CHAR(10),"|"),";","|"),"+","|"),"|",REPT(" ",LEN(Registro!$F374))),({1,2,3,4,5,6,7,8,9,10,11,12,13,14,15,16,17,18,19,20,21,22,23,24,25,26,27,28,29,30}-1)*LEN(Registro!$F374)+1,LEN(Registro!$F374)))&amp;"x")-1))),"Revisar formato")))</f>
        <v/>
      </c>
      <c r="G374" s="24" t="str">
        <f>IF(Registro!$F374="","",IF(ISERROR(FIND("x",LOWER(Registro!$F374))),N(Registro!$G374),IFERROR(SUMPRODUCT(--("0"&amp;LEFT(TRIM(MID(SUBSTITUTE(SUBSTITUTE(SUBSTITUTE(SUBSTITUTE(SUBSTITUTE(LOWER(Registro!$F374)," ",""),CHAR(10),"|"),";","|"),"+","|"),"|",REPT(" ",LEN(Registro!$F374))),({1,2,3,4,5,6,7,8,9,10,11,12,13,14,15,16,17,18,19,20,21,22,23,24,25,26,27,28,29,30}-1)*LEN(Registro!$F374)+1,LEN(Registro!$F374))),FIND("x",TRIM(MID(SUBSTITUTE(SUBSTITUTE(SUBSTITUTE(SUBSTITUTE(SUBSTITUTE(LOWER(Registro!$F374)," ",""),CHAR(10),"|"),";","|"),"+","|"),"|",REPT(" ",LEN(Registro!$F374))),({1,2,3,4,5,6,7,8,9,10,11,12,13,14,15,16,17,18,19,20,21,22,23,24,25,26,27,28,29,30}-1)*LEN(Registro!$F374)+1,LEN(Registro!$F374)))&amp;"x")-1)),--("0"&amp;MID(TRIM(MID(SUBSTITUTE(SUBSTITUTE(SUBSTITUTE(SUBSTITUTE(SUBSTITUTE(LOWER(Registro!$F374)," ",""),CHAR(10),"|"),";","|"),"+","|"),"|",REPT(" ",LEN(Registro!$F374))),({1,2,3,4,5,6,7,8,9,10,11,12,13,14,15,16,17,18,19,20,21,22,23,24,25,26,27,28,29,30}-1)*LEN(Registro!$F374)+1,LEN(Registro!$F374))),FIND("x",TRIM(MID(SUBSTITUTE(SUBSTITUTE(SUBSTITUTE(SUBSTITUTE(SUBSTITUTE(LOWER(Registro!$F374)," ",""),CHAR(10),"|"),";","|"),"+","|"),"|",REPT(" ",LEN(Registro!$F374))),({1,2,3,4,5,6,7,8,9,10,11,12,13,14,15,16,17,18,19,20,21,22,23,24,25,26,27,28,29,30}-1)*LEN(Registro!$F374)+1,LEN(Registro!$F374)))&amp;"x")+1,20))),"Revisar formato")))</f>
        <v/>
      </c>
      <c r="H374" s="21" t="str">
        <f>IF(AND(Registro!$E374="",Registro!$F374=""),"",IF(NOT(AND(ISNUMBER(G374),ISNUMBER(Registro!$G374))),"",IF(G374&lt;Registro!$G374,"FALTA BOLETOS",IF(G374=Registro!$G374,"CONFORME","DIFERENCIA"))))</f>
        <v/>
      </c>
      <c r="I374" s="24" t="str">
        <f>IF(Registro!$H374="","",IFERROR(SUMPRODUCT(--("0"&amp;TRIM(RIGHT(SUBSTITUTE(TRIM(MID(SUBSTITUTE(SUBSTITUTE(Registro!$H374,";",CHAR(10)),CHAR(10),REPT(" ",LEN(Registro!$H374))),({1,2,3,4,5,6,7,8,9,10,11,12,13,14,15,16,17,18,19,20,21,22,23,24,25,26,27,28,29,30}-1)*LEN(Registro!$H374)+1,LEN(Registro!$H374)))," ",REPT(" ",50)),50)))),"Revisar formato"))</f>
        <v/>
      </c>
      <c r="J374" s="24" t="str">
        <f>IF(Registro!$I374="","",IFERROR(SUMPRODUCT(--("0"&amp;TRIM(RIGHT(SUBSTITUTE(TRIM(MID(SUBSTITUTE(SUBSTITUTE(Registro!$I374,";",CHAR(10)),CHAR(10),REPT(" ",LEN(Registro!$I374))),({1,2,3,4,5,6,7,8,9,10,11,12,13,14,15,16,17,18,19,20,21,22,23,24,25,26,27,28,29,30}-1)*LEN(Registro!$I374)+1,LEN(Registro!$I374)))," ",REPT(" ",50)),50)))),"Revisar formato"))</f>
        <v/>
      </c>
      <c r="K374" s="24" t="str">
        <f>IF(AND(Registro!$G374="",Registro!$H374=""),"",IF(AND(ISTEXT(I374),I374&lt;&gt;""),"Revisar formato",N(Registro!$G374)-N(I374)))</f>
        <v/>
      </c>
      <c r="L374" s="24" t="str">
        <f t="shared" si="11"/>
        <v/>
      </c>
      <c r="M374" s="36" t="str">
        <f>IF(AND(A374=Consulta!$B$3,C374=Consulta!$H$3),B374*10000+ROW(),"")</f>
        <v/>
      </c>
    </row>
    <row r="375" spans="1:13" x14ac:dyDescent="0.25">
      <c r="A375" s="21" t="str">
        <f>IF(Registro!$A375="","",Registro!$A375)</f>
        <v/>
      </c>
      <c r="B375" s="20" t="str">
        <f>IF(Registro!$B375="","",Registro!$B375)</f>
        <v/>
      </c>
      <c r="C375" s="35" t="str">
        <f t="shared" si="10"/>
        <v/>
      </c>
      <c r="D375" s="23" t="str">
        <f>IF(Registro!$E375="","",IF(ISERROR(FIND("x",LOWER(Registro!$E375))),"-",IFERROR(SUMPRODUCT(--("0"&amp;LEFT(TRIM(MID(SUBSTITUTE(SUBSTITUTE(SUBSTITUTE(SUBSTITUTE(SUBSTITUTE(LOWER(Registro!$E375),"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",LEN(Registro!$E375))),({1,2,3,4,5,6,7,8,9,10,11,12,13,14,15,16,17,18,19,20,21,22,23,24,25,26,27,28,29,30}-1)*LEN(Registro!$E375)+1,LEN(Registro!$E375))),FIND("x",TRIM(MID(SUBSTITUTE(SUBSTITUTE(SUBSTITUTE(SUBSTITUTE(SUBSTITUTE(LOWER(Registro!$E375),"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",LEN(Registro!$E375))),({1,2,3,4,5,6,7,8,9,10,11,12,13,14,15,16,17,18,19,20,21,22,23,24,25,26,27,28,29,30}-1)*LEN(Registro!$E375)+1,LEN(Registro!$E375)))&amp;"x")-1))),"Revisar formato")))</f>
        <v/>
      </c>
      <c r="E375" s="24" t="str">
        <f>IF(Registro!$E375="","",IF(ISERROR(FIND("x",LOWER(Registro!$E375))),"-",IFERROR(SUMPRODUCT(--("0"&amp;LEFT(TRIM(MID(SUBSTITUTE(SUBSTITUTE(SUBSTITUTE(SUBSTITUTE(SUBSTITUTE(LOWER(Registro!$E375),"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",LEN(Registro!$E375))),({1,2,3,4,5,6,7,8,9,10,11,12,13,14,15,16,17,18,19,20,21,22,23,24,25,26,27,28,29,30}-1)*LEN(Registro!$E375)+1,LEN(Registro!$E375))),FIND("x",TRIM(MID(SUBSTITUTE(SUBSTITUTE(SUBSTITUTE(SUBSTITUTE(SUBSTITUTE(LOWER(Registro!$E375),"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",LEN(Registro!$E375))),({1,2,3,4,5,6,7,8,9,10,11,12,13,14,15,16,17,18,19,20,21,22,23,24,25,26,27,28,29,30}-1)*LEN(Registro!$E375)+1,LEN(Registro!$E375)))&amp;"x")-1)),--("0"&amp;MID(TRIM(MID(SUBSTITUTE(SUBSTITUTE(SUBSTITUTE(SUBSTITUTE(SUBSTITUTE(LOWER(Registro!$E375),"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",LEN(Registro!$E375))),({1,2,3,4,5,6,7,8,9,10,11,12,13,14,15,16,17,18,19,20,21,22,23,24,25,26,27,28,29,30}-1)*LEN(Registro!$E375)+1,LEN(Registro!$E375))),FIND("x",TRIM(MID(SUBSTITUTE(SUBSTITUTE(SUBSTITUTE(SUBSTITUTE(SUBSTITUTE(LOWER(Registro!$E375),"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",LEN(Registro!$E375))),({1,2,3,4,5,6,7,8,9,10,11,12,13,14,15,16,17,18,19,20,21,22,23,24,25,26,27,28,29,30}-1)*LEN(Registro!$E375)+1,LEN(Registro!$E375)))&amp;"x")+1,20))),"Revisar formato")))</f>
        <v/>
      </c>
      <c r="F375" s="23" t="str">
        <f>IF(Registro!$F375="","",IF(ISERROR(FIND("x",LOWER(Registro!$F375))),"-",IFERROR(SUMPRODUCT(--("0"&amp;LEFT(TRIM(MID(SUBSTITUTE(SUBSTITUTE(SUBSTITUTE(SUBSTITUTE(SUBSTITUTE(LOWER(Registro!$F375)," ",""),CHAR(10),"|"),";","|"),"+","|"),"|",REPT(" ",LEN(Registro!$F375))),({1,2,3,4,5,6,7,8,9,10,11,12,13,14,15,16,17,18,19,20,21,22,23,24,25,26,27,28,29,30}-1)*LEN(Registro!$F375)+1,LEN(Registro!$F375))),FIND("x",TRIM(MID(SUBSTITUTE(SUBSTITUTE(SUBSTITUTE(SUBSTITUTE(SUBSTITUTE(LOWER(Registro!$F375)," ",""),CHAR(10),"|"),";","|"),"+","|"),"|",REPT(" ",LEN(Registro!$F375))),({1,2,3,4,5,6,7,8,9,10,11,12,13,14,15,16,17,18,19,20,21,22,23,24,25,26,27,28,29,30}-1)*LEN(Registro!$F375)+1,LEN(Registro!$F375)))&amp;"x")-1))),"Revisar formato")))</f>
        <v/>
      </c>
      <c r="G375" s="24" t="str">
        <f>IF(Registro!$F375="","",IF(ISERROR(FIND("x",LOWER(Registro!$F375))),N(Registro!$G375),IFERROR(SUMPRODUCT(--("0"&amp;LEFT(TRIM(MID(SUBSTITUTE(SUBSTITUTE(SUBSTITUTE(SUBSTITUTE(SUBSTITUTE(LOWER(Registro!$F375)," ",""),CHAR(10),"|"),";","|"),"+","|"),"|",REPT(" ",LEN(Registro!$F375))),({1,2,3,4,5,6,7,8,9,10,11,12,13,14,15,16,17,18,19,20,21,22,23,24,25,26,27,28,29,30}-1)*LEN(Registro!$F375)+1,LEN(Registro!$F375))),FIND("x",TRIM(MID(SUBSTITUTE(SUBSTITUTE(SUBSTITUTE(SUBSTITUTE(SUBSTITUTE(LOWER(Registro!$F375)," ",""),CHAR(10),"|"),";","|"),"+","|"),"|",REPT(" ",LEN(Registro!$F375))),({1,2,3,4,5,6,7,8,9,10,11,12,13,14,15,16,17,18,19,20,21,22,23,24,25,26,27,28,29,30}-1)*LEN(Registro!$F375)+1,LEN(Registro!$F375)))&amp;"x")-1)),--("0"&amp;MID(TRIM(MID(SUBSTITUTE(SUBSTITUTE(SUBSTITUTE(SUBSTITUTE(SUBSTITUTE(LOWER(Registro!$F375)," ",""),CHAR(10),"|"),";","|"),"+","|"),"|",REPT(" ",LEN(Registro!$F375))),({1,2,3,4,5,6,7,8,9,10,11,12,13,14,15,16,17,18,19,20,21,22,23,24,25,26,27,28,29,30}-1)*LEN(Registro!$F375)+1,LEN(Registro!$F375))),FIND("x",TRIM(MID(SUBSTITUTE(SUBSTITUTE(SUBSTITUTE(SUBSTITUTE(SUBSTITUTE(LOWER(Registro!$F375)," ",""),CHAR(10),"|"),";","|"),"+","|"),"|",REPT(" ",LEN(Registro!$F375))),({1,2,3,4,5,6,7,8,9,10,11,12,13,14,15,16,17,18,19,20,21,22,23,24,25,26,27,28,29,30}-1)*LEN(Registro!$F375)+1,LEN(Registro!$F375)))&amp;"x")+1,20))),"Revisar formato")))</f>
        <v/>
      </c>
      <c r="H375" s="21" t="str">
        <f>IF(AND(Registro!$E375="",Registro!$F375=""),"",IF(NOT(AND(ISNUMBER(G375),ISNUMBER(Registro!$G375))),"",IF(G375&lt;Registro!$G375,"FALTA BOLETOS",IF(G375=Registro!$G375,"CONFORME","DIFERENCIA"))))</f>
        <v/>
      </c>
      <c r="I375" s="24" t="str">
        <f>IF(Registro!$H375="","",IFERROR(SUMPRODUCT(--("0"&amp;TRIM(RIGHT(SUBSTITUTE(TRIM(MID(SUBSTITUTE(SUBSTITUTE(Registro!$H375,";",CHAR(10)),CHAR(10),REPT(" ",LEN(Registro!$H375))),({1,2,3,4,5,6,7,8,9,10,11,12,13,14,15,16,17,18,19,20,21,22,23,24,25,26,27,28,29,30}-1)*LEN(Registro!$H375)+1,LEN(Registro!$H375)))," ",REPT(" ",50)),50)))),"Revisar formato"))</f>
        <v/>
      </c>
      <c r="J375" s="24" t="str">
        <f>IF(Registro!$I375="","",IFERROR(SUMPRODUCT(--("0"&amp;TRIM(RIGHT(SUBSTITUTE(TRIM(MID(SUBSTITUTE(SUBSTITUTE(Registro!$I375,";",CHAR(10)),CHAR(10),REPT(" ",LEN(Registro!$I375))),({1,2,3,4,5,6,7,8,9,10,11,12,13,14,15,16,17,18,19,20,21,22,23,24,25,26,27,28,29,30}-1)*LEN(Registro!$I375)+1,LEN(Registro!$I375)))," ",REPT(" ",50)),50)))),"Revisar formato"))</f>
        <v/>
      </c>
      <c r="K375" s="24" t="str">
        <f>IF(AND(Registro!$G375="",Registro!$H375=""),"",IF(AND(ISTEXT(I375),I375&lt;&gt;""),"Revisar formato",N(Registro!$G375)-N(I375)))</f>
        <v/>
      </c>
      <c r="L375" s="24" t="str">
        <f t="shared" si="11"/>
        <v/>
      </c>
      <c r="M375" s="36" t="str">
        <f>IF(AND(A375=Consulta!$B$3,C375=Consulta!$H$3),B375*10000+ROW(),"")</f>
        <v/>
      </c>
    </row>
    <row r="376" spans="1:13" x14ac:dyDescent="0.25">
      <c r="A376" s="21" t="str">
        <f>IF(Registro!$A376="","",Registro!$A376)</f>
        <v/>
      </c>
      <c r="B376" s="20" t="str">
        <f>IF(Registro!$B376="","",Registro!$B376)</f>
        <v/>
      </c>
      <c r="C376" s="35" t="str">
        <f t="shared" si="10"/>
        <v/>
      </c>
      <c r="D376" s="23" t="str">
        <f>IF(Registro!$E376="","",IF(ISERROR(FIND("x",LOWER(Registro!$E376))),"-",IFERROR(SUMPRODUCT(--("0"&amp;LEFT(TRIM(MID(SUBSTITUTE(SUBSTITUTE(SUBSTITUTE(SUBSTITUTE(SUBSTITUTE(LOWER(Registro!$E376),"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",LEN(Registro!$E376))),({1,2,3,4,5,6,7,8,9,10,11,12,13,14,15,16,17,18,19,20,21,22,23,24,25,26,27,28,29,30}-1)*LEN(Registro!$E376)+1,LEN(Registro!$E376))),FIND("x",TRIM(MID(SUBSTITUTE(SUBSTITUTE(SUBSTITUTE(SUBSTITUTE(SUBSTITUTE(LOWER(Registro!$E376),"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",LEN(Registro!$E376))),({1,2,3,4,5,6,7,8,9,10,11,12,13,14,15,16,17,18,19,20,21,22,23,24,25,26,27,28,29,30}-1)*LEN(Registro!$E376)+1,LEN(Registro!$E376)))&amp;"x")-1))),"Revisar formato")))</f>
        <v/>
      </c>
      <c r="E376" s="24" t="str">
        <f>IF(Registro!$E376="","",IF(ISERROR(FIND("x",LOWER(Registro!$E376))),"-",IFERROR(SUMPRODUCT(--("0"&amp;LEFT(TRIM(MID(SUBSTITUTE(SUBSTITUTE(SUBSTITUTE(SUBSTITUTE(SUBSTITUTE(LOWER(Registro!$E376),"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",LEN(Registro!$E376))),({1,2,3,4,5,6,7,8,9,10,11,12,13,14,15,16,17,18,19,20,21,22,23,24,25,26,27,28,29,30}-1)*LEN(Registro!$E376)+1,LEN(Registro!$E376))),FIND("x",TRIM(MID(SUBSTITUTE(SUBSTITUTE(SUBSTITUTE(SUBSTITUTE(SUBSTITUTE(LOWER(Registro!$E376),"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",LEN(Registro!$E376))),({1,2,3,4,5,6,7,8,9,10,11,12,13,14,15,16,17,18,19,20,21,22,23,24,25,26,27,28,29,30}-1)*LEN(Registro!$E376)+1,LEN(Registro!$E376)))&amp;"x")-1)),--("0"&amp;MID(TRIM(MID(SUBSTITUTE(SUBSTITUTE(SUBSTITUTE(SUBSTITUTE(SUBSTITUTE(LOWER(Registro!$E376),"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",LEN(Registro!$E376))),({1,2,3,4,5,6,7,8,9,10,11,12,13,14,15,16,17,18,19,20,21,22,23,24,25,26,27,28,29,30}-1)*LEN(Registro!$E376)+1,LEN(Registro!$E376))),FIND("x",TRIM(MID(SUBSTITUTE(SUBSTITUTE(SUBSTITUTE(SUBSTITUTE(SUBSTITUTE(LOWER(Registro!$E376),"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",LEN(Registro!$E376))),({1,2,3,4,5,6,7,8,9,10,11,12,13,14,15,16,17,18,19,20,21,22,23,24,25,26,27,28,29,30}-1)*LEN(Registro!$E376)+1,LEN(Registro!$E376)))&amp;"x")+1,20))),"Revisar formato")))</f>
        <v/>
      </c>
      <c r="F376" s="23" t="str">
        <f>IF(Registro!$F376="","",IF(ISERROR(FIND("x",LOWER(Registro!$F376))),"-",IFERROR(SUMPRODUCT(--("0"&amp;LEFT(TRIM(MID(SUBSTITUTE(SUBSTITUTE(SUBSTITUTE(SUBSTITUTE(SUBSTITUTE(LOWER(Registro!$F376)," ",""),CHAR(10),"|"),";","|"),"+","|"),"|",REPT(" ",LEN(Registro!$F376))),({1,2,3,4,5,6,7,8,9,10,11,12,13,14,15,16,17,18,19,20,21,22,23,24,25,26,27,28,29,30}-1)*LEN(Registro!$F376)+1,LEN(Registro!$F376))),FIND("x",TRIM(MID(SUBSTITUTE(SUBSTITUTE(SUBSTITUTE(SUBSTITUTE(SUBSTITUTE(LOWER(Registro!$F376)," ",""),CHAR(10),"|"),";","|"),"+","|"),"|",REPT(" ",LEN(Registro!$F376))),({1,2,3,4,5,6,7,8,9,10,11,12,13,14,15,16,17,18,19,20,21,22,23,24,25,26,27,28,29,30}-1)*LEN(Registro!$F376)+1,LEN(Registro!$F376)))&amp;"x")-1))),"Revisar formato")))</f>
        <v/>
      </c>
      <c r="G376" s="24" t="str">
        <f>IF(Registro!$F376="","",IF(ISERROR(FIND("x",LOWER(Registro!$F376))),N(Registro!$G376),IFERROR(SUMPRODUCT(--("0"&amp;LEFT(TRIM(MID(SUBSTITUTE(SUBSTITUTE(SUBSTITUTE(SUBSTITUTE(SUBSTITUTE(LOWER(Registro!$F376)," ",""),CHAR(10),"|"),";","|"),"+","|"),"|",REPT(" ",LEN(Registro!$F376))),({1,2,3,4,5,6,7,8,9,10,11,12,13,14,15,16,17,18,19,20,21,22,23,24,25,26,27,28,29,30}-1)*LEN(Registro!$F376)+1,LEN(Registro!$F376))),FIND("x",TRIM(MID(SUBSTITUTE(SUBSTITUTE(SUBSTITUTE(SUBSTITUTE(SUBSTITUTE(LOWER(Registro!$F376)," ",""),CHAR(10),"|"),";","|"),"+","|"),"|",REPT(" ",LEN(Registro!$F376))),({1,2,3,4,5,6,7,8,9,10,11,12,13,14,15,16,17,18,19,20,21,22,23,24,25,26,27,28,29,30}-1)*LEN(Registro!$F376)+1,LEN(Registro!$F376)))&amp;"x")-1)),--("0"&amp;MID(TRIM(MID(SUBSTITUTE(SUBSTITUTE(SUBSTITUTE(SUBSTITUTE(SUBSTITUTE(LOWER(Registro!$F376)," ",""),CHAR(10),"|"),";","|"),"+","|"),"|",REPT(" ",LEN(Registro!$F376))),({1,2,3,4,5,6,7,8,9,10,11,12,13,14,15,16,17,18,19,20,21,22,23,24,25,26,27,28,29,30}-1)*LEN(Registro!$F376)+1,LEN(Registro!$F376))),FIND("x",TRIM(MID(SUBSTITUTE(SUBSTITUTE(SUBSTITUTE(SUBSTITUTE(SUBSTITUTE(LOWER(Registro!$F376)," ",""),CHAR(10),"|"),";","|"),"+","|"),"|",REPT(" ",LEN(Registro!$F376))),({1,2,3,4,5,6,7,8,9,10,11,12,13,14,15,16,17,18,19,20,21,22,23,24,25,26,27,28,29,30}-1)*LEN(Registro!$F376)+1,LEN(Registro!$F376)))&amp;"x")+1,20))),"Revisar formato")))</f>
        <v/>
      </c>
      <c r="H376" s="21" t="str">
        <f>IF(AND(Registro!$E376="",Registro!$F376=""),"",IF(NOT(AND(ISNUMBER(G376),ISNUMBER(Registro!$G376))),"",IF(G376&lt;Registro!$G376,"FALTA BOLETOS",IF(G376=Registro!$G376,"CONFORME","DIFERENCIA"))))</f>
        <v/>
      </c>
      <c r="I376" s="24" t="str">
        <f>IF(Registro!$H376="","",IFERROR(SUMPRODUCT(--("0"&amp;TRIM(RIGHT(SUBSTITUTE(TRIM(MID(SUBSTITUTE(SUBSTITUTE(Registro!$H376,";",CHAR(10)),CHAR(10),REPT(" ",LEN(Registro!$H376))),({1,2,3,4,5,6,7,8,9,10,11,12,13,14,15,16,17,18,19,20,21,22,23,24,25,26,27,28,29,30}-1)*LEN(Registro!$H376)+1,LEN(Registro!$H376)))," ",REPT(" ",50)),50)))),"Revisar formato"))</f>
        <v/>
      </c>
      <c r="J376" s="24" t="str">
        <f>IF(Registro!$I376="","",IFERROR(SUMPRODUCT(--("0"&amp;TRIM(RIGHT(SUBSTITUTE(TRIM(MID(SUBSTITUTE(SUBSTITUTE(Registro!$I376,";",CHAR(10)),CHAR(10),REPT(" ",LEN(Registro!$I376))),({1,2,3,4,5,6,7,8,9,10,11,12,13,14,15,16,17,18,19,20,21,22,23,24,25,26,27,28,29,30}-1)*LEN(Registro!$I376)+1,LEN(Registro!$I376)))," ",REPT(" ",50)),50)))),"Revisar formato"))</f>
        <v/>
      </c>
      <c r="K376" s="24" t="str">
        <f>IF(AND(Registro!$G376="",Registro!$H376=""),"",IF(AND(ISTEXT(I376),I376&lt;&gt;""),"Revisar formato",N(Registro!$G376)-N(I376)))</f>
        <v/>
      </c>
      <c r="L376" s="24" t="str">
        <f t="shared" si="11"/>
        <v/>
      </c>
      <c r="M376" s="36" t="str">
        <f>IF(AND(A376=Consulta!$B$3,C376=Consulta!$H$3),B376*10000+ROW(),"")</f>
        <v/>
      </c>
    </row>
    <row r="377" spans="1:13" x14ac:dyDescent="0.25">
      <c r="A377" s="21" t="str">
        <f>IF(Registro!$A377="","",Registro!$A377)</f>
        <v/>
      </c>
      <c r="B377" s="20" t="str">
        <f>IF(Registro!$B377="","",Registro!$B377)</f>
        <v/>
      </c>
      <c r="C377" s="35" t="str">
        <f t="shared" si="10"/>
        <v/>
      </c>
      <c r="D377" s="23" t="str">
        <f>IF(Registro!$E377="","",IF(ISERROR(FIND("x",LOWER(Registro!$E377))),"-",IFERROR(SUMPRODUCT(--("0"&amp;LEFT(TRIM(MID(SUBSTITUTE(SUBSTITUTE(SUBSTITUTE(SUBSTITUTE(SUBSTITUTE(LOWER(Registro!$E377),"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",LEN(Registro!$E377))),({1,2,3,4,5,6,7,8,9,10,11,12,13,14,15,16,17,18,19,20,21,22,23,24,25,26,27,28,29,30}-1)*LEN(Registro!$E377)+1,LEN(Registro!$E377))),FIND("x",TRIM(MID(SUBSTITUTE(SUBSTITUTE(SUBSTITUTE(SUBSTITUTE(SUBSTITUTE(LOWER(Registro!$E377),"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",LEN(Registro!$E377))),({1,2,3,4,5,6,7,8,9,10,11,12,13,14,15,16,17,18,19,20,21,22,23,24,25,26,27,28,29,30}-1)*LEN(Registro!$E377)+1,LEN(Registro!$E377)))&amp;"x")-1))),"Revisar formato")))</f>
        <v/>
      </c>
      <c r="E377" s="24" t="str">
        <f>IF(Registro!$E377="","",IF(ISERROR(FIND("x",LOWER(Registro!$E377))),"-",IFERROR(SUMPRODUCT(--("0"&amp;LEFT(TRIM(MID(SUBSTITUTE(SUBSTITUTE(SUBSTITUTE(SUBSTITUTE(SUBSTITUTE(LOWER(Registro!$E377),"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",LEN(Registro!$E377))),({1,2,3,4,5,6,7,8,9,10,11,12,13,14,15,16,17,18,19,20,21,22,23,24,25,26,27,28,29,30}-1)*LEN(Registro!$E377)+1,LEN(Registro!$E377))),FIND("x",TRIM(MID(SUBSTITUTE(SUBSTITUTE(SUBSTITUTE(SUBSTITUTE(SUBSTITUTE(LOWER(Registro!$E377),"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",LEN(Registro!$E377))),({1,2,3,4,5,6,7,8,9,10,11,12,13,14,15,16,17,18,19,20,21,22,23,24,25,26,27,28,29,30}-1)*LEN(Registro!$E377)+1,LEN(Registro!$E377)))&amp;"x")-1)),--("0"&amp;MID(TRIM(MID(SUBSTITUTE(SUBSTITUTE(SUBSTITUTE(SUBSTITUTE(SUBSTITUTE(LOWER(Registro!$E377),"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",LEN(Registro!$E377))),({1,2,3,4,5,6,7,8,9,10,11,12,13,14,15,16,17,18,19,20,21,22,23,24,25,26,27,28,29,30}-1)*LEN(Registro!$E377)+1,LEN(Registro!$E377))),FIND("x",TRIM(MID(SUBSTITUTE(SUBSTITUTE(SUBSTITUTE(SUBSTITUTE(SUBSTITUTE(LOWER(Registro!$E377),"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",LEN(Registro!$E377))),({1,2,3,4,5,6,7,8,9,10,11,12,13,14,15,16,17,18,19,20,21,22,23,24,25,26,27,28,29,30}-1)*LEN(Registro!$E377)+1,LEN(Registro!$E377)))&amp;"x")+1,20))),"Revisar formato")))</f>
        <v/>
      </c>
      <c r="F377" s="23" t="str">
        <f>IF(Registro!$F377="","",IF(ISERROR(FIND("x",LOWER(Registro!$F377))),"-",IFERROR(SUMPRODUCT(--("0"&amp;LEFT(TRIM(MID(SUBSTITUTE(SUBSTITUTE(SUBSTITUTE(SUBSTITUTE(SUBSTITUTE(LOWER(Registro!$F377)," ",""),CHAR(10),"|"),";","|"),"+","|"),"|",REPT(" ",LEN(Registro!$F377))),({1,2,3,4,5,6,7,8,9,10,11,12,13,14,15,16,17,18,19,20,21,22,23,24,25,26,27,28,29,30}-1)*LEN(Registro!$F377)+1,LEN(Registro!$F377))),FIND("x",TRIM(MID(SUBSTITUTE(SUBSTITUTE(SUBSTITUTE(SUBSTITUTE(SUBSTITUTE(LOWER(Registro!$F377)," ",""),CHAR(10),"|"),";","|"),"+","|"),"|",REPT(" ",LEN(Registro!$F377))),({1,2,3,4,5,6,7,8,9,10,11,12,13,14,15,16,17,18,19,20,21,22,23,24,25,26,27,28,29,30}-1)*LEN(Registro!$F377)+1,LEN(Registro!$F377)))&amp;"x")-1))),"Revisar formato")))</f>
        <v/>
      </c>
      <c r="G377" s="24" t="str">
        <f>IF(Registro!$F377="","",IF(ISERROR(FIND("x",LOWER(Registro!$F377))),N(Registro!$G377),IFERROR(SUMPRODUCT(--("0"&amp;LEFT(TRIM(MID(SUBSTITUTE(SUBSTITUTE(SUBSTITUTE(SUBSTITUTE(SUBSTITUTE(LOWER(Registro!$F377)," ",""),CHAR(10),"|"),";","|"),"+","|"),"|",REPT(" ",LEN(Registro!$F377))),({1,2,3,4,5,6,7,8,9,10,11,12,13,14,15,16,17,18,19,20,21,22,23,24,25,26,27,28,29,30}-1)*LEN(Registro!$F377)+1,LEN(Registro!$F377))),FIND("x",TRIM(MID(SUBSTITUTE(SUBSTITUTE(SUBSTITUTE(SUBSTITUTE(SUBSTITUTE(LOWER(Registro!$F377)," ",""),CHAR(10),"|"),";","|"),"+","|"),"|",REPT(" ",LEN(Registro!$F377))),({1,2,3,4,5,6,7,8,9,10,11,12,13,14,15,16,17,18,19,20,21,22,23,24,25,26,27,28,29,30}-1)*LEN(Registro!$F377)+1,LEN(Registro!$F377)))&amp;"x")-1)),--("0"&amp;MID(TRIM(MID(SUBSTITUTE(SUBSTITUTE(SUBSTITUTE(SUBSTITUTE(SUBSTITUTE(LOWER(Registro!$F377)," ",""),CHAR(10),"|"),";","|"),"+","|"),"|",REPT(" ",LEN(Registro!$F377))),({1,2,3,4,5,6,7,8,9,10,11,12,13,14,15,16,17,18,19,20,21,22,23,24,25,26,27,28,29,30}-1)*LEN(Registro!$F377)+1,LEN(Registro!$F377))),FIND("x",TRIM(MID(SUBSTITUTE(SUBSTITUTE(SUBSTITUTE(SUBSTITUTE(SUBSTITUTE(LOWER(Registro!$F377)," ",""),CHAR(10),"|"),";","|"),"+","|"),"|",REPT(" ",LEN(Registro!$F377))),({1,2,3,4,5,6,7,8,9,10,11,12,13,14,15,16,17,18,19,20,21,22,23,24,25,26,27,28,29,30}-1)*LEN(Registro!$F377)+1,LEN(Registro!$F377)))&amp;"x")+1,20))),"Revisar formato")))</f>
        <v/>
      </c>
      <c r="H377" s="21" t="str">
        <f>IF(AND(Registro!$E377="",Registro!$F377=""),"",IF(NOT(AND(ISNUMBER(G377),ISNUMBER(Registro!$G377))),"",IF(G377&lt;Registro!$G377,"FALTA BOLETOS",IF(G377=Registro!$G377,"CONFORME","DIFERENCIA"))))</f>
        <v/>
      </c>
      <c r="I377" s="24" t="str">
        <f>IF(Registro!$H377="","",IFERROR(SUMPRODUCT(--("0"&amp;TRIM(RIGHT(SUBSTITUTE(TRIM(MID(SUBSTITUTE(SUBSTITUTE(Registro!$H377,";",CHAR(10)),CHAR(10),REPT(" ",LEN(Registro!$H377))),({1,2,3,4,5,6,7,8,9,10,11,12,13,14,15,16,17,18,19,20,21,22,23,24,25,26,27,28,29,30}-1)*LEN(Registro!$H377)+1,LEN(Registro!$H377)))," ",REPT(" ",50)),50)))),"Revisar formato"))</f>
        <v/>
      </c>
      <c r="J377" s="24" t="str">
        <f>IF(Registro!$I377="","",IFERROR(SUMPRODUCT(--("0"&amp;TRIM(RIGHT(SUBSTITUTE(TRIM(MID(SUBSTITUTE(SUBSTITUTE(Registro!$I377,";",CHAR(10)),CHAR(10),REPT(" ",LEN(Registro!$I377))),({1,2,3,4,5,6,7,8,9,10,11,12,13,14,15,16,17,18,19,20,21,22,23,24,25,26,27,28,29,30}-1)*LEN(Registro!$I377)+1,LEN(Registro!$I377)))," ",REPT(" ",50)),50)))),"Revisar formato"))</f>
        <v/>
      </c>
      <c r="K377" s="24" t="str">
        <f>IF(AND(Registro!$G377="",Registro!$H377=""),"",IF(AND(ISTEXT(I377),I377&lt;&gt;""),"Revisar formato",N(Registro!$G377)-N(I377)))</f>
        <v/>
      </c>
      <c r="L377" s="24" t="str">
        <f t="shared" si="11"/>
        <v/>
      </c>
      <c r="M377" s="36" t="str">
        <f>IF(AND(A377=Consulta!$B$3,C377=Consulta!$H$3),B377*10000+ROW(),"")</f>
        <v/>
      </c>
    </row>
    <row r="378" spans="1:13" x14ac:dyDescent="0.25">
      <c r="A378" s="21" t="str">
        <f>IF(Registro!$A378="","",Registro!$A378)</f>
        <v/>
      </c>
      <c r="B378" s="20" t="str">
        <f>IF(Registro!$B378="","",Registro!$B378)</f>
        <v/>
      </c>
      <c r="C378" s="35" t="str">
        <f t="shared" si="10"/>
        <v/>
      </c>
      <c r="D378" s="23" t="str">
        <f>IF(Registro!$E378="","",IF(ISERROR(FIND("x",LOWER(Registro!$E378))),"-",IFERROR(SUMPRODUCT(--("0"&amp;LEFT(TRIM(MID(SUBSTITUTE(SUBSTITUTE(SUBSTITUTE(SUBSTITUTE(SUBSTITUTE(LOWER(Registro!$E378),"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",LEN(Registro!$E378))),({1,2,3,4,5,6,7,8,9,10,11,12,13,14,15,16,17,18,19,20,21,22,23,24,25,26,27,28,29,30}-1)*LEN(Registro!$E378)+1,LEN(Registro!$E378))),FIND("x",TRIM(MID(SUBSTITUTE(SUBSTITUTE(SUBSTITUTE(SUBSTITUTE(SUBSTITUTE(LOWER(Registro!$E378),"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",LEN(Registro!$E378))),({1,2,3,4,5,6,7,8,9,10,11,12,13,14,15,16,17,18,19,20,21,22,23,24,25,26,27,28,29,30}-1)*LEN(Registro!$E378)+1,LEN(Registro!$E378)))&amp;"x")-1))),"Revisar formato")))</f>
        <v/>
      </c>
      <c r="E378" s="24" t="str">
        <f>IF(Registro!$E378="","",IF(ISERROR(FIND("x",LOWER(Registro!$E378))),"-",IFERROR(SUMPRODUCT(--("0"&amp;LEFT(TRIM(MID(SUBSTITUTE(SUBSTITUTE(SUBSTITUTE(SUBSTITUTE(SUBSTITUTE(LOWER(Registro!$E378),"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",LEN(Registro!$E378))),({1,2,3,4,5,6,7,8,9,10,11,12,13,14,15,16,17,18,19,20,21,22,23,24,25,26,27,28,29,30}-1)*LEN(Registro!$E378)+1,LEN(Registro!$E378))),FIND("x",TRIM(MID(SUBSTITUTE(SUBSTITUTE(SUBSTITUTE(SUBSTITUTE(SUBSTITUTE(LOWER(Registro!$E378),"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",LEN(Registro!$E378))),({1,2,3,4,5,6,7,8,9,10,11,12,13,14,15,16,17,18,19,20,21,22,23,24,25,26,27,28,29,30}-1)*LEN(Registro!$E378)+1,LEN(Registro!$E378)))&amp;"x")-1)),--("0"&amp;MID(TRIM(MID(SUBSTITUTE(SUBSTITUTE(SUBSTITUTE(SUBSTITUTE(SUBSTITUTE(LOWER(Registro!$E378),"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",LEN(Registro!$E378))),({1,2,3,4,5,6,7,8,9,10,11,12,13,14,15,16,17,18,19,20,21,22,23,24,25,26,27,28,29,30}-1)*LEN(Registro!$E378)+1,LEN(Registro!$E378))),FIND("x",TRIM(MID(SUBSTITUTE(SUBSTITUTE(SUBSTITUTE(SUBSTITUTE(SUBSTITUTE(LOWER(Registro!$E378),"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",LEN(Registro!$E378))),({1,2,3,4,5,6,7,8,9,10,11,12,13,14,15,16,17,18,19,20,21,22,23,24,25,26,27,28,29,30}-1)*LEN(Registro!$E378)+1,LEN(Registro!$E378)))&amp;"x")+1,20))),"Revisar formato")))</f>
        <v/>
      </c>
      <c r="F378" s="23" t="str">
        <f>IF(Registro!$F378="","",IF(ISERROR(FIND("x",LOWER(Registro!$F378))),"-",IFERROR(SUMPRODUCT(--("0"&amp;LEFT(TRIM(MID(SUBSTITUTE(SUBSTITUTE(SUBSTITUTE(SUBSTITUTE(SUBSTITUTE(LOWER(Registro!$F378)," ",""),CHAR(10),"|"),";","|"),"+","|"),"|",REPT(" ",LEN(Registro!$F378))),({1,2,3,4,5,6,7,8,9,10,11,12,13,14,15,16,17,18,19,20,21,22,23,24,25,26,27,28,29,30}-1)*LEN(Registro!$F378)+1,LEN(Registro!$F378))),FIND("x",TRIM(MID(SUBSTITUTE(SUBSTITUTE(SUBSTITUTE(SUBSTITUTE(SUBSTITUTE(LOWER(Registro!$F378)," ",""),CHAR(10),"|"),";","|"),"+","|"),"|",REPT(" ",LEN(Registro!$F378))),({1,2,3,4,5,6,7,8,9,10,11,12,13,14,15,16,17,18,19,20,21,22,23,24,25,26,27,28,29,30}-1)*LEN(Registro!$F378)+1,LEN(Registro!$F378)))&amp;"x")-1))),"Revisar formato")))</f>
        <v/>
      </c>
      <c r="G378" s="24" t="str">
        <f>IF(Registro!$F378="","",IF(ISERROR(FIND("x",LOWER(Registro!$F378))),N(Registro!$G378),IFERROR(SUMPRODUCT(--("0"&amp;LEFT(TRIM(MID(SUBSTITUTE(SUBSTITUTE(SUBSTITUTE(SUBSTITUTE(SUBSTITUTE(LOWER(Registro!$F378)," ",""),CHAR(10),"|"),";","|"),"+","|"),"|",REPT(" ",LEN(Registro!$F378))),({1,2,3,4,5,6,7,8,9,10,11,12,13,14,15,16,17,18,19,20,21,22,23,24,25,26,27,28,29,30}-1)*LEN(Registro!$F378)+1,LEN(Registro!$F378))),FIND("x",TRIM(MID(SUBSTITUTE(SUBSTITUTE(SUBSTITUTE(SUBSTITUTE(SUBSTITUTE(LOWER(Registro!$F378)," ",""),CHAR(10),"|"),";","|"),"+","|"),"|",REPT(" ",LEN(Registro!$F378))),({1,2,3,4,5,6,7,8,9,10,11,12,13,14,15,16,17,18,19,20,21,22,23,24,25,26,27,28,29,30}-1)*LEN(Registro!$F378)+1,LEN(Registro!$F378)))&amp;"x")-1)),--("0"&amp;MID(TRIM(MID(SUBSTITUTE(SUBSTITUTE(SUBSTITUTE(SUBSTITUTE(SUBSTITUTE(LOWER(Registro!$F378)," ",""),CHAR(10),"|"),";","|"),"+","|"),"|",REPT(" ",LEN(Registro!$F378))),({1,2,3,4,5,6,7,8,9,10,11,12,13,14,15,16,17,18,19,20,21,22,23,24,25,26,27,28,29,30}-1)*LEN(Registro!$F378)+1,LEN(Registro!$F378))),FIND("x",TRIM(MID(SUBSTITUTE(SUBSTITUTE(SUBSTITUTE(SUBSTITUTE(SUBSTITUTE(LOWER(Registro!$F378)," ",""),CHAR(10),"|"),";","|"),"+","|"),"|",REPT(" ",LEN(Registro!$F378))),({1,2,3,4,5,6,7,8,9,10,11,12,13,14,15,16,17,18,19,20,21,22,23,24,25,26,27,28,29,30}-1)*LEN(Registro!$F378)+1,LEN(Registro!$F378)))&amp;"x")+1,20))),"Revisar formato")))</f>
        <v/>
      </c>
      <c r="H378" s="21" t="str">
        <f>IF(AND(Registro!$E378="",Registro!$F378=""),"",IF(NOT(AND(ISNUMBER(G378),ISNUMBER(Registro!$G378))),"",IF(G378&lt;Registro!$G378,"FALTA BOLETOS",IF(G378=Registro!$G378,"CONFORME","DIFERENCIA"))))</f>
        <v/>
      </c>
      <c r="I378" s="24" t="str">
        <f>IF(Registro!$H378="","",IFERROR(SUMPRODUCT(--("0"&amp;TRIM(RIGHT(SUBSTITUTE(TRIM(MID(SUBSTITUTE(SUBSTITUTE(Registro!$H378,";",CHAR(10)),CHAR(10),REPT(" ",LEN(Registro!$H378))),({1,2,3,4,5,6,7,8,9,10,11,12,13,14,15,16,17,18,19,20,21,22,23,24,25,26,27,28,29,30}-1)*LEN(Registro!$H378)+1,LEN(Registro!$H378)))," ",REPT(" ",50)),50)))),"Revisar formato"))</f>
        <v/>
      </c>
      <c r="J378" s="24" t="str">
        <f>IF(Registro!$I378="","",IFERROR(SUMPRODUCT(--("0"&amp;TRIM(RIGHT(SUBSTITUTE(TRIM(MID(SUBSTITUTE(SUBSTITUTE(Registro!$I378,";",CHAR(10)),CHAR(10),REPT(" ",LEN(Registro!$I378))),({1,2,3,4,5,6,7,8,9,10,11,12,13,14,15,16,17,18,19,20,21,22,23,24,25,26,27,28,29,30}-1)*LEN(Registro!$I378)+1,LEN(Registro!$I378)))," ",REPT(" ",50)),50)))),"Revisar formato"))</f>
        <v/>
      </c>
      <c r="K378" s="24" t="str">
        <f>IF(AND(Registro!$G378="",Registro!$H378=""),"",IF(AND(ISTEXT(I378),I378&lt;&gt;""),"Revisar formato",N(Registro!$G378)-N(I378)))</f>
        <v/>
      </c>
      <c r="L378" s="24" t="str">
        <f t="shared" si="11"/>
        <v/>
      </c>
      <c r="M378" s="36" t="str">
        <f>IF(AND(A378=Consulta!$B$3,C378=Consulta!$H$3),B378*10000+ROW(),"")</f>
        <v/>
      </c>
    </row>
    <row r="379" spans="1:13" x14ac:dyDescent="0.25">
      <c r="A379" s="21" t="str">
        <f>IF(Registro!$A379="","",Registro!$A379)</f>
        <v/>
      </c>
      <c r="B379" s="20" t="str">
        <f>IF(Registro!$B379="","",Registro!$B379)</f>
        <v/>
      </c>
      <c r="C379" s="35" t="str">
        <f t="shared" si="10"/>
        <v/>
      </c>
      <c r="D379" s="23" t="str">
        <f>IF(Registro!$E379="","",IF(ISERROR(FIND("x",LOWER(Registro!$E379))),"-",IFERROR(SUMPRODUCT(--("0"&amp;LEFT(TRIM(MID(SUBSTITUTE(SUBSTITUTE(SUBSTITUTE(SUBSTITUTE(SUBSTITUTE(LOWER(Registro!$E379),"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",LEN(Registro!$E379))),({1,2,3,4,5,6,7,8,9,10,11,12,13,14,15,16,17,18,19,20,21,22,23,24,25,26,27,28,29,30}-1)*LEN(Registro!$E379)+1,LEN(Registro!$E379))),FIND("x",TRIM(MID(SUBSTITUTE(SUBSTITUTE(SUBSTITUTE(SUBSTITUTE(SUBSTITUTE(LOWER(Registro!$E379),"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",LEN(Registro!$E379))),({1,2,3,4,5,6,7,8,9,10,11,12,13,14,15,16,17,18,19,20,21,22,23,24,25,26,27,28,29,30}-1)*LEN(Registro!$E379)+1,LEN(Registro!$E379)))&amp;"x")-1))),"Revisar formato")))</f>
        <v/>
      </c>
      <c r="E379" s="24" t="str">
        <f>IF(Registro!$E379="","",IF(ISERROR(FIND("x",LOWER(Registro!$E379))),"-",IFERROR(SUMPRODUCT(--("0"&amp;LEFT(TRIM(MID(SUBSTITUTE(SUBSTITUTE(SUBSTITUTE(SUBSTITUTE(SUBSTITUTE(LOWER(Registro!$E379),"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",LEN(Registro!$E379))),({1,2,3,4,5,6,7,8,9,10,11,12,13,14,15,16,17,18,19,20,21,22,23,24,25,26,27,28,29,30}-1)*LEN(Registro!$E379)+1,LEN(Registro!$E379))),FIND("x",TRIM(MID(SUBSTITUTE(SUBSTITUTE(SUBSTITUTE(SUBSTITUTE(SUBSTITUTE(LOWER(Registro!$E379),"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",LEN(Registro!$E379))),({1,2,3,4,5,6,7,8,9,10,11,12,13,14,15,16,17,18,19,20,21,22,23,24,25,26,27,28,29,30}-1)*LEN(Registro!$E379)+1,LEN(Registro!$E379)))&amp;"x")-1)),--("0"&amp;MID(TRIM(MID(SUBSTITUTE(SUBSTITUTE(SUBSTITUTE(SUBSTITUTE(SUBSTITUTE(LOWER(Registro!$E379),"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",LEN(Registro!$E379))),({1,2,3,4,5,6,7,8,9,10,11,12,13,14,15,16,17,18,19,20,21,22,23,24,25,26,27,28,29,30}-1)*LEN(Registro!$E379)+1,LEN(Registro!$E379))),FIND("x",TRIM(MID(SUBSTITUTE(SUBSTITUTE(SUBSTITUTE(SUBSTITUTE(SUBSTITUTE(LOWER(Registro!$E379),"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",LEN(Registro!$E379))),({1,2,3,4,5,6,7,8,9,10,11,12,13,14,15,16,17,18,19,20,21,22,23,24,25,26,27,28,29,30}-1)*LEN(Registro!$E379)+1,LEN(Registro!$E379)))&amp;"x")+1,20))),"Revisar formato")))</f>
        <v/>
      </c>
      <c r="F379" s="23" t="str">
        <f>IF(Registro!$F379="","",IF(ISERROR(FIND("x",LOWER(Registro!$F379))),"-",IFERROR(SUMPRODUCT(--("0"&amp;LEFT(TRIM(MID(SUBSTITUTE(SUBSTITUTE(SUBSTITUTE(SUBSTITUTE(SUBSTITUTE(LOWER(Registro!$F379)," ",""),CHAR(10),"|"),";","|"),"+","|"),"|",REPT(" ",LEN(Registro!$F379))),({1,2,3,4,5,6,7,8,9,10,11,12,13,14,15,16,17,18,19,20,21,22,23,24,25,26,27,28,29,30}-1)*LEN(Registro!$F379)+1,LEN(Registro!$F379))),FIND("x",TRIM(MID(SUBSTITUTE(SUBSTITUTE(SUBSTITUTE(SUBSTITUTE(SUBSTITUTE(LOWER(Registro!$F379)," ",""),CHAR(10),"|"),";","|"),"+","|"),"|",REPT(" ",LEN(Registro!$F379))),({1,2,3,4,5,6,7,8,9,10,11,12,13,14,15,16,17,18,19,20,21,22,23,24,25,26,27,28,29,30}-1)*LEN(Registro!$F379)+1,LEN(Registro!$F379)))&amp;"x")-1))),"Revisar formato")))</f>
        <v/>
      </c>
      <c r="G379" s="24" t="str">
        <f>IF(Registro!$F379="","",IF(ISERROR(FIND("x",LOWER(Registro!$F379))),N(Registro!$G379),IFERROR(SUMPRODUCT(--("0"&amp;LEFT(TRIM(MID(SUBSTITUTE(SUBSTITUTE(SUBSTITUTE(SUBSTITUTE(SUBSTITUTE(LOWER(Registro!$F379)," ",""),CHAR(10),"|"),";","|"),"+","|"),"|",REPT(" ",LEN(Registro!$F379))),({1,2,3,4,5,6,7,8,9,10,11,12,13,14,15,16,17,18,19,20,21,22,23,24,25,26,27,28,29,30}-1)*LEN(Registro!$F379)+1,LEN(Registro!$F379))),FIND("x",TRIM(MID(SUBSTITUTE(SUBSTITUTE(SUBSTITUTE(SUBSTITUTE(SUBSTITUTE(LOWER(Registro!$F379)," ",""),CHAR(10),"|"),";","|"),"+","|"),"|",REPT(" ",LEN(Registro!$F379))),({1,2,3,4,5,6,7,8,9,10,11,12,13,14,15,16,17,18,19,20,21,22,23,24,25,26,27,28,29,30}-1)*LEN(Registro!$F379)+1,LEN(Registro!$F379)))&amp;"x")-1)),--("0"&amp;MID(TRIM(MID(SUBSTITUTE(SUBSTITUTE(SUBSTITUTE(SUBSTITUTE(SUBSTITUTE(LOWER(Registro!$F379)," ",""),CHAR(10),"|"),";","|"),"+","|"),"|",REPT(" ",LEN(Registro!$F379))),({1,2,3,4,5,6,7,8,9,10,11,12,13,14,15,16,17,18,19,20,21,22,23,24,25,26,27,28,29,30}-1)*LEN(Registro!$F379)+1,LEN(Registro!$F379))),FIND("x",TRIM(MID(SUBSTITUTE(SUBSTITUTE(SUBSTITUTE(SUBSTITUTE(SUBSTITUTE(LOWER(Registro!$F379)," ",""),CHAR(10),"|"),";","|"),"+","|"),"|",REPT(" ",LEN(Registro!$F379))),({1,2,3,4,5,6,7,8,9,10,11,12,13,14,15,16,17,18,19,20,21,22,23,24,25,26,27,28,29,30}-1)*LEN(Registro!$F379)+1,LEN(Registro!$F379)))&amp;"x")+1,20))),"Revisar formato")))</f>
        <v/>
      </c>
      <c r="H379" s="21" t="str">
        <f>IF(AND(Registro!$E379="",Registro!$F379=""),"",IF(NOT(AND(ISNUMBER(G379),ISNUMBER(Registro!$G379))),"",IF(G379&lt;Registro!$G379,"FALTA BOLETOS",IF(G379=Registro!$G379,"CONFORME","DIFERENCIA"))))</f>
        <v/>
      </c>
      <c r="I379" s="24" t="str">
        <f>IF(Registro!$H379="","",IFERROR(SUMPRODUCT(--("0"&amp;TRIM(RIGHT(SUBSTITUTE(TRIM(MID(SUBSTITUTE(SUBSTITUTE(Registro!$H379,";",CHAR(10)),CHAR(10),REPT(" ",LEN(Registro!$H379))),({1,2,3,4,5,6,7,8,9,10,11,12,13,14,15,16,17,18,19,20,21,22,23,24,25,26,27,28,29,30}-1)*LEN(Registro!$H379)+1,LEN(Registro!$H379)))," ",REPT(" ",50)),50)))),"Revisar formato"))</f>
        <v/>
      </c>
      <c r="J379" s="24" t="str">
        <f>IF(Registro!$I379="","",IFERROR(SUMPRODUCT(--("0"&amp;TRIM(RIGHT(SUBSTITUTE(TRIM(MID(SUBSTITUTE(SUBSTITUTE(Registro!$I379,";",CHAR(10)),CHAR(10),REPT(" ",LEN(Registro!$I379))),({1,2,3,4,5,6,7,8,9,10,11,12,13,14,15,16,17,18,19,20,21,22,23,24,25,26,27,28,29,30}-1)*LEN(Registro!$I379)+1,LEN(Registro!$I379)))," ",REPT(" ",50)),50)))),"Revisar formato"))</f>
        <v/>
      </c>
      <c r="K379" s="24" t="str">
        <f>IF(AND(Registro!$G379="",Registro!$H379=""),"",IF(AND(ISTEXT(I379),I379&lt;&gt;""),"Revisar formato",N(Registro!$G379)-N(I379)))</f>
        <v/>
      </c>
      <c r="L379" s="24" t="str">
        <f t="shared" si="11"/>
        <v/>
      </c>
      <c r="M379" s="36" t="str">
        <f>IF(AND(A379=Consulta!$B$3,C379=Consulta!$H$3),B379*10000+ROW(),"")</f>
        <v/>
      </c>
    </row>
    <row r="380" spans="1:13" x14ac:dyDescent="0.25">
      <c r="A380" s="21" t="str">
        <f>IF(Registro!$A380="","",Registro!$A380)</f>
        <v/>
      </c>
      <c r="B380" s="20" t="str">
        <f>IF(Registro!$B380="","",Registro!$B380)</f>
        <v/>
      </c>
      <c r="C380" s="35" t="str">
        <f t="shared" si="10"/>
        <v/>
      </c>
      <c r="D380" s="23" t="str">
        <f>IF(Registro!$E380="","",IF(ISERROR(FIND("x",LOWER(Registro!$E380))),"-",IFERROR(SUMPRODUCT(--("0"&amp;LEFT(TRIM(MID(SUBSTITUTE(SUBSTITUTE(SUBSTITUTE(SUBSTITUTE(SUBSTITUTE(LOWER(Registro!$E380),"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",LEN(Registro!$E380))),({1,2,3,4,5,6,7,8,9,10,11,12,13,14,15,16,17,18,19,20,21,22,23,24,25,26,27,28,29,30}-1)*LEN(Registro!$E380)+1,LEN(Registro!$E380))),FIND("x",TRIM(MID(SUBSTITUTE(SUBSTITUTE(SUBSTITUTE(SUBSTITUTE(SUBSTITUTE(LOWER(Registro!$E380),"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",LEN(Registro!$E380))),({1,2,3,4,5,6,7,8,9,10,11,12,13,14,15,16,17,18,19,20,21,22,23,24,25,26,27,28,29,30}-1)*LEN(Registro!$E380)+1,LEN(Registro!$E380)))&amp;"x")-1))),"Revisar formato")))</f>
        <v/>
      </c>
      <c r="E380" s="24" t="str">
        <f>IF(Registro!$E380="","",IF(ISERROR(FIND("x",LOWER(Registro!$E380))),"-",IFERROR(SUMPRODUCT(--("0"&amp;LEFT(TRIM(MID(SUBSTITUTE(SUBSTITUTE(SUBSTITUTE(SUBSTITUTE(SUBSTITUTE(LOWER(Registro!$E380),"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",LEN(Registro!$E380))),({1,2,3,4,5,6,7,8,9,10,11,12,13,14,15,16,17,18,19,20,21,22,23,24,25,26,27,28,29,30}-1)*LEN(Registro!$E380)+1,LEN(Registro!$E380))),FIND("x",TRIM(MID(SUBSTITUTE(SUBSTITUTE(SUBSTITUTE(SUBSTITUTE(SUBSTITUTE(LOWER(Registro!$E380),"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",LEN(Registro!$E380))),({1,2,3,4,5,6,7,8,9,10,11,12,13,14,15,16,17,18,19,20,21,22,23,24,25,26,27,28,29,30}-1)*LEN(Registro!$E380)+1,LEN(Registro!$E380)))&amp;"x")-1)),--("0"&amp;MID(TRIM(MID(SUBSTITUTE(SUBSTITUTE(SUBSTITUTE(SUBSTITUTE(SUBSTITUTE(LOWER(Registro!$E380),"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",LEN(Registro!$E380))),({1,2,3,4,5,6,7,8,9,10,11,12,13,14,15,16,17,18,19,20,21,22,23,24,25,26,27,28,29,30}-1)*LEN(Registro!$E380)+1,LEN(Registro!$E380))),FIND("x",TRIM(MID(SUBSTITUTE(SUBSTITUTE(SUBSTITUTE(SUBSTITUTE(SUBSTITUTE(LOWER(Registro!$E380),"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",LEN(Registro!$E380))),({1,2,3,4,5,6,7,8,9,10,11,12,13,14,15,16,17,18,19,20,21,22,23,24,25,26,27,28,29,30}-1)*LEN(Registro!$E380)+1,LEN(Registro!$E380)))&amp;"x")+1,20))),"Revisar formato")))</f>
        <v/>
      </c>
      <c r="F380" s="23" t="str">
        <f>IF(Registro!$F380="","",IF(ISERROR(FIND("x",LOWER(Registro!$F380))),"-",IFERROR(SUMPRODUCT(--("0"&amp;LEFT(TRIM(MID(SUBSTITUTE(SUBSTITUTE(SUBSTITUTE(SUBSTITUTE(SUBSTITUTE(LOWER(Registro!$F380)," ",""),CHAR(10),"|"),";","|"),"+","|"),"|",REPT(" ",LEN(Registro!$F380))),({1,2,3,4,5,6,7,8,9,10,11,12,13,14,15,16,17,18,19,20,21,22,23,24,25,26,27,28,29,30}-1)*LEN(Registro!$F380)+1,LEN(Registro!$F380))),FIND("x",TRIM(MID(SUBSTITUTE(SUBSTITUTE(SUBSTITUTE(SUBSTITUTE(SUBSTITUTE(LOWER(Registro!$F380)," ",""),CHAR(10),"|"),";","|"),"+","|"),"|",REPT(" ",LEN(Registro!$F380))),({1,2,3,4,5,6,7,8,9,10,11,12,13,14,15,16,17,18,19,20,21,22,23,24,25,26,27,28,29,30}-1)*LEN(Registro!$F380)+1,LEN(Registro!$F380)))&amp;"x")-1))),"Revisar formato")))</f>
        <v/>
      </c>
      <c r="G380" s="24" t="str">
        <f>IF(Registro!$F380="","",IF(ISERROR(FIND("x",LOWER(Registro!$F380))),N(Registro!$G380),IFERROR(SUMPRODUCT(--("0"&amp;LEFT(TRIM(MID(SUBSTITUTE(SUBSTITUTE(SUBSTITUTE(SUBSTITUTE(SUBSTITUTE(LOWER(Registro!$F380)," ",""),CHAR(10),"|"),";","|"),"+","|"),"|",REPT(" ",LEN(Registro!$F380))),({1,2,3,4,5,6,7,8,9,10,11,12,13,14,15,16,17,18,19,20,21,22,23,24,25,26,27,28,29,30}-1)*LEN(Registro!$F380)+1,LEN(Registro!$F380))),FIND("x",TRIM(MID(SUBSTITUTE(SUBSTITUTE(SUBSTITUTE(SUBSTITUTE(SUBSTITUTE(LOWER(Registro!$F380)," ",""),CHAR(10),"|"),";","|"),"+","|"),"|",REPT(" ",LEN(Registro!$F380))),({1,2,3,4,5,6,7,8,9,10,11,12,13,14,15,16,17,18,19,20,21,22,23,24,25,26,27,28,29,30}-1)*LEN(Registro!$F380)+1,LEN(Registro!$F380)))&amp;"x")-1)),--("0"&amp;MID(TRIM(MID(SUBSTITUTE(SUBSTITUTE(SUBSTITUTE(SUBSTITUTE(SUBSTITUTE(LOWER(Registro!$F380)," ",""),CHAR(10),"|"),";","|"),"+","|"),"|",REPT(" ",LEN(Registro!$F380))),({1,2,3,4,5,6,7,8,9,10,11,12,13,14,15,16,17,18,19,20,21,22,23,24,25,26,27,28,29,30}-1)*LEN(Registro!$F380)+1,LEN(Registro!$F380))),FIND("x",TRIM(MID(SUBSTITUTE(SUBSTITUTE(SUBSTITUTE(SUBSTITUTE(SUBSTITUTE(LOWER(Registro!$F380)," ",""),CHAR(10),"|"),";","|"),"+","|"),"|",REPT(" ",LEN(Registro!$F380))),({1,2,3,4,5,6,7,8,9,10,11,12,13,14,15,16,17,18,19,20,21,22,23,24,25,26,27,28,29,30}-1)*LEN(Registro!$F380)+1,LEN(Registro!$F380)))&amp;"x")+1,20))),"Revisar formato")))</f>
        <v/>
      </c>
      <c r="H380" s="21" t="str">
        <f>IF(AND(Registro!$E380="",Registro!$F380=""),"",IF(NOT(AND(ISNUMBER(G380),ISNUMBER(Registro!$G380))),"",IF(G380&lt;Registro!$G380,"FALTA BOLETOS",IF(G380=Registro!$G380,"CONFORME","DIFERENCIA"))))</f>
        <v/>
      </c>
      <c r="I380" s="24" t="str">
        <f>IF(Registro!$H380="","",IFERROR(SUMPRODUCT(--("0"&amp;TRIM(RIGHT(SUBSTITUTE(TRIM(MID(SUBSTITUTE(SUBSTITUTE(Registro!$H380,";",CHAR(10)),CHAR(10),REPT(" ",LEN(Registro!$H380))),({1,2,3,4,5,6,7,8,9,10,11,12,13,14,15,16,17,18,19,20,21,22,23,24,25,26,27,28,29,30}-1)*LEN(Registro!$H380)+1,LEN(Registro!$H380)))," ",REPT(" ",50)),50)))),"Revisar formato"))</f>
        <v/>
      </c>
      <c r="J380" s="24" t="str">
        <f>IF(Registro!$I380="","",IFERROR(SUMPRODUCT(--("0"&amp;TRIM(RIGHT(SUBSTITUTE(TRIM(MID(SUBSTITUTE(SUBSTITUTE(Registro!$I380,";",CHAR(10)),CHAR(10),REPT(" ",LEN(Registro!$I380))),({1,2,3,4,5,6,7,8,9,10,11,12,13,14,15,16,17,18,19,20,21,22,23,24,25,26,27,28,29,30}-1)*LEN(Registro!$I380)+1,LEN(Registro!$I380)))," ",REPT(" ",50)),50)))),"Revisar formato"))</f>
        <v/>
      </c>
      <c r="K380" s="24" t="str">
        <f>IF(AND(Registro!$G380="",Registro!$H380=""),"",IF(AND(ISTEXT(I380),I380&lt;&gt;""),"Revisar formato",N(Registro!$G380)-N(I380)))</f>
        <v/>
      </c>
      <c r="L380" s="24" t="str">
        <f t="shared" si="11"/>
        <v/>
      </c>
      <c r="M380" s="36" t="str">
        <f>IF(AND(A380=Consulta!$B$3,C380=Consulta!$H$3),B380*10000+ROW(),"")</f>
        <v/>
      </c>
    </row>
    <row r="381" spans="1:13" x14ac:dyDescent="0.25">
      <c r="A381" s="21" t="str">
        <f>IF(Registro!$A381="","",Registro!$A381)</f>
        <v/>
      </c>
      <c r="B381" s="20" t="str">
        <f>IF(Registro!$B381="","",Registro!$B381)</f>
        <v/>
      </c>
      <c r="C381" s="35" t="str">
        <f t="shared" si="10"/>
        <v/>
      </c>
      <c r="D381" s="23" t="str">
        <f>IF(Registro!$E381="","",IF(ISERROR(FIND("x",LOWER(Registro!$E381))),"-",IFERROR(SUMPRODUCT(--("0"&amp;LEFT(TRIM(MID(SUBSTITUTE(SUBSTITUTE(SUBSTITUTE(SUBSTITUTE(SUBSTITUTE(LOWER(Registro!$E381),"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",LEN(Registro!$E381))),({1,2,3,4,5,6,7,8,9,10,11,12,13,14,15,16,17,18,19,20,21,22,23,24,25,26,27,28,29,30}-1)*LEN(Registro!$E381)+1,LEN(Registro!$E381))),FIND("x",TRIM(MID(SUBSTITUTE(SUBSTITUTE(SUBSTITUTE(SUBSTITUTE(SUBSTITUTE(LOWER(Registro!$E381),"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",LEN(Registro!$E381))),({1,2,3,4,5,6,7,8,9,10,11,12,13,14,15,16,17,18,19,20,21,22,23,24,25,26,27,28,29,30}-1)*LEN(Registro!$E381)+1,LEN(Registro!$E381)))&amp;"x")-1))),"Revisar formato")))</f>
        <v/>
      </c>
      <c r="E381" s="24" t="str">
        <f>IF(Registro!$E381="","",IF(ISERROR(FIND("x",LOWER(Registro!$E381))),"-",IFERROR(SUMPRODUCT(--("0"&amp;LEFT(TRIM(MID(SUBSTITUTE(SUBSTITUTE(SUBSTITUTE(SUBSTITUTE(SUBSTITUTE(LOWER(Registro!$E381),"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",LEN(Registro!$E381))),({1,2,3,4,5,6,7,8,9,10,11,12,13,14,15,16,17,18,19,20,21,22,23,24,25,26,27,28,29,30}-1)*LEN(Registro!$E381)+1,LEN(Registro!$E381))),FIND("x",TRIM(MID(SUBSTITUTE(SUBSTITUTE(SUBSTITUTE(SUBSTITUTE(SUBSTITUTE(LOWER(Registro!$E381),"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",LEN(Registro!$E381))),({1,2,3,4,5,6,7,8,9,10,11,12,13,14,15,16,17,18,19,20,21,22,23,24,25,26,27,28,29,30}-1)*LEN(Registro!$E381)+1,LEN(Registro!$E381)))&amp;"x")-1)),--("0"&amp;MID(TRIM(MID(SUBSTITUTE(SUBSTITUTE(SUBSTITUTE(SUBSTITUTE(SUBSTITUTE(LOWER(Registro!$E381),"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",LEN(Registro!$E381))),({1,2,3,4,5,6,7,8,9,10,11,12,13,14,15,16,17,18,19,20,21,22,23,24,25,26,27,28,29,30}-1)*LEN(Registro!$E381)+1,LEN(Registro!$E381))),FIND("x",TRIM(MID(SUBSTITUTE(SUBSTITUTE(SUBSTITUTE(SUBSTITUTE(SUBSTITUTE(LOWER(Registro!$E381),"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",LEN(Registro!$E381))),({1,2,3,4,5,6,7,8,9,10,11,12,13,14,15,16,17,18,19,20,21,22,23,24,25,26,27,28,29,30}-1)*LEN(Registro!$E381)+1,LEN(Registro!$E381)))&amp;"x")+1,20))),"Revisar formato")))</f>
        <v/>
      </c>
      <c r="F381" s="23" t="str">
        <f>IF(Registro!$F381="","",IF(ISERROR(FIND("x",LOWER(Registro!$F381))),"-",IFERROR(SUMPRODUCT(--("0"&amp;LEFT(TRIM(MID(SUBSTITUTE(SUBSTITUTE(SUBSTITUTE(SUBSTITUTE(SUBSTITUTE(LOWER(Registro!$F381)," ",""),CHAR(10),"|"),";","|"),"+","|"),"|",REPT(" ",LEN(Registro!$F381))),({1,2,3,4,5,6,7,8,9,10,11,12,13,14,15,16,17,18,19,20,21,22,23,24,25,26,27,28,29,30}-1)*LEN(Registro!$F381)+1,LEN(Registro!$F381))),FIND("x",TRIM(MID(SUBSTITUTE(SUBSTITUTE(SUBSTITUTE(SUBSTITUTE(SUBSTITUTE(LOWER(Registro!$F381)," ",""),CHAR(10),"|"),";","|"),"+","|"),"|",REPT(" ",LEN(Registro!$F381))),({1,2,3,4,5,6,7,8,9,10,11,12,13,14,15,16,17,18,19,20,21,22,23,24,25,26,27,28,29,30}-1)*LEN(Registro!$F381)+1,LEN(Registro!$F381)))&amp;"x")-1))),"Revisar formato")))</f>
        <v/>
      </c>
      <c r="G381" s="24" t="str">
        <f>IF(Registro!$F381="","",IF(ISERROR(FIND("x",LOWER(Registro!$F381))),N(Registro!$G381),IFERROR(SUMPRODUCT(--("0"&amp;LEFT(TRIM(MID(SUBSTITUTE(SUBSTITUTE(SUBSTITUTE(SUBSTITUTE(SUBSTITUTE(LOWER(Registro!$F381)," ",""),CHAR(10),"|"),";","|"),"+","|"),"|",REPT(" ",LEN(Registro!$F381))),({1,2,3,4,5,6,7,8,9,10,11,12,13,14,15,16,17,18,19,20,21,22,23,24,25,26,27,28,29,30}-1)*LEN(Registro!$F381)+1,LEN(Registro!$F381))),FIND("x",TRIM(MID(SUBSTITUTE(SUBSTITUTE(SUBSTITUTE(SUBSTITUTE(SUBSTITUTE(LOWER(Registro!$F381)," ",""),CHAR(10),"|"),";","|"),"+","|"),"|",REPT(" ",LEN(Registro!$F381))),({1,2,3,4,5,6,7,8,9,10,11,12,13,14,15,16,17,18,19,20,21,22,23,24,25,26,27,28,29,30}-1)*LEN(Registro!$F381)+1,LEN(Registro!$F381)))&amp;"x")-1)),--("0"&amp;MID(TRIM(MID(SUBSTITUTE(SUBSTITUTE(SUBSTITUTE(SUBSTITUTE(SUBSTITUTE(LOWER(Registro!$F381)," ",""),CHAR(10),"|"),";","|"),"+","|"),"|",REPT(" ",LEN(Registro!$F381))),({1,2,3,4,5,6,7,8,9,10,11,12,13,14,15,16,17,18,19,20,21,22,23,24,25,26,27,28,29,30}-1)*LEN(Registro!$F381)+1,LEN(Registro!$F381))),FIND("x",TRIM(MID(SUBSTITUTE(SUBSTITUTE(SUBSTITUTE(SUBSTITUTE(SUBSTITUTE(LOWER(Registro!$F381)," ",""),CHAR(10),"|"),";","|"),"+","|"),"|",REPT(" ",LEN(Registro!$F381))),({1,2,3,4,5,6,7,8,9,10,11,12,13,14,15,16,17,18,19,20,21,22,23,24,25,26,27,28,29,30}-1)*LEN(Registro!$F381)+1,LEN(Registro!$F381)))&amp;"x")+1,20))),"Revisar formato")))</f>
        <v/>
      </c>
      <c r="H381" s="21" t="str">
        <f>IF(AND(Registro!$E381="",Registro!$F381=""),"",IF(NOT(AND(ISNUMBER(G381),ISNUMBER(Registro!$G381))),"",IF(G381&lt;Registro!$G381,"FALTA BOLETOS",IF(G381=Registro!$G381,"CONFORME","DIFERENCIA"))))</f>
        <v/>
      </c>
      <c r="I381" s="24" t="str">
        <f>IF(Registro!$H381="","",IFERROR(SUMPRODUCT(--("0"&amp;TRIM(RIGHT(SUBSTITUTE(TRIM(MID(SUBSTITUTE(SUBSTITUTE(Registro!$H381,";",CHAR(10)),CHAR(10),REPT(" ",LEN(Registro!$H381))),({1,2,3,4,5,6,7,8,9,10,11,12,13,14,15,16,17,18,19,20,21,22,23,24,25,26,27,28,29,30}-1)*LEN(Registro!$H381)+1,LEN(Registro!$H381)))," ",REPT(" ",50)),50)))),"Revisar formato"))</f>
        <v/>
      </c>
      <c r="J381" s="24" t="str">
        <f>IF(Registro!$I381="","",IFERROR(SUMPRODUCT(--("0"&amp;TRIM(RIGHT(SUBSTITUTE(TRIM(MID(SUBSTITUTE(SUBSTITUTE(Registro!$I381,";",CHAR(10)),CHAR(10),REPT(" ",LEN(Registro!$I381))),({1,2,3,4,5,6,7,8,9,10,11,12,13,14,15,16,17,18,19,20,21,22,23,24,25,26,27,28,29,30}-1)*LEN(Registro!$I381)+1,LEN(Registro!$I381)))," ",REPT(" ",50)),50)))),"Revisar formato"))</f>
        <v/>
      </c>
      <c r="K381" s="24" t="str">
        <f>IF(AND(Registro!$G381="",Registro!$H381=""),"",IF(AND(ISTEXT(I381),I381&lt;&gt;""),"Revisar formato",N(Registro!$G381)-N(I381)))</f>
        <v/>
      </c>
      <c r="L381" s="24" t="str">
        <f t="shared" si="11"/>
        <v/>
      </c>
      <c r="M381" s="36" t="str">
        <f>IF(AND(A381=Consulta!$B$3,C381=Consulta!$H$3),B381*10000+ROW(),"")</f>
        <v/>
      </c>
    </row>
    <row r="382" spans="1:13" x14ac:dyDescent="0.25">
      <c r="A382" s="21" t="str">
        <f>IF(Registro!$A382="","",Registro!$A382)</f>
        <v/>
      </c>
      <c r="B382" s="20" t="str">
        <f>IF(Registro!$B382="","",Registro!$B382)</f>
        <v/>
      </c>
      <c r="C382" s="35" t="str">
        <f t="shared" si="10"/>
        <v/>
      </c>
      <c r="D382" s="23" t="str">
        <f>IF(Registro!$E382="","",IF(ISERROR(FIND("x",LOWER(Registro!$E382))),"-",IFERROR(SUMPRODUCT(--("0"&amp;LEFT(TRIM(MID(SUBSTITUTE(SUBSTITUTE(SUBSTITUTE(SUBSTITUTE(SUBSTITUTE(LOWER(Registro!$E382),"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",LEN(Registro!$E382))),({1,2,3,4,5,6,7,8,9,10,11,12,13,14,15,16,17,18,19,20,21,22,23,24,25,26,27,28,29,30}-1)*LEN(Registro!$E382)+1,LEN(Registro!$E382))),FIND("x",TRIM(MID(SUBSTITUTE(SUBSTITUTE(SUBSTITUTE(SUBSTITUTE(SUBSTITUTE(LOWER(Registro!$E382),"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",LEN(Registro!$E382))),({1,2,3,4,5,6,7,8,9,10,11,12,13,14,15,16,17,18,19,20,21,22,23,24,25,26,27,28,29,30}-1)*LEN(Registro!$E382)+1,LEN(Registro!$E382)))&amp;"x")-1))),"Revisar formato")))</f>
        <v/>
      </c>
      <c r="E382" s="24" t="str">
        <f>IF(Registro!$E382="","",IF(ISERROR(FIND("x",LOWER(Registro!$E382))),"-",IFERROR(SUMPRODUCT(--("0"&amp;LEFT(TRIM(MID(SUBSTITUTE(SUBSTITUTE(SUBSTITUTE(SUBSTITUTE(SUBSTITUTE(LOWER(Registro!$E382),"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",LEN(Registro!$E382))),({1,2,3,4,5,6,7,8,9,10,11,12,13,14,15,16,17,18,19,20,21,22,23,24,25,26,27,28,29,30}-1)*LEN(Registro!$E382)+1,LEN(Registro!$E382))),FIND("x",TRIM(MID(SUBSTITUTE(SUBSTITUTE(SUBSTITUTE(SUBSTITUTE(SUBSTITUTE(LOWER(Registro!$E382),"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",LEN(Registro!$E382))),({1,2,3,4,5,6,7,8,9,10,11,12,13,14,15,16,17,18,19,20,21,22,23,24,25,26,27,28,29,30}-1)*LEN(Registro!$E382)+1,LEN(Registro!$E382)))&amp;"x")-1)),--("0"&amp;MID(TRIM(MID(SUBSTITUTE(SUBSTITUTE(SUBSTITUTE(SUBSTITUTE(SUBSTITUTE(LOWER(Registro!$E382),"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",LEN(Registro!$E382))),({1,2,3,4,5,6,7,8,9,10,11,12,13,14,15,16,17,18,19,20,21,22,23,24,25,26,27,28,29,30}-1)*LEN(Registro!$E382)+1,LEN(Registro!$E382))),FIND("x",TRIM(MID(SUBSTITUTE(SUBSTITUTE(SUBSTITUTE(SUBSTITUTE(SUBSTITUTE(LOWER(Registro!$E382),"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",LEN(Registro!$E382))),({1,2,3,4,5,6,7,8,9,10,11,12,13,14,15,16,17,18,19,20,21,22,23,24,25,26,27,28,29,30}-1)*LEN(Registro!$E382)+1,LEN(Registro!$E382)))&amp;"x")+1,20))),"Revisar formato")))</f>
        <v/>
      </c>
      <c r="F382" s="23" t="str">
        <f>IF(Registro!$F382="","",IF(ISERROR(FIND("x",LOWER(Registro!$F382))),"-",IFERROR(SUMPRODUCT(--("0"&amp;LEFT(TRIM(MID(SUBSTITUTE(SUBSTITUTE(SUBSTITUTE(SUBSTITUTE(SUBSTITUTE(LOWER(Registro!$F382)," ",""),CHAR(10),"|"),";","|"),"+","|"),"|",REPT(" ",LEN(Registro!$F382))),({1,2,3,4,5,6,7,8,9,10,11,12,13,14,15,16,17,18,19,20,21,22,23,24,25,26,27,28,29,30}-1)*LEN(Registro!$F382)+1,LEN(Registro!$F382))),FIND("x",TRIM(MID(SUBSTITUTE(SUBSTITUTE(SUBSTITUTE(SUBSTITUTE(SUBSTITUTE(LOWER(Registro!$F382)," ",""),CHAR(10),"|"),";","|"),"+","|"),"|",REPT(" ",LEN(Registro!$F382))),({1,2,3,4,5,6,7,8,9,10,11,12,13,14,15,16,17,18,19,20,21,22,23,24,25,26,27,28,29,30}-1)*LEN(Registro!$F382)+1,LEN(Registro!$F382)))&amp;"x")-1))),"Revisar formato")))</f>
        <v/>
      </c>
      <c r="G382" s="24" t="str">
        <f>IF(Registro!$F382="","",IF(ISERROR(FIND("x",LOWER(Registro!$F382))),N(Registro!$G382),IFERROR(SUMPRODUCT(--("0"&amp;LEFT(TRIM(MID(SUBSTITUTE(SUBSTITUTE(SUBSTITUTE(SUBSTITUTE(SUBSTITUTE(LOWER(Registro!$F382)," ",""),CHAR(10),"|"),";","|"),"+","|"),"|",REPT(" ",LEN(Registro!$F382))),({1,2,3,4,5,6,7,8,9,10,11,12,13,14,15,16,17,18,19,20,21,22,23,24,25,26,27,28,29,30}-1)*LEN(Registro!$F382)+1,LEN(Registro!$F382))),FIND("x",TRIM(MID(SUBSTITUTE(SUBSTITUTE(SUBSTITUTE(SUBSTITUTE(SUBSTITUTE(LOWER(Registro!$F382)," ",""),CHAR(10),"|"),";","|"),"+","|"),"|",REPT(" ",LEN(Registro!$F382))),({1,2,3,4,5,6,7,8,9,10,11,12,13,14,15,16,17,18,19,20,21,22,23,24,25,26,27,28,29,30}-1)*LEN(Registro!$F382)+1,LEN(Registro!$F382)))&amp;"x")-1)),--("0"&amp;MID(TRIM(MID(SUBSTITUTE(SUBSTITUTE(SUBSTITUTE(SUBSTITUTE(SUBSTITUTE(LOWER(Registro!$F382)," ",""),CHAR(10),"|"),";","|"),"+","|"),"|",REPT(" ",LEN(Registro!$F382))),({1,2,3,4,5,6,7,8,9,10,11,12,13,14,15,16,17,18,19,20,21,22,23,24,25,26,27,28,29,30}-1)*LEN(Registro!$F382)+1,LEN(Registro!$F382))),FIND("x",TRIM(MID(SUBSTITUTE(SUBSTITUTE(SUBSTITUTE(SUBSTITUTE(SUBSTITUTE(LOWER(Registro!$F382)," ",""),CHAR(10),"|"),";","|"),"+","|"),"|",REPT(" ",LEN(Registro!$F382))),({1,2,3,4,5,6,7,8,9,10,11,12,13,14,15,16,17,18,19,20,21,22,23,24,25,26,27,28,29,30}-1)*LEN(Registro!$F382)+1,LEN(Registro!$F382)))&amp;"x")+1,20))),"Revisar formato")))</f>
        <v/>
      </c>
      <c r="H382" s="21" t="str">
        <f>IF(AND(Registro!$E382="",Registro!$F382=""),"",IF(NOT(AND(ISNUMBER(G382),ISNUMBER(Registro!$G382))),"",IF(G382&lt;Registro!$G382,"FALTA BOLETOS",IF(G382=Registro!$G382,"CONFORME","DIFERENCIA"))))</f>
        <v/>
      </c>
      <c r="I382" s="24" t="str">
        <f>IF(Registro!$H382="","",IFERROR(SUMPRODUCT(--("0"&amp;TRIM(RIGHT(SUBSTITUTE(TRIM(MID(SUBSTITUTE(SUBSTITUTE(Registro!$H382,";",CHAR(10)),CHAR(10),REPT(" ",LEN(Registro!$H382))),({1,2,3,4,5,6,7,8,9,10,11,12,13,14,15,16,17,18,19,20,21,22,23,24,25,26,27,28,29,30}-1)*LEN(Registro!$H382)+1,LEN(Registro!$H382)))," ",REPT(" ",50)),50)))),"Revisar formato"))</f>
        <v/>
      </c>
      <c r="J382" s="24" t="str">
        <f>IF(Registro!$I382="","",IFERROR(SUMPRODUCT(--("0"&amp;TRIM(RIGHT(SUBSTITUTE(TRIM(MID(SUBSTITUTE(SUBSTITUTE(Registro!$I382,";",CHAR(10)),CHAR(10),REPT(" ",LEN(Registro!$I382))),({1,2,3,4,5,6,7,8,9,10,11,12,13,14,15,16,17,18,19,20,21,22,23,24,25,26,27,28,29,30}-1)*LEN(Registro!$I382)+1,LEN(Registro!$I382)))," ",REPT(" ",50)),50)))),"Revisar formato"))</f>
        <v/>
      </c>
      <c r="K382" s="24" t="str">
        <f>IF(AND(Registro!$G382="",Registro!$H382=""),"",IF(AND(ISTEXT(I382),I382&lt;&gt;""),"Revisar formato",N(Registro!$G382)-N(I382)))</f>
        <v/>
      </c>
      <c r="L382" s="24" t="str">
        <f t="shared" si="11"/>
        <v/>
      </c>
      <c r="M382" s="36" t="str">
        <f>IF(AND(A382=Consulta!$B$3,C382=Consulta!$H$3),B382*10000+ROW(),"")</f>
        <v/>
      </c>
    </row>
    <row r="383" spans="1:13" x14ac:dyDescent="0.25">
      <c r="A383" s="21" t="str">
        <f>IF(Registro!$A383="","",Registro!$A383)</f>
        <v/>
      </c>
      <c r="B383" s="20" t="str">
        <f>IF(Registro!$B383="","",Registro!$B383)</f>
        <v/>
      </c>
      <c r="C383" s="35" t="str">
        <f t="shared" si="10"/>
        <v/>
      </c>
      <c r="D383" s="23" t="str">
        <f>IF(Registro!$E383="","",IF(ISERROR(FIND("x",LOWER(Registro!$E383))),"-",IFERROR(SUMPRODUCT(--("0"&amp;LEFT(TRIM(MID(SUBSTITUTE(SUBSTITUTE(SUBSTITUTE(SUBSTITUTE(SUBSTITUTE(LOWER(Registro!$E383),"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",LEN(Registro!$E383))),({1,2,3,4,5,6,7,8,9,10,11,12,13,14,15,16,17,18,19,20,21,22,23,24,25,26,27,28,29,30}-1)*LEN(Registro!$E383)+1,LEN(Registro!$E383))),FIND("x",TRIM(MID(SUBSTITUTE(SUBSTITUTE(SUBSTITUTE(SUBSTITUTE(SUBSTITUTE(LOWER(Registro!$E383),"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",LEN(Registro!$E383))),({1,2,3,4,5,6,7,8,9,10,11,12,13,14,15,16,17,18,19,20,21,22,23,24,25,26,27,28,29,30}-1)*LEN(Registro!$E383)+1,LEN(Registro!$E383)))&amp;"x")-1))),"Revisar formato")))</f>
        <v/>
      </c>
      <c r="E383" s="24" t="str">
        <f>IF(Registro!$E383="","",IF(ISERROR(FIND("x",LOWER(Registro!$E383))),"-",IFERROR(SUMPRODUCT(--("0"&amp;LEFT(TRIM(MID(SUBSTITUTE(SUBSTITUTE(SUBSTITUTE(SUBSTITUTE(SUBSTITUTE(LOWER(Registro!$E383),"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",LEN(Registro!$E383))),({1,2,3,4,5,6,7,8,9,10,11,12,13,14,15,16,17,18,19,20,21,22,23,24,25,26,27,28,29,30}-1)*LEN(Registro!$E383)+1,LEN(Registro!$E383))),FIND("x",TRIM(MID(SUBSTITUTE(SUBSTITUTE(SUBSTITUTE(SUBSTITUTE(SUBSTITUTE(LOWER(Registro!$E383),"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",LEN(Registro!$E383))),({1,2,3,4,5,6,7,8,9,10,11,12,13,14,15,16,17,18,19,20,21,22,23,24,25,26,27,28,29,30}-1)*LEN(Registro!$E383)+1,LEN(Registro!$E383)))&amp;"x")-1)),--("0"&amp;MID(TRIM(MID(SUBSTITUTE(SUBSTITUTE(SUBSTITUTE(SUBSTITUTE(SUBSTITUTE(LOWER(Registro!$E383),"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",LEN(Registro!$E383))),({1,2,3,4,5,6,7,8,9,10,11,12,13,14,15,16,17,18,19,20,21,22,23,24,25,26,27,28,29,30}-1)*LEN(Registro!$E383)+1,LEN(Registro!$E383))),FIND("x",TRIM(MID(SUBSTITUTE(SUBSTITUTE(SUBSTITUTE(SUBSTITUTE(SUBSTITUTE(LOWER(Registro!$E383),"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",LEN(Registro!$E383))),({1,2,3,4,5,6,7,8,9,10,11,12,13,14,15,16,17,18,19,20,21,22,23,24,25,26,27,28,29,30}-1)*LEN(Registro!$E383)+1,LEN(Registro!$E383)))&amp;"x")+1,20))),"Revisar formato")))</f>
        <v/>
      </c>
      <c r="F383" s="23" t="str">
        <f>IF(Registro!$F383="","",IF(ISERROR(FIND("x",LOWER(Registro!$F383))),"-",IFERROR(SUMPRODUCT(--("0"&amp;LEFT(TRIM(MID(SUBSTITUTE(SUBSTITUTE(SUBSTITUTE(SUBSTITUTE(SUBSTITUTE(LOWER(Registro!$F383)," ",""),CHAR(10),"|"),";","|"),"+","|"),"|",REPT(" ",LEN(Registro!$F383))),({1,2,3,4,5,6,7,8,9,10,11,12,13,14,15,16,17,18,19,20,21,22,23,24,25,26,27,28,29,30}-1)*LEN(Registro!$F383)+1,LEN(Registro!$F383))),FIND("x",TRIM(MID(SUBSTITUTE(SUBSTITUTE(SUBSTITUTE(SUBSTITUTE(SUBSTITUTE(LOWER(Registro!$F383)," ",""),CHAR(10),"|"),";","|"),"+","|"),"|",REPT(" ",LEN(Registro!$F383))),({1,2,3,4,5,6,7,8,9,10,11,12,13,14,15,16,17,18,19,20,21,22,23,24,25,26,27,28,29,30}-1)*LEN(Registro!$F383)+1,LEN(Registro!$F383)))&amp;"x")-1))),"Revisar formato")))</f>
        <v/>
      </c>
      <c r="G383" s="24" t="str">
        <f>IF(Registro!$F383="","",IF(ISERROR(FIND("x",LOWER(Registro!$F383))),N(Registro!$G383),IFERROR(SUMPRODUCT(--("0"&amp;LEFT(TRIM(MID(SUBSTITUTE(SUBSTITUTE(SUBSTITUTE(SUBSTITUTE(SUBSTITUTE(LOWER(Registro!$F383)," ",""),CHAR(10),"|"),";","|"),"+","|"),"|",REPT(" ",LEN(Registro!$F383))),({1,2,3,4,5,6,7,8,9,10,11,12,13,14,15,16,17,18,19,20,21,22,23,24,25,26,27,28,29,30}-1)*LEN(Registro!$F383)+1,LEN(Registro!$F383))),FIND("x",TRIM(MID(SUBSTITUTE(SUBSTITUTE(SUBSTITUTE(SUBSTITUTE(SUBSTITUTE(LOWER(Registro!$F383)," ",""),CHAR(10),"|"),";","|"),"+","|"),"|",REPT(" ",LEN(Registro!$F383))),({1,2,3,4,5,6,7,8,9,10,11,12,13,14,15,16,17,18,19,20,21,22,23,24,25,26,27,28,29,30}-1)*LEN(Registro!$F383)+1,LEN(Registro!$F383)))&amp;"x")-1)),--("0"&amp;MID(TRIM(MID(SUBSTITUTE(SUBSTITUTE(SUBSTITUTE(SUBSTITUTE(SUBSTITUTE(LOWER(Registro!$F383)," ",""),CHAR(10),"|"),";","|"),"+","|"),"|",REPT(" ",LEN(Registro!$F383))),({1,2,3,4,5,6,7,8,9,10,11,12,13,14,15,16,17,18,19,20,21,22,23,24,25,26,27,28,29,30}-1)*LEN(Registro!$F383)+1,LEN(Registro!$F383))),FIND("x",TRIM(MID(SUBSTITUTE(SUBSTITUTE(SUBSTITUTE(SUBSTITUTE(SUBSTITUTE(LOWER(Registro!$F383)," ",""),CHAR(10),"|"),";","|"),"+","|"),"|",REPT(" ",LEN(Registro!$F383))),({1,2,3,4,5,6,7,8,9,10,11,12,13,14,15,16,17,18,19,20,21,22,23,24,25,26,27,28,29,30}-1)*LEN(Registro!$F383)+1,LEN(Registro!$F383)))&amp;"x")+1,20))),"Revisar formato")))</f>
        <v/>
      </c>
      <c r="H383" s="21" t="str">
        <f>IF(AND(Registro!$E383="",Registro!$F383=""),"",IF(NOT(AND(ISNUMBER(G383),ISNUMBER(Registro!$G383))),"",IF(G383&lt;Registro!$G383,"FALTA BOLETOS",IF(G383=Registro!$G383,"CONFORME","DIFERENCIA"))))</f>
        <v/>
      </c>
      <c r="I383" s="24" t="str">
        <f>IF(Registro!$H383="","",IFERROR(SUMPRODUCT(--("0"&amp;TRIM(RIGHT(SUBSTITUTE(TRIM(MID(SUBSTITUTE(SUBSTITUTE(Registro!$H383,";",CHAR(10)),CHAR(10),REPT(" ",LEN(Registro!$H383))),({1,2,3,4,5,6,7,8,9,10,11,12,13,14,15,16,17,18,19,20,21,22,23,24,25,26,27,28,29,30}-1)*LEN(Registro!$H383)+1,LEN(Registro!$H383)))," ",REPT(" ",50)),50)))),"Revisar formato"))</f>
        <v/>
      </c>
      <c r="J383" s="24" t="str">
        <f>IF(Registro!$I383="","",IFERROR(SUMPRODUCT(--("0"&amp;TRIM(RIGHT(SUBSTITUTE(TRIM(MID(SUBSTITUTE(SUBSTITUTE(Registro!$I383,";",CHAR(10)),CHAR(10),REPT(" ",LEN(Registro!$I383))),({1,2,3,4,5,6,7,8,9,10,11,12,13,14,15,16,17,18,19,20,21,22,23,24,25,26,27,28,29,30}-1)*LEN(Registro!$I383)+1,LEN(Registro!$I383)))," ",REPT(" ",50)),50)))),"Revisar formato"))</f>
        <v/>
      </c>
      <c r="K383" s="24" t="str">
        <f>IF(AND(Registro!$G383="",Registro!$H383=""),"",IF(AND(ISTEXT(I383),I383&lt;&gt;""),"Revisar formato",N(Registro!$G383)-N(I383)))</f>
        <v/>
      </c>
      <c r="L383" s="24" t="str">
        <f t="shared" si="11"/>
        <v/>
      </c>
      <c r="M383" s="36" t="str">
        <f>IF(AND(A383=Consulta!$B$3,C383=Consulta!$H$3),B383*10000+ROW(),"")</f>
        <v/>
      </c>
    </row>
    <row r="384" spans="1:13" x14ac:dyDescent="0.25">
      <c r="A384" s="21" t="str">
        <f>IF(Registro!$A384="","",Registro!$A384)</f>
        <v/>
      </c>
      <c r="B384" s="20" t="str">
        <f>IF(Registro!$B384="","",Registro!$B384)</f>
        <v/>
      </c>
      <c r="C384" s="35" t="str">
        <f t="shared" si="10"/>
        <v/>
      </c>
      <c r="D384" s="23" t="str">
        <f>IF(Registro!$E384="","",IF(ISERROR(FIND("x",LOWER(Registro!$E384))),"-",IFERROR(SUMPRODUCT(--("0"&amp;LEFT(TRIM(MID(SUBSTITUTE(SUBSTITUTE(SUBSTITUTE(SUBSTITUTE(SUBSTITUTE(LOWER(Registro!$E384),"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",LEN(Registro!$E384))),({1,2,3,4,5,6,7,8,9,10,11,12,13,14,15,16,17,18,19,20,21,22,23,24,25,26,27,28,29,30}-1)*LEN(Registro!$E384)+1,LEN(Registro!$E384))),FIND("x",TRIM(MID(SUBSTITUTE(SUBSTITUTE(SUBSTITUTE(SUBSTITUTE(SUBSTITUTE(LOWER(Registro!$E384),"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",LEN(Registro!$E384))),({1,2,3,4,5,6,7,8,9,10,11,12,13,14,15,16,17,18,19,20,21,22,23,24,25,26,27,28,29,30}-1)*LEN(Registro!$E384)+1,LEN(Registro!$E384)))&amp;"x")-1))),"Revisar formato")))</f>
        <v/>
      </c>
      <c r="E384" s="24" t="str">
        <f>IF(Registro!$E384="","",IF(ISERROR(FIND("x",LOWER(Registro!$E384))),"-",IFERROR(SUMPRODUCT(--("0"&amp;LEFT(TRIM(MID(SUBSTITUTE(SUBSTITUTE(SUBSTITUTE(SUBSTITUTE(SUBSTITUTE(LOWER(Registro!$E384),"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",LEN(Registro!$E384))),({1,2,3,4,5,6,7,8,9,10,11,12,13,14,15,16,17,18,19,20,21,22,23,24,25,26,27,28,29,30}-1)*LEN(Registro!$E384)+1,LEN(Registro!$E384))),FIND("x",TRIM(MID(SUBSTITUTE(SUBSTITUTE(SUBSTITUTE(SUBSTITUTE(SUBSTITUTE(LOWER(Registro!$E384),"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",LEN(Registro!$E384))),({1,2,3,4,5,6,7,8,9,10,11,12,13,14,15,16,17,18,19,20,21,22,23,24,25,26,27,28,29,30}-1)*LEN(Registro!$E384)+1,LEN(Registro!$E384)))&amp;"x")-1)),--("0"&amp;MID(TRIM(MID(SUBSTITUTE(SUBSTITUTE(SUBSTITUTE(SUBSTITUTE(SUBSTITUTE(LOWER(Registro!$E384),"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",LEN(Registro!$E384))),({1,2,3,4,5,6,7,8,9,10,11,12,13,14,15,16,17,18,19,20,21,22,23,24,25,26,27,28,29,30}-1)*LEN(Registro!$E384)+1,LEN(Registro!$E384))),FIND("x",TRIM(MID(SUBSTITUTE(SUBSTITUTE(SUBSTITUTE(SUBSTITUTE(SUBSTITUTE(LOWER(Registro!$E384),"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",LEN(Registro!$E384))),({1,2,3,4,5,6,7,8,9,10,11,12,13,14,15,16,17,18,19,20,21,22,23,24,25,26,27,28,29,30}-1)*LEN(Registro!$E384)+1,LEN(Registro!$E384)))&amp;"x")+1,20))),"Revisar formato")))</f>
        <v/>
      </c>
      <c r="F384" s="23" t="str">
        <f>IF(Registro!$F384="","",IF(ISERROR(FIND("x",LOWER(Registro!$F384))),"-",IFERROR(SUMPRODUCT(--("0"&amp;LEFT(TRIM(MID(SUBSTITUTE(SUBSTITUTE(SUBSTITUTE(SUBSTITUTE(SUBSTITUTE(LOWER(Registro!$F384)," ",""),CHAR(10),"|"),";","|"),"+","|"),"|",REPT(" ",LEN(Registro!$F384))),({1,2,3,4,5,6,7,8,9,10,11,12,13,14,15,16,17,18,19,20,21,22,23,24,25,26,27,28,29,30}-1)*LEN(Registro!$F384)+1,LEN(Registro!$F384))),FIND("x",TRIM(MID(SUBSTITUTE(SUBSTITUTE(SUBSTITUTE(SUBSTITUTE(SUBSTITUTE(LOWER(Registro!$F384)," ",""),CHAR(10),"|"),";","|"),"+","|"),"|",REPT(" ",LEN(Registro!$F384))),({1,2,3,4,5,6,7,8,9,10,11,12,13,14,15,16,17,18,19,20,21,22,23,24,25,26,27,28,29,30}-1)*LEN(Registro!$F384)+1,LEN(Registro!$F384)))&amp;"x")-1))),"Revisar formato")))</f>
        <v/>
      </c>
      <c r="G384" s="24" t="str">
        <f>IF(Registro!$F384="","",IF(ISERROR(FIND("x",LOWER(Registro!$F384))),N(Registro!$G384),IFERROR(SUMPRODUCT(--("0"&amp;LEFT(TRIM(MID(SUBSTITUTE(SUBSTITUTE(SUBSTITUTE(SUBSTITUTE(SUBSTITUTE(LOWER(Registro!$F384)," ",""),CHAR(10),"|"),";","|"),"+","|"),"|",REPT(" ",LEN(Registro!$F384))),({1,2,3,4,5,6,7,8,9,10,11,12,13,14,15,16,17,18,19,20,21,22,23,24,25,26,27,28,29,30}-1)*LEN(Registro!$F384)+1,LEN(Registro!$F384))),FIND("x",TRIM(MID(SUBSTITUTE(SUBSTITUTE(SUBSTITUTE(SUBSTITUTE(SUBSTITUTE(LOWER(Registro!$F384)," ",""),CHAR(10),"|"),";","|"),"+","|"),"|",REPT(" ",LEN(Registro!$F384))),({1,2,3,4,5,6,7,8,9,10,11,12,13,14,15,16,17,18,19,20,21,22,23,24,25,26,27,28,29,30}-1)*LEN(Registro!$F384)+1,LEN(Registro!$F384)))&amp;"x")-1)),--("0"&amp;MID(TRIM(MID(SUBSTITUTE(SUBSTITUTE(SUBSTITUTE(SUBSTITUTE(SUBSTITUTE(LOWER(Registro!$F384)," ",""),CHAR(10),"|"),";","|"),"+","|"),"|",REPT(" ",LEN(Registro!$F384))),({1,2,3,4,5,6,7,8,9,10,11,12,13,14,15,16,17,18,19,20,21,22,23,24,25,26,27,28,29,30}-1)*LEN(Registro!$F384)+1,LEN(Registro!$F384))),FIND("x",TRIM(MID(SUBSTITUTE(SUBSTITUTE(SUBSTITUTE(SUBSTITUTE(SUBSTITUTE(LOWER(Registro!$F384)," ",""),CHAR(10),"|"),";","|"),"+","|"),"|",REPT(" ",LEN(Registro!$F384))),({1,2,3,4,5,6,7,8,9,10,11,12,13,14,15,16,17,18,19,20,21,22,23,24,25,26,27,28,29,30}-1)*LEN(Registro!$F384)+1,LEN(Registro!$F384)))&amp;"x")+1,20))),"Revisar formato")))</f>
        <v/>
      </c>
      <c r="H384" s="21" t="str">
        <f>IF(AND(Registro!$E384="",Registro!$F384=""),"",IF(NOT(AND(ISNUMBER(G384),ISNUMBER(Registro!$G384))),"",IF(G384&lt;Registro!$G384,"FALTA BOLETOS",IF(G384=Registro!$G384,"CONFORME","DIFERENCIA"))))</f>
        <v/>
      </c>
      <c r="I384" s="24" t="str">
        <f>IF(Registro!$H384="","",IFERROR(SUMPRODUCT(--("0"&amp;TRIM(RIGHT(SUBSTITUTE(TRIM(MID(SUBSTITUTE(SUBSTITUTE(Registro!$H384,";",CHAR(10)),CHAR(10),REPT(" ",LEN(Registro!$H384))),({1,2,3,4,5,6,7,8,9,10,11,12,13,14,15,16,17,18,19,20,21,22,23,24,25,26,27,28,29,30}-1)*LEN(Registro!$H384)+1,LEN(Registro!$H384)))," ",REPT(" ",50)),50)))),"Revisar formato"))</f>
        <v/>
      </c>
      <c r="J384" s="24" t="str">
        <f>IF(Registro!$I384="","",IFERROR(SUMPRODUCT(--("0"&amp;TRIM(RIGHT(SUBSTITUTE(TRIM(MID(SUBSTITUTE(SUBSTITUTE(Registro!$I384,";",CHAR(10)),CHAR(10),REPT(" ",LEN(Registro!$I384))),({1,2,3,4,5,6,7,8,9,10,11,12,13,14,15,16,17,18,19,20,21,22,23,24,25,26,27,28,29,30}-1)*LEN(Registro!$I384)+1,LEN(Registro!$I384)))," ",REPT(" ",50)),50)))),"Revisar formato"))</f>
        <v/>
      </c>
      <c r="K384" s="24" t="str">
        <f>IF(AND(Registro!$G384="",Registro!$H384=""),"",IF(AND(ISTEXT(I384),I384&lt;&gt;""),"Revisar formato",N(Registro!$G384)-N(I384)))</f>
        <v/>
      </c>
      <c r="L384" s="24" t="str">
        <f t="shared" si="11"/>
        <v/>
      </c>
      <c r="M384" s="36" t="str">
        <f>IF(AND(A384=Consulta!$B$3,C384=Consulta!$H$3),B384*10000+ROW(),"")</f>
        <v/>
      </c>
    </row>
    <row r="385" spans="1:13" x14ac:dyDescent="0.25">
      <c r="A385" s="21" t="str">
        <f>IF(Registro!$A385="","",Registro!$A385)</f>
        <v/>
      </c>
      <c r="B385" s="20" t="str">
        <f>IF(Registro!$B385="","",Registro!$B385)</f>
        <v/>
      </c>
      <c r="C385" s="35" t="str">
        <f t="shared" si="10"/>
        <v/>
      </c>
      <c r="D385" s="23" t="str">
        <f>IF(Registro!$E385="","",IF(ISERROR(FIND("x",LOWER(Registro!$E385))),"-",IFERROR(SUMPRODUCT(--("0"&amp;LEFT(TRIM(MID(SUBSTITUTE(SUBSTITUTE(SUBSTITUTE(SUBSTITUTE(SUBSTITUTE(LOWER(Registro!$E385),"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",LEN(Registro!$E385))),({1,2,3,4,5,6,7,8,9,10,11,12,13,14,15,16,17,18,19,20,21,22,23,24,25,26,27,28,29,30}-1)*LEN(Registro!$E385)+1,LEN(Registro!$E385))),FIND("x",TRIM(MID(SUBSTITUTE(SUBSTITUTE(SUBSTITUTE(SUBSTITUTE(SUBSTITUTE(LOWER(Registro!$E385),"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",LEN(Registro!$E385))),({1,2,3,4,5,6,7,8,9,10,11,12,13,14,15,16,17,18,19,20,21,22,23,24,25,26,27,28,29,30}-1)*LEN(Registro!$E385)+1,LEN(Registro!$E385)))&amp;"x")-1))),"Revisar formato")))</f>
        <v/>
      </c>
      <c r="E385" s="24" t="str">
        <f>IF(Registro!$E385="","",IF(ISERROR(FIND("x",LOWER(Registro!$E385))),"-",IFERROR(SUMPRODUCT(--("0"&amp;LEFT(TRIM(MID(SUBSTITUTE(SUBSTITUTE(SUBSTITUTE(SUBSTITUTE(SUBSTITUTE(LOWER(Registro!$E385),"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",LEN(Registro!$E385))),({1,2,3,4,5,6,7,8,9,10,11,12,13,14,15,16,17,18,19,20,21,22,23,24,25,26,27,28,29,30}-1)*LEN(Registro!$E385)+1,LEN(Registro!$E385))),FIND("x",TRIM(MID(SUBSTITUTE(SUBSTITUTE(SUBSTITUTE(SUBSTITUTE(SUBSTITUTE(LOWER(Registro!$E385),"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",LEN(Registro!$E385))),({1,2,3,4,5,6,7,8,9,10,11,12,13,14,15,16,17,18,19,20,21,22,23,24,25,26,27,28,29,30}-1)*LEN(Registro!$E385)+1,LEN(Registro!$E385)))&amp;"x")-1)),--("0"&amp;MID(TRIM(MID(SUBSTITUTE(SUBSTITUTE(SUBSTITUTE(SUBSTITUTE(SUBSTITUTE(LOWER(Registro!$E385),"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",LEN(Registro!$E385))),({1,2,3,4,5,6,7,8,9,10,11,12,13,14,15,16,17,18,19,20,21,22,23,24,25,26,27,28,29,30}-1)*LEN(Registro!$E385)+1,LEN(Registro!$E385))),FIND("x",TRIM(MID(SUBSTITUTE(SUBSTITUTE(SUBSTITUTE(SUBSTITUTE(SUBSTITUTE(LOWER(Registro!$E385),"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",LEN(Registro!$E385))),({1,2,3,4,5,6,7,8,9,10,11,12,13,14,15,16,17,18,19,20,21,22,23,24,25,26,27,28,29,30}-1)*LEN(Registro!$E385)+1,LEN(Registro!$E385)))&amp;"x")+1,20))),"Revisar formato")))</f>
        <v/>
      </c>
      <c r="F385" s="23" t="str">
        <f>IF(Registro!$F385="","",IF(ISERROR(FIND("x",LOWER(Registro!$F385))),"-",IFERROR(SUMPRODUCT(--("0"&amp;LEFT(TRIM(MID(SUBSTITUTE(SUBSTITUTE(SUBSTITUTE(SUBSTITUTE(SUBSTITUTE(LOWER(Registro!$F385)," ",""),CHAR(10),"|"),";","|"),"+","|"),"|",REPT(" ",LEN(Registro!$F385))),({1,2,3,4,5,6,7,8,9,10,11,12,13,14,15,16,17,18,19,20,21,22,23,24,25,26,27,28,29,30}-1)*LEN(Registro!$F385)+1,LEN(Registro!$F385))),FIND("x",TRIM(MID(SUBSTITUTE(SUBSTITUTE(SUBSTITUTE(SUBSTITUTE(SUBSTITUTE(LOWER(Registro!$F385)," ",""),CHAR(10),"|"),";","|"),"+","|"),"|",REPT(" ",LEN(Registro!$F385))),({1,2,3,4,5,6,7,8,9,10,11,12,13,14,15,16,17,18,19,20,21,22,23,24,25,26,27,28,29,30}-1)*LEN(Registro!$F385)+1,LEN(Registro!$F385)))&amp;"x")-1))),"Revisar formato")))</f>
        <v/>
      </c>
      <c r="G385" s="24" t="str">
        <f>IF(Registro!$F385="","",IF(ISERROR(FIND("x",LOWER(Registro!$F385))),N(Registro!$G385),IFERROR(SUMPRODUCT(--("0"&amp;LEFT(TRIM(MID(SUBSTITUTE(SUBSTITUTE(SUBSTITUTE(SUBSTITUTE(SUBSTITUTE(LOWER(Registro!$F385)," ",""),CHAR(10),"|"),";","|"),"+","|"),"|",REPT(" ",LEN(Registro!$F385))),({1,2,3,4,5,6,7,8,9,10,11,12,13,14,15,16,17,18,19,20,21,22,23,24,25,26,27,28,29,30}-1)*LEN(Registro!$F385)+1,LEN(Registro!$F385))),FIND("x",TRIM(MID(SUBSTITUTE(SUBSTITUTE(SUBSTITUTE(SUBSTITUTE(SUBSTITUTE(LOWER(Registro!$F385)," ",""),CHAR(10),"|"),";","|"),"+","|"),"|",REPT(" ",LEN(Registro!$F385))),({1,2,3,4,5,6,7,8,9,10,11,12,13,14,15,16,17,18,19,20,21,22,23,24,25,26,27,28,29,30}-1)*LEN(Registro!$F385)+1,LEN(Registro!$F385)))&amp;"x")-1)),--("0"&amp;MID(TRIM(MID(SUBSTITUTE(SUBSTITUTE(SUBSTITUTE(SUBSTITUTE(SUBSTITUTE(LOWER(Registro!$F385)," ",""),CHAR(10),"|"),";","|"),"+","|"),"|",REPT(" ",LEN(Registro!$F385))),({1,2,3,4,5,6,7,8,9,10,11,12,13,14,15,16,17,18,19,20,21,22,23,24,25,26,27,28,29,30}-1)*LEN(Registro!$F385)+1,LEN(Registro!$F385))),FIND("x",TRIM(MID(SUBSTITUTE(SUBSTITUTE(SUBSTITUTE(SUBSTITUTE(SUBSTITUTE(LOWER(Registro!$F385)," ",""),CHAR(10),"|"),";","|"),"+","|"),"|",REPT(" ",LEN(Registro!$F385))),({1,2,3,4,5,6,7,8,9,10,11,12,13,14,15,16,17,18,19,20,21,22,23,24,25,26,27,28,29,30}-1)*LEN(Registro!$F385)+1,LEN(Registro!$F385)))&amp;"x")+1,20))),"Revisar formato")))</f>
        <v/>
      </c>
      <c r="H385" s="21" t="str">
        <f>IF(AND(Registro!$E385="",Registro!$F385=""),"",IF(NOT(AND(ISNUMBER(G385),ISNUMBER(Registro!$G385))),"",IF(G385&lt;Registro!$G385,"FALTA BOLETOS",IF(G385=Registro!$G385,"CONFORME","DIFERENCIA"))))</f>
        <v/>
      </c>
      <c r="I385" s="24" t="str">
        <f>IF(Registro!$H385="","",IFERROR(SUMPRODUCT(--("0"&amp;TRIM(RIGHT(SUBSTITUTE(TRIM(MID(SUBSTITUTE(SUBSTITUTE(Registro!$H385,";",CHAR(10)),CHAR(10),REPT(" ",LEN(Registro!$H385))),({1,2,3,4,5,6,7,8,9,10,11,12,13,14,15,16,17,18,19,20,21,22,23,24,25,26,27,28,29,30}-1)*LEN(Registro!$H385)+1,LEN(Registro!$H385)))," ",REPT(" ",50)),50)))),"Revisar formato"))</f>
        <v/>
      </c>
      <c r="J385" s="24" t="str">
        <f>IF(Registro!$I385="","",IFERROR(SUMPRODUCT(--("0"&amp;TRIM(RIGHT(SUBSTITUTE(TRIM(MID(SUBSTITUTE(SUBSTITUTE(Registro!$I385,";",CHAR(10)),CHAR(10),REPT(" ",LEN(Registro!$I385))),({1,2,3,4,5,6,7,8,9,10,11,12,13,14,15,16,17,18,19,20,21,22,23,24,25,26,27,28,29,30}-1)*LEN(Registro!$I385)+1,LEN(Registro!$I385)))," ",REPT(" ",50)),50)))),"Revisar formato"))</f>
        <v/>
      </c>
      <c r="K385" s="24" t="str">
        <f>IF(AND(Registro!$G385="",Registro!$H385=""),"",IF(AND(ISTEXT(I385),I385&lt;&gt;""),"Revisar formato",N(Registro!$G385)-N(I385)))</f>
        <v/>
      </c>
      <c r="L385" s="24" t="str">
        <f t="shared" si="11"/>
        <v/>
      </c>
      <c r="M385" s="36" t="str">
        <f>IF(AND(A385=Consulta!$B$3,C385=Consulta!$H$3),B385*10000+ROW(),"")</f>
        <v/>
      </c>
    </row>
    <row r="386" spans="1:13" x14ac:dyDescent="0.25">
      <c r="A386" s="21" t="str">
        <f>IF(Registro!$A386="","",Registro!$A386)</f>
        <v/>
      </c>
      <c r="B386" s="20" t="str">
        <f>IF(Registro!$B386="","",Registro!$B386)</f>
        <v/>
      </c>
      <c r="C386" s="35" t="str">
        <f t="shared" ref="C386:C449" si="12">IF(ISNUMBER(B386),YEAR(B386)*100+MONTH(B386),"")</f>
        <v/>
      </c>
      <c r="D386" s="23" t="str">
        <f>IF(Registro!$E386="","",IF(ISERROR(FIND("x",LOWER(Registro!$E386))),"-",IFERROR(SUMPRODUCT(--("0"&amp;LEFT(TRIM(MID(SUBSTITUTE(SUBSTITUTE(SUBSTITUTE(SUBSTITUTE(SUBSTITUTE(LOWER(Registro!$E386),"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",LEN(Registro!$E386))),({1,2,3,4,5,6,7,8,9,10,11,12,13,14,15,16,17,18,19,20,21,22,23,24,25,26,27,28,29,30}-1)*LEN(Registro!$E386)+1,LEN(Registro!$E386))),FIND("x",TRIM(MID(SUBSTITUTE(SUBSTITUTE(SUBSTITUTE(SUBSTITUTE(SUBSTITUTE(LOWER(Registro!$E386),"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",LEN(Registro!$E386))),({1,2,3,4,5,6,7,8,9,10,11,12,13,14,15,16,17,18,19,20,21,22,23,24,25,26,27,28,29,30}-1)*LEN(Registro!$E386)+1,LEN(Registro!$E386)))&amp;"x")-1))),"Revisar formato")))</f>
        <v/>
      </c>
      <c r="E386" s="24" t="str">
        <f>IF(Registro!$E386="","",IF(ISERROR(FIND("x",LOWER(Registro!$E386))),"-",IFERROR(SUMPRODUCT(--("0"&amp;LEFT(TRIM(MID(SUBSTITUTE(SUBSTITUTE(SUBSTITUTE(SUBSTITUTE(SUBSTITUTE(LOWER(Registro!$E386),"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",LEN(Registro!$E386))),({1,2,3,4,5,6,7,8,9,10,11,12,13,14,15,16,17,18,19,20,21,22,23,24,25,26,27,28,29,30}-1)*LEN(Registro!$E386)+1,LEN(Registro!$E386))),FIND("x",TRIM(MID(SUBSTITUTE(SUBSTITUTE(SUBSTITUTE(SUBSTITUTE(SUBSTITUTE(LOWER(Registro!$E386),"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",LEN(Registro!$E386))),({1,2,3,4,5,6,7,8,9,10,11,12,13,14,15,16,17,18,19,20,21,22,23,24,25,26,27,28,29,30}-1)*LEN(Registro!$E386)+1,LEN(Registro!$E386)))&amp;"x")-1)),--("0"&amp;MID(TRIM(MID(SUBSTITUTE(SUBSTITUTE(SUBSTITUTE(SUBSTITUTE(SUBSTITUTE(LOWER(Registro!$E386),"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",LEN(Registro!$E386))),({1,2,3,4,5,6,7,8,9,10,11,12,13,14,15,16,17,18,19,20,21,22,23,24,25,26,27,28,29,30}-1)*LEN(Registro!$E386)+1,LEN(Registro!$E386))),FIND("x",TRIM(MID(SUBSTITUTE(SUBSTITUTE(SUBSTITUTE(SUBSTITUTE(SUBSTITUTE(LOWER(Registro!$E386),"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",LEN(Registro!$E386))),({1,2,3,4,5,6,7,8,9,10,11,12,13,14,15,16,17,18,19,20,21,22,23,24,25,26,27,28,29,30}-1)*LEN(Registro!$E386)+1,LEN(Registro!$E386)))&amp;"x")+1,20))),"Revisar formato")))</f>
        <v/>
      </c>
      <c r="F386" s="23" t="str">
        <f>IF(Registro!$F386="","",IF(ISERROR(FIND("x",LOWER(Registro!$F386))),"-",IFERROR(SUMPRODUCT(--("0"&amp;LEFT(TRIM(MID(SUBSTITUTE(SUBSTITUTE(SUBSTITUTE(SUBSTITUTE(SUBSTITUTE(LOWER(Registro!$F386)," ",""),CHAR(10),"|"),";","|"),"+","|"),"|",REPT(" ",LEN(Registro!$F386))),({1,2,3,4,5,6,7,8,9,10,11,12,13,14,15,16,17,18,19,20,21,22,23,24,25,26,27,28,29,30}-1)*LEN(Registro!$F386)+1,LEN(Registro!$F386))),FIND("x",TRIM(MID(SUBSTITUTE(SUBSTITUTE(SUBSTITUTE(SUBSTITUTE(SUBSTITUTE(LOWER(Registro!$F386)," ",""),CHAR(10),"|"),";","|"),"+","|"),"|",REPT(" ",LEN(Registro!$F386))),({1,2,3,4,5,6,7,8,9,10,11,12,13,14,15,16,17,18,19,20,21,22,23,24,25,26,27,28,29,30}-1)*LEN(Registro!$F386)+1,LEN(Registro!$F386)))&amp;"x")-1))),"Revisar formato")))</f>
        <v/>
      </c>
      <c r="G386" s="24" t="str">
        <f>IF(Registro!$F386="","",IF(ISERROR(FIND("x",LOWER(Registro!$F386))),N(Registro!$G386),IFERROR(SUMPRODUCT(--("0"&amp;LEFT(TRIM(MID(SUBSTITUTE(SUBSTITUTE(SUBSTITUTE(SUBSTITUTE(SUBSTITUTE(LOWER(Registro!$F386)," ",""),CHAR(10),"|"),";","|"),"+","|"),"|",REPT(" ",LEN(Registro!$F386))),({1,2,3,4,5,6,7,8,9,10,11,12,13,14,15,16,17,18,19,20,21,22,23,24,25,26,27,28,29,30}-1)*LEN(Registro!$F386)+1,LEN(Registro!$F386))),FIND("x",TRIM(MID(SUBSTITUTE(SUBSTITUTE(SUBSTITUTE(SUBSTITUTE(SUBSTITUTE(LOWER(Registro!$F386)," ",""),CHAR(10),"|"),";","|"),"+","|"),"|",REPT(" ",LEN(Registro!$F386))),({1,2,3,4,5,6,7,8,9,10,11,12,13,14,15,16,17,18,19,20,21,22,23,24,25,26,27,28,29,30}-1)*LEN(Registro!$F386)+1,LEN(Registro!$F386)))&amp;"x")-1)),--("0"&amp;MID(TRIM(MID(SUBSTITUTE(SUBSTITUTE(SUBSTITUTE(SUBSTITUTE(SUBSTITUTE(LOWER(Registro!$F386)," ",""),CHAR(10),"|"),";","|"),"+","|"),"|",REPT(" ",LEN(Registro!$F386))),({1,2,3,4,5,6,7,8,9,10,11,12,13,14,15,16,17,18,19,20,21,22,23,24,25,26,27,28,29,30}-1)*LEN(Registro!$F386)+1,LEN(Registro!$F386))),FIND("x",TRIM(MID(SUBSTITUTE(SUBSTITUTE(SUBSTITUTE(SUBSTITUTE(SUBSTITUTE(LOWER(Registro!$F386)," ",""),CHAR(10),"|"),";","|"),"+","|"),"|",REPT(" ",LEN(Registro!$F386))),({1,2,3,4,5,6,7,8,9,10,11,12,13,14,15,16,17,18,19,20,21,22,23,24,25,26,27,28,29,30}-1)*LEN(Registro!$F386)+1,LEN(Registro!$F386)))&amp;"x")+1,20))),"Revisar formato")))</f>
        <v/>
      </c>
      <c r="H386" s="21" t="str">
        <f>IF(AND(Registro!$E386="",Registro!$F386=""),"",IF(NOT(AND(ISNUMBER(G386),ISNUMBER(Registro!$G386))),"",IF(G386&lt;Registro!$G386,"FALTA BOLETOS",IF(G386=Registro!$G386,"CONFORME","DIFERENCIA"))))</f>
        <v/>
      </c>
      <c r="I386" s="24" t="str">
        <f>IF(Registro!$H386="","",IFERROR(SUMPRODUCT(--("0"&amp;TRIM(RIGHT(SUBSTITUTE(TRIM(MID(SUBSTITUTE(SUBSTITUTE(Registro!$H386,";",CHAR(10)),CHAR(10),REPT(" ",LEN(Registro!$H386))),({1,2,3,4,5,6,7,8,9,10,11,12,13,14,15,16,17,18,19,20,21,22,23,24,25,26,27,28,29,30}-1)*LEN(Registro!$H386)+1,LEN(Registro!$H386)))," ",REPT(" ",50)),50)))),"Revisar formato"))</f>
        <v/>
      </c>
      <c r="J386" s="24" t="str">
        <f>IF(Registro!$I386="","",IFERROR(SUMPRODUCT(--("0"&amp;TRIM(RIGHT(SUBSTITUTE(TRIM(MID(SUBSTITUTE(SUBSTITUTE(Registro!$I386,";",CHAR(10)),CHAR(10),REPT(" ",LEN(Registro!$I386))),({1,2,3,4,5,6,7,8,9,10,11,12,13,14,15,16,17,18,19,20,21,22,23,24,25,26,27,28,29,30}-1)*LEN(Registro!$I386)+1,LEN(Registro!$I386)))," ",REPT(" ",50)),50)))),"Revisar formato"))</f>
        <v/>
      </c>
      <c r="K386" s="24" t="str">
        <f>IF(AND(Registro!$G386="",Registro!$H386=""),"",IF(AND(ISTEXT(I386),I386&lt;&gt;""),"Revisar formato",N(Registro!$G386)-N(I386)))</f>
        <v/>
      </c>
      <c r="L386" s="24" t="str">
        <f t="shared" ref="L386:L449" si="13">IF(K386="","",IF(OR(K386="Revisar formato",AND(ISTEXT(J386),J386&lt;&gt;"")),"Revisar formato",K386-N(J386)))</f>
        <v/>
      </c>
      <c r="M386" s="36" t="str">
        <f>IF(AND(A386=Consulta!$B$3,C386=Consulta!$H$3),B386*10000+ROW(),"")</f>
        <v/>
      </c>
    </row>
    <row r="387" spans="1:13" x14ac:dyDescent="0.25">
      <c r="A387" s="21" t="str">
        <f>IF(Registro!$A387="","",Registro!$A387)</f>
        <v/>
      </c>
      <c r="B387" s="20" t="str">
        <f>IF(Registro!$B387="","",Registro!$B387)</f>
        <v/>
      </c>
      <c r="C387" s="35" t="str">
        <f t="shared" si="12"/>
        <v/>
      </c>
      <c r="D387" s="23" t="str">
        <f>IF(Registro!$E387="","",IF(ISERROR(FIND("x",LOWER(Registro!$E387))),"-",IFERROR(SUMPRODUCT(--("0"&amp;LEFT(TRIM(MID(SUBSTITUTE(SUBSTITUTE(SUBSTITUTE(SUBSTITUTE(SUBSTITUTE(LOWER(Registro!$E387),"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",LEN(Registro!$E387))),({1,2,3,4,5,6,7,8,9,10,11,12,13,14,15,16,17,18,19,20,21,22,23,24,25,26,27,28,29,30}-1)*LEN(Registro!$E387)+1,LEN(Registro!$E387))),FIND("x",TRIM(MID(SUBSTITUTE(SUBSTITUTE(SUBSTITUTE(SUBSTITUTE(SUBSTITUTE(LOWER(Registro!$E387),"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",LEN(Registro!$E387))),({1,2,3,4,5,6,7,8,9,10,11,12,13,14,15,16,17,18,19,20,21,22,23,24,25,26,27,28,29,30}-1)*LEN(Registro!$E387)+1,LEN(Registro!$E387)))&amp;"x")-1))),"Revisar formato")))</f>
        <v/>
      </c>
      <c r="E387" s="24" t="str">
        <f>IF(Registro!$E387="","",IF(ISERROR(FIND("x",LOWER(Registro!$E387))),"-",IFERROR(SUMPRODUCT(--("0"&amp;LEFT(TRIM(MID(SUBSTITUTE(SUBSTITUTE(SUBSTITUTE(SUBSTITUTE(SUBSTITUTE(LOWER(Registro!$E387),"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",LEN(Registro!$E387))),({1,2,3,4,5,6,7,8,9,10,11,12,13,14,15,16,17,18,19,20,21,22,23,24,25,26,27,28,29,30}-1)*LEN(Registro!$E387)+1,LEN(Registro!$E387))),FIND("x",TRIM(MID(SUBSTITUTE(SUBSTITUTE(SUBSTITUTE(SUBSTITUTE(SUBSTITUTE(LOWER(Registro!$E387),"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",LEN(Registro!$E387))),({1,2,3,4,5,6,7,8,9,10,11,12,13,14,15,16,17,18,19,20,21,22,23,24,25,26,27,28,29,30}-1)*LEN(Registro!$E387)+1,LEN(Registro!$E387)))&amp;"x")-1)),--("0"&amp;MID(TRIM(MID(SUBSTITUTE(SUBSTITUTE(SUBSTITUTE(SUBSTITUTE(SUBSTITUTE(LOWER(Registro!$E387),"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",LEN(Registro!$E387))),({1,2,3,4,5,6,7,8,9,10,11,12,13,14,15,16,17,18,19,20,21,22,23,24,25,26,27,28,29,30}-1)*LEN(Registro!$E387)+1,LEN(Registro!$E387))),FIND("x",TRIM(MID(SUBSTITUTE(SUBSTITUTE(SUBSTITUTE(SUBSTITUTE(SUBSTITUTE(LOWER(Registro!$E387),"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",LEN(Registro!$E387))),({1,2,3,4,5,6,7,8,9,10,11,12,13,14,15,16,17,18,19,20,21,22,23,24,25,26,27,28,29,30}-1)*LEN(Registro!$E387)+1,LEN(Registro!$E387)))&amp;"x")+1,20))),"Revisar formato")))</f>
        <v/>
      </c>
      <c r="F387" s="23" t="str">
        <f>IF(Registro!$F387="","",IF(ISERROR(FIND("x",LOWER(Registro!$F387))),"-",IFERROR(SUMPRODUCT(--("0"&amp;LEFT(TRIM(MID(SUBSTITUTE(SUBSTITUTE(SUBSTITUTE(SUBSTITUTE(SUBSTITUTE(LOWER(Registro!$F387)," ",""),CHAR(10),"|"),";","|"),"+","|"),"|",REPT(" ",LEN(Registro!$F387))),({1,2,3,4,5,6,7,8,9,10,11,12,13,14,15,16,17,18,19,20,21,22,23,24,25,26,27,28,29,30}-1)*LEN(Registro!$F387)+1,LEN(Registro!$F387))),FIND("x",TRIM(MID(SUBSTITUTE(SUBSTITUTE(SUBSTITUTE(SUBSTITUTE(SUBSTITUTE(LOWER(Registro!$F387)," ",""),CHAR(10),"|"),";","|"),"+","|"),"|",REPT(" ",LEN(Registro!$F387))),({1,2,3,4,5,6,7,8,9,10,11,12,13,14,15,16,17,18,19,20,21,22,23,24,25,26,27,28,29,30}-1)*LEN(Registro!$F387)+1,LEN(Registro!$F387)))&amp;"x")-1))),"Revisar formato")))</f>
        <v/>
      </c>
      <c r="G387" s="24" t="str">
        <f>IF(Registro!$F387="","",IF(ISERROR(FIND("x",LOWER(Registro!$F387))),N(Registro!$G387),IFERROR(SUMPRODUCT(--("0"&amp;LEFT(TRIM(MID(SUBSTITUTE(SUBSTITUTE(SUBSTITUTE(SUBSTITUTE(SUBSTITUTE(LOWER(Registro!$F387)," ",""),CHAR(10),"|"),";","|"),"+","|"),"|",REPT(" ",LEN(Registro!$F387))),({1,2,3,4,5,6,7,8,9,10,11,12,13,14,15,16,17,18,19,20,21,22,23,24,25,26,27,28,29,30}-1)*LEN(Registro!$F387)+1,LEN(Registro!$F387))),FIND("x",TRIM(MID(SUBSTITUTE(SUBSTITUTE(SUBSTITUTE(SUBSTITUTE(SUBSTITUTE(LOWER(Registro!$F387)," ",""),CHAR(10),"|"),";","|"),"+","|"),"|",REPT(" ",LEN(Registro!$F387))),({1,2,3,4,5,6,7,8,9,10,11,12,13,14,15,16,17,18,19,20,21,22,23,24,25,26,27,28,29,30}-1)*LEN(Registro!$F387)+1,LEN(Registro!$F387)))&amp;"x")-1)),--("0"&amp;MID(TRIM(MID(SUBSTITUTE(SUBSTITUTE(SUBSTITUTE(SUBSTITUTE(SUBSTITUTE(LOWER(Registro!$F387)," ",""),CHAR(10),"|"),";","|"),"+","|"),"|",REPT(" ",LEN(Registro!$F387))),({1,2,3,4,5,6,7,8,9,10,11,12,13,14,15,16,17,18,19,20,21,22,23,24,25,26,27,28,29,30}-1)*LEN(Registro!$F387)+1,LEN(Registro!$F387))),FIND("x",TRIM(MID(SUBSTITUTE(SUBSTITUTE(SUBSTITUTE(SUBSTITUTE(SUBSTITUTE(LOWER(Registro!$F387)," ",""),CHAR(10),"|"),";","|"),"+","|"),"|",REPT(" ",LEN(Registro!$F387))),({1,2,3,4,5,6,7,8,9,10,11,12,13,14,15,16,17,18,19,20,21,22,23,24,25,26,27,28,29,30}-1)*LEN(Registro!$F387)+1,LEN(Registro!$F387)))&amp;"x")+1,20))),"Revisar formato")))</f>
        <v/>
      </c>
      <c r="H387" s="21" t="str">
        <f>IF(AND(Registro!$E387="",Registro!$F387=""),"",IF(NOT(AND(ISNUMBER(G387),ISNUMBER(Registro!$G387))),"",IF(G387&lt;Registro!$G387,"FALTA BOLETOS",IF(G387=Registro!$G387,"CONFORME","DIFERENCIA"))))</f>
        <v/>
      </c>
      <c r="I387" s="24" t="str">
        <f>IF(Registro!$H387="","",IFERROR(SUMPRODUCT(--("0"&amp;TRIM(RIGHT(SUBSTITUTE(TRIM(MID(SUBSTITUTE(SUBSTITUTE(Registro!$H387,";",CHAR(10)),CHAR(10),REPT(" ",LEN(Registro!$H387))),({1,2,3,4,5,6,7,8,9,10,11,12,13,14,15,16,17,18,19,20,21,22,23,24,25,26,27,28,29,30}-1)*LEN(Registro!$H387)+1,LEN(Registro!$H387)))," ",REPT(" ",50)),50)))),"Revisar formato"))</f>
        <v/>
      </c>
      <c r="J387" s="24" t="str">
        <f>IF(Registro!$I387="","",IFERROR(SUMPRODUCT(--("0"&amp;TRIM(RIGHT(SUBSTITUTE(TRIM(MID(SUBSTITUTE(SUBSTITUTE(Registro!$I387,";",CHAR(10)),CHAR(10),REPT(" ",LEN(Registro!$I387))),({1,2,3,4,5,6,7,8,9,10,11,12,13,14,15,16,17,18,19,20,21,22,23,24,25,26,27,28,29,30}-1)*LEN(Registro!$I387)+1,LEN(Registro!$I387)))," ",REPT(" ",50)),50)))),"Revisar formato"))</f>
        <v/>
      </c>
      <c r="K387" s="24" t="str">
        <f>IF(AND(Registro!$G387="",Registro!$H387=""),"",IF(AND(ISTEXT(I387),I387&lt;&gt;""),"Revisar formato",N(Registro!$G387)-N(I387)))</f>
        <v/>
      </c>
      <c r="L387" s="24" t="str">
        <f t="shared" si="13"/>
        <v/>
      </c>
      <c r="M387" s="36" t="str">
        <f>IF(AND(A387=Consulta!$B$3,C387=Consulta!$H$3),B387*10000+ROW(),"")</f>
        <v/>
      </c>
    </row>
    <row r="388" spans="1:13" x14ac:dyDescent="0.25">
      <c r="A388" s="21" t="str">
        <f>IF(Registro!$A388="","",Registro!$A388)</f>
        <v/>
      </c>
      <c r="B388" s="20" t="str">
        <f>IF(Registro!$B388="","",Registro!$B388)</f>
        <v/>
      </c>
      <c r="C388" s="35" t="str">
        <f t="shared" si="12"/>
        <v/>
      </c>
      <c r="D388" s="23" t="str">
        <f>IF(Registro!$E388="","",IF(ISERROR(FIND("x",LOWER(Registro!$E388))),"-",IFERROR(SUMPRODUCT(--("0"&amp;LEFT(TRIM(MID(SUBSTITUTE(SUBSTITUTE(SUBSTITUTE(SUBSTITUTE(SUBSTITUTE(LOWER(Registro!$E388),"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",LEN(Registro!$E388))),({1,2,3,4,5,6,7,8,9,10,11,12,13,14,15,16,17,18,19,20,21,22,23,24,25,26,27,28,29,30}-1)*LEN(Registro!$E388)+1,LEN(Registro!$E388))),FIND("x",TRIM(MID(SUBSTITUTE(SUBSTITUTE(SUBSTITUTE(SUBSTITUTE(SUBSTITUTE(LOWER(Registro!$E388),"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",LEN(Registro!$E388))),({1,2,3,4,5,6,7,8,9,10,11,12,13,14,15,16,17,18,19,20,21,22,23,24,25,26,27,28,29,30}-1)*LEN(Registro!$E388)+1,LEN(Registro!$E388)))&amp;"x")-1))),"Revisar formato")))</f>
        <v/>
      </c>
      <c r="E388" s="24" t="str">
        <f>IF(Registro!$E388="","",IF(ISERROR(FIND("x",LOWER(Registro!$E388))),"-",IFERROR(SUMPRODUCT(--("0"&amp;LEFT(TRIM(MID(SUBSTITUTE(SUBSTITUTE(SUBSTITUTE(SUBSTITUTE(SUBSTITUTE(LOWER(Registro!$E388),"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",LEN(Registro!$E388))),({1,2,3,4,5,6,7,8,9,10,11,12,13,14,15,16,17,18,19,20,21,22,23,24,25,26,27,28,29,30}-1)*LEN(Registro!$E388)+1,LEN(Registro!$E388))),FIND("x",TRIM(MID(SUBSTITUTE(SUBSTITUTE(SUBSTITUTE(SUBSTITUTE(SUBSTITUTE(LOWER(Registro!$E388),"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",LEN(Registro!$E388))),({1,2,3,4,5,6,7,8,9,10,11,12,13,14,15,16,17,18,19,20,21,22,23,24,25,26,27,28,29,30}-1)*LEN(Registro!$E388)+1,LEN(Registro!$E388)))&amp;"x")-1)),--("0"&amp;MID(TRIM(MID(SUBSTITUTE(SUBSTITUTE(SUBSTITUTE(SUBSTITUTE(SUBSTITUTE(LOWER(Registro!$E388),"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",LEN(Registro!$E388))),({1,2,3,4,5,6,7,8,9,10,11,12,13,14,15,16,17,18,19,20,21,22,23,24,25,26,27,28,29,30}-1)*LEN(Registro!$E388)+1,LEN(Registro!$E388))),FIND("x",TRIM(MID(SUBSTITUTE(SUBSTITUTE(SUBSTITUTE(SUBSTITUTE(SUBSTITUTE(LOWER(Registro!$E388),"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",LEN(Registro!$E388))),({1,2,3,4,5,6,7,8,9,10,11,12,13,14,15,16,17,18,19,20,21,22,23,24,25,26,27,28,29,30}-1)*LEN(Registro!$E388)+1,LEN(Registro!$E388)))&amp;"x")+1,20))),"Revisar formato")))</f>
        <v/>
      </c>
      <c r="F388" s="23" t="str">
        <f>IF(Registro!$F388="","",IF(ISERROR(FIND("x",LOWER(Registro!$F388))),"-",IFERROR(SUMPRODUCT(--("0"&amp;LEFT(TRIM(MID(SUBSTITUTE(SUBSTITUTE(SUBSTITUTE(SUBSTITUTE(SUBSTITUTE(LOWER(Registro!$F388)," ",""),CHAR(10),"|"),";","|"),"+","|"),"|",REPT(" ",LEN(Registro!$F388))),({1,2,3,4,5,6,7,8,9,10,11,12,13,14,15,16,17,18,19,20,21,22,23,24,25,26,27,28,29,30}-1)*LEN(Registro!$F388)+1,LEN(Registro!$F388))),FIND("x",TRIM(MID(SUBSTITUTE(SUBSTITUTE(SUBSTITUTE(SUBSTITUTE(SUBSTITUTE(LOWER(Registro!$F388)," ",""),CHAR(10),"|"),";","|"),"+","|"),"|",REPT(" ",LEN(Registro!$F388))),({1,2,3,4,5,6,7,8,9,10,11,12,13,14,15,16,17,18,19,20,21,22,23,24,25,26,27,28,29,30}-1)*LEN(Registro!$F388)+1,LEN(Registro!$F388)))&amp;"x")-1))),"Revisar formato")))</f>
        <v/>
      </c>
      <c r="G388" s="24" t="str">
        <f>IF(Registro!$F388="","",IF(ISERROR(FIND("x",LOWER(Registro!$F388))),N(Registro!$G388),IFERROR(SUMPRODUCT(--("0"&amp;LEFT(TRIM(MID(SUBSTITUTE(SUBSTITUTE(SUBSTITUTE(SUBSTITUTE(SUBSTITUTE(LOWER(Registro!$F388)," ",""),CHAR(10),"|"),";","|"),"+","|"),"|",REPT(" ",LEN(Registro!$F388))),({1,2,3,4,5,6,7,8,9,10,11,12,13,14,15,16,17,18,19,20,21,22,23,24,25,26,27,28,29,30}-1)*LEN(Registro!$F388)+1,LEN(Registro!$F388))),FIND("x",TRIM(MID(SUBSTITUTE(SUBSTITUTE(SUBSTITUTE(SUBSTITUTE(SUBSTITUTE(LOWER(Registro!$F388)," ",""),CHAR(10),"|"),";","|"),"+","|"),"|",REPT(" ",LEN(Registro!$F388))),({1,2,3,4,5,6,7,8,9,10,11,12,13,14,15,16,17,18,19,20,21,22,23,24,25,26,27,28,29,30}-1)*LEN(Registro!$F388)+1,LEN(Registro!$F388)))&amp;"x")-1)),--("0"&amp;MID(TRIM(MID(SUBSTITUTE(SUBSTITUTE(SUBSTITUTE(SUBSTITUTE(SUBSTITUTE(LOWER(Registro!$F388)," ",""),CHAR(10),"|"),";","|"),"+","|"),"|",REPT(" ",LEN(Registro!$F388))),({1,2,3,4,5,6,7,8,9,10,11,12,13,14,15,16,17,18,19,20,21,22,23,24,25,26,27,28,29,30}-1)*LEN(Registro!$F388)+1,LEN(Registro!$F388))),FIND("x",TRIM(MID(SUBSTITUTE(SUBSTITUTE(SUBSTITUTE(SUBSTITUTE(SUBSTITUTE(LOWER(Registro!$F388)," ",""),CHAR(10),"|"),";","|"),"+","|"),"|",REPT(" ",LEN(Registro!$F388))),({1,2,3,4,5,6,7,8,9,10,11,12,13,14,15,16,17,18,19,20,21,22,23,24,25,26,27,28,29,30}-1)*LEN(Registro!$F388)+1,LEN(Registro!$F388)))&amp;"x")+1,20))),"Revisar formato")))</f>
        <v/>
      </c>
      <c r="H388" s="21" t="str">
        <f>IF(AND(Registro!$E388="",Registro!$F388=""),"",IF(NOT(AND(ISNUMBER(G388),ISNUMBER(Registro!$G388))),"",IF(G388&lt;Registro!$G388,"FALTA BOLETOS",IF(G388=Registro!$G388,"CONFORME","DIFERENCIA"))))</f>
        <v/>
      </c>
      <c r="I388" s="24" t="str">
        <f>IF(Registro!$H388="","",IFERROR(SUMPRODUCT(--("0"&amp;TRIM(RIGHT(SUBSTITUTE(TRIM(MID(SUBSTITUTE(SUBSTITUTE(Registro!$H388,";",CHAR(10)),CHAR(10),REPT(" ",LEN(Registro!$H388))),({1,2,3,4,5,6,7,8,9,10,11,12,13,14,15,16,17,18,19,20,21,22,23,24,25,26,27,28,29,30}-1)*LEN(Registro!$H388)+1,LEN(Registro!$H388)))," ",REPT(" ",50)),50)))),"Revisar formato"))</f>
        <v/>
      </c>
      <c r="J388" s="24" t="str">
        <f>IF(Registro!$I388="","",IFERROR(SUMPRODUCT(--("0"&amp;TRIM(RIGHT(SUBSTITUTE(TRIM(MID(SUBSTITUTE(SUBSTITUTE(Registro!$I388,";",CHAR(10)),CHAR(10),REPT(" ",LEN(Registro!$I388))),({1,2,3,4,5,6,7,8,9,10,11,12,13,14,15,16,17,18,19,20,21,22,23,24,25,26,27,28,29,30}-1)*LEN(Registro!$I388)+1,LEN(Registro!$I388)))," ",REPT(" ",50)),50)))),"Revisar formato"))</f>
        <v/>
      </c>
      <c r="K388" s="24" t="str">
        <f>IF(AND(Registro!$G388="",Registro!$H388=""),"",IF(AND(ISTEXT(I388),I388&lt;&gt;""),"Revisar formato",N(Registro!$G388)-N(I388)))</f>
        <v/>
      </c>
      <c r="L388" s="24" t="str">
        <f t="shared" si="13"/>
        <v/>
      </c>
      <c r="M388" s="36" t="str">
        <f>IF(AND(A388=Consulta!$B$3,C388=Consulta!$H$3),B388*10000+ROW(),"")</f>
        <v/>
      </c>
    </row>
    <row r="389" spans="1:13" x14ac:dyDescent="0.25">
      <c r="A389" s="21" t="str">
        <f>IF(Registro!$A389="","",Registro!$A389)</f>
        <v/>
      </c>
      <c r="B389" s="20" t="str">
        <f>IF(Registro!$B389="","",Registro!$B389)</f>
        <v/>
      </c>
      <c r="C389" s="35" t="str">
        <f t="shared" si="12"/>
        <v/>
      </c>
      <c r="D389" s="23" t="str">
        <f>IF(Registro!$E389="","",IF(ISERROR(FIND("x",LOWER(Registro!$E389))),"-",IFERROR(SUMPRODUCT(--("0"&amp;LEFT(TRIM(MID(SUBSTITUTE(SUBSTITUTE(SUBSTITUTE(SUBSTITUTE(SUBSTITUTE(LOWER(Registro!$E389),"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",LEN(Registro!$E389))),({1,2,3,4,5,6,7,8,9,10,11,12,13,14,15,16,17,18,19,20,21,22,23,24,25,26,27,28,29,30}-1)*LEN(Registro!$E389)+1,LEN(Registro!$E389))),FIND("x",TRIM(MID(SUBSTITUTE(SUBSTITUTE(SUBSTITUTE(SUBSTITUTE(SUBSTITUTE(LOWER(Registro!$E389),"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",LEN(Registro!$E389))),({1,2,3,4,5,6,7,8,9,10,11,12,13,14,15,16,17,18,19,20,21,22,23,24,25,26,27,28,29,30}-1)*LEN(Registro!$E389)+1,LEN(Registro!$E389)))&amp;"x")-1))),"Revisar formato")))</f>
        <v/>
      </c>
      <c r="E389" s="24" t="str">
        <f>IF(Registro!$E389="","",IF(ISERROR(FIND("x",LOWER(Registro!$E389))),"-",IFERROR(SUMPRODUCT(--("0"&amp;LEFT(TRIM(MID(SUBSTITUTE(SUBSTITUTE(SUBSTITUTE(SUBSTITUTE(SUBSTITUTE(LOWER(Registro!$E389),"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",LEN(Registro!$E389))),({1,2,3,4,5,6,7,8,9,10,11,12,13,14,15,16,17,18,19,20,21,22,23,24,25,26,27,28,29,30}-1)*LEN(Registro!$E389)+1,LEN(Registro!$E389))),FIND("x",TRIM(MID(SUBSTITUTE(SUBSTITUTE(SUBSTITUTE(SUBSTITUTE(SUBSTITUTE(LOWER(Registro!$E389),"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",LEN(Registro!$E389))),({1,2,3,4,5,6,7,8,9,10,11,12,13,14,15,16,17,18,19,20,21,22,23,24,25,26,27,28,29,30}-1)*LEN(Registro!$E389)+1,LEN(Registro!$E389)))&amp;"x")-1)),--("0"&amp;MID(TRIM(MID(SUBSTITUTE(SUBSTITUTE(SUBSTITUTE(SUBSTITUTE(SUBSTITUTE(LOWER(Registro!$E389),"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",LEN(Registro!$E389))),({1,2,3,4,5,6,7,8,9,10,11,12,13,14,15,16,17,18,19,20,21,22,23,24,25,26,27,28,29,30}-1)*LEN(Registro!$E389)+1,LEN(Registro!$E389))),FIND("x",TRIM(MID(SUBSTITUTE(SUBSTITUTE(SUBSTITUTE(SUBSTITUTE(SUBSTITUTE(LOWER(Registro!$E389),"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",LEN(Registro!$E389))),({1,2,3,4,5,6,7,8,9,10,11,12,13,14,15,16,17,18,19,20,21,22,23,24,25,26,27,28,29,30}-1)*LEN(Registro!$E389)+1,LEN(Registro!$E389)))&amp;"x")+1,20))),"Revisar formato")))</f>
        <v/>
      </c>
      <c r="F389" s="23" t="str">
        <f>IF(Registro!$F389="","",IF(ISERROR(FIND("x",LOWER(Registro!$F389))),"-",IFERROR(SUMPRODUCT(--("0"&amp;LEFT(TRIM(MID(SUBSTITUTE(SUBSTITUTE(SUBSTITUTE(SUBSTITUTE(SUBSTITUTE(LOWER(Registro!$F389)," ",""),CHAR(10),"|"),";","|"),"+","|"),"|",REPT(" ",LEN(Registro!$F389))),({1,2,3,4,5,6,7,8,9,10,11,12,13,14,15,16,17,18,19,20,21,22,23,24,25,26,27,28,29,30}-1)*LEN(Registro!$F389)+1,LEN(Registro!$F389))),FIND("x",TRIM(MID(SUBSTITUTE(SUBSTITUTE(SUBSTITUTE(SUBSTITUTE(SUBSTITUTE(LOWER(Registro!$F389)," ",""),CHAR(10),"|"),";","|"),"+","|"),"|",REPT(" ",LEN(Registro!$F389))),({1,2,3,4,5,6,7,8,9,10,11,12,13,14,15,16,17,18,19,20,21,22,23,24,25,26,27,28,29,30}-1)*LEN(Registro!$F389)+1,LEN(Registro!$F389)))&amp;"x")-1))),"Revisar formato")))</f>
        <v/>
      </c>
      <c r="G389" s="24" t="str">
        <f>IF(Registro!$F389="","",IF(ISERROR(FIND("x",LOWER(Registro!$F389))),N(Registro!$G389),IFERROR(SUMPRODUCT(--("0"&amp;LEFT(TRIM(MID(SUBSTITUTE(SUBSTITUTE(SUBSTITUTE(SUBSTITUTE(SUBSTITUTE(LOWER(Registro!$F389)," ",""),CHAR(10),"|"),";","|"),"+","|"),"|",REPT(" ",LEN(Registro!$F389))),({1,2,3,4,5,6,7,8,9,10,11,12,13,14,15,16,17,18,19,20,21,22,23,24,25,26,27,28,29,30}-1)*LEN(Registro!$F389)+1,LEN(Registro!$F389))),FIND("x",TRIM(MID(SUBSTITUTE(SUBSTITUTE(SUBSTITUTE(SUBSTITUTE(SUBSTITUTE(LOWER(Registro!$F389)," ",""),CHAR(10),"|"),";","|"),"+","|"),"|",REPT(" ",LEN(Registro!$F389))),({1,2,3,4,5,6,7,8,9,10,11,12,13,14,15,16,17,18,19,20,21,22,23,24,25,26,27,28,29,30}-1)*LEN(Registro!$F389)+1,LEN(Registro!$F389)))&amp;"x")-1)),--("0"&amp;MID(TRIM(MID(SUBSTITUTE(SUBSTITUTE(SUBSTITUTE(SUBSTITUTE(SUBSTITUTE(LOWER(Registro!$F389)," ",""),CHAR(10),"|"),";","|"),"+","|"),"|",REPT(" ",LEN(Registro!$F389))),({1,2,3,4,5,6,7,8,9,10,11,12,13,14,15,16,17,18,19,20,21,22,23,24,25,26,27,28,29,30}-1)*LEN(Registro!$F389)+1,LEN(Registro!$F389))),FIND("x",TRIM(MID(SUBSTITUTE(SUBSTITUTE(SUBSTITUTE(SUBSTITUTE(SUBSTITUTE(LOWER(Registro!$F389)," ",""),CHAR(10),"|"),";","|"),"+","|"),"|",REPT(" ",LEN(Registro!$F389))),({1,2,3,4,5,6,7,8,9,10,11,12,13,14,15,16,17,18,19,20,21,22,23,24,25,26,27,28,29,30}-1)*LEN(Registro!$F389)+1,LEN(Registro!$F389)))&amp;"x")+1,20))),"Revisar formato")))</f>
        <v/>
      </c>
      <c r="H389" s="21" t="str">
        <f>IF(AND(Registro!$E389="",Registro!$F389=""),"",IF(NOT(AND(ISNUMBER(G389),ISNUMBER(Registro!$G389))),"",IF(G389&lt;Registro!$G389,"FALTA BOLETOS",IF(G389=Registro!$G389,"CONFORME","DIFERENCIA"))))</f>
        <v/>
      </c>
      <c r="I389" s="24" t="str">
        <f>IF(Registro!$H389="","",IFERROR(SUMPRODUCT(--("0"&amp;TRIM(RIGHT(SUBSTITUTE(TRIM(MID(SUBSTITUTE(SUBSTITUTE(Registro!$H389,";",CHAR(10)),CHAR(10),REPT(" ",LEN(Registro!$H389))),({1,2,3,4,5,6,7,8,9,10,11,12,13,14,15,16,17,18,19,20,21,22,23,24,25,26,27,28,29,30}-1)*LEN(Registro!$H389)+1,LEN(Registro!$H389)))," ",REPT(" ",50)),50)))),"Revisar formato"))</f>
        <v/>
      </c>
      <c r="J389" s="24" t="str">
        <f>IF(Registro!$I389="","",IFERROR(SUMPRODUCT(--("0"&amp;TRIM(RIGHT(SUBSTITUTE(TRIM(MID(SUBSTITUTE(SUBSTITUTE(Registro!$I389,";",CHAR(10)),CHAR(10),REPT(" ",LEN(Registro!$I389))),({1,2,3,4,5,6,7,8,9,10,11,12,13,14,15,16,17,18,19,20,21,22,23,24,25,26,27,28,29,30}-1)*LEN(Registro!$I389)+1,LEN(Registro!$I389)))," ",REPT(" ",50)),50)))),"Revisar formato"))</f>
        <v/>
      </c>
      <c r="K389" s="24" t="str">
        <f>IF(AND(Registro!$G389="",Registro!$H389=""),"",IF(AND(ISTEXT(I389),I389&lt;&gt;""),"Revisar formato",N(Registro!$G389)-N(I389)))</f>
        <v/>
      </c>
      <c r="L389" s="24" t="str">
        <f t="shared" si="13"/>
        <v/>
      </c>
      <c r="M389" s="36" t="str">
        <f>IF(AND(A389=Consulta!$B$3,C389=Consulta!$H$3),B389*10000+ROW(),"")</f>
        <v/>
      </c>
    </row>
    <row r="390" spans="1:13" x14ac:dyDescent="0.25">
      <c r="A390" s="21" t="str">
        <f>IF(Registro!$A390="","",Registro!$A390)</f>
        <v/>
      </c>
      <c r="B390" s="20" t="str">
        <f>IF(Registro!$B390="","",Registro!$B390)</f>
        <v/>
      </c>
      <c r="C390" s="35" t="str">
        <f t="shared" si="12"/>
        <v/>
      </c>
      <c r="D390" s="23" t="str">
        <f>IF(Registro!$E390="","",IF(ISERROR(FIND("x",LOWER(Registro!$E390))),"-",IFERROR(SUMPRODUCT(--("0"&amp;LEFT(TRIM(MID(SUBSTITUTE(SUBSTITUTE(SUBSTITUTE(SUBSTITUTE(SUBSTITUTE(LOWER(Registro!$E390),"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",LEN(Registro!$E390))),({1,2,3,4,5,6,7,8,9,10,11,12,13,14,15,16,17,18,19,20,21,22,23,24,25,26,27,28,29,30}-1)*LEN(Registro!$E390)+1,LEN(Registro!$E390))),FIND("x",TRIM(MID(SUBSTITUTE(SUBSTITUTE(SUBSTITUTE(SUBSTITUTE(SUBSTITUTE(LOWER(Registro!$E390),"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",LEN(Registro!$E390))),({1,2,3,4,5,6,7,8,9,10,11,12,13,14,15,16,17,18,19,20,21,22,23,24,25,26,27,28,29,30}-1)*LEN(Registro!$E390)+1,LEN(Registro!$E390)))&amp;"x")-1))),"Revisar formato")))</f>
        <v/>
      </c>
      <c r="E390" s="24" t="str">
        <f>IF(Registro!$E390="","",IF(ISERROR(FIND("x",LOWER(Registro!$E390))),"-",IFERROR(SUMPRODUCT(--("0"&amp;LEFT(TRIM(MID(SUBSTITUTE(SUBSTITUTE(SUBSTITUTE(SUBSTITUTE(SUBSTITUTE(LOWER(Registro!$E390),"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",LEN(Registro!$E390))),({1,2,3,4,5,6,7,8,9,10,11,12,13,14,15,16,17,18,19,20,21,22,23,24,25,26,27,28,29,30}-1)*LEN(Registro!$E390)+1,LEN(Registro!$E390))),FIND("x",TRIM(MID(SUBSTITUTE(SUBSTITUTE(SUBSTITUTE(SUBSTITUTE(SUBSTITUTE(LOWER(Registro!$E390),"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",LEN(Registro!$E390))),({1,2,3,4,5,6,7,8,9,10,11,12,13,14,15,16,17,18,19,20,21,22,23,24,25,26,27,28,29,30}-1)*LEN(Registro!$E390)+1,LEN(Registro!$E390)))&amp;"x")-1)),--("0"&amp;MID(TRIM(MID(SUBSTITUTE(SUBSTITUTE(SUBSTITUTE(SUBSTITUTE(SUBSTITUTE(LOWER(Registro!$E390),"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",LEN(Registro!$E390))),({1,2,3,4,5,6,7,8,9,10,11,12,13,14,15,16,17,18,19,20,21,22,23,24,25,26,27,28,29,30}-1)*LEN(Registro!$E390)+1,LEN(Registro!$E390))),FIND("x",TRIM(MID(SUBSTITUTE(SUBSTITUTE(SUBSTITUTE(SUBSTITUTE(SUBSTITUTE(LOWER(Registro!$E390),"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",LEN(Registro!$E390))),({1,2,3,4,5,6,7,8,9,10,11,12,13,14,15,16,17,18,19,20,21,22,23,24,25,26,27,28,29,30}-1)*LEN(Registro!$E390)+1,LEN(Registro!$E390)))&amp;"x")+1,20))),"Revisar formato")))</f>
        <v/>
      </c>
      <c r="F390" s="23" t="str">
        <f>IF(Registro!$F390="","",IF(ISERROR(FIND("x",LOWER(Registro!$F390))),"-",IFERROR(SUMPRODUCT(--("0"&amp;LEFT(TRIM(MID(SUBSTITUTE(SUBSTITUTE(SUBSTITUTE(SUBSTITUTE(SUBSTITUTE(LOWER(Registro!$F390)," ",""),CHAR(10),"|"),";","|"),"+","|"),"|",REPT(" ",LEN(Registro!$F390))),({1,2,3,4,5,6,7,8,9,10,11,12,13,14,15,16,17,18,19,20,21,22,23,24,25,26,27,28,29,30}-1)*LEN(Registro!$F390)+1,LEN(Registro!$F390))),FIND("x",TRIM(MID(SUBSTITUTE(SUBSTITUTE(SUBSTITUTE(SUBSTITUTE(SUBSTITUTE(LOWER(Registro!$F390)," ",""),CHAR(10),"|"),";","|"),"+","|"),"|",REPT(" ",LEN(Registro!$F390))),({1,2,3,4,5,6,7,8,9,10,11,12,13,14,15,16,17,18,19,20,21,22,23,24,25,26,27,28,29,30}-1)*LEN(Registro!$F390)+1,LEN(Registro!$F390)))&amp;"x")-1))),"Revisar formato")))</f>
        <v/>
      </c>
      <c r="G390" s="24" t="str">
        <f>IF(Registro!$F390="","",IF(ISERROR(FIND("x",LOWER(Registro!$F390))),N(Registro!$G390),IFERROR(SUMPRODUCT(--("0"&amp;LEFT(TRIM(MID(SUBSTITUTE(SUBSTITUTE(SUBSTITUTE(SUBSTITUTE(SUBSTITUTE(LOWER(Registro!$F390)," ",""),CHAR(10),"|"),";","|"),"+","|"),"|",REPT(" ",LEN(Registro!$F390))),({1,2,3,4,5,6,7,8,9,10,11,12,13,14,15,16,17,18,19,20,21,22,23,24,25,26,27,28,29,30}-1)*LEN(Registro!$F390)+1,LEN(Registro!$F390))),FIND("x",TRIM(MID(SUBSTITUTE(SUBSTITUTE(SUBSTITUTE(SUBSTITUTE(SUBSTITUTE(LOWER(Registro!$F390)," ",""),CHAR(10),"|"),";","|"),"+","|"),"|",REPT(" ",LEN(Registro!$F390))),({1,2,3,4,5,6,7,8,9,10,11,12,13,14,15,16,17,18,19,20,21,22,23,24,25,26,27,28,29,30}-1)*LEN(Registro!$F390)+1,LEN(Registro!$F390)))&amp;"x")-1)),--("0"&amp;MID(TRIM(MID(SUBSTITUTE(SUBSTITUTE(SUBSTITUTE(SUBSTITUTE(SUBSTITUTE(LOWER(Registro!$F390)," ",""),CHAR(10),"|"),";","|"),"+","|"),"|",REPT(" ",LEN(Registro!$F390))),({1,2,3,4,5,6,7,8,9,10,11,12,13,14,15,16,17,18,19,20,21,22,23,24,25,26,27,28,29,30}-1)*LEN(Registro!$F390)+1,LEN(Registro!$F390))),FIND("x",TRIM(MID(SUBSTITUTE(SUBSTITUTE(SUBSTITUTE(SUBSTITUTE(SUBSTITUTE(LOWER(Registro!$F390)," ",""),CHAR(10),"|"),";","|"),"+","|"),"|",REPT(" ",LEN(Registro!$F390))),({1,2,3,4,5,6,7,8,9,10,11,12,13,14,15,16,17,18,19,20,21,22,23,24,25,26,27,28,29,30}-1)*LEN(Registro!$F390)+1,LEN(Registro!$F390)))&amp;"x")+1,20))),"Revisar formato")))</f>
        <v/>
      </c>
      <c r="H390" s="21" t="str">
        <f>IF(AND(Registro!$E390="",Registro!$F390=""),"",IF(NOT(AND(ISNUMBER(G390),ISNUMBER(Registro!$G390))),"",IF(G390&lt;Registro!$G390,"FALTA BOLETOS",IF(G390=Registro!$G390,"CONFORME","DIFERENCIA"))))</f>
        <v/>
      </c>
      <c r="I390" s="24" t="str">
        <f>IF(Registro!$H390="","",IFERROR(SUMPRODUCT(--("0"&amp;TRIM(RIGHT(SUBSTITUTE(TRIM(MID(SUBSTITUTE(SUBSTITUTE(Registro!$H390,";",CHAR(10)),CHAR(10),REPT(" ",LEN(Registro!$H390))),({1,2,3,4,5,6,7,8,9,10,11,12,13,14,15,16,17,18,19,20,21,22,23,24,25,26,27,28,29,30}-1)*LEN(Registro!$H390)+1,LEN(Registro!$H390)))," ",REPT(" ",50)),50)))),"Revisar formato"))</f>
        <v/>
      </c>
      <c r="J390" s="24" t="str">
        <f>IF(Registro!$I390="","",IFERROR(SUMPRODUCT(--("0"&amp;TRIM(RIGHT(SUBSTITUTE(TRIM(MID(SUBSTITUTE(SUBSTITUTE(Registro!$I390,";",CHAR(10)),CHAR(10),REPT(" ",LEN(Registro!$I390))),({1,2,3,4,5,6,7,8,9,10,11,12,13,14,15,16,17,18,19,20,21,22,23,24,25,26,27,28,29,30}-1)*LEN(Registro!$I390)+1,LEN(Registro!$I390)))," ",REPT(" ",50)),50)))),"Revisar formato"))</f>
        <v/>
      </c>
      <c r="K390" s="24" t="str">
        <f>IF(AND(Registro!$G390="",Registro!$H390=""),"",IF(AND(ISTEXT(I390),I390&lt;&gt;""),"Revisar formato",N(Registro!$G390)-N(I390)))</f>
        <v/>
      </c>
      <c r="L390" s="24" t="str">
        <f t="shared" si="13"/>
        <v/>
      </c>
      <c r="M390" s="36" t="str">
        <f>IF(AND(A390=Consulta!$B$3,C390=Consulta!$H$3),B390*10000+ROW(),"")</f>
        <v/>
      </c>
    </row>
    <row r="391" spans="1:13" x14ac:dyDescent="0.25">
      <c r="A391" s="21" t="str">
        <f>IF(Registro!$A391="","",Registro!$A391)</f>
        <v/>
      </c>
      <c r="B391" s="20" t="str">
        <f>IF(Registro!$B391="","",Registro!$B391)</f>
        <v/>
      </c>
      <c r="C391" s="35" t="str">
        <f t="shared" si="12"/>
        <v/>
      </c>
      <c r="D391" s="23" t="str">
        <f>IF(Registro!$E391="","",IF(ISERROR(FIND("x",LOWER(Registro!$E391))),"-",IFERROR(SUMPRODUCT(--("0"&amp;LEFT(TRIM(MID(SUBSTITUTE(SUBSTITUTE(SUBSTITUTE(SUBSTITUTE(SUBSTITUTE(LOWER(Registro!$E391),"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",LEN(Registro!$E391))),({1,2,3,4,5,6,7,8,9,10,11,12,13,14,15,16,17,18,19,20,21,22,23,24,25,26,27,28,29,30}-1)*LEN(Registro!$E391)+1,LEN(Registro!$E391))),FIND("x",TRIM(MID(SUBSTITUTE(SUBSTITUTE(SUBSTITUTE(SUBSTITUTE(SUBSTITUTE(LOWER(Registro!$E391),"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",LEN(Registro!$E391))),({1,2,3,4,5,6,7,8,9,10,11,12,13,14,15,16,17,18,19,20,21,22,23,24,25,26,27,28,29,30}-1)*LEN(Registro!$E391)+1,LEN(Registro!$E391)))&amp;"x")-1))),"Revisar formato")))</f>
        <v/>
      </c>
      <c r="E391" s="24" t="str">
        <f>IF(Registro!$E391="","",IF(ISERROR(FIND("x",LOWER(Registro!$E391))),"-",IFERROR(SUMPRODUCT(--("0"&amp;LEFT(TRIM(MID(SUBSTITUTE(SUBSTITUTE(SUBSTITUTE(SUBSTITUTE(SUBSTITUTE(LOWER(Registro!$E391),"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",LEN(Registro!$E391))),({1,2,3,4,5,6,7,8,9,10,11,12,13,14,15,16,17,18,19,20,21,22,23,24,25,26,27,28,29,30}-1)*LEN(Registro!$E391)+1,LEN(Registro!$E391))),FIND("x",TRIM(MID(SUBSTITUTE(SUBSTITUTE(SUBSTITUTE(SUBSTITUTE(SUBSTITUTE(LOWER(Registro!$E391),"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",LEN(Registro!$E391))),({1,2,3,4,5,6,7,8,9,10,11,12,13,14,15,16,17,18,19,20,21,22,23,24,25,26,27,28,29,30}-1)*LEN(Registro!$E391)+1,LEN(Registro!$E391)))&amp;"x")-1)),--("0"&amp;MID(TRIM(MID(SUBSTITUTE(SUBSTITUTE(SUBSTITUTE(SUBSTITUTE(SUBSTITUTE(LOWER(Registro!$E391),"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",LEN(Registro!$E391))),({1,2,3,4,5,6,7,8,9,10,11,12,13,14,15,16,17,18,19,20,21,22,23,24,25,26,27,28,29,30}-1)*LEN(Registro!$E391)+1,LEN(Registro!$E391))),FIND("x",TRIM(MID(SUBSTITUTE(SUBSTITUTE(SUBSTITUTE(SUBSTITUTE(SUBSTITUTE(LOWER(Registro!$E391),"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",LEN(Registro!$E391))),({1,2,3,4,5,6,7,8,9,10,11,12,13,14,15,16,17,18,19,20,21,22,23,24,25,26,27,28,29,30}-1)*LEN(Registro!$E391)+1,LEN(Registro!$E391)))&amp;"x")+1,20))),"Revisar formato")))</f>
        <v/>
      </c>
      <c r="F391" s="23" t="str">
        <f>IF(Registro!$F391="","",IF(ISERROR(FIND("x",LOWER(Registro!$F391))),"-",IFERROR(SUMPRODUCT(--("0"&amp;LEFT(TRIM(MID(SUBSTITUTE(SUBSTITUTE(SUBSTITUTE(SUBSTITUTE(SUBSTITUTE(LOWER(Registro!$F391)," ",""),CHAR(10),"|"),";","|"),"+","|"),"|",REPT(" ",LEN(Registro!$F391))),({1,2,3,4,5,6,7,8,9,10,11,12,13,14,15,16,17,18,19,20,21,22,23,24,25,26,27,28,29,30}-1)*LEN(Registro!$F391)+1,LEN(Registro!$F391))),FIND("x",TRIM(MID(SUBSTITUTE(SUBSTITUTE(SUBSTITUTE(SUBSTITUTE(SUBSTITUTE(LOWER(Registro!$F391)," ",""),CHAR(10),"|"),";","|"),"+","|"),"|",REPT(" ",LEN(Registro!$F391))),({1,2,3,4,5,6,7,8,9,10,11,12,13,14,15,16,17,18,19,20,21,22,23,24,25,26,27,28,29,30}-1)*LEN(Registro!$F391)+1,LEN(Registro!$F391)))&amp;"x")-1))),"Revisar formato")))</f>
        <v/>
      </c>
      <c r="G391" s="24" t="str">
        <f>IF(Registro!$F391="","",IF(ISERROR(FIND("x",LOWER(Registro!$F391))),N(Registro!$G391),IFERROR(SUMPRODUCT(--("0"&amp;LEFT(TRIM(MID(SUBSTITUTE(SUBSTITUTE(SUBSTITUTE(SUBSTITUTE(SUBSTITUTE(LOWER(Registro!$F391)," ",""),CHAR(10),"|"),";","|"),"+","|"),"|",REPT(" ",LEN(Registro!$F391))),({1,2,3,4,5,6,7,8,9,10,11,12,13,14,15,16,17,18,19,20,21,22,23,24,25,26,27,28,29,30}-1)*LEN(Registro!$F391)+1,LEN(Registro!$F391))),FIND("x",TRIM(MID(SUBSTITUTE(SUBSTITUTE(SUBSTITUTE(SUBSTITUTE(SUBSTITUTE(LOWER(Registro!$F391)," ",""),CHAR(10),"|"),";","|"),"+","|"),"|",REPT(" ",LEN(Registro!$F391))),({1,2,3,4,5,6,7,8,9,10,11,12,13,14,15,16,17,18,19,20,21,22,23,24,25,26,27,28,29,30}-1)*LEN(Registro!$F391)+1,LEN(Registro!$F391)))&amp;"x")-1)),--("0"&amp;MID(TRIM(MID(SUBSTITUTE(SUBSTITUTE(SUBSTITUTE(SUBSTITUTE(SUBSTITUTE(LOWER(Registro!$F391)," ",""),CHAR(10),"|"),";","|"),"+","|"),"|",REPT(" ",LEN(Registro!$F391))),({1,2,3,4,5,6,7,8,9,10,11,12,13,14,15,16,17,18,19,20,21,22,23,24,25,26,27,28,29,30}-1)*LEN(Registro!$F391)+1,LEN(Registro!$F391))),FIND("x",TRIM(MID(SUBSTITUTE(SUBSTITUTE(SUBSTITUTE(SUBSTITUTE(SUBSTITUTE(LOWER(Registro!$F391)," ",""),CHAR(10),"|"),";","|"),"+","|"),"|",REPT(" ",LEN(Registro!$F391))),({1,2,3,4,5,6,7,8,9,10,11,12,13,14,15,16,17,18,19,20,21,22,23,24,25,26,27,28,29,30}-1)*LEN(Registro!$F391)+1,LEN(Registro!$F391)))&amp;"x")+1,20))),"Revisar formato")))</f>
        <v/>
      </c>
      <c r="H391" s="21" t="str">
        <f>IF(AND(Registro!$E391="",Registro!$F391=""),"",IF(NOT(AND(ISNUMBER(G391),ISNUMBER(Registro!$G391))),"",IF(G391&lt;Registro!$G391,"FALTA BOLETOS",IF(G391=Registro!$G391,"CONFORME","DIFERENCIA"))))</f>
        <v/>
      </c>
      <c r="I391" s="24" t="str">
        <f>IF(Registro!$H391="","",IFERROR(SUMPRODUCT(--("0"&amp;TRIM(RIGHT(SUBSTITUTE(TRIM(MID(SUBSTITUTE(SUBSTITUTE(Registro!$H391,";",CHAR(10)),CHAR(10),REPT(" ",LEN(Registro!$H391))),({1,2,3,4,5,6,7,8,9,10,11,12,13,14,15,16,17,18,19,20,21,22,23,24,25,26,27,28,29,30}-1)*LEN(Registro!$H391)+1,LEN(Registro!$H391)))," ",REPT(" ",50)),50)))),"Revisar formato"))</f>
        <v/>
      </c>
      <c r="J391" s="24" t="str">
        <f>IF(Registro!$I391="","",IFERROR(SUMPRODUCT(--("0"&amp;TRIM(RIGHT(SUBSTITUTE(TRIM(MID(SUBSTITUTE(SUBSTITUTE(Registro!$I391,";",CHAR(10)),CHAR(10),REPT(" ",LEN(Registro!$I391))),({1,2,3,4,5,6,7,8,9,10,11,12,13,14,15,16,17,18,19,20,21,22,23,24,25,26,27,28,29,30}-1)*LEN(Registro!$I391)+1,LEN(Registro!$I391)))," ",REPT(" ",50)),50)))),"Revisar formato"))</f>
        <v/>
      </c>
      <c r="K391" s="24" t="str">
        <f>IF(AND(Registro!$G391="",Registro!$H391=""),"",IF(AND(ISTEXT(I391),I391&lt;&gt;""),"Revisar formato",N(Registro!$G391)-N(I391)))</f>
        <v/>
      </c>
      <c r="L391" s="24" t="str">
        <f t="shared" si="13"/>
        <v/>
      </c>
      <c r="M391" s="36" t="str">
        <f>IF(AND(A391=Consulta!$B$3,C391=Consulta!$H$3),B391*10000+ROW(),"")</f>
        <v/>
      </c>
    </row>
    <row r="392" spans="1:13" x14ac:dyDescent="0.25">
      <c r="A392" s="21" t="str">
        <f>IF(Registro!$A392="","",Registro!$A392)</f>
        <v/>
      </c>
      <c r="B392" s="20" t="str">
        <f>IF(Registro!$B392="","",Registro!$B392)</f>
        <v/>
      </c>
      <c r="C392" s="35" t="str">
        <f t="shared" si="12"/>
        <v/>
      </c>
      <c r="D392" s="23" t="str">
        <f>IF(Registro!$E392="","",IF(ISERROR(FIND("x",LOWER(Registro!$E392))),"-",IFERROR(SUMPRODUCT(--("0"&amp;LEFT(TRIM(MID(SUBSTITUTE(SUBSTITUTE(SUBSTITUTE(SUBSTITUTE(SUBSTITUTE(LOWER(Registro!$E392),"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",LEN(Registro!$E392))),({1,2,3,4,5,6,7,8,9,10,11,12,13,14,15,16,17,18,19,20,21,22,23,24,25,26,27,28,29,30}-1)*LEN(Registro!$E392)+1,LEN(Registro!$E392))),FIND("x",TRIM(MID(SUBSTITUTE(SUBSTITUTE(SUBSTITUTE(SUBSTITUTE(SUBSTITUTE(LOWER(Registro!$E392),"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",LEN(Registro!$E392))),({1,2,3,4,5,6,7,8,9,10,11,12,13,14,15,16,17,18,19,20,21,22,23,24,25,26,27,28,29,30}-1)*LEN(Registro!$E392)+1,LEN(Registro!$E392)))&amp;"x")-1))),"Revisar formato")))</f>
        <v/>
      </c>
      <c r="E392" s="24" t="str">
        <f>IF(Registro!$E392="","",IF(ISERROR(FIND("x",LOWER(Registro!$E392))),"-",IFERROR(SUMPRODUCT(--("0"&amp;LEFT(TRIM(MID(SUBSTITUTE(SUBSTITUTE(SUBSTITUTE(SUBSTITUTE(SUBSTITUTE(LOWER(Registro!$E392),"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",LEN(Registro!$E392))),({1,2,3,4,5,6,7,8,9,10,11,12,13,14,15,16,17,18,19,20,21,22,23,24,25,26,27,28,29,30}-1)*LEN(Registro!$E392)+1,LEN(Registro!$E392))),FIND("x",TRIM(MID(SUBSTITUTE(SUBSTITUTE(SUBSTITUTE(SUBSTITUTE(SUBSTITUTE(LOWER(Registro!$E392),"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",LEN(Registro!$E392))),({1,2,3,4,5,6,7,8,9,10,11,12,13,14,15,16,17,18,19,20,21,22,23,24,25,26,27,28,29,30}-1)*LEN(Registro!$E392)+1,LEN(Registro!$E392)))&amp;"x")-1)),--("0"&amp;MID(TRIM(MID(SUBSTITUTE(SUBSTITUTE(SUBSTITUTE(SUBSTITUTE(SUBSTITUTE(LOWER(Registro!$E392),"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",LEN(Registro!$E392))),({1,2,3,4,5,6,7,8,9,10,11,12,13,14,15,16,17,18,19,20,21,22,23,24,25,26,27,28,29,30}-1)*LEN(Registro!$E392)+1,LEN(Registro!$E392))),FIND("x",TRIM(MID(SUBSTITUTE(SUBSTITUTE(SUBSTITUTE(SUBSTITUTE(SUBSTITUTE(LOWER(Registro!$E392),"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",LEN(Registro!$E392))),({1,2,3,4,5,6,7,8,9,10,11,12,13,14,15,16,17,18,19,20,21,22,23,24,25,26,27,28,29,30}-1)*LEN(Registro!$E392)+1,LEN(Registro!$E392)))&amp;"x")+1,20))),"Revisar formato")))</f>
        <v/>
      </c>
      <c r="F392" s="23" t="str">
        <f>IF(Registro!$F392="","",IF(ISERROR(FIND("x",LOWER(Registro!$F392))),"-",IFERROR(SUMPRODUCT(--("0"&amp;LEFT(TRIM(MID(SUBSTITUTE(SUBSTITUTE(SUBSTITUTE(SUBSTITUTE(SUBSTITUTE(LOWER(Registro!$F392)," ",""),CHAR(10),"|"),";","|"),"+","|"),"|",REPT(" ",LEN(Registro!$F392))),({1,2,3,4,5,6,7,8,9,10,11,12,13,14,15,16,17,18,19,20,21,22,23,24,25,26,27,28,29,30}-1)*LEN(Registro!$F392)+1,LEN(Registro!$F392))),FIND("x",TRIM(MID(SUBSTITUTE(SUBSTITUTE(SUBSTITUTE(SUBSTITUTE(SUBSTITUTE(LOWER(Registro!$F392)," ",""),CHAR(10),"|"),";","|"),"+","|"),"|",REPT(" ",LEN(Registro!$F392))),({1,2,3,4,5,6,7,8,9,10,11,12,13,14,15,16,17,18,19,20,21,22,23,24,25,26,27,28,29,30}-1)*LEN(Registro!$F392)+1,LEN(Registro!$F392)))&amp;"x")-1))),"Revisar formato")))</f>
        <v/>
      </c>
      <c r="G392" s="24" t="str">
        <f>IF(Registro!$F392="","",IF(ISERROR(FIND("x",LOWER(Registro!$F392))),N(Registro!$G392),IFERROR(SUMPRODUCT(--("0"&amp;LEFT(TRIM(MID(SUBSTITUTE(SUBSTITUTE(SUBSTITUTE(SUBSTITUTE(SUBSTITUTE(LOWER(Registro!$F392)," ",""),CHAR(10),"|"),";","|"),"+","|"),"|",REPT(" ",LEN(Registro!$F392))),({1,2,3,4,5,6,7,8,9,10,11,12,13,14,15,16,17,18,19,20,21,22,23,24,25,26,27,28,29,30}-1)*LEN(Registro!$F392)+1,LEN(Registro!$F392))),FIND("x",TRIM(MID(SUBSTITUTE(SUBSTITUTE(SUBSTITUTE(SUBSTITUTE(SUBSTITUTE(LOWER(Registro!$F392)," ",""),CHAR(10),"|"),";","|"),"+","|"),"|",REPT(" ",LEN(Registro!$F392))),({1,2,3,4,5,6,7,8,9,10,11,12,13,14,15,16,17,18,19,20,21,22,23,24,25,26,27,28,29,30}-1)*LEN(Registro!$F392)+1,LEN(Registro!$F392)))&amp;"x")-1)),--("0"&amp;MID(TRIM(MID(SUBSTITUTE(SUBSTITUTE(SUBSTITUTE(SUBSTITUTE(SUBSTITUTE(LOWER(Registro!$F392)," ",""),CHAR(10),"|"),";","|"),"+","|"),"|",REPT(" ",LEN(Registro!$F392))),({1,2,3,4,5,6,7,8,9,10,11,12,13,14,15,16,17,18,19,20,21,22,23,24,25,26,27,28,29,30}-1)*LEN(Registro!$F392)+1,LEN(Registro!$F392))),FIND("x",TRIM(MID(SUBSTITUTE(SUBSTITUTE(SUBSTITUTE(SUBSTITUTE(SUBSTITUTE(LOWER(Registro!$F392)," ",""),CHAR(10),"|"),";","|"),"+","|"),"|",REPT(" ",LEN(Registro!$F392))),({1,2,3,4,5,6,7,8,9,10,11,12,13,14,15,16,17,18,19,20,21,22,23,24,25,26,27,28,29,30}-1)*LEN(Registro!$F392)+1,LEN(Registro!$F392)))&amp;"x")+1,20))),"Revisar formato")))</f>
        <v/>
      </c>
      <c r="H392" s="21" t="str">
        <f>IF(AND(Registro!$E392="",Registro!$F392=""),"",IF(NOT(AND(ISNUMBER(G392),ISNUMBER(Registro!$G392))),"",IF(G392&lt;Registro!$G392,"FALTA BOLETOS",IF(G392=Registro!$G392,"CONFORME","DIFERENCIA"))))</f>
        <v/>
      </c>
      <c r="I392" s="24" t="str">
        <f>IF(Registro!$H392="","",IFERROR(SUMPRODUCT(--("0"&amp;TRIM(RIGHT(SUBSTITUTE(TRIM(MID(SUBSTITUTE(SUBSTITUTE(Registro!$H392,";",CHAR(10)),CHAR(10),REPT(" ",LEN(Registro!$H392))),({1,2,3,4,5,6,7,8,9,10,11,12,13,14,15,16,17,18,19,20,21,22,23,24,25,26,27,28,29,30}-1)*LEN(Registro!$H392)+1,LEN(Registro!$H392)))," ",REPT(" ",50)),50)))),"Revisar formato"))</f>
        <v/>
      </c>
      <c r="J392" s="24" t="str">
        <f>IF(Registro!$I392="","",IFERROR(SUMPRODUCT(--("0"&amp;TRIM(RIGHT(SUBSTITUTE(TRIM(MID(SUBSTITUTE(SUBSTITUTE(Registro!$I392,";",CHAR(10)),CHAR(10),REPT(" ",LEN(Registro!$I392))),({1,2,3,4,5,6,7,8,9,10,11,12,13,14,15,16,17,18,19,20,21,22,23,24,25,26,27,28,29,30}-1)*LEN(Registro!$I392)+1,LEN(Registro!$I392)))," ",REPT(" ",50)),50)))),"Revisar formato"))</f>
        <v/>
      </c>
      <c r="K392" s="24" t="str">
        <f>IF(AND(Registro!$G392="",Registro!$H392=""),"",IF(AND(ISTEXT(I392),I392&lt;&gt;""),"Revisar formato",N(Registro!$G392)-N(I392)))</f>
        <v/>
      </c>
      <c r="L392" s="24" t="str">
        <f t="shared" si="13"/>
        <v/>
      </c>
      <c r="M392" s="36" t="str">
        <f>IF(AND(A392=Consulta!$B$3,C392=Consulta!$H$3),B392*10000+ROW(),"")</f>
        <v/>
      </c>
    </row>
    <row r="393" spans="1:13" x14ac:dyDescent="0.25">
      <c r="A393" s="21" t="str">
        <f>IF(Registro!$A393="","",Registro!$A393)</f>
        <v/>
      </c>
      <c r="B393" s="20" t="str">
        <f>IF(Registro!$B393="","",Registro!$B393)</f>
        <v/>
      </c>
      <c r="C393" s="35" t="str">
        <f t="shared" si="12"/>
        <v/>
      </c>
      <c r="D393" s="23" t="str">
        <f>IF(Registro!$E393="","",IF(ISERROR(FIND("x",LOWER(Registro!$E393))),"-",IFERROR(SUMPRODUCT(--("0"&amp;LEFT(TRIM(MID(SUBSTITUTE(SUBSTITUTE(SUBSTITUTE(SUBSTITUTE(SUBSTITUTE(LOWER(Registro!$E393),"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",LEN(Registro!$E393))),({1,2,3,4,5,6,7,8,9,10,11,12,13,14,15,16,17,18,19,20,21,22,23,24,25,26,27,28,29,30}-1)*LEN(Registro!$E393)+1,LEN(Registro!$E393))),FIND("x",TRIM(MID(SUBSTITUTE(SUBSTITUTE(SUBSTITUTE(SUBSTITUTE(SUBSTITUTE(LOWER(Registro!$E393),"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",LEN(Registro!$E393))),({1,2,3,4,5,6,7,8,9,10,11,12,13,14,15,16,17,18,19,20,21,22,23,24,25,26,27,28,29,30}-1)*LEN(Registro!$E393)+1,LEN(Registro!$E393)))&amp;"x")-1))),"Revisar formato")))</f>
        <v/>
      </c>
      <c r="E393" s="24" t="str">
        <f>IF(Registro!$E393="","",IF(ISERROR(FIND("x",LOWER(Registro!$E393))),"-",IFERROR(SUMPRODUCT(--("0"&amp;LEFT(TRIM(MID(SUBSTITUTE(SUBSTITUTE(SUBSTITUTE(SUBSTITUTE(SUBSTITUTE(LOWER(Registro!$E393),"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",LEN(Registro!$E393))),({1,2,3,4,5,6,7,8,9,10,11,12,13,14,15,16,17,18,19,20,21,22,23,24,25,26,27,28,29,30}-1)*LEN(Registro!$E393)+1,LEN(Registro!$E393))),FIND("x",TRIM(MID(SUBSTITUTE(SUBSTITUTE(SUBSTITUTE(SUBSTITUTE(SUBSTITUTE(LOWER(Registro!$E393),"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",LEN(Registro!$E393))),({1,2,3,4,5,6,7,8,9,10,11,12,13,14,15,16,17,18,19,20,21,22,23,24,25,26,27,28,29,30}-1)*LEN(Registro!$E393)+1,LEN(Registro!$E393)))&amp;"x")-1)),--("0"&amp;MID(TRIM(MID(SUBSTITUTE(SUBSTITUTE(SUBSTITUTE(SUBSTITUTE(SUBSTITUTE(LOWER(Registro!$E393),"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",LEN(Registro!$E393))),({1,2,3,4,5,6,7,8,9,10,11,12,13,14,15,16,17,18,19,20,21,22,23,24,25,26,27,28,29,30}-1)*LEN(Registro!$E393)+1,LEN(Registro!$E393))),FIND("x",TRIM(MID(SUBSTITUTE(SUBSTITUTE(SUBSTITUTE(SUBSTITUTE(SUBSTITUTE(LOWER(Registro!$E393),"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",LEN(Registro!$E393))),({1,2,3,4,5,6,7,8,9,10,11,12,13,14,15,16,17,18,19,20,21,22,23,24,25,26,27,28,29,30}-1)*LEN(Registro!$E393)+1,LEN(Registro!$E393)))&amp;"x")+1,20))),"Revisar formato")))</f>
        <v/>
      </c>
      <c r="F393" s="23" t="str">
        <f>IF(Registro!$F393="","",IF(ISERROR(FIND("x",LOWER(Registro!$F393))),"-",IFERROR(SUMPRODUCT(--("0"&amp;LEFT(TRIM(MID(SUBSTITUTE(SUBSTITUTE(SUBSTITUTE(SUBSTITUTE(SUBSTITUTE(LOWER(Registro!$F393)," ",""),CHAR(10),"|"),";","|"),"+","|"),"|",REPT(" ",LEN(Registro!$F393))),({1,2,3,4,5,6,7,8,9,10,11,12,13,14,15,16,17,18,19,20,21,22,23,24,25,26,27,28,29,30}-1)*LEN(Registro!$F393)+1,LEN(Registro!$F393))),FIND("x",TRIM(MID(SUBSTITUTE(SUBSTITUTE(SUBSTITUTE(SUBSTITUTE(SUBSTITUTE(LOWER(Registro!$F393)," ",""),CHAR(10),"|"),";","|"),"+","|"),"|",REPT(" ",LEN(Registro!$F393))),({1,2,3,4,5,6,7,8,9,10,11,12,13,14,15,16,17,18,19,20,21,22,23,24,25,26,27,28,29,30}-1)*LEN(Registro!$F393)+1,LEN(Registro!$F393)))&amp;"x")-1))),"Revisar formato")))</f>
        <v/>
      </c>
      <c r="G393" s="24" t="str">
        <f>IF(Registro!$F393="","",IF(ISERROR(FIND("x",LOWER(Registro!$F393))),N(Registro!$G393),IFERROR(SUMPRODUCT(--("0"&amp;LEFT(TRIM(MID(SUBSTITUTE(SUBSTITUTE(SUBSTITUTE(SUBSTITUTE(SUBSTITUTE(LOWER(Registro!$F393)," ",""),CHAR(10),"|"),";","|"),"+","|"),"|",REPT(" ",LEN(Registro!$F393))),({1,2,3,4,5,6,7,8,9,10,11,12,13,14,15,16,17,18,19,20,21,22,23,24,25,26,27,28,29,30}-1)*LEN(Registro!$F393)+1,LEN(Registro!$F393))),FIND("x",TRIM(MID(SUBSTITUTE(SUBSTITUTE(SUBSTITUTE(SUBSTITUTE(SUBSTITUTE(LOWER(Registro!$F393)," ",""),CHAR(10),"|"),";","|"),"+","|"),"|",REPT(" ",LEN(Registro!$F393))),({1,2,3,4,5,6,7,8,9,10,11,12,13,14,15,16,17,18,19,20,21,22,23,24,25,26,27,28,29,30}-1)*LEN(Registro!$F393)+1,LEN(Registro!$F393)))&amp;"x")-1)),--("0"&amp;MID(TRIM(MID(SUBSTITUTE(SUBSTITUTE(SUBSTITUTE(SUBSTITUTE(SUBSTITUTE(LOWER(Registro!$F393)," ",""),CHAR(10),"|"),";","|"),"+","|"),"|",REPT(" ",LEN(Registro!$F393))),({1,2,3,4,5,6,7,8,9,10,11,12,13,14,15,16,17,18,19,20,21,22,23,24,25,26,27,28,29,30}-1)*LEN(Registro!$F393)+1,LEN(Registro!$F393))),FIND("x",TRIM(MID(SUBSTITUTE(SUBSTITUTE(SUBSTITUTE(SUBSTITUTE(SUBSTITUTE(LOWER(Registro!$F393)," ",""),CHAR(10),"|"),";","|"),"+","|"),"|",REPT(" ",LEN(Registro!$F393))),({1,2,3,4,5,6,7,8,9,10,11,12,13,14,15,16,17,18,19,20,21,22,23,24,25,26,27,28,29,30}-1)*LEN(Registro!$F393)+1,LEN(Registro!$F393)))&amp;"x")+1,20))),"Revisar formato")))</f>
        <v/>
      </c>
      <c r="H393" s="21" t="str">
        <f>IF(AND(Registro!$E393="",Registro!$F393=""),"",IF(NOT(AND(ISNUMBER(G393),ISNUMBER(Registro!$G393))),"",IF(G393&lt;Registro!$G393,"FALTA BOLETOS",IF(G393=Registro!$G393,"CONFORME","DIFERENCIA"))))</f>
        <v/>
      </c>
      <c r="I393" s="24" t="str">
        <f>IF(Registro!$H393="","",IFERROR(SUMPRODUCT(--("0"&amp;TRIM(RIGHT(SUBSTITUTE(TRIM(MID(SUBSTITUTE(SUBSTITUTE(Registro!$H393,";",CHAR(10)),CHAR(10),REPT(" ",LEN(Registro!$H393))),({1,2,3,4,5,6,7,8,9,10,11,12,13,14,15,16,17,18,19,20,21,22,23,24,25,26,27,28,29,30}-1)*LEN(Registro!$H393)+1,LEN(Registro!$H393)))," ",REPT(" ",50)),50)))),"Revisar formato"))</f>
        <v/>
      </c>
      <c r="J393" s="24" t="str">
        <f>IF(Registro!$I393="","",IFERROR(SUMPRODUCT(--("0"&amp;TRIM(RIGHT(SUBSTITUTE(TRIM(MID(SUBSTITUTE(SUBSTITUTE(Registro!$I393,";",CHAR(10)),CHAR(10),REPT(" ",LEN(Registro!$I393))),({1,2,3,4,5,6,7,8,9,10,11,12,13,14,15,16,17,18,19,20,21,22,23,24,25,26,27,28,29,30}-1)*LEN(Registro!$I393)+1,LEN(Registro!$I393)))," ",REPT(" ",50)),50)))),"Revisar formato"))</f>
        <v/>
      </c>
      <c r="K393" s="24" t="str">
        <f>IF(AND(Registro!$G393="",Registro!$H393=""),"",IF(AND(ISTEXT(I393),I393&lt;&gt;""),"Revisar formato",N(Registro!$G393)-N(I393)))</f>
        <v/>
      </c>
      <c r="L393" s="24" t="str">
        <f t="shared" si="13"/>
        <v/>
      </c>
      <c r="M393" s="36" t="str">
        <f>IF(AND(A393=Consulta!$B$3,C393=Consulta!$H$3),B393*10000+ROW(),"")</f>
        <v/>
      </c>
    </row>
    <row r="394" spans="1:13" x14ac:dyDescent="0.25">
      <c r="A394" s="21" t="str">
        <f>IF(Registro!$A394="","",Registro!$A394)</f>
        <v/>
      </c>
      <c r="B394" s="20" t="str">
        <f>IF(Registro!$B394="","",Registro!$B394)</f>
        <v/>
      </c>
      <c r="C394" s="35" t="str">
        <f t="shared" si="12"/>
        <v/>
      </c>
      <c r="D394" s="23" t="str">
        <f>IF(Registro!$E394="","",IF(ISERROR(FIND("x",LOWER(Registro!$E394))),"-",IFERROR(SUMPRODUCT(--("0"&amp;LEFT(TRIM(MID(SUBSTITUTE(SUBSTITUTE(SUBSTITUTE(SUBSTITUTE(SUBSTITUTE(LOWER(Registro!$E394),"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",LEN(Registro!$E394))),({1,2,3,4,5,6,7,8,9,10,11,12,13,14,15,16,17,18,19,20,21,22,23,24,25,26,27,28,29,30}-1)*LEN(Registro!$E394)+1,LEN(Registro!$E394))),FIND("x",TRIM(MID(SUBSTITUTE(SUBSTITUTE(SUBSTITUTE(SUBSTITUTE(SUBSTITUTE(LOWER(Registro!$E394),"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",LEN(Registro!$E394))),({1,2,3,4,5,6,7,8,9,10,11,12,13,14,15,16,17,18,19,20,21,22,23,24,25,26,27,28,29,30}-1)*LEN(Registro!$E394)+1,LEN(Registro!$E394)))&amp;"x")-1))),"Revisar formato")))</f>
        <v/>
      </c>
      <c r="E394" s="24" t="str">
        <f>IF(Registro!$E394="","",IF(ISERROR(FIND("x",LOWER(Registro!$E394))),"-",IFERROR(SUMPRODUCT(--("0"&amp;LEFT(TRIM(MID(SUBSTITUTE(SUBSTITUTE(SUBSTITUTE(SUBSTITUTE(SUBSTITUTE(LOWER(Registro!$E394),"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",LEN(Registro!$E394))),({1,2,3,4,5,6,7,8,9,10,11,12,13,14,15,16,17,18,19,20,21,22,23,24,25,26,27,28,29,30}-1)*LEN(Registro!$E394)+1,LEN(Registro!$E394))),FIND("x",TRIM(MID(SUBSTITUTE(SUBSTITUTE(SUBSTITUTE(SUBSTITUTE(SUBSTITUTE(LOWER(Registro!$E394),"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",LEN(Registro!$E394))),({1,2,3,4,5,6,7,8,9,10,11,12,13,14,15,16,17,18,19,20,21,22,23,24,25,26,27,28,29,30}-1)*LEN(Registro!$E394)+1,LEN(Registro!$E394)))&amp;"x")-1)),--("0"&amp;MID(TRIM(MID(SUBSTITUTE(SUBSTITUTE(SUBSTITUTE(SUBSTITUTE(SUBSTITUTE(LOWER(Registro!$E394),"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",LEN(Registro!$E394))),({1,2,3,4,5,6,7,8,9,10,11,12,13,14,15,16,17,18,19,20,21,22,23,24,25,26,27,28,29,30}-1)*LEN(Registro!$E394)+1,LEN(Registro!$E394))),FIND("x",TRIM(MID(SUBSTITUTE(SUBSTITUTE(SUBSTITUTE(SUBSTITUTE(SUBSTITUTE(LOWER(Registro!$E394),"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",LEN(Registro!$E394))),({1,2,3,4,5,6,7,8,9,10,11,12,13,14,15,16,17,18,19,20,21,22,23,24,25,26,27,28,29,30}-1)*LEN(Registro!$E394)+1,LEN(Registro!$E394)))&amp;"x")+1,20))),"Revisar formato")))</f>
        <v/>
      </c>
      <c r="F394" s="23" t="str">
        <f>IF(Registro!$F394="","",IF(ISERROR(FIND("x",LOWER(Registro!$F394))),"-",IFERROR(SUMPRODUCT(--("0"&amp;LEFT(TRIM(MID(SUBSTITUTE(SUBSTITUTE(SUBSTITUTE(SUBSTITUTE(SUBSTITUTE(LOWER(Registro!$F394)," ",""),CHAR(10),"|"),";","|"),"+","|"),"|",REPT(" ",LEN(Registro!$F394))),({1,2,3,4,5,6,7,8,9,10,11,12,13,14,15,16,17,18,19,20,21,22,23,24,25,26,27,28,29,30}-1)*LEN(Registro!$F394)+1,LEN(Registro!$F394))),FIND("x",TRIM(MID(SUBSTITUTE(SUBSTITUTE(SUBSTITUTE(SUBSTITUTE(SUBSTITUTE(LOWER(Registro!$F394)," ",""),CHAR(10),"|"),";","|"),"+","|"),"|",REPT(" ",LEN(Registro!$F394))),({1,2,3,4,5,6,7,8,9,10,11,12,13,14,15,16,17,18,19,20,21,22,23,24,25,26,27,28,29,30}-1)*LEN(Registro!$F394)+1,LEN(Registro!$F394)))&amp;"x")-1))),"Revisar formato")))</f>
        <v/>
      </c>
      <c r="G394" s="24" t="str">
        <f>IF(Registro!$F394="","",IF(ISERROR(FIND("x",LOWER(Registro!$F394))),N(Registro!$G394),IFERROR(SUMPRODUCT(--("0"&amp;LEFT(TRIM(MID(SUBSTITUTE(SUBSTITUTE(SUBSTITUTE(SUBSTITUTE(SUBSTITUTE(LOWER(Registro!$F394)," ",""),CHAR(10),"|"),";","|"),"+","|"),"|",REPT(" ",LEN(Registro!$F394))),({1,2,3,4,5,6,7,8,9,10,11,12,13,14,15,16,17,18,19,20,21,22,23,24,25,26,27,28,29,30}-1)*LEN(Registro!$F394)+1,LEN(Registro!$F394))),FIND("x",TRIM(MID(SUBSTITUTE(SUBSTITUTE(SUBSTITUTE(SUBSTITUTE(SUBSTITUTE(LOWER(Registro!$F394)," ",""),CHAR(10),"|"),";","|"),"+","|"),"|",REPT(" ",LEN(Registro!$F394))),({1,2,3,4,5,6,7,8,9,10,11,12,13,14,15,16,17,18,19,20,21,22,23,24,25,26,27,28,29,30}-1)*LEN(Registro!$F394)+1,LEN(Registro!$F394)))&amp;"x")-1)),--("0"&amp;MID(TRIM(MID(SUBSTITUTE(SUBSTITUTE(SUBSTITUTE(SUBSTITUTE(SUBSTITUTE(LOWER(Registro!$F394)," ",""),CHAR(10),"|"),";","|"),"+","|"),"|",REPT(" ",LEN(Registro!$F394))),({1,2,3,4,5,6,7,8,9,10,11,12,13,14,15,16,17,18,19,20,21,22,23,24,25,26,27,28,29,30}-1)*LEN(Registro!$F394)+1,LEN(Registro!$F394))),FIND("x",TRIM(MID(SUBSTITUTE(SUBSTITUTE(SUBSTITUTE(SUBSTITUTE(SUBSTITUTE(LOWER(Registro!$F394)," ",""),CHAR(10),"|"),";","|"),"+","|"),"|",REPT(" ",LEN(Registro!$F394))),({1,2,3,4,5,6,7,8,9,10,11,12,13,14,15,16,17,18,19,20,21,22,23,24,25,26,27,28,29,30}-1)*LEN(Registro!$F394)+1,LEN(Registro!$F394)))&amp;"x")+1,20))),"Revisar formato")))</f>
        <v/>
      </c>
      <c r="H394" s="21" t="str">
        <f>IF(AND(Registro!$E394="",Registro!$F394=""),"",IF(NOT(AND(ISNUMBER(G394),ISNUMBER(Registro!$G394))),"",IF(G394&lt;Registro!$G394,"FALTA BOLETOS",IF(G394=Registro!$G394,"CONFORME","DIFERENCIA"))))</f>
        <v/>
      </c>
      <c r="I394" s="24" t="str">
        <f>IF(Registro!$H394="","",IFERROR(SUMPRODUCT(--("0"&amp;TRIM(RIGHT(SUBSTITUTE(TRIM(MID(SUBSTITUTE(SUBSTITUTE(Registro!$H394,";",CHAR(10)),CHAR(10),REPT(" ",LEN(Registro!$H394))),({1,2,3,4,5,6,7,8,9,10,11,12,13,14,15,16,17,18,19,20,21,22,23,24,25,26,27,28,29,30}-1)*LEN(Registro!$H394)+1,LEN(Registro!$H394)))," ",REPT(" ",50)),50)))),"Revisar formato"))</f>
        <v/>
      </c>
      <c r="J394" s="24" t="str">
        <f>IF(Registro!$I394="","",IFERROR(SUMPRODUCT(--("0"&amp;TRIM(RIGHT(SUBSTITUTE(TRIM(MID(SUBSTITUTE(SUBSTITUTE(Registro!$I394,";",CHAR(10)),CHAR(10),REPT(" ",LEN(Registro!$I394))),({1,2,3,4,5,6,7,8,9,10,11,12,13,14,15,16,17,18,19,20,21,22,23,24,25,26,27,28,29,30}-1)*LEN(Registro!$I394)+1,LEN(Registro!$I394)))," ",REPT(" ",50)),50)))),"Revisar formato"))</f>
        <v/>
      </c>
      <c r="K394" s="24" t="str">
        <f>IF(AND(Registro!$G394="",Registro!$H394=""),"",IF(AND(ISTEXT(I394),I394&lt;&gt;""),"Revisar formato",N(Registro!$G394)-N(I394)))</f>
        <v/>
      </c>
      <c r="L394" s="24" t="str">
        <f t="shared" si="13"/>
        <v/>
      </c>
      <c r="M394" s="36" t="str">
        <f>IF(AND(A394=Consulta!$B$3,C394=Consulta!$H$3),B394*10000+ROW(),"")</f>
        <v/>
      </c>
    </row>
    <row r="395" spans="1:13" x14ac:dyDescent="0.25">
      <c r="A395" s="21" t="str">
        <f>IF(Registro!$A395="","",Registro!$A395)</f>
        <v/>
      </c>
      <c r="B395" s="20" t="str">
        <f>IF(Registro!$B395="","",Registro!$B395)</f>
        <v/>
      </c>
      <c r="C395" s="35" t="str">
        <f t="shared" si="12"/>
        <v/>
      </c>
      <c r="D395" s="23" t="str">
        <f>IF(Registro!$E395="","",IF(ISERROR(FIND("x",LOWER(Registro!$E395))),"-",IFERROR(SUMPRODUCT(--("0"&amp;LEFT(TRIM(MID(SUBSTITUTE(SUBSTITUTE(SUBSTITUTE(SUBSTITUTE(SUBSTITUTE(LOWER(Registro!$E395),"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",LEN(Registro!$E395))),({1,2,3,4,5,6,7,8,9,10,11,12,13,14,15,16,17,18,19,20,21,22,23,24,25,26,27,28,29,30}-1)*LEN(Registro!$E395)+1,LEN(Registro!$E395))),FIND("x",TRIM(MID(SUBSTITUTE(SUBSTITUTE(SUBSTITUTE(SUBSTITUTE(SUBSTITUTE(LOWER(Registro!$E395),"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",LEN(Registro!$E395))),({1,2,3,4,5,6,7,8,9,10,11,12,13,14,15,16,17,18,19,20,21,22,23,24,25,26,27,28,29,30}-1)*LEN(Registro!$E395)+1,LEN(Registro!$E395)))&amp;"x")-1))),"Revisar formato")))</f>
        <v/>
      </c>
      <c r="E395" s="24" t="str">
        <f>IF(Registro!$E395="","",IF(ISERROR(FIND("x",LOWER(Registro!$E395))),"-",IFERROR(SUMPRODUCT(--("0"&amp;LEFT(TRIM(MID(SUBSTITUTE(SUBSTITUTE(SUBSTITUTE(SUBSTITUTE(SUBSTITUTE(LOWER(Registro!$E395),"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",LEN(Registro!$E395))),({1,2,3,4,5,6,7,8,9,10,11,12,13,14,15,16,17,18,19,20,21,22,23,24,25,26,27,28,29,30}-1)*LEN(Registro!$E395)+1,LEN(Registro!$E395))),FIND("x",TRIM(MID(SUBSTITUTE(SUBSTITUTE(SUBSTITUTE(SUBSTITUTE(SUBSTITUTE(LOWER(Registro!$E395),"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",LEN(Registro!$E395))),({1,2,3,4,5,6,7,8,9,10,11,12,13,14,15,16,17,18,19,20,21,22,23,24,25,26,27,28,29,30}-1)*LEN(Registro!$E395)+1,LEN(Registro!$E395)))&amp;"x")-1)),--("0"&amp;MID(TRIM(MID(SUBSTITUTE(SUBSTITUTE(SUBSTITUTE(SUBSTITUTE(SUBSTITUTE(LOWER(Registro!$E395),"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",LEN(Registro!$E395))),({1,2,3,4,5,6,7,8,9,10,11,12,13,14,15,16,17,18,19,20,21,22,23,24,25,26,27,28,29,30}-1)*LEN(Registro!$E395)+1,LEN(Registro!$E395))),FIND("x",TRIM(MID(SUBSTITUTE(SUBSTITUTE(SUBSTITUTE(SUBSTITUTE(SUBSTITUTE(LOWER(Registro!$E395),"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",LEN(Registro!$E395))),({1,2,3,4,5,6,7,8,9,10,11,12,13,14,15,16,17,18,19,20,21,22,23,24,25,26,27,28,29,30}-1)*LEN(Registro!$E395)+1,LEN(Registro!$E395)))&amp;"x")+1,20))),"Revisar formato")))</f>
        <v/>
      </c>
      <c r="F395" s="23" t="str">
        <f>IF(Registro!$F395="","",IF(ISERROR(FIND("x",LOWER(Registro!$F395))),"-",IFERROR(SUMPRODUCT(--("0"&amp;LEFT(TRIM(MID(SUBSTITUTE(SUBSTITUTE(SUBSTITUTE(SUBSTITUTE(SUBSTITUTE(LOWER(Registro!$F395)," ",""),CHAR(10),"|"),";","|"),"+","|"),"|",REPT(" ",LEN(Registro!$F395))),({1,2,3,4,5,6,7,8,9,10,11,12,13,14,15,16,17,18,19,20,21,22,23,24,25,26,27,28,29,30}-1)*LEN(Registro!$F395)+1,LEN(Registro!$F395))),FIND("x",TRIM(MID(SUBSTITUTE(SUBSTITUTE(SUBSTITUTE(SUBSTITUTE(SUBSTITUTE(LOWER(Registro!$F395)," ",""),CHAR(10),"|"),";","|"),"+","|"),"|",REPT(" ",LEN(Registro!$F395))),({1,2,3,4,5,6,7,8,9,10,11,12,13,14,15,16,17,18,19,20,21,22,23,24,25,26,27,28,29,30}-1)*LEN(Registro!$F395)+1,LEN(Registro!$F395)))&amp;"x")-1))),"Revisar formato")))</f>
        <v/>
      </c>
      <c r="G395" s="24" t="str">
        <f>IF(Registro!$F395="","",IF(ISERROR(FIND("x",LOWER(Registro!$F395))),N(Registro!$G395),IFERROR(SUMPRODUCT(--("0"&amp;LEFT(TRIM(MID(SUBSTITUTE(SUBSTITUTE(SUBSTITUTE(SUBSTITUTE(SUBSTITUTE(LOWER(Registro!$F395)," ",""),CHAR(10),"|"),";","|"),"+","|"),"|",REPT(" ",LEN(Registro!$F395))),({1,2,3,4,5,6,7,8,9,10,11,12,13,14,15,16,17,18,19,20,21,22,23,24,25,26,27,28,29,30}-1)*LEN(Registro!$F395)+1,LEN(Registro!$F395))),FIND("x",TRIM(MID(SUBSTITUTE(SUBSTITUTE(SUBSTITUTE(SUBSTITUTE(SUBSTITUTE(LOWER(Registro!$F395)," ",""),CHAR(10),"|"),";","|"),"+","|"),"|",REPT(" ",LEN(Registro!$F395))),({1,2,3,4,5,6,7,8,9,10,11,12,13,14,15,16,17,18,19,20,21,22,23,24,25,26,27,28,29,30}-1)*LEN(Registro!$F395)+1,LEN(Registro!$F395)))&amp;"x")-1)),--("0"&amp;MID(TRIM(MID(SUBSTITUTE(SUBSTITUTE(SUBSTITUTE(SUBSTITUTE(SUBSTITUTE(LOWER(Registro!$F395)," ",""),CHAR(10),"|"),";","|"),"+","|"),"|",REPT(" ",LEN(Registro!$F395))),({1,2,3,4,5,6,7,8,9,10,11,12,13,14,15,16,17,18,19,20,21,22,23,24,25,26,27,28,29,30}-1)*LEN(Registro!$F395)+1,LEN(Registro!$F395))),FIND("x",TRIM(MID(SUBSTITUTE(SUBSTITUTE(SUBSTITUTE(SUBSTITUTE(SUBSTITUTE(LOWER(Registro!$F395)," ",""),CHAR(10),"|"),";","|"),"+","|"),"|",REPT(" ",LEN(Registro!$F395))),({1,2,3,4,5,6,7,8,9,10,11,12,13,14,15,16,17,18,19,20,21,22,23,24,25,26,27,28,29,30}-1)*LEN(Registro!$F395)+1,LEN(Registro!$F395)))&amp;"x")+1,20))),"Revisar formato")))</f>
        <v/>
      </c>
      <c r="H395" s="21" t="str">
        <f>IF(AND(Registro!$E395="",Registro!$F395=""),"",IF(NOT(AND(ISNUMBER(G395),ISNUMBER(Registro!$G395))),"",IF(G395&lt;Registro!$G395,"FALTA BOLETOS",IF(G395=Registro!$G395,"CONFORME","DIFERENCIA"))))</f>
        <v/>
      </c>
      <c r="I395" s="24" t="str">
        <f>IF(Registro!$H395="","",IFERROR(SUMPRODUCT(--("0"&amp;TRIM(RIGHT(SUBSTITUTE(TRIM(MID(SUBSTITUTE(SUBSTITUTE(Registro!$H395,";",CHAR(10)),CHAR(10),REPT(" ",LEN(Registro!$H395))),({1,2,3,4,5,6,7,8,9,10,11,12,13,14,15,16,17,18,19,20,21,22,23,24,25,26,27,28,29,30}-1)*LEN(Registro!$H395)+1,LEN(Registro!$H395)))," ",REPT(" ",50)),50)))),"Revisar formato"))</f>
        <v/>
      </c>
      <c r="J395" s="24" t="str">
        <f>IF(Registro!$I395="","",IFERROR(SUMPRODUCT(--("0"&amp;TRIM(RIGHT(SUBSTITUTE(TRIM(MID(SUBSTITUTE(SUBSTITUTE(Registro!$I395,";",CHAR(10)),CHAR(10),REPT(" ",LEN(Registro!$I395))),({1,2,3,4,5,6,7,8,9,10,11,12,13,14,15,16,17,18,19,20,21,22,23,24,25,26,27,28,29,30}-1)*LEN(Registro!$I395)+1,LEN(Registro!$I395)))," ",REPT(" ",50)),50)))),"Revisar formato"))</f>
        <v/>
      </c>
      <c r="K395" s="24" t="str">
        <f>IF(AND(Registro!$G395="",Registro!$H395=""),"",IF(AND(ISTEXT(I395),I395&lt;&gt;""),"Revisar formato",N(Registro!$G395)-N(I395)))</f>
        <v/>
      </c>
      <c r="L395" s="24" t="str">
        <f t="shared" si="13"/>
        <v/>
      </c>
      <c r="M395" s="36" t="str">
        <f>IF(AND(A395=Consulta!$B$3,C395=Consulta!$H$3),B395*10000+ROW(),"")</f>
        <v/>
      </c>
    </row>
    <row r="396" spans="1:13" x14ac:dyDescent="0.25">
      <c r="A396" s="21" t="str">
        <f>IF(Registro!$A396="","",Registro!$A396)</f>
        <v/>
      </c>
      <c r="B396" s="20" t="str">
        <f>IF(Registro!$B396="","",Registro!$B396)</f>
        <v/>
      </c>
      <c r="C396" s="35" t="str">
        <f t="shared" si="12"/>
        <v/>
      </c>
      <c r="D396" s="23" t="str">
        <f>IF(Registro!$E396="","",IF(ISERROR(FIND("x",LOWER(Registro!$E396))),"-",IFERROR(SUMPRODUCT(--("0"&amp;LEFT(TRIM(MID(SUBSTITUTE(SUBSTITUTE(SUBSTITUTE(SUBSTITUTE(SUBSTITUTE(LOWER(Registro!$E396),"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",LEN(Registro!$E396))),({1,2,3,4,5,6,7,8,9,10,11,12,13,14,15,16,17,18,19,20,21,22,23,24,25,26,27,28,29,30}-1)*LEN(Registro!$E396)+1,LEN(Registro!$E396))),FIND("x",TRIM(MID(SUBSTITUTE(SUBSTITUTE(SUBSTITUTE(SUBSTITUTE(SUBSTITUTE(LOWER(Registro!$E396),"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",LEN(Registro!$E396))),({1,2,3,4,5,6,7,8,9,10,11,12,13,14,15,16,17,18,19,20,21,22,23,24,25,26,27,28,29,30}-1)*LEN(Registro!$E396)+1,LEN(Registro!$E396)))&amp;"x")-1))),"Revisar formato")))</f>
        <v/>
      </c>
      <c r="E396" s="24" t="str">
        <f>IF(Registro!$E396="","",IF(ISERROR(FIND("x",LOWER(Registro!$E396))),"-",IFERROR(SUMPRODUCT(--("0"&amp;LEFT(TRIM(MID(SUBSTITUTE(SUBSTITUTE(SUBSTITUTE(SUBSTITUTE(SUBSTITUTE(LOWER(Registro!$E396),"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",LEN(Registro!$E396))),({1,2,3,4,5,6,7,8,9,10,11,12,13,14,15,16,17,18,19,20,21,22,23,24,25,26,27,28,29,30}-1)*LEN(Registro!$E396)+1,LEN(Registro!$E396))),FIND("x",TRIM(MID(SUBSTITUTE(SUBSTITUTE(SUBSTITUTE(SUBSTITUTE(SUBSTITUTE(LOWER(Registro!$E396),"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",LEN(Registro!$E396))),({1,2,3,4,5,6,7,8,9,10,11,12,13,14,15,16,17,18,19,20,21,22,23,24,25,26,27,28,29,30}-1)*LEN(Registro!$E396)+1,LEN(Registro!$E396)))&amp;"x")-1)),--("0"&amp;MID(TRIM(MID(SUBSTITUTE(SUBSTITUTE(SUBSTITUTE(SUBSTITUTE(SUBSTITUTE(LOWER(Registro!$E396),"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",LEN(Registro!$E396))),({1,2,3,4,5,6,7,8,9,10,11,12,13,14,15,16,17,18,19,20,21,22,23,24,25,26,27,28,29,30}-1)*LEN(Registro!$E396)+1,LEN(Registro!$E396))),FIND("x",TRIM(MID(SUBSTITUTE(SUBSTITUTE(SUBSTITUTE(SUBSTITUTE(SUBSTITUTE(LOWER(Registro!$E396),"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",LEN(Registro!$E396))),({1,2,3,4,5,6,7,8,9,10,11,12,13,14,15,16,17,18,19,20,21,22,23,24,25,26,27,28,29,30}-1)*LEN(Registro!$E396)+1,LEN(Registro!$E396)))&amp;"x")+1,20))),"Revisar formato")))</f>
        <v/>
      </c>
      <c r="F396" s="23" t="str">
        <f>IF(Registro!$F396="","",IF(ISERROR(FIND("x",LOWER(Registro!$F396))),"-",IFERROR(SUMPRODUCT(--("0"&amp;LEFT(TRIM(MID(SUBSTITUTE(SUBSTITUTE(SUBSTITUTE(SUBSTITUTE(SUBSTITUTE(LOWER(Registro!$F396)," ",""),CHAR(10),"|"),";","|"),"+","|"),"|",REPT(" ",LEN(Registro!$F396))),({1,2,3,4,5,6,7,8,9,10,11,12,13,14,15,16,17,18,19,20,21,22,23,24,25,26,27,28,29,30}-1)*LEN(Registro!$F396)+1,LEN(Registro!$F396))),FIND("x",TRIM(MID(SUBSTITUTE(SUBSTITUTE(SUBSTITUTE(SUBSTITUTE(SUBSTITUTE(LOWER(Registro!$F396)," ",""),CHAR(10),"|"),";","|"),"+","|"),"|",REPT(" ",LEN(Registro!$F396))),({1,2,3,4,5,6,7,8,9,10,11,12,13,14,15,16,17,18,19,20,21,22,23,24,25,26,27,28,29,30}-1)*LEN(Registro!$F396)+1,LEN(Registro!$F396)))&amp;"x")-1))),"Revisar formato")))</f>
        <v/>
      </c>
      <c r="G396" s="24" t="str">
        <f>IF(Registro!$F396="","",IF(ISERROR(FIND("x",LOWER(Registro!$F396))),N(Registro!$G396),IFERROR(SUMPRODUCT(--("0"&amp;LEFT(TRIM(MID(SUBSTITUTE(SUBSTITUTE(SUBSTITUTE(SUBSTITUTE(SUBSTITUTE(LOWER(Registro!$F396)," ",""),CHAR(10),"|"),";","|"),"+","|"),"|",REPT(" ",LEN(Registro!$F396))),({1,2,3,4,5,6,7,8,9,10,11,12,13,14,15,16,17,18,19,20,21,22,23,24,25,26,27,28,29,30}-1)*LEN(Registro!$F396)+1,LEN(Registro!$F396))),FIND("x",TRIM(MID(SUBSTITUTE(SUBSTITUTE(SUBSTITUTE(SUBSTITUTE(SUBSTITUTE(LOWER(Registro!$F396)," ",""),CHAR(10),"|"),";","|"),"+","|"),"|",REPT(" ",LEN(Registro!$F396))),({1,2,3,4,5,6,7,8,9,10,11,12,13,14,15,16,17,18,19,20,21,22,23,24,25,26,27,28,29,30}-1)*LEN(Registro!$F396)+1,LEN(Registro!$F396)))&amp;"x")-1)),--("0"&amp;MID(TRIM(MID(SUBSTITUTE(SUBSTITUTE(SUBSTITUTE(SUBSTITUTE(SUBSTITUTE(LOWER(Registro!$F396)," ",""),CHAR(10),"|"),";","|"),"+","|"),"|",REPT(" ",LEN(Registro!$F396))),({1,2,3,4,5,6,7,8,9,10,11,12,13,14,15,16,17,18,19,20,21,22,23,24,25,26,27,28,29,30}-1)*LEN(Registro!$F396)+1,LEN(Registro!$F396))),FIND("x",TRIM(MID(SUBSTITUTE(SUBSTITUTE(SUBSTITUTE(SUBSTITUTE(SUBSTITUTE(LOWER(Registro!$F396)," ",""),CHAR(10),"|"),";","|"),"+","|"),"|",REPT(" ",LEN(Registro!$F396))),({1,2,3,4,5,6,7,8,9,10,11,12,13,14,15,16,17,18,19,20,21,22,23,24,25,26,27,28,29,30}-1)*LEN(Registro!$F396)+1,LEN(Registro!$F396)))&amp;"x")+1,20))),"Revisar formato")))</f>
        <v/>
      </c>
      <c r="H396" s="21" t="str">
        <f>IF(AND(Registro!$E396="",Registro!$F396=""),"",IF(NOT(AND(ISNUMBER(G396),ISNUMBER(Registro!$G396))),"",IF(G396&lt;Registro!$G396,"FALTA BOLETOS",IF(G396=Registro!$G396,"CONFORME","DIFERENCIA"))))</f>
        <v/>
      </c>
      <c r="I396" s="24" t="str">
        <f>IF(Registro!$H396="","",IFERROR(SUMPRODUCT(--("0"&amp;TRIM(RIGHT(SUBSTITUTE(TRIM(MID(SUBSTITUTE(SUBSTITUTE(Registro!$H396,";",CHAR(10)),CHAR(10),REPT(" ",LEN(Registro!$H396))),({1,2,3,4,5,6,7,8,9,10,11,12,13,14,15,16,17,18,19,20,21,22,23,24,25,26,27,28,29,30}-1)*LEN(Registro!$H396)+1,LEN(Registro!$H396)))," ",REPT(" ",50)),50)))),"Revisar formato"))</f>
        <v/>
      </c>
      <c r="J396" s="24" t="str">
        <f>IF(Registro!$I396="","",IFERROR(SUMPRODUCT(--("0"&amp;TRIM(RIGHT(SUBSTITUTE(TRIM(MID(SUBSTITUTE(SUBSTITUTE(Registro!$I396,";",CHAR(10)),CHAR(10),REPT(" ",LEN(Registro!$I396))),({1,2,3,4,5,6,7,8,9,10,11,12,13,14,15,16,17,18,19,20,21,22,23,24,25,26,27,28,29,30}-1)*LEN(Registro!$I396)+1,LEN(Registro!$I396)))," ",REPT(" ",50)),50)))),"Revisar formato"))</f>
        <v/>
      </c>
      <c r="K396" s="24" t="str">
        <f>IF(AND(Registro!$G396="",Registro!$H396=""),"",IF(AND(ISTEXT(I396),I396&lt;&gt;""),"Revisar formato",N(Registro!$G396)-N(I396)))</f>
        <v/>
      </c>
      <c r="L396" s="24" t="str">
        <f t="shared" si="13"/>
        <v/>
      </c>
      <c r="M396" s="36" t="str">
        <f>IF(AND(A396=Consulta!$B$3,C396=Consulta!$H$3),B396*10000+ROW(),"")</f>
        <v/>
      </c>
    </row>
    <row r="397" spans="1:13" x14ac:dyDescent="0.25">
      <c r="A397" s="21" t="str">
        <f>IF(Registro!$A397="","",Registro!$A397)</f>
        <v/>
      </c>
      <c r="B397" s="20" t="str">
        <f>IF(Registro!$B397="","",Registro!$B397)</f>
        <v/>
      </c>
      <c r="C397" s="35" t="str">
        <f t="shared" si="12"/>
        <v/>
      </c>
      <c r="D397" s="23" t="str">
        <f>IF(Registro!$E397="","",IF(ISERROR(FIND("x",LOWER(Registro!$E397))),"-",IFERROR(SUMPRODUCT(--("0"&amp;LEFT(TRIM(MID(SUBSTITUTE(SUBSTITUTE(SUBSTITUTE(SUBSTITUTE(SUBSTITUTE(LOWER(Registro!$E397),"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",LEN(Registro!$E397))),({1,2,3,4,5,6,7,8,9,10,11,12,13,14,15,16,17,18,19,20,21,22,23,24,25,26,27,28,29,30}-1)*LEN(Registro!$E397)+1,LEN(Registro!$E397))),FIND("x",TRIM(MID(SUBSTITUTE(SUBSTITUTE(SUBSTITUTE(SUBSTITUTE(SUBSTITUTE(LOWER(Registro!$E397),"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",LEN(Registro!$E397))),({1,2,3,4,5,6,7,8,9,10,11,12,13,14,15,16,17,18,19,20,21,22,23,24,25,26,27,28,29,30}-1)*LEN(Registro!$E397)+1,LEN(Registro!$E397)))&amp;"x")-1))),"Revisar formato")))</f>
        <v/>
      </c>
      <c r="E397" s="24" t="str">
        <f>IF(Registro!$E397="","",IF(ISERROR(FIND("x",LOWER(Registro!$E397))),"-",IFERROR(SUMPRODUCT(--("0"&amp;LEFT(TRIM(MID(SUBSTITUTE(SUBSTITUTE(SUBSTITUTE(SUBSTITUTE(SUBSTITUTE(LOWER(Registro!$E397),"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",LEN(Registro!$E397))),({1,2,3,4,5,6,7,8,9,10,11,12,13,14,15,16,17,18,19,20,21,22,23,24,25,26,27,28,29,30}-1)*LEN(Registro!$E397)+1,LEN(Registro!$E397))),FIND("x",TRIM(MID(SUBSTITUTE(SUBSTITUTE(SUBSTITUTE(SUBSTITUTE(SUBSTITUTE(LOWER(Registro!$E397),"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",LEN(Registro!$E397))),({1,2,3,4,5,6,7,8,9,10,11,12,13,14,15,16,17,18,19,20,21,22,23,24,25,26,27,28,29,30}-1)*LEN(Registro!$E397)+1,LEN(Registro!$E397)))&amp;"x")-1)),--("0"&amp;MID(TRIM(MID(SUBSTITUTE(SUBSTITUTE(SUBSTITUTE(SUBSTITUTE(SUBSTITUTE(LOWER(Registro!$E397),"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",LEN(Registro!$E397))),({1,2,3,4,5,6,7,8,9,10,11,12,13,14,15,16,17,18,19,20,21,22,23,24,25,26,27,28,29,30}-1)*LEN(Registro!$E397)+1,LEN(Registro!$E397))),FIND("x",TRIM(MID(SUBSTITUTE(SUBSTITUTE(SUBSTITUTE(SUBSTITUTE(SUBSTITUTE(LOWER(Registro!$E397),"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",LEN(Registro!$E397))),({1,2,3,4,5,6,7,8,9,10,11,12,13,14,15,16,17,18,19,20,21,22,23,24,25,26,27,28,29,30}-1)*LEN(Registro!$E397)+1,LEN(Registro!$E397)))&amp;"x")+1,20))),"Revisar formato")))</f>
        <v/>
      </c>
      <c r="F397" s="23" t="str">
        <f>IF(Registro!$F397="","",IF(ISERROR(FIND("x",LOWER(Registro!$F397))),"-",IFERROR(SUMPRODUCT(--("0"&amp;LEFT(TRIM(MID(SUBSTITUTE(SUBSTITUTE(SUBSTITUTE(SUBSTITUTE(SUBSTITUTE(LOWER(Registro!$F397)," ",""),CHAR(10),"|"),";","|"),"+","|"),"|",REPT(" ",LEN(Registro!$F397))),({1,2,3,4,5,6,7,8,9,10,11,12,13,14,15,16,17,18,19,20,21,22,23,24,25,26,27,28,29,30}-1)*LEN(Registro!$F397)+1,LEN(Registro!$F397))),FIND("x",TRIM(MID(SUBSTITUTE(SUBSTITUTE(SUBSTITUTE(SUBSTITUTE(SUBSTITUTE(LOWER(Registro!$F397)," ",""),CHAR(10),"|"),";","|"),"+","|"),"|",REPT(" ",LEN(Registro!$F397))),({1,2,3,4,5,6,7,8,9,10,11,12,13,14,15,16,17,18,19,20,21,22,23,24,25,26,27,28,29,30}-1)*LEN(Registro!$F397)+1,LEN(Registro!$F397)))&amp;"x")-1))),"Revisar formato")))</f>
        <v/>
      </c>
      <c r="G397" s="24" t="str">
        <f>IF(Registro!$F397="","",IF(ISERROR(FIND("x",LOWER(Registro!$F397))),N(Registro!$G397),IFERROR(SUMPRODUCT(--("0"&amp;LEFT(TRIM(MID(SUBSTITUTE(SUBSTITUTE(SUBSTITUTE(SUBSTITUTE(SUBSTITUTE(LOWER(Registro!$F397)," ",""),CHAR(10),"|"),";","|"),"+","|"),"|",REPT(" ",LEN(Registro!$F397))),({1,2,3,4,5,6,7,8,9,10,11,12,13,14,15,16,17,18,19,20,21,22,23,24,25,26,27,28,29,30}-1)*LEN(Registro!$F397)+1,LEN(Registro!$F397))),FIND("x",TRIM(MID(SUBSTITUTE(SUBSTITUTE(SUBSTITUTE(SUBSTITUTE(SUBSTITUTE(LOWER(Registro!$F397)," ",""),CHAR(10),"|"),";","|"),"+","|"),"|",REPT(" ",LEN(Registro!$F397))),({1,2,3,4,5,6,7,8,9,10,11,12,13,14,15,16,17,18,19,20,21,22,23,24,25,26,27,28,29,30}-1)*LEN(Registro!$F397)+1,LEN(Registro!$F397)))&amp;"x")-1)),--("0"&amp;MID(TRIM(MID(SUBSTITUTE(SUBSTITUTE(SUBSTITUTE(SUBSTITUTE(SUBSTITUTE(LOWER(Registro!$F397)," ",""),CHAR(10),"|"),";","|"),"+","|"),"|",REPT(" ",LEN(Registro!$F397))),({1,2,3,4,5,6,7,8,9,10,11,12,13,14,15,16,17,18,19,20,21,22,23,24,25,26,27,28,29,30}-1)*LEN(Registro!$F397)+1,LEN(Registro!$F397))),FIND("x",TRIM(MID(SUBSTITUTE(SUBSTITUTE(SUBSTITUTE(SUBSTITUTE(SUBSTITUTE(LOWER(Registro!$F397)," ",""),CHAR(10),"|"),";","|"),"+","|"),"|",REPT(" ",LEN(Registro!$F397))),({1,2,3,4,5,6,7,8,9,10,11,12,13,14,15,16,17,18,19,20,21,22,23,24,25,26,27,28,29,30}-1)*LEN(Registro!$F397)+1,LEN(Registro!$F397)))&amp;"x")+1,20))),"Revisar formato")))</f>
        <v/>
      </c>
      <c r="H397" s="21" t="str">
        <f>IF(AND(Registro!$E397="",Registro!$F397=""),"",IF(NOT(AND(ISNUMBER(G397),ISNUMBER(Registro!$G397))),"",IF(G397&lt;Registro!$G397,"FALTA BOLETOS",IF(G397=Registro!$G397,"CONFORME","DIFERENCIA"))))</f>
        <v/>
      </c>
      <c r="I397" s="24" t="str">
        <f>IF(Registro!$H397="","",IFERROR(SUMPRODUCT(--("0"&amp;TRIM(RIGHT(SUBSTITUTE(TRIM(MID(SUBSTITUTE(SUBSTITUTE(Registro!$H397,";",CHAR(10)),CHAR(10),REPT(" ",LEN(Registro!$H397))),({1,2,3,4,5,6,7,8,9,10,11,12,13,14,15,16,17,18,19,20,21,22,23,24,25,26,27,28,29,30}-1)*LEN(Registro!$H397)+1,LEN(Registro!$H397)))," ",REPT(" ",50)),50)))),"Revisar formato"))</f>
        <v/>
      </c>
      <c r="J397" s="24" t="str">
        <f>IF(Registro!$I397="","",IFERROR(SUMPRODUCT(--("0"&amp;TRIM(RIGHT(SUBSTITUTE(TRIM(MID(SUBSTITUTE(SUBSTITUTE(Registro!$I397,";",CHAR(10)),CHAR(10),REPT(" ",LEN(Registro!$I397))),({1,2,3,4,5,6,7,8,9,10,11,12,13,14,15,16,17,18,19,20,21,22,23,24,25,26,27,28,29,30}-1)*LEN(Registro!$I397)+1,LEN(Registro!$I397)))," ",REPT(" ",50)),50)))),"Revisar formato"))</f>
        <v/>
      </c>
      <c r="K397" s="24" t="str">
        <f>IF(AND(Registro!$G397="",Registro!$H397=""),"",IF(AND(ISTEXT(I397),I397&lt;&gt;""),"Revisar formato",N(Registro!$G397)-N(I397)))</f>
        <v/>
      </c>
      <c r="L397" s="24" t="str">
        <f t="shared" si="13"/>
        <v/>
      </c>
      <c r="M397" s="36" t="str">
        <f>IF(AND(A397=Consulta!$B$3,C397=Consulta!$H$3),B397*10000+ROW(),"")</f>
        <v/>
      </c>
    </row>
    <row r="398" spans="1:13" x14ac:dyDescent="0.25">
      <c r="A398" s="21" t="str">
        <f>IF(Registro!$A398="","",Registro!$A398)</f>
        <v/>
      </c>
      <c r="B398" s="20" t="str">
        <f>IF(Registro!$B398="","",Registro!$B398)</f>
        <v/>
      </c>
      <c r="C398" s="35" t="str">
        <f t="shared" si="12"/>
        <v/>
      </c>
      <c r="D398" s="23" t="str">
        <f>IF(Registro!$E398="","",IF(ISERROR(FIND("x",LOWER(Registro!$E398))),"-",IFERROR(SUMPRODUCT(--("0"&amp;LEFT(TRIM(MID(SUBSTITUTE(SUBSTITUTE(SUBSTITUTE(SUBSTITUTE(SUBSTITUTE(LOWER(Registro!$E398),"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",LEN(Registro!$E398))),({1,2,3,4,5,6,7,8,9,10,11,12,13,14,15,16,17,18,19,20,21,22,23,24,25,26,27,28,29,30}-1)*LEN(Registro!$E398)+1,LEN(Registro!$E398))),FIND("x",TRIM(MID(SUBSTITUTE(SUBSTITUTE(SUBSTITUTE(SUBSTITUTE(SUBSTITUTE(LOWER(Registro!$E398),"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",LEN(Registro!$E398))),({1,2,3,4,5,6,7,8,9,10,11,12,13,14,15,16,17,18,19,20,21,22,23,24,25,26,27,28,29,30}-1)*LEN(Registro!$E398)+1,LEN(Registro!$E398)))&amp;"x")-1))),"Revisar formato")))</f>
        <v/>
      </c>
      <c r="E398" s="24" t="str">
        <f>IF(Registro!$E398="","",IF(ISERROR(FIND("x",LOWER(Registro!$E398))),"-",IFERROR(SUMPRODUCT(--("0"&amp;LEFT(TRIM(MID(SUBSTITUTE(SUBSTITUTE(SUBSTITUTE(SUBSTITUTE(SUBSTITUTE(LOWER(Registro!$E398),"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",LEN(Registro!$E398))),({1,2,3,4,5,6,7,8,9,10,11,12,13,14,15,16,17,18,19,20,21,22,23,24,25,26,27,28,29,30}-1)*LEN(Registro!$E398)+1,LEN(Registro!$E398))),FIND("x",TRIM(MID(SUBSTITUTE(SUBSTITUTE(SUBSTITUTE(SUBSTITUTE(SUBSTITUTE(LOWER(Registro!$E398),"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",LEN(Registro!$E398))),({1,2,3,4,5,6,7,8,9,10,11,12,13,14,15,16,17,18,19,20,21,22,23,24,25,26,27,28,29,30}-1)*LEN(Registro!$E398)+1,LEN(Registro!$E398)))&amp;"x")-1)),--("0"&amp;MID(TRIM(MID(SUBSTITUTE(SUBSTITUTE(SUBSTITUTE(SUBSTITUTE(SUBSTITUTE(LOWER(Registro!$E398),"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",LEN(Registro!$E398))),({1,2,3,4,5,6,7,8,9,10,11,12,13,14,15,16,17,18,19,20,21,22,23,24,25,26,27,28,29,30}-1)*LEN(Registro!$E398)+1,LEN(Registro!$E398))),FIND("x",TRIM(MID(SUBSTITUTE(SUBSTITUTE(SUBSTITUTE(SUBSTITUTE(SUBSTITUTE(LOWER(Registro!$E398),"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",LEN(Registro!$E398))),({1,2,3,4,5,6,7,8,9,10,11,12,13,14,15,16,17,18,19,20,21,22,23,24,25,26,27,28,29,30}-1)*LEN(Registro!$E398)+1,LEN(Registro!$E398)))&amp;"x")+1,20))),"Revisar formato")))</f>
        <v/>
      </c>
      <c r="F398" s="23" t="str">
        <f>IF(Registro!$F398="","",IF(ISERROR(FIND("x",LOWER(Registro!$F398))),"-",IFERROR(SUMPRODUCT(--("0"&amp;LEFT(TRIM(MID(SUBSTITUTE(SUBSTITUTE(SUBSTITUTE(SUBSTITUTE(SUBSTITUTE(LOWER(Registro!$F398)," ",""),CHAR(10),"|"),";","|"),"+","|"),"|",REPT(" ",LEN(Registro!$F398))),({1,2,3,4,5,6,7,8,9,10,11,12,13,14,15,16,17,18,19,20,21,22,23,24,25,26,27,28,29,30}-1)*LEN(Registro!$F398)+1,LEN(Registro!$F398))),FIND("x",TRIM(MID(SUBSTITUTE(SUBSTITUTE(SUBSTITUTE(SUBSTITUTE(SUBSTITUTE(LOWER(Registro!$F398)," ",""),CHAR(10),"|"),";","|"),"+","|"),"|",REPT(" ",LEN(Registro!$F398))),({1,2,3,4,5,6,7,8,9,10,11,12,13,14,15,16,17,18,19,20,21,22,23,24,25,26,27,28,29,30}-1)*LEN(Registro!$F398)+1,LEN(Registro!$F398)))&amp;"x")-1))),"Revisar formato")))</f>
        <v/>
      </c>
      <c r="G398" s="24" t="str">
        <f>IF(Registro!$F398="","",IF(ISERROR(FIND("x",LOWER(Registro!$F398))),N(Registro!$G398),IFERROR(SUMPRODUCT(--("0"&amp;LEFT(TRIM(MID(SUBSTITUTE(SUBSTITUTE(SUBSTITUTE(SUBSTITUTE(SUBSTITUTE(LOWER(Registro!$F398)," ",""),CHAR(10),"|"),";","|"),"+","|"),"|",REPT(" ",LEN(Registro!$F398))),({1,2,3,4,5,6,7,8,9,10,11,12,13,14,15,16,17,18,19,20,21,22,23,24,25,26,27,28,29,30}-1)*LEN(Registro!$F398)+1,LEN(Registro!$F398))),FIND("x",TRIM(MID(SUBSTITUTE(SUBSTITUTE(SUBSTITUTE(SUBSTITUTE(SUBSTITUTE(LOWER(Registro!$F398)," ",""),CHAR(10),"|"),";","|"),"+","|"),"|",REPT(" ",LEN(Registro!$F398))),({1,2,3,4,5,6,7,8,9,10,11,12,13,14,15,16,17,18,19,20,21,22,23,24,25,26,27,28,29,30}-1)*LEN(Registro!$F398)+1,LEN(Registro!$F398)))&amp;"x")-1)),--("0"&amp;MID(TRIM(MID(SUBSTITUTE(SUBSTITUTE(SUBSTITUTE(SUBSTITUTE(SUBSTITUTE(LOWER(Registro!$F398)," ",""),CHAR(10),"|"),";","|"),"+","|"),"|",REPT(" ",LEN(Registro!$F398))),({1,2,3,4,5,6,7,8,9,10,11,12,13,14,15,16,17,18,19,20,21,22,23,24,25,26,27,28,29,30}-1)*LEN(Registro!$F398)+1,LEN(Registro!$F398))),FIND("x",TRIM(MID(SUBSTITUTE(SUBSTITUTE(SUBSTITUTE(SUBSTITUTE(SUBSTITUTE(LOWER(Registro!$F398)," ",""),CHAR(10),"|"),";","|"),"+","|"),"|",REPT(" ",LEN(Registro!$F398))),({1,2,3,4,5,6,7,8,9,10,11,12,13,14,15,16,17,18,19,20,21,22,23,24,25,26,27,28,29,30}-1)*LEN(Registro!$F398)+1,LEN(Registro!$F398)))&amp;"x")+1,20))),"Revisar formato")))</f>
        <v/>
      </c>
      <c r="H398" s="21" t="str">
        <f>IF(AND(Registro!$E398="",Registro!$F398=""),"",IF(NOT(AND(ISNUMBER(G398),ISNUMBER(Registro!$G398))),"",IF(G398&lt;Registro!$G398,"FALTA BOLETOS",IF(G398=Registro!$G398,"CONFORME","DIFERENCIA"))))</f>
        <v/>
      </c>
      <c r="I398" s="24" t="str">
        <f>IF(Registro!$H398="","",IFERROR(SUMPRODUCT(--("0"&amp;TRIM(RIGHT(SUBSTITUTE(TRIM(MID(SUBSTITUTE(SUBSTITUTE(Registro!$H398,";",CHAR(10)),CHAR(10),REPT(" ",LEN(Registro!$H398))),({1,2,3,4,5,6,7,8,9,10,11,12,13,14,15,16,17,18,19,20,21,22,23,24,25,26,27,28,29,30}-1)*LEN(Registro!$H398)+1,LEN(Registro!$H398)))," ",REPT(" ",50)),50)))),"Revisar formato"))</f>
        <v/>
      </c>
      <c r="J398" s="24" t="str">
        <f>IF(Registro!$I398="","",IFERROR(SUMPRODUCT(--("0"&amp;TRIM(RIGHT(SUBSTITUTE(TRIM(MID(SUBSTITUTE(SUBSTITUTE(Registro!$I398,";",CHAR(10)),CHAR(10),REPT(" ",LEN(Registro!$I398))),({1,2,3,4,5,6,7,8,9,10,11,12,13,14,15,16,17,18,19,20,21,22,23,24,25,26,27,28,29,30}-1)*LEN(Registro!$I398)+1,LEN(Registro!$I398)))," ",REPT(" ",50)),50)))),"Revisar formato"))</f>
        <v/>
      </c>
      <c r="K398" s="24" t="str">
        <f>IF(AND(Registro!$G398="",Registro!$H398=""),"",IF(AND(ISTEXT(I398),I398&lt;&gt;""),"Revisar formato",N(Registro!$G398)-N(I398)))</f>
        <v/>
      </c>
      <c r="L398" s="24" t="str">
        <f t="shared" si="13"/>
        <v/>
      </c>
      <c r="M398" s="36" t="str">
        <f>IF(AND(A398=Consulta!$B$3,C398=Consulta!$H$3),B398*10000+ROW(),"")</f>
        <v/>
      </c>
    </row>
    <row r="399" spans="1:13" x14ac:dyDescent="0.25">
      <c r="A399" s="21" t="str">
        <f>IF(Registro!$A399="","",Registro!$A399)</f>
        <v/>
      </c>
      <c r="B399" s="20" t="str">
        <f>IF(Registro!$B399="","",Registro!$B399)</f>
        <v/>
      </c>
      <c r="C399" s="35" t="str">
        <f t="shared" si="12"/>
        <v/>
      </c>
      <c r="D399" s="23" t="str">
        <f>IF(Registro!$E399="","",IF(ISERROR(FIND("x",LOWER(Registro!$E399))),"-",IFERROR(SUMPRODUCT(--("0"&amp;LEFT(TRIM(MID(SUBSTITUTE(SUBSTITUTE(SUBSTITUTE(SUBSTITUTE(SUBSTITUTE(LOWER(Registro!$E399),"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",LEN(Registro!$E399))),({1,2,3,4,5,6,7,8,9,10,11,12,13,14,15,16,17,18,19,20,21,22,23,24,25,26,27,28,29,30}-1)*LEN(Registro!$E399)+1,LEN(Registro!$E399))),FIND("x",TRIM(MID(SUBSTITUTE(SUBSTITUTE(SUBSTITUTE(SUBSTITUTE(SUBSTITUTE(LOWER(Registro!$E399),"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",LEN(Registro!$E399))),({1,2,3,4,5,6,7,8,9,10,11,12,13,14,15,16,17,18,19,20,21,22,23,24,25,26,27,28,29,30}-1)*LEN(Registro!$E399)+1,LEN(Registro!$E399)))&amp;"x")-1))),"Revisar formato")))</f>
        <v/>
      </c>
      <c r="E399" s="24" t="str">
        <f>IF(Registro!$E399="","",IF(ISERROR(FIND("x",LOWER(Registro!$E399))),"-",IFERROR(SUMPRODUCT(--("0"&amp;LEFT(TRIM(MID(SUBSTITUTE(SUBSTITUTE(SUBSTITUTE(SUBSTITUTE(SUBSTITUTE(LOWER(Registro!$E399),"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",LEN(Registro!$E399))),({1,2,3,4,5,6,7,8,9,10,11,12,13,14,15,16,17,18,19,20,21,22,23,24,25,26,27,28,29,30}-1)*LEN(Registro!$E399)+1,LEN(Registro!$E399))),FIND("x",TRIM(MID(SUBSTITUTE(SUBSTITUTE(SUBSTITUTE(SUBSTITUTE(SUBSTITUTE(LOWER(Registro!$E399),"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",LEN(Registro!$E399))),({1,2,3,4,5,6,7,8,9,10,11,12,13,14,15,16,17,18,19,20,21,22,23,24,25,26,27,28,29,30}-1)*LEN(Registro!$E399)+1,LEN(Registro!$E399)))&amp;"x")-1)),--("0"&amp;MID(TRIM(MID(SUBSTITUTE(SUBSTITUTE(SUBSTITUTE(SUBSTITUTE(SUBSTITUTE(LOWER(Registro!$E399),"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",LEN(Registro!$E399))),({1,2,3,4,5,6,7,8,9,10,11,12,13,14,15,16,17,18,19,20,21,22,23,24,25,26,27,28,29,30}-1)*LEN(Registro!$E399)+1,LEN(Registro!$E399))),FIND("x",TRIM(MID(SUBSTITUTE(SUBSTITUTE(SUBSTITUTE(SUBSTITUTE(SUBSTITUTE(LOWER(Registro!$E399),"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",LEN(Registro!$E399))),({1,2,3,4,5,6,7,8,9,10,11,12,13,14,15,16,17,18,19,20,21,22,23,24,25,26,27,28,29,30}-1)*LEN(Registro!$E399)+1,LEN(Registro!$E399)))&amp;"x")+1,20))),"Revisar formato")))</f>
        <v/>
      </c>
      <c r="F399" s="23" t="str">
        <f>IF(Registro!$F399="","",IF(ISERROR(FIND("x",LOWER(Registro!$F399))),"-",IFERROR(SUMPRODUCT(--("0"&amp;LEFT(TRIM(MID(SUBSTITUTE(SUBSTITUTE(SUBSTITUTE(SUBSTITUTE(SUBSTITUTE(LOWER(Registro!$F399)," ",""),CHAR(10),"|"),";","|"),"+","|"),"|",REPT(" ",LEN(Registro!$F399))),({1,2,3,4,5,6,7,8,9,10,11,12,13,14,15,16,17,18,19,20,21,22,23,24,25,26,27,28,29,30}-1)*LEN(Registro!$F399)+1,LEN(Registro!$F399))),FIND("x",TRIM(MID(SUBSTITUTE(SUBSTITUTE(SUBSTITUTE(SUBSTITUTE(SUBSTITUTE(LOWER(Registro!$F399)," ",""),CHAR(10),"|"),";","|"),"+","|"),"|",REPT(" ",LEN(Registro!$F399))),({1,2,3,4,5,6,7,8,9,10,11,12,13,14,15,16,17,18,19,20,21,22,23,24,25,26,27,28,29,30}-1)*LEN(Registro!$F399)+1,LEN(Registro!$F399)))&amp;"x")-1))),"Revisar formato")))</f>
        <v/>
      </c>
      <c r="G399" s="24" t="str">
        <f>IF(Registro!$F399="","",IF(ISERROR(FIND("x",LOWER(Registro!$F399))),N(Registro!$G399),IFERROR(SUMPRODUCT(--("0"&amp;LEFT(TRIM(MID(SUBSTITUTE(SUBSTITUTE(SUBSTITUTE(SUBSTITUTE(SUBSTITUTE(LOWER(Registro!$F399)," ",""),CHAR(10),"|"),";","|"),"+","|"),"|",REPT(" ",LEN(Registro!$F399))),({1,2,3,4,5,6,7,8,9,10,11,12,13,14,15,16,17,18,19,20,21,22,23,24,25,26,27,28,29,30}-1)*LEN(Registro!$F399)+1,LEN(Registro!$F399))),FIND("x",TRIM(MID(SUBSTITUTE(SUBSTITUTE(SUBSTITUTE(SUBSTITUTE(SUBSTITUTE(LOWER(Registro!$F399)," ",""),CHAR(10),"|"),";","|"),"+","|"),"|",REPT(" ",LEN(Registro!$F399))),({1,2,3,4,5,6,7,8,9,10,11,12,13,14,15,16,17,18,19,20,21,22,23,24,25,26,27,28,29,30}-1)*LEN(Registro!$F399)+1,LEN(Registro!$F399)))&amp;"x")-1)),--("0"&amp;MID(TRIM(MID(SUBSTITUTE(SUBSTITUTE(SUBSTITUTE(SUBSTITUTE(SUBSTITUTE(LOWER(Registro!$F399)," ",""),CHAR(10),"|"),";","|"),"+","|"),"|",REPT(" ",LEN(Registro!$F399))),({1,2,3,4,5,6,7,8,9,10,11,12,13,14,15,16,17,18,19,20,21,22,23,24,25,26,27,28,29,30}-1)*LEN(Registro!$F399)+1,LEN(Registro!$F399))),FIND("x",TRIM(MID(SUBSTITUTE(SUBSTITUTE(SUBSTITUTE(SUBSTITUTE(SUBSTITUTE(LOWER(Registro!$F399)," ",""),CHAR(10),"|"),";","|"),"+","|"),"|",REPT(" ",LEN(Registro!$F399))),({1,2,3,4,5,6,7,8,9,10,11,12,13,14,15,16,17,18,19,20,21,22,23,24,25,26,27,28,29,30}-1)*LEN(Registro!$F399)+1,LEN(Registro!$F399)))&amp;"x")+1,20))),"Revisar formato")))</f>
        <v/>
      </c>
      <c r="H399" s="21" t="str">
        <f>IF(AND(Registro!$E399="",Registro!$F399=""),"",IF(NOT(AND(ISNUMBER(G399),ISNUMBER(Registro!$G399))),"",IF(G399&lt;Registro!$G399,"FALTA BOLETOS",IF(G399=Registro!$G399,"CONFORME","DIFERENCIA"))))</f>
        <v/>
      </c>
      <c r="I399" s="24" t="str">
        <f>IF(Registro!$H399="","",IFERROR(SUMPRODUCT(--("0"&amp;TRIM(RIGHT(SUBSTITUTE(TRIM(MID(SUBSTITUTE(SUBSTITUTE(Registro!$H399,";",CHAR(10)),CHAR(10),REPT(" ",LEN(Registro!$H399))),({1,2,3,4,5,6,7,8,9,10,11,12,13,14,15,16,17,18,19,20,21,22,23,24,25,26,27,28,29,30}-1)*LEN(Registro!$H399)+1,LEN(Registro!$H399)))," ",REPT(" ",50)),50)))),"Revisar formato"))</f>
        <v/>
      </c>
      <c r="J399" s="24" t="str">
        <f>IF(Registro!$I399="","",IFERROR(SUMPRODUCT(--("0"&amp;TRIM(RIGHT(SUBSTITUTE(TRIM(MID(SUBSTITUTE(SUBSTITUTE(Registro!$I399,";",CHAR(10)),CHAR(10),REPT(" ",LEN(Registro!$I399))),({1,2,3,4,5,6,7,8,9,10,11,12,13,14,15,16,17,18,19,20,21,22,23,24,25,26,27,28,29,30}-1)*LEN(Registro!$I399)+1,LEN(Registro!$I399)))," ",REPT(" ",50)),50)))),"Revisar formato"))</f>
        <v/>
      </c>
      <c r="K399" s="24" t="str">
        <f>IF(AND(Registro!$G399="",Registro!$H399=""),"",IF(AND(ISTEXT(I399),I399&lt;&gt;""),"Revisar formato",N(Registro!$G399)-N(I399)))</f>
        <v/>
      </c>
      <c r="L399" s="24" t="str">
        <f t="shared" si="13"/>
        <v/>
      </c>
      <c r="M399" s="36" t="str">
        <f>IF(AND(A399=Consulta!$B$3,C399=Consulta!$H$3),B399*10000+ROW(),"")</f>
        <v/>
      </c>
    </row>
    <row r="400" spans="1:13" x14ac:dyDescent="0.25">
      <c r="A400" s="21" t="str">
        <f>IF(Registro!$A400="","",Registro!$A400)</f>
        <v/>
      </c>
      <c r="B400" s="20" t="str">
        <f>IF(Registro!$B400="","",Registro!$B400)</f>
        <v/>
      </c>
      <c r="C400" s="35" t="str">
        <f t="shared" si="12"/>
        <v/>
      </c>
      <c r="D400" s="23" t="str">
        <f>IF(Registro!$E400="","",IF(ISERROR(FIND("x",LOWER(Registro!$E400))),"-",IFERROR(SUMPRODUCT(--("0"&amp;LEFT(TRIM(MID(SUBSTITUTE(SUBSTITUTE(SUBSTITUTE(SUBSTITUTE(SUBSTITUTE(LOWER(Registro!$E400),"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",LEN(Registro!$E400))),({1,2,3,4,5,6,7,8,9,10,11,12,13,14,15,16,17,18,19,20,21,22,23,24,25,26,27,28,29,30}-1)*LEN(Registro!$E400)+1,LEN(Registro!$E400))),FIND("x",TRIM(MID(SUBSTITUTE(SUBSTITUTE(SUBSTITUTE(SUBSTITUTE(SUBSTITUTE(LOWER(Registro!$E400),"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",LEN(Registro!$E400))),({1,2,3,4,5,6,7,8,9,10,11,12,13,14,15,16,17,18,19,20,21,22,23,24,25,26,27,28,29,30}-1)*LEN(Registro!$E400)+1,LEN(Registro!$E400)))&amp;"x")-1))),"Revisar formato")))</f>
        <v/>
      </c>
      <c r="E400" s="24" t="str">
        <f>IF(Registro!$E400="","",IF(ISERROR(FIND("x",LOWER(Registro!$E400))),"-",IFERROR(SUMPRODUCT(--("0"&amp;LEFT(TRIM(MID(SUBSTITUTE(SUBSTITUTE(SUBSTITUTE(SUBSTITUTE(SUBSTITUTE(LOWER(Registro!$E400),"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",LEN(Registro!$E400))),({1,2,3,4,5,6,7,8,9,10,11,12,13,14,15,16,17,18,19,20,21,22,23,24,25,26,27,28,29,30}-1)*LEN(Registro!$E400)+1,LEN(Registro!$E400))),FIND("x",TRIM(MID(SUBSTITUTE(SUBSTITUTE(SUBSTITUTE(SUBSTITUTE(SUBSTITUTE(LOWER(Registro!$E400),"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",LEN(Registro!$E400))),({1,2,3,4,5,6,7,8,9,10,11,12,13,14,15,16,17,18,19,20,21,22,23,24,25,26,27,28,29,30}-1)*LEN(Registro!$E400)+1,LEN(Registro!$E400)))&amp;"x")-1)),--("0"&amp;MID(TRIM(MID(SUBSTITUTE(SUBSTITUTE(SUBSTITUTE(SUBSTITUTE(SUBSTITUTE(LOWER(Registro!$E400),"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",LEN(Registro!$E400))),({1,2,3,4,5,6,7,8,9,10,11,12,13,14,15,16,17,18,19,20,21,22,23,24,25,26,27,28,29,30}-1)*LEN(Registro!$E400)+1,LEN(Registro!$E400))),FIND("x",TRIM(MID(SUBSTITUTE(SUBSTITUTE(SUBSTITUTE(SUBSTITUTE(SUBSTITUTE(LOWER(Registro!$E400),"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",LEN(Registro!$E400))),({1,2,3,4,5,6,7,8,9,10,11,12,13,14,15,16,17,18,19,20,21,22,23,24,25,26,27,28,29,30}-1)*LEN(Registro!$E400)+1,LEN(Registro!$E400)))&amp;"x")+1,20))),"Revisar formato")))</f>
        <v/>
      </c>
      <c r="F400" s="23" t="str">
        <f>IF(Registro!$F400="","",IF(ISERROR(FIND("x",LOWER(Registro!$F400))),"-",IFERROR(SUMPRODUCT(--("0"&amp;LEFT(TRIM(MID(SUBSTITUTE(SUBSTITUTE(SUBSTITUTE(SUBSTITUTE(SUBSTITUTE(LOWER(Registro!$F400)," ",""),CHAR(10),"|"),";","|"),"+","|"),"|",REPT(" ",LEN(Registro!$F400))),({1,2,3,4,5,6,7,8,9,10,11,12,13,14,15,16,17,18,19,20,21,22,23,24,25,26,27,28,29,30}-1)*LEN(Registro!$F400)+1,LEN(Registro!$F400))),FIND("x",TRIM(MID(SUBSTITUTE(SUBSTITUTE(SUBSTITUTE(SUBSTITUTE(SUBSTITUTE(LOWER(Registro!$F400)," ",""),CHAR(10),"|"),";","|"),"+","|"),"|",REPT(" ",LEN(Registro!$F400))),({1,2,3,4,5,6,7,8,9,10,11,12,13,14,15,16,17,18,19,20,21,22,23,24,25,26,27,28,29,30}-1)*LEN(Registro!$F400)+1,LEN(Registro!$F400)))&amp;"x")-1))),"Revisar formato")))</f>
        <v/>
      </c>
      <c r="G400" s="24" t="str">
        <f>IF(Registro!$F400="","",IF(ISERROR(FIND("x",LOWER(Registro!$F400))),N(Registro!$G400),IFERROR(SUMPRODUCT(--("0"&amp;LEFT(TRIM(MID(SUBSTITUTE(SUBSTITUTE(SUBSTITUTE(SUBSTITUTE(SUBSTITUTE(LOWER(Registro!$F400)," ",""),CHAR(10),"|"),";","|"),"+","|"),"|",REPT(" ",LEN(Registro!$F400))),({1,2,3,4,5,6,7,8,9,10,11,12,13,14,15,16,17,18,19,20,21,22,23,24,25,26,27,28,29,30}-1)*LEN(Registro!$F400)+1,LEN(Registro!$F400))),FIND("x",TRIM(MID(SUBSTITUTE(SUBSTITUTE(SUBSTITUTE(SUBSTITUTE(SUBSTITUTE(LOWER(Registro!$F400)," ",""),CHAR(10),"|"),";","|"),"+","|"),"|",REPT(" ",LEN(Registro!$F400))),({1,2,3,4,5,6,7,8,9,10,11,12,13,14,15,16,17,18,19,20,21,22,23,24,25,26,27,28,29,30}-1)*LEN(Registro!$F400)+1,LEN(Registro!$F400)))&amp;"x")-1)),--("0"&amp;MID(TRIM(MID(SUBSTITUTE(SUBSTITUTE(SUBSTITUTE(SUBSTITUTE(SUBSTITUTE(LOWER(Registro!$F400)," ",""),CHAR(10),"|"),";","|"),"+","|"),"|",REPT(" ",LEN(Registro!$F400))),({1,2,3,4,5,6,7,8,9,10,11,12,13,14,15,16,17,18,19,20,21,22,23,24,25,26,27,28,29,30}-1)*LEN(Registro!$F400)+1,LEN(Registro!$F400))),FIND("x",TRIM(MID(SUBSTITUTE(SUBSTITUTE(SUBSTITUTE(SUBSTITUTE(SUBSTITUTE(LOWER(Registro!$F400)," ",""),CHAR(10),"|"),";","|"),"+","|"),"|",REPT(" ",LEN(Registro!$F400))),({1,2,3,4,5,6,7,8,9,10,11,12,13,14,15,16,17,18,19,20,21,22,23,24,25,26,27,28,29,30}-1)*LEN(Registro!$F400)+1,LEN(Registro!$F400)))&amp;"x")+1,20))),"Revisar formato")))</f>
        <v/>
      </c>
      <c r="H400" s="21" t="str">
        <f>IF(AND(Registro!$E400="",Registro!$F400=""),"",IF(NOT(AND(ISNUMBER(G400),ISNUMBER(Registro!$G400))),"",IF(G400&lt;Registro!$G400,"FALTA BOLETOS",IF(G400=Registro!$G400,"CONFORME","DIFERENCIA"))))</f>
        <v/>
      </c>
      <c r="I400" s="24" t="str">
        <f>IF(Registro!$H400="","",IFERROR(SUMPRODUCT(--("0"&amp;TRIM(RIGHT(SUBSTITUTE(TRIM(MID(SUBSTITUTE(SUBSTITUTE(Registro!$H400,";",CHAR(10)),CHAR(10),REPT(" ",LEN(Registro!$H400))),({1,2,3,4,5,6,7,8,9,10,11,12,13,14,15,16,17,18,19,20,21,22,23,24,25,26,27,28,29,30}-1)*LEN(Registro!$H400)+1,LEN(Registro!$H400)))," ",REPT(" ",50)),50)))),"Revisar formato"))</f>
        <v/>
      </c>
      <c r="J400" s="24" t="str">
        <f>IF(Registro!$I400="","",IFERROR(SUMPRODUCT(--("0"&amp;TRIM(RIGHT(SUBSTITUTE(TRIM(MID(SUBSTITUTE(SUBSTITUTE(Registro!$I400,";",CHAR(10)),CHAR(10),REPT(" ",LEN(Registro!$I400))),({1,2,3,4,5,6,7,8,9,10,11,12,13,14,15,16,17,18,19,20,21,22,23,24,25,26,27,28,29,30}-1)*LEN(Registro!$I400)+1,LEN(Registro!$I400)))," ",REPT(" ",50)),50)))),"Revisar formato"))</f>
        <v/>
      </c>
      <c r="K400" s="24" t="str">
        <f>IF(AND(Registro!$G400="",Registro!$H400=""),"",IF(AND(ISTEXT(I400),I400&lt;&gt;""),"Revisar formato",N(Registro!$G400)-N(I400)))</f>
        <v/>
      </c>
      <c r="L400" s="24" t="str">
        <f t="shared" si="13"/>
        <v/>
      </c>
      <c r="M400" s="36" t="str">
        <f>IF(AND(A400=Consulta!$B$3,C400=Consulta!$H$3),B400*10000+ROW(),"")</f>
        <v/>
      </c>
    </row>
    <row r="401" spans="1:13" x14ac:dyDescent="0.25">
      <c r="A401" s="21" t="str">
        <f>IF(Registro!$A401="","",Registro!$A401)</f>
        <v/>
      </c>
      <c r="B401" s="20" t="str">
        <f>IF(Registro!$B401="","",Registro!$B401)</f>
        <v/>
      </c>
      <c r="C401" s="35" t="str">
        <f t="shared" si="12"/>
        <v/>
      </c>
      <c r="D401" s="23" t="str">
        <f>IF(Registro!$E401="","",IF(ISERROR(FIND("x",LOWER(Registro!$E401))),"-",IFERROR(SUMPRODUCT(--("0"&amp;LEFT(TRIM(MID(SUBSTITUTE(SUBSTITUTE(SUBSTITUTE(SUBSTITUTE(SUBSTITUTE(LOWER(Registro!$E401),"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",LEN(Registro!$E401))),({1,2,3,4,5,6,7,8,9,10,11,12,13,14,15,16,17,18,19,20,21,22,23,24,25,26,27,28,29,30}-1)*LEN(Registro!$E401)+1,LEN(Registro!$E401))),FIND("x",TRIM(MID(SUBSTITUTE(SUBSTITUTE(SUBSTITUTE(SUBSTITUTE(SUBSTITUTE(LOWER(Registro!$E401),"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",LEN(Registro!$E401))),({1,2,3,4,5,6,7,8,9,10,11,12,13,14,15,16,17,18,19,20,21,22,23,24,25,26,27,28,29,30}-1)*LEN(Registro!$E401)+1,LEN(Registro!$E401)))&amp;"x")-1))),"Revisar formato")))</f>
        <v/>
      </c>
      <c r="E401" s="24" t="str">
        <f>IF(Registro!$E401="","",IF(ISERROR(FIND("x",LOWER(Registro!$E401))),"-",IFERROR(SUMPRODUCT(--("0"&amp;LEFT(TRIM(MID(SUBSTITUTE(SUBSTITUTE(SUBSTITUTE(SUBSTITUTE(SUBSTITUTE(LOWER(Registro!$E401),"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",LEN(Registro!$E401))),({1,2,3,4,5,6,7,8,9,10,11,12,13,14,15,16,17,18,19,20,21,22,23,24,25,26,27,28,29,30}-1)*LEN(Registro!$E401)+1,LEN(Registro!$E401))),FIND("x",TRIM(MID(SUBSTITUTE(SUBSTITUTE(SUBSTITUTE(SUBSTITUTE(SUBSTITUTE(LOWER(Registro!$E401),"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",LEN(Registro!$E401))),({1,2,3,4,5,6,7,8,9,10,11,12,13,14,15,16,17,18,19,20,21,22,23,24,25,26,27,28,29,30}-1)*LEN(Registro!$E401)+1,LEN(Registro!$E401)))&amp;"x")-1)),--("0"&amp;MID(TRIM(MID(SUBSTITUTE(SUBSTITUTE(SUBSTITUTE(SUBSTITUTE(SUBSTITUTE(LOWER(Registro!$E401),"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",LEN(Registro!$E401))),({1,2,3,4,5,6,7,8,9,10,11,12,13,14,15,16,17,18,19,20,21,22,23,24,25,26,27,28,29,30}-1)*LEN(Registro!$E401)+1,LEN(Registro!$E401))),FIND("x",TRIM(MID(SUBSTITUTE(SUBSTITUTE(SUBSTITUTE(SUBSTITUTE(SUBSTITUTE(LOWER(Registro!$E401),"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",LEN(Registro!$E401))),({1,2,3,4,5,6,7,8,9,10,11,12,13,14,15,16,17,18,19,20,21,22,23,24,25,26,27,28,29,30}-1)*LEN(Registro!$E401)+1,LEN(Registro!$E401)))&amp;"x")+1,20))),"Revisar formato")))</f>
        <v/>
      </c>
      <c r="F401" s="23" t="str">
        <f>IF(Registro!$F401="","",IF(ISERROR(FIND("x",LOWER(Registro!$F401))),"-",IFERROR(SUMPRODUCT(--("0"&amp;LEFT(TRIM(MID(SUBSTITUTE(SUBSTITUTE(SUBSTITUTE(SUBSTITUTE(SUBSTITUTE(LOWER(Registro!$F401)," ",""),CHAR(10),"|"),";","|"),"+","|"),"|",REPT(" ",LEN(Registro!$F401))),({1,2,3,4,5,6,7,8,9,10,11,12,13,14,15,16,17,18,19,20,21,22,23,24,25,26,27,28,29,30}-1)*LEN(Registro!$F401)+1,LEN(Registro!$F401))),FIND("x",TRIM(MID(SUBSTITUTE(SUBSTITUTE(SUBSTITUTE(SUBSTITUTE(SUBSTITUTE(LOWER(Registro!$F401)," ",""),CHAR(10),"|"),";","|"),"+","|"),"|",REPT(" ",LEN(Registro!$F401))),({1,2,3,4,5,6,7,8,9,10,11,12,13,14,15,16,17,18,19,20,21,22,23,24,25,26,27,28,29,30}-1)*LEN(Registro!$F401)+1,LEN(Registro!$F401)))&amp;"x")-1))),"Revisar formato")))</f>
        <v/>
      </c>
      <c r="G401" s="24" t="str">
        <f>IF(Registro!$F401="","",IF(ISERROR(FIND("x",LOWER(Registro!$F401))),N(Registro!$G401),IFERROR(SUMPRODUCT(--("0"&amp;LEFT(TRIM(MID(SUBSTITUTE(SUBSTITUTE(SUBSTITUTE(SUBSTITUTE(SUBSTITUTE(LOWER(Registro!$F401)," ",""),CHAR(10),"|"),";","|"),"+","|"),"|",REPT(" ",LEN(Registro!$F401))),({1,2,3,4,5,6,7,8,9,10,11,12,13,14,15,16,17,18,19,20,21,22,23,24,25,26,27,28,29,30}-1)*LEN(Registro!$F401)+1,LEN(Registro!$F401))),FIND("x",TRIM(MID(SUBSTITUTE(SUBSTITUTE(SUBSTITUTE(SUBSTITUTE(SUBSTITUTE(LOWER(Registro!$F401)," ",""),CHAR(10),"|"),";","|"),"+","|"),"|",REPT(" ",LEN(Registro!$F401))),({1,2,3,4,5,6,7,8,9,10,11,12,13,14,15,16,17,18,19,20,21,22,23,24,25,26,27,28,29,30}-1)*LEN(Registro!$F401)+1,LEN(Registro!$F401)))&amp;"x")-1)),--("0"&amp;MID(TRIM(MID(SUBSTITUTE(SUBSTITUTE(SUBSTITUTE(SUBSTITUTE(SUBSTITUTE(LOWER(Registro!$F401)," ",""),CHAR(10),"|"),";","|"),"+","|"),"|",REPT(" ",LEN(Registro!$F401))),({1,2,3,4,5,6,7,8,9,10,11,12,13,14,15,16,17,18,19,20,21,22,23,24,25,26,27,28,29,30}-1)*LEN(Registro!$F401)+1,LEN(Registro!$F401))),FIND("x",TRIM(MID(SUBSTITUTE(SUBSTITUTE(SUBSTITUTE(SUBSTITUTE(SUBSTITUTE(LOWER(Registro!$F401)," ",""),CHAR(10),"|"),";","|"),"+","|"),"|",REPT(" ",LEN(Registro!$F401))),({1,2,3,4,5,6,7,8,9,10,11,12,13,14,15,16,17,18,19,20,21,22,23,24,25,26,27,28,29,30}-1)*LEN(Registro!$F401)+1,LEN(Registro!$F401)))&amp;"x")+1,20))),"Revisar formato")))</f>
        <v/>
      </c>
      <c r="H401" s="21" t="str">
        <f>IF(AND(Registro!$E401="",Registro!$F401=""),"",IF(NOT(AND(ISNUMBER(G401),ISNUMBER(Registro!$G401))),"",IF(G401&lt;Registro!$G401,"FALTA BOLETOS",IF(G401=Registro!$G401,"CONFORME","DIFERENCIA"))))</f>
        <v/>
      </c>
      <c r="I401" s="24" t="str">
        <f>IF(Registro!$H401="","",IFERROR(SUMPRODUCT(--("0"&amp;TRIM(RIGHT(SUBSTITUTE(TRIM(MID(SUBSTITUTE(SUBSTITUTE(Registro!$H401,";",CHAR(10)),CHAR(10),REPT(" ",LEN(Registro!$H401))),({1,2,3,4,5,6,7,8,9,10,11,12,13,14,15,16,17,18,19,20,21,22,23,24,25,26,27,28,29,30}-1)*LEN(Registro!$H401)+1,LEN(Registro!$H401)))," ",REPT(" ",50)),50)))),"Revisar formato"))</f>
        <v/>
      </c>
      <c r="J401" s="24" t="str">
        <f>IF(Registro!$I401="","",IFERROR(SUMPRODUCT(--("0"&amp;TRIM(RIGHT(SUBSTITUTE(TRIM(MID(SUBSTITUTE(SUBSTITUTE(Registro!$I401,";",CHAR(10)),CHAR(10),REPT(" ",LEN(Registro!$I401))),({1,2,3,4,5,6,7,8,9,10,11,12,13,14,15,16,17,18,19,20,21,22,23,24,25,26,27,28,29,30}-1)*LEN(Registro!$I401)+1,LEN(Registro!$I401)))," ",REPT(" ",50)),50)))),"Revisar formato"))</f>
        <v/>
      </c>
      <c r="K401" s="24" t="str">
        <f>IF(AND(Registro!$G401="",Registro!$H401=""),"",IF(AND(ISTEXT(I401),I401&lt;&gt;""),"Revisar formato",N(Registro!$G401)-N(I401)))</f>
        <v/>
      </c>
      <c r="L401" s="24" t="str">
        <f t="shared" si="13"/>
        <v/>
      </c>
      <c r="M401" s="36" t="str">
        <f>IF(AND(A401=Consulta!$B$3,C401=Consulta!$H$3),B401*10000+ROW(),"")</f>
        <v/>
      </c>
    </row>
    <row r="402" spans="1:13" x14ac:dyDescent="0.25">
      <c r="A402" s="21" t="str">
        <f>IF(Registro!$A402="","",Registro!$A402)</f>
        <v/>
      </c>
      <c r="B402" s="20" t="str">
        <f>IF(Registro!$B402="","",Registro!$B402)</f>
        <v/>
      </c>
      <c r="C402" s="35" t="str">
        <f t="shared" si="12"/>
        <v/>
      </c>
      <c r="D402" s="23" t="str">
        <f>IF(Registro!$E402="","",IF(ISERROR(FIND("x",LOWER(Registro!$E402))),"-",IFERROR(SUMPRODUCT(--("0"&amp;LEFT(TRIM(MID(SUBSTITUTE(SUBSTITUTE(SUBSTITUTE(SUBSTITUTE(SUBSTITUTE(LOWER(Registro!$E402),"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",LEN(Registro!$E402))),({1,2,3,4,5,6,7,8,9,10,11,12,13,14,15,16,17,18,19,20,21,22,23,24,25,26,27,28,29,30}-1)*LEN(Registro!$E402)+1,LEN(Registro!$E402))),FIND("x",TRIM(MID(SUBSTITUTE(SUBSTITUTE(SUBSTITUTE(SUBSTITUTE(SUBSTITUTE(LOWER(Registro!$E402),"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",LEN(Registro!$E402))),({1,2,3,4,5,6,7,8,9,10,11,12,13,14,15,16,17,18,19,20,21,22,23,24,25,26,27,28,29,30}-1)*LEN(Registro!$E402)+1,LEN(Registro!$E402)))&amp;"x")-1))),"Revisar formato")))</f>
        <v/>
      </c>
      <c r="E402" s="24" t="str">
        <f>IF(Registro!$E402="","",IF(ISERROR(FIND("x",LOWER(Registro!$E402))),"-",IFERROR(SUMPRODUCT(--("0"&amp;LEFT(TRIM(MID(SUBSTITUTE(SUBSTITUTE(SUBSTITUTE(SUBSTITUTE(SUBSTITUTE(LOWER(Registro!$E402),"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",LEN(Registro!$E402))),({1,2,3,4,5,6,7,8,9,10,11,12,13,14,15,16,17,18,19,20,21,22,23,24,25,26,27,28,29,30}-1)*LEN(Registro!$E402)+1,LEN(Registro!$E402))),FIND("x",TRIM(MID(SUBSTITUTE(SUBSTITUTE(SUBSTITUTE(SUBSTITUTE(SUBSTITUTE(LOWER(Registro!$E402),"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",LEN(Registro!$E402))),({1,2,3,4,5,6,7,8,9,10,11,12,13,14,15,16,17,18,19,20,21,22,23,24,25,26,27,28,29,30}-1)*LEN(Registro!$E402)+1,LEN(Registro!$E402)))&amp;"x")-1)),--("0"&amp;MID(TRIM(MID(SUBSTITUTE(SUBSTITUTE(SUBSTITUTE(SUBSTITUTE(SUBSTITUTE(LOWER(Registro!$E402),"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",LEN(Registro!$E402))),({1,2,3,4,5,6,7,8,9,10,11,12,13,14,15,16,17,18,19,20,21,22,23,24,25,26,27,28,29,30}-1)*LEN(Registro!$E402)+1,LEN(Registro!$E402))),FIND("x",TRIM(MID(SUBSTITUTE(SUBSTITUTE(SUBSTITUTE(SUBSTITUTE(SUBSTITUTE(LOWER(Registro!$E402),"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",LEN(Registro!$E402))),({1,2,3,4,5,6,7,8,9,10,11,12,13,14,15,16,17,18,19,20,21,22,23,24,25,26,27,28,29,30}-1)*LEN(Registro!$E402)+1,LEN(Registro!$E402)))&amp;"x")+1,20))),"Revisar formato")))</f>
        <v/>
      </c>
      <c r="F402" s="23" t="str">
        <f>IF(Registro!$F402="","",IF(ISERROR(FIND("x",LOWER(Registro!$F402))),"-",IFERROR(SUMPRODUCT(--("0"&amp;LEFT(TRIM(MID(SUBSTITUTE(SUBSTITUTE(SUBSTITUTE(SUBSTITUTE(SUBSTITUTE(LOWER(Registro!$F402)," ",""),CHAR(10),"|"),";","|"),"+","|"),"|",REPT(" ",LEN(Registro!$F402))),({1,2,3,4,5,6,7,8,9,10,11,12,13,14,15,16,17,18,19,20,21,22,23,24,25,26,27,28,29,30}-1)*LEN(Registro!$F402)+1,LEN(Registro!$F402))),FIND("x",TRIM(MID(SUBSTITUTE(SUBSTITUTE(SUBSTITUTE(SUBSTITUTE(SUBSTITUTE(LOWER(Registro!$F402)," ",""),CHAR(10),"|"),";","|"),"+","|"),"|",REPT(" ",LEN(Registro!$F402))),({1,2,3,4,5,6,7,8,9,10,11,12,13,14,15,16,17,18,19,20,21,22,23,24,25,26,27,28,29,30}-1)*LEN(Registro!$F402)+1,LEN(Registro!$F402)))&amp;"x")-1))),"Revisar formato")))</f>
        <v/>
      </c>
      <c r="G402" s="24" t="str">
        <f>IF(Registro!$F402="","",IF(ISERROR(FIND("x",LOWER(Registro!$F402))),N(Registro!$G402),IFERROR(SUMPRODUCT(--("0"&amp;LEFT(TRIM(MID(SUBSTITUTE(SUBSTITUTE(SUBSTITUTE(SUBSTITUTE(SUBSTITUTE(LOWER(Registro!$F402)," ",""),CHAR(10),"|"),";","|"),"+","|"),"|",REPT(" ",LEN(Registro!$F402))),({1,2,3,4,5,6,7,8,9,10,11,12,13,14,15,16,17,18,19,20,21,22,23,24,25,26,27,28,29,30}-1)*LEN(Registro!$F402)+1,LEN(Registro!$F402))),FIND("x",TRIM(MID(SUBSTITUTE(SUBSTITUTE(SUBSTITUTE(SUBSTITUTE(SUBSTITUTE(LOWER(Registro!$F402)," ",""),CHAR(10),"|"),";","|"),"+","|"),"|",REPT(" ",LEN(Registro!$F402))),({1,2,3,4,5,6,7,8,9,10,11,12,13,14,15,16,17,18,19,20,21,22,23,24,25,26,27,28,29,30}-1)*LEN(Registro!$F402)+1,LEN(Registro!$F402)))&amp;"x")-1)),--("0"&amp;MID(TRIM(MID(SUBSTITUTE(SUBSTITUTE(SUBSTITUTE(SUBSTITUTE(SUBSTITUTE(LOWER(Registro!$F402)," ",""),CHAR(10),"|"),";","|"),"+","|"),"|",REPT(" ",LEN(Registro!$F402))),({1,2,3,4,5,6,7,8,9,10,11,12,13,14,15,16,17,18,19,20,21,22,23,24,25,26,27,28,29,30}-1)*LEN(Registro!$F402)+1,LEN(Registro!$F402))),FIND("x",TRIM(MID(SUBSTITUTE(SUBSTITUTE(SUBSTITUTE(SUBSTITUTE(SUBSTITUTE(LOWER(Registro!$F402)," ",""),CHAR(10),"|"),";","|"),"+","|"),"|",REPT(" ",LEN(Registro!$F402))),({1,2,3,4,5,6,7,8,9,10,11,12,13,14,15,16,17,18,19,20,21,22,23,24,25,26,27,28,29,30}-1)*LEN(Registro!$F402)+1,LEN(Registro!$F402)))&amp;"x")+1,20))),"Revisar formato")))</f>
        <v/>
      </c>
      <c r="H402" s="21" t="str">
        <f>IF(AND(Registro!$E402="",Registro!$F402=""),"",IF(NOT(AND(ISNUMBER(G402),ISNUMBER(Registro!$G402))),"",IF(G402&lt;Registro!$G402,"FALTA BOLETOS",IF(G402=Registro!$G402,"CONFORME","DIFERENCIA"))))</f>
        <v/>
      </c>
      <c r="I402" s="24" t="str">
        <f>IF(Registro!$H402="","",IFERROR(SUMPRODUCT(--("0"&amp;TRIM(RIGHT(SUBSTITUTE(TRIM(MID(SUBSTITUTE(SUBSTITUTE(Registro!$H402,";",CHAR(10)),CHAR(10),REPT(" ",LEN(Registro!$H402))),({1,2,3,4,5,6,7,8,9,10,11,12,13,14,15,16,17,18,19,20,21,22,23,24,25,26,27,28,29,30}-1)*LEN(Registro!$H402)+1,LEN(Registro!$H402)))," ",REPT(" ",50)),50)))),"Revisar formato"))</f>
        <v/>
      </c>
      <c r="J402" s="24" t="str">
        <f>IF(Registro!$I402="","",IFERROR(SUMPRODUCT(--("0"&amp;TRIM(RIGHT(SUBSTITUTE(TRIM(MID(SUBSTITUTE(SUBSTITUTE(Registro!$I402,";",CHAR(10)),CHAR(10),REPT(" ",LEN(Registro!$I402))),({1,2,3,4,5,6,7,8,9,10,11,12,13,14,15,16,17,18,19,20,21,22,23,24,25,26,27,28,29,30}-1)*LEN(Registro!$I402)+1,LEN(Registro!$I402)))," ",REPT(" ",50)),50)))),"Revisar formato"))</f>
        <v/>
      </c>
      <c r="K402" s="24" t="str">
        <f>IF(AND(Registro!$G402="",Registro!$H402=""),"",IF(AND(ISTEXT(I402),I402&lt;&gt;""),"Revisar formato",N(Registro!$G402)-N(I402)))</f>
        <v/>
      </c>
      <c r="L402" s="24" t="str">
        <f t="shared" si="13"/>
        <v/>
      </c>
      <c r="M402" s="36" t="str">
        <f>IF(AND(A402=Consulta!$B$3,C402=Consulta!$H$3),B402*10000+ROW(),"")</f>
        <v/>
      </c>
    </row>
    <row r="403" spans="1:13" x14ac:dyDescent="0.25">
      <c r="A403" s="21" t="str">
        <f>IF(Registro!$A403="","",Registro!$A403)</f>
        <v/>
      </c>
      <c r="B403" s="20" t="str">
        <f>IF(Registro!$B403="","",Registro!$B403)</f>
        <v/>
      </c>
      <c r="C403" s="35" t="str">
        <f t="shared" si="12"/>
        <v/>
      </c>
      <c r="D403" s="23" t="str">
        <f>IF(Registro!$E403="","",IF(ISERROR(FIND("x",LOWER(Registro!$E403))),"-",IFERROR(SUMPRODUCT(--("0"&amp;LEFT(TRIM(MID(SUBSTITUTE(SUBSTITUTE(SUBSTITUTE(SUBSTITUTE(SUBSTITUTE(LOWER(Registro!$E403),"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",LEN(Registro!$E403))),({1,2,3,4,5,6,7,8,9,10,11,12,13,14,15,16,17,18,19,20,21,22,23,24,25,26,27,28,29,30}-1)*LEN(Registro!$E403)+1,LEN(Registro!$E403))),FIND("x",TRIM(MID(SUBSTITUTE(SUBSTITUTE(SUBSTITUTE(SUBSTITUTE(SUBSTITUTE(LOWER(Registro!$E403),"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",LEN(Registro!$E403))),({1,2,3,4,5,6,7,8,9,10,11,12,13,14,15,16,17,18,19,20,21,22,23,24,25,26,27,28,29,30}-1)*LEN(Registro!$E403)+1,LEN(Registro!$E403)))&amp;"x")-1))),"Revisar formato")))</f>
        <v/>
      </c>
      <c r="E403" s="24" t="str">
        <f>IF(Registro!$E403="","",IF(ISERROR(FIND("x",LOWER(Registro!$E403))),"-",IFERROR(SUMPRODUCT(--("0"&amp;LEFT(TRIM(MID(SUBSTITUTE(SUBSTITUTE(SUBSTITUTE(SUBSTITUTE(SUBSTITUTE(LOWER(Registro!$E403),"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",LEN(Registro!$E403))),({1,2,3,4,5,6,7,8,9,10,11,12,13,14,15,16,17,18,19,20,21,22,23,24,25,26,27,28,29,30}-1)*LEN(Registro!$E403)+1,LEN(Registro!$E403))),FIND("x",TRIM(MID(SUBSTITUTE(SUBSTITUTE(SUBSTITUTE(SUBSTITUTE(SUBSTITUTE(LOWER(Registro!$E403),"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",LEN(Registro!$E403))),({1,2,3,4,5,6,7,8,9,10,11,12,13,14,15,16,17,18,19,20,21,22,23,24,25,26,27,28,29,30}-1)*LEN(Registro!$E403)+1,LEN(Registro!$E403)))&amp;"x")-1)),--("0"&amp;MID(TRIM(MID(SUBSTITUTE(SUBSTITUTE(SUBSTITUTE(SUBSTITUTE(SUBSTITUTE(LOWER(Registro!$E403),"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",LEN(Registro!$E403))),({1,2,3,4,5,6,7,8,9,10,11,12,13,14,15,16,17,18,19,20,21,22,23,24,25,26,27,28,29,30}-1)*LEN(Registro!$E403)+1,LEN(Registro!$E403))),FIND("x",TRIM(MID(SUBSTITUTE(SUBSTITUTE(SUBSTITUTE(SUBSTITUTE(SUBSTITUTE(LOWER(Registro!$E403),"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",LEN(Registro!$E403))),({1,2,3,4,5,6,7,8,9,10,11,12,13,14,15,16,17,18,19,20,21,22,23,24,25,26,27,28,29,30}-1)*LEN(Registro!$E403)+1,LEN(Registro!$E403)))&amp;"x")+1,20))),"Revisar formato")))</f>
        <v/>
      </c>
      <c r="F403" s="23" t="str">
        <f>IF(Registro!$F403="","",IF(ISERROR(FIND("x",LOWER(Registro!$F403))),"-",IFERROR(SUMPRODUCT(--("0"&amp;LEFT(TRIM(MID(SUBSTITUTE(SUBSTITUTE(SUBSTITUTE(SUBSTITUTE(SUBSTITUTE(LOWER(Registro!$F403)," ",""),CHAR(10),"|"),";","|"),"+","|"),"|",REPT(" ",LEN(Registro!$F403))),({1,2,3,4,5,6,7,8,9,10,11,12,13,14,15,16,17,18,19,20,21,22,23,24,25,26,27,28,29,30}-1)*LEN(Registro!$F403)+1,LEN(Registro!$F403))),FIND("x",TRIM(MID(SUBSTITUTE(SUBSTITUTE(SUBSTITUTE(SUBSTITUTE(SUBSTITUTE(LOWER(Registro!$F403)," ",""),CHAR(10),"|"),";","|"),"+","|"),"|",REPT(" ",LEN(Registro!$F403))),({1,2,3,4,5,6,7,8,9,10,11,12,13,14,15,16,17,18,19,20,21,22,23,24,25,26,27,28,29,30}-1)*LEN(Registro!$F403)+1,LEN(Registro!$F403)))&amp;"x")-1))),"Revisar formato")))</f>
        <v/>
      </c>
      <c r="G403" s="24" t="str">
        <f>IF(Registro!$F403="","",IF(ISERROR(FIND("x",LOWER(Registro!$F403))),N(Registro!$G403),IFERROR(SUMPRODUCT(--("0"&amp;LEFT(TRIM(MID(SUBSTITUTE(SUBSTITUTE(SUBSTITUTE(SUBSTITUTE(SUBSTITUTE(LOWER(Registro!$F403)," ",""),CHAR(10),"|"),";","|"),"+","|"),"|",REPT(" ",LEN(Registro!$F403))),({1,2,3,4,5,6,7,8,9,10,11,12,13,14,15,16,17,18,19,20,21,22,23,24,25,26,27,28,29,30}-1)*LEN(Registro!$F403)+1,LEN(Registro!$F403))),FIND("x",TRIM(MID(SUBSTITUTE(SUBSTITUTE(SUBSTITUTE(SUBSTITUTE(SUBSTITUTE(LOWER(Registro!$F403)," ",""),CHAR(10),"|"),";","|"),"+","|"),"|",REPT(" ",LEN(Registro!$F403))),({1,2,3,4,5,6,7,8,9,10,11,12,13,14,15,16,17,18,19,20,21,22,23,24,25,26,27,28,29,30}-1)*LEN(Registro!$F403)+1,LEN(Registro!$F403)))&amp;"x")-1)),--("0"&amp;MID(TRIM(MID(SUBSTITUTE(SUBSTITUTE(SUBSTITUTE(SUBSTITUTE(SUBSTITUTE(LOWER(Registro!$F403)," ",""),CHAR(10),"|"),";","|"),"+","|"),"|",REPT(" ",LEN(Registro!$F403))),({1,2,3,4,5,6,7,8,9,10,11,12,13,14,15,16,17,18,19,20,21,22,23,24,25,26,27,28,29,30}-1)*LEN(Registro!$F403)+1,LEN(Registro!$F403))),FIND("x",TRIM(MID(SUBSTITUTE(SUBSTITUTE(SUBSTITUTE(SUBSTITUTE(SUBSTITUTE(LOWER(Registro!$F403)," ",""),CHAR(10),"|"),";","|"),"+","|"),"|",REPT(" ",LEN(Registro!$F403))),({1,2,3,4,5,6,7,8,9,10,11,12,13,14,15,16,17,18,19,20,21,22,23,24,25,26,27,28,29,30}-1)*LEN(Registro!$F403)+1,LEN(Registro!$F403)))&amp;"x")+1,20))),"Revisar formato")))</f>
        <v/>
      </c>
      <c r="H403" s="21" t="str">
        <f>IF(AND(Registro!$E403="",Registro!$F403=""),"",IF(NOT(AND(ISNUMBER(G403),ISNUMBER(Registro!$G403))),"",IF(G403&lt;Registro!$G403,"FALTA BOLETOS",IF(G403=Registro!$G403,"CONFORME","DIFERENCIA"))))</f>
        <v/>
      </c>
      <c r="I403" s="24" t="str">
        <f>IF(Registro!$H403="","",IFERROR(SUMPRODUCT(--("0"&amp;TRIM(RIGHT(SUBSTITUTE(TRIM(MID(SUBSTITUTE(SUBSTITUTE(Registro!$H403,";",CHAR(10)),CHAR(10),REPT(" ",LEN(Registro!$H403))),({1,2,3,4,5,6,7,8,9,10,11,12,13,14,15,16,17,18,19,20,21,22,23,24,25,26,27,28,29,30}-1)*LEN(Registro!$H403)+1,LEN(Registro!$H403)))," ",REPT(" ",50)),50)))),"Revisar formato"))</f>
        <v/>
      </c>
      <c r="J403" s="24" t="str">
        <f>IF(Registro!$I403="","",IFERROR(SUMPRODUCT(--("0"&amp;TRIM(RIGHT(SUBSTITUTE(TRIM(MID(SUBSTITUTE(SUBSTITUTE(Registro!$I403,";",CHAR(10)),CHAR(10),REPT(" ",LEN(Registro!$I403))),({1,2,3,4,5,6,7,8,9,10,11,12,13,14,15,16,17,18,19,20,21,22,23,24,25,26,27,28,29,30}-1)*LEN(Registro!$I403)+1,LEN(Registro!$I403)))," ",REPT(" ",50)),50)))),"Revisar formato"))</f>
        <v/>
      </c>
      <c r="K403" s="24" t="str">
        <f>IF(AND(Registro!$G403="",Registro!$H403=""),"",IF(AND(ISTEXT(I403),I403&lt;&gt;""),"Revisar formato",N(Registro!$G403)-N(I403)))</f>
        <v/>
      </c>
      <c r="L403" s="24" t="str">
        <f t="shared" si="13"/>
        <v/>
      </c>
      <c r="M403" s="36" t="str">
        <f>IF(AND(A403=Consulta!$B$3,C403=Consulta!$H$3),B403*10000+ROW(),"")</f>
        <v/>
      </c>
    </row>
    <row r="404" spans="1:13" x14ac:dyDescent="0.25">
      <c r="A404" s="21" t="str">
        <f>IF(Registro!$A404="","",Registro!$A404)</f>
        <v/>
      </c>
      <c r="B404" s="20" t="str">
        <f>IF(Registro!$B404="","",Registro!$B404)</f>
        <v/>
      </c>
      <c r="C404" s="35" t="str">
        <f t="shared" si="12"/>
        <v/>
      </c>
      <c r="D404" s="23" t="str">
        <f>IF(Registro!$E404="","",IF(ISERROR(FIND("x",LOWER(Registro!$E404))),"-",IFERROR(SUMPRODUCT(--("0"&amp;LEFT(TRIM(MID(SUBSTITUTE(SUBSTITUTE(SUBSTITUTE(SUBSTITUTE(SUBSTITUTE(LOWER(Registro!$E404),"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",LEN(Registro!$E404))),({1,2,3,4,5,6,7,8,9,10,11,12,13,14,15,16,17,18,19,20,21,22,23,24,25,26,27,28,29,30}-1)*LEN(Registro!$E404)+1,LEN(Registro!$E404))),FIND("x",TRIM(MID(SUBSTITUTE(SUBSTITUTE(SUBSTITUTE(SUBSTITUTE(SUBSTITUTE(LOWER(Registro!$E404),"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",LEN(Registro!$E404))),({1,2,3,4,5,6,7,8,9,10,11,12,13,14,15,16,17,18,19,20,21,22,23,24,25,26,27,28,29,30}-1)*LEN(Registro!$E404)+1,LEN(Registro!$E404)))&amp;"x")-1))),"Revisar formato")))</f>
        <v/>
      </c>
      <c r="E404" s="24" t="str">
        <f>IF(Registro!$E404="","",IF(ISERROR(FIND("x",LOWER(Registro!$E404))),"-",IFERROR(SUMPRODUCT(--("0"&amp;LEFT(TRIM(MID(SUBSTITUTE(SUBSTITUTE(SUBSTITUTE(SUBSTITUTE(SUBSTITUTE(LOWER(Registro!$E404),"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",LEN(Registro!$E404))),({1,2,3,4,5,6,7,8,9,10,11,12,13,14,15,16,17,18,19,20,21,22,23,24,25,26,27,28,29,30}-1)*LEN(Registro!$E404)+1,LEN(Registro!$E404))),FIND("x",TRIM(MID(SUBSTITUTE(SUBSTITUTE(SUBSTITUTE(SUBSTITUTE(SUBSTITUTE(LOWER(Registro!$E404),"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",LEN(Registro!$E404))),({1,2,3,4,5,6,7,8,9,10,11,12,13,14,15,16,17,18,19,20,21,22,23,24,25,26,27,28,29,30}-1)*LEN(Registro!$E404)+1,LEN(Registro!$E404)))&amp;"x")-1)),--("0"&amp;MID(TRIM(MID(SUBSTITUTE(SUBSTITUTE(SUBSTITUTE(SUBSTITUTE(SUBSTITUTE(LOWER(Registro!$E404),"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",LEN(Registro!$E404))),({1,2,3,4,5,6,7,8,9,10,11,12,13,14,15,16,17,18,19,20,21,22,23,24,25,26,27,28,29,30}-1)*LEN(Registro!$E404)+1,LEN(Registro!$E404))),FIND("x",TRIM(MID(SUBSTITUTE(SUBSTITUTE(SUBSTITUTE(SUBSTITUTE(SUBSTITUTE(LOWER(Registro!$E404),"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",LEN(Registro!$E404))),({1,2,3,4,5,6,7,8,9,10,11,12,13,14,15,16,17,18,19,20,21,22,23,24,25,26,27,28,29,30}-1)*LEN(Registro!$E404)+1,LEN(Registro!$E404)))&amp;"x")+1,20))),"Revisar formato")))</f>
        <v/>
      </c>
      <c r="F404" s="23" t="str">
        <f>IF(Registro!$F404="","",IF(ISERROR(FIND("x",LOWER(Registro!$F404))),"-",IFERROR(SUMPRODUCT(--("0"&amp;LEFT(TRIM(MID(SUBSTITUTE(SUBSTITUTE(SUBSTITUTE(SUBSTITUTE(SUBSTITUTE(LOWER(Registro!$F404)," ",""),CHAR(10),"|"),";","|"),"+","|"),"|",REPT(" ",LEN(Registro!$F404))),({1,2,3,4,5,6,7,8,9,10,11,12,13,14,15,16,17,18,19,20,21,22,23,24,25,26,27,28,29,30}-1)*LEN(Registro!$F404)+1,LEN(Registro!$F404))),FIND("x",TRIM(MID(SUBSTITUTE(SUBSTITUTE(SUBSTITUTE(SUBSTITUTE(SUBSTITUTE(LOWER(Registro!$F404)," ",""),CHAR(10),"|"),";","|"),"+","|"),"|",REPT(" ",LEN(Registro!$F404))),({1,2,3,4,5,6,7,8,9,10,11,12,13,14,15,16,17,18,19,20,21,22,23,24,25,26,27,28,29,30}-1)*LEN(Registro!$F404)+1,LEN(Registro!$F404)))&amp;"x")-1))),"Revisar formato")))</f>
        <v/>
      </c>
      <c r="G404" s="24" t="str">
        <f>IF(Registro!$F404="","",IF(ISERROR(FIND("x",LOWER(Registro!$F404))),N(Registro!$G404),IFERROR(SUMPRODUCT(--("0"&amp;LEFT(TRIM(MID(SUBSTITUTE(SUBSTITUTE(SUBSTITUTE(SUBSTITUTE(SUBSTITUTE(LOWER(Registro!$F404)," ",""),CHAR(10),"|"),";","|"),"+","|"),"|",REPT(" ",LEN(Registro!$F404))),({1,2,3,4,5,6,7,8,9,10,11,12,13,14,15,16,17,18,19,20,21,22,23,24,25,26,27,28,29,30}-1)*LEN(Registro!$F404)+1,LEN(Registro!$F404))),FIND("x",TRIM(MID(SUBSTITUTE(SUBSTITUTE(SUBSTITUTE(SUBSTITUTE(SUBSTITUTE(LOWER(Registro!$F404)," ",""),CHAR(10),"|"),";","|"),"+","|"),"|",REPT(" ",LEN(Registro!$F404))),({1,2,3,4,5,6,7,8,9,10,11,12,13,14,15,16,17,18,19,20,21,22,23,24,25,26,27,28,29,30}-1)*LEN(Registro!$F404)+1,LEN(Registro!$F404)))&amp;"x")-1)),--("0"&amp;MID(TRIM(MID(SUBSTITUTE(SUBSTITUTE(SUBSTITUTE(SUBSTITUTE(SUBSTITUTE(LOWER(Registro!$F404)," ",""),CHAR(10),"|"),";","|"),"+","|"),"|",REPT(" ",LEN(Registro!$F404))),({1,2,3,4,5,6,7,8,9,10,11,12,13,14,15,16,17,18,19,20,21,22,23,24,25,26,27,28,29,30}-1)*LEN(Registro!$F404)+1,LEN(Registro!$F404))),FIND("x",TRIM(MID(SUBSTITUTE(SUBSTITUTE(SUBSTITUTE(SUBSTITUTE(SUBSTITUTE(LOWER(Registro!$F404)," ",""),CHAR(10),"|"),";","|"),"+","|"),"|",REPT(" ",LEN(Registro!$F404))),({1,2,3,4,5,6,7,8,9,10,11,12,13,14,15,16,17,18,19,20,21,22,23,24,25,26,27,28,29,30}-1)*LEN(Registro!$F404)+1,LEN(Registro!$F404)))&amp;"x")+1,20))),"Revisar formato")))</f>
        <v/>
      </c>
      <c r="H404" s="21" t="str">
        <f>IF(AND(Registro!$E404="",Registro!$F404=""),"",IF(NOT(AND(ISNUMBER(G404),ISNUMBER(Registro!$G404))),"",IF(G404&lt;Registro!$G404,"FALTA BOLETOS",IF(G404=Registro!$G404,"CONFORME","DIFERENCIA"))))</f>
        <v/>
      </c>
      <c r="I404" s="24" t="str">
        <f>IF(Registro!$H404="","",IFERROR(SUMPRODUCT(--("0"&amp;TRIM(RIGHT(SUBSTITUTE(TRIM(MID(SUBSTITUTE(SUBSTITUTE(Registro!$H404,";",CHAR(10)),CHAR(10),REPT(" ",LEN(Registro!$H404))),({1,2,3,4,5,6,7,8,9,10,11,12,13,14,15,16,17,18,19,20,21,22,23,24,25,26,27,28,29,30}-1)*LEN(Registro!$H404)+1,LEN(Registro!$H404)))," ",REPT(" ",50)),50)))),"Revisar formato"))</f>
        <v/>
      </c>
      <c r="J404" s="24" t="str">
        <f>IF(Registro!$I404="","",IFERROR(SUMPRODUCT(--("0"&amp;TRIM(RIGHT(SUBSTITUTE(TRIM(MID(SUBSTITUTE(SUBSTITUTE(Registro!$I404,";",CHAR(10)),CHAR(10),REPT(" ",LEN(Registro!$I404))),({1,2,3,4,5,6,7,8,9,10,11,12,13,14,15,16,17,18,19,20,21,22,23,24,25,26,27,28,29,30}-1)*LEN(Registro!$I404)+1,LEN(Registro!$I404)))," ",REPT(" ",50)),50)))),"Revisar formato"))</f>
        <v/>
      </c>
      <c r="K404" s="24" t="str">
        <f>IF(AND(Registro!$G404="",Registro!$H404=""),"",IF(AND(ISTEXT(I404),I404&lt;&gt;""),"Revisar formato",N(Registro!$G404)-N(I404)))</f>
        <v/>
      </c>
      <c r="L404" s="24" t="str">
        <f t="shared" si="13"/>
        <v/>
      </c>
      <c r="M404" s="36" t="str">
        <f>IF(AND(A404=Consulta!$B$3,C404=Consulta!$H$3),B404*10000+ROW(),"")</f>
        <v/>
      </c>
    </row>
    <row r="405" spans="1:13" x14ac:dyDescent="0.25">
      <c r="A405" s="21" t="str">
        <f>IF(Registro!$A405="","",Registro!$A405)</f>
        <v/>
      </c>
      <c r="B405" s="20" t="str">
        <f>IF(Registro!$B405="","",Registro!$B405)</f>
        <v/>
      </c>
      <c r="C405" s="35" t="str">
        <f t="shared" si="12"/>
        <v/>
      </c>
      <c r="D405" s="23" t="str">
        <f>IF(Registro!$E405="","",IF(ISERROR(FIND("x",LOWER(Registro!$E405))),"-",IFERROR(SUMPRODUCT(--("0"&amp;LEFT(TRIM(MID(SUBSTITUTE(SUBSTITUTE(SUBSTITUTE(SUBSTITUTE(SUBSTITUTE(LOWER(Registro!$E405),"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",LEN(Registro!$E405))),({1,2,3,4,5,6,7,8,9,10,11,12,13,14,15,16,17,18,19,20,21,22,23,24,25,26,27,28,29,30}-1)*LEN(Registro!$E405)+1,LEN(Registro!$E405))),FIND("x",TRIM(MID(SUBSTITUTE(SUBSTITUTE(SUBSTITUTE(SUBSTITUTE(SUBSTITUTE(LOWER(Registro!$E405),"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",LEN(Registro!$E405))),({1,2,3,4,5,6,7,8,9,10,11,12,13,14,15,16,17,18,19,20,21,22,23,24,25,26,27,28,29,30}-1)*LEN(Registro!$E405)+1,LEN(Registro!$E405)))&amp;"x")-1))),"Revisar formato")))</f>
        <v/>
      </c>
      <c r="E405" s="24" t="str">
        <f>IF(Registro!$E405="","",IF(ISERROR(FIND("x",LOWER(Registro!$E405))),"-",IFERROR(SUMPRODUCT(--("0"&amp;LEFT(TRIM(MID(SUBSTITUTE(SUBSTITUTE(SUBSTITUTE(SUBSTITUTE(SUBSTITUTE(LOWER(Registro!$E405),"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",LEN(Registro!$E405))),({1,2,3,4,5,6,7,8,9,10,11,12,13,14,15,16,17,18,19,20,21,22,23,24,25,26,27,28,29,30}-1)*LEN(Registro!$E405)+1,LEN(Registro!$E405))),FIND("x",TRIM(MID(SUBSTITUTE(SUBSTITUTE(SUBSTITUTE(SUBSTITUTE(SUBSTITUTE(LOWER(Registro!$E405),"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",LEN(Registro!$E405))),({1,2,3,4,5,6,7,8,9,10,11,12,13,14,15,16,17,18,19,20,21,22,23,24,25,26,27,28,29,30}-1)*LEN(Registro!$E405)+1,LEN(Registro!$E405)))&amp;"x")-1)),--("0"&amp;MID(TRIM(MID(SUBSTITUTE(SUBSTITUTE(SUBSTITUTE(SUBSTITUTE(SUBSTITUTE(LOWER(Registro!$E405),"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",LEN(Registro!$E405))),({1,2,3,4,5,6,7,8,9,10,11,12,13,14,15,16,17,18,19,20,21,22,23,24,25,26,27,28,29,30}-1)*LEN(Registro!$E405)+1,LEN(Registro!$E405))),FIND("x",TRIM(MID(SUBSTITUTE(SUBSTITUTE(SUBSTITUTE(SUBSTITUTE(SUBSTITUTE(LOWER(Registro!$E405),"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",LEN(Registro!$E405))),({1,2,3,4,5,6,7,8,9,10,11,12,13,14,15,16,17,18,19,20,21,22,23,24,25,26,27,28,29,30}-1)*LEN(Registro!$E405)+1,LEN(Registro!$E405)))&amp;"x")+1,20))),"Revisar formato")))</f>
        <v/>
      </c>
      <c r="F405" s="23" t="str">
        <f>IF(Registro!$F405="","",IF(ISERROR(FIND("x",LOWER(Registro!$F405))),"-",IFERROR(SUMPRODUCT(--("0"&amp;LEFT(TRIM(MID(SUBSTITUTE(SUBSTITUTE(SUBSTITUTE(SUBSTITUTE(SUBSTITUTE(LOWER(Registro!$F405)," ",""),CHAR(10),"|"),";","|"),"+","|"),"|",REPT(" ",LEN(Registro!$F405))),({1,2,3,4,5,6,7,8,9,10,11,12,13,14,15,16,17,18,19,20,21,22,23,24,25,26,27,28,29,30}-1)*LEN(Registro!$F405)+1,LEN(Registro!$F405))),FIND("x",TRIM(MID(SUBSTITUTE(SUBSTITUTE(SUBSTITUTE(SUBSTITUTE(SUBSTITUTE(LOWER(Registro!$F405)," ",""),CHAR(10),"|"),";","|"),"+","|"),"|",REPT(" ",LEN(Registro!$F405))),({1,2,3,4,5,6,7,8,9,10,11,12,13,14,15,16,17,18,19,20,21,22,23,24,25,26,27,28,29,30}-1)*LEN(Registro!$F405)+1,LEN(Registro!$F405)))&amp;"x")-1))),"Revisar formato")))</f>
        <v/>
      </c>
      <c r="G405" s="24" t="str">
        <f>IF(Registro!$F405="","",IF(ISERROR(FIND("x",LOWER(Registro!$F405))),N(Registro!$G405),IFERROR(SUMPRODUCT(--("0"&amp;LEFT(TRIM(MID(SUBSTITUTE(SUBSTITUTE(SUBSTITUTE(SUBSTITUTE(SUBSTITUTE(LOWER(Registro!$F405)," ",""),CHAR(10),"|"),";","|"),"+","|"),"|",REPT(" ",LEN(Registro!$F405))),({1,2,3,4,5,6,7,8,9,10,11,12,13,14,15,16,17,18,19,20,21,22,23,24,25,26,27,28,29,30}-1)*LEN(Registro!$F405)+1,LEN(Registro!$F405))),FIND("x",TRIM(MID(SUBSTITUTE(SUBSTITUTE(SUBSTITUTE(SUBSTITUTE(SUBSTITUTE(LOWER(Registro!$F405)," ",""),CHAR(10),"|"),";","|"),"+","|"),"|",REPT(" ",LEN(Registro!$F405))),({1,2,3,4,5,6,7,8,9,10,11,12,13,14,15,16,17,18,19,20,21,22,23,24,25,26,27,28,29,30}-1)*LEN(Registro!$F405)+1,LEN(Registro!$F405)))&amp;"x")-1)),--("0"&amp;MID(TRIM(MID(SUBSTITUTE(SUBSTITUTE(SUBSTITUTE(SUBSTITUTE(SUBSTITUTE(LOWER(Registro!$F405)," ",""),CHAR(10),"|"),";","|"),"+","|"),"|",REPT(" ",LEN(Registro!$F405))),({1,2,3,4,5,6,7,8,9,10,11,12,13,14,15,16,17,18,19,20,21,22,23,24,25,26,27,28,29,30}-1)*LEN(Registro!$F405)+1,LEN(Registro!$F405))),FIND("x",TRIM(MID(SUBSTITUTE(SUBSTITUTE(SUBSTITUTE(SUBSTITUTE(SUBSTITUTE(LOWER(Registro!$F405)," ",""),CHAR(10),"|"),";","|"),"+","|"),"|",REPT(" ",LEN(Registro!$F405))),({1,2,3,4,5,6,7,8,9,10,11,12,13,14,15,16,17,18,19,20,21,22,23,24,25,26,27,28,29,30}-1)*LEN(Registro!$F405)+1,LEN(Registro!$F405)))&amp;"x")+1,20))),"Revisar formato")))</f>
        <v/>
      </c>
      <c r="H405" s="21" t="str">
        <f>IF(AND(Registro!$E405="",Registro!$F405=""),"",IF(NOT(AND(ISNUMBER(G405),ISNUMBER(Registro!$G405))),"",IF(G405&lt;Registro!$G405,"FALTA BOLETOS",IF(G405=Registro!$G405,"CONFORME","DIFERENCIA"))))</f>
        <v/>
      </c>
      <c r="I405" s="24" t="str">
        <f>IF(Registro!$H405="","",IFERROR(SUMPRODUCT(--("0"&amp;TRIM(RIGHT(SUBSTITUTE(TRIM(MID(SUBSTITUTE(SUBSTITUTE(Registro!$H405,";",CHAR(10)),CHAR(10),REPT(" ",LEN(Registro!$H405))),({1,2,3,4,5,6,7,8,9,10,11,12,13,14,15,16,17,18,19,20,21,22,23,24,25,26,27,28,29,30}-1)*LEN(Registro!$H405)+1,LEN(Registro!$H405)))," ",REPT(" ",50)),50)))),"Revisar formato"))</f>
        <v/>
      </c>
      <c r="J405" s="24" t="str">
        <f>IF(Registro!$I405="","",IFERROR(SUMPRODUCT(--("0"&amp;TRIM(RIGHT(SUBSTITUTE(TRIM(MID(SUBSTITUTE(SUBSTITUTE(Registro!$I405,";",CHAR(10)),CHAR(10),REPT(" ",LEN(Registro!$I405))),({1,2,3,4,5,6,7,8,9,10,11,12,13,14,15,16,17,18,19,20,21,22,23,24,25,26,27,28,29,30}-1)*LEN(Registro!$I405)+1,LEN(Registro!$I405)))," ",REPT(" ",50)),50)))),"Revisar formato"))</f>
        <v/>
      </c>
      <c r="K405" s="24" t="str">
        <f>IF(AND(Registro!$G405="",Registro!$H405=""),"",IF(AND(ISTEXT(I405),I405&lt;&gt;""),"Revisar formato",N(Registro!$G405)-N(I405)))</f>
        <v/>
      </c>
      <c r="L405" s="24" t="str">
        <f t="shared" si="13"/>
        <v/>
      </c>
      <c r="M405" s="36" t="str">
        <f>IF(AND(A405=Consulta!$B$3,C405=Consulta!$H$3),B405*10000+ROW(),"")</f>
        <v/>
      </c>
    </row>
    <row r="406" spans="1:13" x14ac:dyDescent="0.25">
      <c r="A406" s="21" t="str">
        <f>IF(Registro!$A406="","",Registro!$A406)</f>
        <v/>
      </c>
      <c r="B406" s="20" t="str">
        <f>IF(Registro!$B406="","",Registro!$B406)</f>
        <v/>
      </c>
      <c r="C406" s="35" t="str">
        <f t="shared" si="12"/>
        <v/>
      </c>
      <c r="D406" s="23" t="str">
        <f>IF(Registro!$E406="","",IF(ISERROR(FIND("x",LOWER(Registro!$E406))),"-",IFERROR(SUMPRODUCT(--("0"&amp;LEFT(TRIM(MID(SUBSTITUTE(SUBSTITUTE(SUBSTITUTE(SUBSTITUTE(SUBSTITUTE(LOWER(Registro!$E406),"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",LEN(Registro!$E406))),({1,2,3,4,5,6,7,8,9,10,11,12,13,14,15,16,17,18,19,20,21,22,23,24,25,26,27,28,29,30}-1)*LEN(Registro!$E406)+1,LEN(Registro!$E406))),FIND("x",TRIM(MID(SUBSTITUTE(SUBSTITUTE(SUBSTITUTE(SUBSTITUTE(SUBSTITUTE(LOWER(Registro!$E406),"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",LEN(Registro!$E406))),({1,2,3,4,5,6,7,8,9,10,11,12,13,14,15,16,17,18,19,20,21,22,23,24,25,26,27,28,29,30}-1)*LEN(Registro!$E406)+1,LEN(Registro!$E406)))&amp;"x")-1))),"Revisar formato")))</f>
        <v/>
      </c>
      <c r="E406" s="24" t="str">
        <f>IF(Registro!$E406="","",IF(ISERROR(FIND("x",LOWER(Registro!$E406))),"-",IFERROR(SUMPRODUCT(--("0"&amp;LEFT(TRIM(MID(SUBSTITUTE(SUBSTITUTE(SUBSTITUTE(SUBSTITUTE(SUBSTITUTE(LOWER(Registro!$E406),"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",LEN(Registro!$E406))),({1,2,3,4,5,6,7,8,9,10,11,12,13,14,15,16,17,18,19,20,21,22,23,24,25,26,27,28,29,30}-1)*LEN(Registro!$E406)+1,LEN(Registro!$E406))),FIND("x",TRIM(MID(SUBSTITUTE(SUBSTITUTE(SUBSTITUTE(SUBSTITUTE(SUBSTITUTE(LOWER(Registro!$E406),"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",LEN(Registro!$E406))),({1,2,3,4,5,6,7,8,9,10,11,12,13,14,15,16,17,18,19,20,21,22,23,24,25,26,27,28,29,30}-1)*LEN(Registro!$E406)+1,LEN(Registro!$E406)))&amp;"x")-1)),--("0"&amp;MID(TRIM(MID(SUBSTITUTE(SUBSTITUTE(SUBSTITUTE(SUBSTITUTE(SUBSTITUTE(LOWER(Registro!$E406),"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",LEN(Registro!$E406))),({1,2,3,4,5,6,7,8,9,10,11,12,13,14,15,16,17,18,19,20,21,22,23,24,25,26,27,28,29,30}-1)*LEN(Registro!$E406)+1,LEN(Registro!$E406))),FIND("x",TRIM(MID(SUBSTITUTE(SUBSTITUTE(SUBSTITUTE(SUBSTITUTE(SUBSTITUTE(LOWER(Registro!$E406),"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",LEN(Registro!$E406))),({1,2,3,4,5,6,7,8,9,10,11,12,13,14,15,16,17,18,19,20,21,22,23,24,25,26,27,28,29,30}-1)*LEN(Registro!$E406)+1,LEN(Registro!$E406)))&amp;"x")+1,20))),"Revisar formato")))</f>
        <v/>
      </c>
      <c r="F406" s="23" t="str">
        <f>IF(Registro!$F406="","",IF(ISERROR(FIND("x",LOWER(Registro!$F406))),"-",IFERROR(SUMPRODUCT(--("0"&amp;LEFT(TRIM(MID(SUBSTITUTE(SUBSTITUTE(SUBSTITUTE(SUBSTITUTE(SUBSTITUTE(LOWER(Registro!$F406)," ",""),CHAR(10),"|"),";","|"),"+","|"),"|",REPT(" ",LEN(Registro!$F406))),({1,2,3,4,5,6,7,8,9,10,11,12,13,14,15,16,17,18,19,20,21,22,23,24,25,26,27,28,29,30}-1)*LEN(Registro!$F406)+1,LEN(Registro!$F406))),FIND("x",TRIM(MID(SUBSTITUTE(SUBSTITUTE(SUBSTITUTE(SUBSTITUTE(SUBSTITUTE(LOWER(Registro!$F406)," ",""),CHAR(10),"|"),";","|"),"+","|"),"|",REPT(" ",LEN(Registro!$F406))),({1,2,3,4,5,6,7,8,9,10,11,12,13,14,15,16,17,18,19,20,21,22,23,24,25,26,27,28,29,30}-1)*LEN(Registro!$F406)+1,LEN(Registro!$F406)))&amp;"x")-1))),"Revisar formato")))</f>
        <v/>
      </c>
      <c r="G406" s="24" t="str">
        <f>IF(Registro!$F406="","",IF(ISERROR(FIND("x",LOWER(Registro!$F406))),N(Registro!$G406),IFERROR(SUMPRODUCT(--("0"&amp;LEFT(TRIM(MID(SUBSTITUTE(SUBSTITUTE(SUBSTITUTE(SUBSTITUTE(SUBSTITUTE(LOWER(Registro!$F406)," ",""),CHAR(10),"|"),";","|"),"+","|"),"|",REPT(" ",LEN(Registro!$F406))),({1,2,3,4,5,6,7,8,9,10,11,12,13,14,15,16,17,18,19,20,21,22,23,24,25,26,27,28,29,30}-1)*LEN(Registro!$F406)+1,LEN(Registro!$F406))),FIND("x",TRIM(MID(SUBSTITUTE(SUBSTITUTE(SUBSTITUTE(SUBSTITUTE(SUBSTITUTE(LOWER(Registro!$F406)," ",""),CHAR(10),"|"),";","|"),"+","|"),"|",REPT(" ",LEN(Registro!$F406))),({1,2,3,4,5,6,7,8,9,10,11,12,13,14,15,16,17,18,19,20,21,22,23,24,25,26,27,28,29,30}-1)*LEN(Registro!$F406)+1,LEN(Registro!$F406)))&amp;"x")-1)),--("0"&amp;MID(TRIM(MID(SUBSTITUTE(SUBSTITUTE(SUBSTITUTE(SUBSTITUTE(SUBSTITUTE(LOWER(Registro!$F406)," ",""),CHAR(10),"|"),";","|"),"+","|"),"|",REPT(" ",LEN(Registro!$F406))),({1,2,3,4,5,6,7,8,9,10,11,12,13,14,15,16,17,18,19,20,21,22,23,24,25,26,27,28,29,30}-1)*LEN(Registro!$F406)+1,LEN(Registro!$F406))),FIND("x",TRIM(MID(SUBSTITUTE(SUBSTITUTE(SUBSTITUTE(SUBSTITUTE(SUBSTITUTE(LOWER(Registro!$F406)," ",""),CHAR(10),"|"),";","|"),"+","|"),"|",REPT(" ",LEN(Registro!$F406))),({1,2,3,4,5,6,7,8,9,10,11,12,13,14,15,16,17,18,19,20,21,22,23,24,25,26,27,28,29,30}-1)*LEN(Registro!$F406)+1,LEN(Registro!$F406)))&amp;"x")+1,20))),"Revisar formato")))</f>
        <v/>
      </c>
      <c r="H406" s="21" t="str">
        <f>IF(AND(Registro!$E406="",Registro!$F406=""),"",IF(NOT(AND(ISNUMBER(G406),ISNUMBER(Registro!$G406))),"",IF(G406&lt;Registro!$G406,"FALTA BOLETOS",IF(G406=Registro!$G406,"CONFORME","DIFERENCIA"))))</f>
        <v/>
      </c>
      <c r="I406" s="24" t="str">
        <f>IF(Registro!$H406="","",IFERROR(SUMPRODUCT(--("0"&amp;TRIM(RIGHT(SUBSTITUTE(TRIM(MID(SUBSTITUTE(SUBSTITUTE(Registro!$H406,";",CHAR(10)),CHAR(10),REPT(" ",LEN(Registro!$H406))),({1,2,3,4,5,6,7,8,9,10,11,12,13,14,15,16,17,18,19,20,21,22,23,24,25,26,27,28,29,30}-1)*LEN(Registro!$H406)+1,LEN(Registro!$H406)))," ",REPT(" ",50)),50)))),"Revisar formato"))</f>
        <v/>
      </c>
      <c r="J406" s="24" t="str">
        <f>IF(Registro!$I406="","",IFERROR(SUMPRODUCT(--("0"&amp;TRIM(RIGHT(SUBSTITUTE(TRIM(MID(SUBSTITUTE(SUBSTITUTE(Registro!$I406,";",CHAR(10)),CHAR(10),REPT(" ",LEN(Registro!$I406))),({1,2,3,4,5,6,7,8,9,10,11,12,13,14,15,16,17,18,19,20,21,22,23,24,25,26,27,28,29,30}-1)*LEN(Registro!$I406)+1,LEN(Registro!$I406)))," ",REPT(" ",50)),50)))),"Revisar formato"))</f>
        <v/>
      </c>
      <c r="K406" s="24" t="str">
        <f>IF(AND(Registro!$G406="",Registro!$H406=""),"",IF(AND(ISTEXT(I406),I406&lt;&gt;""),"Revisar formato",N(Registro!$G406)-N(I406)))</f>
        <v/>
      </c>
      <c r="L406" s="24" t="str">
        <f t="shared" si="13"/>
        <v/>
      </c>
      <c r="M406" s="36" t="str">
        <f>IF(AND(A406=Consulta!$B$3,C406=Consulta!$H$3),B406*10000+ROW(),"")</f>
        <v/>
      </c>
    </row>
    <row r="407" spans="1:13" x14ac:dyDescent="0.25">
      <c r="A407" s="21" t="str">
        <f>IF(Registro!$A407="","",Registro!$A407)</f>
        <v/>
      </c>
      <c r="B407" s="20" t="str">
        <f>IF(Registro!$B407="","",Registro!$B407)</f>
        <v/>
      </c>
      <c r="C407" s="35" t="str">
        <f t="shared" si="12"/>
        <v/>
      </c>
      <c r="D407" s="23" t="str">
        <f>IF(Registro!$E407="","",IF(ISERROR(FIND("x",LOWER(Registro!$E407))),"-",IFERROR(SUMPRODUCT(--("0"&amp;LEFT(TRIM(MID(SUBSTITUTE(SUBSTITUTE(SUBSTITUTE(SUBSTITUTE(SUBSTITUTE(LOWER(Registro!$E407),"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",LEN(Registro!$E407))),({1,2,3,4,5,6,7,8,9,10,11,12,13,14,15,16,17,18,19,20,21,22,23,24,25,26,27,28,29,30}-1)*LEN(Registro!$E407)+1,LEN(Registro!$E407))),FIND("x",TRIM(MID(SUBSTITUTE(SUBSTITUTE(SUBSTITUTE(SUBSTITUTE(SUBSTITUTE(LOWER(Registro!$E407),"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",LEN(Registro!$E407))),({1,2,3,4,5,6,7,8,9,10,11,12,13,14,15,16,17,18,19,20,21,22,23,24,25,26,27,28,29,30}-1)*LEN(Registro!$E407)+1,LEN(Registro!$E407)))&amp;"x")-1))),"Revisar formato")))</f>
        <v/>
      </c>
      <c r="E407" s="24" t="str">
        <f>IF(Registro!$E407="","",IF(ISERROR(FIND("x",LOWER(Registro!$E407))),"-",IFERROR(SUMPRODUCT(--("0"&amp;LEFT(TRIM(MID(SUBSTITUTE(SUBSTITUTE(SUBSTITUTE(SUBSTITUTE(SUBSTITUTE(LOWER(Registro!$E407),"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",LEN(Registro!$E407))),({1,2,3,4,5,6,7,8,9,10,11,12,13,14,15,16,17,18,19,20,21,22,23,24,25,26,27,28,29,30}-1)*LEN(Registro!$E407)+1,LEN(Registro!$E407))),FIND("x",TRIM(MID(SUBSTITUTE(SUBSTITUTE(SUBSTITUTE(SUBSTITUTE(SUBSTITUTE(LOWER(Registro!$E407),"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",LEN(Registro!$E407))),({1,2,3,4,5,6,7,8,9,10,11,12,13,14,15,16,17,18,19,20,21,22,23,24,25,26,27,28,29,30}-1)*LEN(Registro!$E407)+1,LEN(Registro!$E407)))&amp;"x")-1)),--("0"&amp;MID(TRIM(MID(SUBSTITUTE(SUBSTITUTE(SUBSTITUTE(SUBSTITUTE(SUBSTITUTE(LOWER(Registro!$E407),"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",LEN(Registro!$E407))),({1,2,3,4,5,6,7,8,9,10,11,12,13,14,15,16,17,18,19,20,21,22,23,24,25,26,27,28,29,30}-1)*LEN(Registro!$E407)+1,LEN(Registro!$E407))),FIND("x",TRIM(MID(SUBSTITUTE(SUBSTITUTE(SUBSTITUTE(SUBSTITUTE(SUBSTITUTE(LOWER(Registro!$E407),"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",LEN(Registro!$E407))),({1,2,3,4,5,6,7,8,9,10,11,12,13,14,15,16,17,18,19,20,21,22,23,24,25,26,27,28,29,30}-1)*LEN(Registro!$E407)+1,LEN(Registro!$E407)))&amp;"x")+1,20))),"Revisar formato")))</f>
        <v/>
      </c>
      <c r="F407" s="23" t="str">
        <f>IF(Registro!$F407="","",IF(ISERROR(FIND("x",LOWER(Registro!$F407))),"-",IFERROR(SUMPRODUCT(--("0"&amp;LEFT(TRIM(MID(SUBSTITUTE(SUBSTITUTE(SUBSTITUTE(SUBSTITUTE(SUBSTITUTE(LOWER(Registro!$F407)," ",""),CHAR(10),"|"),";","|"),"+","|"),"|",REPT(" ",LEN(Registro!$F407))),({1,2,3,4,5,6,7,8,9,10,11,12,13,14,15,16,17,18,19,20,21,22,23,24,25,26,27,28,29,30}-1)*LEN(Registro!$F407)+1,LEN(Registro!$F407))),FIND("x",TRIM(MID(SUBSTITUTE(SUBSTITUTE(SUBSTITUTE(SUBSTITUTE(SUBSTITUTE(LOWER(Registro!$F407)," ",""),CHAR(10),"|"),";","|"),"+","|"),"|",REPT(" ",LEN(Registro!$F407))),({1,2,3,4,5,6,7,8,9,10,11,12,13,14,15,16,17,18,19,20,21,22,23,24,25,26,27,28,29,30}-1)*LEN(Registro!$F407)+1,LEN(Registro!$F407)))&amp;"x")-1))),"Revisar formato")))</f>
        <v/>
      </c>
      <c r="G407" s="24" t="str">
        <f>IF(Registro!$F407="","",IF(ISERROR(FIND("x",LOWER(Registro!$F407))),N(Registro!$G407),IFERROR(SUMPRODUCT(--("0"&amp;LEFT(TRIM(MID(SUBSTITUTE(SUBSTITUTE(SUBSTITUTE(SUBSTITUTE(SUBSTITUTE(LOWER(Registro!$F407)," ",""),CHAR(10),"|"),";","|"),"+","|"),"|",REPT(" ",LEN(Registro!$F407))),({1,2,3,4,5,6,7,8,9,10,11,12,13,14,15,16,17,18,19,20,21,22,23,24,25,26,27,28,29,30}-1)*LEN(Registro!$F407)+1,LEN(Registro!$F407))),FIND("x",TRIM(MID(SUBSTITUTE(SUBSTITUTE(SUBSTITUTE(SUBSTITUTE(SUBSTITUTE(LOWER(Registro!$F407)," ",""),CHAR(10),"|"),";","|"),"+","|"),"|",REPT(" ",LEN(Registro!$F407))),({1,2,3,4,5,6,7,8,9,10,11,12,13,14,15,16,17,18,19,20,21,22,23,24,25,26,27,28,29,30}-1)*LEN(Registro!$F407)+1,LEN(Registro!$F407)))&amp;"x")-1)),--("0"&amp;MID(TRIM(MID(SUBSTITUTE(SUBSTITUTE(SUBSTITUTE(SUBSTITUTE(SUBSTITUTE(LOWER(Registro!$F407)," ",""),CHAR(10),"|"),";","|"),"+","|"),"|",REPT(" ",LEN(Registro!$F407))),({1,2,3,4,5,6,7,8,9,10,11,12,13,14,15,16,17,18,19,20,21,22,23,24,25,26,27,28,29,30}-1)*LEN(Registro!$F407)+1,LEN(Registro!$F407))),FIND("x",TRIM(MID(SUBSTITUTE(SUBSTITUTE(SUBSTITUTE(SUBSTITUTE(SUBSTITUTE(LOWER(Registro!$F407)," ",""),CHAR(10),"|"),";","|"),"+","|"),"|",REPT(" ",LEN(Registro!$F407))),({1,2,3,4,5,6,7,8,9,10,11,12,13,14,15,16,17,18,19,20,21,22,23,24,25,26,27,28,29,30}-1)*LEN(Registro!$F407)+1,LEN(Registro!$F407)))&amp;"x")+1,20))),"Revisar formato")))</f>
        <v/>
      </c>
      <c r="H407" s="21" t="str">
        <f>IF(AND(Registro!$E407="",Registro!$F407=""),"",IF(NOT(AND(ISNUMBER(G407),ISNUMBER(Registro!$G407))),"",IF(G407&lt;Registro!$G407,"FALTA BOLETOS",IF(G407=Registro!$G407,"CONFORME","DIFERENCIA"))))</f>
        <v/>
      </c>
      <c r="I407" s="24" t="str">
        <f>IF(Registro!$H407="","",IFERROR(SUMPRODUCT(--("0"&amp;TRIM(RIGHT(SUBSTITUTE(TRIM(MID(SUBSTITUTE(SUBSTITUTE(Registro!$H407,";",CHAR(10)),CHAR(10),REPT(" ",LEN(Registro!$H407))),({1,2,3,4,5,6,7,8,9,10,11,12,13,14,15,16,17,18,19,20,21,22,23,24,25,26,27,28,29,30}-1)*LEN(Registro!$H407)+1,LEN(Registro!$H407)))," ",REPT(" ",50)),50)))),"Revisar formato"))</f>
        <v/>
      </c>
      <c r="J407" s="24" t="str">
        <f>IF(Registro!$I407="","",IFERROR(SUMPRODUCT(--("0"&amp;TRIM(RIGHT(SUBSTITUTE(TRIM(MID(SUBSTITUTE(SUBSTITUTE(Registro!$I407,";",CHAR(10)),CHAR(10),REPT(" ",LEN(Registro!$I407))),({1,2,3,4,5,6,7,8,9,10,11,12,13,14,15,16,17,18,19,20,21,22,23,24,25,26,27,28,29,30}-1)*LEN(Registro!$I407)+1,LEN(Registro!$I407)))," ",REPT(" ",50)),50)))),"Revisar formato"))</f>
        <v/>
      </c>
      <c r="K407" s="24" t="str">
        <f>IF(AND(Registro!$G407="",Registro!$H407=""),"",IF(AND(ISTEXT(I407),I407&lt;&gt;""),"Revisar formato",N(Registro!$G407)-N(I407)))</f>
        <v/>
      </c>
      <c r="L407" s="24" t="str">
        <f t="shared" si="13"/>
        <v/>
      </c>
      <c r="M407" s="36" t="str">
        <f>IF(AND(A407=Consulta!$B$3,C407=Consulta!$H$3),B407*10000+ROW(),"")</f>
        <v/>
      </c>
    </row>
    <row r="408" spans="1:13" x14ac:dyDescent="0.25">
      <c r="A408" s="21" t="str">
        <f>IF(Registro!$A408="","",Registro!$A408)</f>
        <v/>
      </c>
      <c r="B408" s="20" t="str">
        <f>IF(Registro!$B408="","",Registro!$B408)</f>
        <v/>
      </c>
      <c r="C408" s="35" t="str">
        <f t="shared" si="12"/>
        <v/>
      </c>
      <c r="D408" s="23" t="str">
        <f>IF(Registro!$E408="","",IF(ISERROR(FIND("x",LOWER(Registro!$E408))),"-",IFERROR(SUMPRODUCT(--("0"&amp;LEFT(TRIM(MID(SUBSTITUTE(SUBSTITUTE(SUBSTITUTE(SUBSTITUTE(SUBSTITUTE(LOWER(Registro!$E408),"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",LEN(Registro!$E408))),({1,2,3,4,5,6,7,8,9,10,11,12,13,14,15,16,17,18,19,20,21,22,23,24,25,26,27,28,29,30}-1)*LEN(Registro!$E408)+1,LEN(Registro!$E408))),FIND("x",TRIM(MID(SUBSTITUTE(SUBSTITUTE(SUBSTITUTE(SUBSTITUTE(SUBSTITUTE(LOWER(Registro!$E408),"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",LEN(Registro!$E408))),({1,2,3,4,5,6,7,8,9,10,11,12,13,14,15,16,17,18,19,20,21,22,23,24,25,26,27,28,29,30}-1)*LEN(Registro!$E408)+1,LEN(Registro!$E408)))&amp;"x")-1))),"Revisar formato")))</f>
        <v/>
      </c>
      <c r="E408" s="24" t="str">
        <f>IF(Registro!$E408="","",IF(ISERROR(FIND("x",LOWER(Registro!$E408))),"-",IFERROR(SUMPRODUCT(--("0"&amp;LEFT(TRIM(MID(SUBSTITUTE(SUBSTITUTE(SUBSTITUTE(SUBSTITUTE(SUBSTITUTE(LOWER(Registro!$E408),"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",LEN(Registro!$E408))),({1,2,3,4,5,6,7,8,9,10,11,12,13,14,15,16,17,18,19,20,21,22,23,24,25,26,27,28,29,30}-1)*LEN(Registro!$E408)+1,LEN(Registro!$E408))),FIND("x",TRIM(MID(SUBSTITUTE(SUBSTITUTE(SUBSTITUTE(SUBSTITUTE(SUBSTITUTE(LOWER(Registro!$E408),"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",LEN(Registro!$E408))),({1,2,3,4,5,6,7,8,9,10,11,12,13,14,15,16,17,18,19,20,21,22,23,24,25,26,27,28,29,30}-1)*LEN(Registro!$E408)+1,LEN(Registro!$E408)))&amp;"x")-1)),--("0"&amp;MID(TRIM(MID(SUBSTITUTE(SUBSTITUTE(SUBSTITUTE(SUBSTITUTE(SUBSTITUTE(LOWER(Registro!$E408),"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",LEN(Registro!$E408))),({1,2,3,4,5,6,7,8,9,10,11,12,13,14,15,16,17,18,19,20,21,22,23,24,25,26,27,28,29,30}-1)*LEN(Registro!$E408)+1,LEN(Registro!$E408))),FIND("x",TRIM(MID(SUBSTITUTE(SUBSTITUTE(SUBSTITUTE(SUBSTITUTE(SUBSTITUTE(LOWER(Registro!$E408),"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",LEN(Registro!$E408))),({1,2,3,4,5,6,7,8,9,10,11,12,13,14,15,16,17,18,19,20,21,22,23,24,25,26,27,28,29,30}-1)*LEN(Registro!$E408)+1,LEN(Registro!$E408)))&amp;"x")+1,20))),"Revisar formato")))</f>
        <v/>
      </c>
      <c r="F408" s="23" t="str">
        <f>IF(Registro!$F408="","",IF(ISERROR(FIND("x",LOWER(Registro!$F408))),"-",IFERROR(SUMPRODUCT(--("0"&amp;LEFT(TRIM(MID(SUBSTITUTE(SUBSTITUTE(SUBSTITUTE(SUBSTITUTE(SUBSTITUTE(LOWER(Registro!$F408)," ",""),CHAR(10),"|"),";","|"),"+","|"),"|",REPT(" ",LEN(Registro!$F408))),({1,2,3,4,5,6,7,8,9,10,11,12,13,14,15,16,17,18,19,20,21,22,23,24,25,26,27,28,29,30}-1)*LEN(Registro!$F408)+1,LEN(Registro!$F408))),FIND("x",TRIM(MID(SUBSTITUTE(SUBSTITUTE(SUBSTITUTE(SUBSTITUTE(SUBSTITUTE(LOWER(Registro!$F408)," ",""),CHAR(10),"|"),";","|"),"+","|"),"|",REPT(" ",LEN(Registro!$F408))),({1,2,3,4,5,6,7,8,9,10,11,12,13,14,15,16,17,18,19,20,21,22,23,24,25,26,27,28,29,30}-1)*LEN(Registro!$F408)+1,LEN(Registro!$F408)))&amp;"x")-1))),"Revisar formato")))</f>
        <v/>
      </c>
      <c r="G408" s="24" t="str">
        <f>IF(Registro!$F408="","",IF(ISERROR(FIND("x",LOWER(Registro!$F408))),N(Registro!$G408),IFERROR(SUMPRODUCT(--("0"&amp;LEFT(TRIM(MID(SUBSTITUTE(SUBSTITUTE(SUBSTITUTE(SUBSTITUTE(SUBSTITUTE(LOWER(Registro!$F408)," ",""),CHAR(10),"|"),";","|"),"+","|"),"|",REPT(" ",LEN(Registro!$F408))),({1,2,3,4,5,6,7,8,9,10,11,12,13,14,15,16,17,18,19,20,21,22,23,24,25,26,27,28,29,30}-1)*LEN(Registro!$F408)+1,LEN(Registro!$F408))),FIND("x",TRIM(MID(SUBSTITUTE(SUBSTITUTE(SUBSTITUTE(SUBSTITUTE(SUBSTITUTE(LOWER(Registro!$F408)," ",""),CHAR(10),"|"),";","|"),"+","|"),"|",REPT(" ",LEN(Registro!$F408))),({1,2,3,4,5,6,7,8,9,10,11,12,13,14,15,16,17,18,19,20,21,22,23,24,25,26,27,28,29,30}-1)*LEN(Registro!$F408)+1,LEN(Registro!$F408)))&amp;"x")-1)),--("0"&amp;MID(TRIM(MID(SUBSTITUTE(SUBSTITUTE(SUBSTITUTE(SUBSTITUTE(SUBSTITUTE(LOWER(Registro!$F408)," ",""),CHAR(10),"|"),";","|"),"+","|"),"|",REPT(" ",LEN(Registro!$F408))),({1,2,3,4,5,6,7,8,9,10,11,12,13,14,15,16,17,18,19,20,21,22,23,24,25,26,27,28,29,30}-1)*LEN(Registro!$F408)+1,LEN(Registro!$F408))),FIND("x",TRIM(MID(SUBSTITUTE(SUBSTITUTE(SUBSTITUTE(SUBSTITUTE(SUBSTITUTE(LOWER(Registro!$F408)," ",""),CHAR(10),"|"),";","|"),"+","|"),"|",REPT(" ",LEN(Registro!$F408))),({1,2,3,4,5,6,7,8,9,10,11,12,13,14,15,16,17,18,19,20,21,22,23,24,25,26,27,28,29,30}-1)*LEN(Registro!$F408)+1,LEN(Registro!$F408)))&amp;"x")+1,20))),"Revisar formato")))</f>
        <v/>
      </c>
      <c r="H408" s="21" t="str">
        <f>IF(AND(Registro!$E408="",Registro!$F408=""),"",IF(NOT(AND(ISNUMBER(G408),ISNUMBER(Registro!$G408))),"",IF(G408&lt;Registro!$G408,"FALTA BOLETOS",IF(G408=Registro!$G408,"CONFORME","DIFERENCIA"))))</f>
        <v/>
      </c>
      <c r="I408" s="24" t="str">
        <f>IF(Registro!$H408="","",IFERROR(SUMPRODUCT(--("0"&amp;TRIM(RIGHT(SUBSTITUTE(TRIM(MID(SUBSTITUTE(SUBSTITUTE(Registro!$H408,";",CHAR(10)),CHAR(10),REPT(" ",LEN(Registro!$H408))),({1,2,3,4,5,6,7,8,9,10,11,12,13,14,15,16,17,18,19,20,21,22,23,24,25,26,27,28,29,30}-1)*LEN(Registro!$H408)+1,LEN(Registro!$H408)))," ",REPT(" ",50)),50)))),"Revisar formato"))</f>
        <v/>
      </c>
      <c r="J408" s="24" t="str">
        <f>IF(Registro!$I408="","",IFERROR(SUMPRODUCT(--("0"&amp;TRIM(RIGHT(SUBSTITUTE(TRIM(MID(SUBSTITUTE(SUBSTITUTE(Registro!$I408,";",CHAR(10)),CHAR(10),REPT(" ",LEN(Registro!$I408))),({1,2,3,4,5,6,7,8,9,10,11,12,13,14,15,16,17,18,19,20,21,22,23,24,25,26,27,28,29,30}-1)*LEN(Registro!$I408)+1,LEN(Registro!$I408)))," ",REPT(" ",50)),50)))),"Revisar formato"))</f>
        <v/>
      </c>
      <c r="K408" s="24" t="str">
        <f>IF(AND(Registro!$G408="",Registro!$H408=""),"",IF(AND(ISTEXT(I408),I408&lt;&gt;""),"Revisar formato",N(Registro!$G408)-N(I408)))</f>
        <v/>
      </c>
      <c r="L408" s="24" t="str">
        <f t="shared" si="13"/>
        <v/>
      </c>
      <c r="M408" s="36" t="str">
        <f>IF(AND(A408=Consulta!$B$3,C408=Consulta!$H$3),B408*10000+ROW(),"")</f>
        <v/>
      </c>
    </row>
    <row r="409" spans="1:13" x14ac:dyDescent="0.25">
      <c r="A409" s="21" t="str">
        <f>IF(Registro!$A409="","",Registro!$A409)</f>
        <v/>
      </c>
      <c r="B409" s="20" t="str">
        <f>IF(Registro!$B409="","",Registro!$B409)</f>
        <v/>
      </c>
      <c r="C409" s="35" t="str">
        <f t="shared" si="12"/>
        <v/>
      </c>
      <c r="D409" s="23" t="str">
        <f>IF(Registro!$E409="","",IF(ISERROR(FIND("x",LOWER(Registro!$E409))),"-",IFERROR(SUMPRODUCT(--("0"&amp;LEFT(TRIM(MID(SUBSTITUTE(SUBSTITUTE(SUBSTITUTE(SUBSTITUTE(SUBSTITUTE(LOWER(Registro!$E409),"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",LEN(Registro!$E409))),({1,2,3,4,5,6,7,8,9,10,11,12,13,14,15,16,17,18,19,20,21,22,23,24,25,26,27,28,29,30}-1)*LEN(Registro!$E409)+1,LEN(Registro!$E409))),FIND("x",TRIM(MID(SUBSTITUTE(SUBSTITUTE(SUBSTITUTE(SUBSTITUTE(SUBSTITUTE(LOWER(Registro!$E409),"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",LEN(Registro!$E409))),({1,2,3,4,5,6,7,8,9,10,11,12,13,14,15,16,17,18,19,20,21,22,23,24,25,26,27,28,29,30}-1)*LEN(Registro!$E409)+1,LEN(Registro!$E409)))&amp;"x")-1))),"Revisar formato")))</f>
        <v/>
      </c>
      <c r="E409" s="24" t="str">
        <f>IF(Registro!$E409="","",IF(ISERROR(FIND("x",LOWER(Registro!$E409))),"-",IFERROR(SUMPRODUCT(--("0"&amp;LEFT(TRIM(MID(SUBSTITUTE(SUBSTITUTE(SUBSTITUTE(SUBSTITUTE(SUBSTITUTE(LOWER(Registro!$E409),"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",LEN(Registro!$E409))),({1,2,3,4,5,6,7,8,9,10,11,12,13,14,15,16,17,18,19,20,21,22,23,24,25,26,27,28,29,30}-1)*LEN(Registro!$E409)+1,LEN(Registro!$E409))),FIND("x",TRIM(MID(SUBSTITUTE(SUBSTITUTE(SUBSTITUTE(SUBSTITUTE(SUBSTITUTE(LOWER(Registro!$E409),"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",LEN(Registro!$E409))),({1,2,3,4,5,6,7,8,9,10,11,12,13,14,15,16,17,18,19,20,21,22,23,24,25,26,27,28,29,30}-1)*LEN(Registro!$E409)+1,LEN(Registro!$E409)))&amp;"x")-1)),--("0"&amp;MID(TRIM(MID(SUBSTITUTE(SUBSTITUTE(SUBSTITUTE(SUBSTITUTE(SUBSTITUTE(LOWER(Registro!$E409),"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",LEN(Registro!$E409))),({1,2,3,4,5,6,7,8,9,10,11,12,13,14,15,16,17,18,19,20,21,22,23,24,25,26,27,28,29,30}-1)*LEN(Registro!$E409)+1,LEN(Registro!$E409))),FIND("x",TRIM(MID(SUBSTITUTE(SUBSTITUTE(SUBSTITUTE(SUBSTITUTE(SUBSTITUTE(LOWER(Registro!$E409),"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",LEN(Registro!$E409))),({1,2,3,4,5,6,7,8,9,10,11,12,13,14,15,16,17,18,19,20,21,22,23,24,25,26,27,28,29,30}-1)*LEN(Registro!$E409)+1,LEN(Registro!$E409)))&amp;"x")+1,20))),"Revisar formato")))</f>
        <v/>
      </c>
      <c r="F409" s="23" t="str">
        <f>IF(Registro!$F409="","",IF(ISERROR(FIND("x",LOWER(Registro!$F409))),"-",IFERROR(SUMPRODUCT(--("0"&amp;LEFT(TRIM(MID(SUBSTITUTE(SUBSTITUTE(SUBSTITUTE(SUBSTITUTE(SUBSTITUTE(LOWER(Registro!$F409)," ",""),CHAR(10),"|"),";","|"),"+","|"),"|",REPT(" ",LEN(Registro!$F409))),({1,2,3,4,5,6,7,8,9,10,11,12,13,14,15,16,17,18,19,20,21,22,23,24,25,26,27,28,29,30}-1)*LEN(Registro!$F409)+1,LEN(Registro!$F409))),FIND("x",TRIM(MID(SUBSTITUTE(SUBSTITUTE(SUBSTITUTE(SUBSTITUTE(SUBSTITUTE(LOWER(Registro!$F409)," ",""),CHAR(10),"|"),";","|"),"+","|"),"|",REPT(" ",LEN(Registro!$F409))),({1,2,3,4,5,6,7,8,9,10,11,12,13,14,15,16,17,18,19,20,21,22,23,24,25,26,27,28,29,30}-1)*LEN(Registro!$F409)+1,LEN(Registro!$F409)))&amp;"x")-1))),"Revisar formato")))</f>
        <v/>
      </c>
      <c r="G409" s="24" t="str">
        <f>IF(Registro!$F409="","",IF(ISERROR(FIND("x",LOWER(Registro!$F409))),N(Registro!$G409),IFERROR(SUMPRODUCT(--("0"&amp;LEFT(TRIM(MID(SUBSTITUTE(SUBSTITUTE(SUBSTITUTE(SUBSTITUTE(SUBSTITUTE(LOWER(Registro!$F409)," ",""),CHAR(10),"|"),";","|"),"+","|"),"|",REPT(" ",LEN(Registro!$F409))),({1,2,3,4,5,6,7,8,9,10,11,12,13,14,15,16,17,18,19,20,21,22,23,24,25,26,27,28,29,30}-1)*LEN(Registro!$F409)+1,LEN(Registro!$F409))),FIND("x",TRIM(MID(SUBSTITUTE(SUBSTITUTE(SUBSTITUTE(SUBSTITUTE(SUBSTITUTE(LOWER(Registro!$F409)," ",""),CHAR(10),"|"),";","|"),"+","|"),"|",REPT(" ",LEN(Registro!$F409))),({1,2,3,4,5,6,7,8,9,10,11,12,13,14,15,16,17,18,19,20,21,22,23,24,25,26,27,28,29,30}-1)*LEN(Registro!$F409)+1,LEN(Registro!$F409)))&amp;"x")-1)),--("0"&amp;MID(TRIM(MID(SUBSTITUTE(SUBSTITUTE(SUBSTITUTE(SUBSTITUTE(SUBSTITUTE(LOWER(Registro!$F409)," ",""),CHAR(10),"|"),";","|"),"+","|"),"|",REPT(" ",LEN(Registro!$F409))),({1,2,3,4,5,6,7,8,9,10,11,12,13,14,15,16,17,18,19,20,21,22,23,24,25,26,27,28,29,30}-1)*LEN(Registro!$F409)+1,LEN(Registro!$F409))),FIND("x",TRIM(MID(SUBSTITUTE(SUBSTITUTE(SUBSTITUTE(SUBSTITUTE(SUBSTITUTE(LOWER(Registro!$F409)," ",""),CHAR(10),"|"),";","|"),"+","|"),"|",REPT(" ",LEN(Registro!$F409))),({1,2,3,4,5,6,7,8,9,10,11,12,13,14,15,16,17,18,19,20,21,22,23,24,25,26,27,28,29,30}-1)*LEN(Registro!$F409)+1,LEN(Registro!$F409)))&amp;"x")+1,20))),"Revisar formato")))</f>
        <v/>
      </c>
      <c r="H409" s="21" t="str">
        <f>IF(AND(Registro!$E409="",Registro!$F409=""),"",IF(NOT(AND(ISNUMBER(G409),ISNUMBER(Registro!$G409))),"",IF(G409&lt;Registro!$G409,"FALTA BOLETOS",IF(G409=Registro!$G409,"CONFORME","DIFERENCIA"))))</f>
        <v/>
      </c>
      <c r="I409" s="24" t="str">
        <f>IF(Registro!$H409="","",IFERROR(SUMPRODUCT(--("0"&amp;TRIM(RIGHT(SUBSTITUTE(TRIM(MID(SUBSTITUTE(SUBSTITUTE(Registro!$H409,";",CHAR(10)),CHAR(10),REPT(" ",LEN(Registro!$H409))),({1,2,3,4,5,6,7,8,9,10,11,12,13,14,15,16,17,18,19,20,21,22,23,24,25,26,27,28,29,30}-1)*LEN(Registro!$H409)+1,LEN(Registro!$H409)))," ",REPT(" ",50)),50)))),"Revisar formato"))</f>
        <v/>
      </c>
      <c r="J409" s="24" t="str">
        <f>IF(Registro!$I409="","",IFERROR(SUMPRODUCT(--("0"&amp;TRIM(RIGHT(SUBSTITUTE(TRIM(MID(SUBSTITUTE(SUBSTITUTE(Registro!$I409,";",CHAR(10)),CHAR(10),REPT(" ",LEN(Registro!$I409))),({1,2,3,4,5,6,7,8,9,10,11,12,13,14,15,16,17,18,19,20,21,22,23,24,25,26,27,28,29,30}-1)*LEN(Registro!$I409)+1,LEN(Registro!$I409)))," ",REPT(" ",50)),50)))),"Revisar formato"))</f>
        <v/>
      </c>
      <c r="K409" s="24" t="str">
        <f>IF(AND(Registro!$G409="",Registro!$H409=""),"",IF(AND(ISTEXT(I409),I409&lt;&gt;""),"Revisar formato",N(Registro!$G409)-N(I409)))</f>
        <v/>
      </c>
      <c r="L409" s="24" t="str">
        <f t="shared" si="13"/>
        <v/>
      </c>
      <c r="M409" s="36" t="str">
        <f>IF(AND(A409=Consulta!$B$3,C409=Consulta!$H$3),B409*10000+ROW(),"")</f>
        <v/>
      </c>
    </row>
    <row r="410" spans="1:13" x14ac:dyDescent="0.25">
      <c r="A410" s="21" t="str">
        <f>IF(Registro!$A410="","",Registro!$A410)</f>
        <v/>
      </c>
      <c r="B410" s="20" t="str">
        <f>IF(Registro!$B410="","",Registro!$B410)</f>
        <v/>
      </c>
      <c r="C410" s="35" t="str">
        <f t="shared" si="12"/>
        <v/>
      </c>
      <c r="D410" s="23" t="str">
        <f>IF(Registro!$E410="","",IF(ISERROR(FIND("x",LOWER(Registro!$E410))),"-",IFERROR(SUMPRODUCT(--("0"&amp;LEFT(TRIM(MID(SUBSTITUTE(SUBSTITUTE(SUBSTITUTE(SUBSTITUTE(SUBSTITUTE(LOWER(Registro!$E410),"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",LEN(Registro!$E410))),({1,2,3,4,5,6,7,8,9,10,11,12,13,14,15,16,17,18,19,20,21,22,23,24,25,26,27,28,29,30}-1)*LEN(Registro!$E410)+1,LEN(Registro!$E410))),FIND("x",TRIM(MID(SUBSTITUTE(SUBSTITUTE(SUBSTITUTE(SUBSTITUTE(SUBSTITUTE(LOWER(Registro!$E410),"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",LEN(Registro!$E410))),({1,2,3,4,5,6,7,8,9,10,11,12,13,14,15,16,17,18,19,20,21,22,23,24,25,26,27,28,29,30}-1)*LEN(Registro!$E410)+1,LEN(Registro!$E410)))&amp;"x")-1))),"Revisar formato")))</f>
        <v/>
      </c>
      <c r="E410" s="24" t="str">
        <f>IF(Registro!$E410="","",IF(ISERROR(FIND("x",LOWER(Registro!$E410))),"-",IFERROR(SUMPRODUCT(--("0"&amp;LEFT(TRIM(MID(SUBSTITUTE(SUBSTITUTE(SUBSTITUTE(SUBSTITUTE(SUBSTITUTE(LOWER(Registro!$E410),"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",LEN(Registro!$E410))),({1,2,3,4,5,6,7,8,9,10,11,12,13,14,15,16,17,18,19,20,21,22,23,24,25,26,27,28,29,30}-1)*LEN(Registro!$E410)+1,LEN(Registro!$E410))),FIND("x",TRIM(MID(SUBSTITUTE(SUBSTITUTE(SUBSTITUTE(SUBSTITUTE(SUBSTITUTE(LOWER(Registro!$E410),"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",LEN(Registro!$E410))),({1,2,3,4,5,6,7,8,9,10,11,12,13,14,15,16,17,18,19,20,21,22,23,24,25,26,27,28,29,30}-1)*LEN(Registro!$E410)+1,LEN(Registro!$E410)))&amp;"x")-1)),--("0"&amp;MID(TRIM(MID(SUBSTITUTE(SUBSTITUTE(SUBSTITUTE(SUBSTITUTE(SUBSTITUTE(LOWER(Registro!$E410),"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",LEN(Registro!$E410))),({1,2,3,4,5,6,7,8,9,10,11,12,13,14,15,16,17,18,19,20,21,22,23,24,25,26,27,28,29,30}-1)*LEN(Registro!$E410)+1,LEN(Registro!$E410))),FIND("x",TRIM(MID(SUBSTITUTE(SUBSTITUTE(SUBSTITUTE(SUBSTITUTE(SUBSTITUTE(LOWER(Registro!$E410),"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",LEN(Registro!$E410))),({1,2,3,4,5,6,7,8,9,10,11,12,13,14,15,16,17,18,19,20,21,22,23,24,25,26,27,28,29,30}-1)*LEN(Registro!$E410)+1,LEN(Registro!$E410)))&amp;"x")+1,20))),"Revisar formato")))</f>
        <v/>
      </c>
      <c r="F410" s="23" t="str">
        <f>IF(Registro!$F410="","",IF(ISERROR(FIND("x",LOWER(Registro!$F410))),"-",IFERROR(SUMPRODUCT(--("0"&amp;LEFT(TRIM(MID(SUBSTITUTE(SUBSTITUTE(SUBSTITUTE(SUBSTITUTE(SUBSTITUTE(LOWER(Registro!$F410)," ",""),CHAR(10),"|"),";","|"),"+","|"),"|",REPT(" ",LEN(Registro!$F410))),({1,2,3,4,5,6,7,8,9,10,11,12,13,14,15,16,17,18,19,20,21,22,23,24,25,26,27,28,29,30}-1)*LEN(Registro!$F410)+1,LEN(Registro!$F410))),FIND("x",TRIM(MID(SUBSTITUTE(SUBSTITUTE(SUBSTITUTE(SUBSTITUTE(SUBSTITUTE(LOWER(Registro!$F410)," ",""),CHAR(10),"|"),";","|"),"+","|"),"|",REPT(" ",LEN(Registro!$F410))),({1,2,3,4,5,6,7,8,9,10,11,12,13,14,15,16,17,18,19,20,21,22,23,24,25,26,27,28,29,30}-1)*LEN(Registro!$F410)+1,LEN(Registro!$F410)))&amp;"x")-1))),"Revisar formato")))</f>
        <v/>
      </c>
      <c r="G410" s="24" t="str">
        <f>IF(Registro!$F410="","",IF(ISERROR(FIND("x",LOWER(Registro!$F410))),N(Registro!$G410),IFERROR(SUMPRODUCT(--("0"&amp;LEFT(TRIM(MID(SUBSTITUTE(SUBSTITUTE(SUBSTITUTE(SUBSTITUTE(SUBSTITUTE(LOWER(Registro!$F410)," ",""),CHAR(10),"|"),";","|"),"+","|"),"|",REPT(" ",LEN(Registro!$F410))),({1,2,3,4,5,6,7,8,9,10,11,12,13,14,15,16,17,18,19,20,21,22,23,24,25,26,27,28,29,30}-1)*LEN(Registro!$F410)+1,LEN(Registro!$F410))),FIND("x",TRIM(MID(SUBSTITUTE(SUBSTITUTE(SUBSTITUTE(SUBSTITUTE(SUBSTITUTE(LOWER(Registro!$F410)," ",""),CHAR(10),"|"),";","|"),"+","|"),"|",REPT(" ",LEN(Registro!$F410))),({1,2,3,4,5,6,7,8,9,10,11,12,13,14,15,16,17,18,19,20,21,22,23,24,25,26,27,28,29,30}-1)*LEN(Registro!$F410)+1,LEN(Registro!$F410)))&amp;"x")-1)),--("0"&amp;MID(TRIM(MID(SUBSTITUTE(SUBSTITUTE(SUBSTITUTE(SUBSTITUTE(SUBSTITUTE(LOWER(Registro!$F410)," ",""),CHAR(10),"|"),";","|"),"+","|"),"|",REPT(" ",LEN(Registro!$F410))),({1,2,3,4,5,6,7,8,9,10,11,12,13,14,15,16,17,18,19,20,21,22,23,24,25,26,27,28,29,30}-1)*LEN(Registro!$F410)+1,LEN(Registro!$F410))),FIND("x",TRIM(MID(SUBSTITUTE(SUBSTITUTE(SUBSTITUTE(SUBSTITUTE(SUBSTITUTE(LOWER(Registro!$F410)," ",""),CHAR(10),"|"),";","|"),"+","|"),"|",REPT(" ",LEN(Registro!$F410))),({1,2,3,4,5,6,7,8,9,10,11,12,13,14,15,16,17,18,19,20,21,22,23,24,25,26,27,28,29,30}-1)*LEN(Registro!$F410)+1,LEN(Registro!$F410)))&amp;"x")+1,20))),"Revisar formato")))</f>
        <v/>
      </c>
      <c r="H410" s="21" t="str">
        <f>IF(AND(Registro!$E410="",Registro!$F410=""),"",IF(NOT(AND(ISNUMBER(G410),ISNUMBER(Registro!$G410))),"",IF(G410&lt;Registro!$G410,"FALTA BOLETOS",IF(G410=Registro!$G410,"CONFORME","DIFERENCIA"))))</f>
        <v/>
      </c>
      <c r="I410" s="24" t="str">
        <f>IF(Registro!$H410="","",IFERROR(SUMPRODUCT(--("0"&amp;TRIM(RIGHT(SUBSTITUTE(TRIM(MID(SUBSTITUTE(SUBSTITUTE(Registro!$H410,";",CHAR(10)),CHAR(10),REPT(" ",LEN(Registro!$H410))),({1,2,3,4,5,6,7,8,9,10,11,12,13,14,15,16,17,18,19,20,21,22,23,24,25,26,27,28,29,30}-1)*LEN(Registro!$H410)+1,LEN(Registro!$H410)))," ",REPT(" ",50)),50)))),"Revisar formato"))</f>
        <v/>
      </c>
      <c r="J410" s="24" t="str">
        <f>IF(Registro!$I410="","",IFERROR(SUMPRODUCT(--("0"&amp;TRIM(RIGHT(SUBSTITUTE(TRIM(MID(SUBSTITUTE(SUBSTITUTE(Registro!$I410,";",CHAR(10)),CHAR(10),REPT(" ",LEN(Registro!$I410))),({1,2,3,4,5,6,7,8,9,10,11,12,13,14,15,16,17,18,19,20,21,22,23,24,25,26,27,28,29,30}-1)*LEN(Registro!$I410)+1,LEN(Registro!$I410)))," ",REPT(" ",50)),50)))),"Revisar formato"))</f>
        <v/>
      </c>
      <c r="K410" s="24" t="str">
        <f>IF(AND(Registro!$G410="",Registro!$H410=""),"",IF(AND(ISTEXT(I410),I410&lt;&gt;""),"Revisar formato",N(Registro!$G410)-N(I410)))</f>
        <v/>
      </c>
      <c r="L410" s="24" t="str">
        <f t="shared" si="13"/>
        <v/>
      </c>
      <c r="M410" s="36" t="str">
        <f>IF(AND(A410=Consulta!$B$3,C410=Consulta!$H$3),B410*10000+ROW(),"")</f>
        <v/>
      </c>
    </row>
    <row r="411" spans="1:13" x14ac:dyDescent="0.25">
      <c r="A411" s="21" t="str">
        <f>IF(Registro!$A411="","",Registro!$A411)</f>
        <v/>
      </c>
      <c r="B411" s="20" t="str">
        <f>IF(Registro!$B411="","",Registro!$B411)</f>
        <v/>
      </c>
      <c r="C411" s="35" t="str">
        <f t="shared" si="12"/>
        <v/>
      </c>
      <c r="D411" s="23" t="str">
        <f>IF(Registro!$E411="","",IF(ISERROR(FIND("x",LOWER(Registro!$E411))),"-",IFERROR(SUMPRODUCT(--("0"&amp;LEFT(TRIM(MID(SUBSTITUTE(SUBSTITUTE(SUBSTITUTE(SUBSTITUTE(SUBSTITUTE(LOWER(Registro!$E411),"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",LEN(Registro!$E411))),({1,2,3,4,5,6,7,8,9,10,11,12,13,14,15,16,17,18,19,20,21,22,23,24,25,26,27,28,29,30}-1)*LEN(Registro!$E411)+1,LEN(Registro!$E411))),FIND("x",TRIM(MID(SUBSTITUTE(SUBSTITUTE(SUBSTITUTE(SUBSTITUTE(SUBSTITUTE(LOWER(Registro!$E411),"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",LEN(Registro!$E411))),({1,2,3,4,5,6,7,8,9,10,11,12,13,14,15,16,17,18,19,20,21,22,23,24,25,26,27,28,29,30}-1)*LEN(Registro!$E411)+1,LEN(Registro!$E411)))&amp;"x")-1))),"Revisar formato")))</f>
        <v/>
      </c>
      <c r="E411" s="24" t="str">
        <f>IF(Registro!$E411="","",IF(ISERROR(FIND("x",LOWER(Registro!$E411))),"-",IFERROR(SUMPRODUCT(--("0"&amp;LEFT(TRIM(MID(SUBSTITUTE(SUBSTITUTE(SUBSTITUTE(SUBSTITUTE(SUBSTITUTE(LOWER(Registro!$E411),"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",LEN(Registro!$E411))),({1,2,3,4,5,6,7,8,9,10,11,12,13,14,15,16,17,18,19,20,21,22,23,24,25,26,27,28,29,30}-1)*LEN(Registro!$E411)+1,LEN(Registro!$E411))),FIND("x",TRIM(MID(SUBSTITUTE(SUBSTITUTE(SUBSTITUTE(SUBSTITUTE(SUBSTITUTE(LOWER(Registro!$E411),"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",LEN(Registro!$E411))),({1,2,3,4,5,6,7,8,9,10,11,12,13,14,15,16,17,18,19,20,21,22,23,24,25,26,27,28,29,30}-1)*LEN(Registro!$E411)+1,LEN(Registro!$E411)))&amp;"x")-1)),--("0"&amp;MID(TRIM(MID(SUBSTITUTE(SUBSTITUTE(SUBSTITUTE(SUBSTITUTE(SUBSTITUTE(LOWER(Registro!$E411),"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",LEN(Registro!$E411))),({1,2,3,4,5,6,7,8,9,10,11,12,13,14,15,16,17,18,19,20,21,22,23,24,25,26,27,28,29,30}-1)*LEN(Registro!$E411)+1,LEN(Registro!$E411))),FIND("x",TRIM(MID(SUBSTITUTE(SUBSTITUTE(SUBSTITUTE(SUBSTITUTE(SUBSTITUTE(LOWER(Registro!$E411),"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",LEN(Registro!$E411))),({1,2,3,4,5,6,7,8,9,10,11,12,13,14,15,16,17,18,19,20,21,22,23,24,25,26,27,28,29,30}-1)*LEN(Registro!$E411)+1,LEN(Registro!$E411)))&amp;"x")+1,20))),"Revisar formato")))</f>
        <v/>
      </c>
      <c r="F411" s="23" t="str">
        <f>IF(Registro!$F411="","",IF(ISERROR(FIND("x",LOWER(Registro!$F411))),"-",IFERROR(SUMPRODUCT(--("0"&amp;LEFT(TRIM(MID(SUBSTITUTE(SUBSTITUTE(SUBSTITUTE(SUBSTITUTE(SUBSTITUTE(LOWER(Registro!$F411)," ",""),CHAR(10),"|"),";","|"),"+","|"),"|",REPT(" ",LEN(Registro!$F411))),({1,2,3,4,5,6,7,8,9,10,11,12,13,14,15,16,17,18,19,20,21,22,23,24,25,26,27,28,29,30}-1)*LEN(Registro!$F411)+1,LEN(Registro!$F411))),FIND("x",TRIM(MID(SUBSTITUTE(SUBSTITUTE(SUBSTITUTE(SUBSTITUTE(SUBSTITUTE(LOWER(Registro!$F411)," ",""),CHAR(10),"|"),";","|"),"+","|"),"|",REPT(" ",LEN(Registro!$F411))),({1,2,3,4,5,6,7,8,9,10,11,12,13,14,15,16,17,18,19,20,21,22,23,24,25,26,27,28,29,30}-1)*LEN(Registro!$F411)+1,LEN(Registro!$F411)))&amp;"x")-1))),"Revisar formato")))</f>
        <v/>
      </c>
      <c r="G411" s="24" t="str">
        <f>IF(Registro!$F411="","",IF(ISERROR(FIND("x",LOWER(Registro!$F411))),N(Registro!$G411),IFERROR(SUMPRODUCT(--("0"&amp;LEFT(TRIM(MID(SUBSTITUTE(SUBSTITUTE(SUBSTITUTE(SUBSTITUTE(SUBSTITUTE(LOWER(Registro!$F411)," ",""),CHAR(10),"|"),";","|"),"+","|"),"|",REPT(" ",LEN(Registro!$F411))),({1,2,3,4,5,6,7,8,9,10,11,12,13,14,15,16,17,18,19,20,21,22,23,24,25,26,27,28,29,30}-1)*LEN(Registro!$F411)+1,LEN(Registro!$F411))),FIND("x",TRIM(MID(SUBSTITUTE(SUBSTITUTE(SUBSTITUTE(SUBSTITUTE(SUBSTITUTE(LOWER(Registro!$F411)," ",""),CHAR(10),"|"),";","|"),"+","|"),"|",REPT(" ",LEN(Registro!$F411))),({1,2,3,4,5,6,7,8,9,10,11,12,13,14,15,16,17,18,19,20,21,22,23,24,25,26,27,28,29,30}-1)*LEN(Registro!$F411)+1,LEN(Registro!$F411)))&amp;"x")-1)),--("0"&amp;MID(TRIM(MID(SUBSTITUTE(SUBSTITUTE(SUBSTITUTE(SUBSTITUTE(SUBSTITUTE(LOWER(Registro!$F411)," ",""),CHAR(10),"|"),";","|"),"+","|"),"|",REPT(" ",LEN(Registro!$F411))),({1,2,3,4,5,6,7,8,9,10,11,12,13,14,15,16,17,18,19,20,21,22,23,24,25,26,27,28,29,30}-1)*LEN(Registro!$F411)+1,LEN(Registro!$F411))),FIND("x",TRIM(MID(SUBSTITUTE(SUBSTITUTE(SUBSTITUTE(SUBSTITUTE(SUBSTITUTE(LOWER(Registro!$F411)," ",""),CHAR(10),"|"),";","|"),"+","|"),"|",REPT(" ",LEN(Registro!$F411))),({1,2,3,4,5,6,7,8,9,10,11,12,13,14,15,16,17,18,19,20,21,22,23,24,25,26,27,28,29,30}-1)*LEN(Registro!$F411)+1,LEN(Registro!$F411)))&amp;"x")+1,20))),"Revisar formato")))</f>
        <v/>
      </c>
      <c r="H411" s="21" t="str">
        <f>IF(AND(Registro!$E411="",Registro!$F411=""),"",IF(NOT(AND(ISNUMBER(G411),ISNUMBER(Registro!$G411))),"",IF(G411&lt;Registro!$G411,"FALTA BOLETOS",IF(G411=Registro!$G411,"CONFORME","DIFERENCIA"))))</f>
        <v/>
      </c>
      <c r="I411" s="24" t="str">
        <f>IF(Registro!$H411="","",IFERROR(SUMPRODUCT(--("0"&amp;TRIM(RIGHT(SUBSTITUTE(TRIM(MID(SUBSTITUTE(SUBSTITUTE(Registro!$H411,";",CHAR(10)),CHAR(10),REPT(" ",LEN(Registro!$H411))),({1,2,3,4,5,6,7,8,9,10,11,12,13,14,15,16,17,18,19,20,21,22,23,24,25,26,27,28,29,30}-1)*LEN(Registro!$H411)+1,LEN(Registro!$H411)))," ",REPT(" ",50)),50)))),"Revisar formato"))</f>
        <v/>
      </c>
      <c r="J411" s="24" t="str">
        <f>IF(Registro!$I411="","",IFERROR(SUMPRODUCT(--("0"&amp;TRIM(RIGHT(SUBSTITUTE(TRIM(MID(SUBSTITUTE(SUBSTITUTE(Registro!$I411,";",CHAR(10)),CHAR(10),REPT(" ",LEN(Registro!$I411))),({1,2,3,4,5,6,7,8,9,10,11,12,13,14,15,16,17,18,19,20,21,22,23,24,25,26,27,28,29,30}-1)*LEN(Registro!$I411)+1,LEN(Registro!$I411)))," ",REPT(" ",50)),50)))),"Revisar formato"))</f>
        <v/>
      </c>
      <c r="K411" s="24" t="str">
        <f>IF(AND(Registro!$G411="",Registro!$H411=""),"",IF(AND(ISTEXT(I411),I411&lt;&gt;""),"Revisar formato",N(Registro!$G411)-N(I411)))</f>
        <v/>
      </c>
      <c r="L411" s="24" t="str">
        <f t="shared" si="13"/>
        <v/>
      </c>
      <c r="M411" s="36" t="str">
        <f>IF(AND(A411=Consulta!$B$3,C411=Consulta!$H$3),B411*10000+ROW(),"")</f>
        <v/>
      </c>
    </row>
    <row r="412" spans="1:13" x14ac:dyDescent="0.25">
      <c r="A412" s="21" t="str">
        <f>IF(Registro!$A412="","",Registro!$A412)</f>
        <v/>
      </c>
      <c r="B412" s="20" t="str">
        <f>IF(Registro!$B412="","",Registro!$B412)</f>
        <v/>
      </c>
      <c r="C412" s="35" t="str">
        <f t="shared" si="12"/>
        <v/>
      </c>
      <c r="D412" s="23" t="str">
        <f>IF(Registro!$E412="","",IF(ISERROR(FIND("x",LOWER(Registro!$E412))),"-",IFERROR(SUMPRODUCT(--("0"&amp;LEFT(TRIM(MID(SUBSTITUTE(SUBSTITUTE(SUBSTITUTE(SUBSTITUTE(SUBSTITUTE(LOWER(Registro!$E412),"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",LEN(Registro!$E412))),({1,2,3,4,5,6,7,8,9,10,11,12,13,14,15,16,17,18,19,20,21,22,23,24,25,26,27,28,29,30}-1)*LEN(Registro!$E412)+1,LEN(Registro!$E412))),FIND("x",TRIM(MID(SUBSTITUTE(SUBSTITUTE(SUBSTITUTE(SUBSTITUTE(SUBSTITUTE(LOWER(Registro!$E412),"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",LEN(Registro!$E412))),({1,2,3,4,5,6,7,8,9,10,11,12,13,14,15,16,17,18,19,20,21,22,23,24,25,26,27,28,29,30}-1)*LEN(Registro!$E412)+1,LEN(Registro!$E412)))&amp;"x")-1))),"Revisar formato")))</f>
        <v/>
      </c>
      <c r="E412" s="24" t="str">
        <f>IF(Registro!$E412="","",IF(ISERROR(FIND("x",LOWER(Registro!$E412))),"-",IFERROR(SUMPRODUCT(--("0"&amp;LEFT(TRIM(MID(SUBSTITUTE(SUBSTITUTE(SUBSTITUTE(SUBSTITUTE(SUBSTITUTE(LOWER(Registro!$E412),"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",LEN(Registro!$E412))),({1,2,3,4,5,6,7,8,9,10,11,12,13,14,15,16,17,18,19,20,21,22,23,24,25,26,27,28,29,30}-1)*LEN(Registro!$E412)+1,LEN(Registro!$E412))),FIND("x",TRIM(MID(SUBSTITUTE(SUBSTITUTE(SUBSTITUTE(SUBSTITUTE(SUBSTITUTE(LOWER(Registro!$E412),"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",LEN(Registro!$E412))),({1,2,3,4,5,6,7,8,9,10,11,12,13,14,15,16,17,18,19,20,21,22,23,24,25,26,27,28,29,30}-1)*LEN(Registro!$E412)+1,LEN(Registro!$E412)))&amp;"x")-1)),--("0"&amp;MID(TRIM(MID(SUBSTITUTE(SUBSTITUTE(SUBSTITUTE(SUBSTITUTE(SUBSTITUTE(LOWER(Registro!$E412),"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",LEN(Registro!$E412))),({1,2,3,4,5,6,7,8,9,10,11,12,13,14,15,16,17,18,19,20,21,22,23,24,25,26,27,28,29,30}-1)*LEN(Registro!$E412)+1,LEN(Registro!$E412))),FIND("x",TRIM(MID(SUBSTITUTE(SUBSTITUTE(SUBSTITUTE(SUBSTITUTE(SUBSTITUTE(LOWER(Registro!$E412),"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",LEN(Registro!$E412))),({1,2,3,4,5,6,7,8,9,10,11,12,13,14,15,16,17,18,19,20,21,22,23,24,25,26,27,28,29,30}-1)*LEN(Registro!$E412)+1,LEN(Registro!$E412)))&amp;"x")+1,20))),"Revisar formato")))</f>
        <v/>
      </c>
      <c r="F412" s="23" t="str">
        <f>IF(Registro!$F412="","",IF(ISERROR(FIND("x",LOWER(Registro!$F412))),"-",IFERROR(SUMPRODUCT(--("0"&amp;LEFT(TRIM(MID(SUBSTITUTE(SUBSTITUTE(SUBSTITUTE(SUBSTITUTE(SUBSTITUTE(LOWER(Registro!$F412)," ",""),CHAR(10),"|"),";","|"),"+","|"),"|",REPT(" ",LEN(Registro!$F412))),({1,2,3,4,5,6,7,8,9,10,11,12,13,14,15,16,17,18,19,20,21,22,23,24,25,26,27,28,29,30}-1)*LEN(Registro!$F412)+1,LEN(Registro!$F412))),FIND("x",TRIM(MID(SUBSTITUTE(SUBSTITUTE(SUBSTITUTE(SUBSTITUTE(SUBSTITUTE(LOWER(Registro!$F412)," ",""),CHAR(10),"|"),";","|"),"+","|"),"|",REPT(" ",LEN(Registro!$F412))),({1,2,3,4,5,6,7,8,9,10,11,12,13,14,15,16,17,18,19,20,21,22,23,24,25,26,27,28,29,30}-1)*LEN(Registro!$F412)+1,LEN(Registro!$F412)))&amp;"x")-1))),"Revisar formato")))</f>
        <v/>
      </c>
      <c r="G412" s="24" t="str">
        <f>IF(Registro!$F412="","",IF(ISERROR(FIND("x",LOWER(Registro!$F412))),N(Registro!$G412),IFERROR(SUMPRODUCT(--("0"&amp;LEFT(TRIM(MID(SUBSTITUTE(SUBSTITUTE(SUBSTITUTE(SUBSTITUTE(SUBSTITUTE(LOWER(Registro!$F412)," ",""),CHAR(10),"|"),";","|"),"+","|"),"|",REPT(" ",LEN(Registro!$F412))),({1,2,3,4,5,6,7,8,9,10,11,12,13,14,15,16,17,18,19,20,21,22,23,24,25,26,27,28,29,30}-1)*LEN(Registro!$F412)+1,LEN(Registro!$F412))),FIND("x",TRIM(MID(SUBSTITUTE(SUBSTITUTE(SUBSTITUTE(SUBSTITUTE(SUBSTITUTE(LOWER(Registro!$F412)," ",""),CHAR(10),"|"),";","|"),"+","|"),"|",REPT(" ",LEN(Registro!$F412))),({1,2,3,4,5,6,7,8,9,10,11,12,13,14,15,16,17,18,19,20,21,22,23,24,25,26,27,28,29,30}-1)*LEN(Registro!$F412)+1,LEN(Registro!$F412)))&amp;"x")-1)),--("0"&amp;MID(TRIM(MID(SUBSTITUTE(SUBSTITUTE(SUBSTITUTE(SUBSTITUTE(SUBSTITUTE(LOWER(Registro!$F412)," ",""),CHAR(10),"|"),";","|"),"+","|"),"|",REPT(" ",LEN(Registro!$F412))),({1,2,3,4,5,6,7,8,9,10,11,12,13,14,15,16,17,18,19,20,21,22,23,24,25,26,27,28,29,30}-1)*LEN(Registro!$F412)+1,LEN(Registro!$F412))),FIND("x",TRIM(MID(SUBSTITUTE(SUBSTITUTE(SUBSTITUTE(SUBSTITUTE(SUBSTITUTE(LOWER(Registro!$F412)," ",""),CHAR(10),"|"),";","|"),"+","|"),"|",REPT(" ",LEN(Registro!$F412))),({1,2,3,4,5,6,7,8,9,10,11,12,13,14,15,16,17,18,19,20,21,22,23,24,25,26,27,28,29,30}-1)*LEN(Registro!$F412)+1,LEN(Registro!$F412)))&amp;"x")+1,20))),"Revisar formato")))</f>
        <v/>
      </c>
      <c r="H412" s="21" t="str">
        <f>IF(AND(Registro!$E412="",Registro!$F412=""),"",IF(NOT(AND(ISNUMBER(G412),ISNUMBER(Registro!$G412))),"",IF(G412&lt;Registro!$G412,"FALTA BOLETOS",IF(G412=Registro!$G412,"CONFORME","DIFERENCIA"))))</f>
        <v/>
      </c>
      <c r="I412" s="24" t="str">
        <f>IF(Registro!$H412="","",IFERROR(SUMPRODUCT(--("0"&amp;TRIM(RIGHT(SUBSTITUTE(TRIM(MID(SUBSTITUTE(SUBSTITUTE(Registro!$H412,";",CHAR(10)),CHAR(10),REPT(" ",LEN(Registro!$H412))),({1,2,3,4,5,6,7,8,9,10,11,12,13,14,15,16,17,18,19,20,21,22,23,24,25,26,27,28,29,30}-1)*LEN(Registro!$H412)+1,LEN(Registro!$H412)))," ",REPT(" ",50)),50)))),"Revisar formato"))</f>
        <v/>
      </c>
      <c r="J412" s="24" t="str">
        <f>IF(Registro!$I412="","",IFERROR(SUMPRODUCT(--("0"&amp;TRIM(RIGHT(SUBSTITUTE(TRIM(MID(SUBSTITUTE(SUBSTITUTE(Registro!$I412,";",CHAR(10)),CHAR(10),REPT(" ",LEN(Registro!$I412))),({1,2,3,4,5,6,7,8,9,10,11,12,13,14,15,16,17,18,19,20,21,22,23,24,25,26,27,28,29,30}-1)*LEN(Registro!$I412)+1,LEN(Registro!$I412)))," ",REPT(" ",50)),50)))),"Revisar formato"))</f>
        <v/>
      </c>
      <c r="K412" s="24" t="str">
        <f>IF(AND(Registro!$G412="",Registro!$H412=""),"",IF(AND(ISTEXT(I412),I412&lt;&gt;""),"Revisar formato",N(Registro!$G412)-N(I412)))</f>
        <v/>
      </c>
      <c r="L412" s="24" t="str">
        <f t="shared" si="13"/>
        <v/>
      </c>
      <c r="M412" s="36" t="str">
        <f>IF(AND(A412=Consulta!$B$3,C412=Consulta!$H$3),B412*10000+ROW(),"")</f>
        <v/>
      </c>
    </row>
    <row r="413" spans="1:13" x14ac:dyDescent="0.25">
      <c r="A413" s="21" t="str">
        <f>IF(Registro!$A413="","",Registro!$A413)</f>
        <v/>
      </c>
      <c r="B413" s="20" t="str">
        <f>IF(Registro!$B413="","",Registro!$B413)</f>
        <v/>
      </c>
      <c r="C413" s="35" t="str">
        <f t="shared" si="12"/>
        <v/>
      </c>
      <c r="D413" s="23" t="str">
        <f>IF(Registro!$E413="","",IF(ISERROR(FIND("x",LOWER(Registro!$E413))),"-",IFERROR(SUMPRODUCT(--("0"&amp;LEFT(TRIM(MID(SUBSTITUTE(SUBSTITUTE(SUBSTITUTE(SUBSTITUTE(SUBSTITUTE(LOWER(Registro!$E413),"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",LEN(Registro!$E413))),({1,2,3,4,5,6,7,8,9,10,11,12,13,14,15,16,17,18,19,20,21,22,23,24,25,26,27,28,29,30}-1)*LEN(Registro!$E413)+1,LEN(Registro!$E413))),FIND("x",TRIM(MID(SUBSTITUTE(SUBSTITUTE(SUBSTITUTE(SUBSTITUTE(SUBSTITUTE(LOWER(Registro!$E413),"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",LEN(Registro!$E413))),({1,2,3,4,5,6,7,8,9,10,11,12,13,14,15,16,17,18,19,20,21,22,23,24,25,26,27,28,29,30}-1)*LEN(Registro!$E413)+1,LEN(Registro!$E413)))&amp;"x")-1))),"Revisar formato")))</f>
        <v/>
      </c>
      <c r="E413" s="24" t="str">
        <f>IF(Registro!$E413="","",IF(ISERROR(FIND("x",LOWER(Registro!$E413))),"-",IFERROR(SUMPRODUCT(--("0"&amp;LEFT(TRIM(MID(SUBSTITUTE(SUBSTITUTE(SUBSTITUTE(SUBSTITUTE(SUBSTITUTE(LOWER(Registro!$E413),"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",LEN(Registro!$E413))),({1,2,3,4,5,6,7,8,9,10,11,12,13,14,15,16,17,18,19,20,21,22,23,24,25,26,27,28,29,30}-1)*LEN(Registro!$E413)+1,LEN(Registro!$E413))),FIND("x",TRIM(MID(SUBSTITUTE(SUBSTITUTE(SUBSTITUTE(SUBSTITUTE(SUBSTITUTE(LOWER(Registro!$E413),"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",LEN(Registro!$E413))),({1,2,3,4,5,6,7,8,9,10,11,12,13,14,15,16,17,18,19,20,21,22,23,24,25,26,27,28,29,30}-1)*LEN(Registro!$E413)+1,LEN(Registro!$E413)))&amp;"x")-1)),--("0"&amp;MID(TRIM(MID(SUBSTITUTE(SUBSTITUTE(SUBSTITUTE(SUBSTITUTE(SUBSTITUTE(LOWER(Registro!$E413),"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",LEN(Registro!$E413))),({1,2,3,4,5,6,7,8,9,10,11,12,13,14,15,16,17,18,19,20,21,22,23,24,25,26,27,28,29,30}-1)*LEN(Registro!$E413)+1,LEN(Registro!$E413))),FIND("x",TRIM(MID(SUBSTITUTE(SUBSTITUTE(SUBSTITUTE(SUBSTITUTE(SUBSTITUTE(LOWER(Registro!$E413),"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",LEN(Registro!$E413))),({1,2,3,4,5,6,7,8,9,10,11,12,13,14,15,16,17,18,19,20,21,22,23,24,25,26,27,28,29,30}-1)*LEN(Registro!$E413)+1,LEN(Registro!$E413)))&amp;"x")+1,20))),"Revisar formato")))</f>
        <v/>
      </c>
      <c r="F413" s="23" t="str">
        <f>IF(Registro!$F413="","",IF(ISERROR(FIND("x",LOWER(Registro!$F413))),"-",IFERROR(SUMPRODUCT(--("0"&amp;LEFT(TRIM(MID(SUBSTITUTE(SUBSTITUTE(SUBSTITUTE(SUBSTITUTE(SUBSTITUTE(LOWER(Registro!$F413)," ",""),CHAR(10),"|"),";","|"),"+","|"),"|",REPT(" ",LEN(Registro!$F413))),({1,2,3,4,5,6,7,8,9,10,11,12,13,14,15,16,17,18,19,20,21,22,23,24,25,26,27,28,29,30}-1)*LEN(Registro!$F413)+1,LEN(Registro!$F413))),FIND("x",TRIM(MID(SUBSTITUTE(SUBSTITUTE(SUBSTITUTE(SUBSTITUTE(SUBSTITUTE(LOWER(Registro!$F413)," ",""),CHAR(10),"|"),";","|"),"+","|"),"|",REPT(" ",LEN(Registro!$F413))),({1,2,3,4,5,6,7,8,9,10,11,12,13,14,15,16,17,18,19,20,21,22,23,24,25,26,27,28,29,30}-1)*LEN(Registro!$F413)+1,LEN(Registro!$F413)))&amp;"x")-1))),"Revisar formato")))</f>
        <v/>
      </c>
      <c r="G413" s="24" t="str">
        <f>IF(Registro!$F413="","",IF(ISERROR(FIND("x",LOWER(Registro!$F413))),N(Registro!$G413),IFERROR(SUMPRODUCT(--("0"&amp;LEFT(TRIM(MID(SUBSTITUTE(SUBSTITUTE(SUBSTITUTE(SUBSTITUTE(SUBSTITUTE(LOWER(Registro!$F413)," ",""),CHAR(10),"|"),";","|"),"+","|"),"|",REPT(" ",LEN(Registro!$F413))),({1,2,3,4,5,6,7,8,9,10,11,12,13,14,15,16,17,18,19,20,21,22,23,24,25,26,27,28,29,30}-1)*LEN(Registro!$F413)+1,LEN(Registro!$F413))),FIND("x",TRIM(MID(SUBSTITUTE(SUBSTITUTE(SUBSTITUTE(SUBSTITUTE(SUBSTITUTE(LOWER(Registro!$F413)," ",""),CHAR(10),"|"),";","|"),"+","|"),"|",REPT(" ",LEN(Registro!$F413))),({1,2,3,4,5,6,7,8,9,10,11,12,13,14,15,16,17,18,19,20,21,22,23,24,25,26,27,28,29,30}-1)*LEN(Registro!$F413)+1,LEN(Registro!$F413)))&amp;"x")-1)),--("0"&amp;MID(TRIM(MID(SUBSTITUTE(SUBSTITUTE(SUBSTITUTE(SUBSTITUTE(SUBSTITUTE(LOWER(Registro!$F413)," ",""),CHAR(10),"|"),";","|"),"+","|"),"|",REPT(" ",LEN(Registro!$F413))),({1,2,3,4,5,6,7,8,9,10,11,12,13,14,15,16,17,18,19,20,21,22,23,24,25,26,27,28,29,30}-1)*LEN(Registro!$F413)+1,LEN(Registro!$F413))),FIND("x",TRIM(MID(SUBSTITUTE(SUBSTITUTE(SUBSTITUTE(SUBSTITUTE(SUBSTITUTE(LOWER(Registro!$F413)," ",""),CHAR(10),"|"),";","|"),"+","|"),"|",REPT(" ",LEN(Registro!$F413))),({1,2,3,4,5,6,7,8,9,10,11,12,13,14,15,16,17,18,19,20,21,22,23,24,25,26,27,28,29,30}-1)*LEN(Registro!$F413)+1,LEN(Registro!$F413)))&amp;"x")+1,20))),"Revisar formato")))</f>
        <v/>
      </c>
      <c r="H413" s="21" t="str">
        <f>IF(AND(Registro!$E413="",Registro!$F413=""),"",IF(NOT(AND(ISNUMBER(G413),ISNUMBER(Registro!$G413))),"",IF(G413&lt;Registro!$G413,"FALTA BOLETOS",IF(G413=Registro!$G413,"CONFORME","DIFERENCIA"))))</f>
        <v/>
      </c>
      <c r="I413" s="24" t="str">
        <f>IF(Registro!$H413="","",IFERROR(SUMPRODUCT(--("0"&amp;TRIM(RIGHT(SUBSTITUTE(TRIM(MID(SUBSTITUTE(SUBSTITUTE(Registro!$H413,";",CHAR(10)),CHAR(10),REPT(" ",LEN(Registro!$H413))),({1,2,3,4,5,6,7,8,9,10,11,12,13,14,15,16,17,18,19,20,21,22,23,24,25,26,27,28,29,30}-1)*LEN(Registro!$H413)+1,LEN(Registro!$H413)))," ",REPT(" ",50)),50)))),"Revisar formato"))</f>
        <v/>
      </c>
      <c r="J413" s="24" t="str">
        <f>IF(Registro!$I413="","",IFERROR(SUMPRODUCT(--("0"&amp;TRIM(RIGHT(SUBSTITUTE(TRIM(MID(SUBSTITUTE(SUBSTITUTE(Registro!$I413,";",CHAR(10)),CHAR(10),REPT(" ",LEN(Registro!$I413))),({1,2,3,4,5,6,7,8,9,10,11,12,13,14,15,16,17,18,19,20,21,22,23,24,25,26,27,28,29,30}-1)*LEN(Registro!$I413)+1,LEN(Registro!$I413)))," ",REPT(" ",50)),50)))),"Revisar formato"))</f>
        <v/>
      </c>
      <c r="K413" s="24" t="str">
        <f>IF(AND(Registro!$G413="",Registro!$H413=""),"",IF(AND(ISTEXT(I413),I413&lt;&gt;""),"Revisar formato",N(Registro!$G413)-N(I413)))</f>
        <v/>
      </c>
      <c r="L413" s="24" t="str">
        <f t="shared" si="13"/>
        <v/>
      </c>
      <c r="M413" s="36" t="str">
        <f>IF(AND(A413=Consulta!$B$3,C413=Consulta!$H$3),B413*10000+ROW(),"")</f>
        <v/>
      </c>
    </row>
    <row r="414" spans="1:13" x14ac:dyDescent="0.25">
      <c r="A414" s="21" t="str">
        <f>IF(Registro!$A414="","",Registro!$A414)</f>
        <v/>
      </c>
      <c r="B414" s="20" t="str">
        <f>IF(Registro!$B414="","",Registro!$B414)</f>
        <v/>
      </c>
      <c r="C414" s="35" t="str">
        <f t="shared" si="12"/>
        <v/>
      </c>
      <c r="D414" s="23" t="str">
        <f>IF(Registro!$E414="","",IF(ISERROR(FIND("x",LOWER(Registro!$E414))),"-",IFERROR(SUMPRODUCT(--("0"&amp;LEFT(TRIM(MID(SUBSTITUTE(SUBSTITUTE(SUBSTITUTE(SUBSTITUTE(SUBSTITUTE(LOWER(Registro!$E414),"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",LEN(Registro!$E414))),({1,2,3,4,5,6,7,8,9,10,11,12,13,14,15,16,17,18,19,20,21,22,23,24,25,26,27,28,29,30}-1)*LEN(Registro!$E414)+1,LEN(Registro!$E414))),FIND("x",TRIM(MID(SUBSTITUTE(SUBSTITUTE(SUBSTITUTE(SUBSTITUTE(SUBSTITUTE(LOWER(Registro!$E414),"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",LEN(Registro!$E414))),({1,2,3,4,5,6,7,8,9,10,11,12,13,14,15,16,17,18,19,20,21,22,23,24,25,26,27,28,29,30}-1)*LEN(Registro!$E414)+1,LEN(Registro!$E414)))&amp;"x")-1))),"Revisar formato")))</f>
        <v/>
      </c>
      <c r="E414" s="24" t="str">
        <f>IF(Registro!$E414="","",IF(ISERROR(FIND("x",LOWER(Registro!$E414))),"-",IFERROR(SUMPRODUCT(--("0"&amp;LEFT(TRIM(MID(SUBSTITUTE(SUBSTITUTE(SUBSTITUTE(SUBSTITUTE(SUBSTITUTE(LOWER(Registro!$E414),"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",LEN(Registro!$E414))),({1,2,3,4,5,6,7,8,9,10,11,12,13,14,15,16,17,18,19,20,21,22,23,24,25,26,27,28,29,30}-1)*LEN(Registro!$E414)+1,LEN(Registro!$E414))),FIND("x",TRIM(MID(SUBSTITUTE(SUBSTITUTE(SUBSTITUTE(SUBSTITUTE(SUBSTITUTE(LOWER(Registro!$E414),"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",LEN(Registro!$E414))),({1,2,3,4,5,6,7,8,9,10,11,12,13,14,15,16,17,18,19,20,21,22,23,24,25,26,27,28,29,30}-1)*LEN(Registro!$E414)+1,LEN(Registro!$E414)))&amp;"x")-1)),--("0"&amp;MID(TRIM(MID(SUBSTITUTE(SUBSTITUTE(SUBSTITUTE(SUBSTITUTE(SUBSTITUTE(LOWER(Registro!$E414),"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",LEN(Registro!$E414))),({1,2,3,4,5,6,7,8,9,10,11,12,13,14,15,16,17,18,19,20,21,22,23,24,25,26,27,28,29,30}-1)*LEN(Registro!$E414)+1,LEN(Registro!$E414))),FIND("x",TRIM(MID(SUBSTITUTE(SUBSTITUTE(SUBSTITUTE(SUBSTITUTE(SUBSTITUTE(LOWER(Registro!$E414),"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",LEN(Registro!$E414))),({1,2,3,4,5,6,7,8,9,10,11,12,13,14,15,16,17,18,19,20,21,22,23,24,25,26,27,28,29,30}-1)*LEN(Registro!$E414)+1,LEN(Registro!$E414)))&amp;"x")+1,20))),"Revisar formato")))</f>
        <v/>
      </c>
      <c r="F414" s="23" t="str">
        <f>IF(Registro!$F414="","",IF(ISERROR(FIND("x",LOWER(Registro!$F414))),"-",IFERROR(SUMPRODUCT(--("0"&amp;LEFT(TRIM(MID(SUBSTITUTE(SUBSTITUTE(SUBSTITUTE(SUBSTITUTE(SUBSTITUTE(LOWER(Registro!$F414)," ",""),CHAR(10),"|"),";","|"),"+","|"),"|",REPT(" ",LEN(Registro!$F414))),({1,2,3,4,5,6,7,8,9,10,11,12,13,14,15,16,17,18,19,20,21,22,23,24,25,26,27,28,29,30}-1)*LEN(Registro!$F414)+1,LEN(Registro!$F414))),FIND("x",TRIM(MID(SUBSTITUTE(SUBSTITUTE(SUBSTITUTE(SUBSTITUTE(SUBSTITUTE(LOWER(Registro!$F414)," ",""),CHAR(10),"|"),";","|"),"+","|"),"|",REPT(" ",LEN(Registro!$F414))),({1,2,3,4,5,6,7,8,9,10,11,12,13,14,15,16,17,18,19,20,21,22,23,24,25,26,27,28,29,30}-1)*LEN(Registro!$F414)+1,LEN(Registro!$F414)))&amp;"x")-1))),"Revisar formato")))</f>
        <v/>
      </c>
      <c r="G414" s="24" t="str">
        <f>IF(Registro!$F414="","",IF(ISERROR(FIND("x",LOWER(Registro!$F414))),N(Registro!$G414),IFERROR(SUMPRODUCT(--("0"&amp;LEFT(TRIM(MID(SUBSTITUTE(SUBSTITUTE(SUBSTITUTE(SUBSTITUTE(SUBSTITUTE(LOWER(Registro!$F414)," ",""),CHAR(10),"|"),";","|"),"+","|"),"|",REPT(" ",LEN(Registro!$F414))),({1,2,3,4,5,6,7,8,9,10,11,12,13,14,15,16,17,18,19,20,21,22,23,24,25,26,27,28,29,30}-1)*LEN(Registro!$F414)+1,LEN(Registro!$F414))),FIND("x",TRIM(MID(SUBSTITUTE(SUBSTITUTE(SUBSTITUTE(SUBSTITUTE(SUBSTITUTE(LOWER(Registro!$F414)," ",""),CHAR(10),"|"),";","|"),"+","|"),"|",REPT(" ",LEN(Registro!$F414))),({1,2,3,4,5,6,7,8,9,10,11,12,13,14,15,16,17,18,19,20,21,22,23,24,25,26,27,28,29,30}-1)*LEN(Registro!$F414)+1,LEN(Registro!$F414)))&amp;"x")-1)),--("0"&amp;MID(TRIM(MID(SUBSTITUTE(SUBSTITUTE(SUBSTITUTE(SUBSTITUTE(SUBSTITUTE(LOWER(Registro!$F414)," ",""),CHAR(10),"|"),";","|"),"+","|"),"|",REPT(" ",LEN(Registro!$F414))),({1,2,3,4,5,6,7,8,9,10,11,12,13,14,15,16,17,18,19,20,21,22,23,24,25,26,27,28,29,30}-1)*LEN(Registro!$F414)+1,LEN(Registro!$F414))),FIND("x",TRIM(MID(SUBSTITUTE(SUBSTITUTE(SUBSTITUTE(SUBSTITUTE(SUBSTITUTE(LOWER(Registro!$F414)," ",""),CHAR(10),"|"),";","|"),"+","|"),"|",REPT(" ",LEN(Registro!$F414))),({1,2,3,4,5,6,7,8,9,10,11,12,13,14,15,16,17,18,19,20,21,22,23,24,25,26,27,28,29,30}-1)*LEN(Registro!$F414)+1,LEN(Registro!$F414)))&amp;"x")+1,20))),"Revisar formato")))</f>
        <v/>
      </c>
      <c r="H414" s="21" t="str">
        <f>IF(AND(Registro!$E414="",Registro!$F414=""),"",IF(NOT(AND(ISNUMBER(G414),ISNUMBER(Registro!$G414))),"",IF(G414&lt;Registro!$G414,"FALTA BOLETOS",IF(G414=Registro!$G414,"CONFORME","DIFERENCIA"))))</f>
        <v/>
      </c>
      <c r="I414" s="24" t="str">
        <f>IF(Registro!$H414="","",IFERROR(SUMPRODUCT(--("0"&amp;TRIM(RIGHT(SUBSTITUTE(TRIM(MID(SUBSTITUTE(SUBSTITUTE(Registro!$H414,";",CHAR(10)),CHAR(10),REPT(" ",LEN(Registro!$H414))),({1,2,3,4,5,6,7,8,9,10,11,12,13,14,15,16,17,18,19,20,21,22,23,24,25,26,27,28,29,30}-1)*LEN(Registro!$H414)+1,LEN(Registro!$H414)))," ",REPT(" ",50)),50)))),"Revisar formato"))</f>
        <v/>
      </c>
      <c r="J414" s="24" t="str">
        <f>IF(Registro!$I414="","",IFERROR(SUMPRODUCT(--("0"&amp;TRIM(RIGHT(SUBSTITUTE(TRIM(MID(SUBSTITUTE(SUBSTITUTE(Registro!$I414,";",CHAR(10)),CHAR(10),REPT(" ",LEN(Registro!$I414))),({1,2,3,4,5,6,7,8,9,10,11,12,13,14,15,16,17,18,19,20,21,22,23,24,25,26,27,28,29,30}-1)*LEN(Registro!$I414)+1,LEN(Registro!$I414)))," ",REPT(" ",50)),50)))),"Revisar formato"))</f>
        <v/>
      </c>
      <c r="K414" s="24" t="str">
        <f>IF(AND(Registro!$G414="",Registro!$H414=""),"",IF(AND(ISTEXT(I414),I414&lt;&gt;""),"Revisar formato",N(Registro!$G414)-N(I414)))</f>
        <v/>
      </c>
      <c r="L414" s="24" t="str">
        <f t="shared" si="13"/>
        <v/>
      </c>
      <c r="M414" s="36" t="str">
        <f>IF(AND(A414=Consulta!$B$3,C414=Consulta!$H$3),B414*10000+ROW(),"")</f>
        <v/>
      </c>
    </row>
    <row r="415" spans="1:13" x14ac:dyDescent="0.25">
      <c r="A415" s="21" t="str">
        <f>IF(Registro!$A415="","",Registro!$A415)</f>
        <v/>
      </c>
      <c r="B415" s="20" t="str">
        <f>IF(Registro!$B415="","",Registro!$B415)</f>
        <v/>
      </c>
      <c r="C415" s="35" t="str">
        <f t="shared" si="12"/>
        <v/>
      </c>
      <c r="D415" s="23" t="str">
        <f>IF(Registro!$E415="","",IF(ISERROR(FIND("x",LOWER(Registro!$E415))),"-",IFERROR(SUMPRODUCT(--("0"&amp;LEFT(TRIM(MID(SUBSTITUTE(SUBSTITUTE(SUBSTITUTE(SUBSTITUTE(SUBSTITUTE(LOWER(Registro!$E415),"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",LEN(Registro!$E415))),({1,2,3,4,5,6,7,8,9,10,11,12,13,14,15,16,17,18,19,20,21,22,23,24,25,26,27,28,29,30}-1)*LEN(Registro!$E415)+1,LEN(Registro!$E415))),FIND("x",TRIM(MID(SUBSTITUTE(SUBSTITUTE(SUBSTITUTE(SUBSTITUTE(SUBSTITUTE(LOWER(Registro!$E415),"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",LEN(Registro!$E415))),({1,2,3,4,5,6,7,8,9,10,11,12,13,14,15,16,17,18,19,20,21,22,23,24,25,26,27,28,29,30}-1)*LEN(Registro!$E415)+1,LEN(Registro!$E415)))&amp;"x")-1))),"Revisar formato")))</f>
        <v/>
      </c>
      <c r="E415" s="24" t="str">
        <f>IF(Registro!$E415="","",IF(ISERROR(FIND("x",LOWER(Registro!$E415))),"-",IFERROR(SUMPRODUCT(--("0"&amp;LEFT(TRIM(MID(SUBSTITUTE(SUBSTITUTE(SUBSTITUTE(SUBSTITUTE(SUBSTITUTE(LOWER(Registro!$E415),"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",LEN(Registro!$E415))),({1,2,3,4,5,6,7,8,9,10,11,12,13,14,15,16,17,18,19,20,21,22,23,24,25,26,27,28,29,30}-1)*LEN(Registro!$E415)+1,LEN(Registro!$E415))),FIND("x",TRIM(MID(SUBSTITUTE(SUBSTITUTE(SUBSTITUTE(SUBSTITUTE(SUBSTITUTE(LOWER(Registro!$E415),"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",LEN(Registro!$E415))),({1,2,3,4,5,6,7,8,9,10,11,12,13,14,15,16,17,18,19,20,21,22,23,24,25,26,27,28,29,30}-1)*LEN(Registro!$E415)+1,LEN(Registro!$E415)))&amp;"x")-1)),--("0"&amp;MID(TRIM(MID(SUBSTITUTE(SUBSTITUTE(SUBSTITUTE(SUBSTITUTE(SUBSTITUTE(LOWER(Registro!$E415),"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",LEN(Registro!$E415))),({1,2,3,4,5,6,7,8,9,10,11,12,13,14,15,16,17,18,19,20,21,22,23,24,25,26,27,28,29,30}-1)*LEN(Registro!$E415)+1,LEN(Registro!$E415))),FIND("x",TRIM(MID(SUBSTITUTE(SUBSTITUTE(SUBSTITUTE(SUBSTITUTE(SUBSTITUTE(LOWER(Registro!$E415),"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",LEN(Registro!$E415))),({1,2,3,4,5,6,7,8,9,10,11,12,13,14,15,16,17,18,19,20,21,22,23,24,25,26,27,28,29,30}-1)*LEN(Registro!$E415)+1,LEN(Registro!$E415)))&amp;"x")+1,20))),"Revisar formato")))</f>
        <v/>
      </c>
      <c r="F415" s="23" t="str">
        <f>IF(Registro!$F415="","",IF(ISERROR(FIND("x",LOWER(Registro!$F415))),"-",IFERROR(SUMPRODUCT(--("0"&amp;LEFT(TRIM(MID(SUBSTITUTE(SUBSTITUTE(SUBSTITUTE(SUBSTITUTE(SUBSTITUTE(LOWER(Registro!$F415)," ",""),CHAR(10),"|"),";","|"),"+","|"),"|",REPT(" ",LEN(Registro!$F415))),({1,2,3,4,5,6,7,8,9,10,11,12,13,14,15,16,17,18,19,20,21,22,23,24,25,26,27,28,29,30}-1)*LEN(Registro!$F415)+1,LEN(Registro!$F415))),FIND("x",TRIM(MID(SUBSTITUTE(SUBSTITUTE(SUBSTITUTE(SUBSTITUTE(SUBSTITUTE(LOWER(Registro!$F415)," ",""),CHAR(10),"|"),";","|"),"+","|"),"|",REPT(" ",LEN(Registro!$F415))),({1,2,3,4,5,6,7,8,9,10,11,12,13,14,15,16,17,18,19,20,21,22,23,24,25,26,27,28,29,30}-1)*LEN(Registro!$F415)+1,LEN(Registro!$F415)))&amp;"x")-1))),"Revisar formato")))</f>
        <v/>
      </c>
      <c r="G415" s="24" t="str">
        <f>IF(Registro!$F415="","",IF(ISERROR(FIND("x",LOWER(Registro!$F415))),N(Registro!$G415),IFERROR(SUMPRODUCT(--("0"&amp;LEFT(TRIM(MID(SUBSTITUTE(SUBSTITUTE(SUBSTITUTE(SUBSTITUTE(SUBSTITUTE(LOWER(Registro!$F415)," ",""),CHAR(10),"|"),";","|"),"+","|"),"|",REPT(" ",LEN(Registro!$F415))),({1,2,3,4,5,6,7,8,9,10,11,12,13,14,15,16,17,18,19,20,21,22,23,24,25,26,27,28,29,30}-1)*LEN(Registro!$F415)+1,LEN(Registro!$F415))),FIND("x",TRIM(MID(SUBSTITUTE(SUBSTITUTE(SUBSTITUTE(SUBSTITUTE(SUBSTITUTE(LOWER(Registro!$F415)," ",""),CHAR(10),"|"),";","|"),"+","|"),"|",REPT(" ",LEN(Registro!$F415))),({1,2,3,4,5,6,7,8,9,10,11,12,13,14,15,16,17,18,19,20,21,22,23,24,25,26,27,28,29,30}-1)*LEN(Registro!$F415)+1,LEN(Registro!$F415)))&amp;"x")-1)),--("0"&amp;MID(TRIM(MID(SUBSTITUTE(SUBSTITUTE(SUBSTITUTE(SUBSTITUTE(SUBSTITUTE(LOWER(Registro!$F415)," ",""),CHAR(10),"|"),";","|"),"+","|"),"|",REPT(" ",LEN(Registro!$F415))),({1,2,3,4,5,6,7,8,9,10,11,12,13,14,15,16,17,18,19,20,21,22,23,24,25,26,27,28,29,30}-1)*LEN(Registro!$F415)+1,LEN(Registro!$F415))),FIND("x",TRIM(MID(SUBSTITUTE(SUBSTITUTE(SUBSTITUTE(SUBSTITUTE(SUBSTITUTE(LOWER(Registro!$F415)," ",""),CHAR(10),"|"),";","|"),"+","|"),"|",REPT(" ",LEN(Registro!$F415))),({1,2,3,4,5,6,7,8,9,10,11,12,13,14,15,16,17,18,19,20,21,22,23,24,25,26,27,28,29,30}-1)*LEN(Registro!$F415)+1,LEN(Registro!$F415)))&amp;"x")+1,20))),"Revisar formato")))</f>
        <v/>
      </c>
      <c r="H415" s="21" t="str">
        <f>IF(AND(Registro!$E415="",Registro!$F415=""),"",IF(NOT(AND(ISNUMBER(G415),ISNUMBER(Registro!$G415))),"",IF(G415&lt;Registro!$G415,"FALTA BOLETOS",IF(G415=Registro!$G415,"CONFORME","DIFERENCIA"))))</f>
        <v/>
      </c>
      <c r="I415" s="24" t="str">
        <f>IF(Registro!$H415="","",IFERROR(SUMPRODUCT(--("0"&amp;TRIM(RIGHT(SUBSTITUTE(TRIM(MID(SUBSTITUTE(SUBSTITUTE(Registro!$H415,";",CHAR(10)),CHAR(10),REPT(" ",LEN(Registro!$H415))),({1,2,3,4,5,6,7,8,9,10,11,12,13,14,15,16,17,18,19,20,21,22,23,24,25,26,27,28,29,30}-1)*LEN(Registro!$H415)+1,LEN(Registro!$H415)))," ",REPT(" ",50)),50)))),"Revisar formato"))</f>
        <v/>
      </c>
      <c r="J415" s="24" t="str">
        <f>IF(Registro!$I415="","",IFERROR(SUMPRODUCT(--("0"&amp;TRIM(RIGHT(SUBSTITUTE(TRIM(MID(SUBSTITUTE(SUBSTITUTE(Registro!$I415,";",CHAR(10)),CHAR(10),REPT(" ",LEN(Registro!$I415))),({1,2,3,4,5,6,7,8,9,10,11,12,13,14,15,16,17,18,19,20,21,22,23,24,25,26,27,28,29,30}-1)*LEN(Registro!$I415)+1,LEN(Registro!$I415)))," ",REPT(" ",50)),50)))),"Revisar formato"))</f>
        <v/>
      </c>
      <c r="K415" s="24" t="str">
        <f>IF(AND(Registro!$G415="",Registro!$H415=""),"",IF(AND(ISTEXT(I415),I415&lt;&gt;""),"Revisar formato",N(Registro!$G415)-N(I415)))</f>
        <v/>
      </c>
      <c r="L415" s="24" t="str">
        <f t="shared" si="13"/>
        <v/>
      </c>
      <c r="M415" s="36" t="str">
        <f>IF(AND(A415=Consulta!$B$3,C415=Consulta!$H$3),B415*10000+ROW(),"")</f>
        <v/>
      </c>
    </row>
    <row r="416" spans="1:13" x14ac:dyDescent="0.25">
      <c r="A416" s="21" t="str">
        <f>IF(Registro!$A416="","",Registro!$A416)</f>
        <v/>
      </c>
      <c r="B416" s="20" t="str">
        <f>IF(Registro!$B416="","",Registro!$B416)</f>
        <v/>
      </c>
      <c r="C416" s="35" t="str">
        <f t="shared" si="12"/>
        <v/>
      </c>
      <c r="D416" s="23" t="str">
        <f>IF(Registro!$E416="","",IF(ISERROR(FIND("x",LOWER(Registro!$E416))),"-",IFERROR(SUMPRODUCT(--("0"&amp;LEFT(TRIM(MID(SUBSTITUTE(SUBSTITUTE(SUBSTITUTE(SUBSTITUTE(SUBSTITUTE(LOWER(Registro!$E416),"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",LEN(Registro!$E416))),({1,2,3,4,5,6,7,8,9,10,11,12,13,14,15,16,17,18,19,20,21,22,23,24,25,26,27,28,29,30}-1)*LEN(Registro!$E416)+1,LEN(Registro!$E416))),FIND("x",TRIM(MID(SUBSTITUTE(SUBSTITUTE(SUBSTITUTE(SUBSTITUTE(SUBSTITUTE(LOWER(Registro!$E416),"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",LEN(Registro!$E416))),({1,2,3,4,5,6,7,8,9,10,11,12,13,14,15,16,17,18,19,20,21,22,23,24,25,26,27,28,29,30}-1)*LEN(Registro!$E416)+1,LEN(Registro!$E416)))&amp;"x")-1))),"Revisar formato")))</f>
        <v/>
      </c>
      <c r="E416" s="24" t="str">
        <f>IF(Registro!$E416="","",IF(ISERROR(FIND("x",LOWER(Registro!$E416))),"-",IFERROR(SUMPRODUCT(--("0"&amp;LEFT(TRIM(MID(SUBSTITUTE(SUBSTITUTE(SUBSTITUTE(SUBSTITUTE(SUBSTITUTE(LOWER(Registro!$E416),"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",LEN(Registro!$E416))),({1,2,3,4,5,6,7,8,9,10,11,12,13,14,15,16,17,18,19,20,21,22,23,24,25,26,27,28,29,30}-1)*LEN(Registro!$E416)+1,LEN(Registro!$E416))),FIND("x",TRIM(MID(SUBSTITUTE(SUBSTITUTE(SUBSTITUTE(SUBSTITUTE(SUBSTITUTE(LOWER(Registro!$E416),"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",LEN(Registro!$E416))),({1,2,3,4,5,6,7,8,9,10,11,12,13,14,15,16,17,18,19,20,21,22,23,24,25,26,27,28,29,30}-1)*LEN(Registro!$E416)+1,LEN(Registro!$E416)))&amp;"x")-1)),--("0"&amp;MID(TRIM(MID(SUBSTITUTE(SUBSTITUTE(SUBSTITUTE(SUBSTITUTE(SUBSTITUTE(LOWER(Registro!$E416),"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",LEN(Registro!$E416))),({1,2,3,4,5,6,7,8,9,10,11,12,13,14,15,16,17,18,19,20,21,22,23,24,25,26,27,28,29,30}-1)*LEN(Registro!$E416)+1,LEN(Registro!$E416))),FIND("x",TRIM(MID(SUBSTITUTE(SUBSTITUTE(SUBSTITUTE(SUBSTITUTE(SUBSTITUTE(LOWER(Registro!$E416),"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",LEN(Registro!$E416))),({1,2,3,4,5,6,7,8,9,10,11,12,13,14,15,16,17,18,19,20,21,22,23,24,25,26,27,28,29,30}-1)*LEN(Registro!$E416)+1,LEN(Registro!$E416)))&amp;"x")+1,20))),"Revisar formato")))</f>
        <v/>
      </c>
      <c r="F416" s="23" t="str">
        <f>IF(Registro!$F416="","",IF(ISERROR(FIND("x",LOWER(Registro!$F416))),"-",IFERROR(SUMPRODUCT(--("0"&amp;LEFT(TRIM(MID(SUBSTITUTE(SUBSTITUTE(SUBSTITUTE(SUBSTITUTE(SUBSTITUTE(LOWER(Registro!$F416)," ",""),CHAR(10),"|"),";","|"),"+","|"),"|",REPT(" ",LEN(Registro!$F416))),({1,2,3,4,5,6,7,8,9,10,11,12,13,14,15,16,17,18,19,20,21,22,23,24,25,26,27,28,29,30}-1)*LEN(Registro!$F416)+1,LEN(Registro!$F416))),FIND("x",TRIM(MID(SUBSTITUTE(SUBSTITUTE(SUBSTITUTE(SUBSTITUTE(SUBSTITUTE(LOWER(Registro!$F416)," ",""),CHAR(10),"|"),";","|"),"+","|"),"|",REPT(" ",LEN(Registro!$F416))),({1,2,3,4,5,6,7,8,9,10,11,12,13,14,15,16,17,18,19,20,21,22,23,24,25,26,27,28,29,30}-1)*LEN(Registro!$F416)+1,LEN(Registro!$F416)))&amp;"x")-1))),"Revisar formato")))</f>
        <v/>
      </c>
      <c r="G416" s="24" t="str">
        <f>IF(Registro!$F416="","",IF(ISERROR(FIND("x",LOWER(Registro!$F416))),N(Registro!$G416),IFERROR(SUMPRODUCT(--("0"&amp;LEFT(TRIM(MID(SUBSTITUTE(SUBSTITUTE(SUBSTITUTE(SUBSTITUTE(SUBSTITUTE(LOWER(Registro!$F416)," ",""),CHAR(10),"|"),";","|"),"+","|"),"|",REPT(" ",LEN(Registro!$F416))),({1,2,3,4,5,6,7,8,9,10,11,12,13,14,15,16,17,18,19,20,21,22,23,24,25,26,27,28,29,30}-1)*LEN(Registro!$F416)+1,LEN(Registro!$F416))),FIND("x",TRIM(MID(SUBSTITUTE(SUBSTITUTE(SUBSTITUTE(SUBSTITUTE(SUBSTITUTE(LOWER(Registro!$F416)," ",""),CHAR(10),"|"),";","|"),"+","|"),"|",REPT(" ",LEN(Registro!$F416))),({1,2,3,4,5,6,7,8,9,10,11,12,13,14,15,16,17,18,19,20,21,22,23,24,25,26,27,28,29,30}-1)*LEN(Registro!$F416)+1,LEN(Registro!$F416)))&amp;"x")-1)),--("0"&amp;MID(TRIM(MID(SUBSTITUTE(SUBSTITUTE(SUBSTITUTE(SUBSTITUTE(SUBSTITUTE(LOWER(Registro!$F416)," ",""),CHAR(10),"|"),";","|"),"+","|"),"|",REPT(" ",LEN(Registro!$F416))),({1,2,3,4,5,6,7,8,9,10,11,12,13,14,15,16,17,18,19,20,21,22,23,24,25,26,27,28,29,30}-1)*LEN(Registro!$F416)+1,LEN(Registro!$F416))),FIND("x",TRIM(MID(SUBSTITUTE(SUBSTITUTE(SUBSTITUTE(SUBSTITUTE(SUBSTITUTE(LOWER(Registro!$F416)," ",""),CHAR(10),"|"),";","|"),"+","|"),"|",REPT(" ",LEN(Registro!$F416))),({1,2,3,4,5,6,7,8,9,10,11,12,13,14,15,16,17,18,19,20,21,22,23,24,25,26,27,28,29,30}-1)*LEN(Registro!$F416)+1,LEN(Registro!$F416)))&amp;"x")+1,20))),"Revisar formato")))</f>
        <v/>
      </c>
      <c r="H416" s="21" t="str">
        <f>IF(AND(Registro!$E416="",Registro!$F416=""),"",IF(NOT(AND(ISNUMBER(G416),ISNUMBER(Registro!$G416))),"",IF(G416&lt;Registro!$G416,"FALTA BOLETOS",IF(G416=Registro!$G416,"CONFORME","DIFERENCIA"))))</f>
        <v/>
      </c>
      <c r="I416" s="24" t="str">
        <f>IF(Registro!$H416="","",IFERROR(SUMPRODUCT(--("0"&amp;TRIM(RIGHT(SUBSTITUTE(TRIM(MID(SUBSTITUTE(SUBSTITUTE(Registro!$H416,";",CHAR(10)),CHAR(10),REPT(" ",LEN(Registro!$H416))),({1,2,3,4,5,6,7,8,9,10,11,12,13,14,15,16,17,18,19,20,21,22,23,24,25,26,27,28,29,30}-1)*LEN(Registro!$H416)+1,LEN(Registro!$H416)))," ",REPT(" ",50)),50)))),"Revisar formato"))</f>
        <v/>
      </c>
      <c r="J416" s="24" t="str">
        <f>IF(Registro!$I416="","",IFERROR(SUMPRODUCT(--("0"&amp;TRIM(RIGHT(SUBSTITUTE(TRIM(MID(SUBSTITUTE(SUBSTITUTE(Registro!$I416,";",CHAR(10)),CHAR(10),REPT(" ",LEN(Registro!$I416))),({1,2,3,4,5,6,7,8,9,10,11,12,13,14,15,16,17,18,19,20,21,22,23,24,25,26,27,28,29,30}-1)*LEN(Registro!$I416)+1,LEN(Registro!$I416)))," ",REPT(" ",50)),50)))),"Revisar formato"))</f>
        <v/>
      </c>
      <c r="K416" s="24" t="str">
        <f>IF(AND(Registro!$G416="",Registro!$H416=""),"",IF(AND(ISTEXT(I416),I416&lt;&gt;""),"Revisar formato",N(Registro!$G416)-N(I416)))</f>
        <v/>
      </c>
      <c r="L416" s="24" t="str">
        <f t="shared" si="13"/>
        <v/>
      </c>
      <c r="M416" s="36" t="str">
        <f>IF(AND(A416=Consulta!$B$3,C416=Consulta!$H$3),B416*10000+ROW(),"")</f>
        <v/>
      </c>
    </row>
    <row r="417" spans="1:13" x14ac:dyDescent="0.25">
      <c r="A417" s="21" t="str">
        <f>IF(Registro!$A417="","",Registro!$A417)</f>
        <v/>
      </c>
      <c r="B417" s="20" t="str">
        <f>IF(Registro!$B417="","",Registro!$B417)</f>
        <v/>
      </c>
      <c r="C417" s="35" t="str">
        <f t="shared" si="12"/>
        <v/>
      </c>
      <c r="D417" s="23" t="str">
        <f>IF(Registro!$E417="","",IF(ISERROR(FIND("x",LOWER(Registro!$E417))),"-",IFERROR(SUMPRODUCT(--("0"&amp;LEFT(TRIM(MID(SUBSTITUTE(SUBSTITUTE(SUBSTITUTE(SUBSTITUTE(SUBSTITUTE(LOWER(Registro!$E417),"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",LEN(Registro!$E417))),({1,2,3,4,5,6,7,8,9,10,11,12,13,14,15,16,17,18,19,20,21,22,23,24,25,26,27,28,29,30}-1)*LEN(Registro!$E417)+1,LEN(Registro!$E417))),FIND("x",TRIM(MID(SUBSTITUTE(SUBSTITUTE(SUBSTITUTE(SUBSTITUTE(SUBSTITUTE(LOWER(Registro!$E417),"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",LEN(Registro!$E417))),({1,2,3,4,5,6,7,8,9,10,11,12,13,14,15,16,17,18,19,20,21,22,23,24,25,26,27,28,29,30}-1)*LEN(Registro!$E417)+1,LEN(Registro!$E417)))&amp;"x")-1))),"Revisar formato")))</f>
        <v/>
      </c>
      <c r="E417" s="24" t="str">
        <f>IF(Registro!$E417="","",IF(ISERROR(FIND("x",LOWER(Registro!$E417))),"-",IFERROR(SUMPRODUCT(--("0"&amp;LEFT(TRIM(MID(SUBSTITUTE(SUBSTITUTE(SUBSTITUTE(SUBSTITUTE(SUBSTITUTE(LOWER(Registro!$E417),"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",LEN(Registro!$E417))),({1,2,3,4,5,6,7,8,9,10,11,12,13,14,15,16,17,18,19,20,21,22,23,24,25,26,27,28,29,30}-1)*LEN(Registro!$E417)+1,LEN(Registro!$E417))),FIND("x",TRIM(MID(SUBSTITUTE(SUBSTITUTE(SUBSTITUTE(SUBSTITUTE(SUBSTITUTE(LOWER(Registro!$E417),"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",LEN(Registro!$E417))),({1,2,3,4,5,6,7,8,9,10,11,12,13,14,15,16,17,18,19,20,21,22,23,24,25,26,27,28,29,30}-1)*LEN(Registro!$E417)+1,LEN(Registro!$E417)))&amp;"x")-1)),--("0"&amp;MID(TRIM(MID(SUBSTITUTE(SUBSTITUTE(SUBSTITUTE(SUBSTITUTE(SUBSTITUTE(LOWER(Registro!$E417),"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",LEN(Registro!$E417))),({1,2,3,4,5,6,7,8,9,10,11,12,13,14,15,16,17,18,19,20,21,22,23,24,25,26,27,28,29,30}-1)*LEN(Registro!$E417)+1,LEN(Registro!$E417))),FIND("x",TRIM(MID(SUBSTITUTE(SUBSTITUTE(SUBSTITUTE(SUBSTITUTE(SUBSTITUTE(LOWER(Registro!$E417),"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",LEN(Registro!$E417))),({1,2,3,4,5,6,7,8,9,10,11,12,13,14,15,16,17,18,19,20,21,22,23,24,25,26,27,28,29,30}-1)*LEN(Registro!$E417)+1,LEN(Registro!$E417)))&amp;"x")+1,20))),"Revisar formato")))</f>
        <v/>
      </c>
      <c r="F417" s="23" t="str">
        <f>IF(Registro!$F417="","",IF(ISERROR(FIND("x",LOWER(Registro!$F417))),"-",IFERROR(SUMPRODUCT(--("0"&amp;LEFT(TRIM(MID(SUBSTITUTE(SUBSTITUTE(SUBSTITUTE(SUBSTITUTE(SUBSTITUTE(LOWER(Registro!$F417)," ",""),CHAR(10),"|"),";","|"),"+","|"),"|",REPT(" ",LEN(Registro!$F417))),({1,2,3,4,5,6,7,8,9,10,11,12,13,14,15,16,17,18,19,20,21,22,23,24,25,26,27,28,29,30}-1)*LEN(Registro!$F417)+1,LEN(Registro!$F417))),FIND("x",TRIM(MID(SUBSTITUTE(SUBSTITUTE(SUBSTITUTE(SUBSTITUTE(SUBSTITUTE(LOWER(Registro!$F417)," ",""),CHAR(10),"|"),";","|"),"+","|"),"|",REPT(" ",LEN(Registro!$F417))),({1,2,3,4,5,6,7,8,9,10,11,12,13,14,15,16,17,18,19,20,21,22,23,24,25,26,27,28,29,30}-1)*LEN(Registro!$F417)+1,LEN(Registro!$F417)))&amp;"x")-1))),"Revisar formato")))</f>
        <v/>
      </c>
      <c r="G417" s="24" t="str">
        <f>IF(Registro!$F417="","",IF(ISERROR(FIND("x",LOWER(Registro!$F417))),N(Registro!$G417),IFERROR(SUMPRODUCT(--("0"&amp;LEFT(TRIM(MID(SUBSTITUTE(SUBSTITUTE(SUBSTITUTE(SUBSTITUTE(SUBSTITUTE(LOWER(Registro!$F417)," ",""),CHAR(10),"|"),";","|"),"+","|"),"|",REPT(" ",LEN(Registro!$F417))),({1,2,3,4,5,6,7,8,9,10,11,12,13,14,15,16,17,18,19,20,21,22,23,24,25,26,27,28,29,30}-1)*LEN(Registro!$F417)+1,LEN(Registro!$F417))),FIND("x",TRIM(MID(SUBSTITUTE(SUBSTITUTE(SUBSTITUTE(SUBSTITUTE(SUBSTITUTE(LOWER(Registro!$F417)," ",""),CHAR(10),"|"),";","|"),"+","|"),"|",REPT(" ",LEN(Registro!$F417))),({1,2,3,4,5,6,7,8,9,10,11,12,13,14,15,16,17,18,19,20,21,22,23,24,25,26,27,28,29,30}-1)*LEN(Registro!$F417)+1,LEN(Registro!$F417)))&amp;"x")-1)),--("0"&amp;MID(TRIM(MID(SUBSTITUTE(SUBSTITUTE(SUBSTITUTE(SUBSTITUTE(SUBSTITUTE(LOWER(Registro!$F417)," ",""),CHAR(10),"|"),";","|"),"+","|"),"|",REPT(" ",LEN(Registro!$F417))),({1,2,3,4,5,6,7,8,9,10,11,12,13,14,15,16,17,18,19,20,21,22,23,24,25,26,27,28,29,30}-1)*LEN(Registro!$F417)+1,LEN(Registro!$F417))),FIND("x",TRIM(MID(SUBSTITUTE(SUBSTITUTE(SUBSTITUTE(SUBSTITUTE(SUBSTITUTE(LOWER(Registro!$F417)," ",""),CHAR(10),"|"),";","|"),"+","|"),"|",REPT(" ",LEN(Registro!$F417))),({1,2,3,4,5,6,7,8,9,10,11,12,13,14,15,16,17,18,19,20,21,22,23,24,25,26,27,28,29,30}-1)*LEN(Registro!$F417)+1,LEN(Registro!$F417)))&amp;"x")+1,20))),"Revisar formato")))</f>
        <v/>
      </c>
      <c r="H417" s="21" t="str">
        <f>IF(AND(Registro!$E417="",Registro!$F417=""),"",IF(NOT(AND(ISNUMBER(G417),ISNUMBER(Registro!$G417))),"",IF(G417&lt;Registro!$G417,"FALTA BOLETOS",IF(G417=Registro!$G417,"CONFORME","DIFERENCIA"))))</f>
        <v/>
      </c>
      <c r="I417" s="24" t="str">
        <f>IF(Registro!$H417="","",IFERROR(SUMPRODUCT(--("0"&amp;TRIM(RIGHT(SUBSTITUTE(TRIM(MID(SUBSTITUTE(SUBSTITUTE(Registro!$H417,";",CHAR(10)),CHAR(10),REPT(" ",LEN(Registro!$H417))),({1,2,3,4,5,6,7,8,9,10,11,12,13,14,15,16,17,18,19,20,21,22,23,24,25,26,27,28,29,30}-1)*LEN(Registro!$H417)+1,LEN(Registro!$H417)))," ",REPT(" ",50)),50)))),"Revisar formato"))</f>
        <v/>
      </c>
      <c r="J417" s="24" t="str">
        <f>IF(Registro!$I417="","",IFERROR(SUMPRODUCT(--("0"&amp;TRIM(RIGHT(SUBSTITUTE(TRIM(MID(SUBSTITUTE(SUBSTITUTE(Registro!$I417,";",CHAR(10)),CHAR(10),REPT(" ",LEN(Registro!$I417))),({1,2,3,4,5,6,7,8,9,10,11,12,13,14,15,16,17,18,19,20,21,22,23,24,25,26,27,28,29,30}-1)*LEN(Registro!$I417)+1,LEN(Registro!$I417)))," ",REPT(" ",50)),50)))),"Revisar formato"))</f>
        <v/>
      </c>
      <c r="K417" s="24" t="str">
        <f>IF(AND(Registro!$G417="",Registro!$H417=""),"",IF(AND(ISTEXT(I417),I417&lt;&gt;""),"Revisar formato",N(Registro!$G417)-N(I417)))</f>
        <v/>
      </c>
      <c r="L417" s="24" t="str">
        <f t="shared" si="13"/>
        <v/>
      </c>
      <c r="M417" s="36" t="str">
        <f>IF(AND(A417=Consulta!$B$3,C417=Consulta!$H$3),B417*10000+ROW(),"")</f>
        <v/>
      </c>
    </row>
    <row r="418" spans="1:13" x14ac:dyDescent="0.25">
      <c r="A418" s="21" t="str">
        <f>IF(Registro!$A418="","",Registro!$A418)</f>
        <v/>
      </c>
      <c r="B418" s="20" t="str">
        <f>IF(Registro!$B418="","",Registro!$B418)</f>
        <v/>
      </c>
      <c r="C418" s="35" t="str">
        <f t="shared" si="12"/>
        <v/>
      </c>
      <c r="D418" s="23" t="str">
        <f>IF(Registro!$E418="","",IF(ISERROR(FIND("x",LOWER(Registro!$E418))),"-",IFERROR(SUMPRODUCT(--("0"&amp;LEFT(TRIM(MID(SUBSTITUTE(SUBSTITUTE(SUBSTITUTE(SUBSTITUTE(SUBSTITUTE(LOWER(Registro!$E418),"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",LEN(Registro!$E418))),({1,2,3,4,5,6,7,8,9,10,11,12,13,14,15,16,17,18,19,20,21,22,23,24,25,26,27,28,29,30}-1)*LEN(Registro!$E418)+1,LEN(Registro!$E418))),FIND("x",TRIM(MID(SUBSTITUTE(SUBSTITUTE(SUBSTITUTE(SUBSTITUTE(SUBSTITUTE(LOWER(Registro!$E418),"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",LEN(Registro!$E418))),({1,2,3,4,5,6,7,8,9,10,11,12,13,14,15,16,17,18,19,20,21,22,23,24,25,26,27,28,29,30}-1)*LEN(Registro!$E418)+1,LEN(Registro!$E418)))&amp;"x")-1))),"Revisar formato")))</f>
        <v/>
      </c>
      <c r="E418" s="24" t="str">
        <f>IF(Registro!$E418="","",IF(ISERROR(FIND("x",LOWER(Registro!$E418))),"-",IFERROR(SUMPRODUCT(--("0"&amp;LEFT(TRIM(MID(SUBSTITUTE(SUBSTITUTE(SUBSTITUTE(SUBSTITUTE(SUBSTITUTE(LOWER(Registro!$E418),"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",LEN(Registro!$E418))),({1,2,3,4,5,6,7,8,9,10,11,12,13,14,15,16,17,18,19,20,21,22,23,24,25,26,27,28,29,30}-1)*LEN(Registro!$E418)+1,LEN(Registro!$E418))),FIND("x",TRIM(MID(SUBSTITUTE(SUBSTITUTE(SUBSTITUTE(SUBSTITUTE(SUBSTITUTE(LOWER(Registro!$E418),"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",LEN(Registro!$E418))),({1,2,3,4,5,6,7,8,9,10,11,12,13,14,15,16,17,18,19,20,21,22,23,24,25,26,27,28,29,30}-1)*LEN(Registro!$E418)+1,LEN(Registro!$E418)))&amp;"x")-1)),--("0"&amp;MID(TRIM(MID(SUBSTITUTE(SUBSTITUTE(SUBSTITUTE(SUBSTITUTE(SUBSTITUTE(LOWER(Registro!$E418),"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",LEN(Registro!$E418))),({1,2,3,4,5,6,7,8,9,10,11,12,13,14,15,16,17,18,19,20,21,22,23,24,25,26,27,28,29,30}-1)*LEN(Registro!$E418)+1,LEN(Registro!$E418))),FIND("x",TRIM(MID(SUBSTITUTE(SUBSTITUTE(SUBSTITUTE(SUBSTITUTE(SUBSTITUTE(LOWER(Registro!$E418),"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",LEN(Registro!$E418))),({1,2,3,4,5,6,7,8,9,10,11,12,13,14,15,16,17,18,19,20,21,22,23,24,25,26,27,28,29,30}-1)*LEN(Registro!$E418)+1,LEN(Registro!$E418)))&amp;"x")+1,20))),"Revisar formato")))</f>
        <v/>
      </c>
      <c r="F418" s="23" t="str">
        <f>IF(Registro!$F418="","",IF(ISERROR(FIND("x",LOWER(Registro!$F418))),"-",IFERROR(SUMPRODUCT(--("0"&amp;LEFT(TRIM(MID(SUBSTITUTE(SUBSTITUTE(SUBSTITUTE(SUBSTITUTE(SUBSTITUTE(LOWER(Registro!$F418)," ",""),CHAR(10),"|"),";","|"),"+","|"),"|",REPT(" ",LEN(Registro!$F418))),({1,2,3,4,5,6,7,8,9,10,11,12,13,14,15,16,17,18,19,20,21,22,23,24,25,26,27,28,29,30}-1)*LEN(Registro!$F418)+1,LEN(Registro!$F418))),FIND("x",TRIM(MID(SUBSTITUTE(SUBSTITUTE(SUBSTITUTE(SUBSTITUTE(SUBSTITUTE(LOWER(Registro!$F418)," ",""),CHAR(10),"|"),";","|"),"+","|"),"|",REPT(" ",LEN(Registro!$F418))),({1,2,3,4,5,6,7,8,9,10,11,12,13,14,15,16,17,18,19,20,21,22,23,24,25,26,27,28,29,30}-1)*LEN(Registro!$F418)+1,LEN(Registro!$F418)))&amp;"x")-1))),"Revisar formato")))</f>
        <v/>
      </c>
      <c r="G418" s="24" t="str">
        <f>IF(Registro!$F418="","",IF(ISERROR(FIND("x",LOWER(Registro!$F418))),N(Registro!$G418),IFERROR(SUMPRODUCT(--("0"&amp;LEFT(TRIM(MID(SUBSTITUTE(SUBSTITUTE(SUBSTITUTE(SUBSTITUTE(SUBSTITUTE(LOWER(Registro!$F418)," ",""),CHAR(10),"|"),";","|"),"+","|"),"|",REPT(" ",LEN(Registro!$F418))),({1,2,3,4,5,6,7,8,9,10,11,12,13,14,15,16,17,18,19,20,21,22,23,24,25,26,27,28,29,30}-1)*LEN(Registro!$F418)+1,LEN(Registro!$F418))),FIND("x",TRIM(MID(SUBSTITUTE(SUBSTITUTE(SUBSTITUTE(SUBSTITUTE(SUBSTITUTE(LOWER(Registro!$F418)," ",""),CHAR(10),"|"),";","|"),"+","|"),"|",REPT(" ",LEN(Registro!$F418))),({1,2,3,4,5,6,7,8,9,10,11,12,13,14,15,16,17,18,19,20,21,22,23,24,25,26,27,28,29,30}-1)*LEN(Registro!$F418)+1,LEN(Registro!$F418)))&amp;"x")-1)),--("0"&amp;MID(TRIM(MID(SUBSTITUTE(SUBSTITUTE(SUBSTITUTE(SUBSTITUTE(SUBSTITUTE(LOWER(Registro!$F418)," ",""),CHAR(10),"|"),";","|"),"+","|"),"|",REPT(" ",LEN(Registro!$F418))),({1,2,3,4,5,6,7,8,9,10,11,12,13,14,15,16,17,18,19,20,21,22,23,24,25,26,27,28,29,30}-1)*LEN(Registro!$F418)+1,LEN(Registro!$F418))),FIND("x",TRIM(MID(SUBSTITUTE(SUBSTITUTE(SUBSTITUTE(SUBSTITUTE(SUBSTITUTE(LOWER(Registro!$F418)," ",""),CHAR(10),"|"),";","|"),"+","|"),"|",REPT(" ",LEN(Registro!$F418))),({1,2,3,4,5,6,7,8,9,10,11,12,13,14,15,16,17,18,19,20,21,22,23,24,25,26,27,28,29,30}-1)*LEN(Registro!$F418)+1,LEN(Registro!$F418)))&amp;"x")+1,20))),"Revisar formato")))</f>
        <v/>
      </c>
      <c r="H418" s="21" t="str">
        <f>IF(AND(Registro!$E418="",Registro!$F418=""),"",IF(NOT(AND(ISNUMBER(G418),ISNUMBER(Registro!$G418))),"",IF(G418&lt;Registro!$G418,"FALTA BOLETOS",IF(G418=Registro!$G418,"CONFORME","DIFERENCIA"))))</f>
        <v/>
      </c>
      <c r="I418" s="24" t="str">
        <f>IF(Registro!$H418="","",IFERROR(SUMPRODUCT(--("0"&amp;TRIM(RIGHT(SUBSTITUTE(TRIM(MID(SUBSTITUTE(SUBSTITUTE(Registro!$H418,";",CHAR(10)),CHAR(10),REPT(" ",LEN(Registro!$H418))),({1,2,3,4,5,6,7,8,9,10,11,12,13,14,15,16,17,18,19,20,21,22,23,24,25,26,27,28,29,30}-1)*LEN(Registro!$H418)+1,LEN(Registro!$H418)))," ",REPT(" ",50)),50)))),"Revisar formato"))</f>
        <v/>
      </c>
      <c r="J418" s="24" t="str">
        <f>IF(Registro!$I418="","",IFERROR(SUMPRODUCT(--("0"&amp;TRIM(RIGHT(SUBSTITUTE(TRIM(MID(SUBSTITUTE(SUBSTITUTE(Registro!$I418,";",CHAR(10)),CHAR(10),REPT(" ",LEN(Registro!$I418))),({1,2,3,4,5,6,7,8,9,10,11,12,13,14,15,16,17,18,19,20,21,22,23,24,25,26,27,28,29,30}-1)*LEN(Registro!$I418)+1,LEN(Registro!$I418)))," ",REPT(" ",50)),50)))),"Revisar formato"))</f>
        <v/>
      </c>
      <c r="K418" s="24" t="str">
        <f>IF(AND(Registro!$G418="",Registro!$H418=""),"",IF(AND(ISTEXT(I418),I418&lt;&gt;""),"Revisar formato",N(Registro!$G418)-N(I418)))</f>
        <v/>
      </c>
      <c r="L418" s="24" t="str">
        <f t="shared" si="13"/>
        <v/>
      </c>
      <c r="M418" s="36" t="str">
        <f>IF(AND(A418=Consulta!$B$3,C418=Consulta!$H$3),B418*10000+ROW(),"")</f>
        <v/>
      </c>
    </row>
    <row r="419" spans="1:13" x14ac:dyDescent="0.25">
      <c r="A419" s="21" t="str">
        <f>IF(Registro!$A419="","",Registro!$A419)</f>
        <v/>
      </c>
      <c r="B419" s="20" t="str">
        <f>IF(Registro!$B419="","",Registro!$B419)</f>
        <v/>
      </c>
      <c r="C419" s="35" t="str">
        <f t="shared" si="12"/>
        <v/>
      </c>
      <c r="D419" s="23" t="str">
        <f>IF(Registro!$E419="","",IF(ISERROR(FIND("x",LOWER(Registro!$E419))),"-",IFERROR(SUMPRODUCT(--("0"&amp;LEFT(TRIM(MID(SUBSTITUTE(SUBSTITUTE(SUBSTITUTE(SUBSTITUTE(SUBSTITUTE(LOWER(Registro!$E419),"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",LEN(Registro!$E419))),({1,2,3,4,5,6,7,8,9,10,11,12,13,14,15,16,17,18,19,20,21,22,23,24,25,26,27,28,29,30}-1)*LEN(Registro!$E419)+1,LEN(Registro!$E419))),FIND("x",TRIM(MID(SUBSTITUTE(SUBSTITUTE(SUBSTITUTE(SUBSTITUTE(SUBSTITUTE(LOWER(Registro!$E419),"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",LEN(Registro!$E419))),({1,2,3,4,5,6,7,8,9,10,11,12,13,14,15,16,17,18,19,20,21,22,23,24,25,26,27,28,29,30}-1)*LEN(Registro!$E419)+1,LEN(Registro!$E419)))&amp;"x")-1))),"Revisar formato")))</f>
        <v/>
      </c>
      <c r="E419" s="24" t="str">
        <f>IF(Registro!$E419="","",IF(ISERROR(FIND("x",LOWER(Registro!$E419))),"-",IFERROR(SUMPRODUCT(--("0"&amp;LEFT(TRIM(MID(SUBSTITUTE(SUBSTITUTE(SUBSTITUTE(SUBSTITUTE(SUBSTITUTE(LOWER(Registro!$E419),"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",LEN(Registro!$E419))),({1,2,3,4,5,6,7,8,9,10,11,12,13,14,15,16,17,18,19,20,21,22,23,24,25,26,27,28,29,30}-1)*LEN(Registro!$E419)+1,LEN(Registro!$E419))),FIND("x",TRIM(MID(SUBSTITUTE(SUBSTITUTE(SUBSTITUTE(SUBSTITUTE(SUBSTITUTE(LOWER(Registro!$E419),"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",LEN(Registro!$E419))),({1,2,3,4,5,6,7,8,9,10,11,12,13,14,15,16,17,18,19,20,21,22,23,24,25,26,27,28,29,30}-1)*LEN(Registro!$E419)+1,LEN(Registro!$E419)))&amp;"x")-1)),--("0"&amp;MID(TRIM(MID(SUBSTITUTE(SUBSTITUTE(SUBSTITUTE(SUBSTITUTE(SUBSTITUTE(LOWER(Registro!$E419),"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",LEN(Registro!$E419))),({1,2,3,4,5,6,7,8,9,10,11,12,13,14,15,16,17,18,19,20,21,22,23,24,25,26,27,28,29,30}-1)*LEN(Registro!$E419)+1,LEN(Registro!$E419))),FIND("x",TRIM(MID(SUBSTITUTE(SUBSTITUTE(SUBSTITUTE(SUBSTITUTE(SUBSTITUTE(LOWER(Registro!$E419),"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",LEN(Registro!$E419))),({1,2,3,4,5,6,7,8,9,10,11,12,13,14,15,16,17,18,19,20,21,22,23,24,25,26,27,28,29,30}-1)*LEN(Registro!$E419)+1,LEN(Registro!$E419)))&amp;"x")+1,20))),"Revisar formato")))</f>
        <v/>
      </c>
      <c r="F419" s="23" t="str">
        <f>IF(Registro!$F419="","",IF(ISERROR(FIND("x",LOWER(Registro!$F419))),"-",IFERROR(SUMPRODUCT(--("0"&amp;LEFT(TRIM(MID(SUBSTITUTE(SUBSTITUTE(SUBSTITUTE(SUBSTITUTE(SUBSTITUTE(LOWER(Registro!$F419)," ",""),CHAR(10),"|"),";","|"),"+","|"),"|",REPT(" ",LEN(Registro!$F419))),({1,2,3,4,5,6,7,8,9,10,11,12,13,14,15,16,17,18,19,20,21,22,23,24,25,26,27,28,29,30}-1)*LEN(Registro!$F419)+1,LEN(Registro!$F419))),FIND("x",TRIM(MID(SUBSTITUTE(SUBSTITUTE(SUBSTITUTE(SUBSTITUTE(SUBSTITUTE(LOWER(Registro!$F419)," ",""),CHAR(10),"|"),";","|"),"+","|"),"|",REPT(" ",LEN(Registro!$F419))),({1,2,3,4,5,6,7,8,9,10,11,12,13,14,15,16,17,18,19,20,21,22,23,24,25,26,27,28,29,30}-1)*LEN(Registro!$F419)+1,LEN(Registro!$F419)))&amp;"x")-1))),"Revisar formato")))</f>
        <v/>
      </c>
      <c r="G419" s="24" t="str">
        <f>IF(Registro!$F419="","",IF(ISERROR(FIND("x",LOWER(Registro!$F419))),N(Registro!$G419),IFERROR(SUMPRODUCT(--("0"&amp;LEFT(TRIM(MID(SUBSTITUTE(SUBSTITUTE(SUBSTITUTE(SUBSTITUTE(SUBSTITUTE(LOWER(Registro!$F419)," ",""),CHAR(10),"|"),";","|"),"+","|"),"|",REPT(" ",LEN(Registro!$F419))),({1,2,3,4,5,6,7,8,9,10,11,12,13,14,15,16,17,18,19,20,21,22,23,24,25,26,27,28,29,30}-1)*LEN(Registro!$F419)+1,LEN(Registro!$F419))),FIND("x",TRIM(MID(SUBSTITUTE(SUBSTITUTE(SUBSTITUTE(SUBSTITUTE(SUBSTITUTE(LOWER(Registro!$F419)," ",""),CHAR(10),"|"),";","|"),"+","|"),"|",REPT(" ",LEN(Registro!$F419))),({1,2,3,4,5,6,7,8,9,10,11,12,13,14,15,16,17,18,19,20,21,22,23,24,25,26,27,28,29,30}-1)*LEN(Registro!$F419)+1,LEN(Registro!$F419)))&amp;"x")-1)),--("0"&amp;MID(TRIM(MID(SUBSTITUTE(SUBSTITUTE(SUBSTITUTE(SUBSTITUTE(SUBSTITUTE(LOWER(Registro!$F419)," ",""),CHAR(10),"|"),";","|"),"+","|"),"|",REPT(" ",LEN(Registro!$F419))),({1,2,3,4,5,6,7,8,9,10,11,12,13,14,15,16,17,18,19,20,21,22,23,24,25,26,27,28,29,30}-1)*LEN(Registro!$F419)+1,LEN(Registro!$F419))),FIND("x",TRIM(MID(SUBSTITUTE(SUBSTITUTE(SUBSTITUTE(SUBSTITUTE(SUBSTITUTE(LOWER(Registro!$F419)," ",""),CHAR(10),"|"),";","|"),"+","|"),"|",REPT(" ",LEN(Registro!$F419))),({1,2,3,4,5,6,7,8,9,10,11,12,13,14,15,16,17,18,19,20,21,22,23,24,25,26,27,28,29,30}-1)*LEN(Registro!$F419)+1,LEN(Registro!$F419)))&amp;"x")+1,20))),"Revisar formato")))</f>
        <v/>
      </c>
      <c r="H419" s="21" t="str">
        <f>IF(AND(Registro!$E419="",Registro!$F419=""),"",IF(NOT(AND(ISNUMBER(G419),ISNUMBER(Registro!$G419))),"",IF(G419&lt;Registro!$G419,"FALTA BOLETOS",IF(G419=Registro!$G419,"CONFORME","DIFERENCIA"))))</f>
        <v/>
      </c>
      <c r="I419" s="24" t="str">
        <f>IF(Registro!$H419="","",IFERROR(SUMPRODUCT(--("0"&amp;TRIM(RIGHT(SUBSTITUTE(TRIM(MID(SUBSTITUTE(SUBSTITUTE(Registro!$H419,";",CHAR(10)),CHAR(10),REPT(" ",LEN(Registro!$H419))),({1,2,3,4,5,6,7,8,9,10,11,12,13,14,15,16,17,18,19,20,21,22,23,24,25,26,27,28,29,30}-1)*LEN(Registro!$H419)+1,LEN(Registro!$H419)))," ",REPT(" ",50)),50)))),"Revisar formato"))</f>
        <v/>
      </c>
      <c r="J419" s="24" t="str">
        <f>IF(Registro!$I419="","",IFERROR(SUMPRODUCT(--("0"&amp;TRIM(RIGHT(SUBSTITUTE(TRIM(MID(SUBSTITUTE(SUBSTITUTE(Registro!$I419,";",CHAR(10)),CHAR(10),REPT(" ",LEN(Registro!$I419))),({1,2,3,4,5,6,7,8,9,10,11,12,13,14,15,16,17,18,19,20,21,22,23,24,25,26,27,28,29,30}-1)*LEN(Registro!$I419)+1,LEN(Registro!$I419)))," ",REPT(" ",50)),50)))),"Revisar formato"))</f>
        <v/>
      </c>
      <c r="K419" s="24" t="str">
        <f>IF(AND(Registro!$G419="",Registro!$H419=""),"",IF(AND(ISTEXT(I419),I419&lt;&gt;""),"Revisar formato",N(Registro!$G419)-N(I419)))</f>
        <v/>
      </c>
      <c r="L419" s="24" t="str">
        <f t="shared" si="13"/>
        <v/>
      </c>
      <c r="M419" s="36" t="str">
        <f>IF(AND(A419=Consulta!$B$3,C419=Consulta!$H$3),B419*10000+ROW(),"")</f>
        <v/>
      </c>
    </row>
    <row r="420" spans="1:13" x14ac:dyDescent="0.25">
      <c r="A420" s="21" t="str">
        <f>IF(Registro!$A420="","",Registro!$A420)</f>
        <v/>
      </c>
      <c r="B420" s="20" t="str">
        <f>IF(Registro!$B420="","",Registro!$B420)</f>
        <v/>
      </c>
      <c r="C420" s="35" t="str">
        <f t="shared" si="12"/>
        <v/>
      </c>
      <c r="D420" s="23" t="str">
        <f>IF(Registro!$E420="","",IF(ISERROR(FIND("x",LOWER(Registro!$E420))),"-",IFERROR(SUMPRODUCT(--("0"&amp;LEFT(TRIM(MID(SUBSTITUTE(SUBSTITUTE(SUBSTITUTE(SUBSTITUTE(SUBSTITUTE(LOWER(Registro!$E420),"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",LEN(Registro!$E420))),({1,2,3,4,5,6,7,8,9,10,11,12,13,14,15,16,17,18,19,20,21,22,23,24,25,26,27,28,29,30}-1)*LEN(Registro!$E420)+1,LEN(Registro!$E420))),FIND("x",TRIM(MID(SUBSTITUTE(SUBSTITUTE(SUBSTITUTE(SUBSTITUTE(SUBSTITUTE(LOWER(Registro!$E420),"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",LEN(Registro!$E420))),({1,2,3,4,5,6,7,8,9,10,11,12,13,14,15,16,17,18,19,20,21,22,23,24,25,26,27,28,29,30}-1)*LEN(Registro!$E420)+1,LEN(Registro!$E420)))&amp;"x")-1))),"Revisar formato")))</f>
        <v/>
      </c>
      <c r="E420" s="24" t="str">
        <f>IF(Registro!$E420="","",IF(ISERROR(FIND("x",LOWER(Registro!$E420))),"-",IFERROR(SUMPRODUCT(--("0"&amp;LEFT(TRIM(MID(SUBSTITUTE(SUBSTITUTE(SUBSTITUTE(SUBSTITUTE(SUBSTITUTE(LOWER(Registro!$E420),"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",LEN(Registro!$E420))),({1,2,3,4,5,6,7,8,9,10,11,12,13,14,15,16,17,18,19,20,21,22,23,24,25,26,27,28,29,30}-1)*LEN(Registro!$E420)+1,LEN(Registro!$E420))),FIND("x",TRIM(MID(SUBSTITUTE(SUBSTITUTE(SUBSTITUTE(SUBSTITUTE(SUBSTITUTE(LOWER(Registro!$E420),"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",LEN(Registro!$E420))),({1,2,3,4,5,6,7,8,9,10,11,12,13,14,15,16,17,18,19,20,21,22,23,24,25,26,27,28,29,30}-1)*LEN(Registro!$E420)+1,LEN(Registro!$E420)))&amp;"x")-1)),--("0"&amp;MID(TRIM(MID(SUBSTITUTE(SUBSTITUTE(SUBSTITUTE(SUBSTITUTE(SUBSTITUTE(LOWER(Registro!$E420),"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",LEN(Registro!$E420))),({1,2,3,4,5,6,7,8,9,10,11,12,13,14,15,16,17,18,19,20,21,22,23,24,25,26,27,28,29,30}-1)*LEN(Registro!$E420)+1,LEN(Registro!$E420))),FIND("x",TRIM(MID(SUBSTITUTE(SUBSTITUTE(SUBSTITUTE(SUBSTITUTE(SUBSTITUTE(LOWER(Registro!$E420),"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",LEN(Registro!$E420))),({1,2,3,4,5,6,7,8,9,10,11,12,13,14,15,16,17,18,19,20,21,22,23,24,25,26,27,28,29,30}-1)*LEN(Registro!$E420)+1,LEN(Registro!$E420)))&amp;"x")+1,20))),"Revisar formato")))</f>
        <v/>
      </c>
      <c r="F420" s="23" t="str">
        <f>IF(Registro!$F420="","",IF(ISERROR(FIND("x",LOWER(Registro!$F420))),"-",IFERROR(SUMPRODUCT(--("0"&amp;LEFT(TRIM(MID(SUBSTITUTE(SUBSTITUTE(SUBSTITUTE(SUBSTITUTE(SUBSTITUTE(LOWER(Registro!$F420)," ",""),CHAR(10),"|"),";","|"),"+","|"),"|",REPT(" ",LEN(Registro!$F420))),({1,2,3,4,5,6,7,8,9,10,11,12,13,14,15,16,17,18,19,20,21,22,23,24,25,26,27,28,29,30}-1)*LEN(Registro!$F420)+1,LEN(Registro!$F420))),FIND("x",TRIM(MID(SUBSTITUTE(SUBSTITUTE(SUBSTITUTE(SUBSTITUTE(SUBSTITUTE(LOWER(Registro!$F420)," ",""),CHAR(10),"|"),";","|"),"+","|"),"|",REPT(" ",LEN(Registro!$F420))),({1,2,3,4,5,6,7,8,9,10,11,12,13,14,15,16,17,18,19,20,21,22,23,24,25,26,27,28,29,30}-1)*LEN(Registro!$F420)+1,LEN(Registro!$F420)))&amp;"x")-1))),"Revisar formato")))</f>
        <v/>
      </c>
      <c r="G420" s="24" t="str">
        <f>IF(Registro!$F420="","",IF(ISERROR(FIND("x",LOWER(Registro!$F420))),N(Registro!$G420),IFERROR(SUMPRODUCT(--("0"&amp;LEFT(TRIM(MID(SUBSTITUTE(SUBSTITUTE(SUBSTITUTE(SUBSTITUTE(SUBSTITUTE(LOWER(Registro!$F420)," ",""),CHAR(10),"|"),";","|"),"+","|"),"|",REPT(" ",LEN(Registro!$F420))),({1,2,3,4,5,6,7,8,9,10,11,12,13,14,15,16,17,18,19,20,21,22,23,24,25,26,27,28,29,30}-1)*LEN(Registro!$F420)+1,LEN(Registro!$F420))),FIND("x",TRIM(MID(SUBSTITUTE(SUBSTITUTE(SUBSTITUTE(SUBSTITUTE(SUBSTITUTE(LOWER(Registro!$F420)," ",""),CHAR(10),"|"),";","|"),"+","|"),"|",REPT(" ",LEN(Registro!$F420))),({1,2,3,4,5,6,7,8,9,10,11,12,13,14,15,16,17,18,19,20,21,22,23,24,25,26,27,28,29,30}-1)*LEN(Registro!$F420)+1,LEN(Registro!$F420)))&amp;"x")-1)),--("0"&amp;MID(TRIM(MID(SUBSTITUTE(SUBSTITUTE(SUBSTITUTE(SUBSTITUTE(SUBSTITUTE(LOWER(Registro!$F420)," ",""),CHAR(10),"|"),";","|"),"+","|"),"|",REPT(" ",LEN(Registro!$F420))),({1,2,3,4,5,6,7,8,9,10,11,12,13,14,15,16,17,18,19,20,21,22,23,24,25,26,27,28,29,30}-1)*LEN(Registro!$F420)+1,LEN(Registro!$F420))),FIND("x",TRIM(MID(SUBSTITUTE(SUBSTITUTE(SUBSTITUTE(SUBSTITUTE(SUBSTITUTE(LOWER(Registro!$F420)," ",""),CHAR(10),"|"),";","|"),"+","|"),"|",REPT(" ",LEN(Registro!$F420))),({1,2,3,4,5,6,7,8,9,10,11,12,13,14,15,16,17,18,19,20,21,22,23,24,25,26,27,28,29,30}-1)*LEN(Registro!$F420)+1,LEN(Registro!$F420)))&amp;"x")+1,20))),"Revisar formato")))</f>
        <v/>
      </c>
      <c r="H420" s="21" t="str">
        <f>IF(AND(Registro!$E420="",Registro!$F420=""),"",IF(NOT(AND(ISNUMBER(G420),ISNUMBER(Registro!$G420))),"",IF(G420&lt;Registro!$G420,"FALTA BOLETOS",IF(G420=Registro!$G420,"CONFORME","DIFERENCIA"))))</f>
        <v/>
      </c>
      <c r="I420" s="24" t="str">
        <f>IF(Registro!$H420="","",IFERROR(SUMPRODUCT(--("0"&amp;TRIM(RIGHT(SUBSTITUTE(TRIM(MID(SUBSTITUTE(SUBSTITUTE(Registro!$H420,";",CHAR(10)),CHAR(10),REPT(" ",LEN(Registro!$H420))),({1,2,3,4,5,6,7,8,9,10,11,12,13,14,15,16,17,18,19,20,21,22,23,24,25,26,27,28,29,30}-1)*LEN(Registro!$H420)+1,LEN(Registro!$H420)))," ",REPT(" ",50)),50)))),"Revisar formato"))</f>
        <v/>
      </c>
      <c r="J420" s="24" t="str">
        <f>IF(Registro!$I420="","",IFERROR(SUMPRODUCT(--("0"&amp;TRIM(RIGHT(SUBSTITUTE(TRIM(MID(SUBSTITUTE(SUBSTITUTE(Registro!$I420,";",CHAR(10)),CHAR(10),REPT(" ",LEN(Registro!$I420))),({1,2,3,4,5,6,7,8,9,10,11,12,13,14,15,16,17,18,19,20,21,22,23,24,25,26,27,28,29,30}-1)*LEN(Registro!$I420)+1,LEN(Registro!$I420)))," ",REPT(" ",50)),50)))),"Revisar formato"))</f>
        <v/>
      </c>
      <c r="K420" s="24" t="str">
        <f>IF(AND(Registro!$G420="",Registro!$H420=""),"",IF(AND(ISTEXT(I420),I420&lt;&gt;""),"Revisar formato",N(Registro!$G420)-N(I420)))</f>
        <v/>
      </c>
      <c r="L420" s="24" t="str">
        <f t="shared" si="13"/>
        <v/>
      </c>
      <c r="M420" s="36" t="str">
        <f>IF(AND(A420=Consulta!$B$3,C420=Consulta!$H$3),B420*10000+ROW(),"")</f>
        <v/>
      </c>
    </row>
    <row r="421" spans="1:13" x14ac:dyDescent="0.25">
      <c r="A421" s="21" t="str">
        <f>IF(Registro!$A421="","",Registro!$A421)</f>
        <v/>
      </c>
      <c r="B421" s="20" t="str">
        <f>IF(Registro!$B421="","",Registro!$B421)</f>
        <v/>
      </c>
      <c r="C421" s="35" t="str">
        <f t="shared" si="12"/>
        <v/>
      </c>
      <c r="D421" s="23" t="str">
        <f>IF(Registro!$E421="","",IF(ISERROR(FIND("x",LOWER(Registro!$E421))),"-",IFERROR(SUMPRODUCT(--("0"&amp;LEFT(TRIM(MID(SUBSTITUTE(SUBSTITUTE(SUBSTITUTE(SUBSTITUTE(SUBSTITUTE(LOWER(Registro!$E421),"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",LEN(Registro!$E421))),({1,2,3,4,5,6,7,8,9,10,11,12,13,14,15,16,17,18,19,20,21,22,23,24,25,26,27,28,29,30}-1)*LEN(Registro!$E421)+1,LEN(Registro!$E421))),FIND("x",TRIM(MID(SUBSTITUTE(SUBSTITUTE(SUBSTITUTE(SUBSTITUTE(SUBSTITUTE(LOWER(Registro!$E421),"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",LEN(Registro!$E421))),({1,2,3,4,5,6,7,8,9,10,11,12,13,14,15,16,17,18,19,20,21,22,23,24,25,26,27,28,29,30}-1)*LEN(Registro!$E421)+1,LEN(Registro!$E421)))&amp;"x")-1))),"Revisar formato")))</f>
        <v/>
      </c>
      <c r="E421" s="24" t="str">
        <f>IF(Registro!$E421="","",IF(ISERROR(FIND("x",LOWER(Registro!$E421))),"-",IFERROR(SUMPRODUCT(--("0"&amp;LEFT(TRIM(MID(SUBSTITUTE(SUBSTITUTE(SUBSTITUTE(SUBSTITUTE(SUBSTITUTE(LOWER(Registro!$E421),"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",LEN(Registro!$E421))),({1,2,3,4,5,6,7,8,9,10,11,12,13,14,15,16,17,18,19,20,21,22,23,24,25,26,27,28,29,30}-1)*LEN(Registro!$E421)+1,LEN(Registro!$E421))),FIND("x",TRIM(MID(SUBSTITUTE(SUBSTITUTE(SUBSTITUTE(SUBSTITUTE(SUBSTITUTE(LOWER(Registro!$E421),"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",LEN(Registro!$E421))),({1,2,3,4,5,6,7,8,9,10,11,12,13,14,15,16,17,18,19,20,21,22,23,24,25,26,27,28,29,30}-1)*LEN(Registro!$E421)+1,LEN(Registro!$E421)))&amp;"x")-1)),--("0"&amp;MID(TRIM(MID(SUBSTITUTE(SUBSTITUTE(SUBSTITUTE(SUBSTITUTE(SUBSTITUTE(LOWER(Registro!$E421),"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",LEN(Registro!$E421))),({1,2,3,4,5,6,7,8,9,10,11,12,13,14,15,16,17,18,19,20,21,22,23,24,25,26,27,28,29,30}-1)*LEN(Registro!$E421)+1,LEN(Registro!$E421))),FIND("x",TRIM(MID(SUBSTITUTE(SUBSTITUTE(SUBSTITUTE(SUBSTITUTE(SUBSTITUTE(LOWER(Registro!$E421),"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",LEN(Registro!$E421))),({1,2,3,4,5,6,7,8,9,10,11,12,13,14,15,16,17,18,19,20,21,22,23,24,25,26,27,28,29,30}-1)*LEN(Registro!$E421)+1,LEN(Registro!$E421)))&amp;"x")+1,20))),"Revisar formato")))</f>
        <v/>
      </c>
      <c r="F421" s="23" t="str">
        <f>IF(Registro!$F421="","",IF(ISERROR(FIND("x",LOWER(Registro!$F421))),"-",IFERROR(SUMPRODUCT(--("0"&amp;LEFT(TRIM(MID(SUBSTITUTE(SUBSTITUTE(SUBSTITUTE(SUBSTITUTE(SUBSTITUTE(LOWER(Registro!$F421)," ",""),CHAR(10),"|"),";","|"),"+","|"),"|",REPT(" ",LEN(Registro!$F421))),({1,2,3,4,5,6,7,8,9,10,11,12,13,14,15,16,17,18,19,20,21,22,23,24,25,26,27,28,29,30}-1)*LEN(Registro!$F421)+1,LEN(Registro!$F421))),FIND("x",TRIM(MID(SUBSTITUTE(SUBSTITUTE(SUBSTITUTE(SUBSTITUTE(SUBSTITUTE(LOWER(Registro!$F421)," ",""),CHAR(10),"|"),";","|"),"+","|"),"|",REPT(" ",LEN(Registro!$F421))),({1,2,3,4,5,6,7,8,9,10,11,12,13,14,15,16,17,18,19,20,21,22,23,24,25,26,27,28,29,30}-1)*LEN(Registro!$F421)+1,LEN(Registro!$F421)))&amp;"x")-1))),"Revisar formato")))</f>
        <v/>
      </c>
      <c r="G421" s="24" t="str">
        <f>IF(Registro!$F421="","",IF(ISERROR(FIND("x",LOWER(Registro!$F421))),N(Registro!$G421),IFERROR(SUMPRODUCT(--("0"&amp;LEFT(TRIM(MID(SUBSTITUTE(SUBSTITUTE(SUBSTITUTE(SUBSTITUTE(SUBSTITUTE(LOWER(Registro!$F421)," ",""),CHAR(10),"|"),";","|"),"+","|"),"|",REPT(" ",LEN(Registro!$F421))),({1,2,3,4,5,6,7,8,9,10,11,12,13,14,15,16,17,18,19,20,21,22,23,24,25,26,27,28,29,30}-1)*LEN(Registro!$F421)+1,LEN(Registro!$F421))),FIND("x",TRIM(MID(SUBSTITUTE(SUBSTITUTE(SUBSTITUTE(SUBSTITUTE(SUBSTITUTE(LOWER(Registro!$F421)," ",""),CHAR(10),"|"),";","|"),"+","|"),"|",REPT(" ",LEN(Registro!$F421))),({1,2,3,4,5,6,7,8,9,10,11,12,13,14,15,16,17,18,19,20,21,22,23,24,25,26,27,28,29,30}-1)*LEN(Registro!$F421)+1,LEN(Registro!$F421)))&amp;"x")-1)),--("0"&amp;MID(TRIM(MID(SUBSTITUTE(SUBSTITUTE(SUBSTITUTE(SUBSTITUTE(SUBSTITUTE(LOWER(Registro!$F421)," ",""),CHAR(10),"|"),";","|"),"+","|"),"|",REPT(" ",LEN(Registro!$F421))),({1,2,3,4,5,6,7,8,9,10,11,12,13,14,15,16,17,18,19,20,21,22,23,24,25,26,27,28,29,30}-1)*LEN(Registro!$F421)+1,LEN(Registro!$F421))),FIND("x",TRIM(MID(SUBSTITUTE(SUBSTITUTE(SUBSTITUTE(SUBSTITUTE(SUBSTITUTE(LOWER(Registro!$F421)," ",""),CHAR(10),"|"),";","|"),"+","|"),"|",REPT(" ",LEN(Registro!$F421))),({1,2,3,4,5,6,7,8,9,10,11,12,13,14,15,16,17,18,19,20,21,22,23,24,25,26,27,28,29,30}-1)*LEN(Registro!$F421)+1,LEN(Registro!$F421)))&amp;"x")+1,20))),"Revisar formato")))</f>
        <v/>
      </c>
      <c r="H421" s="21" t="str">
        <f>IF(AND(Registro!$E421="",Registro!$F421=""),"",IF(NOT(AND(ISNUMBER(G421),ISNUMBER(Registro!$G421))),"",IF(G421&lt;Registro!$G421,"FALTA BOLETOS",IF(G421=Registro!$G421,"CONFORME","DIFERENCIA"))))</f>
        <v/>
      </c>
      <c r="I421" s="24" t="str">
        <f>IF(Registro!$H421="","",IFERROR(SUMPRODUCT(--("0"&amp;TRIM(RIGHT(SUBSTITUTE(TRIM(MID(SUBSTITUTE(SUBSTITUTE(Registro!$H421,";",CHAR(10)),CHAR(10),REPT(" ",LEN(Registro!$H421))),({1,2,3,4,5,6,7,8,9,10,11,12,13,14,15,16,17,18,19,20,21,22,23,24,25,26,27,28,29,30}-1)*LEN(Registro!$H421)+1,LEN(Registro!$H421)))," ",REPT(" ",50)),50)))),"Revisar formato"))</f>
        <v/>
      </c>
      <c r="J421" s="24" t="str">
        <f>IF(Registro!$I421="","",IFERROR(SUMPRODUCT(--("0"&amp;TRIM(RIGHT(SUBSTITUTE(TRIM(MID(SUBSTITUTE(SUBSTITUTE(Registro!$I421,";",CHAR(10)),CHAR(10),REPT(" ",LEN(Registro!$I421))),({1,2,3,4,5,6,7,8,9,10,11,12,13,14,15,16,17,18,19,20,21,22,23,24,25,26,27,28,29,30}-1)*LEN(Registro!$I421)+1,LEN(Registro!$I421)))," ",REPT(" ",50)),50)))),"Revisar formato"))</f>
        <v/>
      </c>
      <c r="K421" s="24" t="str">
        <f>IF(AND(Registro!$G421="",Registro!$H421=""),"",IF(AND(ISTEXT(I421),I421&lt;&gt;""),"Revisar formato",N(Registro!$G421)-N(I421)))</f>
        <v/>
      </c>
      <c r="L421" s="24" t="str">
        <f t="shared" si="13"/>
        <v/>
      </c>
      <c r="M421" s="36" t="str">
        <f>IF(AND(A421=Consulta!$B$3,C421=Consulta!$H$3),B421*10000+ROW(),"")</f>
        <v/>
      </c>
    </row>
    <row r="422" spans="1:13" x14ac:dyDescent="0.25">
      <c r="A422" s="21" t="str">
        <f>IF(Registro!$A422="","",Registro!$A422)</f>
        <v/>
      </c>
      <c r="B422" s="20" t="str">
        <f>IF(Registro!$B422="","",Registro!$B422)</f>
        <v/>
      </c>
      <c r="C422" s="35" t="str">
        <f t="shared" si="12"/>
        <v/>
      </c>
      <c r="D422" s="23" t="str">
        <f>IF(Registro!$E422="","",IF(ISERROR(FIND("x",LOWER(Registro!$E422))),"-",IFERROR(SUMPRODUCT(--("0"&amp;LEFT(TRIM(MID(SUBSTITUTE(SUBSTITUTE(SUBSTITUTE(SUBSTITUTE(SUBSTITUTE(LOWER(Registro!$E422),"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",LEN(Registro!$E422))),({1,2,3,4,5,6,7,8,9,10,11,12,13,14,15,16,17,18,19,20,21,22,23,24,25,26,27,28,29,30}-1)*LEN(Registro!$E422)+1,LEN(Registro!$E422))),FIND("x",TRIM(MID(SUBSTITUTE(SUBSTITUTE(SUBSTITUTE(SUBSTITUTE(SUBSTITUTE(LOWER(Registro!$E422),"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",LEN(Registro!$E422))),({1,2,3,4,5,6,7,8,9,10,11,12,13,14,15,16,17,18,19,20,21,22,23,24,25,26,27,28,29,30}-1)*LEN(Registro!$E422)+1,LEN(Registro!$E422)))&amp;"x")-1))),"Revisar formato")))</f>
        <v/>
      </c>
      <c r="E422" s="24" t="str">
        <f>IF(Registro!$E422="","",IF(ISERROR(FIND("x",LOWER(Registro!$E422))),"-",IFERROR(SUMPRODUCT(--("0"&amp;LEFT(TRIM(MID(SUBSTITUTE(SUBSTITUTE(SUBSTITUTE(SUBSTITUTE(SUBSTITUTE(LOWER(Registro!$E422),"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",LEN(Registro!$E422))),({1,2,3,4,5,6,7,8,9,10,11,12,13,14,15,16,17,18,19,20,21,22,23,24,25,26,27,28,29,30}-1)*LEN(Registro!$E422)+1,LEN(Registro!$E422))),FIND("x",TRIM(MID(SUBSTITUTE(SUBSTITUTE(SUBSTITUTE(SUBSTITUTE(SUBSTITUTE(LOWER(Registro!$E422),"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",LEN(Registro!$E422))),({1,2,3,4,5,6,7,8,9,10,11,12,13,14,15,16,17,18,19,20,21,22,23,24,25,26,27,28,29,30}-1)*LEN(Registro!$E422)+1,LEN(Registro!$E422)))&amp;"x")-1)),--("0"&amp;MID(TRIM(MID(SUBSTITUTE(SUBSTITUTE(SUBSTITUTE(SUBSTITUTE(SUBSTITUTE(LOWER(Registro!$E422),"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",LEN(Registro!$E422))),({1,2,3,4,5,6,7,8,9,10,11,12,13,14,15,16,17,18,19,20,21,22,23,24,25,26,27,28,29,30}-1)*LEN(Registro!$E422)+1,LEN(Registro!$E422))),FIND("x",TRIM(MID(SUBSTITUTE(SUBSTITUTE(SUBSTITUTE(SUBSTITUTE(SUBSTITUTE(LOWER(Registro!$E422),"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",LEN(Registro!$E422))),({1,2,3,4,5,6,7,8,9,10,11,12,13,14,15,16,17,18,19,20,21,22,23,24,25,26,27,28,29,30}-1)*LEN(Registro!$E422)+1,LEN(Registro!$E422)))&amp;"x")+1,20))),"Revisar formato")))</f>
        <v/>
      </c>
      <c r="F422" s="23" t="str">
        <f>IF(Registro!$F422="","",IF(ISERROR(FIND("x",LOWER(Registro!$F422))),"-",IFERROR(SUMPRODUCT(--("0"&amp;LEFT(TRIM(MID(SUBSTITUTE(SUBSTITUTE(SUBSTITUTE(SUBSTITUTE(SUBSTITUTE(LOWER(Registro!$F422)," ",""),CHAR(10),"|"),";","|"),"+","|"),"|",REPT(" ",LEN(Registro!$F422))),({1,2,3,4,5,6,7,8,9,10,11,12,13,14,15,16,17,18,19,20,21,22,23,24,25,26,27,28,29,30}-1)*LEN(Registro!$F422)+1,LEN(Registro!$F422))),FIND("x",TRIM(MID(SUBSTITUTE(SUBSTITUTE(SUBSTITUTE(SUBSTITUTE(SUBSTITUTE(LOWER(Registro!$F422)," ",""),CHAR(10),"|"),";","|"),"+","|"),"|",REPT(" ",LEN(Registro!$F422))),({1,2,3,4,5,6,7,8,9,10,11,12,13,14,15,16,17,18,19,20,21,22,23,24,25,26,27,28,29,30}-1)*LEN(Registro!$F422)+1,LEN(Registro!$F422)))&amp;"x")-1))),"Revisar formato")))</f>
        <v/>
      </c>
      <c r="G422" s="24" t="str">
        <f>IF(Registro!$F422="","",IF(ISERROR(FIND("x",LOWER(Registro!$F422))),N(Registro!$G422),IFERROR(SUMPRODUCT(--("0"&amp;LEFT(TRIM(MID(SUBSTITUTE(SUBSTITUTE(SUBSTITUTE(SUBSTITUTE(SUBSTITUTE(LOWER(Registro!$F422)," ",""),CHAR(10),"|"),";","|"),"+","|"),"|",REPT(" ",LEN(Registro!$F422))),({1,2,3,4,5,6,7,8,9,10,11,12,13,14,15,16,17,18,19,20,21,22,23,24,25,26,27,28,29,30}-1)*LEN(Registro!$F422)+1,LEN(Registro!$F422))),FIND("x",TRIM(MID(SUBSTITUTE(SUBSTITUTE(SUBSTITUTE(SUBSTITUTE(SUBSTITUTE(LOWER(Registro!$F422)," ",""),CHAR(10),"|"),";","|"),"+","|"),"|",REPT(" ",LEN(Registro!$F422))),({1,2,3,4,5,6,7,8,9,10,11,12,13,14,15,16,17,18,19,20,21,22,23,24,25,26,27,28,29,30}-1)*LEN(Registro!$F422)+1,LEN(Registro!$F422)))&amp;"x")-1)),--("0"&amp;MID(TRIM(MID(SUBSTITUTE(SUBSTITUTE(SUBSTITUTE(SUBSTITUTE(SUBSTITUTE(LOWER(Registro!$F422)," ",""),CHAR(10),"|"),";","|"),"+","|"),"|",REPT(" ",LEN(Registro!$F422))),({1,2,3,4,5,6,7,8,9,10,11,12,13,14,15,16,17,18,19,20,21,22,23,24,25,26,27,28,29,30}-1)*LEN(Registro!$F422)+1,LEN(Registro!$F422))),FIND("x",TRIM(MID(SUBSTITUTE(SUBSTITUTE(SUBSTITUTE(SUBSTITUTE(SUBSTITUTE(LOWER(Registro!$F422)," ",""),CHAR(10),"|"),";","|"),"+","|"),"|",REPT(" ",LEN(Registro!$F422))),({1,2,3,4,5,6,7,8,9,10,11,12,13,14,15,16,17,18,19,20,21,22,23,24,25,26,27,28,29,30}-1)*LEN(Registro!$F422)+1,LEN(Registro!$F422)))&amp;"x")+1,20))),"Revisar formato")))</f>
        <v/>
      </c>
      <c r="H422" s="21" t="str">
        <f>IF(AND(Registro!$E422="",Registro!$F422=""),"",IF(NOT(AND(ISNUMBER(G422),ISNUMBER(Registro!$G422))),"",IF(G422&lt;Registro!$G422,"FALTA BOLETOS",IF(G422=Registro!$G422,"CONFORME","DIFERENCIA"))))</f>
        <v/>
      </c>
      <c r="I422" s="24" t="str">
        <f>IF(Registro!$H422="","",IFERROR(SUMPRODUCT(--("0"&amp;TRIM(RIGHT(SUBSTITUTE(TRIM(MID(SUBSTITUTE(SUBSTITUTE(Registro!$H422,";",CHAR(10)),CHAR(10),REPT(" ",LEN(Registro!$H422))),({1,2,3,4,5,6,7,8,9,10,11,12,13,14,15,16,17,18,19,20,21,22,23,24,25,26,27,28,29,30}-1)*LEN(Registro!$H422)+1,LEN(Registro!$H422)))," ",REPT(" ",50)),50)))),"Revisar formato"))</f>
        <v/>
      </c>
      <c r="J422" s="24" t="str">
        <f>IF(Registro!$I422="","",IFERROR(SUMPRODUCT(--("0"&amp;TRIM(RIGHT(SUBSTITUTE(TRIM(MID(SUBSTITUTE(SUBSTITUTE(Registro!$I422,";",CHAR(10)),CHAR(10),REPT(" ",LEN(Registro!$I422))),({1,2,3,4,5,6,7,8,9,10,11,12,13,14,15,16,17,18,19,20,21,22,23,24,25,26,27,28,29,30}-1)*LEN(Registro!$I422)+1,LEN(Registro!$I422)))," ",REPT(" ",50)),50)))),"Revisar formato"))</f>
        <v/>
      </c>
      <c r="K422" s="24" t="str">
        <f>IF(AND(Registro!$G422="",Registro!$H422=""),"",IF(AND(ISTEXT(I422),I422&lt;&gt;""),"Revisar formato",N(Registro!$G422)-N(I422)))</f>
        <v/>
      </c>
      <c r="L422" s="24" t="str">
        <f t="shared" si="13"/>
        <v/>
      </c>
      <c r="M422" s="36" t="str">
        <f>IF(AND(A422=Consulta!$B$3,C422=Consulta!$H$3),B422*10000+ROW(),"")</f>
        <v/>
      </c>
    </row>
    <row r="423" spans="1:13" x14ac:dyDescent="0.25">
      <c r="A423" s="21" t="str">
        <f>IF(Registro!$A423="","",Registro!$A423)</f>
        <v/>
      </c>
      <c r="B423" s="20" t="str">
        <f>IF(Registro!$B423="","",Registro!$B423)</f>
        <v/>
      </c>
      <c r="C423" s="35" t="str">
        <f t="shared" si="12"/>
        <v/>
      </c>
      <c r="D423" s="23" t="str">
        <f>IF(Registro!$E423="","",IF(ISERROR(FIND("x",LOWER(Registro!$E423))),"-",IFERROR(SUMPRODUCT(--("0"&amp;LEFT(TRIM(MID(SUBSTITUTE(SUBSTITUTE(SUBSTITUTE(SUBSTITUTE(SUBSTITUTE(LOWER(Registro!$E423),"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",LEN(Registro!$E423))),({1,2,3,4,5,6,7,8,9,10,11,12,13,14,15,16,17,18,19,20,21,22,23,24,25,26,27,28,29,30}-1)*LEN(Registro!$E423)+1,LEN(Registro!$E423))),FIND("x",TRIM(MID(SUBSTITUTE(SUBSTITUTE(SUBSTITUTE(SUBSTITUTE(SUBSTITUTE(LOWER(Registro!$E423),"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",LEN(Registro!$E423))),({1,2,3,4,5,6,7,8,9,10,11,12,13,14,15,16,17,18,19,20,21,22,23,24,25,26,27,28,29,30}-1)*LEN(Registro!$E423)+1,LEN(Registro!$E423)))&amp;"x")-1))),"Revisar formato")))</f>
        <v/>
      </c>
      <c r="E423" s="24" t="str">
        <f>IF(Registro!$E423="","",IF(ISERROR(FIND("x",LOWER(Registro!$E423))),"-",IFERROR(SUMPRODUCT(--("0"&amp;LEFT(TRIM(MID(SUBSTITUTE(SUBSTITUTE(SUBSTITUTE(SUBSTITUTE(SUBSTITUTE(LOWER(Registro!$E423),"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",LEN(Registro!$E423))),({1,2,3,4,5,6,7,8,9,10,11,12,13,14,15,16,17,18,19,20,21,22,23,24,25,26,27,28,29,30}-1)*LEN(Registro!$E423)+1,LEN(Registro!$E423))),FIND("x",TRIM(MID(SUBSTITUTE(SUBSTITUTE(SUBSTITUTE(SUBSTITUTE(SUBSTITUTE(LOWER(Registro!$E423),"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",LEN(Registro!$E423))),({1,2,3,4,5,6,7,8,9,10,11,12,13,14,15,16,17,18,19,20,21,22,23,24,25,26,27,28,29,30}-1)*LEN(Registro!$E423)+1,LEN(Registro!$E423)))&amp;"x")-1)),--("0"&amp;MID(TRIM(MID(SUBSTITUTE(SUBSTITUTE(SUBSTITUTE(SUBSTITUTE(SUBSTITUTE(LOWER(Registro!$E423),"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",LEN(Registro!$E423))),({1,2,3,4,5,6,7,8,9,10,11,12,13,14,15,16,17,18,19,20,21,22,23,24,25,26,27,28,29,30}-1)*LEN(Registro!$E423)+1,LEN(Registro!$E423))),FIND("x",TRIM(MID(SUBSTITUTE(SUBSTITUTE(SUBSTITUTE(SUBSTITUTE(SUBSTITUTE(LOWER(Registro!$E423),"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",LEN(Registro!$E423))),({1,2,3,4,5,6,7,8,9,10,11,12,13,14,15,16,17,18,19,20,21,22,23,24,25,26,27,28,29,30}-1)*LEN(Registro!$E423)+1,LEN(Registro!$E423)))&amp;"x")+1,20))),"Revisar formato")))</f>
        <v/>
      </c>
      <c r="F423" s="23" t="str">
        <f>IF(Registro!$F423="","",IF(ISERROR(FIND("x",LOWER(Registro!$F423))),"-",IFERROR(SUMPRODUCT(--("0"&amp;LEFT(TRIM(MID(SUBSTITUTE(SUBSTITUTE(SUBSTITUTE(SUBSTITUTE(SUBSTITUTE(LOWER(Registro!$F423)," ",""),CHAR(10),"|"),";","|"),"+","|"),"|",REPT(" ",LEN(Registro!$F423))),({1,2,3,4,5,6,7,8,9,10,11,12,13,14,15,16,17,18,19,20,21,22,23,24,25,26,27,28,29,30}-1)*LEN(Registro!$F423)+1,LEN(Registro!$F423))),FIND("x",TRIM(MID(SUBSTITUTE(SUBSTITUTE(SUBSTITUTE(SUBSTITUTE(SUBSTITUTE(LOWER(Registro!$F423)," ",""),CHAR(10),"|"),";","|"),"+","|"),"|",REPT(" ",LEN(Registro!$F423))),({1,2,3,4,5,6,7,8,9,10,11,12,13,14,15,16,17,18,19,20,21,22,23,24,25,26,27,28,29,30}-1)*LEN(Registro!$F423)+1,LEN(Registro!$F423)))&amp;"x")-1))),"Revisar formato")))</f>
        <v/>
      </c>
      <c r="G423" s="24" t="str">
        <f>IF(Registro!$F423="","",IF(ISERROR(FIND("x",LOWER(Registro!$F423))),N(Registro!$G423),IFERROR(SUMPRODUCT(--("0"&amp;LEFT(TRIM(MID(SUBSTITUTE(SUBSTITUTE(SUBSTITUTE(SUBSTITUTE(SUBSTITUTE(LOWER(Registro!$F423)," ",""),CHAR(10),"|"),";","|"),"+","|"),"|",REPT(" ",LEN(Registro!$F423))),({1,2,3,4,5,6,7,8,9,10,11,12,13,14,15,16,17,18,19,20,21,22,23,24,25,26,27,28,29,30}-1)*LEN(Registro!$F423)+1,LEN(Registro!$F423))),FIND("x",TRIM(MID(SUBSTITUTE(SUBSTITUTE(SUBSTITUTE(SUBSTITUTE(SUBSTITUTE(LOWER(Registro!$F423)," ",""),CHAR(10),"|"),";","|"),"+","|"),"|",REPT(" ",LEN(Registro!$F423))),({1,2,3,4,5,6,7,8,9,10,11,12,13,14,15,16,17,18,19,20,21,22,23,24,25,26,27,28,29,30}-1)*LEN(Registro!$F423)+1,LEN(Registro!$F423)))&amp;"x")-1)),--("0"&amp;MID(TRIM(MID(SUBSTITUTE(SUBSTITUTE(SUBSTITUTE(SUBSTITUTE(SUBSTITUTE(LOWER(Registro!$F423)," ",""),CHAR(10),"|"),";","|"),"+","|"),"|",REPT(" ",LEN(Registro!$F423))),({1,2,3,4,5,6,7,8,9,10,11,12,13,14,15,16,17,18,19,20,21,22,23,24,25,26,27,28,29,30}-1)*LEN(Registro!$F423)+1,LEN(Registro!$F423))),FIND("x",TRIM(MID(SUBSTITUTE(SUBSTITUTE(SUBSTITUTE(SUBSTITUTE(SUBSTITUTE(LOWER(Registro!$F423)," ",""),CHAR(10),"|"),";","|"),"+","|"),"|",REPT(" ",LEN(Registro!$F423))),({1,2,3,4,5,6,7,8,9,10,11,12,13,14,15,16,17,18,19,20,21,22,23,24,25,26,27,28,29,30}-1)*LEN(Registro!$F423)+1,LEN(Registro!$F423)))&amp;"x")+1,20))),"Revisar formato")))</f>
        <v/>
      </c>
      <c r="H423" s="21" t="str">
        <f>IF(AND(Registro!$E423="",Registro!$F423=""),"",IF(NOT(AND(ISNUMBER(G423),ISNUMBER(Registro!$G423))),"",IF(G423&lt;Registro!$G423,"FALTA BOLETOS",IF(G423=Registro!$G423,"CONFORME","DIFERENCIA"))))</f>
        <v/>
      </c>
      <c r="I423" s="24" t="str">
        <f>IF(Registro!$H423="","",IFERROR(SUMPRODUCT(--("0"&amp;TRIM(RIGHT(SUBSTITUTE(TRIM(MID(SUBSTITUTE(SUBSTITUTE(Registro!$H423,";",CHAR(10)),CHAR(10),REPT(" ",LEN(Registro!$H423))),({1,2,3,4,5,6,7,8,9,10,11,12,13,14,15,16,17,18,19,20,21,22,23,24,25,26,27,28,29,30}-1)*LEN(Registro!$H423)+1,LEN(Registro!$H423)))," ",REPT(" ",50)),50)))),"Revisar formato"))</f>
        <v/>
      </c>
      <c r="J423" s="24" t="str">
        <f>IF(Registro!$I423="","",IFERROR(SUMPRODUCT(--("0"&amp;TRIM(RIGHT(SUBSTITUTE(TRIM(MID(SUBSTITUTE(SUBSTITUTE(Registro!$I423,";",CHAR(10)),CHAR(10),REPT(" ",LEN(Registro!$I423))),({1,2,3,4,5,6,7,8,9,10,11,12,13,14,15,16,17,18,19,20,21,22,23,24,25,26,27,28,29,30}-1)*LEN(Registro!$I423)+1,LEN(Registro!$I423)))," ",REPT(" ",50)),50)))),"Revisar formato"))</f>
        <v/>
      </c>
      <c r="K423" s="24" t="str">
        <f>IF(AND(Registro!$G423="",Registro!$H423=""),"",IF(AND(ISTEXT(I423),I423&lt;&gt;""),"Revisar formato",N(Registro!$G423)-N(I423)))</f>
        <v/>
      </c>
      <c r="L423" s="24" t="str">
        <f t="shared" si="13"/>
        <v/>
      </c>
      <c r="M423" s="36" t="str">
        <f>IF(AND(A423=Consulta!$B$3,C423=Consulta!$H$3),B423*10000+ROW(),"")</f>
        <v/>
      </c>
    </row>
    <row r="424" spans="1:13" x14ac:dyDescent="0.25">
      <c r="A424" s="21" t="str">
        <f>IF(Registro!$A424="","",Registro!$A424)</f>
        <v/>
      </c>
      <c r="B424" s="20" t="str">
        <f>IF(Registro!$B424="","",Registro!$B424)</f>
        <v/>
      </c>
      <c r="C424" s="35" t="str">
        <f t="shared" si="12"/>
        <v/>
      </c>
      <c r="D424" s="23" t="str">
        <f>IF(Registro!$E424="","",IF(ISERROR(FIND("x",LOWER(Registro!$E424))),"-",IFERROR(SUMPRODUCT(--("0"&amp;LEFT(TRIM(MID(SUBSTITUTE(SUBSTITUTE(SUBSTITUTE(SUBSTITUTE(SUBSTITUTE(LOWER(Registro!$E424),"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",LEN(Registro!$E424))),({1,2,3,4,5,6,7,8,9,10,11,12,13,14,15,16,17,18,19,20,21,22,23,24,25,26,27,28,29,30}-1)*LEN(Registro!$E424)+1,LEN(Registro!$E424))),FIND("x",TRIM(MID(SUBSTITUTE(SUBSTITUTE(SUBSTITUTE(SUBSTITUTE(SUBSTITUTE(LOWER(Registro!$E424),"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",LEN(Registro!$E424))),({1,2,3,4,5,6,7,8,9,10,11,12,13,14,15,16,17,18,19,20,21,22,23,24,25,26,27,28,29,30}-1)*LEN(Registro!$E424)+1,LEN(Registro!$E424)))&amp;"x")-1))),"Revisar formato")))</f>
        <v/>
      </c>
      <c r="E424" s="24" t="str">
        <f>IF(Registro!$E424="","",IF(ISERROR(FIND("x",LOWER(Registro!$E424))),"-",IFERROR(SUMPRODUCT(--("0"&amp;LEFT(TRIM(MID(SUBSTITUTE(SUBSTITUTE(SUBSTITUTE(SUBSTITUTE(SUBSTITUTE(LOWER(Registro!$E424),"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",LEN(Registro!$E424))),({1,2,3,4,5,6,7,8,9,10,11,12,13,14,15,16,17,18,19,20,21,22,23,24,25,26,27,28,29,30}-1)*LEN(Registro!$E424)+1,LEN(Registro!$E424))),FIND("x",TRIM(MID(SUBSTITUTE(SUBSTITUTE(SUBSTITUTE(SUBSTITUTE(SUBSTITUTE(LOWER(Registro!$E424),"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",LEN(Registro!$E424))),({1,2,3,4,5,6,7,8,9,10,11,12,13,14,15,16,17,18,19,20,21,22,23,24,25,26,27,28,29,30}-1)*LEN(Registro!$E424)+1,LEN(Registro!$E424)))&amp;"x")-1)),--("0"&amp;MID(TRIM(MID(SUBSTITUTE(SUBSTITUTE(SUBSTITUTE(SUBSTITUTE(SUBSTITUTE(LOWER(Registro!$E424),"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",LEN(Registro!$E424))),({1,2,3,4,5,6,7,8,9,10,11,12,13,14,15,16,17,18,19,20,21,22,23,24,25,26,27,28,29,30}-1)*LEN(Registro!$E424)+1,LEN(Registro!$E424))),FIND("x",TRIM(MID(SUBSTITUTE(SUBSTITUTE(SUBSTITUTE(SUBSTITUTE(SUBSTITUTE(LOWER(Registro!$E424),"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",LEN(Registro!$E424))),({1,2,3,4,5,6,7,8,9,10,11,12,13,14,15,16,17,18,19,20,21,22,23,24,25,26,27,28,29,30}-1)*LEN(Registro!$E424)+1,LEN(Registro!$E424)))&amp;"x")+1,20))),"Revisar formato")))</f>
        <v/>
      </c>
      <c r="F424" s="23" t="str">
        <f>IF(Registro!$F424="","",IF(ISERROR(FIND("x",LOWER(Registro!$F424))),"-",IFERROR(SUMPRODUCT(--("0"&amp;LEFT(TRIM(MID(SUBSTITUTE(SUBSTITUTE(SUBSTITUTE(SUBSTITUTE(SUBSTITUTE(LOWER(Registro!$F424)," ",""),CHAR(10),"|"),";","|"),"+","|"),"|",REPT(" ",LEN(Registro!$F424))),({1,2,3,4,5,6,7,8,9,10,11,12,13,14,15,16,17,18,19,20,21,22,23,24,25,26,27,28,29,30}-1)*LEN(Registro!$F424)+1,LEN(Registro!$F424))),FIND("x",TRIM(MID(SUBSTITUTE(SUBSTITUTE(SUBSTITUTE(SUBSTITUTE(SUBSTITUTE(LOWER(Registro!$F424)," ",""),CHAR(10),"|"),";","|"),"+","|"),"|",REPT(" ",LEN(Registro!$F424))),({1,2,3,4,5,6,7,8,9,10,11,12,13,14,15,16,17,18,19,20,21,22,23,24,25,26,27,28,29,30}-1)*LEN(Registro!$F424)+1,LEN(Registro!$F424)))&amp;"x")-1))),"Revisar formato")))</f>
        <v/>
      </c>
      <c r="G424" s="24" t="str">
        <f>IF(Registro!$F424="","",IF(ISERROR(FIND("x",LOWER(Registro!$F424))),N(Registro!$G424),IFERROR(SUMPRODUCT(--("0"&amp;LEFT(TRIM(MID(SUBSTITUTE(SUBSTITUTE(SUBSTITUTE(SUBSTITUTE(SUBSTITUTE(LOWER(Registro!$F424)," ",""),CHAR(10),"|"),";","|"),"+","|"),"|",REPT(" ",LEN(Registro!$F424))),({1,2,3,4,5,6,7,8,9,10,11,12,13,14,15,16,17,18,19,20,21,22,23,24,25,26,27,28,29,30}-1)*LEN(Registro!$F424)+1,LEN(Registro!$F424))),FIND("x",TRIM(MID(SUBSTITUTE(SUBSTITUTE(SUBSTITUTE(SUBSTITUTE(SUBSTITUTE(LOWER(Registro!$F424)," ",""),CHAR(10),"|"),";","|"),"+","|"),"|",REPT(" ",LEN(Registro!$F424))),({1,2,3,4,5,6,7,8,9,10,11,12,13,14,15,16,17,18,19,20,21,22,23,24,25,26,27,28,29,30}-1)*LEN(Registro!$F424)+1,LEN(Registro!$F424)))&amp;"x")-1)),--("0"&amp;MID(TRIM(MID(SUBSTITUTE(SUBSTITUTE(SUBSTITUTE(SUBSTITUTE(SUBSTITUTE(LOWER(Registro!$F424)," ",""),CHAR(10),"|"),";","|"),"+","|"),"|",REPT(" ",LEN(Registro!$F424))),({1,2,3,4,5,6,7,8,9,10,11,12,13,14,15,16,17,18,19,20,21,22,23,24,25,26,27,28,29,30}-1)*LEN(Registro!$F424)+1,LEN(Registro!$F424))),FIND("x",TRIM(MID(SUBSTITUTE(SUBSTITUTE(SUBSTITUTE(SUBSTITUTE(SUBSTITUTE(LOWER(Registro!$F424)," ",""),CHAR(10),"|"),";","|"),"+","|"),"|",REPT(" ",LEN(Registro!$F424))),({1,2,3,4,5,6,7,8,9,10,11,12,13,14,15,16,17,18,19,20,21,22,23,24,25,26,27,28,29,30}-1)*LEN(Registro!$F424)+1,LEN(Registro!$F424)))&amp;"x")+1,20))),"Revisar formato")))</f>
        <v/>
      </c>
      <c r="H424" s="21" t="str">
        <f>IF(AND(Registro!$E424="",Registro!$F424=""),"",IF(NOT(AND(ISNUMBER(G424),ISNUMBER(Registro!$G424))),"",IF(G424&lt;Registro!$G424,"FALTA BOLETOS",IF(G424=Registro!$G424,"CONFORME","DIFERENCIA"))))</f>
        <v/>
      </c>
      <c r="I424" s="24" t="str">
        <f>IF(Registro!$H424="","",IFERROR(SUMPRODUCT(--("0"&amp;TRIM(RIGHT(SUBSTITUTE(TRIM(MID(SUBSTITUTE(SUBSTITUTE(Registro!$H424,";",CHAR(10)),CHAR(10),REPT(" ",LEN(Registro!$H424))),({1,2,3,4,5,6,7,8,9,10,11,12,13,14,15,16,17,18,19,20,21,22,23,24,25,26,27,28,29,30}-1)*LEN(Registro!$H424)+1,LEN(Registro!$H424)))," ",REPT(" ",50)),50)))),"Revisar formato"))</f>
        <v/>
      </c>
      <c r="J424" s="24" t="str">
        <f>IF(Registro!$I424="","",IFERROR(SUMPRODUCT(--("0"&amp;TRIM(RIGHT(SUBSTITUTE(TRIM(MID(SUBSTITUTE(SUBSTITUTE(Registro!$I424,";",CHAR(10)),CHAR(10),REPT(" ",LEN(Registro!$I424))),({1,2,3,4,5,6,7,8,9,10,11,12,13,14,15,16,17,18,19,20,21,22,23,24,25,26,27,28,29,30}-1)*LEN(Registro!$I424)+1,LEN(Registro!$I424)))," ",REPT(" ",50)),50)))),"Revisar formato"))</f>
        <v/>
      </c>
      <c r="K424" s="24" t="str">
        <f>IF(AND(Registro!$G424="",Registro!$H424=""),"",IF(AND(ISTEXT(I424),I424&lt;&gt;""),"Revisar formato",N(Registro!$G424)-N(I424)))</f>
        <v/>
      </c>
      <c r="L424" s="24" t="str">
        <f t="shared" si="13"/>
        <v/>
      </c>
      <c r="M424" s="36" t="str">
        <f>IF(AND(A424=Consulta!$B$3,C424=Consulta!$H$3),B424*10000+ROW(),"")</f>
        <v/>
      </c>
    </row>
    <row r="425" spans="1:13" x14ac:dyDescent="0.25">
      <c r="A425" s="21" t="str">
        <f>IF(Registro!$A425="","",Registro!$A425)</f>
        <v/>
      </c>
      <c r="B425" s="20" t="str">
        <f>IF(Registro!$B425="","",Registro!$B425)</f>
        <v/>
      </c>
      <c r="C425" s="35" t="str">
        <f t="shared" si="12"/>
        <v/>
      </c>
      <c r="D425" s="23" t="str">
        <f>IF(Registro!$E425="","",IF(ISERROR(FIND("x",LOWER(Registro!$E425))),"-",IFERROR(SUMPRODUCT(--("0"&amp;LEFT(TRIM(MID(SUBSTITUTE(SUBSTITUTE(SUBSTITUTE(SUBSTITUTE(SUBSTITUTE(LOWER(Registro!$E425),"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",LEN(Registro!$E425))),({1,2,3,4,5,6,7,8,9,10,11,12,13,14,15,16,17,18,19,20,21,22,23,24,25,26,27,28,29,30}-1)*LEN(Registro!$E425)+1,LEN(Registro!$E425))),FIND("x",TRIM(MID(SUBSTITUTE(SUBSTITUTE(SUBSTITUTE(SUBSTITUTE(SUBSTITUTE(LOWER(Registro!$E425),"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",LEN(Registro!$E425))),({1,2,3,4,5,6,7,8,9,10,11,12,13,14,15,16,17,18,19,20,21,22,23,24,25,26,27,28,29,30}-1)*LEN(Registro!$E425)+1,LEN(Registro!$E425)))&amp;"x")-1))),"Revisar formato")))</f>
        <v/>
      </c>
      <c r="E425" s="24" t="str">
        <f>IF(Registro!$E425="","",IF(ISERROR(FIND("x",LOWER(Registro!$E425))),"-",IFERROR(SUMPRODUCT(--("0"&amp;LEFT(TRIM(MID(SUBSTITUTE(SUBSTITUTE(SUBSTITUTE(SUBSTITUTE(SUBSTITUTE(LOWER(Registro!$E425),"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",LEN(Registro!$E425))),({1,2,3,4,5,6,7,8,9,10,11,12,13,14,15,16,17,18,19,20,21,22,23,24,25,26,27,28,29,30}-1)*LEN(Registro!$E425)+1,LEN(Registro!$E425))),FIND("x",TRIM(MID(SUBSTITUTE(SUBSTITUTE(SUBSTITUTE(SUBSTITUTE(SUBSTITUTE(LOWER(Registro!$E425),"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",LEN(Registro!$E425))),({1,2,3,4,5,6,7,8,9,10,11,12,13,14,15,16,17,18,19,20,21,22,23,24,25,26,27,28,29,30}-1)*LEN(Registro!$E425)+1,LEN(Registro!$E425)))&amp;"x")-1)),--("0"&amp;MID(TRIM(MID(SUBSTITUTE(SUBSTITUTE(SUBSTITUTE(SUBSTITUTE(SUBSTITUTE(LOWER(Registro!$E425),"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",LEN(Registro!$E425))),({1,2,3,4,5,6,7,8,9,10,11,12,13,14,15,16,17,18,19,20,21,22,23,24,25,26,27,28,29,30}-1)*LEN(Registro!$E425)+1,LEN(Registro!$E425))),FIND("x",TRIM(MID(SUBSTITUTE(SUBSTITUTE(SUBSTITUTE(SUBSTITUTE(SUBSTITUTE(LOWER(Registro!$E425),"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",LEN(Registro!$E425))),({1,2,3,4,5,6,7,8,9,10,11,12,13,14,15,16,17,18,19,20,21,22,23,24,25,26,27,28,29,30}-1)*LEN(Registro!$E425)+1,LEN(Registro!$E425)))&amp;"x")+1,20))),"Revisar formato")))</f>
        <v/>
      </c>
      <c r="F425" s="23" t="str">
        <f>IF(Registro!$F425="","",IF(ISERROR(FIND("x",LOWER(Registro!$F425))),"-",IFERROR(SUMPRODUCT(--("0"&amp;LEFT(TRIM(MID(SUBSTITUTE(SUBSTITUTE(SUBSTITUTE(SUBSTITUTE(SUBSTITUTE(LOWER(Registro!$F425)," ",""),CHAR(10),"|"),";","|"),"+","|"),"|",REPT(" ",LEN(Registro!$F425))),({1,2,3,4,5,6,7,8,9,10,11,12,13,14,15,16,17,18,19,20,21,22,23,24,25,26,27,28,29,30}-1)*LEN(Registro!$F425)+1,LEN(Registro!$F425))),FIND("x",TRIM(MID(SUBSTITUTE(SUBSTITUTE(SUBSTITUTE(SUBSTITUTE(SUBSTITUTE(LOWER(Registro!$F425)," ",""),CHAR(10),"|"),";","|"),"+","|"),"|",REPT(" ",LEN(Registro!$F425))),({1,2,3,4,5,6,7,8,9,10,11,12,13,14,15,16,17,18,19,20,21,22,23,24,25,26,27,28,29,30}-1)*LEN(Registro!$F425)+1,LEN(Registro!$F425)))&amp;"x")-1))),"Revisar formato")))</f>
        <v/>
      </c>
      <c r="G425" s="24" t="str">
        <f>IF(Registro!$F425="","",IF(ISERROR(FIND("x",LOWER(Registro!$F425))),N(Registro!$G425),IFERROR(SUMPRODUCT(--("0"&amp;LEFT(TRIM(MID(SUBSTITUTE(SUBSTITUTE(SUBSTITUTE(SUBSTITUTE(SUBSTITUTE(LOWER(Registro!$F425)," ",""),CHAR(10),"|"),";","|"),"+","|"),"|",REPT(" ",LEN(Registro!$F425))),({1,2,3,4,5,6,7,8,9,10,11,12,13,14,15,16,17,18,19,20,21,22,23,24,25,26,27,28,29,30}-1)*LEN(Registro!$F425)+1,LEN(Registro!$F425))),FIND("x",TRIM(MID(SUBSTITUTE(SUBSTITUTE(SUBSTITUTE(SUBSTITUTE(SUBSTITUTE(LOWER(Registro!$F425)," ",""),CHAR(10),"|"),";","|"),"+","|"),"|",REPT(" ",LEN(Registro!$F425))),({1,2,3,4,5,6,7,8,9,10,11,12,13,14,15,16,17,18,19,20,21,22,23,24,25,26,27,28,29,30}-1)*LEN(Registro!$F425)+1,LEN(Registro!$F425)))&amp;"x")-1)),--("0"&amp;MID(TRIM(MID(SUBSTITUTE(SUBSTITUTE(SUBSTITUTE(SUBSTITUTE(SUBSTITUTE(LOWER(Registro!$F425)," ",""),CHAR(10),"|"),";","|"),"+","|"),"|",REPT(" ",LEN(Registro!$F425))),({1,2,3,4,5,6,7,8,9,10,11,12,13,14,15,16,17,18,19,20,21,22,23,24,25,26,27,28,29,30}-1)*LEN(Registro!$F425)+1,LEN(Registro!$F425))),FIND("x",TRIM(MID(SUBSTITUTE(SUBSTITUTE(SUBSTITUTE(SUBSTITUTE(SUBSTITUTE(LOWER(Registro!$F425)," ",""),CHAR(10),"|"),";","|"),"+","|"),"|",REPT(" ",LEN(Registro!$F425))),({1,2,3,4,5,6,7,8,9,10,11,12,13,14,15,16,17,18,19,20,21,22,23,24,25,26,27,28,29,30}-1)*LEN(Registro!$F425)+1,LEN(Registro!$F425)))&amp;"x")+1,20))),"Revisar formato")))</f>
        <v/>
      </c>
      <c r="H425" s="21" t="str">
        <f>IF(AND(Registro!$E425="",Registro!$F425=""),"",IF(NOT(AND(ISNUMBER(G425),ISNUMBER(Registro!$G425))),"",IF(G425&lt;Registro!$G425,"FALTA BOLETOS",IF(G425=Registro!$G425,"CONFORME","DIFERENCIA"))))</f>
        <v/>
      </c>
      <c r="I425" s="24" t="str">
        <f>IF(Registro!$H425="","",IFERROR(SUMPRODUCT(--("0"&amp;TRIM(RIGHT(SUBSTITUTE(TRIM(MID(SUBSTITUTE(SUBSTITUTE(Registro!$H425,";",CHAR(10)),CHAR(10),REPT(" ",LEN(Registro!$H425))),({1,2,3,4,5,6,7,8,9,10,11,12,13,14,15,16,17,18,19,20,21,22,23,24,25,26,27,28,29,30}-1)*LEN(Registro!$H425)+1,LEN(Registro!$H425)))," ",REPT(" ",50)),50)))),"Revisar formato"))</f>
        <v/>
      </c>
      <c r="J425" s="24" t="str">
        <f>IF(Registro!$I425="","",IFERROR(SUMPRODUCT(--("0"&amp;TRIM(RIGHT(SUBSTITUTE(TRIM(MID(SUBSTITUTE(SUBSTITUTE(Registro!$I425,";",CHAR(10)),CHAR(10),REPT(" ",LEN(Registro!$I425))),({1,2,3,4,5,6,7,8,9,10,11,12,13,14,15,16,17,18,19,20,21,22,23,24,25,26,27,28,29,30}-1)*LEN(Registro!$I425)+1,LEN(Registro!$I425)))," ",REPT(" ",50)),50)))),"Revisar formato"))</f>
        <v/>
      </c>
      <c r="K425" s="24" t="str">
        <f>IF(AND(Registro!$G425="",Registro!$H425=""),"",IF(AND(ISTEXT(I425),I425&lt;&gt;""),"Revisar formato",N(Registro!$G425)-N(I425)))</f>
        <v/>
      </c>
      <c r="L425" s="24" t="str">
        <f t="shared" si="13"/>
        <v/>
      </c>
      <c r="M425" s="36" t="str">
        <f>IF(AND(A425=Consulta!$B$3,C425=Consulta!$H$3),B425*10000+ROW(),"")</f>
        <v/>
      </c>
    </row>
    <row r="426" spans="1:13" x14ac:dyDescent="0.25">
      <c r="A426" s="21" t="str">
        <f>IF(Registro!$A426="","",Registro!$A426)</f>
        <v/>
      </c>
      <c r="B426" s="20" t="str">
        <f>IF(Registro!$B426="","",Registro!$B426)</f>
        <v/>
      </c>
      <c r="C426" s="35" t="str">
        <f t="shared" si="12"/>
        <v/>
      </c>
      <c r="D426" s="23" t="str">
        <f>IF(Registro!$E426="","",IF(ISERROR(FIND("x",LOWER(Registro!$E426))),"-",IFERROR(SUMPRODUCT(--("0"&amp;LEFT(TRIM(MID(SUBSTITUTE(SUBSTITUTE(SUBSTITUTE(SUBSTITUTE(SUBSTITUTE(LOWER(Registro!$E426),"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",LEN(Registro!$E426))),({1,2,3,4,5,6,7,8,9,10,11,12,13,14,15,16,17,18,19,20,21,22,23,24,25,26,27,28,29,30}-1)*LEN(Registro!$E426)+1,LEN(Registro!$E426))),FIND("x",TRIM(MID(SUBSTITUTE(SUBSTITUTE(SUBSTITUTE(SUBSTITUTE(SUBSTITUTE(LOWER(Registro!$E426),"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",LEN(Registro!$E426))),({1,2,3,4,5,6,7,8,9,10,11,12,13,14,15,16,17,18,19,20,21,22,23,24,25,26,27,28,29,30}-1)*LEN(Registro!$E426)+1,LEN(Registro!$E426)))&amp;"x")-1))),"Revisar formato")))</f>
        <v/>
      </c>
      <c r="E426" s="24" t="str">
        <f>IF(Registro!$E426="","",IF(ISERROR(FIND("x",LOWER(Registro!$E426))),"-",IFERROR(SUMPRODUCT(--("0"&amp;LEFT(TRIM(MID(SUBSTITUTE(SUBSTITUTE(SUBSTITUTE(SUBSTITUTE(SUBSTITUTE(LOWER(Registro!$E426),"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",LEN(Registro!$E426))),({1,2,3,4,5,6,7,8,9,10,11,12,13,14,15,16,17,18,19,20,21,22,23,24,25,26,27,28,29,30}-1)*LEN(Registro!$E426)+1,LEN(Registro!$E426))),FIND("x",TRIM(MID(SUBSTITUTE(SUBSTITUTE(SUBSTITUTE(SUBSTITUTE(SUBSTITUTE(LOWER(Registro!$E426),"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",LEN(Registro!$E426))),({1,2,3,4,5,6,7,8,9,10,11,12,13,14,15,16,17,18,19,20,21,22,23,24,25,26,27,28,29,30}-1)*LEN(Registro!$E426)+1,LEN(Registro!$E426)))&amp;"x")-1)),--("0"&amp;MID(TRIM(MID(SUBSTITUTE(SUBSTITUTE(SUBSTITUTE(SUBSTITUTE(SUBSTITUTE(LOWER(Registro!$E426),"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",LEN(Registro!$E426))),({1,2,3,4,5,6,7,8,9,10,11,12,13,14,15,16,17,18,19,20,21,22,23,24,25,26,27,28,29,30}-1)*LEN(Registro!$E426)+1,LEN(Registro!$E426))),FIND("x",TRIM(MID(SUBSTITUTE(SUBSTITUTE(SUBSTITUTE(SUBSTITUTE(SUBSTITUTE(LOWER(Registro!$E426),"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",LEN(Registro!$E426))),({1,2,3,4,5,6,7,8,9,10,11,12,13,14,15,16,17,18,19,20,21,22,23,24,25,26,27,28,29,30}-1)*LEN(Registro!$E426)+1,LEN(Registro!$E426)))&amp;"x")+1,20))),"Revisar formato")))</f>
        <v/>
      </c>
      <c r="F426" s="23" t="str">
        <f>IF(Registro!$F426="","",IF(ISERROR(FIND("x",LOWER(Registro!$F426))),"-",IFERROR(SUMPRODUCT(--("0"&amp;LEFT(TRIM(MID(SUBSTITUTE(SUBSTITUTE(SUBSTITUTE(SUBSTITUTE(SUBSTITUTE(LOWER(Registro!$F426)," ",""),CHAR(10),"|"),";","|"),"+","|"),"|",REPT(" ",LEN(Registro!$F426))),({1,2,3,4,5,6,7,8,9,10,11,12,13,14,15,16,17,18,19,20,21,22,23,24,25,26,27,28,29,30}-1)*LEN(Registro!$F426)+1,LEN(Registro!$F426))),FIND("x",TRIM(MID(SUBSTITUTE(SUBSTITUTE(SUBSTITUTE(SUBSTITUTE(SUBSTITUTE(LOWER(Registro!$F426)," ",""),CHAR(10),"|"),";","|"),"+","|"),"|",REPT(" ",LEN(Registro!$F426))),({1,2,3,4,5,6,7,8,9,10,11,12,13,14,15,16,17,18,19,20,21,22,23,24,25,26,27,28,29,30}-1)*LEN(Registro!$F426)+1,LEN(Registro!$F426)))&amp;"x")-1))),"Revisar formato")))</f>
        <v/>
      </c>
      <c r="G426" s="24" t="str">
        <f>IF(Registro!$F426="","",IF(ISERROR(FIND("x",LOWER(Registro!$F426))),N(Registro!$G426),IFERROR(SUMPRODUCT(--("0"&amp;LEFT(TRIM(MID(SUBSTITUTE(SUBSTITUTE(SUBSTITUTE(SUBSTITUTE(SUBSTITUTE(LOWER(Registro!$F426)," ",""),CHAR(10),"|"),";","|"),"+","|"),"|",REPT(" ",LEN(Registro!$F426))),({1,2,3,4,5,6,7,8,9,10,11,12,13,14,15,16,17,18,19,20,21,22,23,24,25,26,27,28,29,30}-1)*LEN(Registro!$F426)+1,LEN(Registro!$F426))),FIND("x",TRIM(MID(SUBSTITUTE(SUBSTITUTE(SUBSTITUTE(SUBSTITUTE(SUBSTITUTE(LOWER(Registro!$F426)," ",""),CHAR(10),"|"),";","|"),"+","|"),"|",REPT(" ",LEN(Registro!$F426))),({1,2,3,4,5,6,7,8,9,10,11,12,13,14,15,16,17,18,19,20,21,22,23,24,25,26,27,28,29,30}-1)*LEN(Registro!$F426)+1,LEN(Registro!$F426)))&amp;"x")-1)),--("0"&amp;MID(TRIM(MID(SUBSTITUTE(SUBSTITUTE(SUBSTITUTE(SUBSTITUTE(SUBSTITUTE(LOWER(Registro!$F426)," ",""),CHAR(10),"|"),";","|"),"+","|"),"|",REPT(" ",LEN(Registro!$F426))),({1,2,3,4,5,6,7,8,9,10,11,12,13,14,15,16,17,18,19,20,21,22,23,24,25,26,27,28,29,30}-1)*LEN(Registro!$F426)+1,LEN(Registro!$F426))),FIND("x",TRIM(MID(SUBSTITUTE(SUBSTITUTE(SUBSTITUTE(SUBSTITUTE(SUBSTITUTE(LOWER(Registro!$F426)," ",""),CHAR(10),"|"),";","|"),"+","|"),"|",REPT(" ",LEN(Registro!$F426))),({1,2,3,4,5,6,7,8,9,10,11,12,13,14,15,16,17,18,19,20,21,22,23,24,25,26,27,28,29,30}-1)*LEN(Registro!$F426)+1,LEN(Registro!$F426)))&amp;"x")+1,20))),"Revisar formato")))</f>
        <v/>
      </c>
      <c r="H426" s="21" t="str">
        <f>IF(AND(Registro!$E426="",Registro!$F426=""),"",IF(NOT(AND(ISNUMBER(G426),ISNUMBER(Registro!$G426))),"",IF(G426&lt;Registro!$G426,"FALTA BOLETOS",IF(G426=Registro!$G426,"CONFORME","DIFERENCIA"))))</f>
        <v/>
      </c>
      <c r="I426" s="24" t="str">
        <f>IF(Registro!$H426="","",IFERROR(SUMPRODUCT(--("0"&amp;TRIM(RIGHT(SUBSTITUTE(TRIM(MID(SUBSTITUTE(SUBSTITUTE(Registro!$H426,";",CHAR(10)),CHAR(10),REPT(" ",LEN(Registro!$H426))),({1,2,3,4,5,6,7,8,9,10,11,12,13,14,15,16,17,18,19,20,21,22,23,24,25,26,27,28,29,30}-1)*LEN(Registro!$H426)+1,LEN(Registro!$H426)))," ",REPT(" ",50)),50)))),"Revisar formato"))</f>
        <v/>
      </c>
      <c r="J426" s="24" t="str">
        <f>IF(Registro!$I426="","",IFERROR(SUMPRODUCT(--("0"&amp;TRIM(RIGHT(SUBSTITUTE(TRIM(MID(SUBSTITUTE(SUBSTITUTE(Registro!$I426,";",CHAR(10)),CHAR(10),REPT(" ",LEN(Registro!$I426))),({1,2,3,4,5,6,7,8,9,10,11,12,13,14,15,16,17,18,19,20,21,22,23,24,25,26,27,28,29,30}-1)*LEN(Registro!$I426)+1,LEN(Registro!$I426)))," ",REPT(" ",50)),50)))),"Revisar formato"))</f>
        <v/>
      </c>
      <c r="K426" s="24" t="str">
        <f>IF(AND(Registro!$G426="",Registro!$H426=""),"",IF(AND(ISTEXT(I426),I426&lt;&gt;""),"Revisar formato",N(Registro!$G426)-N(I426)))</f>
        <v/>
      </c>
      <c r="L426" s="24" t="str">
        <f t="shared" si="13"/>
        <v/>
      </c>
      <c r="M426" s="36" t="str">
        <f>IF(AND(A426=Consulta!$B$3,C426=Consulta!$H$3),B426*10000+ROW(),"")</f>
        <v/>
      </c>
    </row>
    <row r="427" spans="1:13" x14ac:dyDescent="0.25">
      <c r="A427" s="21" t="str">
        <f>IF(Registro!$A427="","",Registro!$A427)</f>
        <v/>
      </c>
      <c r="B427" s="20" t="str">
        <f>IF(Registro!$B427="","",Registro!$B427)</f>
        <v/>
      </c>
      <c r="C427" s="35" t="str">
        <f t="shared" si="12"/>
        <v/>
      </c>
      <c r="D427" s="23" t="str">
        <f>IF(Registro!$E427="","",IF(ISERROR(FIND("x",LOWER(Registro!$E427))),"-",IFERROR(SUMPRODUCT(--("0"&amp;LEFT(TRIM(MID(SUBSTITUTE(SUBSTITUTE(SUBSTITUTE(SUBSTITUTE(SUBSTITUTE(LOWER(Registro!$E427),"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",LEN(Registro!$E427))),({1,2,3,4,5,6,7,8,9,10,11,12,13,14,15,16,17,18,19,20,21,22,23,24,25,26,27,28,29,30}-1)*LEN(Registro!$E427)+1,LEN(Registro!$E427))),FIND("x",TRIM(MID(SUBSTITUTE(SUBSTITUTE(SUBSTITUTE(SUBSTITUTE(SUBSTITUTE(LOWER(Registro!$E427),"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",LEN(Registro!$E427))),({1,2,3,4,5,6,7,8,9,10,11,12,13,14,15,16,17,18,19,20,21,22,23,24,25,26,27,28,29,30}-1)*LEN(Registro!$E427)+1,LEN(Registro!$E427)))&amp;"x")-1))),"Revisar formato")))</f>
        <v/>
      </c>
      <c r="E427" s="24" t="str">
        <f>IF(Registro!$E427="","",IF(ISERROR(FIND("x",LOWER(Registro!$E427))),"-",IFERROR(SUMPRODUCT(--("0"&amp;LEFT(TRIM(MID(SUBSTITUTE(SUBSTITUTE(SUBSTITUTE(SUBSTITUTE(SUBSTITUTE(LOWER(Registro!$E427),"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",LEN(Registro!$E427))),({1,2,3,4,5,6,7,8,9,10,11,12,13,14,15,16,17,18,19,20,21,22,23,24,25,26,27,28,29,30}-1)*LEN(Registro!$E427)+1,LEN(Registro!$E427))),FIND("x",TRIM(MID(SUBSTITUTE(SUBSTITUTE(SUBSTITUTE(SUBSTITUTE(SUBSTITUTE(LOWER(Registro!$E427),"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",LEN(Registro!$E427))),({1,2,3,4,5,6,7,8,9,10,11,12,13,14,15,16,17,18,19,20,21,22,23,24,25,26,27,28,29,30}-1)*LEN(Registro!$E427)+1,LEN(Registro!$E427)))&amp;"x")-1)),--("0"&amp;MID(TRIM(MID(SUBSTITUTE(SUBSTITUTE(SUBSTITUTE(SUBSTITUTE(SUBSTITUTE(LOWER(Registro!$E427),"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",LEN(Registro!$E427))),({1,2,3,4,5,6,7,8,9,10,11,12,13,14,15,16,17,18,19,20,21,22,23,24,25,26,27,28,29,30}-1)*LEN(Registro!$E427)+1,LEN(Registro!$E427))),FIND("x",TRIM(MID(SUBSTITUTE(SUBSTITUTE(SUBSTITUTE(SUBSTITUTE(SUBSTITUTE(LOWER(Registro!$E427),"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",LEN(Registro!$E427))),({1,2,3,4,5,6,7,8,9,10,11,12,13,14,15,16,17,18,19,20,21,22,23,24,25,26,27,28,29,30}-1)*LEN(Registro!$E427)+1,LEN(Registro!$E427)))&amp;"x")+1,20))),"Revisar formato")))</f>
        <v/>
      </c>
      <c r="F427" s="23" t="str">
        <f>IF(Registro!$F427="","",IF(ISERROR(FIND("x",LOWER(Registro!$F427))),"-",IFERROR(SUMPRODUCT(--("0"&amp;LEFT(TRIM(MID(SUBSTITUTE(SUBSTITUTE(SUBSTITUTE(SUBSTITUTE(SUBSTITUTE(LOWER(Registro!$F427)," ",""),CHAR(10),"|"),";","|"),"+","|"),"|",REPT(" ",LEN(Registro!$F427))),({1,2,3,4,5,6,7,8,9,10,11,12,13,14,15,16,17,18,19,20,21,22,23,24,25,26,27,28,29,30}-1)*LEN(Registro!$F427)+1,LEN(Registro!$F427))),FIND("x",TRIM(MID(SUBSTITUTE(SUBSTITUTE(SUBSTITUTE(SUBSTITUTE(SUBSTITUTE(LOWER(Registro!$F427)," ",""),CHAR(10),"|"),";","|"),"+","|"),"|",REPT(" ",LEN(Registro!$F427))),({1,2,3,4,5,6,7,8,9,10,11,12,13,14,15,16,17,18,19,20,21,22,23,24,25,26,27,28,29,30}-1)*LEN(Registro!$F427)+1,LEN(Registro!$F427)))&amp;"x")-1))),"Revisar formato")))</f>
        <v/>
      </c>
      <c r="G427" s="24" t="str">
        <f>IF(Registro!$F427="","",IF(ISERROR(FIND("x",LOWER(Registro!$F427))),N(Registro!$G427),IFERROR(SUMPRODUCT(--("0"&amp;LEFT(TRIM(MID(SUBSTITUTE(SUBSTITUTE(SUBSTITUTE(SUBSTITUTE(SUBSTITUTE(LOWER(Registro!$F427)," ",""),CHAR(10),"|"),";","|"),"+","|"),"|",REPT(" ",LEN(Registro!$F427))),({1,2,3,4,5,6,7,8,9,10,11,12,13,14,15,16,17,18,19,20,21,22,23,24,25,26,27,28,29,30}-1)*LEN(Registro!$F427)+1,LEN(Registro!$F427))),FIND("x",TRIM(MID(SUBSTITUTE(SUBSTITUTE(SUBSTITUTE(SUBSTITUTE(SUBSTITUTE(LOWER(Registro!$F427)," ",""),CHAR(10),"|"),";","|"),"+","|"),"|",REPT(" ",LEN(Registro!$F427))),({1,2,3,4,5,6,7,8,9,10,11,12,13,14,15,16,17,18,19,20,21,22,23,24,25,26,27,28,29,30}-1)*LEN(Registro!$F427)+1,LEN(Registro!$F427)))&amp;"x")-1)),--("0"&amp;MID(TRIM(MID(SUBSTITUTE(SUBSTITUTE(SUBSTITUTE(SUBSTITUTE(SUBSTITUTE(LOWER(Registro!$F427)," ",""),CHAR(10),"|"),";","|"),"+","|"),"|",REPT(" ",LEN(Registro!$F427))),({1,2,3,4,5,6,7,8,9,10,11,12,13,14,15,16,17,18,19,20,21,22,23,24,25,26,27,28,29,30}-1)*LEN(Registro!$F427)+1,LEN(Registro!$F427))),FIND("x",TRIM(MID(SUBSTITUTE(SUBSTITUTE(SUBSTITUTE(SUBSTITUTE(SUBSTITUTE(LOWER(Registro!$F427)," ",""),CHAR(10),"|"),";","|"),"+","|"),"|",REPT(" ",LEN(Registro!$F427))),({1,2,3,4,5,6,7,8,9,10,11,12,13,14,15,16,17,18,19,20,21,22,23,24,25,26,27,28,29,30}-1)*LEN(Registro!$F427)+1,LEN(Registro!$F427)))&amp;"x")+1,20))),"Revisar formato")))</f>
        <v/>
      </c>
      <c r="H427" s="21" t="str">
        <f>IF(AND(Registro!$E427="",Registro!$F427=""),"",IF(NOT(AND(ISNUMBER(G427),ISNUMBER(Registro!$G427))),"",IF(G427&lt;Registro!$G427,"FALTA BOLETOS",IF(G427=Registro!$G427,"CONFORME","DIFERENCIA"))))</f>
        <v/>
      </c>
      <c r="I427" s="24" t="str">
        <f>IF(Registro!$H427="","",IFERROR(SUMPRODUCT(--("0"&amp;TRIM(RIGHT(SUBSTITUTE(TRIM(MID(SUBSTITUTE(SUBSTITUTE(Registro!$H427,";",CHAR(10)),CHAR(10),REPT(" ",LEN(Registro!$H427))),({1,2,3,4,5,6,7,8,9,10,11,12,13,14,15,16,17,18,19,20,21,22,23,24,25,26,27,28,29,30}-1)*LEN(Registro!$H427)+1,LEN(Registro!$H427)))," ",REPT(" ",50)),50)))),"Revisar formato"))</f>
        <v/>
      </c>
      <c r="J427" s="24" t="str">
        <f>IF(Registro!$I427="","",IFERROR(SUMPRODUCT(--("0"&amp;TRIM(RIGHT(SUBSTITUTE(TRIM(MID(SUBSTITUTE(SUBSTITUTE(Registro!$I427,";",CHAR(10)),CHAR(10),REPT(" ",LEN(Registro!$I427))),({1,2,3,4,5,6,7,8,9,10,11,12,13,14,15,16,17,18,19,20,21,22,23,24,25,26,27,28,29,30}-1)*LEN(Registro!$I427)+1,LEN(Registro!$I427)))," ",REPT(" ",50)),50)))),"Revisar formato"))</f>
        <v/>
      </c>
      <c r="K427" s="24" t="str">
        <f>IF(AND(Registro!$G427="",Registro!$H427=""),"",IF(AND(ISTEXT(I427),I427&lt;&gt;""),"Revisar formato",N(Registro!$G427)-N(I427)))</f>
        <v/>
      </c>
      <c r="L427" s="24" t="str">
        <f t="shared" si="13"/>
        <v/>
      </c>
      <c r="M427" s="36" t="str">
        <f>IF(AND(A427=Consulta!$B$3,C427=Consulta!$H$3),B427*10000+ROW(),"")</f>
        <v/>
      </c>
    </row>
    <row r="428" spans="1:13" x14ac:dyDescent="0.25">
      <c r="A428" s="21" t="str">
        <f>IF(Registro!$A428="","",Registro!$A428)</f>
        <v/>
      </c>
      <c r="B428" s="20" t="str">
        <f>IF(Registro!$B428="","",Registro!$B428)</f>
        <v/>
      </c>
      <c r="C428" s="35" t="str">
        <f t="shared" si="12"/>
        <v/>
      </c>
      <c r="D428" s="23" t="str">
        <f>IF(Registro!$E428="","",IF(ISERROR(FIND("x",LOWER(Registro!$E428))),"-",IFERROR(SUMPRODUCT(--("0"&amp;LEFT(TRIM(MID(SUBSTITUTE(SUBSTITUTE(SUBSTITUTE(SUBSTITUTE(SUBSTITUTE(LOWER(Registro!$E428),"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",LEN(Registro!$E428))),({1,2,3,4,5,6,7,8,9,10,11,12,13,14,15,16,17,18,19,20,21,22,23,24,25,26,27,28,29,30}-1)*LEN(Registro!$E428)+1,LEN(Registro!$E428))),FIND("x",TRIM(MID(SUBSTITUTE(SUBSTITUTE(SUBSTITUTE(SUBSTITUTE(SUBSTITUTE(LOWER(Registro!$E428),"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",LEN(Registro!$E428))),({1,2,3,4,5,6,7,8,9,10,11,12,13,14,15,16,17,18,19,20,21,22,23,24,25,26,27,28,29,30}-1)*LEN(Registro!$E428)+1,LEN(Registro!$E428)))&amp;"x")-1))),"Revisar formato")))</f>
        <v/>
      </c>
      <c r="E428" s="24" t="str">
        <f>IF(Registro!$E428="","",IF(ISERROR(FIND("x",LOWER(Registro!$E428))),"-",IFERROR(SUMPRODUCT(--("0"&amp;LEFT(TRIM(MID(SUBSTITUTE(SUBSTITUTE(SUBSTITUTE(SUBSTITUTE(SUBSTITUTE(LOWER(Registro!$E428),"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",LEN(Registro!$E428))),({1,2,3,4,5,6,7,8,9,10,11,12,13,14,15,16,17,18,19,20,21,22,23,24,25,26,27,28,29,30}-1)*LEN(Registro!$E428)+1,LEN(Registro!$E428))),FIND("x",TRIM(MID(SUBSTITUTE(SUBSTITUTE(SUBSTITUTE(SUBSTITUTE(SUBSTITUTE(LOWER(Registro!$E428),"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",LEN(Registro!$E428))),({1,2,3,4,5,6,7,8,9,10,11,12,13,14,15,16,17,18,19,20,21,22,23,24,25,26,27,28,29,30}-1)*LEN(Registro!$E428)+1,LEN(Registro!$E428)))&amp;"x")-1)),--("0"&amp;MID(TRIM(MID(SUBSTITUTE(SUBSTITUTE(SUBSTITUTE(SUBSTITUTE(SUBSTITUTE(LOWER(Registro!$E428),"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",LEN(Registro!$E428))),({1,2,3,4,5,6,7,8,9,10,11,12,13,14,15,16,17,18,19,20,21,22,23,24,25,26,27,28,29,30}-1)*LEN(Registro!$E428)+1,LEN(Registro!$E428))),FIND("x",TRIM(MID(SUBSTITUTE(SUBSTITUTE(SUBSTITUTE(SUBSTITUTE(SUBSTITUTE(LOWER(Registro!$E428),"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",LEN(Registro!$E428))),({1,2,3,4,5,6,7,8,9,10,11,12,13,14,15,16,17,18,19,20,21,22,23,24,25,26,27,28,29,30}-1)*LEN(Registro!$E428)+1,LEN(Registro!$E428)))&amp;"x")+1,20))),"Revisar formato")))</f>
        <v/>
      </c>
      <c r="F428" s="23" t="str">
        <f>IF(Registro!$F428="","",IF(ISERROR(FIND("x",LOWER(Registro!$F428))),"-",IFERROR(SUMPRODUCT(--("0"&amp;LEFT(TRIM(MID(SUBSTITUTE(SUBSTITUTE(SUBSTITUTE(SUBSTITUTE(SUBSTITUTE(LOWER(Registro!$F428)," ",""),CHAR(10),"|"),";","|"),"+","|"),"|",REPT(" ",LEN(Registro!$F428))),({1,2,3,4,5,6,7,8,9,10,11,12,13,14,15,16,17,18,19,20,21,22,23,24,25,26,27,28,29,30}-1)*LEN(Registro!$F428)+1,LEN(Registro!$F428))),FIND("x",TRIM(MID(SUBSTITUTE(SUBSTITUTE(SUBSTITUTE(SUBSTITUTE(SUBSTITUTE(LOWER(Registro!$F428)," ",""),CHAR(10),"|"),";","|"),"+","|"),"|",REPT(" ",LEN(Registro!$F428))),({1,2,3,4,5,6,7,8,9,10,11,12,13,14,15,16,17,18,19,20,21,22,23,24,25,26,27,28,29,30}-1)*LEN(Registro!$F428)+1,LEN(Registro!$F428)))&amp;"x")-1))),"Revisar formato")))</f>
        <v/>
      </c>
      <c r="G428" s="24" t="str">
        <f>IF(Registro!$F428="","",IF(ISERROR(FIND("x",LOWER(Registro!$F428))),N(Registro!$G428),IFERROR(SUMPRODUCT(--("0"&amp;LEFT(TRIM(MID(SUBSTITUTE(SUBSTITUTE(SUBSTITUTE(SUBSTITUTE(SUBSTITUTE(LOWER(Registro!$F428)," ",""),CHAR(10),"|"),";","|"),"+","|"),"|",REPT(" ",LEN(Registro!$F428))),({1,2,3,4,5,6,7,8,9,10,11,12,13,14,15,16,17,18,19,20,21,22,23,24,25,26,27,28,29,30}-1)*LEN(Registro!$F428)+1,LEN(Registro!$F428))),FIND("x",TRIM(MID(SUBSTITUTE(SUBSTITUTE(SUBSTITUTE(SUBSTITUTE(SUBSTITUTE(LOWER(Registro!$F428)," ",""),CHAR(10),"|"),";","|"),"+","|"),"|",REPT(" ",LEN(Registro!$F428))),({1,2,3,4,5,6,7,8,9,10,11,12,13,14,15,16,17,18,19,20,21,22,23,24,25,26,27,28,29,30}-1)*LEN(Registro!$F428)+1,LEN(Registro!$F428)))&amp;"x")-1)),--("0"&amp;MID(TRIM(MID(SUBSTITUTE(SUBSTITUTE(SUBSTITUTE(SUBSTITUTE(SUBSTITUTE(LOWER(Registro!$F428)," ",""),CHAR(10),"|"),";","|"),"+","|"),"|",REPT(" ",LEN(Registro!$F428))),({1,2,3,4,5,6,7,8,9,10,11,12,13,14,15,16,17,18,19,20,21,22,23,24,25,26,27,28,29,30}-1)*LEN(Registro!$F428)+1,LEN(Registro!$F428))),FIND("x",TRIM(MID(SUBSTITUTE(SUBSTITUTE(SUBSTITUTE(SUBSTITUTE(SUBSTITUTE(LOWER(Registro!$F428)," ",""),CHAR(10),"|"),";","|"),"+","|"),"|",REPT(" ",LEN(Registro!$F428))),({1,2,3,4,5,6,7,8,9,10,11,12,13,14,15,16,17,18,19,20,21,22,23,24,25,26,27,28,29,30}-1)*LEN(Registro!$F428)+1,LEN(Registro!$F428)))&amp;"x")+1,20))),"Revisar formato")))</f>
        <v/>
      </c>
      <c r="H428" s="21" t="str">
        <f>IF(AND(Registro!$E428="",Registro!$F428=""),"",IF(NOT(AND(ISNUMBER(G428),ISNUMBER(Registro!$G428))),"",IF(G428&lt;Registro!$G428,"FALTA BOLETOS",IF(G428=Registro!$G428,"CONFORME","DIFERENCIA"))))</f>
        <v/>
      </c>
      <c r="I428" s="24" t="str">
        <f>IF(Registro!$H428="","",IFERROR(SUMPRODUCT(--("0"&amp;TRIM(RIGHT(SUBSTITUTE(TRIM(MID(SUBSTITUTE(SUBSTITUTE(Registro!$H428,";",CHAR(10)),CHAR(10),REPT(" ",LEN(Registro!$H428))),({1,2,3,4,5,6,7,8,9,10,11,12,13,14,15,16,17,18,19,20,21,22,23,24,25,26,27,28,29,30}-1)*LEN(Registro!$H428)+1,LEN(Registro!$H428)))," ",REPT(" ",50)),50)))),"Revisar formato"))</f>
        <v/>
      </c>
      <c r="J428" s="24" t="str">
        <f>IF(Registro!$I428="","",IFERROR(SUMPRODUCT(--("0"&amp;TRIM(RIGHT(SUBSTITUTE(TRIM(MID(SUBSTITUTE(SUBSTITUTE(Registro!$I428,";",CHAR(10)),CHAR(10),REPT(" ",LEN(Registro!$I428))),({1,2,3,4,5,6,7,8,9,10,11,12,13,14,15,16,17,18,19,20,21,22,23,24,25,26,27,28,29,30}-1)*LEN(Registro!$I428)+1,LEN(Registro!$I428)))," ",REPT(" ",50)),50)))),"Revisar formato"))</f>
        <v/>
      </c>
      <c r="K428" s="24" t="str">
        <f>IF(AND(Registro!$G428="",Registro!$H428=""),"",IF(AND(ISTEXT(I428),I428&lt;&gt;""),"Revisar formato",N(Registro!$G428)-N(I428)))</f>
        <v/>
      </c>
      <c r="L428" s="24" t="str">
        <f t="shared" si="13"/>
        <v/>
      </c>
      <c r="M428" s="36" t="str">
        <f>IF(AND(A428=Consulta!$B$3,C428=Consulta!$H$3),B428*10000+ROW(),"")</f>
        <v/>
      </c>
    </row>
    <row r="429" spans="1:13" x14ac:dyDescent="0.25">
      <c r="A429" s="21" t="str">
        <f>IF(Registro!$A429="","",Registro!$A429)</f>
        <v/>
      </c>
      <c r="B429" s="20" t="str">
        <f>IF(Registro!$B429="","",Registro!$B429)</f>
        <v/>
      </c>
      <c r="C429" s="35" t="str">
        <f t="shared" si="12"/>
        <v/>
      </c>
      <c r="D429" s="23" t="str">
        <f>IF(Registro!$E429="","",IF(ISERROR(FIND("x",LOWER(Registro!$E429))),"-",IFERROR(SUMPRODUCT(--("0"&amp;LEFT(TRIM(MID(SUBSTITUTE(SUBSTITUTE(SUBSTITUTE(SUBSTITUTE(SUBSTITUTE(LOWER(Registro!$E429),"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",LEN(Registro!$E429))),({1,2,3,4,5,6,7,8,9,10,11,12,13,14,15,16,17,18,19,20,21,22,23,24,25,26,27,28,29,30}-1)*LEN(Registro!$E429)+1,LEN(Registro!$E429))),FIND("x",TRIM(MID(SUBSTITUTE(SUBSTITUTE(SUBSTITUTE(SUBSTITUTE(SUBSTITUTE(LOWER(Registro!$E429),"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",LEN(Registro!$E429))),({1,2,3,4,5,6,7,8,9,10,11,12,13,14,15,16,17,18,19,20,21,22,23,24,25,26,27,28,29,30}-1)*LEN(Registro!$E429)+1,LEN(Registro!$E429)))&amp;"x")-1))),"Revisar formato")))</f>
        <v/>
      </c>
      <c r="E429" s="24" t="str">
        <f>IF(Registro!$E429="","",IF(ISERROR(FIND("x",LOWER(Registro!$E429))),"-",IFERROR(SUMPRODUCT(--("0"&amp;LEFT(TRIM(MID(SUBSTITUTE(SUBSTITUTE(SUBSTITUTE(SUBSTITUTE(SUBSTITUTE(LOWER(Registro!$E429),"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",LEN(Registro!$E429))),({1,2,3,4,5,6,7,8,9,10,11,12,13,14,15,16,17,18,19,20,21,22,23,24,25,26,27,28,29,30}-1)*LEN(Registro!$E429)+1,LEN(Registro!$E429))),FIND("x",TRIM(MID(SUBSTITUTE(SUBSTITUTE(SUBSTITUTE(SUBSTITUTE(SUBSTITUTE(LOWER(Registro!$E429),"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",LEN(Registro!$E429))),({1,2,3,4,5,6,7,8,9,10,11,12,13,14,15,16,17,18,19,20,21,22,23,24,25,26,27,28,29,30}-1)*LEN(Registro!$E429)+1,LEN(Registro!$E429)))&amp;"x")-1)),--("0"&amp;MID(TRIM(MID(SUBSTITUTE(SUBSTITUTE(SUBSTITUTE(SUBSTITUTE(SUBSTITUTE(LOWER(Registro!$E429),"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",LEN(Registro!$E429))),({1,2,3,4,5,6,7,8,9,10,11,12,13,14,15,16,17,18,19,20,21,22,23,24,25,26,27,28,29,30}-1)*LEN(Registro!$E429)+1,LEN(Registro!$E429))),FIND("x",TRIM(MID(SUBSTITUTE(SUBSTITUTE(SUBSTITUTE(SUBSTITUTE(SUBSTITUTE(LOWER(Registro!$E429),"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",LEN(Registro!$E429))),({1,2,3,4,5,6,7,8,9,10,11,12,13,14,15,16,17,18,19,20,21,22,23,24,25,26,27,28,29,30}-1)*LEN(Registro!$E429)+1,LEN(Registro!$E429)))&amp;"x")+1,20))),"Revisar formato")))</f>
        <v/>
      </c>
      <c r="F429" s="23" t="str">
        <f>IF(Registro!$F429="","",IF(ISERROR(FIND("x",LOWER(Registro!$F429))),"-",IFERROR(SUMPRODUCT(--("0"&amp;LEFT(TRIM(MID(SUBSTITUTE(SUBSTITUTE(SUBSTITUTE(SUBSTITUTE(SUBSTITUTE(LOWER(Registro!$F429)," ",""),CHAR(10),"|"),";","|"),"+","|"),"|",REPT(" ",LEN(Registro!$F429))),({1,2,3,4,5,6,7,8,9,10,11,12,13,14,15,16,17,18,19,20,21,22,23,24,25,26,27,28,29,30}-1)*LEN(Registro!$F429)+1,LEN(Registro!$F429))),FIND("x",TRIM(MID(SUBSTITUTE(SUBSTITUTE(SUBSTITUTE(SUBSTITUTE(SUBSTITUTE(LOWER(Registro!$F429)," ",""),CHAR(10),"|"),";","|"),"+","|"),"|",REPT(" ",LEN(Registro!$F429))),({1,2,3,4,5,6,7,8,9,10,11,12,13,14,15,16,17,18,19,20,21,22,23,24,25,26,27,28,29,30}-1)*LEN(Registro!$F429)+1,LEN(Registro!$F429)))&amp;"x")-1))),"Revisar formato")))</f>
        <v/>
      </c>
      <c r="G429" s="24" t="str">
        <f>IF(Registro!$F429="","",IF(ISERROR(FIND("x",LOWER(Registro!$F429))),N(Registro!$G429),IFERROR(SUMPRODUCT(--("0"&amp;LEFT(TRIM(MID(SUBSTITUTE(SUBSTITUTE(SUBSTITUTE(SUBSTITUTE(SUBSTITUTE(LOWER(Registro!$F429)," ",""),CHAR(10),"|"),";","|"),"+","|"),"|",REPT(" ",LEN(Registro!$F429))),({1,2,3,4,5,6,7,8,9,10,11,12,13,14,15,16,17,18,19,20,21,22,23,24,25,26,27,28,29,30}-1)*LEN(Registro!$F429)+1,LEN(Registro!$F429))),FIND("x",TRIM(MID(SUBSTITUTE(SUBSTITUTE(SUBSTITUTE(SUBSTITUTE(SUBSTITUTE(LOWER(Registro!$F429)," ",""),CHAR(10),"|"),";","|"),"+","|"),"|",REPT(" ",LEN(Registro!$F429))),({1,2,3,4,5,6,7,8,9,10,11,12,13,14,15,16,17,18,19,20,21,22,23,24,25,26,27,28,29,30}-1)*LEN(Registro!$F429)+1,LEN(Registro!$F429)))&amp;"x")-1)),--("0"&amp;MID(TRIM(MID(SUBSTITUTE(SUBSTITUTE(SUBSTITUTE(SUBSTITUTE(SUBSTITUTE(LOWER(Registro!$F429)," ",""),CHAR(10),"|"),";","|"),"+","|"),"|",REPT(" ",LEN(Registro!$F429))),({1,2,3,4,5,6,7,8,9,10,11,12,13,14,15,16,17,18,19,20,21,22,23,24,25,26,27,28,29,30}-1)*LEN(Registro!$F429)+1,LEN(Registro!$F429))),FIND("x",TRIM(MID(SUBSTITUTE(SUBSTITUTE(SUBSTITUTE(SUBSTITUTE(SUBSTITUTE(LOWER(Registro!$F429)," ",""),CHAR(10),"|"),";","|"),"+","|"),"|",REPT(" ",LEN(Registro!$F429))),({1,2,3,4,5,6,7,8,9,10,11,12,13,14,15,16,17,18,19,20,21,22,23,24,25,26,27,28,29,30}-1)*LEN(Registro!$F429)+1,LEN(Registro!$F429)))&amp;"x")+1,20))),"Revisar formato")))</f>
        <v/>
      </c>
      <c r="H429" s="21" t="str">
        <f>IF(AND(Registro!$E429="",Registro!$F429=""),"",IF(NOT(AND(ISNUMBER(G429),ISNUMBER(Registro!$G429))),"",IF(G429&lt;Registro!$G429,"FALTA BOLETOS",IF(G429=Registro!$G429,"CONFORME","DIFERENCIA"))))</f>
        <v/>
      </c>
      <c r="I429" s="24" t="str">
        <f>IF(Registro!$H429="","",IFERROR(SUMPRODUCT(--("0"&amp;TRIM(RIGHT(SUBSTITUTE(TRIM(MID(SUBSTITUTE(SUBSTITUTE(Registro!$H429,";",CHAR(10)),CHAR(10),REPT(" ",LEN(Registro!$H429))),({1,2,3,4,5,6,7,8,9,10,11,12,13,14,15,16,17,18,19,20,21,22,23,24,25,26,27,28,29,30}-1)*LEN(Registro!$H429)+1,LEN(Registro!$H429)))," ",REPT(" ",50)),50)))),"Revisar formato"))</f>
        <v/>
      </c>
      <c r="J429" s="24" t="str">
        <f>IF(Registro!$I429="","",IFERROR(SUMPRODUCT(--("0"&amp;TRIM(RIGHT(SUBSTITUTE(TRIM(MID(SUBSTITUTE(SUBSTITUTE(Registro!$I429,";",CHAR(10)),CHAR(10),REPT(" ",LEN(Registro!$I429))),({1,2,3,4,5,6,7,8,9,10,11,12,13,14,15,16,17,18,19,20,21,22,23,24,25,26,27,28,29,30}-1)*LEN(Registro!$I429)+1,LEN(Registro!$I429)))," ",REPT(" ",50)),50)))),"Revisar formato"))</f>
        <v/>
      </c>
      <c r="K429" s="24" t="str">
        <f>IF(AND(Registro!$G429="",Registro!$H429=""),"",IF(AND(ISTEXT(I429),I429&lt;&gt;""),"Revisar formato",N(Registro!$G429)-N(I429)))</f>
        <v/>
      </c>
      <c r="L429" s="24" t="str">
        <f t="shared" si="13"/>
        <v/>
      </c>
      <c r="M429" s="36" t="str">
        <f>IF(AND(A429=Consulta!$B$3,C429=Consulta!$H$3),B429*10000+ROW(),"")</f>
        <v/>
      </c>
    </row>
    <row r="430" spans="1:13" x14ac:dyDescent="0.25">
      <c r="A430" s="21" t="str">
        <f>IF(Registro!$A430="","",Registro!$A430)</f>
        <v/>
      </c>
      <c r="B430" s="20" t="str">
        <f>IF(Registro!$B430="","",Registro!$B430)</f>
        <v/>
      </c>
      <c r="C430" s="35" t="str">
        <f t="shared" si="12"/>
        <v/>
      </c>
      <c r="D430" s="23" t="str">
        <f>IF(Registro!$E430="","",IF(ISERROR(FIND("x",LOWER(Registro!$E430))),"-",IFERROR(SUMPRODUCT(--("0"&amp;LEFT(TRIM(MID(SUBSTITUTE(SUBSTITUTE(SUBSTITUTE(SUBSTITUTE(SUBSTITUTE(LOWER(Registro!$E430),"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",LEN(Registro!$E430))),({1,2,3,4,5,6,7,8,9,10,11,12,13,14,15,16,17,18,19,20,21,22,23,24,25,26,27,28,29,30}-1)*LEN(Registro!$E430)+1,LEN(Registro!$E430))),FIND("x",TRIM(MID(SUBSTITUTE(SUBSTITUTE(SUBSTITUTE(SUBSTITUTE(SUBSTITUTE(LOWER(Registro!$E430),"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",LEN(Registro!$E430))),({1,2,3,4,5,6,7,8,9,10,11,12,13,14,15,16,17,18,19,20,21,22,23,24,25,26,27,28,29,30}-1)*LEN(Registro!$E430)+1,LEN(Registro!$E430)))&amp;"x")-1))),"Revisar formato")))</f>
        <v/>
      </c>
      <c r="E430" s="24" t="str">
        <f>IF(Registro!$E430="","",IF(ISERROR(FIND("x",LOWER(Registro!$E430))),"-",IFERROR(SUMPRODUCT(--("0"&amp;LEFT(TRIM(MID(SUBSTITUTE(SUBSTITUTE(SUBSTITUTE(SUBSTITUTE(SUBSTITUTE(LOWER(Registro!$E430),"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",LEN(Registro!$E430))),({1,2,3,4,5,6,7,8,9,10,11,12,13,14,15,16,17,18,19,20,21,22,23,24,25,26,27,28,29,30}-1)*LEN(Registro!$E430)+1,LEN(Registro!$E430))),FIND("x",TRIM(MID(SUBSTITUTE(SUBSTITUTE(SUBSTITUTE(SUBSTITUTE(SUBSTITUTE(LOWER(Registro!$E430),"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",LEN(Registro!$E430))),({1,2,3,4,5,6,7,8,9,10,11,12,13,14,15,16,17,18,19,20,21,22,23,24,25,26,27,28,29,30}-1)*LEN(Registro!$E430)+1,LEN(Registro!$E430)))&amp;"x")-1)),--("0"&amp;MID(TRIM(MID(SUBSTITUTE(SUBSTITUTE(SUBSTITUTE(SUBSTITUTE(SUBSTITUTE(LOWER(Registro!$E430),"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",LEN(Registro!$E430))),({1,2,3,4,5,6,7,8,9,10,11,12,13,14,15,16,17,18,19,20,21,22,23,24,25,26,27,28,29,30}-1)*LEN(Registro!$E430)+1,LEN(Registro!$E430))),FIND("x",TRIM(MID(SUBSTITUTE(SUBSTITUTE(SUBSTITUTE(SUBSTITUTE(SUBSTITUTE(LOWER(Registro!$E430),"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",LEN(Registro!$E430))),({1,2,3,4,5,6,7,8,9,10,11,12,13,14,15,16,17,18,19,20,21,22,23,24,25,26,27,28,29,30}-1)*LEN(Registro!$E430)+1,LEN(Registro!$E430)))&amp;"x")+1,20))),"Revisar formato")))</f>
        <v/>
      </c>
      <c r="F430" s="23" t="str">
        <f>IF(Registro!$F430="","",IF(ISERROR(FIND("x",LOWER(Registro!$F430))),"-",IFERROR(SUMPRODUCT(--("0"&amp;LEFT(TRIM(MID(SUBSTITUTE(SUBSTITUTE(SUBSTITUTE(SUBSTITUTE(SUBSTITUTE(LOWER(Registro!$F430)," ",""),CHAR(10),"|"),";","|"),"+","|"),"|",REPT(" ",LEN(Registro!$F430))),({1,2,3,4,5,6,7,8,9,10,11,12,13,14,15,16,17,18,19,20,21,22,23,24,25,26,27,28,29,30}-1)*LEN(Registro!$F430)+1,LEN(Registro!$F430))),FIND("x",TRIM(MID(SUBSTITUTE(SUBSTITUTE(SUBSTITUTE(SUBSTITUTE(SUBSTITUTE(LOWER(Registro!$F430)," ",""),CHAR(10),"|"),";","|"),"+","|"),"|",REPT(" ",LEN(Registro!$F430))),({1,2,3,4,5,6,7,8,9,10,11,12,13,14,15,16,17,18,19,20,21,22,23,24,25,26,27,28,29,30}-1)*LEN(Registro!$F430)+1,LEN(Registro!$F430)))&amp;"x")-1))),"Revisar formato")))</f>
        <v/>
      </c>
      <c r="G430" s="24" t="str">
        <f>IF(Registro!$F430="","",IF(ISERROR(FIND("x",LOWER(Registro!$F430))),N(Registro!$G430),IFERROR(SUMPRODUCT(--("0"&amp;LEFT(TRIM(MID(SUBSTITUTE(SUBSTITUTE(SUBSTITUTE(SUBSTITUTE(SUBSTITUTE(LOWER(Registro!$F430)," ",""),CHAR(10),"|"),";","|"),"+","|"),"|",REPT(" ",LEN(Registro!$F430))),({1,2,3,4,5,6,7,8,9,10,11,12,13,14,15,16,17,18,19,20,21,22,23,24,25,26,27,28,29,30}-1)*LEN(Registro!$F430)+1,LEN(Registro!$F430))),FIND("x",TRIM(MID(SUBSTITUTE(SUBSTITUTE(SUBSTITUTE(SUBSTITUTE(SUBSTITUTE(LOWER(Registro!$F430)," ",""),CHAR(10),"|"),";","|"),"+","|"),"|",REPT(" ",LEN(Registro!$F430))),({1,2,3,4,5,6,7,8,9,10,11,12,13,14,15,16,17,18,19,20,21,22,23,24,25,26,27,28,29,30}-1)*LEN(Registro!$F430)+1,LEN(Registro!$F430)))&amp;"x")-1)),--("0"&amp;MID(TRIM(MID(SUBSTITUTE(SUBSTITUTE(SUBSTITUTE(SUBSTITUTE(SUBSTITUTE(LOWER(Registro!$F430)," ",""),CHAR(10),"|"),";","|"),"+","|"),"|",REPT(" ",LEN(Registro!$F430))),({1,2,3,4,5,6,7,8,9,10,11,12,13,14,15,16,17,18,19,20,21,22,23,24,25,26,27,28,29,30}-1)*LEN(Registro!$F430)+1,LEN(Registro!$F430))),FIND("x",TRIM(MID(SUBSTITUTE(SUBSTITUTE(SUBSTITUTE(SUBSTITUTE(SUBSTITUTE(LOWER(Registro!$F430)," ",""),CHAR(10),"|"),";","|"),"+","|"),"|",REPT(" ",LEN(Registro!$F430))),({1,2,3,4,5,6,7,8,9,10,11,12,13,14,15,16,17,18,19,20,21,22,23,24,25,26,27,28,29,30}-1)*LEN(Registro!$F430)+1,LEN(Registro!$F430)))&amp;"x")+1,20))),"Revisar formato")))</f>
        <v/>
      </c>
      <c r="H430" s="21" t="str">
        <f>IF(AND(Registro!$E430="",Registro!$F430=""),"",IF(NOT(AND(ISNUMBER(G430),ISNUMBER(Registro!$G430))),"",IF(G430&lt;Registro!$G430,"FALTA BOLETOS",IF(G430=Registro!$G430,"CONFORME","DIFERENCIA"))))</f>
        <v/>
      </c>
      <c r="I430" s="24" t="str">
        <f>IF(Registro!$H430="","",IFERROR(SUMPRODUCT(--("0"&amp;TRIM(RIGHT(SUBSTITUTE(TRIM(MID(SUBSTITUTE(SUBSTITUTE(Registro!$H430,";",CHAR(10)),CHAR(10),REPT(" ",LEN(Registro!$H430))),({1,2,3,4,5,6,7,8,9,10,11,12,13,14,15,16,17,18,19,20,21,22,23,24,25,26,27,28,29,30}-1)*LEN(Registro!$H430)+1,LEN(Registro!$H430)))," ",REPT(" ",50)),50)))),"Revisar formato"))</f>
        <v/>
      </c>
      <c r="J430" s="24" t="str">
        <f>IF(Registro!$I430="","",IFERROR(SUMPRODUCT(--("0"&amp;TRIM(RIGHT(SUBSTITUTE(TRIM(MID(SUBSTITUTE(SUBSTITUTE(Registro!$I430,";",CHAR(10)),CHAR(10),REPT(" ",LEN(Registro!$I430))),({1,2,3,4,5,6,7,8,9,10,11,12,13,14,15,16,17,18,19,20,21,22,23,24,25,26,27,28,29,30}-1)*LEN(Registro!$I430)+1,LEN(Registro!$I430)))," ",REPT(" ",50)),50)))),"Revisar formato"))</f>
        <v/>
      </c>
      <c r="K430" s="24" t="str">
        <f>IF(AND(Registro!$G430="",Registro!$H430=""),"",IF(AND(ISTEXT(I430),I430&lt;&gt;""),"Revisar formato",N(Registro!$G430)-N(I430)))</f>
        <v/>
      </c>
      <c r="L430" s="24" t="str">
        <f t="shared" si="13"/>
        <v/>
      </c>
      <c r="M430" s="36" t="str">
        <f>IF(AND(A430=Consulta!$B$3,C430=Consulta!$H$3),B430*10000+ROW(),"")</f>
        <v/>
      </c>
    </row>
    <row r="431" spans="1:13" x14ac:dyDescent="0.25">
      <c r="A431" s="21" t="str">
        <f>IF(Registro!$A431="","",Registro!$A431)</f>
        <v/>
      </c>
      <c r="B431" s="20" t="str">
        <f>IF(Registro!$B431="","",Registro!$B431)</f>
        <v/>
      </c>
      <c r="C431" s="35" t="str">
        <f t="shared" si="12"/>
        <v/>
      </c>
      <c r="D431" s="23" t="str">
        <f>IF(Registro!$E431="","",IF(ISERROR(FIND("x",LOWER(Registro!$E431))),"-",IFERROR(SUMPRODUCT(--("0"&amp;LEFT(TRIM(MID(SUBSTITUTE(SUBSTITUTE(SUBSTITUTE(SUBSTITUTE(SUBSTITUTE(LOWER(Registro!$E431),"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",LEN(Registro!$E431))),({1,2,3,4,5,6,7,8,9,10,11,12,13,14,15,16,17,18,19,20,21,22,23,24,25,26,27,28,29,30}-1)*LEN(Registro!$E431)+1,LEN(Registro!$E431))),FIND("x",TRIM(MID(SUBSTITUTE(SUBSTITUTE(SUBSTITUTE(SUBSTITUTE(SUBSTITUTE(LOWER(Registro!$E431),"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",LEN(Registro!$E431))),({1,2,3,4,5,6,7,8,9,10,11,12,13,14,15,16,17,18,19,20,21,22,23,24,25,26,27,28,29,30}-1)*LEN(Registro!$E431)+1,LEN(Registro!$E431)))&amp;"x")-1))),"Revisar formato")))</f>
        <v/>
      </c>
      <c r="E431" s="24" t="str">
        <f>IF(Registro!$E431="","",IF(ISERROR(FIND("x",LOWER(Registro!$E431))),"-",IFERROR(SUMPRODUCT(--("0"&amp;LEFT(TRIM(MID(SUBSTITUTE(SUBSTITUTE(SUBSTITUTE(SUBSTITUTE(SUBSTITUTE(LOWER(Registro!$E431),"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",LEN(Registro!$E431))),({1,2,3,4,5,6,7,8,9,10,11,12,13,14,15,16,17,18,19,20,21,22,23,24,25,26,27,28,29,30}-1)*LEN(Registro!$E431)+1,LEN(Registro!$E431))),FIND("x",TRIM(MID(SUBSTITUTE(SUBSTITUTE(SUBSTITUTE(SUBSTITUTE(SUBSTITUTE(LOWER(Registro!$E431),"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",LEN(Registro!$E431))),({1,2,3,4,5,6,7,8,9,10,11,12,13,14,15,16,17,18,19,20,21,22,23,24,25,26,27,28,29,30}-1)*LEN(Registro!$E431)+1,LEN(Registro!$E431)))&amp;"x")-1)),--("0"&amp;MID(TRIM(MID(SUBSTITUTE(SUBSTITUTE(SUBSTITUTE(SUBSTITUTE(SUBSTITUTE(LOWER(Registro!$E431),"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",LEN(Registro!$E431))),({1,2,3,4,5,6,7,8,9,10,11,12,13,14,15,16,17,18,19,20,21,22,23,24,25,26,27,28,29,30}-1)*LEN(Registro!$E431)+1,LEN(Registro!$E431))),FIND("x",TRIM(MID(SUBSTITUTE(SUBSTITUTE(SUBSTITUTE(SUBSTITUTE(SUBSTITUTE(LOWER(Registro!$E431),"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",LEN(Registro!$E431))),({1,2,3,4,5,6,7,8,9,10,11,12,13,14,15,16,17,18,19,20,21,22,23,24,25,26,27,28,29,30}-1)*LEN(Registro!$E431)+1,LEN(Registro!$E431)))&amp;"x")+1,20))),"Revisar formato")))</f>
        <v/>
      </c>
      <c r="F431" s="23" t="str">
        <f>IF(Registro!$F431="","",IF(ISERROR(FIND("x",LOWER(Registro!$F431))),"-",IFERROR(SUMPRODUCT(--("0"&amp;LEFT(TRIM(MID(SUBSTITUTE(SUBSTITUTE(SUBSTITUTE(SUBSTITUTE(SUBSTITUTE(LOWER(Registro!$F431)," ",""),CHAR(10),"|"),";","|"),"+","|"),"|",REPT(" ",LEN(Registro!$F431))),({1,2,3,4,5,6,7,8,9,10,11,12,13,14,15,16,17,18,19,20,21,22,23,24,25,26,27,28,29,30}-1)*LEN(Registro!$F431)+1,LEN(Registro!$F431))),FIND("x",TRIM(MID(SUBSTITUTE(SUBSTITUTE(SUBSTITUTE(SUBSTITUTE(SUBSTITUTE(LOWER(Registro!$F431)," ",""),CHAR(10),"|"),";","|"),"+","|"),"|",REPT(" ",LEN(Registro!$F431))),({1,2,3,4,5,6,7,8,9,10,11,12,13,14,15,16,17,18,19,20,21,22,23,24,25,26,27,28,29,30}-1)*LEN(Registro!$F431)+1,LEN(Registro!$F431)))&amp;"x")-1))),"Revisar formato")))</f>
        <v/>
      </c>
      <c r="G431" s="24" t="str">
        <f>IF(Registro!$F431="","",IF(ISERROR(FIND("x",LOWER(Registro!$F431))),N(Registro!$G431),IFERROR(SUMPRODUCT(--("0"&amp;LEFT(TRIM(MID(SUBSTITUTE(SUBSTITUTE(SUBSTITUTE(SUBSTITUTE(SUBSTITUTE(LOWER(Registro!$F431)," ",""),CHAR(10),"|"),";","|"),"+","|"),"|",REPT(" ",LEN(Registro!$F431))),({1,2,3,4,5,6,7,8,9,10,11,12,13,14,15,16,17,18,19,20,21,22,23,24,25,26,27,28,29,30}-1)*LEN(Registro!$F431)+1,LEN(Registro!$F431))),FIND("x",TRIM(MID(SUBSTITUTE(SUBSTITUTE(SUBSTITUTE(SUBSTITUTE(SUBSTITUTE(LOWER(Registro!$F431)," ",""),CHAR(10),"|"),";","|"),"+","|"),"|",REPT(" ",LEN(Registro!$F431))),({1,2,3,4,5,6,7,8,9,10,11,12,13,14,15,16,17,18,19,20,21,22,23,24,25,26,27,28,29,30}-1)*LEN(Registro!$F431)+1,LEN(Registro!$F431)))&amp;"x")-1)),--("0"&amp;MID(TRIM(MID(SUBSTITUTE(SUBSTITUTE(SUBSTITUTE(SUBSTITUTE(SUBSTITUTE(LOWER(Registro!$F431)," ",""),CHAR(10),"|"),";","|"),"+","|"),"|",REPT(" ",LEN(Registro!$F431))),({1,2,3,4,5,6,7,8,9,10,11,12,13,14,15,16,17,18,19,20,21,22,23,24,25,26,27,28,29,30}-1)*LEN(Registro!$F431)+1,LEN(Registro!$F431))),FIND("x",TRIM(MID(SUBSTITUTE(SUBSTITUTE(SUBSTITUTE(SUBSTITUTE(SUBSTITUTE(LOWER(Registro!$F431)," ",""),CHAR(10),"|"),";","|"),"+","|"),"|",REPT(" ",LEN(Registro!$F431))),({1,2,3,4,5,6,7,8,9,10,11,12,13,14,15,16,17,18,19,20,21,22,23,24,25,26,27,28,29,30}-1)*LEN(Registro!$F431)+1,LEN(Registro!$F431)))&amp;"x")+1,20))),"Revisar formato")))</f>
        <v/>
      </c>
      <c r="H431" s="21" t="str">
        <f>IF(AND(Registro!$E431="",Registro!$F431=""),"",IF(NOT(AND(ISNUMBER(G431),ISNUMBER(Registro!$G431))),"",IF(G431&lt;Registro!$G431,"FALTA BOLETOS",IF(G431=Registro!$G431,"CONFORME","DIFERENCIA"))))</f>
        <v/>
      </c>
      <c r="I431" s="24" t="str">
        <f>IF(Registro!$H431="","",IFERROR(SUMPRODUCT(--("0"&amp;TRIM(RIGHT(SUBSTITUTE(TRIM(MID(SUBSTITUTE(SUBSTITUTE(Registro!$H431,";",CHAR(10)),CHAR(10),REPT(" ",LEN(Registro!$H431))),({1,2,3,4,5,6,7,8,9,10,11,12,13,14,15,16,17,18,19,20,21,22,23,24,25,26,27,28,29,30}-1)*LEN(Registro!$H431)+1,LEN(Registro!$H431)))," ",REPT(" ",50)),50)))),"Revisar formato"))</f>
        <v/>
      </c>
      <c r="J431" s="24" t="str">
        <f>IF(Registro!$I431="","",IFERROR(SUMPRODUCT(--("0"&amp;TRIM(RIGHT(SUBSTITUTE(TRIM(MID(SUBSTITUTE(SUBSTITUTE(Registro!$I431,";",CHAR(10)),CHAR(10),REPT(" ",LEN(Registro!$I431))),({1,2,3,4,5,6,7,8,9,10,11,12,13,14,15,16,17,18,19,20,21,22,23,24,25,26,27,28,29,30}-1)*LEN(Registro!$I431)+1,LEN(Registro!$I431)))," ",REPT(" ",50)),50)))),"Revisar formato"))</f>
        <v/>
      </c>
      <c r="K431" s="24" t="str">
        <f>IF(AND(Registro!$G431="",Registro!$H431=""),"",IF(AND(ISTEXT(I431),I431&lt;&gt;""),"Revisar formato",N(Registro!$G431)-N(I431)))</f>
        <v/>
      </c>
      <c r="L431" s="24" t="str">
        <f t="shared" si="13"/>
        <v/>
      </c>
      <c r="M431" s="36" t="str">
        <f>IF(AND(A431=Consulta!$B$3,C431=Consulta!$H$3),B431*10000+ROW(),"")</f>
        <v/>
      </c>
    </row>
    <row r="432" spans="1:13" x14ac:dyDescent="0.25">
      <c r="A432" s="21" t="str">
        <f>IF(Registro!$A432="","",Registro!$A432)</f>
        <v/>
      </c>
      <c r="B432" s="20" t="str">
        <f>IF(Registro!$B432="","",Registro!$B432)</f>
        <v/>
      </c>
      <c r="C432" s="35" t="str">
        <f t="shared" si="12"/>
        <v/>
      </c>
      <c r="D432" s="23" t="str">
        <f>IF(Registro!$E432="","",IF(ISERROR(FIND("x",LOWER(Registro!$E432))),"-",IFERROR(SUMPRODUCT(--("0"&amp;LEFT(TRIM(MID(SUBSTITUTE(SUBSTITUTE(SUBSTITUTE(SUBSTITUTE(SUBSTITUTE(LOWER(Registro!$E432),"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",LEN(Registro!$E432))),({1,2,3,4,5,6,7,8,9,10,11,12,13,14,15,16,17,18,19,20,21,22,23,24,25,26,27,28,29,30}-1)*LEN(Registro!$E432)+1,LEN(Registro!$E432))),FIND("x",TRIM(MID(SUBSTITUTE(SUBSTITUTE(SUBSTITUTE(SUBSTITUTE(SUBSTITUTE(LOWER(Registro!$E432),"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",LEN(Registro!$E432))),({1,2,3,4,5,6,7,8,9,10,11,12,13,14,15,16,17,18,19,20,21,22,23,24,25,26,27,28,29,30}-1)*LEN(Registro!$E432)+1,LEN(Registro!$E432)))&amp;"x")-1))),"Revisar formato")))</f>
        <v/>
      </c>
      <c r="E432" s="24" t="str">
        <f>IF(Registro!$E432="","",IF(ISERROR(FIND("x",LOWER(Registro!$E432))),"-",IFERROR(SUMPRODUCT(--("0"&amp;LEFT(TRIM(MID(SUBSTITUTE(SUBSTITUTE(SUBSTITUTE(SUBSTITUTE(SUBSTITUTE(LOWER(Registro!$E432),"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",LEN(Registro!$E432))),({1,2,3,4,5,6,7,8,9,10,11,12,13,14,15,16,17,18,19,20,21,22,23,24,25,26,27,28,29,30}-1)*LEN(Registro!$E432)+1,LEN(Registro!$E432))),FIND("x",TRIM(MID(SUBSTITUTE(SUBSTITUTE(SUBSTITUTE(SUBSTITUTE(SUBSTITUTE(LOWER(Registro!$E432),"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",LEN(Registro!$E432))),({1,2,3,4,5,6,7,8,9,10,11,12,13,14,15,16,17,18,19,20,21,22,23,24,25,26,27,28,29,30}-1)*LEN(Registro!$E432)+1,LEN(Registro!$E432)))&amp;"x")-1)),--("0"&amp;MID(TRIM(MID(SUBSTITUTE(SUBSTITUTE(SUBSTITUTE(SUBSTITUTE(SUBSTITUTE(LOWER(Registro!$E432),"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",LEN(Registro!$E432))),({1,2,3,4,5,6,7,8,9,10,11,12,13,14,15,16,17,18,19,20,21,22,23,24,25,26,27,28,29,30}-1)*LEN(Registro!$E432)+1,LEN(Registro!$E432))),FIND("x",TRIM(MID(SUBSTITUTE(SUBSTITUTE(SUBSTITUTE(SUBSTITUTE(SUBSTITUTE(LOWER(Registro!$E432),"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",LEN(Registro!$E432))),({1,2,3,4,5,6,7,8,9,10,11,12,13,14,15,16,17,18,19,20,21,22,23,24,25,26,27,28,29,30}-1)*LEN(Registro!$E432)+1,LEN(Registro!$E432)))&amp;"x")+1,20))),"Revisar formato")))</f>
        <v/>
      </c>
      <c r="F432" s="23" t="str">
        <f>IF(Registro!$F432="","",IF(ISERROR(FIND("x",LOWER(Registro!$F432))),"-",IFERROR(SUMPRODUCT(--("0"&amp;LEFT(TRIM(MID(SUBSTITUTE(SUBSTITUTE(SUBSTITUTE(SUBSTITUTE(SUBSTITUTE(LOWER(Registro!$F432)," ",""),CHAR(10),"|"),";","|"),"+","|"),"|",REPT(" ",LEN(Registro!$F432))),({1,2,3,4,5,6,7,8,9,10,11,12,13,14,15,16,17,18,19,20,21,22,23,24,25,26,27,28,29,30}-1)*LEN(Registro!$F432)+1,LEN(Registro!$F432))),FIND("x",TRIM(MID(SUBSTITUTE(SUBSTITUTE(SUBSTITUTE(SUBSTITUTE(SUBSTITUTE(LOWER(Registro!$F432)," ",""),CHAR(10),"|"),";","|"),"+","|"),"|",REPT(" ",LEN(Registro!$F432))),({1,2,3,4,5,6,7,8,9,10,11,12,13,14,15,16,17,18,19,20,21,22,23,24,25,26,27,28,29,30}-1)*LEN(Registro!$F432)+1,LEN(Registro!$F432)))&amp;"x")-1))),"Revisar formato")))</f>
        <v/>
      </c>
      <c r="G432" s="24" t="str">
        <f>IF(Registro!$F432="","",IF(ISERROR(FIND("x",LOWER(Registro!$F432))),N(Registro!$G432),IFERROR(SUMPRODUCT(--("0"&amp;LEFT(TRIM(MID(SUBSTITUTE(SUBSTITUTE(SUBSTITUTE(SUBSTITUTE(SUBSTITUTE(LOWER(Registro!$F432)," ",""),CHAR(10),"|"),";","|"),"+","|"),"|",REPT(" ",LEN(Registro!$F432))),({1,2,3,4,5,6,7,8,9,10,11,12,13,14,15,16,17,18,19,20,21,22,23,24,25,26,27,28,29,30}-1)*LEN(Registro!$F432)+1,LEN(Registro!$F432))),FIND("x",TRIM(MID(SUBSTITUTE(SUBSTITUTE(SUBSTITUTE(SUBSTITUTE(SUBSTITUTE(LOWER(Registro!$F432)," ",""),CHAR(10),"|"),";","|"),"+","|"),"|",REPT(" ",LEN(Registro!$F432))),({1,2,3,4,5,6,7,8,9,10,11,12,13,14,15,16,17,18,19,20,21,22,23,24,25,26,27,28,29,30}-1)*LEN(Registro!$F432)+1,LEN(Registro!$F432)))&amp;"x")-1)),--("0"&amp;MID(TRIM(MID(SUBSTITUTE(SUBSTITUTE(SUBSTITUTE(SUBSTITUTE(SUBSTITUTE(LOWER(Registro!$F432)," ",""),CHAR(10),"|"),";","|"),"+","|"),"|",REPT(" ",LEN(Registro!$F432))),({1,2,3,4,5,6,7,8,9,10,11,12,13,14,15,16,17,18,19,20,21,22,23,24,25,26,27,28,29,30}-1)*LEN(Registro!$F432)+1,LEN(Registro!$F432))),FIND("x",TRIM(MID(SUBSTITUTE(SUBSTITUTE(SUBSTITUTE(SUBSTITUTE(SUBSTITUTE(LOWER(Registro!$F432)," ",""),CHAR(10),"|"),";","|"),"+","|"),"|",REPT(" ",LEN(Registro!$F432))),({1,2,3,4,5,6,7,8,9,10,11,12,13,14,15,16,17,18,19,20,21,22,23,24,25,26,27,28,29,30}-1)*LEN(Registro!$F432)+1,LEN(Registro!$F432)))&amp;"x")+1,20))),"Revisar formato")))</f>
        <v/>
      </c>
      <c r="H432" s="21" t="str">
        <f>IF(AND(Registro!$E432="",Registro!$F432=""),"",IF(NOT(AND(ISNUMBER(G432),ISNUMBER(Registro!$G432))),"",IF(G432&lt;Registro!$G432,"FALTA BOLETOS",IF(G432=Registro!$G432,"CONFORME","DIFERENCIA"))))</f>
        <v/>
      </c>
      <c r="I432" s="24" t="str">
        <f>IF(Registro!$H432="","",IFERROR(SUMPRODUCT(--("0"&amp;TRIM(RIGHT(SUBSTITUTE(TRIM(MID(SUBSTITUTE(SUBSTITUTE(Registro!$H432,";",CHAR(10)),CHAR(10),REPT(" ",LEN(Registro!$H432))),({1,2,3,4,5,6,7,8,9,10,11,12,13,14,15,16,17,18,19,20,21,22,23,24,25,26,27,28,29,30}-1)*LEN(Registro!$H432)+1,LEN(Registro!$H432)))," ",REPT(" ",50)),50)))),"Revisar formato"))</f>
        <v/>
      </c>
      <c r="J432" s="24" t="str">
        <f>IF(Registro!$I432="","",IFERROR(SUMPRODUCT(--("0"&amp;TRIM(RIGHT(SUBSTITUTE(TRIM(MID(SUBSTITUTE(SUBSTITUTE(Registro!$I432,";",CHAR(10)),CHAR(10),REPT(" ",LEN(Registro!$I432))),({1,2,3,4,5,6,7,8,9,10,11,12,13,14,15,16,17,18,19,20,21,22,23,24,25,26,27,28,29,30}-1)*LEN(Registro!$I432)+1,LEN(Registro!$I432)))," ",REPT(" ",50)),50)))),"Revisar formato"))</f>
        <v/>
      </c>
      <c r="K432" s="24" t="str">
        <f>IF(AND(Registro!$G432="",Registro!$H432=""),"",IF(AND(ISTEXT(I432),I432&lt;&gt;""),"Revisar formato",N(Registro!$G432)-N(I432)))</f>
        <v/>
      </c>
      <c r="L432" s="24" t="str">
        <f t="shared" si="13"/>
        <v/>
      </c>
      <c r="M432" s="36" t="str">
        <f>IF(AND(A432=Consulta!$B$3,C432=Consulta!$H$3),B432*10000+ROW(),"")</f>
        <v/>
      </c>
    </row>
    <row r="433" spans="1:13" x14ac:dyDescent="0.25">
      <c r="A433" s="21" t="str">
        <f>IF(Registro!$A433="","",Registro!$A433)</f>
        <v/>
      </c>
      <c r="B433" s="20" t="str">
        <f>IF(Registro!$B433="","",Registro!$B433)</f>
        <v/>
      </c>
      <c r="C433" s="35" t="str">
        <f t="shared" si="12"/>
        <v/>
      </c>
      <c r="D433" s="23" t="str">
        <f>IF(Registro!$E433="","",IF(ISERROR(FIND("x",LOWER(Registro!$E433))),"-",IFERROR(SUMPRODUCT(--("0"&amp;LEFT(TRIM(MID(SUBSTITUTE(SUBSTITUTE(SUBSTITUTE(SUBSTITUTE(SUBSTITUTE(LOWER(Registro!$E433),"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",LEN(Registro!$E433))),({1,2,3,4,5,6,7,8,9,10,11,12,13,14,15,16,17,18,19,20,21,22,23,24,25,26,27,28,29,30}-1)*LEN(Registro!$E433)+1,LEN(Registro!$E433))),FIND("x",TRIM(MID(SUBSTITUTE(SUBSTITUTE(SUBSTITUTE(SUBSTITUTE(SUBSTITUTE(LOWER(Registro!$E433),"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",LEN(Registro!$E433))),({1,2,3,4,5,6,7,8,9,10,11,12,13,14,15,16,17,18,19,20,21,22,23,24,25,26,27,28,29,30}-1)*LEN(Registro!$E433)+1,LEN(Registro!$E433)))&amp;"x")-1))),"Revisar formato")))</f>
        <v/>
      </c>
      <c r="E433" s="24" t="str">
        <f>IF(Registro!$E433="","",IF(ISERROR(FIND("x",LOWER(Registro!$E433))),"-",IFERROR(SUMPRODUCT(--("0"&amp;LEFT(TRIM(MID(SUBSTITUTE(SUBSTITUTE(SUBSTITUTE(SUBSTITUTE(SUBSTITUTE(LOWER(Registro!$E433),"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",LEN(Registro!$E433))),({1,2,3,4,5,6,7,8,9,10,11,12,13,14,15,16,17,18,19,20,21,22,23,24,25,26,27,28,29,30}-1)*LEN(Registro!$E433)+1,LEN(Registro!$E433))),FIND("x",TRIM(MID(SUBSTITUTE(SUBSTITUTE(SUBSTITUTE(SUBSTITUTE(SUBSTITUTE(LOWER(Registro!$E433),"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",LEN(Registro!$E433))),({1,2,3,4,5,6,7,8,9,10,11,12,13,14,15,16,17,18,19,20,21,22,23,24,25,26,27,28,29,30}-1)*LEN(Registro!$E433)+1,LEN(Registro!$E433)))&amp;"x")-1)),--("0"&amp;MID(TRIM(MID(SUBSTITUTE(SUBSTITUTE(SUBSTITUTE(SUBSTITUTE(SUBSTITUTE(LOWER(Registro!$E433),"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",LEN(Registro!$E433))),({1,2,3,4,5,6,7,8,9,10,11,12,13,14,15,16,17,18,19,20,21,22,23,24,25,26,27,28,29,30}-1)*LEN(Registro!$E433)+1,LEN(Registro!$E433))),FIND("x",TRIM(MID(SUBSTITUTE(SUBSTITUTE(SUBSTITUTE(SUBSTITUTE(SUBSTITUTE(LOWER(Registro!$E433),"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",LEN(Registro!$E433))),({1,2,3,4,5,6,7,8,9,10,11,12,13,14,15,16,17,18,19,20,21,22,23,24,25,26,27,28,29,30}-1)*LEN(Registro!$E433)+1,LEN(Registro!$E433)))&amp;"x")+1,20))),"Revisar formato")))</f>
        <v/>
      </c>
      <c r="F433" s="23" t="str">
        <f>IF(Registro!$F433="","",IF(ISERROR(FIND("x",LOWER(Registro!$F433))),"-",IFERROR(SUMPRODUCT(--("0"&amp;LEFT(TRIM(MID(SUBSTITUTE(SUBSTITUTE(SUBSTITUTE(SUBSTITUTE(SUBSTITUTE(LOWER(Registro!$F433)," ",""),CHAR(10),"|"),";","|"),"+","|"),"|",REPT(" ",LEN(Registro!$F433))),({1,2,3,4,5,6,7,8,9,10,11,12,13,14,15,16,17,18,19,20,21,22,23,24,25,26,27,28,29,30}-1)*LEN(Registro!$F433)+1,LEN(Registro!$F433))),FIND("x",TRIM(MID(SUBSTITUTE(SUBSTITUTE(SUBSTITUTE(SUBSTITUTE(SUBSTITUTE(LOWER(Registro!$F433)," ",""),CHAR(10),"|"),";","|"),"+","|"),"|",REPT(" ",LEN(Registro!$F433))),({1,2,3,4,5,6,7,8,9,10,11,12,13,14,15,16,17,18,19,20,21,22,23,24,25,26,27,28,29,30}-1)*LEN(Registro!$F433)+1,LEN(Registro!$F433)))&amp;"x")-1))),"Revisar formato")))</f>
        <v/>
      </c>
      <c r="G433" s="24" t="str">
        <f>IF(Registro!$F433="","",IF(ISERROR(FIND("x",LOWER(Registro!$F433))),N(Registro!$G433),IFERROR(SUMPRODUCT(--("0"&amp;LEFT(TRIM(MID(SUBSTITUTE(SUBSTITUTE(SUBSTITUTE(SUBSTITUTE(SUBSTITUTE(LOWER(Registro!$F433)," ",""),CHAR(10),"|"),";","|"),"+","|"),"|",REPT(" ",LEN(Registro!$F433))),({1,2,3,4,5,6,7,8,9,10,11,12,13,14,15,16,17,18,19,20,21,22,23,24,25,26,27,28,29,30}-1)*LEN(Registro!$F433)+1,LEN(Registro!$F433))),FIND("x",TRIM(MID(SUBSTITUTE(SUBSTITUTE(SUBSTITUTE(SUBSTITUTE(SUBSTITUTE(LOWER(Registro!$F433)," ",""),CHAR(10),"|"),";","|"),"+","|"),"|",REPT(" ",LEN(Registro!$F433))),({1,2,3,4,5,6,7,8,9,10,11,12,13,14,15,16,17,18,19,20,21,22,23,24,25,26,27,28,29,30}-1)*LEN(Registro!$F433)+1,LEN(Registro!$F433)))&amp;"x")-1)),--("0"&amp;MID(TRIM(MID(SUBSTITUTE(SUBSTITUTE(SUBSTITUTE(SUBSTITUTE(SUBSTITUTE(LOWER(Registro!$F433)," ",""),CHAR(10),"|"),";","|"),"+","|"),"|",REPT(" ",LEN(Registro!$F433))),({1,2,3,4,5,6,7,8,9,10,11,12,13,14,15,16,17,18,19,20,21,22,23,24,25,26,27,28,29,30}-1)*LEN(Registro!$F433)+1,LEN(Registro!$F433))),FIND("x",TRIM(MID(SUBSTITUTE(SUBSTITUTE(SUBSTITUTE(SUBSTITUTE(SUBSTITUTE(LOWER(Registro!$F433)," ",""),CHAR(10),"|"),";","|"),"+","|"),"|",REPT(" ",LEN(Registro!$F433))),({1,2,3,4,5,6,7,8,9,10,11,12,13,14,15,16,17,18,19,20,21,22,23,24,25,26,27,28,29,30}-1)*LEN(Registro!$F433)+1,LEN(Registro!$F433)))&amp;"x")+1,20))),"Revisar formato")))</f>
        <v/>
      </c>
      <c r="H433" s="21" t="str">
        <f>IF(AND(Registro!$E433="",Registro!$F433=""),"",IF(NOT(AND(ISNUMBER(G433),ISNUMBER(Registro!$G433))),"",IF(G433&lt;Registro!$G433,"FALTA BOLETOS",IF(G433=Registro!$G433,"CONFORME","DIFERENCIA"))))</f>
        <v/>
      </c>
      <c r="I433" s="24" t="str">
        <f>IF(Registro!$H433="","",IFERROR(SUMPRODUCT(--("0"&amp;TRIM(RIGHT(SUBSTITUTE(TRIM(MID(SUBSTITUTE(SUBSTITUTE(Registro!$H433,";",CHAR(10)),CHAR(10),REPT(" ",LEN(Registro!$H433))),({1,2,3,4,5,6,7,8,9,10,11,12,13,14,15,16,17,18,19,20,21,22,23,24,25,26,27,28,29,30}-1)*LEN(Registro!$H433)+1,LEN(Registro!$H433)))," ",REPT(" ",50)),50)))),"Revisar formato"))</f>
        <v/>
      </c>
      <c r="J433" s="24" t="str">
        <f>IF(Registro!$I433="","",IFERROR(SUMPRODUCT(--("0"&amp;TRIM(RIGHT(SUBSTITUTE(TRIM(MID(SUBSTITUTE(SUBSTITUTE(Registro!$I433,";",CHAR(10)),CHAR(10),REPT(" ",LEN(Registro!$I433))),({1,2,3,4,5,6,7,8,9,10,11,12,13,14,15,16,17,18,19,20,21,22,23,24,25,26,27,28,29,30}-1)*LEN(Registro!$I433)+1,LEN(Registro!$I433)))," ",REPT(" ",50)),50)))),"Revisar formato"))</f>
        <v/>
      </c>
      <c r="K433" s="24" t="str">
        <f>IF(AND(Registro!$G433="",Registro!$H433=""),"",IF(AND(ISTEXT(I433),I433&lt;&gt;""),"Revisar formato",N(Registro!$G433)-N(I433)))</f>
        <v/>
      </c>
      <c r="L433" s="24" t="str">
        <f t="shared" si="13"/>
        <v/>
      </c>
      <c r="M433" s="36" t="str">
        <f>IF(AND(A433=Consulta!$B$3,C433=Consulta!$H$3),B433*10000+ROW(),"")</f>
        <v/>
      </c>
    </row>
    <row r="434" spans="1:13" x14ac:dyDescent="0.25">
      <c r="A434" s="21" t="str">
        <f>IF(Registro!$A434="","",Registro!$A434)</f>
        <v/>
      </c>
      <c r="B434" s="20" t="str">
        <f>IF(Registro!$B434="","",Registro!$B434)</f>
        <v/>
      </c>
      <c r="C434" s="35" t="str">
        <f t="shared" si="12"/>
        <v/>
      </c>
      <c r="D434" s="23" t="str">
        <f>IF(Registro!$E434="","",IF(ISERROR(FIND("x",LOWER(Registro!$E434))),"-",IFERROR(SUMPRODUCT(--("0"&amp;LEFT(TRIM(MID(SUBSTITUTE(SUBSTITUTE(SUBSTITUTE(SUBSTITUTE(SUBSTITUTE(LOWER(Registro!$E434),"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",LEN(Registro!$E434))),({1,2,3,4,5,6,7,8,9,10,11,12,13,14,15,16,17,18,19,20,21,22,23,24,25,26,27,28,29,30}-1)*LEN(Registro!$E434)+1,LEN(Registro!$E434))),FIND("x",TRIM(MID(SUBSTITUTE(SUBSTITUTE(SUBSTITUTE(SUBSTITUTE(SUBSTITUTE(LOWER(Registro!$E434),"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",LEN(Registro!$E434))),({1,2,3,4,5,6,7,8,9,10,11,12,13,14,15,16,17,18,19,20,21,22,23,24,25,26,27,28,29,30}-1)*LEN(Registro!$E434)+1,LEN(Registro!$E434)))&amp;"x")-1))),"Revisar formato")))</f>
        <v/>
      </c>
      <c r="E434" s="24" t="str">
        <f>IF(Registro!$E434="","",IF(ISERROR(FIND("x",LOWER(Registro!$E434))),"-",IFERROR(SUMPRODUCT(--("0"&amp;LEFT(TRIM(MID(SUBSTITUTE(SUBSTITUTE(SUBSTITUTE(SUBSTITUTE(SUBSTITUTE(LOWER(Registro!$E434),"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",LEN(Registro!$E434))),({1,2,3,4,5,6,7,8,9,10,11,12,13,14,15,16,17,18,19,20,21,22,23,24,25,26,27,28,29,30}-1)*LEN(Registro!$E434)+1,LEN(Registro!$E434))),FIND("x",TRIM(MID(SUBSTITUTE(SUBSTITUTE(SUBSTITUTE(SUBSTITUTE(SUBSTITUTE(LOWER(Registro!$E434),"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",LEN(Registro!$E434))),({1,2,3,4,5,6,7,8,9,10,11,12,13,14,15,16,17,18,19,20,21,22,23,24,25,26,27,28,29,30}-1)*LEN(Registro!$E434)+1,LEN(Registro!$E434)))&amp;"x")-1)),--("0"&amp;MID(TRIM(MID(SUBSTITUTE(SUBSTITUTE(SUBSTITUTE(SUBSTITUTE(SUBSTITUTE(LOWER(Registro!$E434),"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",LEN(Registro!$E434))),({1,2,3,4,5,6,7,8,9,10,11,12,13,14,15,16,17,18,19,20,21,22,23,24,25,26,27,28,29,30}-1)*LEN(Registro!$E434)+1,LEN(Registro!$E434))),FIND("x",TRIM(MID(SUBSTITUTE(SUBSTITUTE(SUBSTITUTE(SUBSTITUTE(SUBSTITUTE(LOWER(Registro!$E434),"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",LEN(Registro!$E434))),({1,2,3,4,5,6,7,8,9,10,11,12,13,14,15,16,17,18,19,20,21,22,23,24,25,26,27,28,29,30}-1)*LEN(Registro!$E434)+1,LEN(Registro!$E434)))&amp;"x")+1,20))),"Revisar formato")))</f>
        <v/>
      </c>
      <c r="F434" s="23" t="str">
        <f>IF(Registro!$F434="","",IF(ISERROR(FIND("x",LOWER(Registro!$F434))),"-",IFERROR(SUMPRODUCT(--("0"&amp;LEFT(TRIM(MID(SUBSTITUTE(SUBSTITUTE(SUBSTITUTE(SUBSTITUTE(SUBSTITUTE(LOWER(Registro!$F434)," ",""),CHAR(10),"|"),";","|"),"+","|"),"|",REPT(" ",LEN(Registro!$F434))),({1,2,3,4,5,6,7,8,9,10,11,12,13,14,15,16,17,18,19,20,21,22,23,24,25,26,27,28,29,30}-1)*LEN(Registro!$F434)+1,LEN(Registro!$F434))),FIND("x",TRIM(MID(SUBSTITUTE(SUBSTITUTE(SUBSTITUTE(SUBSTITUTE(SUBSTITUTE(LOWER(Registro!$F434)," ",""),CHAR(10),"|"),";","|"),"+","|"),"|",REPT(" ",LEN(Registro!$F434))),({1,2,3,4,5,6,7,8,9,10,11,12,13,14,15,16,17,18,19,20,21,22,23,24,25,26,27,28,29,30}-1)*LEN(Registro!$F434)+1,LEN(Registro!$F434)))&amp;"x")-1))),"Revisar formato")))</f>
        <v/>
      </c>
      <c r="G434" s="24" t="str">
        <f>IF(Registro!$F434="","",IF(ISERROR(FIND("x",LOWER(Registro!$F434))),N(Registro!$G434),IFERROR(SUMPRODUCT(--("0"&amp;LEFT(TRIM(MID(SUBSTITUTE(SUBSTITUTE(SUBSTITUTE(SUBSTITUTE(SUBSTITUTE(LOWER(Registro!$F434)," ",""),CHAR(10),"|"),";","|"),"+","|"),"|",REPT(" ",LEN(Registro!$F434))),({1,2,3,4,5,6,7,8,9,10,11,12,13,14,15,16,17,18,19,20,21,22,23,24,25,26,27,28,29,30}-1)*LEN(Registro!$F434)+1,LEN(Registro!$F434))),FIND("x",TRIM(MID(SUBSTITUTE(SUBSTITUTE(SUBSTITUTE(SUBSTITUTE(SUBSTITUTE(LOWER(Registro!$F434)," ",""),CHAR(10),"|"),";","|"),"+","|"),"|",REPT(" ",LEN(Registro!$F434))),({1,2,3,4,5,6,7,8,9,10,11,12,13,14,15,16,17,18,19,20,21,22,23,24,25,26,27,28,29,30}-1)*LEN(Registro!$F434)+1,LEN(Registro!$F434)))&amp;"x")-1)),--("0"&amp;MID(TRIM(MID(SUBSTITUTE(SUBSTITUTE(SUBSTITUTE(SUBSTITUTE(SUBSTITUTE(LOWER(Registro!$F434)," ",""),CHAR(10),"|"),";","|"),"+","|"),"|",REPT(" ",LEN(Registro!$F434))),({1,2,3,4,5,6,7,8,9,10,11,12,13,14,15,16,17,18,19,20,21,22,23,24,25,26,27,28,29,30}-1)*LEN(Registro!$F434)+1,LEN(Registro!$F434))),FIND("x",TRIM(MID(SUBSTITUTE(SUBSTITUTE(SUBSTITUTE(SUBSTITUTE(SUBSTITUTE(LOWER(Registro!$F434)," ",""),CHAR(10),"|"),";","|"),"+","|"),"|",REPT(" ",LEN(Registro!$F434))),({1,2,3,4,5,6,7,8,9,10,11,12,13,14,15,16,17,18,19,20,21,22,23,24,25,26,27,28,29,30}-1)*LEN(Registro!$F434)+1,LEN(Registro!$F434)))&amp;"x")+1,20))),"Revisar formato")))</f>
        <v/>
      </c>
      <c r="H434" s="21" t="str">
        <f>IF(AND(Registro!$E434="",Registro!$F434=""),"",IF(NOT(AND(ISNUMBER(G434),ISNUMBER(Registro!$G434))),"",IF(G434&lt;Registro!$G434,"FALTA BOLETOS",IF(G434=Registro!$G434,"CONFORME","DIFERENCIA"))))</f>
        <v/>
      </c>
      <c r="I434" s="24" t="str">
        <f>IF(Registro!$H434="","",IFERROR(SUMPRODUCT(--("0"&amp;TRIM(RIGHT(SUBSTITUTE(TRIM(MID(SUBSTITUTE(SUBSTITUTE(Registro!$H434,";",CHAR(10)),CHAR(10),REPT(" ",LEN(Registro!$H434))),({1,2,3,4,5,6,7,8,9,10,11,12,13,14,15,16,17,18,19,20,21,22,23,24,25,26,27,28,29,30}-1)*LEN(Registro!$H434)+1,LEN(Registro!$H434)))," ",REPT(" ",50)),50)))),"Revisar formato"))</f>
        <v/>
      </c>
      <c r="J434" s="24" t="str">
        <f>IF(Registro!$I434="","",IFERROR(SUMPRODUCT(--("0"&amp;TRIM(RIGHT(SUBSTITUTE(TRIM(MID(SUBSTITUTE(SUBSTITUTE(Registro!$I434,";",CHAR(10)),CHAR(10),REPT(" ",LEN(Registro!$I434))),({1,2,3,4,5,6,7,8,9,10,11,12,13,14,15,16,17,18,19,20,21,22,23,24,25,26,27,28,29,30}-1)*LEN(Registro!$I434)+1,LEN(Registro!$I434)))," ",REPT(" ",50)),50)))),"Revisar formato"))</f>
        <v/>
      </c>
      <c r="K434" s="24" t="str">
        <f>IF(AND(Registro!$G434="",Registro!$H434=""),"",IF(AND(ISTEXT(I434),I434&lt;&gt;""),"Revisar formato",N(Registro!$G434)-N(I434)))</f>
        <v/>
      </c>
      <c r="L434" s="24" t="str">
        <f t="shared" si="13"/>
        <v/>
      </c>
      <c r="M434" s="36" t="str">
        <f>IF(AND(A434=Consulta!$B$3,C434=Consulta!$H$3),B434*10000+ROW(),"")</f>
        <v/>
      </c>
    </row>
    <row r="435" spans="1:13" x14ac:dyDescent="0.25">
      <c r="A435" s="21" t="str">
        <f>IF(Registro!$A435="","",Registro!$A435)</f>
        <v/>
      </c>
      <c r="B435" s="20" t="str">
        <f>IF(Registro!$B435="","",Registro!$B435)</f>
        <v/>
      </c>
      <c r="C435" s="35" t="str">
        <f t="shared" si="12"/>
        <v/>
      </c>
      <c r="D435" s="23" t="str">
        <f>IF(Registro!$E435="","",IF(ISERROR(FIND("x",LOWER(Registro!$E435))),"-",IFERROR(SUMPRODUCT(--("0"&amp;LEFT(TRIM(MID(SUBSTITUTE(SUBSTITUTE(SUBSTITUTE(SUBSTITUTE(SUBSTITUTE(LOWER(Registro!$E435),"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",LEN(Registro!$E435))),({1,2,3,4,5,6,7,8,9,10,11,12,13,14,15,16,17,18,19,20,21,22,23,24,25,26,27,28,29,30}-1)*LEN(Registro!$E435)+1,LEN(Registro!$E435))),FIND("x",TRIM(MID(SUBSTITUTE(SUBSTITUTE(SUBSTITUTE(SUBSTITUTE(SUBSTITUTE(LOWER(Registro!$E435),"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",LEN(Registro!$E435))),({1,2,3,4,5,6,7,8,9,10,11,12,13,14,15,16,17,18,19,20,21,22,23,24,25,26,27,28,29,30}-1)*LEN(Registro!$E435)+1,LEN(Registro!$E435)))&amp;"x")-1))),"Revisar formato")))</f>
        <v/>
      </c>
      <c r="E435" s="24" t="str">
        <f>IF(Registro!$E435="","",IF(ISERROR(FIND("x",LOWER(Registro!$E435))),"-",IFERROR(SUMPRODUCT(--("0"&amp;LEFT(TRIM(MID(SUBSTITUTE(SUBSTITUTE(SUBSTITUTE(SUBSTITUTE(SUBSTITUTE(LOWER(Registro!$E435),"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",LEN(Registro!$E435))),({1,2,3,4,5,6,7,8,9,10,11,12,13,14,15,16,17,18,19,20,21,22,23,24,25,26,27,28,29,30}-1)*LEN(Registro!$E435)+1,LEN(Registro!$E435))),FIND("x",TRIM(MID(SUBSTITUTE(SUBSTITUTE(SUBSTITUTE(SUBSTITUTE(SUBSTITUTE(LOWER(Registro!$E435),"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",LEN(Registro!$E435))),({1,2,3,4,5,6,7,8,9,10,11,12,13,14,15,16,17,18,19,20,21,22,23,24,25,26,27,28,29,30}-1)*LEN(Registro!$E435)+1,LEN(Registro!$E435)))&amp;"x")-1)),--("0"&amp;MID(TRIM(MID(SUBSTITUTE(SUBSTITUTE(SUBSTITUTE(SUBSTITUTE(SUBSTITUTE(LOWER(Registro!$E435),"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",LEN(Registro!$E435))),({1,2,3,4,5,6,7,8,9,10,11,12,13,14,15,16,17,18,19,20,21,22,23,24,25,26,27,28,29,30}-1)*LEN(Registro!$E435)+1,LEN(Registro!$E435))),FIND("x",TRIM(MID(SUBSTITUTE(SUBSTITUTE(SUBSTITUTE(SUBSTITUTE(SUBSTITUTE(LOWER(Registro!$E435),"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",LEN(Registro!$E435))),({1,2,3,4,5,6,7,8,9,10,11,12,13,14,15,16,17,18,19,20,21,22,23,24,25,26,27,28,29,30}-1)*LEN(Registro!$E435)+1,LEN(Registro!$E435)))&amp;"x")+1,20))),"Revisar formato")))</f>
        <v/>
      </c>
      <c r="F435" s="23" t="str">
        <f>IF(Registro!$F435="","",IF(ISERROR(FIND("x",LOWER(Registro!$F435))),"-",IFERROR(SUMPRODUCT(--("0"&amp;LEFT(TRIM(MID(SUBSTITUTE(SUBSTITUTE(SUBSTITUTE(SUBSTITUTE(SUBSTITUTE(LOWER(Registro!$F435)," ",""),CHAR(10),"|"),";","|"),"+","|"),"|",REPT(" ",LEN(Registro!$F435))),({1,2,3,4,5,6,7,8,9,10,11,12,13,14,15,16,17,18,19,20,21,22,23,24,25,26,27,28,29,30}-1)*LEN(Registro!$F435)+1,LEN(Registro!$F435))),FIND("x",TRIM(MID(SUBSTITUTE(SUBSTITUTE(SUBSTITUTE(SUBSTITUTE(SUBSTITUTE(LOWER(Registro!$F435)," ",""),CHAR(10),"|"),";","|"),"+","|"),"|",REPT(" ",LEN(Registro!$F435))),({1,2,3,4,5,6,7,8,9,10,11,12,13,14,15,16,17,18,19,20,21,22,23,24,25,26,27,28,29,30}-1)*LEN(Registro!$F435)+1,LEN(Registro!$F435)))&amp;"x")-1))),"Revisar formato")))</f>
        <v/>
      </c>
      <c r="G435" s="24" t="str">
        <f>IF(Registro!$F435="","",IF(ISERROR(FIND("x",LOWER(Registro!$F435))),N(Registro!$G435),IFERROR(SUMPRODUCT(--("0"&amp;LEFT(TRIM(MID(SUBSTITUTE(SUBSTITUTE(SUBSTITUTE(SUBSTITUTE(SUBSTITUTE(LOWER(Registro!$F435)," ",""),CHAR(10),"|"),";","|"),"+","|"),"|",REPT(" ",LEN(Registro!$F435))),({1,2,3,4,5,6,7,8,9,10,11,12,13,14,15,16,17,18,19,20,21,22,23,24,25,26,27,28,29,30}-1)*LEN(Registro!$F435)+1,LEN(Registro!$F435))),FIND("x",TRIM(MID(SUBSTITUTE(SUBSTITUTE(SUBSTITUTE(SUBSTITUTE(SUBSTITUTE(LOWER(Registro!$F435)," ",""),CHAR(10),"|"),";","|"),"+","|"),"|",REPT(" ",LEN(Registro!$F435))),({1,2,3,4,5,6,7,8,9,10,11,12,13,14,15,16,17,18,19,20,21,22,23,24,25,26,27,28,29,30}-1)*LEN(Registro!$F435)+1,LEN(Registro!$F435)))&amp;"x")-1)),--("0"&amp;MID(TRIM(MID(SUBSTITUTE(SUBSTITUTE(SUBSTITUTE(SUBSTITUTE(SUBSTITUTE(LOWER(Registro!$F435)," ",""),CHAR(10),"|"),";","|"),"+","|"),"|",REPT(" ",LEN(Registro!$F435))),({1,2,3,4,5,6,7,8,9,10,11,12,13,14,15,16,17,18,19,20,21,22,23,24,25,26,27,28,29,30}-1)*LEN(Registro!$F435)+1,LEN(Registro!$F435))),FIND("x",TRIM(MID(SUBSTITUTE(SUBSTITUTE(SUBSTITUTE(SUBSTITUTE(SUBSTITUTE(LOWER(Registro!$F435)," ",""),CHAR(10),"|"),";","|"),"+","|"),"|",REPT(" ",LEN(Registro!$F435))),({1,2,3,4,5,6,7,8,9,10,11,12,13,14,15,16,17,18,19,20,21,22,23,24,25,26,27,28,29,30}-1)*LEN(Registro!$F435)+1,LEN(Registro!$F435)))&amp;"x")+1,20))),"Revisar formato")))</f>
        <v/>
      </c>
      <c r="H435" s="21" t="str">
        <f>IF(AND(Registro!$E435="",Registro!$F435=""),"",IF(NOT(AND(ISNUMBER(G435),ISNUMBER(Registro!$G435))),"",IF(G435&lt;Registro!$G435,"FALTA BOLETOS",IF(G435=Registro!$G435,"CONFORME","DIFERENCIA"))))</f>
        <v/>
      </c>
      <c r="I435" s="24" t="str">
        <f>IF(Registro!$H435="","",IFERROR(SUMPRODUCT(--("0"&amp;TRIM(RIGHT(SUBSTITUTE(TRIM(MID(SUBSTITUTE(SUBSTITUTE(Registro!$H435,";",CHAR(10)),CHAR(10),REPT(" ",LEN(Registro!$H435))),({1,2,3,4,5,6,7,8,9,10,11,12,13,14,15,16,17,18,19,20,21,22,23,24,25,26,27,28,29,30}-1)*LEN(Registro!$H435)+1,LEN(Registro!$H435)))," ",REPT(" ",50)),50)))),"Revisar formato"))</f>
        <v/>
      </c>
      <c r="J435" s="24" t="str">
        <f>IF(Registro!$I435="","",IFERROR(SUMPRODUCT(--("0"&amp;TRIM(RIGHT(SUBSTITUTE(TRIM(MID(SUBSTITUTE(SUBSTITUTE(Registro!$I435,";",CHAR(10)),CHAR(10),REPT(" ",LEN(Registro!$I435))),({1,2,3,4,5,6,7,8,9,10,11,12,13,14,15,16,17,18,19,20,21,22,23,24,25,26,27,28,29,30}-1)*LEN(Registro!$I435)+1,LEN(Registro!$I435)))," ",REPT(" ",50)),50)))),"Revisar formato"))</f>
        <v/>
      </c>
      <c r="K435" s="24" t="str">
        <f>IF(AND(Registro!$G435="",Registro!$H435=""),"",IF(AND(ISTEXT(I435),I435&lt;&gt;""),"Revisar formato",N(Registro!$G435)-N(I435)))</f>
        <v/>
      </c>
      <c r="L435" s="24" t="str">
        <f t="shared" si="13"/>
        <v/>
      </c>
      <c r="M435" s="36" t="str">
        <f>IF(AND(A435=Consulta!$B$3,C435=Consulta!$H$3),B435*10000+ROW(),"")</f>
        <v/>
      </c>
    </row>
    <row r="436" spans="1:13" x14ac:dyDescent="0.25">
      <c r="A436" s="21" t="str">
        <f>IF(Registro!$A436="","",Registro!$A436)</f>
        <v/>
      </c>
      <c r="B436" s="20" t="str">
        <f>IF(Registro!$B436="","",Registro!$B436)</f>
        <v/>
      </c>
      <c r="C436" s="35" t="str">
        <f t="shared" si="12"/>
        <v/>
      </c>
      <c r="D436" s="23" t="str">
        <f>IF(Registro!$E436="","",IF(ISERROR(FIND("x",LOWER(Registro!$E436))),"-",IFERROR(SUMPRODUCT(--("0"&amp;LEFT(TRIM(MID(SUBSTITUTE(SUBSTITUTE(SUBSTITUTE(SUBSTITUTE(SUBSTITUTE(LOWER(Registro!$E436),"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",LEN(Registro!$E436))),({1,2,3,4,5,6,7,8,9,10,11,12,13,14,15,16,17,18,19,20,21,22,23,24,25,26,27,28,29,30}-1)*LEN(Registro!$E436)+1,LEN(Registro!$E436))),FIND("x",TRIM(MID(SUBSTITUTE(SUBSTITUTE(SUBSTITUTE(SUBSTITUTE(SUBSTITUTE(LOWER(Registro!$E436),"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",LEN(Registro!$E436))),({1,2,3,4,5,6,7,8,9,10,11,12,13,14,15,16,17,18,19,20,21,22,23,24,25,26,27,28,29,30}-1)*LEN(Registro!$E436)+1,LEN(Registro!$E436)))&amp;"x")-1))),"Revisar formato")))</f>
        <v/>
      </c>
      <c r="E436" s="24" t="str">
        <f>IF(Registro!$E436="","",IF(ISERROR(FIND("x",LOWER(Registro!$E436))),"-",IFERROR(SUMPRODUCT(--("0"&amp;LEFT(TRIM(MID(SUBSTITUTE(SUBSTITUTE(SUBSTITUTE(SUBSTITUTE(SUBSTITUTE(LOWER(Registro!$E436),"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",LEN(Registro!$E436))),({1,2,3,4,5,6,7,8,9,10,11,12,13,14,15,16,17,18,19,20,21,22,23,24,25,26,27,28,29,30}-1)*LEN(Registro!$E436)+1,LEN(Registro!$E436))),FIND("x",TRIM(MID(SUBSTITUTE(SUBSTITUTE(SUBSTITUTE(SUBSTITUTE(SUBSTITUTE(LOWER(Registro!$E436),"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",LEN(Registro!$E436))),({1,2,3,4,5,6,7,8,9,10,11,12,13,14,15,16,17,18,19,20,21,22,23,24,25,26,27,28,29,30}-1)*LEN(Registro!$E436)+1,LEN(Registro!$E436)))&amp;"x")-1)),--("0"&amp;MID(TRIM(MID(SUBSTITUTE(SUBSTITUTE(SUBSTITUTE(SUBSTITUTE(SUBSTITUTE(LOWER(Registro!$E436),"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",LEN(Registro!$E436))),({1,2,3,4,5,6,7,8,9,10,11,12,13,14,15,16,17,18,19,20,21,22,23,24,25,26,27,28,29,30}-1)*LEN(Registro!$E436)+1,LEN(Registro!$E436))),FIND("x",TRIM(MID(SUBSTITUTE(SUBSTITUTE(SUBSTITUTE(SUBSTITUTE(SUBSTITUTE(LOWER(Registro!$E436),"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",LEN(Registro!$E436))),({1,2,3,4,5,6,7,8,9,10,11,12,13,14,15,16,17,18,19,20,21,22,23,24,25,26,27,28,29,30}-1)*LEN(Registro!$E436)+1,LEN(Registro!$E436)))&amp;"x")+1,20))),"Revisar formato")))</f>
        <v/>
      </c>
      <c r="F436" s="23" t="str">
        <f>IF(Registro!$F436="","",IF(ISERROR(FIND("x",LOWER(Registro!$F436))),"-",IFERROR(SUMPRODUCT(--("0"&amp;LEFT(TRIM(MID(SUBSTITUTE(SUBSTITUTE(SUBSTITUTE(SUBSTITUTE(SUBSTITUTE(LOWER(Registro!$F436)," ",""),CHAR(10),"|"),";","|"),"+","|"),"|",REPT(" ",LEN(Registro!$F436))),({1,2,3,4,5,6,7,8,9,10,11,12,13,14,15,16,17,18,19,20,21,22,23,24,25,26,27,28,29,30}-1)*LEN(Registro!$F436)+1,LEN(Registro!$F436))),FIND("x",TRIM(MID(SUBSTITUTE(SUBSTITUTE(SUBSTITUTE(SUBSTITUTE(SUBSTITUTE(LOWER(Registro!$F436)," ",""),CHAR(10),"|"),";","|"),"+","|"),"|",REPT(" ",LEN(Registro!$F436))),({1,2,3,4,5,6,7,8,9,10,11,12,13,14,15,16,17,18,19,20,21,22,23,24,25,26,27,28,29,30}-1)*LEN(Registro!$F436)+1,LEN(Registro!$F436)))&amp;"x")-1))),"Revisar formato")))</f>
        <v/>
      </c>
      <c r="G436" s="24" t="str">
        <f>IF(Registro!$F436="","",IF(ISERROR(FIND("x",LOWER(Registro!$F436))),N(Registro!$G436),IFERROR(SUMPRODUCT(--("0"&amp;LEFT(TRIM(MID(SUBSTITUTE(SUBSTITUTE(SUBSTITUTE(SUBSTITUTE(SUBSTITUTE(LOWER(Registro!$F436)," ",""),CHAR(10),"|"),";","|"),"+","|"),"|",REPT(" ",LEN(Registro!$F436))),({1,2,3,4,5,6,7,8,9,10,11,12,13,14,15,16,17,18,19,20,21,22,23,24,25,26,27,28,29,30}-1)*LEN(Registro!$F436)+1,LEN(Registro!$F436))),FIND("x",TRIM(MID(SUBSTITUTE(SUBSTITUTE(SUBSTITUTE(SUBSTITUTE(SUBSTITUTE(LOWER(Registro!$F436)," ",""),CHAR(10),"|"),";","|"),"+","|"),"|",REPT(" ",LEN(Registro!$F436))),({1,2,3,4,5,6,7,8,9,10,11,12,13,14,15,16,17,18,19,20,21,22,23,24,25,26,27,28,29,30}-1)*LEN(Registro!$F436)+1,LEN(Registro!$F436)))&amp;"x")-1)),--("0"&amp;MID(TRIM(MID(SUBSTITUTE(SUBSTITUTE(SUBSTITUTE(SUBSTITUTE(SUBSTITUTE(LOWER(Registro!$F436)," ",""),CHAR(10),"|"),";","|"),"+","|"),"|",REPT(" ",LEN(Registro!$F436))),({1,2,3,4,5,6,7,8,9,10,11,12,13,14,15,16,17,18,19,20,21,22,23,24,25,26,27,28,29,30}-1)*LEN(Registro!$F436)+1,LEN(Registro!$F436))),FIND("x",TRIM(MID(SUBSTITUTE(SUBSTITUTE(SUBSTITUTE(SUBSTITUTE(SUBSTITUTE(LOWER(Registro!$F436)," ",""),CHAR(10),"|"),";","|"),"+","|"),"|",REPT(" ",LEN(Registro!$F436))),({1,2,3,4,5,6,7,8,9,10,11,12,13,14,15,16,17,18,19,20,21,22,23,24,25,26,27,28,29,30}-1)*LEN(Registro!$F436)+1,LEN(Registro!$F436)))&amp;"x")+1,20))),"Revisar formato")))</f>
        <v/>
      </c>
      <c r="H436" s="21" t="str">
        <f>IF(AND(Registro!$E436="",Registro!$F436=""),"",IF(NOT(AND(ISNUMBER(G436),ISNUMBER(Registro!$G436))),"",IF(G436&lt;Registro!$G436,"FALTA BOLETOS",IF(G436=Registro!$G436,"CONFORME","DIFERENCIA"))))</f>
        <v/>
      </c>
      <c r="I436" s="24" t="str">
        <f>IF(Registro!$H436="","",IFERROR(SUMPRODUCT(--("0"&amp;TRIM(RIGHT(SUBSTITUTE(TRIM(MID(SUBSTITUTE(SUBSTITUTE(Registro!$H436,";",CHAR(10)),CHAR(10),REPT(" ",LEN(Registro!$H436))),({1,2,3,4,5,6,7,8,9,10,11,12,13,14,15,16,17,18,19,20,21,22,23,24,25,26,27,28,29,30}-1)*LEN(Registro!$H436)+1,LEN(Registro!$H436)))," ",REPT(" ",50)),50)))),"Revisar formato"))</f>
        <v/>
      </c>
      <c r="J436" s="24" t="str">
        <f>IF(Registro!$I436="","",IFERROR(SUMPRODUCT(--("0"&amp;TRIM(RIGHT(SUBSTITUTE(TRIM(MID(SUBSTITUTE(SUBSTITUTE(Registro!$I436,";",CHAR(10)),CHAR(10),REPT(" ",LEN(Registro!$I436))),({1,2,3,4,5,6,7,8,9,10,11,12,13,14,15,16,17,18,19,20,21,22,23,24,25,26,27,28,29,30}-1)*LEN(Registro!$I436)+1,LEN(Registro!$I436)))," ",REPT(" ",50)),50)))),"Revisar formato"))</f>
        <v/>
      </c>
      <c r="K436" s="24" t="str">
        <f>IF(AND(Registro!$G436="",Registro!$H436=""),"",IF(AND(ISTEXT(I436),I436&lt;&gt;""),"Revisar formato",N(Registro!$G436)-N(I436)))</f>
        <v/>
      </c>
      <c r="L436" s="24" t="str">
        <f t="shared" si="13"/>
        <v/>
      </c>
      <c r="M436" s="36" t="str">
        <f>IF(AND(A436=Consulta!$B$3,C436=Consulta!$H$3),B436*10000+ROW(),"")</f>
        <v/>
      </c>
    </row>
    <row r="437" spans="1:13" x14ac:dyDescent="0.25">
      <c r="A437" s="21" t="str">
        <f>IF(Registro!$A437="","",Registro!$A437)</f>
        <v/>
      </c>
      <c r="B437" s="20" t="str">
        <f>IF(Registro!$B437="","",Registro!$B437)</f>
        <v/>
      </c>
      <c r="C437" s="35" t="str">
        <f t="shared" si="12"/>
        <v/>
      </c>
      <c r="D437" s="23" t="str">
        <f>IF(Registro!$E437="","",IF(ISERROR(FIND("x",LOWER(Registro!$E437))),"-",IFERROR(SUMPRODUCT(--("0"&amp;LEFT(TRIM(MID(SUBSTITUTE(SUBSTITUTE(SUBSTITUTE(SUBSTITUTE(SUBSTITUTE(LOWER(Registro!$E437),"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",LEN(Registro!$E437))),({1,2,3,4,5,6,7,8,9,10,11,12,13,14,15,16,17,18,19,20,21,22,23,24,25,26,27,28,29,30}-1)*LEN(Registro!$E437)+1,LEN(Registro!$E437))),FIND("x",TRIM(MID(SUBSTITUTE(SUBSTITUTE(SUBSTITUTE(SUBSTITUTE(SUBSTITUTE(LOWER(Registro!$E437),"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",LEN(Registro!$E437))),({1,2,3,4,5,6,7,8,9,10,11,12,13,14,15,16,17,18,19,20,21,22,23,24,25,26,27,28,29,30}-1)*LEN(Registro!$E437)+1,LEN(Registro!$E437)))&amp;"x")-1))),"Revisar formato")))</f>
        <v/>
      </c>
      <c r="E437" s="24" t="str">
        <f>IF(Registro!$E437="","",IF(ISERROR(FIND("x",LOWER(Registro!$E437))),"-",IFERROR(SUMPRODUCT(--("0"&amp;LEFT(TRIM(MID(SUBSTITUTE(SUBSTITUTE(SUBSTITUTE(SUBSTITUTE(SUBSTITUTE(LOWER(Registro!$E437),"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",LEN(Registro!$E437))),({1,2,3,4,5,6,7,8,9,10,11,12,13,14,15,16,17,18,19,20,21,22,23,24,25,26,27,28,29,30}-1)*LEN(Registro!$E437)+1,LEN(Registro!$E437))),FIND("x",TRIM(MID(SUBSTITUTE(SUBSTITUTE(SUBSTITUTE(SUBSTITUTE(SUBSTITUTE(LOWER(Registro!$E437),"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",LEN(Registro!$E437))),({1,2,3,4,5,6,7,8,9,10,11,12,13,14,15,16,17,18,19,20,21,22,23,24,25,26,27,28,29,30}-1)*LEN(Registro!$E437)+1,LEN(Registro!$E437)))&amp;"x")-1)),--("0"&amp;MID(TRIM(MID(SUBSTITUTE(SUBSTITUTE(SUBSTITUTE(SUBSTITUTE(SUBSTITUTE(LOWER(Registro!$E437),"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",LEN(Registro!$E437))),({1,2,3,4,5,6,7,8,9,10,11,12,13,14,15,16,17,18,19,20,21,22,23,24,25,26,27,28,29,30}-1)*LEN(Registro!$E437)+1,LEN(Registro!$E437))),FIND("x",TRIM(MID(SUBSTITUTE(SUBSTITUTE(SUBSTITUTE(SUBSTITUTE(SUBSTITUTE(LOWER(Registro!$E437),"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",LEN(Registro!$E437))),({1,2,3,4,5,6,7,8,9,10,11,12,13,14,15,16,17,18,19,20,21,22,23,24,25,26,27,28,29,30}-1)*LEN(Registro!$E437)+1,LEN(Registro!$E437)))&amp;"x")+1,20))),"Revisar formato")))</f>
        <v/>
      </c>
      <c r="F437" s="23" t="str">
        <f>IF(Registro!$F437="","",IF(ISERROR(FIND("x",LOWER(Registro!$F437))),"-",IFERROR(SUMPRODUCT(--("0"&amp;LEFT(TRIM(MID(SUBSTITUTE(SUBSTITUTE(SUBSTITUTE(SUBSTITUTE(SUBSTITUTE(LOWER(Registro!$F437)," ",""),CHAR(10),"|"),";","|"),"+","|"),"|",REPT(" ",LEN(Registro!$F437))),({1,2,3,4,5,6,7,8,9,10,11,12,13,14,15,16,17,18,19,20,21,22,23,24,25,26,27,28,29,30}-1)*LEN(Registro!$F437)+1,LEN(Registro!$F437))),FIND("x",TRIM(MID(SUBSTITUTE(SUBSTITUTE(SUBSTITUTE(SUBSTITUTE(SUBSTITUTE(LOWER(Registro!$F437)," ",""),CHAR(10),"|"),";","|"),"+","|"),"|",REPT(" ",LEN(Registro!$F437))),({1,2,3,4,5,6,7,8,9,10,11,12,13,14,15,16,17,18,19,20,21,22,23,24,25,26,27,28,29,30}-1)*LEN(Registro!$F437)+1,LEN(Registro!$F437)))&amp;"x")-1))),"Revisar formato")))</f>
        <v/>
      </c>
      <c r="G437" s="24" t="str">
        <f>IF(Registro!$F437="","",IF(ISERROR(FIND("x",LOWER(Registro!$F437))),N(Registro!$G437),IFERROR(SUMPRODUCT(--("0"&amp;LEFT(TRIM(MID(SUBSTITUTE(SUBSTITUTE(SUBSTITUTE(SUBSTITUTE(SUBSTITUTE(LOWER(Registro!$F437)," ",""),CHAR(10),"|"),";","|"),"+","|"),"|",REPT(" ",LEN(Registro!$F437))),({1,2,3,4,5,6,7,8,9,10,11,12,13,14,15,16,17,18,19,20,21,22,23,24,25,26,27,28,29,30}-1)*LEN(Registro!$F437)+1,LEN(Registro!$F437))),FIND("x",TRIM(MID(SUBSTITUTE(SUBSTITUTE(SUBSTITUTE(SUBSTITUTE(SUBSTITUTE(LOWER(Registro!$F437)," ",""),CHAR(10),"|"),";","|"),"+","|"),"|",REPT(" ",LEN(Registro!$F437))),({1,2,3,4,5,6,7,8,9,10,11,12,13,14,15,16,17,18,19,20,21,22,23,24,25,26,27,28,29,30}-1)*LEN(Registro!$F437)+1,LEN(Registro!$F437)))&amp;"x")-1)),--("0"&amp;MID(TRIM(MID(SUBSTITUTE(SUBSTITUTE(SUBSTITUTE(SUBSTITUTE(SUBSTITUTE(LOWER(Registro!$F437)," ",""),CHAR(10),"|"),";","|"),"+","|"),"|",REPT(" ",LEN(Registro!$F437))),({1,2,3,4,5,6,7,8,9,10,11,12,13,14,15,16,17,18,19,20,21,22,23,24,25,26,27,28,29,30}-1)*LEN(Registro!$F437)+1,LEN(Registro!$F437))),FIND("x",TRIM(MID(SUBSTITUTE(SUBSTITUTE(SUBSTITUTE(SUBSTITUTE(SUBSTITUTE(LOWER(Registro!$F437)," ",""),CHAR(10),"|"),";","|"),"+","|"),"|",REPT(" ",LEN(Registro!$F437))),({1,2,3,4,5,6,7,8,9,10,11,12,13,14,15,16,17,18,19,20,21,22,23,24,25,26,27,28,29,30}-1)*LEN(Registro!$F437)+1,LEN(Registro!$F437)))&amp;"x")+1,20))),"Revisar formato")))</f>
        <v/>
      </c>
      <c r="H437" s="21" t="str">
        <f>IF(AND(Registro!$E437="",Registro!$F437=""),"",IF(NOT(AND(ISNUMBER(G437),ISNUMBER(Registro!$G437))),"",IF(G437&lt;Registro!$G437,"FALTA BOLETOS",IF(G437=Registro!$G437,"CONFORME","DIFERENCIA"))))</f>
        <v/>
      </c>
      <c r="I437" s="24" t="str">
        <f>IF(Registro!$H437="","",IFERROR(SUMPRODUCT(--("0"&amp;TRIM(RIGHT(SUBSTITUTE(TRIM(MID(SUBSTITUTE(SUBSTITUTE(Registro!$H437,";",CHAR(10)),CHAR(10),REPT(" ",LEN(Registro!$H437))),({1,2,3,4,5,6,7,8,9,10,11,12,13,14,15,16,17,18,19,20,21,22,23,24,25,26,27,28,29,30}-1)*LEN(Registro!$H437)+1,LEN(Registro!$H437)))," ",REPT(" ",50)),50)))),"Revisar formato"))</f>
        <v/>
      </c>
      <c r="J437" s="24" t="str">
        <f>IF(Registro!$I437="","",IFERROR(SUMPRODUCT(--("0"&amp;TRIM(RIGHT(SUBSTITUTE(TRIM(MID(SUBSTITUTE(SUBSTITUTE(Registro!$I437,";",CHAR(10)),CHAR(10),REPT(" ",LEN(Registro!$I437))),({1,2,3,4,5,6,7,8,9,10,11,12,13,14,15,16,17,18,19,20,21,22,23,24,25,26,27,28,29,30}-1)*LEN(Registro!$I437)+1,LEN(Registro!$I437)))," ",REPT(" ",50)),50)))),"Revisar formato"))</f>
        <v/>
      </c>
      <c r="K437" s="24" t="str">
        <f>IF(AND(Registro!$G437="",Registro!$H437=""),"",IF(AND(ISTEXT(I437),I437&lt;&gt;""),"Revisar formato",N(Registro!$G437)-N(I437)))</f>
        <v/>
      </c>
      <c r="L437" s="24" t="str">
        <f t="shared" si="13"/>
        <v/>
      </c>
      <c r="M437" s="36" t="str">
        <f>IF(AND(A437=Consulta!$B$3,C437=Consulta!$H$3),B437*10000+ROW(),"")</f>
        <v/>
      </c>
    </row>
    <row r="438" spans="1:13" x14ac:dyDescent="0.25">
      <c r="A438" s="21" t="str">
        <f>IF(Registro!$A438="","",Registro!$A438)</f>
        <v/>
      </c>
      <c r="B438" s="20" t="str">
        <f>IF(Registro!$B438="","",Registro!$B438)</f>
        <v/>
      </c>
      <c r="C438" s="35" t="str">
        <f t="shared" si="12"/>
        <v/>
      </c>
      <c r="D438" s="23" t="str">
        <f>IF(Registro!$E438="","",IF(ISERROR(FIND("x",LOWER(Registro!$E438))),"-",IFERROR(SUMPRODUCT(--("0"&amp;LEFT(TRIM(MID(SUBSTITUTE(SUBSTITUTE(SUBSTITUTE(SUBSTITUTE(SUBSTITUTE(LOWER(Registro!$E438),"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",LEN(Registro!$E438))),({1,2,3,4,5,6,7,8,9,10,11,12,13,14,15,16,17,18,19,20,21,22,23,24,25,26,27,28,29,30}-1)*LEN(Registro!$E438)+1,LEN(Registro!$E438))),FIND("x",TRIM(MID(SUBSTITUTE(SUBSTITUTE(SUBSTITUTE(SUBSTITUTE(SUBSTITUTE(LOWER(Registro!$E438),"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",LEN(Registro!$E438))),({1,2,3,4,5,6,7,8,9,10,11,12,13,14,15,16,17,18,19,20,21,22,23,24,25,26,27,28,29,30}-1)*LEN(Registro!$E438)+1,LEN(Registro!$E438)))&amp;"x")-1))),"Revisar formato")))</f>
        <v/>
      </c>
      <c r="E438" s="24" t="str">
        <f>IF(Registro!$E438="","",IF(ISERROR(FIND("x",LOWER(Registro!$E438))),"-",IFERROR(SUMPRODUCT(--("0"&amp;LEFT(TRIM(MID(SUBSTITUTE(SUBSTITUTE(SUBSTITUTE(SUBSTITUTE(SUBSTITUTE(LOWER(Registro!$E438),"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",LEN(Registro!$E438))),({1,2,3,4,5,6,7,8,9,10,11,12,13,14,15,16,17,18,19,20,21,22,23,24,25,26,27,28,29,30}-1)*LEN(Registro!$E438)+1,LEN(Registro!$E438))),FIND("x",TRIM(MID(SUBSTITUTE(SUBSTITUTE(SUBSTITUTE(SUBSTITUTE(SUBSTITUTE(LOWER(Registro!$E438),"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",LEN(Registro!$E438))),({1,2,3,4,5,6,7,8,9,10,11,12,13,14,15,16,17,18,19,20,21,22,23,24,25,26,27,28,29,30}-1)*LEN(Registro!$E438)+1,LEN(Registro!$E438)))&amp;"x")-1)),--("0"&amp;MID(TRIM(MID(SUBSTITUTE(SUBSTITUTE(SUBSTITUTE(SUBSTITUTE(SUBSTITUTE(LOWER(Registro!$E438),"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",LEN(Registro!$E438))),({1,2,3,4,5,6,7,8,9,10,11,12,13,14,15,16,17,18,19,20,21,22,23,24,25,26,27,28,29,30}-1)*LEN(Registro!$E438)+1,LEN(Registro!$E438))),FIND("x",TRIM(MID(SUBSTITUTE(SUBSTITUTE(SUBSTITUTE(SUBSTITUTE(SUBSTITUTE(LOWER(Registro!$E438),"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",LEN(Registro!$E438))),({1,2,3,4,5,6,7,8,9,10,11,12,13,14,15,16,17,18,19,20,21,22,23,24,25,26,27,28,29,30}-1)*LEN(Registro!$E438)+1,LEN(Registro!$E438)))&amp;"x")+1,20))),"Revisar formato")))</f>
        <v/>
      </c>
      <c r="F438" s="23" t="str">
        <f>IF(Registro!$F438="","",IF(ISERROR(FIND("x",LOWER(Registro!$F438))),"-",IFERROR(SUMPRODUCT(--("0"&amp;LEFT(TRIM(MID(SUBSTITUTE(SUBSTITUTE(SUBSTITUTE(SUBSTITUTE(SUBSTITUTE(LOWER(Registro!$F438)," ",""),CHAR(10),"|"),";","|"),"+","|"),"|",REPT(" ",LEN(Registro!$F438))),({1,2,3,4,5,6,7,8,9,10,11,12,13,14,15,16,17,18,19,20,21,22,23,24,25,26,27,28,29,30}-1)*LEN(Registro!$F438)+1,LEN(Registro!$F438))),FIND("x",TRIM(MID(SUBSTITUTE(SUBSTITUTE(SUBSTITUTE(SUBSTITUTE(SUBSTITUTE(LOWER(Registro!$F438)," ",""),CHAR(10),"|"),";","|"),"+","|"),"|",REPT(" ",LEN(Registro!$F438))),({1,2,3,4,5,6,7,8,9,10,11,12,13,14,15,16,17,18,19,20,21,22,23,24,25,26,27,28,29,30}-1)*LEN(Registro!$F438)+1,LEN(Registro!$F438)))&amp;"x")-1))),"Revisar formato")))</f>
        <v/>
      </c>
      <c r="G438" s="24" t="str">
        <f>IF(Registro!$F438="","",IF(ISERROR(FIND("x",LOWER(Registro!$F438))),N(Registro!$G438),IFERROR(SUMPRODUCT(--("0"&amp;LEFT(TRIM(MID(SUBSTITUTE(SUBSTITUTE(SUBSTITUTE(SUBSTITUTE(SUBSTITUTE(LOWER(Registro!$F438)," ",""),CHAR(10),"|"),";","|"),"+","|"),"|",REPT(" ",LEN(Registro!$F438))),({1,2,3,4,5,6,7,8,9,10,11,12,13,14,15,16,17,18,19,20,21,22,23,24,25,26,27,28,29,30}-1)*LEN(Registro!$F438)+1,LEN(Registro!$F438))),FIND("x",TRIM(MID(SUBSTITUTE(SUBSTITUTE(SUBSTITUTE(SUBSTITUTE(SUBSTITUTE(LOWER(Registro!$F438)," ",""),CHAR(10),"|"),";","|"),"+","|"),"|",REPT(" ",LEN(Registro!$F438))),({1,2,3,4,5,6,7,8,9,10,11,12,13,14,15,16,17,18,19,20,21,22,23,24,25,26,27,28,29,30}-1)*LEN(Registro!$F438)+1,LEN(Registro!$F438)))&amp;"x")-1)),--("0"&amp;MID(TRIM(MID(SUBSTITUTE(SUBSTITUTE(SUBSTITUTE(SUBSTITUTE(SUBSTITUTE(LOWER(Registro!$F438)," ",""),CHAR(10),"|"),";","|"),"+","|"),"|",REPT(" ",LEN(Registro!$F438))),({1,2,3,4,5,6,7,8,9,10,11,12,13,14,15,16,17,18,19,20,21,22,23,24,25,26,27,28,29,30}-1)*LEN(Registro!$F438)+1,LEN(Registro!$F438))),FIND("x",TRIM(MID(SUBSTITUTE(SUBSTITUTE(SUBSTITUTE(SUBSTITUTE(SUBSTITUTE(LOWER(Registro!$F438)," ",""),CHAR(10),"|"),";","|"),"+","|"),"|",REPT(" ",LEN(Registro!$F438))),({1,2,3,4,5,6,7,8,9,10,11,12,13,14,15,16,17,18,19,20,21,22,23,24,25,26,27,28,29,30}-1)*LEN(Registro!$F438)+1,LEN(Registro!$F438)))&amp;"x")+1,20))),"Revisar formato")))</f>
        <v/>
      </c>
      <c r="H438" s="21" t="str">
        <f>IF(AND(Registro!$E438="",Registro!$F438=""),"",IF(NOT(AND(ISNUMBER(G438),ISNUMBER(Registro!$G438))),"",IF(G438&lt;Registro!$G438,"FALTA BOLETOS",IF(G438=Registro!$G438,"CONFORME","DIFERENCIA"))))</f>
        <v/>
      </c>
      <c r="I438" s="24" t="str">
        <f>IF(Registro!$H438="","",IFERROR(SUMPRODUCT(--("0"&amp;TRIM(RIGHT(SUBSTITUTE(TRIM(MID(SUBSTITUTE(SUBSTITUTE(Registro!$H438,";",CHAR(10)),CHAR(10),REPT(" ",LEN(Registro!$H438))),({1,2,3,4,5,6,7,8,9,10,11,12,13,14,15,16,17,18,19,20,21,22,23,24,25,26,27,28,29,30}-1)*LEN(Registro!$H438)+1,LEN(Registro!$H438)))," ",REPT(" ",50)),50)))),"Revisar formato"))</f>
        <v/>
      </c>
      <c r="J438" s="24" t="str">
        <f>IF(Registro!$I438="","",IFERROR(SUMPRODUCT(--("0"&amp;TRIM(RIGHT(SUBSTITUTE(TRIM(MID(SUBSTITUTE(SUBSTITUTE(Registro!$I438,";",CHAR(10)),CHAR(10),REPT(" ",LEN(Registro!$I438))),({1,2,3,4,5,6,7,8,9,10,11,12,13,14,15,16,17,18,19,20,21,22,23,24,25,26,27,28,29,30}-1)*LEN(Registro!$I438)+1,LEN(Registro!$I438)))," ",REPT(" ",50)),50)))),"Revisar formato"))</f>
        <v/>
      </c>
      <c r="K438" s="24" t="str">
        <f>IF(AND(Registro!$G438="",Registro!$H438=""),"",IF(AND(ISTEXT(I438),I438&lt;&gt;""),"Revisar formato",N(Registro!$G438)-N(I438)))</f>
        <v/>
      </c>
      <c r="L438" s="24" t="str">
        <f t="shared" si="13"/>
        <v/>
      </c>
      <c r="M438" s="36" t="str">
        <f>IF(AND(A438=Consulta!$B$3,C438=Consulta!$H$3),B438*10000+ROW(),"")</f>
        <v/>
      </c>
    </row>
    <row r="439" spans="1:13" x14ac:dyDescent="0.25">
      <c r="A439" s="21" t="str">
        <f>IF(Registro!$A439="","",Registro!$A439)</f>
        <v/>
      </c>
      <c r="B439" s="20" t="str">
        <f>IF(Registro!$B439="","",Registro!$B439)</f>
        <v/>
      </c>
      <c r="C439" s="35" t="str">
        <f t="shared" si="12"/>
        <v/>
      </c>
      <c r="D439" s="23" t="str">
        <f>IF(Registro!$E439="","",IF(ISERROR(FIND("x",LOWER(Registro!$E439))),"-",IFERROR(SUMPRODUCT(--("0"&amp;LEFT(TRIM(MID(SUBSTITUTE(SUBSTITUTE(SUBSTITUTE(SUBSTITUTE(SUBSTITUTE(LOWER(Registro!$E439),"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",LEN(Registro!$E439))),({1,2,3,4,5,6,7,8,9,10,11,12,13,14,15,16,17,18,19,20,21,22,23,24,25,26,27,28,29,30}-1)*LEN(Registro!$E439)+1,LEN(Registro!$E439))),FIND("x",TRIM(MID(SUBSTITUTE(SUBSTITUTE(SUBSTITUTE(SUBSTITUTE(SUBSTITUTE(LOWER(Registro!$E439),"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",LEN(Registro!$E439))),({1,2,3,4,5,6,7,8,9,10,11,12,13,14,15,16,17,18,19,20,21,22,23,24,25,26,27,28,29,30}-1)*LEN(Registro!$E439)+1,LEN(Registro!$E439)))&amp;"x")-1))),"Revisar formato")))</f>
        <v/>
      </c>
      <c r="E439" s="24" t="str">
        <f>IF(Registro!$E439="","",IF(ISERROR(FIND("x",LOWER(Registro!$E439))),"-",IFERROR(SUMPRODUCT(--("0"&amp;LEFT(TRIM(MID(SUBSTITUTE(SUBSTITUTE(SUBSTITUTE(SUBSTITUTE(SUBSTITUTE(LOWER(Registro!$E439),"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",LEN(Registro!$E439))),({1,2,3,4,5,6,7,8,9,10,11,12,13,14,15,16,17,18,19,20,21,22,23,24,25,26,27,28,29,30}-1)*LEN(Registro!$E439)+1,LEN(Registro!$E439))),FIND("x",TRIM(MID(SUBSTITUTE(SUBSTITUTE(SUBSTITUTE(SUBSTITUTE(SUBSTITUTE(LOWER(Registro!$E439),"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",LEN(Registro!$E439))),({1,2,3,4,5,6,7,8,9,10,11,12,13,14,15,16,17,18,19,20,21,22,23,24,25,26,27,28,29,30}-1)*LEN(Registro!$E439)+1,LEN(Registro!$E439)))&amp;"x")-1)),--("0"&amp;MID(TRIM(MID(SUBSTITUTE(SUBSTITUTE(SUBSTITUTE(SUBSTITUTE(SUBSTITUTE(LOWER(Registro!$E439),"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",LEN(Registro!$E439))),({1,2,3,4,5,6,7,8,9,10,11,12,13,14,15,16,17,18,19,20,21,22,23,24,25,26,27,28,29,30}-1)*LEN(Registro!$E439)+1,LEN(Registro!$E439))),FIND("x",TRIM(MID(SUBSTITUTE(SUBSTITUTE(SUBSTITUTE(SUBSTITUTE(SUBSTITUTE(LOWER(Registro!$E439),"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",LEN(Registro!$E439))),({1,2,3,4,5,6,7,8,9,10,11,12,13,14,15,16,17,18,19,20,21,22,23,24,25,26,27,28,29,30}-1)*LEN(Registro!$E439)+1,LEN(Registro!$E439)))&amp;"x")+1,20))),"Revisar formato")))</f>
        <v/>
      </c>
      <c r="F439" s="23" t="str">
        <f>IF(Registro!$F439="","",IF(ISERROR(FIND("x",LOWER(Registro!$F439))),"-",IFERROR(SUMPRODUCT(--("0"&amp;LEFT(TRIM(MID(SUBSTITUTE(SUBSTITUTE(SUBSTITUTE(SUBSTITUTE(SUBSTITUTE(LOWER(Registro!$F439)," ",""),CHAR(10),"|"),";","|"),"+","|"),"|",REPT(" ",LEN(Registro!$F439))),({1,2,3,4,5,6,7,8,9,10,11,12,13,14,15,16,17,18,19,20,21,22,23,24,25,26,27,28,29,30}-1)*LEN(Registro!$F439)+1,LEN(Registro!$F439))),FIND("x",TRIM(MID(SUBSTITUTE(SUBSTITUTE(SUBSTITUTE(SUBSTITUTE(SUBSTITUTE(LOWER(Registro!$F439)," ",""),CHAR(10),"|"),";","|"),"+","|"),"|",REPT(" ",LEN(Registro!$F439))),({1,2,3,4,5,6,7,8,9,10,11,12,13,14,15,16,17,18,19,20,21,22,23,24,25,26,27,28,29,30}-1)*LEN(Registro!$F439)+1,LEN(Registro!$F439)))&amp;"x")-1))),"Revisar formato")))</f>
        <v/>
      </c>
      <c r="G439" s="24" t="str">
        <f>IF(Registro!$F439="","",IF(ISERROR(FIND("x",LOWER(Registro!$F439))),N(Registro!$G439),IFERROR(SUMPRODUCT(--("0"&amp;LEFT(TRIM(MID(SUBSTITUTE(SUBSTITUTE(SUBSTITUTE(SUBSTITUTE(SUBSTITUTE(LOWER(Registro!$F439)," ",""),CHAR(10),"|"),";","|"),"+","|"),"|",REPT(" ",LEN(Registro!$F439))),({1,2,3,4,5,6,7,8,9,10,11,12,13,14,15,16,17,18,19,20,21,22,23,24,25,26,27,28,29,30}-1)*LEN(Registro!$F439)+1,LEN(Registro!$F439))),FIND("x",TRIM(MID(SUBSTITUTE(SUBSTITUTE(SUBSTITUTE(SUBSTITUTE(SUBSTITUTE(LOWER(Registro!$F439)," ",""),CHAR(10),"|"),";","|"),"+","|"),"|",REPT(" ",LEN(Registro!$F439))),({1,2,3,4,5,6,7,8,9,10,11,12,13,14,15,16,17,18,19,20,21,22,23,24,25,26,27,28,29,30}-1)*LEN(Registro!$F439)+1,LEN(Registro!$F439)))&amp;"x")-1)),--("0"&amp;MID(TRIM(MID(SUBSTITUTE(SUBSTITUTE(SUBSTITUTE(SUBSTITUTE(SUBSTITUTE(LOWER(Registro!$F439)," ",""),CHAR(10),"|"),";","|"),"+","|"),"|",REPT(" ",LEN(Registro!$F439))),({1,2,3,4,5,6,7,8,9,10,11,12,13,14,15,16,17,18,19,20,21,22,23,24,25,26,27,28,29,30}-1)*LEN(Registro!$F439)+1,LEN(Registro!$F439))),FIND("x",TRIM(MID(SUBSTITUTE(SUBSTITUTE(SUBSTITUTE(SUBSTITUTE(SUBSTITUTE(LOWER(Registro!$F439)," ",""),CHAR(10),"|"),";","|"),"+","|"),"|",REPT(" ",LEN(Registro!$F439))),({1,2,3,4,5,6,7,8,9,10,11,12,13,14,15,16,17,18,19,20,21,22,23,24,25,26,27,28,29,30}-1)*LEN(Registro!$F439)+1,LEN(Registro!$F439)))&amp;"x")+1,20))),"Revisar formato")))</f>
        <v/>
      </c>
      <c r="H439" s="21" t="str">
        <f>IF(AND(Registro!$E439="",Registro!$F439=""),"",IF(NOT(AND(ISNUMBER(G439),ISNUMBER(Registro!$G439))),"",IF(G439&lt;Registro!$G439,"FALTA BOLETOS",IF(G439=Registro!$G439,"CONFORME","DIFERENCIA"))))</f>
        <v/>
      </c>
      <c r="I439" s="24" t="str">
        <f>IF(Registro!$H439="","",IFERROR(SUMPRODUCT(--("0"&amp;TRIM(RIGHT(SUBSTITUTE(TRIM(MID(SUBSTITUTE(SUBSTITUTE(Registro!$H439,";",CHAR(10)),CHAR(10),REPT(" ",LEN(Registro!$H439))),({1,2,3,4,5,6,7,8,9,10,11,12,13,14,15,16,17,18,19,20,21,22,23,24,25,26,27,28,29,30}-1)*LEN(Registro!$H439)+1,LEN(Registro!$H439)))," ",REPT(" ",50)),50)))),"Revisar formato"))</f>
        <v/>
      </c>
      <c r="J439" s="24" t="str">
        <f>IF(Registro!$I439="","",IFERROR(SUMPRODUCT(--("0"&amp;TRIM(RIGHT(SUBSTITUTE(TRIM(MID(SUBSTITUTE(SUBSTITUTE(Registro!$I439,";",CHAR(10)),CHAR(10),REPT(" ",LEN(Registro!$I439))),({1,2,3,4,5,6,7,8,9,10,11,12,13,14,15,16,17,18,19,20,21,22,23,24,25,26,27,28,29,30}-1)*LEN(Registro!$I439)+1,LEN(Registro!$I439)))," ",REPT(" ",50)),50)))),"Revisar formato"))</f>
        <v/>
      </c>
      <c r="K439" s="24" t="str">
        <f>IF(AND(Registro!$G439="",Registro!$H439=""),"",IF(AND(ISTEXT(I439),I439&lt;&gt;""),"Revisar formato",N(Registro!$G439)-N(I439)))</f>
        <v/>
      </c>
      <c r="L439" s="24" t="str">
        <f t="shared" si="13"/>
        <v/>
      </c>
      <c r="M439" s="36" t="str">
        <f>IF(AND(A439=Consulta!$B$3,C439=Consulta!$H$3),B439*10000+ROW(),"")</f>
        <v/>
      </c>
    </row>
    <row r="440" spans="1:13" x14ac:dyDescent="0.25">
      <c r="A440" s="21" t="str">
        <f>IF(Registro!$A440="","",Registro!$A440)</f>
        <v/>
      </c>
      <c r="B440" s="20" t="str">
        <f>IF(Registro!$B440="","",Registro!$B440)</f>
        <v/>
      </c>
      <c r="C440" s="35" t="str">
        <f t="shared" si="12"/>
        <v/>
      </c>
      <c r="D440" s="23" t="str">
        <f>IF(Registro!$E440="","",IF(ISERROR(FIND("x",LOWER(Registro!$E440))),"-",IFERROR(SUMPRODUCT(--("0"&amp;LEFT(TRIM(MID(SUBSTITUTE(SUBSTITUTE(SUBSTITUTE(SUBSTITUTE(SUBSTITUTE(LOWER(Registro!$E440),"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",LEN(Registro!$E440))),({1,2,3,4,5,6,7,8,9,10,11,12,13,14,15,16,17,18,19,20,21,22,23,24,25,26,27,28,29,30}-1)*LEN(Registro!$E440)+1,LEN(Registro!$E440))),FIND("x",TRIM(MID(SUBSTITUTE(SUBSTITUTE(SUBSTITUTE(SUBSTITUTE(SUBSTITUTE(LOWER(Registro!$E440),"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",LEN(Registro!$E440))),({1,2,3,4,5,6,7,8,9,10,11,12,13,14,15,16,17,18,19,20,21,22,23,24,25,26,27,28,29,30}-1)*LEN(Registro!$E440)+1,LEN(Registro!$E440)))&amp;"x")-1))),"Revisar formato")))</f>
        <v/>
      </c>
      <c r="E440" s="24" t="str">
        <f>IF(Registro!$E440="","",IF(ISERROR(FIND("x",LOWER(Registro!$E440))),"-",IFERROR(SUMPRODUCT(--("0"&amp;LEFT(TRIM(MID(SUBSTITUTE(SUBSTITUTE(SUBSTITUTE(SUBSTITUTE(SUBSTITUTE(LOWER(Registro!$E440),"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",LEN(Registro!$E440))),({1,2,3,4,5,6,7,8,9,10,11,12,13,14,15,16,17,18,19,20,21,22,23,24,25,26,27,28,29,30}-1)*LEN(Registro!$E440)+1,LEN(Registro!$E440))),FIND("x",TRIM(MID(SUBSTITUTE(SUBSTITUTE(SUBSTITUTE(SUBSTITUTE(SUBSTITUTE(LOWER(Registro!$E440),"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",LEN(Registro!$E440))),({1,2,3,4,5,6,7,8,9,10,11,12,13,14,15,16,17,18,19,20,21,22,23,24,25,26,27,28,29,30}-1)*LEN(Registro!$E440)+1,LEN(Registro!$E440)))&amp;"x")-1)),--("0"&amp;MID(TRIM(MID(SUBSTITUTE(SUBSTITUTE(SUBSTITUTE(SUBSTITUTE(SUBSTITUTE(LOWER(Registro!$E440),"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",LEN(Registro!$E440))),({1,2,3,4,5,6,7,8,9,10,11,12,13,14,15,16,17,18,19,20,21,22,23,24,25,26,27,28,29,30}-1)*LEN(Registro!$E440)+1,LEN(Registro!$E440))),FIND("x",TRIM(MID(SUBSTITUTE(SUBSTITUTE(SUBSTITUTE(SUBSTITUTE(SUBSTITUTE(LOWER(Registro!$E440),"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",LEN(Registro!$E440))),({1,2,3,4,5,6,7,8,9,10,11,12,13,14,15,16,17,18,19,20,21,22,23,24,25,26,27,28,29,30}-1)*LEN(Registro!$E440)+1,LEN(Registro!$E440)))&amp;"x")+1,20))),"Revisar formato")))</f>
        <v/>
      </c>
      <c r="F440" s="23" t="str">
        <f>IF(Registro!$F440="","",IF(ISERROR(FIND("x",LOWER(Registro!$F440))),"-",IFERROR(SUMPRODUCT(--("0"&amp;LEFT(TRIM(MID(SUBSTITUTE(SUBSTITUTE(SUBSTITUTE(SUBSTITUTE(SUBSTITUTE(LOWER(Registro!$F440)," ",""),CHAR(10),"|"),";","|"),"+","|"),"|",REPT(" ",LEN(Registro!$F440))),({1,2,3,4,5,6,7,8,9,10,11,12,13,14,15,16,17,18,19,20,21,22,23,24,25,26,27,28,29,30}-1)*LEN(Registro!$F440)+1,LEN(Registro!$F440))),FIND("x",TRIM(MID(SUBSTITUTE(SUBSTITUTE(SUBSTITUTE(SUBSTITUTE(SUBSTITUTE(LOWER(Registro!$F440)," ",""),CHAR(10),"|"),";","|"),"+","|"),"|",REPT(" ",LEN(Registro!$F440))),({1,2,3,4,5,6,7,8,9,10,11,12,13,14,15,16,17,18,19,20,21,22,23,24,25,26,27,28,29,30}-1)*LEN(Registro!$F440)+1,LEN(Registro!$F440)))&amp;"x")-1))),"Revisar formato")))</f>
        <v/>
      </c>
      <c r="G440" s="24" t="str">
        <f>IF(Registro!$F440="","",IF(ISERROR(FIND("x",LOWER(Registro!$F440))),N(Registro!$G440),IFERROR(SUMPRODUCT(--("0"&amp;LEFT(TRIM(MID(SUBSTITUTE(SUBSTITUTE(SUBSTITUTE(SUBSTITUTE(SUBSTITUTE(LOWER(Registro!$F440)," ",""),CHAR(10),"|"),";","|"),"+","|"),"|",REPT(" ",LEN(Registro!$F440))),({1,2,3,4,5,6,7,8,9,10,11,12,13,14,15,16,17,18,19,20,21,22,23,24,25,26,27,28,29,30}-1)*LEN(Registro!$F440)+1,LEN(Registro!$F440))),FIND("x",TRIM(MID(SUBSTITUTE(SUBSTITUTE(SUBSTITUTE(SUBSTITUTE(SUBSTITUTE(LOWER(Registro!$F440)," ",""),CHAR(10),"|"),";","|"),"+","|"),"|",REPT(" ",LEN(Registro!$F440))),({1,2,3,4,5,6,7,8,9,10,11,12,13,14,15,16,17,18,19,20,21,22,23,24,25,26,27,28,29,30}-1)*LEN(Registro!$F440)+1,LEN(Registro!$F440)))&amp;"x")-1)),--("0"&amp;MID(TRIM(MID(SUBSTITUTE(SUBSTITUTE(SUBSTITUTE(SUBSTITUTE(SUBSTITUTE(LOWER(Registro!$F440)," ",""),CHAR(10),"|"),";","|"),"+","|"),"|",REPT(" ",LEN(Registro!$F440))),({1,2,3,4,5,6,7,8,9,10,11,12,13,14,15,16,17,18,19,20,21,22,23,24,25,26,27,28,29,30}-1)*LEN(Registro!$F440)+1,LEN(Registro!$F440))),FIND("x",TRIM(MID(SUBSTITUTE(SUBSTITUTE(SUBSTITUTE(SUBSTITUTE(SUBSTITUTE(LOWER(Registro!$F440)," ",""),CHAR(10),"|"),";","|"),"+","|"),"|",REPT(" ",LEN(Registro!$F440))),({1,2,3,4,5,6,7,8,9,10,11,12,13,14,15,16,17,18,19,20,21,22,23,24,25,26,27,28,29,30}-1)*LEN(Registro!$F440)+1,LEN(Registro!$F440)))&amp;"x")+1,20))),"Revisar formato")))</f>
        <v/>
      </c>
      <c r="H440" s="21" t="str">
        <f>IF(AND(Registro!$E440="",Registro!$F440=""),"",IF(NOT(AND(ISNUMBER(G440),ISNUMBER(Registro!$G440))),"",IF(G440&lt;Registro!$G440,"FALTA BOLETOS",IF(G440=Registro!$G440,"CONFORME","DIFERENCIA"))))</f>
        <v/>
      </c>
      <c r="I440" s="24" t="str">
        <f>IF(Registro!$H440="","",IFERROR(SUMPRODUCT(--("0"&amp;TRIM(RIGHT(SUBSTITUTE(TRIM(MID(SUBSTITUTE(SUBSTITUTE(Registro!$H440,";",CHAR(10)),CHAR(10),REPT(" ",LEN(Registro!$H440))),({1,2,3,4,5,6,7,8,9,10,11,12,13,14,15,16,17,18,19,20,21,22,23,24,25,26,27,28,29,30}-1)*LEN(Registro!$H440)+1,LEN(Registro!$H440)))," ",REPT(" ",50)),50)))),"Revisar formato"))</f>
        <v/>
      </c>
      <c r="J440" s="24" t="str">
        <f>IF(Registro!$I440="","",IFERROR(SUMPRODUCT(--("0"&amp;TRIM(RIGHT(SUBSTITUTE(TRIM(MID(SUBSTITUTE(SUBSTITUTE(Registro!$I440,";",CHAR(10)),CHAR(10),REPT(" ",LEN(Registro!$I440))),({1,2,3,4,5,6,7,8,9,10,11,12,13,14,15,16,17,18,19,20,21,22,23,24,25,26,27,28,29,30}-1)*LEN(Registro!$I440)+1,LEN(Registro!$I440)))," ",REPT(" ",50)),50)))),"Revisar formato"))</f>
        <v/>
      </c>
      <c r="K440" s="24" t="str">
        <f>IF(AND(Registro!$G440="",Registro!$H440=""),"",IF(AND(ISTEXT(I440),I440&lt;&gt;""),"Revisar formato",N(Registro!$G440)-N(I440)))</f>
        <v/>
      </c>
      <c r="L440" s="24" t="str">
        <f t="shared" si="13"/>
        <v/>
      </c>
      <c r="M440" s="36" t="str">
        <f>IF(AND(A440=Consulta!$B$3,C440=Consulta!$H$3),B440*10000+ROW(),"")</f>
        <v/>
      </c>
    </row>
    <row r="441" spans="1:13" x14ac:dyDescent="0.25">
      <c r="A441" s="21" t="str">
        <f>IF(Registro!$A441="","",Registro!$A441)</f>
        <v/>
      </c>
      <c r="B441" s="20" t="str">
        <f>IF(Registro!$B441="","",Registro!$B441)</f>
        <v/>
      </c>
      <c r="C441" s="35" t="str">
        <f t="shared" si="12"/>
        <v/>
      </c>
      <c r="D441" s="23" t="str">
        <f>IF(Registro!$E441="","",IF(ISERROR(FIND("x",LOWER(Registro!$E441))),"-",IFERROR(SUMPRODUCT(--("0"&amp;LEFT(TRIM(MID(SUBSTITUTE(SUBSTITUTE(SUBSTITUTE(SUBSTITUTE(SUBSTITUTE(LOWER(Registro!$E441),"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",LEN(Registro!$E441))),({1,2,3,4,5,6,7,8,9,10,11,12,13,14,15,16,17,18,19,20,21,22,23,24,25,26,27,28,29,30}-1)*LEN(Registro!$E441)+1,LEN(Registro!$E441))),FIND("x",TRIM(MID(SUBSTITUTE(SUBSTITUTE(SUBSTITUTE(SUBSTITUTE(SUBSTITUTE(LOWER(Registro!$E441),"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",LEN(Registro!$E441))),({1,2,3,4,5,6,7,8,9,10,11,12,13,14,15,16,17,18,19,20,21,22,23,24,25,26,27,28,29,30}-1)*LEN(Registro!$E441)+1,LEN(Registro!$E441)))&amp;"x")-1))),"Revisar formato")))</f>
        <v/>
      </c>
      <c r="E441" s="24" t="str">
        <f>IF(Registro!$E441="","",IF(ISERROR(FIND("x",LOWER(Registro!$E441))),"-",IFERROR(SUMPRODUCT(--("0"&amp;LEFT(TRIM(MID(SUBSTITUTE(SUBSTITUTE(SUBSTITUTE(SUBSTITUTE(SUBSTITUTE(LOWER(Registro!$E441),"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",LEN(Registro!$E441))),({1,2,3,4,5,6,7,8,9,10,11,12,13,14,15,16,17,18,19,20,21,22,23,24,25,26,27,28,29,30}-1)*LEN(Registro!$E441)+1,LEN(Registro!$E441))),FIND("x",TRIM(MID(SUBSTITUTE(SUBSTITUTE(SUBSTITUTE(SUBSTITUTE(SUBSTITUTE(LOWER(Registro!$E441),"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",LEN(Registro!$E441))),({1,2,3,4,5,6,7,8,9,10,11,12,13,14,15,16,17,18,19,20,21,22,23,24,25,26,27,28,29,30}-1)*LEN(Registro!$E441)+1,LEN(Registro!$E441)))&amp;"x")-1)),--("0"&amp;MID(TRIM(MID(SUBSTITUTE(SUBSTITUTE(SUBSTITUTE(SUBSTITUTE(SUBSTITUTE(LOWER(Registro!$E441),"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",LEN(Registro!$E441))),({1,2,3,4,5,6,7,8,9,10,11,12,13,14,15,16,17,18,19,20,21,22,23,24,25,26,27,28,29,30}-1)*LEN(Registro!$E441)+1,LEN(Registro!$E441))),FIND("x",TRIM(MID(SUBSTITUTE(SUBSTITUTE(SUBSTITUTE(SUBSTITUTE(SUBSTITUTE(LOWER(Registro!$E441),"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",LEN(Registro!$E441))),({1,2,3,4,5,6,7,8,9,10,11,12,13,14,15,16,17,18,19,20,21,22,23,24,25,26,27,28,29,30}-1)*LEN(Registro!$E441)+1,LEN(Registro!$E441)))&amp;"x")+1,20))),"Revisar formato")))</f>
        <v/>
      </c>
      <c r="F441" s="23" t="str">
        <f>IF(Registro!$F441="","",IF(ISERROR(FIND("x",LOWER(Registro!$F441))),"-",IFERROR(SUMPRODUCT(--("0"&amp;LEFT(TRIM(MID(SUBSTITUTE(SUBSTITUTE(SUBSTITUTE(SUBSTITUTE(SUBSTITUTE(LOWER(Registro!$F441)," ",""),CHAR(10),"|"),";","|"),"+","|"),"|",REPT(" ",LEN(Registro!$F441))),({1,2,3,4,5,6,7,8,9,10,11,12,13,14,15,16,17,18,19,20,21,22,23,24,25,26,27,28,29,30}-1)*LEN(Registro!$F441)+1,LEN(Registro!$F441))),FIND("x",TRIM(MID(SUBSTITUTE(SUBSTITUTE(SUBSTITUTE(SUBSTITUTE(SUBSTITUTE(LOWER(Registro!$F441)," ",""),CHAR(10),"|"),";","|"),"+","|"),"|",REPT(" ",LEN(Registro!$F441))),({1,2,3,4,5,6,7,8,9,10,11,12,13,14,15,16,17,18,19,20,21,22,23,24,25,26,27,28,29,30}-1)*LEN(Registro!$F441)+1,LEN(Registro!$F441)))&amp;"x")-1))),"Revisar formato")))</f>
        <v/>
      </c>
      <c r="G441" s="24" t="str">
        <f>IF(Registro!$F441="","",IF(ISERROR(FIND("x",LOWER(Registro!$F441))),N(Registro!$G441),IFERROR(SUMPRODUCT(--("0"&amp;LEFT(TRIM(MID(SUBSTITUTE(SUBSTITUTE(SUBSTITUTE(SUBSTITUTE(SUBSTITUTE(LOWER(Registro!$F441)," ",""),CHAR(10),"|"),";","|"),"+","|"),"|",REPT(" ",LEN(Registro!$F441))),({1,2,3,4,5,6,7,8,9,10,11,12,13,14,15,16,17,18,19,20,21,22,23,24,25,26,27,28,29,30}-1)*LEN(Registro!$F441)+1,LEN(Registro!$F441))),FIND("x",TRIM(MID(SUBSTITUTE(SUBSTITUTE(SUBSTITUTE(SUBSTITUTE(SUBSTITUTE(LOWER(Registro!$F441)," ",""),CHAR(10),"|"),";","|"),"+","|"),"|",REPT(" ",LEN(Registro!$F441))),({1,2,3,4,5,6,7,8,9,10,11,12,13,14,15,16,17,18,19,20,21,22,23,24,25,26,27,28,29,30}-1)*LEN(Registro!$F441)+1,LEN(Registro!$F441)))&amp;"x")-1)),--("0"&amp;MID(TRIM(MID(SUBSTITUTE(SUBSTITUTE(SUBSTITUTE(SUBSTITUTE(SUBSTITUTE(LOWER(Registro!$F441)," ",""),CHAR(10),"|"),";","|"),"+","|"),"|",REPT(" ",LEN(Registro!$F441))),({1,2,3,4,5,6,7,8,9,10,11,12,13,14,15,16,17,18,19,20,21,22,23,24,25,26,27,28,29,30}-1)*LEN(Registro!$F441)+1,LEN(Registro!$F441))),FIND("x",TRIM(MID(SUBSTITUTE(SUBSTITUTE(SUBSTITUTE(SUBSTITUTE(SUBSTITUTE(LOWER(Registro!$F441)," ",""),CHAR(10),"|"),";","|"),"+","|"),"|",REPT(" ",LEN(Registro!$F441))),({1,2,3,4,5,6,7,8,9,10,11,12,13,14,15,16,17,18,19,20,21,22,23,24,25,26,27,28,29,30}-1)*LEN(Registro!$F441)+1,LEN(Registro!$F441)))&amp;"x")+1,20))),"Revisar formato")))</f>
        <v/>
      </c>
      <c r="H441" s="21" t="str">
        <f>IF(AND(Registro!$E441="",Registro!$F441=""),"",IF(NOT(AND(ISNUMBER(G441),ISNUMBER(Registro!$G441))),"",IF(G441&lt;Registro!$G441,"FALTA BOLETOS",IF(G441=Registro!$G441,"CONFORME","DIFERENCIA"))))</f>
        <v/>
      </c>
      <c r="I441" s="24" t="str">
        <f>IF(Registro!$H441="","",IFERROR(SUMPRODUCT(--("0"&amp;TRIM(RIGHT(SUBSTITUTE(TRIM(MID(SUBSTITUTE(SUBSTITUTE(Registro!$H441,";",CHAR(10)),CHAR(10),REPT(" ",LEN(Registro!$H441))),({1,2,3,4,5,6,7,8,9,10,11,12,13,14,15,16,17,18,19,20,21,22,23,24,25,26,27,28,29,30}-1)*LEN(Registro!$H441)+1,LEN(Registro!$H441)))," ",REPT(" ",50)),50)))),"Revisar formato"))</f>
        <v/>
      </c>
      <c r="J441" s="24" t="str">
        <f>IF(Registro!$I441="","",IFERROR(SUMPRODUCT(--("0"&amp;TRIM(RIGHT(SUBSTITUTE(TRIM(MID(SUBSTITUTE(SUBSTITUTE(Registro!$I441,";",CHAR(10)),CHAR(10),REPT(" ",LEN(Registro!$I441))),({1,2,3,4,5,6,7,8,9,10,11,12,13,14,15,16,17,18,19,20,21,22,23,24,25,26,27,28,29,30}-1)*LEN(Registro!$I441)+1,LEN(Registro!$I441)))," ",REPT(" ",50)),50)))),"Revisar formato"))</f>
        <v/>
      </c>
      <c r="K441" s="24" t="str">
        <f>IF(AND(Registro!$G441="",Registro!$H441=""),"",IF(AND(ISTEXT(I441),I441&lt;&gt;""),"Revisar formato",N(Registro!$G441)-N(I441)))</f>
        <v/>
      </c>
      <c r="L441" s="24" t="str">
        <f t="shared" si="13"/>
        <v/>
      </c>
      <c r="M441" s="36" t="str">
        <f>IF(AND(A441=Consulta!$B$3,C441=Consulta!$H$3),B441*10000+ROW(),"")</f>
        <v/>
      </c>
    </row>
    <row r="442" spans="1:13" x14ac:dyDescent="0.25">
      <c r="A442" s="21" t="str">
        <f>IF(Registro!$A442="","",Registro!$A442)</f>
        <v/>
      </c>
      <c r="B442" s="20" t="str">
        <f>IF(Registro!$B442="","",Registro!$B442)</f>
        <v/>
      </c>
      <c r="C442" s="35" t="str">
        <f t="shared" si="12"/>
        <v/>
      </c>
      <c r="D442" s="23" t="str">
        <f>IF(Registro!$E442="","",IF(ISERROR(FIND("x",LOWER(Registro!$E442))),"-",IFERROR(SUMPRODUCT(--("0"&amp;LEFT(TRIM(MID(SUBSTITUTE(SUBSTITUTE(SUBSTITUTE(SUBSTITUTE(SUBSTITUTE(LOWER(Registro!$E442),"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",LEN(Registro!$E442))),({1,2,3,4,5,6,7,8,9,10,11,12,13,14,15,16,17,18,19,20,21,22,23,24,25,26,27,28,29,30}-1)*LEN(Registro!$E442)+1,LEN(Registro!$E442))),FIND("x",TRIM(MID(SUBSTITUTE(SUBSTITUTE(SUBSTITUTE(SUBSTITUTE(SUBSTITUTE(LOWER(Registro!$E442),"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",LEN(Registro!$E442))),({1,2,3,4,5,6,7,8,9,10,11,12,13,14,15,16,17,18,19,20,21,22,23,24,25,26,27,28,29,30}-1)*LEN(Registro!$E442)+1,LEN(Registro!$E442)))&amp;"x")-1))),"Revisar formato")))</f>
        <v/>
      </c>
      <c r="E442" s="24" t="str">
        <f>IF(Registro!$E442="","",IF(ISERROR(FIND("x",LOWER(Registro!$E442))),"-",IFERROR(SUMPRODUCT(--("0"&amp;LEFT(TRIM(MID(SUBSTITUTE(SUBSTITUTE(SUBSTITUTE(SUBSTITUTE(SUBSTITUTE(LOWER(Registro!$E442),"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",LEN(Registro!$E442))),({1,2,3,4,5,6,7,8,9,10,11,12,13,14,15,16,17,18,19,20,21,22,23,24,25,26,27,28,29,30}-1)*LEN(Registro!$E442)+1,LEN(Registro!$E442))),FIND("x",TRIM(MID(SUBSTITUTE(SUBSTITUTE(SUBSTITUTE(SUBSTITUTE(SUBSTITUTE(LOWER(Registro!$E442),"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",LEN(Registro!$E442))),({1,2,3,4,5,6,7,8,9,10,11,12,13,14,15,16,17,18,19,20,21,22,23,24,25,26,27,28,29,30}-1)*LEN(Registro!$E442)+1,LEN(Registro!$E442)))&amp;"x")-1)),--("0"&amp;MID(TRIM(MID(SUBSTITUTE(SUBSTITUTE(SUBSTITUTE(SUBSTITUTE(SUBSTITUTE(LOWER(Registro!$E442),"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",LEN(Registro!$E442))),({1,2,3,4,5,6,7,8,9,10,11,12,13,14,15,16,17,18,19,20,21,22,23,24,25,26,27,28,29,30}-1)*LEN(Registro!$E442)+1,LEN(Registro!$E442))),FIND("x",TRIM(MID(SUBSTITUTE(SUBSTITUTE(SUBSTITUTE(SUBSTITUTE(SUBSTITUTE(LOWER(Registro!$E442),"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",LEN(Registro!$E442))),({1,2,3,4,5,6,7,8,9,10,11,12,13,14,15,16,17,18,19,20,21,22,23,24,25,26,27,28,29,30}-1)*LEN(Registro!$E442)+1,LEN(Registro!$E442)))&amp;"x")+1,20))),"Revisar formato")))</f>
        <v/>
      </c>
      <c r="F442" s="23" t="str">
        <f>IF(Registro!$F442="","",IF(ISERROR(FIND("x",LOWER(Registro!$F442))),"-",IFERROR(SUMPRODUCT(--("0"&amp;LEFT(TRIM(MID(SUBSTITUTE(SUBSTITUTE(SUBSTITUTE(SUBSTITUTE(SUBSTITUTE(LOWER(Registro!$F442)," ",""),CHAR(10),"|"),";","|"),"+","|"),"|",REPT(" ",LEN(Registro!$F442))),({1,2,3,4,5,6,7,8,9,10,11,12,13,14,15,16,17,18,19,20,21,22,23,24,25,26,27,28,29,30}-1)*LEN(Registro!$F442)+1,LEN(Registro!$F442))),FIND("x",TRIM(MID(SUBSTITUTE(SUBSTITUTE(SUBSTITUTE(SUBSTITUTE(SUBSTITUTE(LOWER(Registro!$F442)," ",""),CHAR(10),"|"),";","|"),"+","|"),"|",REPT(" ",LEN(Registro!$F442))),({1,2,3,4,5,6,7,8,9,10,11,12,13,14,15,16,17,18,19,20,21,22,23,24,25,26,27,28,29,30}-1)*LEN(Registro!$F442)+1,LEN(Registro!$F442)))&amp;"x")-1))),"Revisar formato")))</f>
        <v/>
      </c>
      <c r="G442" s="24" t="str">
        <f>IF(Registro!$F442="","",IF(ISERROR(FIND("x",LOWER(Registro!$F442))),N(Registro!$G442),IFERROR(SUMPRODUCT(--("0"&amp;LEFT(TRIM(MID(SUBSTITUTE(SUBSTITUTE(SUBSTITUTE(SUBSTITUTE(SUBSTITUTE(LOWER(Registro!$F442)," ",""),CHAR(10),"|"),";","|"),"+","|"),"|",REPT(" ",LEN(Registro!$F442))),({1,2,3,4,5,6,7,8,9,10,11,12,13,14,15,16,17,18,19,20,21,22,23,24,25,26,27,28,29,30}-1)*LEN(Registro!$F442)+1,LEN(Registro!$F442))),FIND("x",TRIM(MID(SUBSTITUTE(SUBSTITUTE(SUBSTITUTE(SUBSTITUTE(SUBSTITUTE(LOWER(Registro!$F442)," ",""),CHAR(10),"|"),";","|"),"+","|"),"|",REPT(" ",LEN(Registro!$F442))),({1,2,3,4,5,6,7,8,9,10,11,12,13,14,15,16,17,18,19,20,21,22,23,24,25,26,27,28,29,30}-1)*LEN(Registro!$F442)+1,LEN(Registro!$F442)))&amp;"x")-1)),--("0"&amp;MID(TRIM(MID(SUBSTITUTE(SUBSTITUTE(SUBSTITUTE(SUBSTITUTE(SUBSTITUTE(LOWER(Registro!$F442)," ",""),CHAR(10),"|"),";","|"),"+","|"),"|",REPT(" ",LEN(Registro!$F442))),({1,2,3,4,5,6,7,8,9,10,11,12,13,14,15,16,17,18,19,20,21,22,23,24,25,26,27,28,29,30}-1)*LEN(Registro!$F442)+1,LEN(Registro!$F442))),FIND("x",TRIM(MID(SUBSTITUTE(SUBSTITUTE(SUBSTITUTE(SUBSTITUTE(SUBSTITUTE(LOWER(Registro!$F442)," ",""),CHAR(10),"|"),";","|"),"+","|"),"|",REPT(" ",LEN(Registro!$F442))),({1,2,3,4,5,6,7,8,9,10,11,12,13,14,15,16,17,18,19,20,21,22,23,24,25,26,27,28,29,30}-1)*LEN(Registro!$F442)+1,LEN(Registro!$F442)))&amp;"x")+1,20))),"Revisar formato")))</f>
        <v/>
      </c>
      <c r="H442" s="21" t="str">
        <f>IF(AND(Registro!$E442="",Registro!$F442=""),"",IF(NOT(AND(ISNUMBER(G442),ISNUMBER(Registro!$G442))),"",IF(G442&lt;Registro!$G442,"FALTA BOLETOS",IF(G442=Registro!$G442,"CONFORME","DIFERENCIA"))))</f>
        <v/>
      </c>
      <c r="I442" s="24" t="str">
        <f>IF(Registro!$H442="","",IFERROR(SUMPRODUCT(--("0"&amp;TRIM(RIGHT(SUBSTITUTE(TRIM(MID(SUBSTITUTE(SUBSTITUTE(Registro!$H442,";",CHAR(10)),CHAR(10),REPT(" ",LEN(Registro!$H442))),({1,2,3,4,5,6,7,8,9,10,11,12,13,14,15,16,17,18,19,20,21,22,23,24,25,26,27,28,29,30}-1)*LEN(Registro!$H442)+1,LEN(Registro!$H442)))," ",REPT(" ",50)),50)))),"Revisar formato"))</f>
        <v/>
      </c>
      <c r="J442" s="24" t="str">
        <f>IF(Registro!$I442="","",IFERROR(SUMPRODUCT(--("0"&amp;TRIM(RIGHT(SUBSTITUTE(TRIM(MID(SUBSTITUTE(SUBSTITUTE(Registro!$I442,";",CHAR(10)),CHAR(10),REPT(" ",LEN(Registro!$I442))),({1,2,3,4,5,6,7,8,9,10,11,12,13,14,15,16,17,18,19,20,21,22,23,24,25,26,27,28,29,30}-1)*LEN(Registro!$I442)+1,LEN(Registro!$I442)))," ",REPT(" ",50)),50)))),"Revisar formato"))</f>
        <v/>
      </c>
      <c r="K442" s="24" t="str">
        <f>IF(AND(Registro!$G442="",Registro!$H442=""),"",IF(AND(ISTEXT(I442),I442&lt;&gt;""),"Revisar formato",N(Registro!$G442)-N(I442)))</f>
        <v/>
      </c>
      <c r="L442" s="24" t="str">
        <f t="shared" si="13"/>
        <v/>
      </c>
      <c r="M442" s="36" t="str">
        <f>IF(AND(A442=Consulta!$B$3,C442=Consulta!$H$3),B442*10000+ROW(),"")</f>
        <v/>
      </c>
    </row>
    <row r="443" spans="1:13" x14ac:dyDescent="0.25">
      <c r="A443" s="21" t="str">
        <f>IF(Registro!$A443="","",Registro!$A443)</f>
        <v/>
      </c>
      <c r="B443" s="20" t="str">
        <f>IF(Registro!$B443="","",Registro!$B443)</f>
        <v/>
      </c>
      <c r="C443" s="35" t="str">
        <f t="shared" si="12"/>
        <v/>
      </c>
      <c r="D443" s="23" t="str">
        <f>IF(Registro!$E443="","",IF(ISERROR(FIND("x",LOWER(Registro!$E443))),"-",IFERROR(SUMPRODUCT(--("0"&amp;LEFT(TRIM(MID(SUBSTITUTE(SUBSTITUTE(SUBSTITUTE(SUBSTITUTE(SUBSTITUTE(LOWER(Registro!$E443),"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",LEN(Registro!$E443))),({1,2,3,4,5,6,7,8,9,10,11,12,13,14,15,16,17,18,19,20,21,22,23,24,25,26,27,28,29,30}-1)*LEN(Registro!$E443)+1,LEN(Registro!$E443))),FIND("x",TRIM(MID(SUBSTITUTE(SUBSTITUTE(SUBSTITUTE(SUBSTITUTE(SUBSTITUTE(LOWER(Registro!$E443),"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",LEN(Registro!$E443))),({1,2,3,4,5,6,7,8,9,10,11,12,13,14,15,16,17,18,19,20,21,22,23,24,25,26,27,28,29,30}-1)*LEN(Registro!$E443)+1,LEN(Registro!$E443)))&amp;"x")-1))),"Revisar formato")))</f>
        <v/>
      </c>
      <c r="E443" s="24" t="str">
        <f>IF(Registro!$E443="","",IF(ISERROR(FIND("x",LOWER(Registro!$E443))),"-",IFERROR(SUMPRODUCT(--("0"&amp;LEFT(TRIM(MID(SUBSTITUTE(SUBSTITUTE(SUBSTITUTE(SUBSTITUTE(SUBSTITUTE(LOWER(Registro!$E443),"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",LEN(Registro!$E443))),({1,2,3,4,5,6,7,8,9,10,11,12,13,14,15,16,17,18,19,20,21,22,23,24,25,26,27,28,29,30}-1)*LEN(Registro!$E443)+1,LEN(Registro!$E443))),FIND("x",TRIM(MID(SUBSTITUTE(SUBSTITUTE(SUBSTITUTE(SUBSTITUTE(SUBSTITUTE(LOWER(Registro!$E443),"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",LEN(Registro!$E443))),({1,2,3,4,5,6,7,8,9,10,11,12,13,14,15,16,17,18,19,20,21,22,23,24,25,26,27,28,29,30}-1)*LEN(Registro!$E443)+1,LEN(Registro!$E443)))&amp;"x")-1)),--("0"&amp;MID(TRIM(MID(SUBSTITUTE(SUBSTITUTE(SUBSTITUTE(SUBSTITUTE(SUBSTITUTE(LOWER(Registro!$E443),"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",LEN(Registro!$E443))),({1,2,3,4,5,6,7,8,9,10,11,12,13,14,15,16,17,18,19,20,21,22,23,24,25,26,27,28,29,30}-1)*LEN(Registro!$E443)+1,LEN(Registro!$E443))),FIND("x",TRIM(MID(SUBSTITUTE(SUBSTITUTE(SUBSTITUTE(SUBSTITUTE(SUBSTITUTE(LOWER(Registro!$E443),"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",LEN(Registro!$E443))),({1,2,3,4,5,6,7,8,9,10,11,12,13,14,15,16,17,18,19,20,21,22,23,24,25,26,27,28,29,30}-1)*LEN(Registro!$E443)+1,LEN(Registro!$E443)))&amp;"x")+1,20))),"Revisar formato")))</f>
        <v/>
      </c>
      <c r="F443" s="23" t="str">
        <f>IF(Registro!$F443="","",IF(ISERROR(FIND("x",LOWER(Registro!$F443))),"-",IFERROR(SUMPRODUCT(--("0"&amp;LEFT(TRIM(MID(SUBSTITUTE(SUBSTITUTE(SUBSTITUTE(SUBSTITUTE(SUBSTITUTE(LOWER(Registro!$F443)," ",""),CHAR(10),"|"),";","|"),"+","|"),"|",REPT(" ",LEN(Registro!$F443))),({1,2,3,4,5,6,7,8,9,10,11,12,13,14,15,16,17,18,19,20,21,22,23,24,25,26,27,28,29,30}-1)*LEN(Registro!$F443)+1,LEN(Registro!$F443))),FIND("x",TRIM(MID(SUBSTITUTE(SUBSTITUTE(SUBSTITUTE(SUBSTITUTE(SUBSTITUTE(LOWER(Registro!$F443)," ",""),CHAR(10),"|"),";","|"),"+","|"),"|",REPT(" ",LEN(Registro!$F443))),({1,2,3,4,5,6,7,8,9,10,11,12,13,14,15,16,17,18,19,20,21,22,23,24,25,26,27,28,29,30}-1)*LEN(Registro!$F443)+1,LEN(Registro!$F443)))&amp;"x")-1))),"Revisar formato")))</f>
        <v/>
      </c>
      <c r="G443" s="24" t="str">
        <f>IF(Registro!$F443="","",IF(ISERROR(FIND("x",LOWER(Registro!$F443))),N(Registro!$G443),IFERROR(SUMPRODUCT(--("0"&amp;LEFT(TRIM(MID(SUBSTITUTE(SUBSTITUTE(SUBSTITUTE(SUBSTITUTE(SUBSTITUTE(LOWER(Registro!$F443)," ",""),CHAR(10),"|"),";","|"),"+","|"),"|",REPT(" ",LEN(Registro!$F443))),({1,2,3,4,5,6,7,8,9,10,11,12,13,14,15,16,17,18,19,20,21,22,23,24,25,26,27,28,29,30}-1)*LEN(Registro!$F443)+1,LEN(Registro!$F443))),FIND("x",TRIM(MID(SUBSTITUTE(SUBSTITUTE(SUBSTITUTE(SUBSTITUTE(SUBSTITUTE(LOWER(Registro!$F443)," ",""),CHAR(10),"|"),";","|"),"+","|"),"|",REPT(" ",LEN(Registro!$F443))),({1,2,3,4,5,6,7,8,9,10,11,12,13,14,15,16,17,18,19,20,21,22,23,24,25,26,27,28,29,30}-1)*LEN(Registro!$F443)+1,LEN(Registro!$F443)))&amp;"x")-1)),--("0"&amp;MID(TRIM(MID(SUBSTITUTE(SUBSTITUTE(SUBSTITUTE(SUBSTITUTE(SUBSTITUTE(LOWER(Registro!$F443)," ",""),CHAR(10),"|"),";","|"),"+","|"),"|",REPT(" ",LEN(Registro!$F443))),({1,2,3,4,5,6,7,8,9,10,11,12,13,14,15,16,17,18,19,20,21,22,23,24,25,26,27,28,29,30}-1)*LEN(Registro!$F443)+1,LEN(Registro!$F443))),FIND("x",TRIM(MID(SUBSTITUTE(SUBSTITUTE(SUBSTITUTE(SUBSTITUTE(SUBSTITUTE(LOWER(Registro!$F443)," ",""),CHAR(10),"|"),";","|"),"+","|"),"|",REPT(" ",LEN(Registro!$F443))),({1,2,3,4,5,6,7,8,9,10,11,12,13,14,15,16,17,18,19,20,21,22,23,24,25,26,27,28,29,30}-1)*LEN(Registro!$F443)+1,LEN(Registro!$F443)))&amp;"x")+1,20))),"Revisar formato")))</f>
        <v/>
      </c>
      <c r="H443" s="21" t="str">
        <f>IF(AND(Registro!$E443="",Registro!$F443=""),"",IF(NOT(AND(ISNUMBER(G443),ISNUMBER(Registro!$G443))),"",IF(G443&lt;Registro!$G443,"FALTA BOLETOS",IF(G443=Registro!$G443,"CONFORME","DIFERENCIA"))))</f>
        <v/>
      </c>
      <c r="I443" s="24" t="str">
        <f>IF(Registro!$H443="","",IFERROR(SUMPRODUCT(--("0"&amp;TRIM(RIGHT(SUBSTITUTE(TRIM(MID(SUBSTITUTE(SUBSTITUTE(Registro!$H443,";",CHAR(10)),CHAR(10),REPT(" ",LEN(Registro!$H443))),({1,2,3,4,5,6,7,8,9,10,11,12,13,14,15,16,17,18,19,20,21,22,23,24,25,26,27,28,29,30}-1)*LEN(Registro!$H443)+1,LEN(Registro!$H443)))," ",REPT(" ",50)),50)))),"Revisar formato"))</f>
        <v/>
      </c>
      <c r="J443" s="24" t="str">
        <f>IF(Registro!$I443="","",IFERROR(SUMPRODUCT(--("0"&amp;TRIM(RIGHT(SUBSTITUTE(TRIM(MID(SUBSTITUTE(SUBSTITUTE(Registro!$I443,";",CHAR(10)),CHAR(10),REPT(" ",LEN(Registro!$I443))),({1,2,3,4,5,6,7,8,9,10,11,12,13,14,15,16,17,18,19,20,21,22,23,24,25,26,27,28,29,30}-1)*LEN(Registro!$I443)+1,LEN(Registro!$I443)))," ",REPT(" ",50)),50)))),"Revisar formato"))</f>
        <v/>
      </c>
      <c r="K443" s="24" t="str">
        <f>IF(AND(Registro!$G443="",Registro!$H443=""),"",IF(AND(ISTEXT(I443),I443&lt;&gt;""),"Revisar formato",N(Registro!$G443)-N(I443)))</f>
        <v/>
      </c>
      <c r="L443" s="24" t="str">
        <f t="shared" si="13"/>
        <v/>
      </c>
      <c r="M443" s="36" t="str">
        <f>IF(AND(A443=Consulta!$B$3,C443=Consulta!$H$3),B443*10000+ROW(),"")</f>
        <v/>
      </c>
    </row>
    <row r="444" spans="1:13" x14ac:dyDescent="0.25">
      <c r="A444" s="21" t="str">
        <f>IF(Registro!$A444="","",Registro!$A444)</f>
        <v/>
      </c>
      <c r="B444" s="20" t="str">
        <f>IF(Registro!$B444="","",Registro!$B444)</f>
        <v/>
      </c>
      <c r="C444" s="35" t="str">
        <f t="shared" si="12"/>
        <v/>
      </c>
      <c r="D444" s="23" t="str">
        <f>IF(Registro!$E444="","",IF(ISERROR(FIND("x",LOWER(Registro!$E444))),"-",IFERROR(SUMPRODUCT(--("0"&amp;LEFT(TRIM(MID(SUBSTITUTE(SUBSTITUTE(SUBSTITUTE(SUBSTITUTE(SUBSTITUTE(LOWER(Registro!$E444),"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",LEN(Registro!$E444))),({1,2,3,4,5,6,7,8,9,10,11,12,13,14,15,16,17,18,19,20,21,22,23,24,25,26,27,28,29,30}-1)*LEN(Registro!$E444)+1,LEN(Registro!$E444))),FIND("x",TRIM(MID(SUBSTITUTE(SUBSTITUTE(SUBSTITUTE(SUBSTITUTE(SUBSTITUTE(LOWER(Registro!$E444),"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",LEN(Registro!$E444))),({1,2,3,4,5,6,7,8,9,10,11,12,13,14,15,16,17,18,19,20,21,22,23,24,25,26,27,28,29,30}-1)*LEN(Registro!$E444)+1,LEN(Registro!$E444)))&amp;"x")-1))),"Revisar formato")))</f>
        <v/>
      </c>
      <c r="E444" s="24" t="str">
        <f>IF(Registro!$E444="","",IF(ISERROR(FIND("x",LOWER(Registro!$E444))),"-",IFERROR(SUMPRODUCT(--("0"&amp;LEFT(TRIM(MID(SUBSTITUTE(SUBSTITUTE(SUBSTITUTE(SUBSTITUTE(SUBSTITUTE(LOWER(Registro!$E444),"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",LEN(Registro!$E444))),({1,2,3,4,5,6,7,8,9,10,11,12,13,14,15,16,17,18,19,20,21,22,23,24,25,26,27,28,29,30}-1)*LEN(Registro!$E444)+1,LEN(Registro!$E444))),FIND("x",TRIM(MID(SUBSTITUTE(SUBSTITUTE(SUBSTITUTE(SUBSTITUTE(SUBSTITUTE(LOWER(Registro!$E444),"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",LEN(Registro!$E444))),({1,2,3,4,5,6,7,8,9,10,11,12,13,14,15,16,17,18,19,20,21,22,23,24,25,26,27,28,29,30}-1)*LEN(Registro!$E444)+1,LEN(Registro!$E444)))&amp;"x")-1)),--("0"&amp;MID(TRIM(MID(SUBSTITUTE(SUBSTITUTE(SUBSTITUTE(SUBSTITUTE(SUBSTITUTE(LOWER(Registro!$E444),"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",LEN(Registro!$E444))),({1,2,3,4,5,6,7,8,9,10,11,12,13,14,15,16,17,18,19,20,21,22,23,24,25,26,27,28,29,30}-1)*LEN(Registro!$E444)+1,LEN(Registro!$E444))),FIND("x",TRIM(MID(SUBSTITUTE(SUBSTITUTE(SUBSTITUTE(SUBSTITUTE(SUBSTITUTE(LOWER(Registro!$E444),"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",LEN(Registro!$E444))),({1,2,3,4,5,6,7,8,9,10,11,12,13,14,15,16,17,18,19,20,21,22,23,24,25,26,27,28,29,30}-1)*LEN(Registro!$E444)+1,LEN(Registro!$E444)))&amp;"x")+1,20))),"Revisar formato")))</f>
        <v/>
      </c>
      <c r="F444" s="23" t="str">
        <f>IF(Registro!$F444="","",IF(ISERROR(FIND("x",LOWER(Registro!$F444))),"-",IFERROR(SUMPRODUCT(--("0"&amp;LEFT(TRIM(MID(SUBSTITUTE(SUBSTITUTE(SUBSTITUTE(SUBSTITUTE(SUBSTITUTE(LOWER(Registro!$F444)," ",""),CHAR(10),"|"),";","|"),"+","|"),"|",REPT(" ",LEN(Registro!$F444))),({1,2,3,4,5,6,7,8,9,10,11,12,13,14,15,16,17,18,19,20,21,22,23,24,25,26,27,28,29,30}-1)*LEN(Registro!$F444)+1,LEN(Registro!$F444))),FIND("x",TRIM(MID(SUBSTITUTE(SUBSTITUTE(SUBSTITUTE(SUBSTITUTE(SUBSTITUTE(LOWER(Registro!$F444)," ",""),CHAR(10),"|"),";","|"),"+","|"),"|",REPT(" ",LEN(Registro!$F444))),({1,2,3,4,5,6,7,8,9,10,11,12,13,14,15,16,17,18,19,20,21,22,23,24,25,26,27,28,29,30}-1)*LEN(Registro!$F444)+1,LEN(Registro!$F444)))&amp;"x")-1))),"Revisar formato")))</f>
        <v/>
      </c>
      <c r="G444" s="24" t="str">
        <f>IF(Registro!$F444="","",IF(ISERROR(FIND("x",LOWER(Registro!$F444))),N(Registro!$G444),IFERROR(SUMPRODUCT(--("0"&amp;LEFT(TRIM(MID(SUBSTITUTE(SUBSTITUTE(SUBSTITUTE(SUBSTITUTE(SUBSTITUTE(LOWER(Registro!$F444)," ",""),CHAR(10),"|"),";","|"),"+","|"),"|",REPT(" ",LEN(Registro!$F444))),({1,2,3,4,5,6,7,8,9,10,11,12,13,14,15,16,17,18,19,20,21,22,23,24,25,26,27,28,29,30}-1)*LEN(Registro!$F444)+1,LEN(Registro!$F444))),FIND("x",TRIM(MID(SUBSTITUTE(SUBSTITUTE(SUBSTITUTE(SUBSTITUTE(SUBSTITUTE(LOWER(Registro!$F444)," ",""),CHAR(10),"|"),";","|"),"+","|"),"|",REPT(" ",LEN(Registro!$F444))),({1,2,3,4,5,6,7,8,9,10,11,12,13,14,15,16,17,18,19,20,21,22,23,24,25,26,27,28,29,30}-1)*LEN(Registro!$F444)+1,LEN(Registro!$F444)))&amp;"x")-1)),--("0"&amp;MID(TRIM(MID(SUBSTITUTE(SUBSTITUTE(SUBSTITUTE(SUBSTITUTE(SUBSTITUTE(LOWER(Registro!$F444)," ",""),CHAR(10),"|"),";","|"),"+","|"),"|",REPT(" ",LEN(Registro!$F444))),({1,2,3,4,5,6,7,8,9,10,11,12,13,14,15,16,17,18,19,20,21,22,23,24,25,26,27,28,29,30}-1)*LEN(Registro!$F444)+1,LEN(Registro!$F444))),FIND("x",TRIM(MID(SUBSTITUTE(SUBSTITUTE(SUBSTITUTE(SUBSTITUTE(SUBSTITUTE(LOWER(Registro!$F444)," ",""),CHAR(10),"|"),";","|"),"+","|"),"|",REPT(" ",LEN(Registro!$F444))),({1,2,3,4,5,6,7,8,9,10,11,12,13,14,15,16,17,18,19,20,21,22,23,24,25,26,27,28,29,30}-1)*LEN(Registro!$F444)+1,LEN(Registro!$F444)))&amp;"x")+1,20))),"Revisar formato")))</f>
        <v/>
      </c>
      <c r="H444" s="21" t="str">
        <f>IF(AND(Registro!$E444="",Registro!$F444=""),"",IF(NOT(AND(ISNUMBER(G444),ISNUMBER(Registro!$G444))),"",IF(G444&lt;Registro!$G444,"FALTA BOLETOS",IF(G444=Registro!$G444,"CONFORME","DIFERENCIA"))))</f>
        <v/>
      </c>
      <c r="I444" s="24" t="str">
        <f>IF(Registro!$H444="","",IFERROR(SUMPRODUCT(--("0"&amp;TRIM(RIGHT(SUBSTITUTE(TRIM(MID(SUBSTITUTE(SUBSTITUTE(Registro!$H444,";",CHAR(10)),CHAR(10),REPT(" ",LEN(Registro!$H444))),({1,2,3,4,5,6,7,8,9,10,11,12,13,14,15,16,17,18,19,20,21,22,23,24,25,26,27,28,29,30}-1)*LEN(Registro!$H444)+1,LEN(Registro!$H444)))," ",REPT(" ",50)),50)))),"Revisar formato"))</f>
        <v/>
      </c>
      <c r="J444" s="24" t="str">
        <f>IF(Registro!$I444="","",IFERROR(SUMPRODUCT(--("0"&amp;TRIM(RIGHT(SUBSTITUTE(TRIM(MID(SUBSTITUTE(SUBSTITUTE(Registro!$I444,";",CHAR(10)),CHAR(10),REPT(" ",LEN(Registro!$I444))),({1,2,3,4,5,6,7,8,9,10,11,12,13,14,15,16,17,18,19,20,21,22,23,24,25,26,27,28,29,30}-1)*LEN(Registro!$I444)+1,LEN(Registro!$I444)))," ",REPT(" ",50)),50)))),"Revisar formato"))</f>
        <v/>
      </c>
      <c r="K444" s="24" t="str">
        <f>IF(AND(Registro!$G444="",Registro!$H444=""),"",IF(AND(ISTEXT(I444),I444&lt;&gt;""),"Revisar formato",N(Registro!$G444)-N(I444)))</f>
        <v/>
      </c>
      <c r="L444" s="24" t="str">
        <f t="shared" si="13"/>
        <v/>
      </c>
      <c r="M444" s="36" t="str">
        <f>IF(AND(A444=Consulta!$B$3,C444=Consulta!$H$3),B444*10000+ROW(),"")</f>
        <v/>
      </c>
    </row>
    <row r="445" spans="1:13" x14ac:dyDescent="0.25">
      <c r="A445" s="21" t="str">
        <f>IF(Registro!$A445="","",Registro!$A445)</f>
        <v/>
      </c>
      <c r="B445" s="20" t="str">
        <f>IF(Registro!$B445="","",Registro!$B445)</f>
        <v/>
      </c>
      <c r="C445" s="35" t="str">
        <f t="shared" si="12"/>
        <v/>
      </c>
      <c r="D445" s="23" t="str">
        <f>IF(Registro!$E445="","",IF(ISERROR(FIND("x",LOWER(Registro!$E445))),"-",IFERROR(SUMPRODUCT(--("0"&amp;LEFT(TRIM(MID(SUBSTITUTE(SUBSTITUTE(SUBSTITUTE(SUBSTITUTE(SUBSTITUTE(LOWER(Registro!$E445),"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",LEN(Registro!$E445))),({1,2,3,4,5,6,7,8,9,10,11,12,13,14,15,16,17,18,19,20,21,22,23,24,25,26,27,28,29,30}-1)*LEN(Registro!$E445)+1,LEN(Registro!$E445))),FIND("x",TRIM(MID(SUBSTITUTE(SUBSTITUTE(SUBSTITUTE(SUBSTITUTE(SUBSTITUTE(LOWER(Registro!$E445),"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",LEN(Registro!$E445))),({1,2,3,4,5,6,7,8,9,10,11,12,13,14,15,16,17,18,19,20,21,22,23,24,25,26,27,28,29,30}-1)*LEN(Registro!$E445)+1,LEN(Registro!$E445)))&amp;"x")-1))),"Revisar formato")))</f>
        <v/>
      </c>
      <c r="E445" s="24" t="str">
        <f>IF(Registro!$E445="","",IF(ISERROR(FIND("x",LOWER(Registro!$E445))),"-",IFERROR(SUMPRODUCT(--("0"&amp;LEFT(TRIM(MID(SUBSTITUTE(SUBSTITUTE(SUBSTITUTE(SUBSTITUTE(SUBSTITUTE(LOWER(Registro!$E445),"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",LEN(Registro!$E445))),({1,2,3,4,5,6,7,8,9,10,11,12,13,14,15,16,17,18,19,20,21,22,23,24,25,26,27,28,29,30}-1)*LEN(Registro!$E445)+1,LEN(Registro!$E445))),FIND("x",TRIM(MID(SUBSTITUTE(SUBSTITUTE(SUBSTITUTE(SUBSTITUTE(SUBSTITUTE(LOWER(Registro!$E445),"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",LEN(Registro!$E445))),({1,2,3,4,5,6,7,8,9,10,11,12,13,14,15,16,17,18,19,20,21,22,23,24,25,26,27,28,29,30}-1)*LEN(Registro!$E445)+1,LEN(Registro!$E445)))&amp;"x")-1)),--("0"&amp;MID(TRIM(MID(SUBSTITUTE(SUBSTITUTE(SUBSTITUTE(SUBSTITUTE(SUBSTITUTE(LOWER(Registro!$E445),"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",LEN(Registro!$E445))),({1,2,3,4,5,6,7,8,9,10,11,12,13,14,15,16,17,18,19,20,21,22,23,24,25,26,27,28,29,30}-1)*LEN(Registro!$E445)+1,LEN(Registro!$E445))),FIND("x",TRIM(MID(SUBSTITUTE(SUBSTITUTE(SUBSTITUTE(SUBSTITUTE(SUBSTITUTE(LOWER(Registro!$E445),"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",LEN(Registro!$E445))),({1,2,3,4,5,6,7,8,9,10,11,12,13,14,15,16,17,18,19,20,21,22,23,24,25,26,27,28,29,30}-1)*LEN(Registro!$E445)+1,LEN(Registro!$E445)))&amp;"x")+1,20))),"Revisar formato")))</f>
        <v/>
      </c>
      <c r="F445" s="23" t="str">
        <f>IF(Registro!$F445="","",IF(ISERROR(FIND("x",LOWER(Registro!$F445))),"-",IFERROR(SUMPRODUCT(--("0"&amp;LEFT(TRIM(MID(SUBSTITUTE(SUBSTITUTE(SUBSTITUTE(SUBSTITUTE(SUBSTITUTE(LOWER(Registro!$F445)," ",""),CHAR(10),"|"),";","|"),"+","|"),"|",REPT(" ",LEN(Registro!$F445))),({1,2,3,4,5,6,7,8,9,10,11,12,13,14,15,16,17,18,19,20,21,22,23,24,25,26,27,28,29,30}-1)*LEN(Registro!$F445)+1,LEN(Registro!$F445))),FIND("x",TRIM(MID(SUBSTITUTE(SUBSTITUTE(SUBSTITUTE(SUBSTITUTE(SUBSTITUTE(LOWER(Registro!$F445)," ",""),CHAR(10),"|"),";","|"),"+","|"),"|",REPT(" ",LEN(Registro!$F445))),({1,2,3,4,5,6,7,8,9,10,11,12,13,14,15,16,17,18,19,20,21,22,23,24,25,26,27,28,29,30}-1)*LEN(Registro!$F445)+1,LEN(Registro!$F445)))&amp;"x")-1))),"Revisar formato")))</f>
        <v/>
      </c>
      <c r="G445" s="24" t="str">
        <f>IF(Registro!$F445="","",IF(ISERROR(FIND("x",LOWER(Registro!$F445))),N(Registro!$G445),IFERROR(SUMPRODUCT(--("0"&amp;LEFT(TRIM(MID(SUBSTITUTE(SUBSTITUTE(SUBSTITUTE(SUBSTITUTE(SUBSTITUTE(LOWER(Registro!$F445)," ",""),CHAR(10),"|"),";","|"),"+","|"),"|",REPT(" ",LEN(Registro!$F445))),({1,2,3,4,5,6,7,8,9,10,11,12,13,14,15,16,17,18,19,20,21,22,23,24,25,26,27,28,29,30}-1)*LEN(Registro!$F445)+1,LEN(Registro!$F445))),FIND("x",TRIM(MID(SUBSTITUTE(SUBSTITUTE(SUBSTITUTE(SUBSTITUTE(SUBSTITUTE(LOWER(Registro!$F445)," ",""),CHAR(10),"|"),";","|"),"+","|"),"|",REPT(" ",LEN(Registro!$F445))),({1,2,3,4,5,6,7,8,9,10,11,12,13,14,15,16,17,18,19,20,21,22,23,24,25,26,27,28,29,30}-1)*LEN(Registro!$F445)+1,LEN(Registro!$F445)))&amp;"x")-1)),--("0"&amp;MID(TRIM(MID(SUBSTITUTE(SUBSTITUTE(SUBSTITUTE(SUBSTITUTE(SUBSTITUTE(LOWER(Registro!$F445)," ",""),CHAR(10),"|"),";","|"),"+","|"),"|",REPT(" ",LEN(Registro!$F445))),({1,2,3,4,5,6,7,8,9,10,11,12,13,14,15,16,17,18,19,20,21,22,23,24,25,26,27,28,29,30}-1)*LEN(Registro!$F445)+1,LEN(Registro!$F445))),FIND("x",TRIM(MID(SUBSTITUTE(SUBSTITUTE(SUBSTITUTE(SUBSTITUTE(SUBSTITUTE(LOWER(Registro!$F445)," ",""),CHAR(10),"|"),";","|"),"+","|"),"|",REPT(" ",LEN(Registro!$F445))),({1,2,3,4,5,6,7,8,9,10,11,12,13,14,15,16,17,18,19,20,21,22,23,24,25,26,27,28,29,30}-1)*LEN(Registro!$F445)+1,LEN(Registro!$F445)))&amp;"x")+1,20))),"Revisar formato")))</f>
        <v/>
      </c>
      <c r="H445" s="21" t="str">
        <f>IF(AND(Registro!$E445="",Registro!$F445=""),"",IF(NOT(AND(ISNUMBER(G445),ISNUMBER(Registro!$G445))),"",IF(G445&lt;Registro!$G445,"FALTA BOLETOS",IF(G445=Registro!$G445,"CONFORME","DIFERENCIA"))))</f>
        <v/>
      </c>
      <c r="I445" s="24" t="str">
        <f>IF(Registro!$H445="","",IFERROR(SUMPRODUCT(--("0"&amp;TRIM(RIGHT(SUBSTITUTE(TRIM(MID(SUBSTITUTE(SUBSTITUTE(Registro!$H445,";",CHAR(10)),CHAR(10),REPT(" ",LEN(Registro!$H445))),({1,2,3,4,5,6,7,8,9,10,11,12,13,14,15,16,17,18,19,20,21,22,23,24,25,26,27,28,29,30}-1)*LEN(Registro!$H445)+1,LEN(Registro!$H445)))," ",REPT(" ",50)),50)))),"Revisar formato"))</f>
        <v/>
      </c>
      <c r="J445" s="24" t="str">
        <f>IF(Registro!$I445="","",IFERROR(SUMPRODUCT(--("0"&amp;TRIM(RIGHT(SUBSTITUTE(TRIM(MID(SUBSTITUTE(SUBSTITUTE(Registro!$I445,";",CHAR(10)),CHAR(10),REPT(" ",LEN(Registro!$I445))),({1,2,3,4,5,6,7,8,9,10,11,12,13,14,15,16,17,18,19,20,21,22,23,24,25,26,27,28,29,30}-1)*LEN(Registro!$I445)+1,LEN(Registro!$I445)))," ",REPT(" ",50)),50)))),"Revisar formato"))</f>
        <v/>
      </c>
      <c r="K445" s="24" t="str">
        <f>IF(AND(Registro!$G445="",Registro!$H445=""),"",IF(AND(ISTEXT(I445),I445&lt;&gt;""),"Revisar formato",N(Registro!$G445)-N(I445)))</f>
        <v/>
      </c>
      <c r="L445" s="24" t="str">
        <f t="shared" si="13"/>
        <v/>
      </c>
      <c r="M445" s="36" t="str">
        <f>IF(AND(A445=Consulta!$B$3,C445=Consulta!$H$3),B445*10000+ROW(),"")</f>
        <v/>
      </c>
    </row>
    <row r="446" spans="1:13" x14ac:dyDescent="0.25">
      <c r="A446" s="21" t="str">
        <f>IF(Registro!$A446="","",Registro!$A446)</f>
        <v/>
      </c>
      <c r="B446" s="20" t="str">
        <f>IF(Registro!$B446="","",Registro!$B446)</f>
        <v/>
      </c>
      <c r="C446" s="35" t="str">
        <f t="shared" si="12"/>
        <v/>
      </c>
      <c r="D446" s="23" t="str">
        <f>IF(Registro!$E446="","",IF(ISERROR(FIND("x",LOWER(Registro!$E446))),"-",IFERROR(SUMPRODUCT(--("0"&amp;LEFT(TRIM(MID(SUBSTITUTE(SUBSTITUTE(SUBSTITUTE(SUBSTITUTE(SUBSTITUTE(LOWER(Registro!$E446),"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",LEN(Registro!$E446))),({1,2,3,4,5,6,7,8,9,10,11,12,13,14,15,16,17,18,19,20,21,22,23,24,25,26,27,28,29,30}-1)*LEN(Registro!$E446)+1,LEN(Registro!$E446))),FIND("x",TRIM(MID(SUBSTITUTE(SUBSTITUTE(SUBSTITUTE(SUBSTITUTE(SUBSTITUTE(LOWER(Registro!$E446),"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",LEN(Registro!$E446))),({1,2,3,4,5,6,7,8,9,10,11,12,13,14,15,16,17,18,19,20,21,22,23,24,25,26,27,28,29,30}-1)*LEN(Registro!$E446)+1,LEN(Registro!$E446)))&amp;"x")-1))),"Revisar formato")))</f>
        <v/>
      </c>
      <c r="E446" s="24" t="str">
        <f>IF(Registro!$E446="","",IF(ISERROR(FIND("x",LOWER(Registro!$E446))),"-",IFERROR(SUMPRODUCT(--("0"&amp;LEFT(TRIM(MID(SUBSTITUTE(SUBSTITUTE(SUBSTITUTE(SUBSTITUTE(SUBSTITUTE(LOWER(Registro!$E446),"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",LEN(Registro!$E446))),({1,2,3,4,5,6,7,8,9,10,11,12,13,14,15,16,17,18,19,20,21,22,23,24,25,26,27,28,29,30}-1)*LEN(Registro!$E446)+1,LEN(Registro!$E446))),FIND("x",TRIM(MID(SUBSTITUTE(SUBSTITUTE(SUBSTITUTE(SUBSTITUTE(SUBSTITUTE(LOWER(Registro!$E446),"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",LEN(Registro!$E446))),({1,2,3,4,5,6,7,8,9,10,11,12,13,14,15,16,17,18,19,20,21,22,23,24,25,26,27,28,29,30}-1)*LEN(Registro!$E446)+1,LEN(Registro!$E446)))&amp;"x")-1)),--("0"&amp;MID(TRIM(MID(SUBSTITUTE(SUBSTITUTE(SUBSTITUTE(SUBSTITUTE(SUBSTITUTE(LOWER(Registro!$E446),"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",LEN(Registro!$E446))),({1,2,3,4,5,6,7,8,9,10,11,12,13,14,15,16,17,18,19,20,21,22,23,24,25,26,27,28,29,30}-1)*LEN(Registro!$E446)+1,LEN(Registro!$E446))),FIND("x",TRIM(MID(SUBSTITUTE(SUBSTITUTE(SUBSTITUTE(SUBSTITUTE(SUBSTITUTE(LOWER(Registro!$E446),"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",LEN(Registro!$E446))),({1,2,3,4,5,6,7,8,9,10,11,12,13,14,15,16,17,18,19,20,21,22,23,24,25,26,27,28,29,30}-1)*LEN(Registro!$E446)+1,LEN(Registro!$E446)))&amp;"x")+1,20))),"Revisar formato")))</f>
        <v/>
      </c>
      <c r="F446" s="23" t="str">
        <f>IF(Registro!$F446="","",IF(ISERROR(FIND("x",LOWER(Registro!$F446))),"-",IFERROR(SUMPRODUCT(--("0"&amp;LEFT(TRIM(MID(SUBSTITUTE(SUBSTITUTE(SUBSTITUTE(SUBSTITUTE(SUBSTITUTE(LOWER(Registro!$F446)," ",""),CHAR(10),"|"),";","|"),"+","|"),"|",REPT(" ",LEN(Registro!$F446))),({1,2,3,4,5,6,7,8,9,10,11,12,13,14,15,16,17,18,19,20,21,22,23,24,25,26,27,28,29,30}-1)*LEN(Registro!$F446)+1,LEN(Registro!$F446))),FIND("x",TRIM(MID(SUBSTITUTE(SUBSTITUTE(SUBSTITUTE(SUBSTITUTE(SUBSTITUTE(LOWER(Registro!$F446)," ",""),CHAR(10),"|"),";","|"),"+","|"),"|",REPT(" ",LEN(Registro!$F446))),({1,2,3,4,5,6,7,8,9,10,11,12,13,14,15,16,17,18,19,20,21,22,23,24,25,26,27,28,29,30}-1)*LEN(Registro!$F446)+1,LEN(Registro!$F446)))&amp;"x")-1))),"Revisar formato")))</f>
        <v/>
      </c>
      <c r="G446" s="24" t="str">
        <f>IF(Registro!$F446="","",IF(ISERROR(FIND("x",LOWER(Registro!$F446))),N(Registro!$G446),IFERROR(SUMPRODUCT(--("0"&amp;LEFT(TRIM(MID(SUBSTITUTE(SUBSTITUTE(SUBSTITUTE(SUBSTITUTE(SUBSTITUTE(LOWER(Registro!$F446)," ",""),CHAR(10),"|"),";","|"),"+","|"),"|",REPT(" ",LEN(Registro!$F446))),({1,2,3,4,5,6,7,8,9,10,11,12,13,14,15,16,17,18,19,20,21,22,23,24,25,26,27,28,29,30}-1)*LEN(Registro!$F446)+1,LEN(Registro!$F446))),FIND("x",TRIM(MID(SUBSTITUTE(SUBSTITUTE(SUBSTITUTE(SUBSTITUTE(SUBSTITUTE(LOWER(Registro!$F446)," ",""),CHAR(10),"|"),";","|"),"+","|"),"|",REPT(" ",LEN(Registro!$F446))),({1,2,3,4,5,6,7,8,9,10,11,12,13,14,15,16,17,18,19,20,21,22,23,24,25,26,27,28,29,30}-1)*LEN(Registro!$F446)+1,LEN(Registro!$F446)))&amp;"x")-1)),--("0"&amp;MID(TRIM(MID(SUBSTITUTE(SUBSTITUTE(SUBSTITUTE(SUBSTITUTE(SUBSTITUTE(LOWER(Registro!$F446)," ",""),CHAR(10),"|"),";","|"),"+","|"),"|",REPT(" ",LEN(Registro!$F446))),({1,2,3,4,5,6,7,8,9,10,11,12,13,14,15,16,17,18,19,20,21,22,23,24,25,26,27,28,29,30}-1)*LEN(Registro!$F446)+1,LEN(Registro!$F446))),FIND("x",TRIM(MID(SUBSTITUTE(SUBSTITUTE(SUBSTITUTE(SUBSTITUTE(SUBSTITUTE(LOWER(Registro!$F446)," ",""),CHAR(10),"|"),";","|"),"+","|"),"|",REPT(" ",LEN(Registro!$F446))),({1,2,3,4,5,6,7,8,9,10,11,12,13,14,15,16,17,18,19,20,21,22,23,24,25,26,27,28,29,30}-1)*LEN(Registro!$F446)+1,LEN(Registro!$F446)))&amp;"x")+1,20))),"Revisar formato")))</f>
        <v/>
      </c>
      <c r="H446" s="21" t="str">
        <f>IF(AND(Registro!$E446="",Registro!$F446=""),"",IF(NOT(AND(ISNUMBER(G446),ISNUMBER(Registro!$G446))),"",IF(G446&lt;Registro!$G446,"FALTA BOLETOS",IF(G446=Registro!$G446,"CONFORME","DIFERENCIA"))))</f>
        <v/>
      </c>
      <c r="I446" s="24" t="str">
        <f>IF(Registro!$H446="","",IFERROR(SUMPRODUCT(--("0"&amp;TRIM(RIGHT(SUBSTITUTE(TRIM(MID(SUBSTITUTE(SUBSTITUTE(Registro!$H446,";",CHAR(10)),CHAR(10),REPT(" ",LEN(Registro!$H446))),({1,2,3,4,5,6,7,8,9,10,11,12,13,14,15,16,17,18,19,20,21,22,23,24,25,26,27,28,29,30}-1)*LEN(Registro!$H446)+1,LEN(Registro!$H446)))," ",REPT(" ",50)),50)))),"Revisar formato"))</f>
        <v/>
      </c>
      <c r="J446" s="24" t="str">
        <f>IF(Registro!$I446="","",IFERROR(SUMPRODUCT(--("0"&amp;TRIM(RIGHT(SUBSTITUTE(TRIM(MID(SUBSTITUTE(SUBSTITUTE(Registro!$I446,";",CHAR(10)),CHAR(10),REPT(" ",LEN(Registro!$I446))),({1,2,3,4,5,6,7,8,9,10,11,12,13,14,15,16,17,18,19,20,21,22,23,24,25,26,27,28,29,30}-1)*LEN(Registro!$I446)+1,LEN(Registro!$I446)))," ",REPT(" ",50)),50)))),"Revisar formato"))</f>
        <v/>
      </c>
      <c r="K446" s="24" t="str">
        <f>IF(AND(Registro!$G446="",Registro!$H446=""),"",IF(AND(ISTEXT(I446),I446&lt;&gt;""),"Revisar formato",N(Registro!$G446)-N(I446)))</f>
        <v/>
      </c>
      <c r="L446" s="24" t="str">
        <f t="shared" si="13"/>
        <v/>
      </c>
      <c r="M446" s="36" t="str">
        <f>IF(AND(A446=Consulta!$B$3,C446=Consulta!$H$3),B446*10000+ROW(),"")</f>
        <v/>
      </c>
    </row>
    <row r="447" spans="1:13" x14ac:dyDescent="0.25">
      <c r="A447" s="21" t="str">
        <f>IF(Registro!$A447="","",Registro!$A447)</f>
        <v/>
      </c>
      <c r="B447" s="20" t="str">
        <f>IF(Registro!$B447="","",Registro!$B447)</f>
        <v/>
      </c>
      <c r="C447" s="35" t="str">
        <f t="shared" si="12"/>
        <v/>
      </c>
      <c r="D447" s="23" t="str">
        <f>IF(Registro!$E447="","",IF(ISERROR(FIND("x",LOWER(Registro!$E447))),"-",IFERROR(SUMPRODUCT(--("0"&amp;LEFT(TRIM(MID(SUBSTITUTE(SUBSTITUTE(SUBSTITUTE(SUBSTITUTE(SUBSTITUTE(LOWER(Registro!$E447),"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",LEN(Registro!$E447))),({1,2,3,4,5,6,7,8,9,10,11,12,13,14,15,16,17,18,19,20,21,22,23,24,25,26,27,28,29,30}-1)*LEN(Registro!$E447)+1,LEN(Registro!$E447))),FIND("x",TRIM(MID(SUBSTITUTE(SUBSTITUTE(SUBSTITUTE(SUBSTITUTE(SUBSTITUTE(LOWER(Registro!$E447),"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",LEN(Registro!$E447))),({1,2,3,4,5,6,7,8,9,10,11,12,13,14,15,16,17,18,19,20,21,22,23,24,25,26,27,28,29,30}-1)*LEN(Registro!$E447)+1,LEN(Registro!$E447)))&amp;"x")-1))),"Revisar formato")))</f>
        <v/>
      </c>
      <c r="E447" s="24" t="str">
        <f>IF(Registro!$E447="","",IF(ISERROR(FIND("x",LOWER(Registro!$E447))),"-",IFERROR(SUMPRODUCT(--("0"&amp;LEFT(TRIM(MID(SUBSTITUTE(SUBSTITUTE(SUBSTITUTE(SUBSTITUTE(SUBSTITUTE(LOWER(Registro!$E447),"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",LEN(Registro!$E447))),({1,2,3,4,5,6,7,8,9,10,11,12,13,14,15,16,17,18,19,20,21,22,23,24,25,26,27,28,29,30}-1)*LEN(Registro!$E447)+1,LEN(Registro!$E447))),FIND("x",TRIM(MID(SUBSTITUTE(SUBSTITUTE(SUBSTITUTE(SUBSTITUTE(SUBSTITUTE(LOWER(Registro!$E447),"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",LEN(Registro!$E447))),({1,2,3,4,5,6,7,8,9,10,11,12,13,14,15,16,17,18,19,20,21,22,23,24,25,26,27,28,29,30}-1)*LEN(Registro!$E447)+1,LEN(Registro!$E447)))&amp;"x")-1)),--("0"&amp;MID(TRIM(MID(SUBSTITUTE(SUBSTITUTE(SUBSTITUTE(SUBSTITUTE(SUBSTITUTE(LOWER(Registro!$E447),"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",LEN(Registro!$E447))),({1,2,3,4,5,6,7,8,9,10,11,12,13,14,15,16,17,18,19,20,21,22,23,24,25,26,27,28,29,30}-1)*LEN(Registro!$E447)+1,LEN(Registro!$E447))),FIND("x",TRIM(MID(SUBSTITUTE(SUBSTITUTE(SUBSTITUTE(SUBSTITUTE(SUBSTITUTE(LOWER(Registro!$E447),"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",LEN(Registro!$E447))),({1,2,3,4,5,6,7,8,9,10,11,12,13,14,15,16,17,18,19,20,21,22,23,24,25,26,27,28,29,30}-1)*LEN(Registro!$E447)+1,LEN(Registro!$E447)))&amp;"x")+1,20))),"Revisar formato")))</f>
        <v/>
      </c>
      <c r="F447" s="23" t="str">
        <f>IF(Registro!$F447="","",IF(ISERROR(FIND("x",LOWER(Registro!$F447))),"-",IFERROR(SUMPRODUCT(--("0"&amp;LEFT(TRIM(MID(SUBSTITUTE(SUBSTITUTE(SUBSTITUTE(SUBSTITUTE(SUBSTITUTE(LOWER(Registro!$F447)," ",""),CHAR(10),"|"),";","|"),"+","|"),"|",REPT(" ",LEN(Registro!$F447))),({1,2,3,4,5,6,7,8,9,10,11,12,13,14,15,16,17,18,19,20,21,22,23,24,25,26,27,28,29,30}-1)*LEN(Registro!$F447)+1,LEN(Registro!$F447))),FIND("x",TRIM(MID(SUBSTITUTE(SUBSTITUTE(SUBSTITUTE(SUBSTITUTE(SUBSTITUTE(LOWER(Registro!$F447)," ",""),CHAR(10),"|"),";","|"),"+","|"),"|",REPT(" ",LEN(Registro!$F447))),({1,2,3,4,5,6,7,8,9,10,11,12,13,14,15,16,17,18,19,20,21,22,23,24,25,26,27,28,29,30}-1)*LEN(Registro!$F447)+1,LEN(Registro!$F447)))&amp;"x")-1))),"Revisar formato")))</f>
        <v/>
      </c>
      <c r="G447" s="24" t="str">
        <f>IF(Registro!$F447="","",IF(ISERROR(FIND("x",LOWER(Registro!$F447))),N(Registro!$G447),IFERROR(SUMPRODUCT(--("0"&amp;LEFT(TRIM(MID(SUBSTITUTE(SUBSTITUTE(SUBSTITUTE(SUBSTITUTE(SUBSTITUTE(LOWER(Registro!$F447)," ",""),CHAR(10),"|"),";","|"),"+","|"),"|",REPT(" ",LEN(Registro!$F447))),({1,2,3,4,5,6,7,8,9,10,11,12,13,14,15,16,17,18,19,20,21,22,23,24,25,26,27,28,29,30}-1)*LEN(Registro!$F447)+1,LEN(Registro!$F447))),FIND("x",TRIM(MID(SUBSTITUTE(SUBSTITUTE(SUBSTITUTE(SUBSTITUTE(SUBSTITUTE(LOWER(Registro!$F447)," ",""),CHAR(10),"|"),";","|"),"+","|"),"|",REPT(" ",LEN(Registro!$F447))),({1,2,3,4,5,6,7,8,9,10,11,12,13,14,15,16,17,18,19,20,21,22,23,24,25,26,27,28,29,30}-1)*LEN(Registro!$F447)+1,LEN(Registro!$F447)))&amp;"x")-1)),--("0"&amp;MID(TRIM(MID(SUBSTITUTE(SUBSTITUTE(SUBSTITUTE(SUBSTITUTE(SUBSTITUTE(LOWER(Registro!$F447)," ",""),CHAR(10),"|"),";","|"),"+","|"),"|",REPT(" ",LEN(Registro!$F447))),({1,2,3,4,5,6,7,8,9,10,11,12,13,14,15,16,17,18,19,20,21,22,23,24,25,26,27,28,29,30}-1)*LEN(Registro!$F447)+1,LEN(Registro!$F447))),FIND("x",TRIM(MID(SUBSTITUTE(SUBSTITUTE(SUBSTITUTE(SUBSTITUTE(SUBSTITUTE(LOWER(Registro!$F447)," ",""),CHAR(10),"|"),";","|"),"+","|"),"|",REPT(" ",LEN(Registro!$F447))),({1,2,3,4,5,6,7,8,9,10,11,12,13,14,15,16,17,18,19,20,21,22,23,24,25,26,27,28,29,30}-1)*LEN(Registro!$F447)+1,LEN(Registro!$F447)))&amp;"x")+1,20))),"Revisar formato")))</f>
        <v/>
      </c>
      <c r="H447" s="21" t="str">
        <f>IF(AND(Registro!$E447="",Registro!$F447=""),"",IF(NOT(AND(ISNUMBER(G447),ISNUMBER(Registro!$G447))),"",IF(G447&lt;Registro!$G447,"FALTA BOLETOS",IF(G447=Registro!$G447,"CONFORME","DIFERENCIA"))))</f>
        <v/>
      </c>
      <c r="I447" s="24" t="str">
        <f>IF(Registro!$H447="","",IFERROR(SUMPRODUCT(--("0"&amp;TRIM(RIGHT(SUBSTITUTE(TRIM(MID(SUBSTITUTE(SUBSTITUTE(Registro!$H447,";",CHAR(10)),CHAR(10),REPT(" ",LEN(Registro!$H447))),({1,2,3,4,5,6,7,8,9,10,11,12,13,14,15,16,17,18,19,20,21,22,23,24,25,26,27,28,29,30}-1)*LEN(Registro!$H447)+1,LEN(Registro!$H447)))," ",REPT(" ",50)),50)))),"Revisar formato"))</f>
        <v/>
      </c>
      <c r="J447" s="24" t="str">
        <f>IF(Registro!$I447="","",IFERROR(SUMPRODUCT(--("0"&amp;TRIM(RIGHT(SUBSTITUTE(TRIM(MID(SUBSTITUTE(SUBSTITUTE(Registro!$I447,";",CHAR(10)),CHAR(10),REPT(" ",LEN(Registro!$I447))),({1,2,3,4,5,6,7,8,9,10,11,12,13,14,15,16,17,18,19,20,21,22,23,24,25,26,27,28,29,30}-1)*LEN(Registro!$I447)+1,LEN(Registro!$I447)))," ",REPT(" ",50)),50)))),"Revisar formato"))</f>
        <v/>
      </c>
      <c r="K447" s="24" t="str">
        <f>IF(AND(Registro!$G447="",Registro!$H447=""),"",IF(AND(ISTEXT(I447),I447&lt;&gt;""),"Revisar formato",N(Registro!$G447)-N(I447)))</f>
        <v/>
      </c>
      <c r="L447" s="24" t="str">
        <f t="shared" si="13"/>
        <v/>
      </c>
      <c r="M447" s="36" t="str">
        <f>IF(AND(A447=Consulta!$B$3,C447=Consulta!$H$3),B447*10000+ROW(),"")</f>
        <v/>
      </c>
    </row>
    <row r="448" spans="1:13" x14ac:dyDescent="0.25">
      <c r="A448" s="21" t="str">
        <f>IF(Registro!$A448="","",Registro!$A448)</f>
        <v/>
      </c>
      <c r="B448" s="20" t="str">
        <f>IF(Registro!$B448="","",Registro!$B448)</f>
        <v/>
      </c>
      <c r="C448" s="35" t="str">
        <f t="shared" si="12"/>
        <v/>
      </c>
      <c r="D448" s="23" t="str">
        <f>IF(Registro!$E448="","",IF(ISERROR(FIND("x",LOWER(Registro!$E448))),"-",IFERROR(SUMPRODUCT(--("0"&amp;LEFT(TRIM(MID(SUBSTITUTE(SUBSTITUTE(SUBSTITUTE(SUBSTITUTE(SUBSTITUTE(LOWER(Registro!$E448),"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",LEN(Registro!$E448))),({1,2,3,4,5,6,7,8,9,10,11,12,13,14,15,16,17,18,19,20,21,22,23,24,25,26,27,28,29,30}-1)*LEN(Registro!$E448)+1,LEN(Registro!$E448))),FIND("x",TRIM(MID(SUBSTITUTE(SUBSTITUTE(SUBSTITUTE(SUBSTITUTE(SUBSTITUTE(LOWER(Registro!$E448),"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",LEN(Registro!$E448))),({1,2,3,4,5,6,7,8,9,10,11,12,13,14,15,16,17,18,19,20,21,22,23,24,25,26,27,28,29,30}-1)*LEN(Registro!$E448)+1,LEN(Registro!$E448)))&amp;"x")-1))),"Revisar formato")))</f>
        <v/>
      </c>
      <c r="E448" s="24" t="str">
        <f>IF(Registro!$E448="","",IF(ISERROR(FIND("x",LOWER(Registro!$E448))),"-",IFERROR(SUMPRODUCT(--("0"&amp;LEFT(TRIM(MID(SUBSTITUTE(SUBSTITUTE(SUBSTITUTE(SUBSTITUTE(SUBSTITUTE(LOWER(Registro!$E448),"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",LEN(Registro!$E448))),({1,2,3,4,5,6,7,8,9,10,11,12,13,14,15,16,17,18,19,20,21,22,23,24,25,26,27,28,29,30}-1)*LEN(Registro!$E448)+1,LEN(Registro!$E448))),FIND("x",TRIM(MID(SUBSTITUTE(SUBSTITUTE(SUBSTITUTE(SUBSTITUTE(SUBSTITUTE(LOWER(Registro!$E448),"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",LEN(Registro!$E448))),({1,2,3,4,5,6,7,8,9,10,11,12,13,14,15,16,17,18,19,20,21,22,23,24,25,26,27,28,29,30}-1)*LEN(Registro!$E448)+1,LEN(Registro!$E448)))&amp;"x")-1)),--("0"&amp;MID(TRIM(MID(SUBSTITUTE(SUBSTITUTE(SUBSTITUTE(SUBSTITUTE(SUBSTITUTE(LOWER(Registro!$E448),"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",LEN(Registro!$E448))),({1,2,3,4,5,6,7,8,9,10,11,12,13,14,15,16,17,18,19,20,21,22,23,24,25,26,27,28,29,30}-1)*LEN(Registro!$E448)+1,LEN(Registro!$E448))),FIND("x",TRIM(MID(SUBSTITUTE(SUBSTITUTE(SUBSTITUTE(SUBSTITUTE(SUBSTITUTE(LOWER(Registro!$E448),"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",LEN(Registro!$E448))),({1,2,3,4,5,6,7,8,9,10,11,12,13,14,15,16,17,18,19,20,21,22,23,24,25,26,27,28,29,30}-1)*LEN(Registro!$E448)+1,LEN(Registro!$E448)))&amp;"x")+1,20))),"Revisar formato")))</f>
        <v/>
      </c>
      <c r="F448" s="23" t="str">
        <f>IF(Registro!$F448="","",IF(ISERROR(FIND("x",LOWER(Registro!$F448))),"-",IFERROR(SUMPRODUCT(--("0"&amp;LEFT(TRIM(MID(SUBSTITUTE(SUBSTITUTE(SUBSTITUTE(SUBSTITUTE(SUBSTITUTE(LOWER(Registro!$F448)," ",""),CHAR(10),"|"),";","|"),"+","|"),"|",REPT(" ",LEN(Registro!$F448))),({1,2,3,4,5,6,7,8,9,10,11,12,13,14,15,16,17,18,19,20,21,22,23,24,25,26,27,28,29,30}-1)*LEN(Registro!$F448)+1,LEN(Registro!$F448))),FIND("x",TRIM(MID(SUBSTITUTE(SUBSTITUTE(SUBSTITUTE(SUBSTITUTE(SUBSTITUTE(LOWER(Registro!$F448)," ",""),CHAR(10),"|"),";","|"),"+","|"),"|",REPT(" ",LEN(Registro!$F448))),({1,2,3,4,5,6,7,8,9,10,11,12,13,14,15,16,17,18,19,20,21,22,23,24,25,26,27,28,29,30}-1)*LEN(Registro!$F448)+1,LEN(Registro!$F448)))&amp;"x")-1))),"Revisar formato")))</f>
        <v/>
      </c>
      <c r="G448" s="24" t="str">
        <f>IF(Registro!$F448="","",IF(ISERROR(FIND("x",LOWER(Registro!$F448))),N(Registro!$G448),IFERROR(SUMPRODUCT(--("0"&amp;LEFT(TRIM(MID(SUBSTITUTE(SUBSTITUTE(SUBSTITUTE(SUBSTITUTE(SUBSTITUTE(LOWER(Registro!$F448)," ",""),CHAR(10),"|"),";","|"),"+","|"),"|",REPT(" ",LEN(Registro!$F448))),({1,2,3,4,5,6,7,8,9,10,11,12,13,14,15,16,17,18,19,20,21,22,23,24,25,26,27,28,29,30}-1)*LEN(Registro!$F448)+1,LEN(Registro!$F448))),FIND("x",TRIM(MID(SUBSTITUTE(SUBSTITUTE(SUBSTITUTE(SUBSTITUTE(SUBSTITUTE(LOWER(Registro!$F448)," ",""),CHAR(10),"|"),";","|"),"+","|"),"|",REPT(" ",LEN(Registro!$F448))),({1,2,3,4,5,6,7,8,9,10,11,12,13,14,15,16,17,18,19,20,21,22,23,24,25,26,27,28,29,30}-1)*LEN(Registro!$F448)+1,LEN(Registro!$F448)))&amp;"x")-1)),--("0"&amp;MID(TRIM(MID(SUBSTITUTE(SUBSTITUTE(SUBSTITUTE(SUBSTITUTE(SUBSTITUTE(LOWER(Registro!$F448)," ",""),CHAR(10),"|"),";","|"),"+","|"),"|",REPT(" ",LEN(Registro!$F448))),({1,2,3,4,5,6,7,8,9,10,11,12,13,14,15,16,17,18,19,20,21,22,23,24,25,26,27,28,29,30}-1)*LEN(Registro!$F448)+1,LEN(Registro!$F448))),FIND("x",TRIM(MID(SUBSTITUTE(SUBSTITUTE(SUBSTITUTE(SUBSTITUTE(SUBSTITUTE(LOWER(Registro!$F448)," ",""),CHAR(10),"|"),";","|"),"+","|"),"|",REPT(" ",LEN(Registro!$F448))),({1,2,3,4,5,6,7,8,9,10,11,12,13,14,15,16,17,18,19,20,21,22,23,24,25,26,27,28,29,30}-1)*LEN(Registro!$F448)+1,LEN(Registro!$F448)))&amp;"x")+1,20))),"Revisar formato")))</f>
        <v/>
      </c>
      <c r="H448" s="21" t="str">
        <f>IF(AND(Registro!$E448="",Registro!$F448=""),"",IF(NOT(AND(ISNUMBER(G448),ISNUMBER(Registro!$G448))),"",IF(G448&lt;Registro!$G448,"FALTA BOLETOS",IF(G448=Registro!$G448,"CONFORME","DIFERENCIA"))))</f>
        <v/>
      </c>
      <c r="I448" s="24" t="str">
        <f>IF(Registro!$H448="","",IFERROR(SUMPRODUCT(--("0"&amp;TRIM(RIGHT(SUBSTITUTE(TRIM(MID(SUBSTITUTE(SUBSTITUTE(Registro!$H448,";",CHAR(10)),CHAR(10),REPT(" ",LEN(Registro!$H448))),({1,2,3,4,5,6,7,8,9,10,11,12,13,14,15,16,17,18,19,20,21,22,23,24,25,26,27,28,29,30}-1)*LEN(Registro!$H448)+1,LEN(Registro!$H448)))," ",REPT(" ",50)),50)))),"Revisar formato"))</f>
        <v/>
      </c>
      <c r="J448" s="24" t="str">
        <f>IF(Registro!$I448="","",IFERROR(SUMPRODUCT(--("0"&amp;TRIM(RIGHT(SUBSTITUTE(TRIM(MID(SUBSTITUTE(SUBSTITUTE(Registro!$I448,";",CHAR(10)),CHAR(10),REPT(" ",LEN(Registro!$I448))),({1,2,3,4,5,6,7,8,9,10,11,12,13,14,15,16,17,18,19,20,21,22,23,24,25,26,27,28,29,30}-1)*LEN(Registro!$I448)+1,LEN(Registro!$I448)))," ",REPT(" ",50)),50)))),"Revisar formato"))</f>
        <v/>
      </c>
      <c r="K448" s="24" t="str">
        <f>IF(AND(Registro!$G448="",Registro!$H448=""),"",IF(AND(ISTEXT(I448),I448&lt;&gt;""),"Revisar formato",N(Registro!$G448)-N(I448)))</f>
        <v/>
      </c>
      <c r="L448" s="24" t="str">
        <f t="shared" si="13"/>
        <v/>
      </c>
      <c r="M448" s="36" t="str">
        <f>IF(AND(A448=Consulta!$B$3,C448=Consulta!$H$3),B448*10000+ROW(),"")</f>
        <v/>
      </c>
    </row>
    <row r="449" spans="1:13" x14ac:dyDescent="0.25">
      <c r="A449" s="21" t="str">
        <f>IF(Registro!$A449="","",Registro!$A449)</f>
        <v/>
      </c>
      <c r="B449" s="20" t="str">
        <f>IF(Registro!$B449="","",Registro!$B449)</f>
        <v/>
      </c>
      <c r="C449" s="35" t="str">
        <f t="shared" si="12"/>
        <v/>
      </c>
      <c r="D449" s="23" t="str">
        <f>IF(Registro!$E449="","",IF(ISERROR(FIND("x",LOWER(Registro!$E449))),"-",IFERROR(SUMPRODUCT(--("0"&amp;LEFT(TRIM(MID(SUBSTITUTE(SUBSTITUTE(SUBSTITUTE(SUBSTITUTE(SUBSTITUTE(LOWER(Registro!$E449),"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",LEN(Registro!$E449))),({1,2,3,4,5,6,7,8,9,10,11,12,13,14,15,16,17,18,19,20,21,22,23,24,25,26,27,28,29,30}-1)*LEN(Registro!$E449)+1,LEN(Registro!$E449))),FIND("x",TRIM(MID(SUBSTITUTE(SUBSTITUTE(SUBSTITUTE(SUBSTITUTE(SUBSTITUTE(LOWER(Registro!$E449),"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",LEN(Registro!$E449))),({1,2,3,4,5,6,7,8,9,10,11,12,13,14,15,16,17,18,19,20,21,22,23,24,25,26,27,28,29,30}-1)*LEN(Registro!$E449)+1,LEN(Registro!$E449)))&amp;"x")-1))),"Revisar formato")))</f>
        <v/>
      </c>
      <c r="E449" s="24" t="str">
        <f>IF(Registro!$E449="","",IF(ISERROR(FIND("x",LOWER(Registro!$E449))),"-",IFERROR(SUMPRODUCT(--("0"&amp;LEFT(TRIM(MID(SUBSTITUTE(SUBSTITUTE(SUBSTITUTE(SUBSTITUTE(SUBSTITUTE(LOWER(Registro!$E449),"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",LEN(Registro!$E449))),({1,2,3,4,5,6,7,8,9,10,11,12,13,14,15,16,17,18,19,20,21,22,23,24,25,26,27,28,29,30}-1)*LEN(Registro!$E449)+1,LEN(Registro!$E449))),FIND("x",TRIM(MID(SUBSTITUTE(SUBSTITUTE(SUBSTITUTE(SUBSTITUTE(SUBSTITUTE(LOWER(Registro!$E449),"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",LEN(Registro!$E449))),({1,2,3,4,5,6,7,8,9,10,11,12,13,14,15,16,17,18,19,20,21,22,23,24,25,26,27,28,29,30}-1)*LEN(Registro!$E449)+1,LEN(Registro!$E449)))&amp;"x")-1)),--("0"&amp;MID(TRIM(MID(SUBSTITUTE(SUBSTITUTE(SUBSTITUTE(SUBSTITUTE(SUBSTITUTE(LOWER(Registro!$E449),"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",LEN(Registro!$E449))),({1,2,3,4,5,6,7,8,9,10,11,12,13,14,15,16,17,18,19,20,21,22,23,24,25,26,27,28,29,30}-1)*LEN(Registro!$E449)+1,LEN(Registro!$E449))),FIND("x",TRIM(MID(SUBSTITUTE(SUBSTITUTE(SUBSTITUTE(SUBSTITUTE(SUBSTITUTE(LOWER(Registro!$E449),"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",LEN(Registro!$E449))),({1,2,3,4,5,6,7,8,9,10,11,12,13,14,15,16,17,18,19,20,21,22,23,24,25,26,27,28,29,30}-1)*LEN(Registro!$E449)+1,LEN(Registro!$E449)))&amp;"x")+1,20))),"Revisar formato")))</f>
        <v/>
      </c>
      <c r="F449" s="23" t="str">
        <f>IF(Registro!$F449="","",IF(ISERROR(FIND("x",LOWER(Registro!$F449))),"-",IFERROR(SUMPRODUCT(--("0"&amp;LEFT(TRIM(MID(SUBSTITUTE(SUBSTITUTE(SUBSTITUTE(SUBSTITUTE(SUBSTITUTE(LOWER(Registro!$F449)," ",""),CHAR(10),"|"),";","|"),"+","|"),"|",REPT(" ",LEN(Registro!$F449))),({1,2,3,4,5,6,7,8,9,10,11,12,13,14,15,16,17,18,19,20,21,22,23,24,25,26,27,28,29,30}-1)*LEN(Registro!$F449)+1,LEN(Registro!$F449))),FIND("x",TRIM(MID(SUBSTITUTE(SUBSTITUTE(SUBSTITUTE(SUBSTITUTE(SUBSTITUTE(LOWER(Registro!$F449)," ",""),CHAR(10),"|"),";","|"),"+","|"),"|",REPT(" ",LEN(Registro!$F449))),({1,2,3,4,5,6,7,8,9,10,11,12,13,14,15,16,17,18,19,20,21,22,23,24,25,26,27,28,29,30}-1)*LEN(Registro!$F449)+1,LEN(Registro!$F449)))&amp;"x")-1))),"Revisar formato")))</f>
        <v/>
      </c>
      <c r="G449" s="24" t="str">
        <f>IF(Registro!$F449="","",IF(ISERROR(FIND("x",LOWER(Registro!$F449))),N(Registro!$G449),IFERROR(SUMPRODUCT(--("0"&amp;LEFT(TRIM(MID(SUBSTITUTE(SUBSTITUTE(SUBSTITUTE(SUBSTITUTE(SUBSTITUTE(LOWER(Registro!$F449)," ",""),CHAR(10),"|"),";","|"),"+","|"),"|",REPT(" ",LEN(Registro!$F449))),({1,2,3,4,5,6,7,8,9,10,11,12,13,14,15,16,17,18,19,20,21,22,23,24,25,26,27,28,29,30}-1)*LEN(Registro!$F449)+1,LEN(Registro!$F449))),FIND("x",TRIM(MID(SUBSTITUTE(SUBSTITUTE(SUBSTITUTE(SUBSTITUTE(SUBSTITUTE(LOWER(Registro!$F449)," ",""),CHAR(10),"|"),";","|"),"+","|"),"|",REPT(" ",LEN(Registro!$F449))),({1,2,3,4,5,6,7,8,9,10,11,12,13,14,15,16,17,18,19,20,21,22,23,24,25,26,27,28,29,30}-1)*LEN(Registro!$F449)+1,LEN(Registro!$F449)))&amp;"x")-1)),--("0"&amp;MID(TRIM(MID(SUBSTITUTE(SUBSTITUTE(SUBSTITUTE(SUBSTITUTE(SUBSTITUTE(LOWER(Registro!$F449)," ",""),CHAR(10),"|"),";","|"),"+","|"),"|",REPT(" ",LEN(Registro!$F449))),({1,2,3,4,5,6,7,8,9,10,11,12,13,14,15,16,17,18,19,20,21,22,23,24,25,26,27,28,29,30}-1)*LEN(Registro!$F449)+1,LEN(Registro!$F449))),FIND("x",TRIM(MID(SUBSTITUTE(SUBSTITUTE(SUBSTITUTE(SUBSTITUTE(SUBSTITUTE(LOWER(Registro!$F449)," ",""),CHAR(10),"|"),";","|"),"+","|"),"|",REPT(" ",LEN(Registro!$F449))),({1,2,3,4,5,6,7,8,9,10,11,12,13,14,15,16,17,18,19,20,21,22,23,24,25,26,27,28,29,30}-1)*LEN(Registro!$F449)+1,LEN(Registro!$F449)))&amp;"x")+1,20))),"Revisar formato")))</f>
        <v/>
      </c>
      <c r="H449" s="21" t="str">
        <f>IF(AND(Registro!$E449="",Registro!$F449=""),"",IF(NOT(AND(ISNUMBER(G449),ISNUMBER(Registro!$G449))),"",IF(G449&lt;Registro!$G449,"FALTA BOLETOS",IF(G449=Registro!$G449,"CONFORME","DIFERENCIA"))))</f>
        <v/>
      </c>
      <c r="I449" s="24" t="str">
        <f>IF(Registro!$H449="","",IFERROR(SUMPRODUCT(--("0"&amp;TRIM(RIGHT(SUBSTITUTE(TRIM(MID(SUBSTITUTE(SUBSTITUTE(Registro!$H449,";",CHAR(10)),CHAR(10),REPT(" ",LEN(Registro!$H449))),({1,2,3,4,5,6,7,8,9,10,11,12,13,14,15,16,17,18,19,20,21,22,23,24,25,26,27,28,29,30}-1)*LEN(Registro!$H449)+1,LEN(Registro!$H449)))," ",REPT(" ",50)),50)))),"Revisar formato"))</f>
        <v/>
      </c>
      <c r="J449" s="24" t="str">
        <f>IF(Registro!$I449="","",IFERROR(SUMPRODUCT(--("0"&amp;TRIM(RIGHT(SUBSTITUTE(TRIM(MID(SUBSTITUTE(SUBSTITUTE(Registro!$I449,";",CHAR(10)),CHAR(10),REPT(" ",LEN(Registro!$I449))),({1,2,3,4,5,6,7,8,9,10,11,12,13,14,15,16,17,18,19,20,21,22,23,24,25,26,27,28,29,30}-1)*LEN(Registro!$I449)+1,LEN(Registro!$I449)))," ",REPT(" ",50)),50)))),"Revisar formato"))</f>
        <v/>
      </c>
      <c r="K449" s="24" t="str">
        <f>IF(AND(Registro!$G449="",Registro!$H449=""),"",IF(AND(ISTEXT(I449),I449&lt;&gt;""),"Revisar formato",N(Registro!$G449)-N(I449)))</f>
        <v/>
      </c>
      <c r="L449" s="24" t="str">
        <f t="shared" si="13"/>
        <v/>
      </c>
      <c r="M449" s="36" t="str">
        <f>IF(AND(A449=Consulta!$B$3,C449=Consulta!$H$3),B449*10000+ROW(),"")</f>
        <v/>
      </c>
    </row>
    <row r="450" spans="1:13" x14ac:dyDescent="0.25">
      <c r="A450" s="21" t="str">
        <f>IF(Registro!$A450="","",Registro!$A450)</f>
        <v/>
      </c>
      <c r="B450" s="20" t="str">
        <f>IF(Registro!$B450="","",Registro!$B450)</f>
        <v/>
      </c>
      <c r="C450" s="35" t="str">
        <f t="shared" ref="C450:C513" si="14">IF(ISNUMBER(B450),YEAR(B450)*100+MONTH(B450),"")</f>
        <v/>
      </c>
      <c r="D450" s="23" t="str">
        <f>IF(Registro!$E450="","",IF(ISERROR(FIND("x",LOWER(Registro!$E450))),"-",IFERROR(SUMPRODUCT(--("0"&amp;LEFT(TRIM(MID(SUBSTITUTE(SUBSTITUTE(SUBSTITUTE(SUBSTITUTE(SUBSTITUTE(LOWER(Registro!$E450),"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",LEN(Registro!$E450))),({1,2,3,4,5,6,7,8,9,10,11,12,13,14,15,16,17,18,19,20,21,22,23,24,25,26,27,28,29,30}-1)*LEN(Registro!$E450)+1,LEN(Registro!$E450))),FIND("x",TRIM(MID(SUBSTITUTE(SUBSTITUTE(SUBSTITUTE(SUBSTITUTE(SUBSTITUTE(LOWER(Registro!$E450),"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",LEN(Registro!$E450))),({1,2,3,4,5,6,7,8,9,10,11,12,13,14,15,16,17,18,19,20,21,22,23,24,25,26,27,28,29,30}-1)*LEN(Registro!$E450)+1,LEN(Registro!$E450)))&amp;"x")-1))),"Revisar formato")))</f>
        <v/>
      </c>
      <c r="E450" s="24" t="str">
        <f>IF(Registro!$E450="","",IF(ISERROR(FIND("x",LOWER(Registro!$E450))),"-",IFERROR(SUMPRODUCT(--("0"&amp;LEFT(TRIM(MID(SUBSTITUTE(SUBSTITUTE(SUBSTITUTE(SUBSTITUTE(SUBSTITUTE(LOWER(Registro!$E450),"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",LEN(Registro!$E450))),({1,2,3,4,5,6,7,8,9,10,11,12,13,14,15,16,17,18,19,20,21,22,23,24,25,26,27,28,29,30}-1)*LEN(Registro!$E450)+1,LEN(Registro!$E450))),FIND("x",TRIM(MID(SUBSTITUTE(SUBSTITUTE(SUBSTITUTE(SUBSTITUTE(SUBSTITUTE(LOWER(Registro!$E450),"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",LEN(Registro!$E450))),({1,2,3,4,5,6,7,8,9,10,11,12,13,14,15,16,17,18,19,20,21,22,23,24,25,26,27,28,29,30}-1)*LEN(Registro!$E450)+1,LEN(Registro!$E450)))&amp;"x")-1)),--("0"&amp;MID(TRIM(MID(SUBSTITUTE(SUBSTITUTE(SUBSTITUTE(SUBSTITUTE(SUBSTITUTE(LOWER(Registro!$E450),"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",LEN(Registro!$E450))),({1,2,3,4,5,6,7,8,9,10,11,12,13,14,15,16,17,18,19,20,21,22,23,24,25,26,27,28,29,30}-1)*LEN(Registro!$E450)+1,LEN(Registro!$E450))),FIND("x",TRIM(MID(SUBSTITUTE(SUBSTITUTE(SUBSTITUTE(SUBSTITUTE(SUBSTITUTE(LOWER(Registro!$E450),"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",LEN(Registro!$E450))),({1,2,3,4,5,6,7,8,9,10,11,12,13,14,15,16,17,18,19,20,21,22,23,24,25,26,27,28,29,30}-1)*LEN(Registro!$E450)+1,LEN(Registro!$E450)))&amp;"x")+1,20))),"Revisar formato")))</f>
        <v/>
      </c>
      <c r="F450" s="23" t="str">
        <f>IF(Registro!$F450="","",IF(ISERROR(FIND("x",LOWER(Registro!$F450))),"-",IFERROR(SUMPRODUCT(--("0"&amp;LEFT(TRIM(MID(SUBSTITUTE(SUBSTITUTE(SUBSTITUTE(SUBSTITUTE(SUBSTITUTE(LOWER(Registro!$F450)," ",""),CHAR(10),"|"),";","|"),"+","|"),"|",REPT(" ",LEN(Registro!$F450))),({1,2,3,4,5,6,7,8,9,10,11,12,13,14,15,16,17,18,19,20,21,22,23,24,25,26,27,28,29,30}-1)*LEN(Registro!$F450)+1,LEN(Registro!$F450))),FIND("x",TRIM(MID(SUBSTITUTE(SUBSTITUTE(SUBSTITUTE(SUBSTITUTE(SUBSTITUTE(LOWER(Registro!$F450)," ",""),CHAR(10),"|"),";","|"),"+","|"),"|",REPT(" ",LEN(Registro!$F450))),({1,2,3,4,5,6,7,8,9,10,11,12,13,14,15,16,17,18,19,20,21,22,23,24,25,26,27,28,29,30}-1)*LEN(Registro!$F450)+1,LEN(Registro!$F450)))&amp;"x")-1))),"Revisar formato")))</f>
        <v/>
      </c>
      <c r="G450" s="24" t="str">
        <f>IF(Registro!$F450="","",IF(ISERROR(FIND("x",LOWER(Registro!$F450))),N(Registro!$G450),IFERROR(SUMPRODUCT(--("0"&amp;LEFT(TRIM(MID(SUBSTITUTE(SUBSTITUTE(SUBSTITUTE(SUBSTITUTE(SUBSTITUTE(LOWER(Registro!$F450)," ",""),CHAR(10),"|"),";","|"),"+","|"),"|",REPT(" ",LEN(Registro!$F450))),({1,2,3,4,5,6,7,8,9,10,11,12,13,14,15,16,17,18,19,20,21,22,23,24,25,26,27,28,29,30}-1)*LEN(Registro!$F450)+1,LEN(Registro!$F450))),FIND("x",TRIM(MID(SUBSTITUTE(SUBSTITUTE(SUBSTITUTE(SUBSTITUTE(SUBSTITUTE(LOWER(Registro!$F450)," ",""),CHAR(10),"|"),";","|"),"+","|"),"|",REPT(" ",LEN(Registro!$F450))),({1,2,3,4,5,6,7,8,9,10,11,12,13,14,15,16,17,18,19,20,21,22,23,24,25,26,27,28,29,30}-1)*LEN(Registro!$F450)+1,LEN(Registro!$F450)))&amp;"x")-1)),--("0"&amp;MID(TRIM(MID(SUBSTITUTE(SUBSTITUTE(SUBSTITUTE(SUBSTITUTE(SUBSTITUTE(LOWER(Registro!$F450)," ",""),CHAR(10),"|"),";","|"),"+","|"),"|",REPT(" ",LEN(Registro!$F450))),({1,2,3,4,5,6,7,8,9,10,11,12,13,14,15,16,17,18,19,20,21,22,23,24,25,26,27,28,29,30}-1)*LEN(Registro!$F450)+1,LEN(Registro!$F450))),FIND("x",TRIM(MID(SUBSTITUTE(SUBSTITUTE(SUBSTITUTE(SUBSTITUTE(SUBSTITUTE(LOWER(Registro!$F450)," ",""),CHAR(10),"|"),";","|"),"+","|"),"|",REPT(" ",LEN(Registro!$F450))),({1,2,3,4,5,6,7,8,9,10,11,12,13,14,15,16,17,18,19,20,21,22,23,24,25,26,27,28,29,30}-1)*LEN(Registro!$F450)+1,LEN(Registro!$F450)))&amp;"x")+1,20))),"Revisar formato")))</f>
        <v/>
      </c>
      <c r="H450" s="21" t="str">
        <f>IF(AND(Registro!$E450="",Registro!$F450=""),"",IF(NOT(AND(ISNUMBER(G450),ISNUMBER(Registro!$G450))),"",IF(G450&lt;Registro!$G450,"FALTA BOLETOS",IF(G450=Registro!$G450,"CONFORME","DIFERENCIA"))))</f>
        <v/>
      </c>
      <c r="I450" s="24" t="str">
        <f>IF(Registro!$H450="","",IFERROR(SUMPRODUCT(--("0"&amp;TRIM(RIGHT(SUBSTITUTE(TRIM(MID(SUBSTITUTE(SUBSTITUTE(Registro!$H450,";",CHAR(10)),CHAR(10),REPT(" ",LEN(Registro!$H450))),({1,2,3,4,5,6,7,8,9,10,11,12,13,14,15,16,17,18,19,20,21,22,23,24,25,26,27,28,29,30}-1)*LEN(Registro!$H450)+1,LEN(Registro!$H450)))," ",REPT(" ",50)),50)))),"Revisar formato"))</f>
        <v/>
      </c>
      <c r="J450" s="24" t="str">
        <f>IF(Registro!$I450="","",IFERROR(SUMPRODUCT(--("0"&amp;TRIM(RIGHT(SUBSTITUTE(TRIM(MID(SUBSTITUTE(SUBSTITUTE(Registro!$I450,";",CHAR(10)),CHAR(10),REPT(" ",LEN(Registro!$I450))),({1,2,3,4,5,6,7,8,9,10,11,12,13,14,15,16,17,18,19,20,21,22,23,24,25,26,27,28,29,30}-1)*LEN(Registro!$I450)+1,LEN(Registro!$I450)))," ",REPT(" ",50)),50)))),"Revisar formato"))</f>
        <v/>
      </c>
      <c r="K450" s="24" t="str">
        <f>IF(AND(Registro!$G450="",Registro!$H450=""),"",IF(AND(ISTEXT(I450),I450&lt;&gt;""),"Revisar formato",N(Registro!$G450)-N(I450)))</f>
        <v/>
      </c>
      <c r="L450" s="24" t="str">
        <f t="shared" ref="L450:L513" si="15">IF(K450="","",IF(OR(K450="Revisar formato",AND(ISTEXT(J450),J450&lt;&gt;"")),"Revisar formato",K450-N(J450)))</f>
        <v/>
      </c>
      <c r="M450" s="36" t="str">
        <f>IF(AND(A450=Consulta!$B$3,C450=Consulta!$H$3),B450*10000+ROW(),"")</f>
        <v/>
      </c>
    </row>
    <row r="451" spans="1:13" x14ac:dyDescent="0.25">
      <c r="A451" s="21" t="str">
        <f>IF(Registro!$A451="","",Registro!$A451)</f>
        <v/>
      </c>
      <c r="B451" s="20" t="str">
        <f>IF(Registro!$B451="","",Registro!$B451)</f>
        <v/>
      </c>
      <c r="C451" s="35" t="str">
        <f t="shared" si="14"/>
        <v/>
      </c>
      <c r="D451" s="23" t="str">
        <f>IF(Registro!$E451="","",IF(ISERROR(FIND("x",LOWER(Registro!$E451))),"-",IFERROR(SUMPRODUCT(--("0"&amp;LEFT(TRIM(MID(SUBSTITUTE(SUBSTITUTE(SUBSTITUTE(SUBSTITUTE(SUBSTITUTE(LOWER(Registro!$E451),"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",LEN(Registro!$E451))),({1,2,3,4,5,6,7,8,9,10,11,12,13,14,15,16,17,18,19,20,21,22,23,24,25,26,27,28,29,30}-1)*LEN(Registro!$E451)+1,LEN(Registro!$E451))),FIND("x",TRIM(MID(SUBSTITUTE(SUBSTITUTE(SUBSTITUTE(SUBSTITUTE(SUBSTITUTE(LOWER(Registro!$E451),"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",LEN(Registro!$E451))),({1,2,3,4,5,6,7,8,9,10,11,12,13,14,15,16,17,18,19,20,21,22,23,24,25,26,27,28,29,30}-1)*LEN(Registro!$E451)+1,LEN(Registro!$E451)))&amp;"x")-1))),"Revisar formato")))</f>
        <v/>
      </c>
      <c r="E451" s="24" t="str">
        <f>IF(Registro!$E451="","",IF(ISERROR(FIND("x",LOWER(Registro!$E451))),"-",IFERROR(SUMPRODUCT(--("0"&amp;LEFT(TRIM(MID(SUBSTITUTE(SUBSTITUTE(SUBSTITUTE(SUBSTITUTE(SUBSTITUTE(LOWER(Registro!$E451),"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",LEN(Registro!$E451))),({1,2,3,4,5,6,7,8,9,10,11,12,13,14,15,16,17,18,19,20,21,22,23,24,25,26,27,28,29,30}-1)*LEN(Registro!$E451)+1,LEN(Registro!$E451))),FIND("x",TRIM(MID(SUBSTITUTE(SUBSTITUTE(SUBSTITUTE(SUBSTITUTE(SUBSTITUTE(LOWER(Registro!$E451),"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",LEN(Registro!$E451))),({1,2,3,4,5,6,7,8,9,10,11,12,13,14,15,16,17,18,19,20,21,22,23,24,25,26,27,28,29,30}-1)*LEN(Registro!$E451)+1,LEN(Registro!$E451)))&amp;"x")-1)),--("0"&amp;MID(TRIM(MID(SUBSTITUTE(SUBSTITUTE(SUBSTITUTE(SUBSTITUTE(SUBSTITUTE(LOWER(Registro!$E451),"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",LEN(Registro!$E451))),({1,2,3,4,5,6,7,8,9,10,11,12,13,14,15,16,17,18,19,20,21,22,23,24,25,26,27,28,29,30}-1)*LEN(Registro!$E451)+1,LEN(Registro!$E451))),FIND("x",TRIM(MID(SUBSTITUTE(SUBSTITUTE(SUBSTITUTE(SUBSTITUTE(SUBSTITUTE(LOWER(Registro!$E451),"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",LEN(Registro!$E451))),({1,2,3,4,5,6,7,8,9,10,11,12,13,14,15,16,17,18,19,20,21,22,23,24,25,26,27,28,29,30}-1)*LEN(Registro!$E451)+1,LEN(Registro!$E451)))&amp;"x")+1,20))),"Revisar formato")))</f>
        <v/>
      </c>
      <c r="F451" s="23" t="str">
        <f>IF(Registro!$F451="","",IF(ISERROR(FIND("x",LOWER(Registro!$F451))),"-",IFERROR(SUMPRODUCT(--("0"&amp;LEFT(TRIM(MID(SUBSTITUTE(SUBSTITUTE(SUBSTITUTE(SUBSTITUTE(SUBSTITUTE(LOWER(Registro!$F451)," ",""),CHAR(10),"|"),";","|"),"+","|"),"|",REPT(" ",LEN(Registro!$F451))),({1,2,3,4,5,6,7,8,9,10,11,12,13,14,15,16,17,18,19,20,21,22,23,24,25,26,27,28,29,30}-1)*LEN(Registro!$F451)+1,LEN(Registro!$F451))),FIND("x",TRIM(MID(SUBSTITUTE(SUBSTITUTE(SUBSTITUTE(SUBSTITUTE(SUBSTITUTE(LOWER(Registro!$F451)," ",""),CHAR(10),"|"),";","|"),"+","|"),"|",REPT(" ",LEN(Registro!$F451))),({1,2,3,4,5,6,7,8,9,10,11,12,13,14,15,16,17,18,19,20,21,22,23,24,25,26,27,28,29,30}-1)*LEN(Registro!$F451)+1,LEN(Registro!$F451)))&amp;"x")-1))),"Revisar formato")))</f>
        <v/>
      </c>
      <c r="G451" s="24" t="str">
        <f>IF(Registro!$F451="","",IF(ISERROR(FIND("x",LOWER(Registro!$F451))),N(Registro!$G451),IFERROR(SUMPRODUCT(--("0"&amp;LEFT(TRIM(MID(SUBSTITUTE(SUBSTITUTE(SUBSTITUTE(SUBSTITUTE(SUBSTITUTE(LOWER(Registro!$F451)," ",""),CHAR(10),"|"),";","|"),"+","|"),"|",REPT(" ",LEN(Registro!$F451))),({1,2,3,4,5,6,7,8,9,10,11,12,13,14,15,16,17,18,19,20,21,22,23,24,25,26,27,28,29,30}-1)*LEN(Registro!$F451)+1,LEN(Registro!$F451))),FIND("x",TRIM(MID(SUBSTITUTE(SUBSTITUTE(SUBSTITUTE(SUBSTITUTE(SUBSTITUTE(LOWER(Registro!$F451)," ",""),CHAR(10),"|"),";","|"),"+","|"),"|",REPT(" ",LEN(Registro!$F451))),({1,2,3,4,5,6,7,8,9,10,11,12,13,14,15,16,17,18,19,20,21,22,23,24,25,26,27,28,29,30}-1)*LEN(Registro!$F451)+1,LEN(Registro!$F451)))&amp;"x")-1)),--("0"&amp;MID(TRIM(MID(SUBSTITUTE(SUBSTITUTE(SUBSTITUTE(SUBSTITUTE(SUBSTITUTE(LOWER(Registro!$F451)," ",""),CHAR(10),"|"),";","|"),"+","|"),"|",REPT(" ",LEN(Registro!$F451))),({1,2,3,4,5,6,7,8,9,10,11,12,13,14,15,16,17,18,19,20,21,22,23,24,25,26,27,28,29,30}-1)*LEN(Registro!$F451)+1,LEN(Registro!$F451))),FIND("x",TRIM(MID(SUBSTITUTE(SUBSTITUTE(SUBSTITUTE(SUBSTITUTE(SUBSTITUTE(LOWER(Registro!$F451)," ",""),CHAR(10),"|"),";","|"),"+","|"),"|",REPT(" ",LEN(Registro!$F451))),({1,2,3,4,5,6,7,8,9,10,11,12,13,14,15,16,17,18,19,20,21,22,23,24,25,26,27,28,29,30}-1)*LEN(Registro!$F451)+1,LEN(Registro!$F451)))&amp;"x")+1,20))),"Revisar formato")))</f>
        <v/>
      </c>
      <c r="H451" s="21" t="str">
        <f>IF(AND(Registro!$E451="",Registro!$F451=""),"",IF(NOT(AND(ISNUMBER(G451),ISNUMBER(Registro!$G451))),"",IF(G451&lt;Registro!$G451,"FALTA BOLETOS",IF(G451=Registro!$G451,"CONFORME","DIFERENCIA"))))</f>
        <v/>
      </c>
      <c r="I451" s="24" t="str">
        <f>IF(Registro!$H451="","",IFERROR(SUMPRODUCT(--("0"&amp;TRIM(RIGHT(SUBSTITUTE(TRIM(MID(SUBSTITUTE(SUBSTITUTE(Registro!$H451,";",CHAR(10)),CHAR(10),REPT(" ",LEN(Registro!$H451))),({1,2,3,4,5,6,7,8,9,10,11,12,13,14,15,16,17,18,19,20,21,22,23,24,25,26,27,28,29,30}-1)*LEN(Registro!$H451)+1,LEN(Registro!$H451)))," ",REPT(" ",50)),50)))),"Revisar formato"))</f>
        <v/>
      </c>
      <c r="J451" s="24" t="str">
        <f>IF(Registro!$I451="","",IFERROR(SUMPRODUCT(--("0"&amp;TRIM(RIGHT(SUBSTITUTE(TRIM(MID(SUBSTITUTE(SUBSTITUTE(Registro!$I451,";",CHAR(10)),CHAR(10),REPT(" ",LEN(Registro!$I451))),({1,2,3,4,5,6,7,8,9,10,11,12,13,14,15,16,17,18,19,20,21,22,23,24,25,26,27,28,29,30}-1)*LEN(Registro!$I451)+1,LEN(Registro!$I451)))," ",REPT(" ",50)),50)))),"Revisar formato"))</f>
        <v/>
      </c>
      <c r="K451" s="24" t="str">
        <f>IF(AND(Registro!$G451="",Registro!$H451=""),"",IF(AND(ISTEXT(I451),I451&lt;&gt;""),"Revisar formato",N(Registro!$G451)-N(I451)))</f>
        <v/>
      </c>
      <c r="L451" s="24" t="str">
        <f t="shared" si="15"/>
        <v/>
      </c>
      <c r="M451" s="36" t="str">
        <f>IF(AND(A451=Consulta!$B$3,C451=Consulta!$H$3),B451*10000+ROW(),"")</f>
        <v/>
      </c>
    </row>
    <row r="452" spans="1:13" x14ac:dyDescent="0.25">
      <c r="A452" s="21" t="str">
        <f>IF(Registro!$A452="","",Registro!$A452)</f>
        <v/>
      </c>
      <c r="B452" s="20" t="str">
        <f>IF(Registro!$B452="","",Registro!$B452)</f>
        <v/>
      </c>
      <c r="C452" s="35" t="str">
        <f t="shared" si="14"/>
        <v/>
      </c>
      <c r="D452" s="23" t="str">
        <f>IF(Registro!$E452="","",IF(ISERROR(FIND("x",LOWER(Registro!$E452))),"-",IFERROR(SUMPRODUCT(--("0"&amp;LEFT(TRIM(MID(SUBSTITUTE(SUBSTITUTE(SUBSTITUTE(SUBSTITUTE(SUBSTITUTE(LOWER(Registro!$E452),"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",LEN(Registro!$E452))),({1,2,3,4,5,6,7,8,9,10,11,12,13,14,15,16,17,18,19,20,21,22,23,24,25,26,27,28,29,30}-1)*LEN(Registro!$E452)+1,LEN(Registro!$E452))),FIND("x",TRIM(MID(SUBSTITUTE(SUBSTITUTE(SUBSTITUTE(SUBSTITUTE(SUBSTITUTE(LOWER(Registro!$E452),"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",LEN(Registro!$E452))),({1,2,3,4,5,6,7,8,9,10,11,12,13,14,15,16,17,18,19,20,21,22,23,24,25,26,27,28,29,30}-1)*LEN(Registro!$E452)+1,LEN(Registro!$E452)))&amp;"x")-1))),"Revisar formato")))</f>
        <v/>
      </c>
      <c r="E452" s="24" t="str">
        <f>IF(Registro!$E452="","",IF(ISERROR(FIND("x",LOWER(Registro!$E452))),"-",IFERROR(SUMPRODUCT(--("0"&amp;LEFT(TRIM(MID(SUBSTITUTE(SUBSTITUTE(SUBSTITUTE(SUBSTITUTE(SUBSTITUTE(LOWER(Registro!$E452),"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",LEN(Registro!$E452))),({1,2,3,4,5,6,7,8,9,10,11,12,13,14,15,16,17,18,19,20,21,22,23,24,25,26,27,28,29,30}-1)*LEN(Registro!$E452)+1,LEN(Registro!$E452))),FIND("x",TRIM(MID(SUBSTITUTE(SUBSTITUTE(SUBSTITUTE(SUBSTITUTE(SUBSTITUTE(LOWER(Registro!$E452),"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",LEN(Registro!$E452))),({1,2,3,4,5,6,7,8,9,10,11,12,13,14,15,16,17,18,19,20,21,22,23,24,25,26,27,28,29,30}-1)*LEN(Registro!$E452)+1,LEN(Registro!$E452)))&amp;"x")-1)),--("0"&amp;MID(TRIM(MID(SUBSTITUTE(SUBSTITUTE(SUBSTITUTE(SUBSTITUTE(SUBSTITUTE(LOWER(Registro!$E452),"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",LEN(Registro!$E452))),({1,2,3,4,5,6,7,8,9,10,11,12,13,14,15,16,17,18,19,20,21,22,23,24,25,26,27,28,29,30}-1)*LEN(Registro!$E452)+1,LEN(Registro!$E452))),FIND("x",TRIM(MID(SUBSTITUTE(SUBSTITUTE(SUBSTITUTE(SUBSTITUTE(SUBSTITUTE(LOWER(Registro!$E452),"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",LEN(Registro!$E452))),({1,2,3,4,5,6,7,8,9,10,11,12,13,14,15,16,17,18,19,20,21,22,23,24,25,26,27,28,29,30}-1)*LEN(Registro!$E452)+1,LEN(Registro!$E452)))&amp;"x")+1,20))),"Revisar formato")))</f>
        <v/>
      </c>
      <c r="F452" s="23" t="str">
        <f>IF(Registro!$F452="","",IF(ISERROR(FIND("x",LOWER(Registro!$F452))),"-",IFERROR(SUMPRODUCT(--("0"&amp;LEFT(TRIM(MID(SUBSTITUTE(SUBSTITUTE(SUBSTITUTE(SUBSTITUTE(SUBSTITUTE(LOWER(Registro!$F452)," ",""),CHAR(10),"|"),";","|"),"+","|"),"|",REPT(" ",LEN(Registro!$F452))),({1,2,3,4,5,6,7,8,9,10,11,12,13,14,15,16,17,18,19,20,21,22,23,24,25,26,27,28,29,30}-1)*LEN(Registro!$F452)+1,LEN(Registro!$F452))),FIND("x",TRIM(MID(SUBSTITUTE(SUBSTITUTE(SUBSTITUTE(SUBSTITUTE(SUBSTITUTE(LOWER(Registro!$F452)," ",""),CHAR(10),"|"),";","|"),"+","|"),"|",REPT(" ",LEN(Registro!$F452))),({1,2,3,4,5,6,7,8,9,10,11,12,13,14,15,16,17,18,19,20,21,22,23,24,25,26,27,28,29,30}-1)*LEN(Registro!$F452)+1,LEN(Registro!$F452)))&amp;"x")-1))),"Revisar formato")))</f>
        <v/>
      </c>
      <c r="G452" s="24" t="str">
        <f>IF(Registro!$F452="","",IF(ISERROR(FIND("x",LOWER(Registro!$F452))),N(Registro!$G452),IFERROR(SUMPRODUCT(--("0"&amp;LEFT(TRIM(MID(SUBSTITUTE(SUBSTITUTE(SUBSTITUTE(SUBSTITUTE(SUBSTITUTE(LOWER(Registro!$F452)," ",""),CHAR(10),"|"),";","|"),"+","|"),"|",REPT(" ",LEN(Registro!$F452))),({1,2,3,4,5,6,7,8,9,10,11,12,13,14,15,16,17,18,19,20,21,22,23,24,25,26,27,28,29,30}-1)*LEN(Registro!$F452)+1,LEN(Registro!$F452))),FIND("x",TRIM(MID(SUBSTITUTE(SUBSTITUTE(SUBSTITUTE(SUBSTITUTE(SUBSTITUTE(LOWER(Registro!$F452)," ",""),CHAR(10),"|"),";","|"),"+","|"),"|",REPT(" ",LEN(Registro!$F452))),({1,2,3,4,5,6,7,8,9,10,11,12,13,14,15,16,17,18,19,20,21,22,23,24,25,26,27,28,29,30}-1)*LEN(Registro!$F452)+1,LEN(Registro!$F452)))&amp;"x")-1)),--("0"&amp;MID(TRIM(MID(SUBSTITUTE(SUBSTITUTE(SUBSTITUTE(SUBSTITUTE(SUBSTITUTE(LOWER(Registro!$F452)," ",""),CHAR(10),"|"),";","|"),"+","|"),"|",REPT(" ",LEN(Registro!$F452))),({1,2,3,4,5,6,7,8,9,10,11,12,13,14,15,16,17,18,19,20,21,22,23,24,25,26,27,28,29,30}-1)*LEN(Registro!$F452)+1,LEN(Registro!$F452))),FIND("x",TRIM(MID(SUBSTITUTE(SUBSTITUTE(SUBSTITUTE(SUBSTITUTE(SUBSTITUTE(LOWER(Registro!$F452)," ",""),CHAR(10),"|"),";","|"),"+","|"),"|",REPT(" ",LEN(Registro!$F452))),({1,2,3,4,5,6,7,8,9,10,11,12,13,14,15,16,17,18,19,20,21,22,23,24,25,26,27,28,29,30}-1)*LEN(Registro!$F452)+1,LEN(Registro!$F452)))&amp;"x")+1,20))),"Revisar formato")))</f>
        <v/>
      </c>
      <c r="H452" s="21" t="str">
        <f>IF(AND(Registro!$E452="",Registro!$F452=""),"",IF(NOT(AND(ISNUMBER(G452),ISNUMBER(Registro!$G452))),"",IF(G452&lt;Registro!$G452,"FALTA BOLETOS",IF(G452=Registro!$G452,"CONFORME","DIFERENCIA"))))</f>
        <v/>
      </c>
      <c r="I452" s="24" t="str">
        <f>IF(Registro!$H452="","",IFERROR(SUMPRODUCT(--("0"&amp;TRIM(RIGHT(SUBSTITUTE(TRIM(MID(SUBSTITUTE(SUBSTITUTE(Registro!$H452,";",CHAR(10)),CHAR(10),REPT(" ",LEN(Registro!$H452))),({1,2,3,4,5,6,7,8,9,10,11,12,13,14,15,16,17,18,19,20,21,22,23,24,25,26,27,28,29,30}-1)*LEN(Registro!$H452)+1,LEN(Registro!$H452)))," ",REPT(" ",50)),50)))),"Revisar formato"))</f>
        <v/>
      </c>
      <c r="J452" s="24" t="str">
        <f>IF(Registro!$I452="","",IFERROR(SUMPRODUCT(--("0"&amp;TRIM(RIGHT(SUBSTITUTE(TRIM(MID(SUBSTITUTE(SUBSTITUTE(Registro!$I452,";",CHAR(10)),CHAR(10),REPT(" ",LEN(Registro!$I452))),({1,2,3,4,5,6,7,8,9,10,11,12,13,14,15,16,17,18,19,20,21,22,23,24,25,26,27,28,29,30}-1)*LEN(Registro!$I452)+1,LEN(Registro!$I452)))," ",REPT(" ",50)),50)))),"Revisar formato"))</f>
        <v/>
      </c>
      <c r="K452" s="24" t="str">
        <f>IF(AND(Registro!$G452="",Registro!$H452=""),"",IF(AND(ISTEXT(I452),I452&lt;&gt;""),"Revisar formato",N(Registro!$G452)-N(I452)))</f>
        <v/>
      </c>
      <c r="L452" s="24" t="str">
        <f t="shared" si="15"/>
        <v/>
      </c>
      <c r="M452" s="36" t="str">
        <f>IF(AND(A452=Consulta!$B$3,C452=Consulta!$H$3),B452*10000+ROW(),"")</f>
        <v/>
      </c>
    </row>
    <row r="453" spans="1:13" x14ac:dyDescent="0.25">
      <c r="A453" s="21" t="str">
        <f>IF(Registro!$A453="","",Registro!$A453)</f>
        <v/>
      </c>
      <c r="B453" s="20" t="str">
        <f>IF(Registro!$B453="","",Registro!$B453)</f>
        <v/>
      </c>
      <c r="C453" s="35" t="str">
        <f t="shared" si="14"/>
        <v/>
      </c>
      <c r="D453" s="23" t="str">
        <f>IF(Registro!$E453="","",IF(ISERROR(FIND("x",LOWER(Registro!$E453))),"-",IFERROR(SUMPRODUCT(--("0"&amp;LEFT(TRIM(MID(SUBSTITUTE(SUBSTITUTE(SUBSTITUTE(SUBSTITUTE(SUBSTITUTE(LOWER(Registro!$E453),"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",LEN(Registro!$E453))),({1,2,3,4,5,6,7,8,9,10,11,12,13,14,15,16,17,18,19,20,21,22,23,24,25,26,27,28,29,30}-1)*LEN(Registro!$E453)+1,LEN(Registro!$E453))),FIND("x",TRIM(MID(SUBSTITUTE(SUBSTITUTE(SUBSTITUTE(SUBSTITUTE(SUBSTITUTE(LOWER(Registro!$E453),"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",LEN(Registro!$E453))),({1,2,3,4,5,6,7,8,9,10,11,12,13,14,15,16,17,18,19,20,21,22,23,24,25,26,27,28,29,30}-1)*LEN(Registro!$E453)+1,LEN(Registro!$E453)))&amp;"x")-1))),"Revisar formato")))</f>
        <v/>
      </c>
      <c r="E453" s="24" t="str">
        <f>IF(Registro!$E453="","",IF(ISERROR(FIND("x",LOWER(Registro!$E453))),"-",IFERROR(SUMPRODUCT(--("0"&amp;LEFT(TRIM(MID(SUBSTITUTE(SUBSTITUTE(SUBSTITUTE(SUBSTITUTE(SUBSTITUTE(LOWER(Registro!$E453),"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",LEN(Registro!$E453))),({1,2,3,4,5,6,7,8,9,10,11,12,13,14,15,16,17,18,19,20,21,22,23,24,25,26,27,28,29,30}-1)*LEN(Registro!$E453)+1,LEN(Registro!$E453))),FIND("x",TRIM(MID(SUBSTITUTE(SUBSTITUTE(SUBSTITUTE(SUBSTITUTE(SUBSTITUTE(LOWER(Registro!$E453),"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",LEN(Registro!$E453))),({1,2,3,4,5,6,7,8,9,10,11,12,13,14,15,16,17,18,19,20,21,22,23,24,25,26,27,28,29,30}-1)*LEN(Registro!$E453)+1,LEN(Registro!$E453)))&amp;"x")-1)),--("0"&amp;MID(TRIM(MID(SUBSTITUTE(SUBSTITUTE(SUBSTITUTE(SUBSTITUTE(SUBSTITUTE(LOWER(Registro!$E453),"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",LEN(Registro!$E453))),({1,2,3,4,5,6,7,8,9,10,11,12,13,14,15,16,17,18,19,20,21,22,23,24,25,26,27,28,29,30}-1)*LEN(Registro!$E453)+1,LEN(Registro!$E453))),FIND("x",TRIM(MID(SUBSTITUTE(SUBSTITUTE(SUBSTITUTE(SUBSTITUTE(SUBSTITUTE(LOWER(Registro!$E453),"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",LEN(Registro!$E453))),({1,2,3,4,5,6,7,8,9,10,11,12,13,14,15,16,17,18,19,20,21,22,23,24,25,26,27,28,29,30}-1)*LEN(Registro!$E453)+1,LEN(Registro!$E453)))&amp;"x")+1,20))),"Revisar formato")))</f>
        <v/>
      </c>
      <c r="F453" s="23" t="str">
        <f>IF(Registro!$F453="","",IF(ISERROR(FIND("x",LOWER(Registro!$F453))),"-",IFERROR(SUMPRODUCT(--("0"&amp;LEFT(TRIM(MID(SUBSTITUTE(SUBSTITUTE(SUBSTITUTE(SUBSTITUTE(SUBSTITUTE(LOWER(Registro!$F453)," ",""),CHAR(10),"|"),";","|"),"+","|"),"|",REPT(" ",LEN(Registro!$F453))),({1,2,3,4,5,6,7,8,9,10,11,12,13,14,15,16,17,18,19,20,21,22,23,24,25,26,27,28,29,30}-1)*LEN(Registro!$F453)+1,LEN(Registro!$F453))),FIND("x",TRIM(MID(SUBSTITUTE(SUBSTITUTE(SUBSTITUTE(SUBSTITUTE(SUBSTITUTE(LOWER(Registro!$F453)," ",""),CHAR(10),"|"),";","|"),"+","|"),"|",REPT(" ",LEN(Registro!$F453))),({1,2,3,4,5,6,7,8,9,10,11,12,13,14,15,16,17,18,19,20,21,22,23,24,25,26,27,28,29,30}-1)*LEN(Registro!$F453)+1,LEN(Registro!$F453)))&amp;"x")-1))),"Revisar formato")))</f>
        <v/>
      </c>
      <c r="G453" s="24" t="str">
        <f>IF(Registro!$F453="","",IF(ISERROR(FIND("x",LOWER(Registro!$F453))),N(Registro!$G453),IFERROR(SUMPRODUCT(--("0"&amp;LEFT(TRIM(MID(SUBSTITUTE(SUBSTITUTE(SUBSTITUTE(SUBSTITUTE(SUBSTITUTE(LOWER(Registro!$F453)," ",""),CHAR(10),"|"),";","|"),"+","|"),"|",REPT(" ",LEN(Registro!$F453))),({1,2,3,4,5,6,7,8,9,10,11,12,13,14,15,16,17,18,19,20,21,22,23,24,25,26,27,28,29,30}-1)*LEN(Registro!$F453)+1,LEN(Registro!$F453))),FIND("x",TRIM(MID(SUBSTITUTE(SUBSTITUTE(SUBSTITUTE(SUBSTITUTE(SUBSTITUTE(LOWER(Registro!$F453)," ",""),CHAR(10),"|"),";","|"),"+","|"),"|",REPT(" ",LEN(Registro!$F453))),({1,2,3,4,5,6,7,8,9,10,11,12,13,14,15,16,17,18,19,20,21,22,23,24,25,26,27,28,29,30}-1)*LEN(Registro!$F453)+1,LEN(Registro!$F453)))&amp;"x")-1)),--("0"&amp;MID(TRIM(MID(SUBSTITUTE(SUBSTITUTE(SUBSTITUTE(SUBSTITUTE(SUBSTITUTE(LOWER(Registro!$F453)," ",""),CHAR(10),"|"),";","|"),"+","|"),"|",REPT(" ",LEN(Registro!$F453))),({1,2,3,4,5,6,7,8,9,10,11,12,13,14,15,16,17,18,19,20,21,22,23,24,25,26,27,28,29,30}-1)*LEN(Registro!$F453)+1,LEN(Registro!$F453))),FIND("x",TRIM(MID(SUBSTITUTE(SUBSTITUTE(SUBSTITUTE(SUBSTITUTE(SUBSTITUTE(LOWER(Registro!$F453)," ",""),CHAR(10),"|"),";","|"),"+","|"),"|",REPT(" ",LEN(Registro!$F453))),({1,2,3,4,5,6,7,8,9,10,11,12,13,14,15,16,17,18,19,20,21,22,23,24,25,26,27,28,29,30}-1)*LEN(Registro!$F453)+1,LEN(Registro!$F453)))&amp;"x")+1,20))),"Revisar formato")))</f>
        <v/>
      </c>
      <c r="H453" s="21" t="str">
        <f>IF(AND(Registro!$E453="",Registro!$F453=""),"",IF(NOT(AND(ISNUMBER(G453),ISNUMBER(Registro!$G453))),"",IF(G453&lt;Registro!$G453,"FALTA BOLETOS",IF(G453=Registro!$G453,"CONFORME","DIFERENCIA"))))</f>
        <v/>
      </c>
      <c r="I453" s="24" t="str">
        <f>IF(Registro!$H453="","",IFERROR(SUMPRODUCT(--("0"&amp;TRIM(RIGHT(SUBSTITUTE(TRIM(MID(SUBSTITUTE(SUBSTITUTE(Registro!$H453,";",CHAR(10)),CHAR(10),REPT(" ",LEN(Registro!$H453))),({1,2,3,4,5,6,7,8,9,10,11,12,13,14,15,16,17,18,19,20,21,22,23,24,25,26,27,28,29,30}-1)*LEN(Registro!$H453)+1,LEN(Registro!$H453)))," ",REPT(" ",50)),50)))),"Revisar formato"))</f>
        <v/>
      </c>
      <c r="J453" s="24" t="str">
        <f>IF(Registro!$I453="","",IFERROR(SUMPRODUCT(--("0"&amp;TRIM(RIGHT(SUBSTITUTE(TRIM(MID(SUBSTITUTE(SUBSTITUTE(Registro!$I453,";",CHAR(10)),CHAR(10),REPT(" ",LEN(Registro!$I453))),({1,2,3,4,5,6,7,8,9,10,11,12,13,14,15,16,17,18,19,20,21,22,23,24,25,26,27,28,29,30}-1)*LEN(Registro!$I453)+1,LEN(Registro!$I453)))," ",REPT(" ",50)),50)))),"Revisar formato"))</f>
        <v/>
      </c>
      <c r="K453" s="24" t="str">
        <f>IF(AND(Registro!$G453="",Registro!$H453=""),"",IF(AND(ISTEXT(I453),I453&lt;&gt;""),"Revisar formato",N(Registro!$G453)-N(I453)))</f>
        <v/>
      </c>
      <c r="L453" s="24" t="str">
        <f t="shared" si="15"/>
        <v/>
      </c>
      <c r="M453" s="36" t="str">
        <f>IF(AND(A453=Consulta!$B$3,C453=Consulta!$H$3),B453*10000+ROW(),"")</f>
        <v/>
      </c>
    </row>
    <row r="454" spans="1:13" x14ac:dyDescent="0.25">
      <c r="A454" s="21" t="str">
        <f>IF(Registro!$A454="","",Registro!$A454)</f>
        <v/>
      </c>
      <c r="B454" s="20" t="str">
        <f>IF(Registro!$B454="","",Registro!$B454)</f>
        <v/>
      </c>
      <c r="C454" s="35" t="str">
        <f t="shared" si="14"/>
        <v/>
      </c>
      <c r="D454" s="23" t="str">
        <f>IF(Registro!$E454="","",IF(ISERROR(FIND("x",LOWER(Registro!$E454))),"-",IFERROR(SUMPRODUCT(--("0"&amp;LEFT(TRIM(MID(SUBSTITUTE(SUBSTITUTE(SUBSTITUTE(SUBSTITUTE(SUBSTITUTE(LOWER(Registro!$E454),"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",LEN(Registro!$E454))),({1,2,3,4,5,6,7,8,9,10,11,12,13,14,15,16,17,18,19,20,21,22,23,24,25,26,27,28,29,30}-1)*LEN(Registro!$E454)+1,LEN(Registro!$E454))),FIND("x",TRIM(MID(SUBSTITUTE(SUBSTITUTE(SUBSTITUTE(SUBSTITUTE(SUBSTITUTE(LOWER(Registro!$E454),"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",LEN(Registro!$E454))),({1,2,3,4,5,6,7,8,9,10,11,12,13,14,15,16,17,18,19,20,21,22,23,24,25,26,27,28,29,30}-1)*LEN(Registro!$E454)+1,LEN(Registro!$E454)))&amp;"x")-1))),"Revisar formato")))</f>
        <v/>
      </c>
      <c r="E454" s="24" t="str">
        <f>IF(Registro!$E454="","",IF(ISERROR(FIND("x",LOWER(Registro!$E454))),"-",IFERROR(SUMPRODUCT(--("0"&amp;LEFT(TRIM(MID(SUBSTITUTE(SUBSTITUTE(SUBSTITUTE(SUBSTITUTE(SUBSTITUTE(LOWER(Registro!$E454),"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",LEN(Registro!$E454))),({1,2,3,4,5,6,7,8,9,10,11,12,13,14,15,16,17,18,19,20,21,22,23,24,25,26,27,28,29,30}-1)*LEN(Registro!$E454)+1,LEN(Registro!$E454))),FIND("x",TRIM(MID(SUBSTITUTE(SUBSTITUTE(SUBSTITUTE(SUBSTITUTE(SUBSTITUTE(LOWER(Registro!$E454),"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",LEN(Registro!$E454))),({1,2,3,4,5,6,7,8,9,10,11,12,13,14,15,16,17,18,19,20,21,22,23,24,25,26,27,28,29,30}-1)*LEN(Registro!$E454)+1,LEN(Registro!$E454)))&amp;"x")-1)),--("0"&amp;MID(TRIM(MID(SUBSTITUTE(SUBSTITUTE(SUBSTITUTE(SUBSTITUTE(SUBSTITUTE(LOWER(Registro!$E454),"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",LEN(Registro!$E454))),({1,2,3,4,5,6,7,8,9,10,11,12,13,14,15,16,17,18,19,20,21,22,23,24,25,26,27,28,29,30}-1)*LEN(Registro!$E454)+1,LEN(Registro!$E454))),FIND("x",TRIM(MID(SUBSTITUTE(SUBSTITUTE(SUBSTITUTE(SUBSTITUTE(SUBSTITUTE(LOWER(Registro!$E454),"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",LEN(Registro!$E454))),({1,2,3,4,5,6,7,8,9,10,11,12,13,14,15,16,17,18,19,20,21,22,23,24,25,26,27,28,29,30}-1)*LEN(Registro!$E454)+1,LEN(Registro!$E454)))&amp;"x")+1,20))),"Revisar formato")))</f>
        <v/>
      </c>
      <c r="F454" s="23" t="str">
        <f>IF(Registro!$F454="","",IF(ISERROR(FIND("x",LOWER(Registro!$F454))),"-",IFERROR(SUMPRODUCT(--("0"&amp;LEFT(TRIM(MID(SUBSTITUTE(SUBSTITUTE(SUBSTITUTE(SUBSTITUTE(SUBSTITUTE(LOWER(Registro!$F454)," ",""),CHAR(10),"|"),";","|"),"+","|"),"|",REPT(" ",LEN(Registro!$F454))),({1,2,3,4,5,6,7,8,9,10,11,12,13,14,15,16,17,18,19,20,21,22,23,24,25,26,27,28,29,30}-1)*LEN(Registro!$F454)+1,LEN(Registro!$F454))),FIND("x",TRIM(MID(SUBSTITUTE(SUBSTITUTE(SUBSTITUTE(SUBSTITUTE(SUBSTITUTE(LOWER(Registro!$F454)," ",""),CHAR(10),"|"),";","|"),"+","|"),"|",REPT(" ",LEN(Registro!$F454))),({1,2,3,4,5,6,7,8,9,10,11,12,13,14,15,16,17,18,19,20,21,22,23,24,25,26,27,28,29,30}-1)*LEN(Registro!$F454)+1,LEN(Registro!$F454)))&amp;"x")-1))),"Revisar formato")))</f>
        <v/>
      </c>
      <c r="G454" s="24" t="str">
        <f>IF(Registro!$F454="","",IF(ISERROR(FIND("x",LOWER(Registro!$F454))),N(Registro!$G454),IFERROR(SUMPRODUCT(--("0"&amp;LEFT(TRIM(MID(SUBSTITUTE(SUBSTITUTE(SUBSTITUTE(SUBSTITUTE(SUBSTITUTE(LOWER(Registro!$F454)," ",""),CHAR(10),"|"),";","|"),"+","|"),"|",REPT(" ",LEN(Registro!$F454))),({1,2,3,4,5,6,7,8,9,10,11,12,13,14,15,16,17,18,19,20,21,22,23,24,25,26,27,28,29,30}-1)*LEN(Registro!$F454)+1,LEN(Registro!$F454))),FIND("x",TRIM(MID(SUBSTITUTE(SUBSTITUTE(SUBSTITUTE(SUBSTITUTE(SUBSTITUTE(LOWER(Registro!$F454)," ",""),CHAR(10),"|"),";","|"),"+","|"),"|",REPT(" ",LEN(Registro!$F454))),({1,2,3,4,5,6,7,8,9,10,11,12,13,14,15,16,17,18,19,20,21,22,23,24,25,26,27,28,29,30}-1)*LEN(Registro!$F454)+1,LEN(Registro!$F454)))&amp;"x")-1)),--("0"&amp;MID(TRIM(MID(SUBSTITUTE(SUBSTITUTE(SUBSTITUTE(SUBSTITUTE(SUBSTITUTE(LOWER(Registro!$F454)," ",""),CHAR(10),"|"),";","|"),"+","|"),"|",REPT(" ",LEN(Registro!$F454))),({1,2,3,4,5,6,7,8,9,10,11,12,13,14,15,16,17,18,19,20,21,22,23,24,25,26,27,28,29,30}-1)*LEN(Registro!$F454)+1,LEN(Registro!$F454))),FIND("x",TRIM(MID(SUBSTITUTE(SUBSTITUTE(SUBSTITUTE(SUBSTITUTE(SUBSTITUTE(LOWER(Registro!$F454)," ",""),CHAR(10),"|"),";","|"),"+","|"),"|",REPT(" ",LEN(Registro!$F454))),({1,2,3,4,5,6,7,8,9,10,11,12,13,14,15,16,17,18,19,20,21,22,23,24,25,26,27,28,29,30}-1)*LEN(Registro!$F454)+1,LEN(Registro!$F454)))&amp;"x")+1,20))),"Revisar formato")))</f>
        <v/>
      </c>
      <c r="H454" s="21" t="str">
        <f>IF(AND(Registro!$E454="",Registro!$F454=""),"",IF(NOT(AND(ISNUMBER(G454),ISNUMBER(Registro!$G454))),"",IF(G454&lt;Registro!$G454,"FALTA BOLETOS",IF(G454=Registro!$G454,"CONFORME","DIFERENCIA"))))</f>
        <v/>
      </c>
      <c r="I454" s="24" t="str">
        <f>IF(Registro!$H454="","",IFERROR(SUMPRODUCT(--("0"&amp;TRIM(RIGHT(SUBSTITUTE(TRIM(MID(SUBSTITUTE(SUBSTITUTE(Registro!$H454,";",CHAR(10)),CHAR(10),REPT(" ",LEN(Registro!$H454))),({1,2,3,4,5,6,7,8,9,10,11,12,13,14,15,16,17,18,19,20,21,22,23,24,25,26,27,28,29,30}-1)*LEN(Registro!$H454)+1,LEN(Registro!$H454)))," ",REPT(" ",50)),50)))),"Revisar formato"))</f>
        <v/>
      </c>
      <c r="J454" s="24" t="str">
        <f>IF(Registro!$I454="","",IFERROR(SUMPRODUCT(--("0"&amp;TRIM(RIGHT(SUBSTITUTE(TRIM(MID(SUBSTITUTE(SUBSTITUTE(Registro!$I454,";",CHAR(10)),CHAR(10),REPT(" ",LEN(Registro!$I454))),({1,2,3,4,5,6,7,8,9,10,11,12,13,14,15,16,17,18,19,20,21,22,23,24,25,26,27,28,29,30}-1)*LEN(Registro!$I454)+1,LEN(Registro!$I454)))," ",REPT(" ",50)),50)))),"Revisar formato"))</f>
        <v/>
      </c>
      <c r="K454" s="24" t="str">
        <f>IF(AND(Registro!$G454="",Registro!$H454=""),"",IF(AND(ISTEXT(I454),I454&lt;&gt;""),"Revisar formato",N(Registro!$G454)-N(I454)))</f>
        <v/>
      </c>
      <c r="L454" s="24" t="str">
        <f t="shared" si="15"/>
        <v/>
      </c>
      <c r="M454" s="36" t="str">
        <f>IF(AND(A454=Consulta!$B$3,C454=Consulta!$H$3),B454*10000+ROW(),"")</f>
        <v/>
      </c>
    </row>
    <row r="455" spans="1:13" x14ac:dyDescent="0.25">
      <c r="A455" s="21" t="str">
        <f>IF(Registro!$A455="","",Registro!$A455)</f>
        <v/>
      </c>
      <c r="B455" s="20" t="str">
        <f>IF(Registro!$B455="","",Registro!$B455)</f>
        <v/>
      </c>
      <c r="C455" s="35" t="str">
        <f t="shared" si="14"/>
        <v/>
      </c>
      <c r="D455" s="23" t="str">
        <f>IF(Registro!$E455="","",IF(ISERROR(FIND("x",LOWER(Registro!$E455))),"-",IFERROR(SUMPRODUCT(--("0"&amp;LEFT(TRIM(MID(SUBSTITUTE(SUBSTITUTE(SUBSTITUTE(SUBSTITUTE(SUBSTITUTE(LOWER(Registro!$E455),"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",LEN(Registro!$E455))),({1,2,3,4,5,6,7,8,9,10,11,12,13,14,15,16,17,18,19,20,21,22,23,24,25,26,27,28,29,30}-1)*LEN(Registro!$E455)+1,LEN(Registro!$E455))),FIND("x",TRIM(MID(SUBSTITUTE(SUBSTITUTE(SUBSTITUTE(SUBSTITUTE(SUBSTITUTE(LOWER(Registro!$E455),"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",LEN(Registro!$E455))),({1,2,3,4,5,6,7,8,9,10,11,12,13,14,15,16,17,18,19,20,21,22,23,24,25,26,27,28,29,30}-1)*LEN(Registro!$E455)+1,LEN(Registro!$E455)))&amp;"x")-1))),"Revisar formato")))</f>
        <v/>
      </c>
      <c r="E455" s="24" t="str">
        <f>IF(Registro!$E455="","",IF(ISERROR(FIND("x",LOWER(Registro!$E455))),"-",IFERROR(SUMPRODUCT(--("0"&amp;LEFT(TRIM(MID(SUBSTITUTE(SUBSTITUTE(SUBSTITUTE(SUBSTITUTE(SUBSTITUTE(LOWER(Registro!$E455),"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",LEN(Registro!$E455))),({1,2,3,4,5,6,7,8,9,10,11,12,13,14,15,16,17,18,19,20,21,22,23,24,25,26,27,28,29,30}-1)*LEN(Registro!$E455)+1,LEN(Registro!$E455))),FIND("x",TRIM(MID(SUBSTITUTE(SUBSTITUTE(SUBSTITUTE(SUBSTITUTE(SUBSTITUTE(LOWER(Registro!$E455),"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",LEN(Registro!$E455))),({1,2,3,4,5,6,7,8,9,10,11,12,13,14,15,16,17,18,19,20,21,22,23,24,25,26,27,28,29,30}-1)*LEN(Registro!$E455)+1,LEN(Registro!$E455)))&amp;"x")-1)),--("0"&amp;MID(TRIM(MID(SUBSTITUTE(SUBSTITUTE(SUBSTITUTE(SUBSTITUTE(SUBSTITUTE(LOWER(Registro!$E455),"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",LEN(Registro!$E455))),({1,2,3,4,5,6,7,8,9,10,11,12,13,14,15,16,17,18,19,20,21,22,23,24,25,26,27,28,29,30}-1)*LEN(Registro!$E455)+1,LEN(Registro!$E455))),FIND("x",TRIM(MID(SUBSTITUTE(SUBSTITUTE(SUBSTITUTE(SUBSTITUTE(SUBSTITUTE(LOWER(Registro!$E455),"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",LEN(Registro!$E455))),({1,2,3,4,5,6,7,8,9,10,11,12,13,14,15,16,17,18,19,20,21,22,23,24,25,26,27,28,29,30}-1)*LEN(Registro!$E455)+1,LEN(Registro!$E455)))&amp;"x")+1,20))),"Revisar formato")))</f>
        <v/>
      </c>
      <c r="F455" s="23" t="str">
        <f>IF(Registro!$F455="","",IF(ISERROR(FIND("x",LOWER(Registro!$F455))),"-",IFERROR(SUMPRODUCT(--("0"&amp;LEFT(TRIM(MID(SUBSTITUTE(SUBSTITUTE(SUBSTITUTE(SUBSTITUTE(SUBSTITUTE(LOWER(Registro!$F455)," ",""),CHAR(10),"|"),";","|"),"+","|"),"|",REPT(" ",LEN(Registro!$F455))),({1,2,3,4,5,6,7,8,9,10,11,12,13,14,15,16,17,18,19,20,21,22,23,24,25,26,27,28,29,30}-1)*LEN(Registro!$F455)+1,LEN(Registro!$F455))),FIND("x",TRIM(MID(SUBSTITUTE(SUBSTITUTE(SUBSTITUTE(SUBSTITUTE(SUBSTITUTE(LOWER(Registro!$F455)," ",""),CHAR(10),"|"),";","|"),"+","|"),"|",REPT(" ",LEN(Registro!$F455))),({1,2,3,4,5,6,7,8,9,10,11,12,13,14,15,16,17,18,19,20,21,22,23,24,25,26,27,28,29,30}-1)*LEN(Registro!$F455)+1,LEN(Registro!$F455)))&amp;"x")-1))),"Revisar formato")))</f>
        <v/>
      </c>
      <c r="G455" s="24" t="str">
        <f>IF(Registro!$F455="","",IF(ISERROR(FIND("x",LOWER(Registro!$F455))),N(Registro!$G455),IFERROR(SUMPRODUCT(--("0"&amp;LEFT(TRIM(MID(SUBSTITUTE(SUBSTITUTE(SUBSTITUTE(SUBSTITUTE(SUBSTITUTE(LOWER(Registro!$F455)," ",""),CHAR(10),"|"),";","|"),"+","|"),"|",REPT(" ",LEN(Registro!$F455))),({1,2,3,4,5,6,7,8,9,10,11,12,13,14,15,16,17,18,19,20,21,22,23,24,25,26,27,28,29,30}-1)*LEN(Registro!$F455)+1,LEN(Registro!$F455))),FIND("x",TRIM(MID(SUBSTITUTE(SUBSTITUTE(SUBSTITUTE(SUBSTITUTE(SUBSTITUTE(LOWER(Registro!$F455)," ",""),CHAR(10),"|"),";","|"),"+","|"),"|",REPT(" ",LEN(Registro!$F455))),({1,2,3,4,5,6,7,8,9,10,11,12,13,14,15,16,17,18,19,20,21,22,23,24,25,26,27,28,29,30}-1)*LEN(Registro!$F455)+1,LEN(Registro!$F455)))&amp;"x")-1)),--("0"&amp;MID(TRIM(MID(SUBSTITUTE(SUBSTITUTE(SUBSTITUTE(SUBSTITUTE(SUBSTITUTE(LOWER(Registro!$F455)," ",""),CHAR(10),"|"),";","|"),"+","|"),"|",REPT(" ",LEN(Registro!$F455))),({1,2,3,4,5,6,7,8,9,10,11,12,13,14,15,16,17,18,19,20,21,22,23,24,25,26,27,28,29,30}-1)*LEN(Registro!$F455)+1,LEN(Registro!$F455))),FIND("x",TRIM(MID(SUBSTITUTE(SUBSTITUTE(SUBSTITUTE(SUBSTITUTE(SUBSTITUTE(LOWER(Registro!$F455)," ",""),CHAR(10),"|"),";","|"),"+","|"),"|",REPT(" ",LEN(Registro!$F455))),({1,2,3,4,5,6,7,8,9,10,11,12,13,14,15,16,17,18,19,20,21,22,23,24,25,26,27,28,29,30}-1)*LEN(Registro!$F455)+1,LEN(Registro!$F455)))&amp;"x")+1,20))),"Revisar formato")))</f>
        <v/>
      </c>
      <c r="H455" s="21" t="str">
        <f>IF(AND(Registro!$E455="",Registro!$F455=""),"",IF(NOT(AND(ISNUMBER(G455),ISNUMBER(Registro!$G455))),"",IF(G455&lt;Registro!$G455,"FALTA BOLETOS",IF(G455=Registro!$G455,"CONFORME","DIFERENCIA"))))</f>
        <v/>
      </c>
      <c r="I455" s="24" t="str">
        <f>IF(Registro!$H455="","",IFERROR(SUMPRODUCT(--("0"&amp;TRIM(RIGHT(SUBSTITUTE(TRIM(MID(SUBSTITUTE(SUBSTITUTE(Registro!$H455,";",CHAR(10)),CHAR(10),REPT(" ",LEN(Registro!$H455))),({1,2,3,4,5,6,7,8,9,10,11,12,13,14,15,16,17,18,19,20,21,22,23,24,25,26,27,28,29,30}-1)*LEN(Registro!$H455)+1,LEN(Registro!$H455)))," ",REPT(" ",50)),50)))),"Revisar formato"))</f>
        <v/>
      </c>
      <c r="J455" s="24" t="str">
        <f>IF(Registro!$I455="","",IFERROR(SUMPRODUCT(--("0"&amp;TRIM(RIGHT(SUBSTITUTE(TRIM(MID(SUBSTITUTE(SUBSTITUTE(Registro!$I455,";",CHAR(10)),CHAR(10),REPT(" ",LEN(Registro!$I455))),({1,2,3,4,5,6,7,8,9,10,11,12,13,14,15,16,17,18,19,20,21,22,23,24,25,26,27,28,29,30}-1)*LEN(Registro!$I455)+1,LEN(Registro!$I455)))," ",REPT(" ",50)),50)))),"Revisar formato"))</f>
        <v/>
      </c>
      <c r="K455" s="24" t="str">
        <f>IF(AND(Registro!$G455="",Registro!$H455=""),"",IF(AND(ISTEXT(I455),I455&lt;&gt;""),"Revisar formato",N(Registro!$G455)-N(I455)))</f>
        <v/>
      </c>
      <c r="L455" s="24" t="str">
        <f t="shared" si="15"/>
        <v/>
      </c>
      <c r="M455" s="36" t="str">
        <f>IF(AND(A455=Consulta!$B$3,C455=Consulta!$H$3),B455*10000+ROW(),"")</f>
        <v/>
      </c>
    </row>
    <row r="456" spans="1:13" x14ac:dyDescent="0.25">
      <c r="A456" s="21" t="str">
        <f>IF(Registro!$A456="","",Registro!$A456)</f>
        <v/>
      </c>
      <c r="B456" s="20" t="str">
        <f>IF(Registro!$B456="","",Registro!$B456)</f>
        <v/>
      </c>
      <c r="C456" s="35" t="str">
        <f t="shared" si="14"/>
        <v/>
      </c>
      <c r="D456" s="23" t="str">
        <f>IF(Registro!$E456="","",IF(ISERROR(FIND("x",LOWER(Registro!$E456))),"-",IFERROR(SUMPRODUCT(--("0"&amp;LEFT(TRIM(MID(SUBSTITUTE(SUBSTITUTE(SUBSTITUTE(SUBSTITUTE(SUBSTITUTE(LOWER(Registro!$E456),"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",LEN(Registro!$E456))),({1,2,3,4,5,6,7,8,9,10,11,12,13,14,15,16,17,18,19,20,21,22,23,24,25,26,27,28,29,30}-1)*LEN(Registro!$E456)+1,LEN(Registro!$E456))),FIND("x",TRIM(MID(SUBSTITUTE(SUBSTITUTE(SUBSTITUTE(SUBSTITUTE(SUBSTITUTE(LOWER(Registro!$E456),"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",LEN(Registro!$E456))),({1,2,3,4,5,6,7,8,9,10,11,12,13,14,15,16,17,18,19,20,21,22,23,24,25,26,27,28,29,30}-1)*LEN(Registro!$E456)+1,LEN(Registro!$E456)))&amp;"x")-1))),"Revisar formato")))</f>
        <v/>
      </c>
      <c r="E456" s="24" t="str">
        <f>IF(Registro!$E456="","",IF(ISERROR(FIND("x",LOWER(Registro!$E456))),"-",IFERROR(SUMPRODUCT(--("0"&amp;LEFT(TRIM(MID(SUBSTITUTE(SUBSTITUTE(SUBSTITUTE(SUBSTITUTE(SUBSTITUTE(LOWER(Registro!$E456),"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",LEN(Registro!$E456))),({1,2,3,4,5,6,7,8,9,10,11,12,13,14,15,16,17,18,19,20,21,22,23,24,25,26,27,28,29,30}-1)*LEN(Registro!$E456)+1,LEN(Registro!$E456))),FIND("x",TRIM(MID(SUBSTITUTE(SUBSTITUTE(SUBSTITUTE(SUBSTITUTE(SUBSTITUTE(LOWER(Registro!$E456),"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",LEN(Registro!$E456))),({1,2,3,4,5,6,7,8,9,10,11,12,13,14,15,16,17,18,19,20,21,22,23,24,25,26,27,28,29,30}-1)*LEN(Registro!$E456)+1,LEN(Registro!$E456)))&amp;"x")-1)),--("0"&amp;MID(TRIM(MID(SUBSTITUTE(SUBSTITUTE(SUBSTITUTE(SUBSTITUTE(SUBSTITUTE(LOWER(Registro!$E456),"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",LEN(Registro!$E456))),({1,2,3,4,5,6,7,8,9,10,11,12,13,14,15,16,17,18,19,20,21,22,23,24,25,26,27,28,29,30}-1)*LEN(Registro!$E456)+1,LEN(Registro!$E456))),FIND("x",TRIM(MID(SUBSTITUTE(SUBSTITUTE(SUBSTITUTE(SUBSTITUTE(SUBSTITUTE(LOWER(Registro!$E456),"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",LEN(Registro!$E456))),({1,2,3,4,5,6,7,8,9,10,11,12,13,14,15,16,17,18,19,20,21,22,23,24,25,26,27,28,29,30}-1)*LEN(Registro!$E456)+1,LEN(Registro!$E456)))&amp;"x")+1,20))),"Revisar formato")))</f>
        <v/>
      </c>
      <c r="F456" s="23" t="str">
        <f>IF(Registro!$F456="","",IF(ISERROR(FIND("x",LOWER(Registro!$F456))),"-",IFERROR(SUMPRODUCT(--("0"&amp;LEFT(TRIM(MID(SUBSTITUTE(SUBSTITUTE(SUBSTITUTE(SUBSTITUTE(SUBSTITUTE(LOWER(Registro!$F456)," ",""),CHAR(10),"|"),";","|"),"+","|"),"|",REPT(" ",LEN(Registro!$F456))),({1,2,3,4,5,6,7,8,9,10,11,12,13,14,15,16,17,18,19,20,21,22,23,24,25,26,27,28,29,30}-1)*LEN(Registro!$F456)+1,LEN(Registro!$F456))),FIND("x",TRIM(MID(SUBSTITUTE(SUBSTITUTE(SUBSTITUTE(SUBSTITUTE(SUBSTITUTE(LOWER(Registro!$F456)," ",""),CHAR(10),"|"),";","|"),"+","|"),"|",REPT(" ",LEN(Registro!$F456))),({1,2,3,4,5,6,7,8,9,10,11,12,13,14,15,16,17,18,19,20,21,22,23,24,25,26,27,28,29,30}-1)*LEN(Registro!$F456)+1,LEN(Registro!$F456)))&amp;"x")-1))),"Revisar formato")))</f>
        <v/>
      </c>
      <c r="G456" s="24" t="str">
        <f>IF(Registro!$F456="","",IF(ISERROR(FIND("x",LOWER(Registro!$F456))),N(Registro!$G456),IFERROR(SUMPRODUCT(--("0"&amp;LEFT(TRIM(MID(SUBSTITUTE(SUBSTITUTE(SUBSTITUTE(SUBSTITUTE(SUBSTITUTE(LOWER(Registro!$F456)," ",""),CHAR(10),"|"),";","|"),"+","|"),"|",REPT(" ",LEN(Registro!$F456))),({1,2,3,4,5,6,7,8,9,10,11,12,13,14,15,16,17,18,19,20,21,22,23,24,25,26,27,28,29,30}-1)*LEN(Registro!$F456)+1,LEN(Registro!$F456))),FIND("x",TRIM(MID(SUBSTITUTE(SUBSTITUTE(SUBSTITUTE(SUBSTITUTE(SUBSTITUTE(LOWER(Registro!$F456)," ",""),CHAR(10),"|"),";","|"),"+","|"),"|",REPT(" ",LEN(Registro!$F456))),({1,2,3,4,5,6,7,8,9,10,11,12,13,14,15,16,17,18,19,20,21,22,23,24,25,26,27,28,29,30}-1)*LEN(Registro!$F456)+1,LEN(Registro!$F456)))&amp;"x")-1)),--("0"&amp;MID(TRIM(MID(SUBSTITUTE(SUBSTITUTE(SUBSTITUTE(SUBSTITUTE(SUBSTITUTE(LOWER(Registro!$F456)," ",""),CHAR(10),"|"),";","|"),"+","|"),"|",REPT(" ",LEN(Registro!$F456))),({1,2,3,4,5,6,7,8,9,10,11,12,13,14,15,16,17,18,19,20,21,22,23,24,25,26,27,28,29,30}-1)*LEN(Registro!$F456)+1,LEN(Registro!$F456))),FIND("x",TRIM(MID(SUBSTITUTE(SUBSTITUTE(SUBSTITUTE(SUBSTITUTE(SUBSTITUTE(LOWER(Registro!$F456)," ",""),CHAR(10),"|"),";","|"),"+","|"),"|",REPT(" ",LEN(Registro!$F456))),({1,2,3,4,5,6,7,8,9,10,11,12,13,14,15,16,17,18,19,20,21,22,23,24,25,26,27,28,29,30}-1)*LEN(Registro!$F456)+1,LEN(Registro!$F456)))&amp;"x")+1,20))),"Revisar formato")))</f>
        <v/>
      </c>
      <c r="H456" s="21" t="str">
        <f>IF(AND(Registro!$E456="",Registro!$F456=""),"",IF(NOT(AND(ISNUMBER(G456),ISNUMBER(Registro!$G456))),"",IF(G456&lt;Registro!$G456,"FALTA BOLETOS",IF(G456=Registro!$G456,"CONFORME","DIFERENCIA"))))</f>
        <v/>
      </c>
      <c r="I456" s="24" t="str">
        <f>IF(Registro!$H456="","",IFERROR(SUMPRODUCT(--("0"&amp;TRIM(RIGHT(SUBSTITUTE(TRIM(MID(SUBSTITUTE(SUBSTITUTE(Registro!$H456,";",CHAR(10)),CHAR(10),REPT(" ",LEN(Registro!$H456))),({1,2,3,4,5,6,7,8,9,10,11,12,13,14,15,16,17,18,19,20,21,22,23,24,25,26,27,28,29,30}-1)*LEN(Registro!$H456)+1,LEN(Registro!$H456)))," ",REPT(" ",50)),50)))),"Revisar formato"))</f>
        <v/>
      </c>
      <c r="J456" s="24" t="str">
        <f>IF(Registro!$I456="","",IFERROR(SUMPRODUCT(--("0"&amp;TRIM(RIGHT(SUBSTITUTE(TRIM(MID(SUBSTITUTE(SUBSTITUTE(Registro!$I456,";",CHAR(10)),CHAR(10),REPT(" ",LEN(Registro!$I456))),({1,2,3,4,5,6,7,8,9,10,11,12,13,14,15,16,17,18,19,20,21,22,23,24,25,26,27,28,29,30}-1)*LEN(Registro!$I456)+1,LEN(Registro!$I456)))," ",REPT(" ",50)),50)))),"Revisar formato"))</f>
        <v/>
      </c>
      <c r="K456" s="24" t="str">
        <f>IF(AND(Registro!$G456="",Registro!$H456=""),"",IF(AND(ISTEXT(I456),I456&lt;&gt;""),"Revisar formato",N(Registro!$G456)-N(I456)))</f>
        <v/>
      </c>
      <c r="L456" s="24" t="str">
        <f t="shared" si="15"/>
        <v/>
      </c>
      <c r="M456" s="36" t="str">
        <f>IF(AND(A456=Consulta!$B$3,C456=Consulta!$H$3),B456*10000+ROW(),"")</f>
        <v/>
      </c>
    </row>
    <row r="457" spans="1:13" x14ac:dyDescent="0.25">
      <c r="A457" s="21" t="str">
        <f>IF(Registro!$A457="","",Registro!$A457)</f>
        <v/>
      </c>
      <c r="B457" s="20" t="str">
        <f>IF(Registro!$B457="","",Registro!$B457)</f>
        <v/>
      </c>
      <c r="C457" s="35" t="str">
        <f t="shared" si="14"/>
        <v/>
      </c>
      <c r="D457" s="23" t="str">
        <f>IF(Registro!$E457="","",IF(ISERROR(FIND("x",LOWER(Registro!$E457))),"-",IFERROR(SUMPRODUCT(--("0"&amp;LEFT(TRIM(MID(SUBSTITUTE(SUBSTITUTE(SUBSTITUTE(SUBSTITUTE(SUBSTITUTE(LOWER(Registro!$E457),"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",LEN(Registro!$E457))),({1,2,3,4,5,6,7,8,9,10,11,12,13,14,15,16,17,18,19,20,21,22,23,24,25,26,27,28,29,30}-1)*LEN(Registro!$E457)+1,LEN(Registro!$E457))),FIND("x",TRIM(MID(SUBSTITUTE(SUBSTITUTE(SUBSTITUTE(SUBSTITUTE(SUBSTITUTE(LOWER(Registro!$E457),"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",LEN(Registro!$E457))),({1,2,3,4,5,6,7,8,9,10,11,12,13,14,15,16,17,18,19,20,21,22,23,24,25,26,27,28,29,30}-1)*LEN(Registro!$E457)+1,LEN(Registro!$E457)))&amp;"x")-1))),"Revisar formato")))</f>
        <v/>
      </c>
      <c r="E457" s="24" t="str">
        <f>IF(Registro!$E457="","",IF(ISERROR(FIND("x",LOWER(Registro!$E457))),"-",IFERROR(SUMPRODUCT(--("0"&amp;LEFT(TRIM(MID(SUBSTITUTE(SUBSTITUTE(SUBSTITUTE(SUBSTITUTE(SUBSTITUTE(LOWER(Registro!$E457),"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",LEN(Registro!$E457))),({1,2,3,4,5,6,7,8,9,10,11,12,13,14,15,16,17,18,19,20,21,22,23,24,25,26,27,28,29,30}-1)*LEN(Registro!$E457)+1,LEN(Registro!$E457))),FIND("x",TRIM(MID(SUBSTITUTE(SUBSTITUTE(SUBSTITUTE(SUBSTITUTE(SUBSTITUTE(LOWER(Registro!$E457),"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",LEN(Registro!$E457))),({1,2,3,4,5,6,7,8,9,10,11,12,13,14,15,16,17,18,19,20,21,22,23,24,25,26,27,28,29,30}-1)*LEN(Registro!$E457)+1,LEN(Registro!$E457)))&amp;"x")-1)),--("0"&amp;MID(TRIM(MID(SUBSTITUTE(SUBSTITUTE(SUBSTITUTE(SUBSTITUTE(SUBSTITUTE(LOWER(Registro!$E457),"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",LEN(Registro!$E457))),({1,2,3,4,5,6,7,8,9,10,11,12,13,14,15,16,17,18,19,20,21,22,23,24,25,26,27,28,29,30}-1)*LEN(Registro!$E457)+1,LEN(Registro!$E457))),FIND("x",TRIM(MID(SUBSTITUTE(SUBSTITUTE(SUBSTITUTE(SUBSTITUTE(SUBSTITUTE(LOWER(Registro!$E457),"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",LEN(Registro!$E457))),({1,2,3,4,5,6,7,8,9,10,11,12,13,14,15,16,17,18,19,20,21,22,23,24,25,26,27,28,29,30}-1)*LEN(Registro!$E457)+1,LEN(Registro!$E457)))&amp;"x")+1,20))),"Revisar formato")))</f>
        <v/>
      </c>
      <c r="F457" s="23" t="str">
        <f>IF(Registro!$F457="","",IF(ISERROR(FIND("x",LOWER(Registro!$F457))),"-",IFERROR(SUMPRODUCT(--("0"&amp;LEFT(TRIM(MID(SUBSTITUTE(SUBSTITUTE(SUBSTITUTE(SUBSTITUTE(SUBSTITUTE(LOWER(Registro!$F457)," ",""),CHAR(10),"|"),";","|"),"+","|"),"|",REPT(" ",LEN(Registro!$F457))),({1,2,3,4,5,6,7,8,9,10,11,12,13,14,15,16,17,18,19,20,21,22,23,24,25,26,27,28,29,30}-1)*LEN(Registro!$F457)+1,LEN(Registro!$F457))),FIND("x",TRIM(MID(SUBSTITUTE(SUBSTITUTE(SUBSTITUTE(SUBSTITUTE(SUBSTITUTE(LOWER(Registro!$F457)," ",""),CHAR(10),"|"),";","|"),"+","|"),"|",REPT(" ",LEN(Registro!$F457))),({1,2,3,4,5,6,7,8,9,10,11,12,13,14,15,16,17,18,19,20,21,22,23,24,25,26,27,28,29,30}-1)*LEN(Registro!$F457)+1,LEN(Registro!$F457)))&amp;"x")-1))),"Revisar formato")))</f>
        <v/>
      </c>
      <c r="G457" s="24" t="str">
        <f>IF(Registro!$F457="","",IF(ISERROR(FIND("x",LOWER(Registro!$F457))),N(Registro!$G457),IFERROR(SUMPRODUCT(--("0"&amp;LEFT(TRIM(MID(SUBSTITUTE(SUBSTITUTE(SUBSTITUTE(SUBSTITUTE(SUBSTITUTE(LOWER(Registro!$F457)," ",""),CHAR(10),"|"),";","|"),"+","|"),"|",REPT(" ",LEN(Registro!$F457))),({1,2,3,4,5,6,7,8,9,10,11,12,13,14,15,16,17,18,19,20,21,22,23,24,25,26,27,28,29,30}-1)*LEN(Registro!$F457)+1,LEN(Registro!$F457))),FIND("x",TRIM(MID(SUBSTITUTE(SUBSTITUTE(SUBSTITUTE(SUBSTITUTE(SUBSTITUTE(LOWER(Registro!$F457)," ",""),CHAR(10),"|"),";","|"),"+","|"),"|",REPT(" ",LEN(Registro!$F457))),({1,2,3,4,5,6,7,8,9,10,11,12,13,14,15,16,17,18,19,20,21,22,23,24,25,26,27,28,29,30}-1)*LEN(Registro!$F457)+1,LEN(Registro!$F457)))&amp;"x")-1)),--("0"&amp;MID(TRIM(MID(SUBSTITUTE(SUBSTITUTE(SUBSTITUTE(SUBSTITUTE(SUBSTITUTE(LOWER(Registro!$F457)," ",""),CHAR(10),"|"),";","|"),"+","|"),"|",REPT(" ",LEN(Registro!$F457))),({1,2,3,4,5,6,7,8,9,10,11,12,13,14,15,16,17,18,19,20,21,22,23,24,25,26,27,28,29,30}-1)*LEN(Registro!$F457)+1,LEN(Registro!$F457))),FIND("x",TRIM(MID(SUBSTITUTE(SUBSTITUTE(SUBSTITUTE(SUBSTITUTE(SUBSTITUTE(LOWER(Registro!$F457)," ",""),CHAR(10),"|"),";","|"),"+","|"),"|",REPT(" ",LEN(Registro!$F457))),({1,2,3,4,5,6,7,8,9,10,11,12,13,14,15,16,17,18,19,20,21,22,23,24,25,26,27,28,29,30}-1)*LEN(Registro!$F457)+1,LEN(Registro!$F457)))&amp;"x")+1,20))),"Revisar formato")))</f>
        <v/>
      </c>
      <c r="H457" s="21" t="str">
        <f>IF(AND(Registro!$E457="",Registro!$F457=""),"",IF(NOT(AND(ISNUMBER(G457),ISNUMBER(Registro!$G457))),"",IF(G457&lt;Registro!$G457,"FALTA BOLETOS",IF(G457=Registro!$G457,"CONFORME","DIFERENCIA"))))</f>
        <v/>
      </c>
      <c r="I457" s="24" t="str">
        <f>IF(Registro!$H457="","",IFERROR(SUMPRODUCT(--("0"&amp;TRIM(RIGHT(SUBSTITUTE(TRIM(MID(SUBSTITUTE(SUBSTITUTE(Registro!$H457,";",CHAR(10)),CHAR(10),REPT(" ",LEN(Registro!$H457))),({1,2,3,4,5,6,7,8,9,10,11,12,13,14,15,16,17,18,19,20,21,22,23,24,25,26,27,28,29,30}-1)*LEN(Registro!$H457)+1,LEN(Registro!$H457)))," ",REPT(" ",50)),50)))),"Revisar formato"))</f>
        <v/>
      </c>
      <c r="J457" s="24" t="str">
        <f>IF(Registro!$I457="","",IFERROR(SUMPRODUCT(--("0"&amp;TRIM(RIGHT(SUBSTITUTE(TRIM(MID(SUBSTITUTE(SUBSTITUTE(Registro!$I457,";",CHAR(10)),CHAR(10),REPT(" ",LEN(Registro!$I457))),({1,2,3,4,5,6,7,8,9,10,11,12,13,14,15,16,17,18,19,20,21,22,23,24,25,26,27,28,29,30}-1)*LEN(Registro!$I457)+1,LEN(Registro!$I457)))," ",REPT(" ",50)),50)))),"Revisar formato"))</f>
        <v/>
      </c>
      <c r="K457" s="24" t="str">
        <f>IF(AND(Registro!$G457="",Registro!$H457=""),"",IF(AND(ISTEXT(I457),I457&lt;&gt;""),"Revisar formato",N(Registro!$G457)-N(I457)))</f>
        <v/>
      </c>
      <c r="L457" s="24" t="str">
        <f t="shared" si="15"/>
        <v/>
      </c>
      <c r="M457" s="36" t="str">
        <f>IF(AND(A457=Consulta!$B$3,C457=Consulta!$H$3),B457*10000+ROW(),"")</f>
        <v/>
      </c>
    </row>
    <row r="458" spans="1:13" x14ac:dyDescent="0.25">
      <c r="A458" s="21" t="str">
        <f>IF(Registro!$A458="","",Registro!$A458)</f>
        <v/>
      </c>
      <c r="B458" s="20" t="str">
        <f>IF(Registro!$B458="","",Registro!$B458)</f>
        <v/>
      </c>
      <c r="C458" s="35" t="str">
        <f t="shared" si="14"/>
        <v/>
      </c>
      <c r="D458" s="23" t="str">
        <f>IF(Registro!$E458="","",IF(ISERROR(FIND("x",LOWER(Registro!$E458))),"-",IFERROR(SUMPRODUCT(--("0"&amp;LEFT(TRIM(MID(SUBSTITUTE(SUBSTITUTE(SUBSTITUTE(SUBSTITUTE(SUBSTITUTE(LOWER(Registro!$E458),"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",LEN(Registro!$E458))),({1,2,3,4,5,6,7,8,9,10,11,12,13,14,15,16,17,18,19,20,21,22,23,24,25,26,27,28,29,30}-1)*LEN(Registro!$E458)+1,LEN(Registro!$E458))),FIND("x",TRIM(MID(SUBSTITUTE(SUBSTITUTE(SUBSTITUTE(SUBSTITUTE(SUBSTITUTE(LOWER(Registro!$E458),"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",LEN(Registro!$E458))),({1,2,3,4,5,6,7,8,9,10,11,12,13,14,15,16,17,18,19,20,21,22,23,24,25,26,27,28,29,30}-1)*LEN(Registro!$E458)+1,LEN(Registro!$E458)))&amp;"x")-1))),"Revisar formato")))</f>
        <v/>
      </c>
      <c r="E458" s="24" t="str">
        <f>IF(Registro!$E458="","",IF(ISERROR(FIND("x",LOWER(Registro!$E458))),"-",IFERROR(SUMPRODUCT(--("0"&amp;LEFT(TRIM(MID(SUBSTITUTE(SUBSTITUTE(SUBSTITUTE(SUBSTITUTE(SUBSTITUTE(LOWER(Registro!$E458),"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",LEN(Registro!$E458))),({1,2,3,4,5,6,7,8,9,10,11,12,13,14,15,16,17,18,19,20,21,22,23,24,25,26,27,28,29,30}-1)*LEN(Registro!$E458)+1,LEN(Registro!$E458))),FIND("x",TRIM(MID(SUBSTITUTE(SUBSTITUTE(SUBSTITUTE(SUBSTITUTE(SUBSTITUTE(LOWER(Registro!$E458),"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",LEN(Registro!$E458))),({1,2,3,4,5,6,7,8,9,10,11,12,13,14,15,16,17,18,19,20,21,22,23,24,25,26,27,28,29,30}-1)*LEN(Registro!$E458)+1,LEN(Registro!$E458)))&amp;"x")-1)),--("0"&amp;MID(TRIM(MID(SUBSTITUTE(SUBSTITUTE(SUBSTITUTE(SUBSTITUTE(SUBSTITUTE(LOWER(Registro!$E458),"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",LEN(Registro!$E458))),({1,2,3,4,5,6,7,8,9,10,11,12,13,14,15,16,17,18,19,20,21,22,23,24,25,26,27,28,29,30}-1)*LEN(Registro!$E458)+1,LEN(Registro!$E458))),FIND("x",TRIM(MID(SUBSTITUTE(SUBSTITUTE(SUBSTITUTE(SUBSTITUTE(SUBSTITUTE(LOWER(Registro!$E458),"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",LEN(Registro!$E458))),({1,2,3,4,5,6,7,8,9,10,11,12,13,14,15,16,17,18,19,20,21,22,23,24,25,26,27,28,29,30}-1)*LEN(Registro!$E458)+1,LEN(Registro!$E458)))&amp;"x")+1,20))),"Revisar formato")))</f>
        <v/>
      </c>
      <c r="F458" s="23" t="str">
        <f>IF(Registro!$F458="","",IF(ISERROR(FIND("x",LOWER(Registro!$F458))),"-",IFERROR(SUMPRODUCT(--("0"&amp;LEFT(TRIM(MID(SUBSTITUTE(SUBSTITUTE(SUBSTITUTE(SUBSTITUTE(SUBSTITUTE(LOWER(Registro!$F458)," ",""),CHAR(10),"|"),";","|"),"+","|"),"|",REPT(" ",LEN(Registro!$F458))),({1,2,3,4,5,6,7,8,9,10,11,12,13,14,15,16,17,18,19,20,21,22,23,24,25,26,27,28,29,30}-1)*LEN(Registro!$F458)+1,LEN(Registro!$F458))),FIND("x",TRIM(MID(SUBSTITUTE(SUBSTITUTE(SUBSTITUTE(SUBSTITUTE(SUBSTITUTE(LOWER(Registro!$F458)," ",""),CHAR(10),"|"),";","|"),"+","|"),"|",REPT(" ",LEN(Registro!$F458))),({1,2,3,4,5,6,7,8,9,10,11,12,13,14,15,16,17,18,19,20,21,22,23,24,25,26,27,28,29,30}-1)*LEN(Registro!$F458)+1,LEN(Registro!$F458)))&amp;"x")-1))),"Revisar formato")))</f>
        <v/>
      </c>
      <c r="G458" s="24" t="str">
        <f>IF(Registro!$F458="","",IF(ISERROR(FIND("x",LOWER(Registro!$F458))),N(Registro!$G458),IFERROR(SUMPRODUCT(--("0"&amp;LEFT(TRIM(MID(SUBSTITUTE(SUBSTITUTE(SUBSTITUTE(SUBSTITUTE(SUBSTITUTE(LOWER(Registro!$F458)," ",""),CHAR(10),"|"),";","|"),"+","|"),"|",REPT(" ",LEN(Registro!$F458))),({1,2,3,4,5,6,7,8,9,10,11,12,13,14,15,16,17,18,19,20,21,22,23,24,25,26,27,28,29,30}-1)*LEN(Registro!$F458)+1,LEN(Registro!$F458))),FIND("x",TRIM(MID(SUBSTITUTE(SUBSTITUTE(SUBSTITUTE(SUBSTITUTE(SUBSTITUTE(LOWER(Registro!$F458)," ",""),CHAR(10),"|"),";","|"),"+","|"),"|",REPT(" ",LEN(Registro!$F458))),({1,2,3,4,5,6,7,8,9,10,11,12,13,14,15,16,17,18,19,20,21,22,23,24,25,26,27,28,29,30}-1)*LEN(Registro!$F458)+1,LEN(Registro!$F458)))&amp;"x")-1)),--("0"&amp;MID(TRIM(MID(SUBSTITUTE(SUBSTITUTE(SUBSTITUTE(SUBSTITUTE(SUBSTITUTE(LOWER(Registro!$F458)," ",""),CHAR(10),"|"),";","|"),"+","|"),"|",REPT(" ",LEN(Registro!$F458))),({1,2,3,4,5,6,7,8,9,10,11,12,13,14,15,16,17,18,19,20,21,22,23,24,25,26,27,28,29,30}-1)*LEN(Registro!$F458)+1,LEN(Registro!$F458))),FIND("x",TRIM(MID(SUBSTITUTE(SUBSTITUTE(SUBSTITUTE(SUBSTITUTE(SUBSTITUTE(LOWER(Registro!$F458)," ",""),CHAR(10),"|"),";","|"),"+","|"),"|",REPT(" ",LEN(Registro!$F458))),({1,2,3,4,5,6,7,8,9,10,11,12,13,14,15,16,17,18,19,20,21,22,23,24,25,26,27,28,29,30}-1)*LEN(Registro!$F458)+1,LEN(Registro!$F458)))&amp;"x")+1,20))),"Revisar formato")))</f>
        <v/>
      </c>
      <c r="H458" s="21" t="str">
        <f>IF(AND(Registro!$E458="",Registro!$F458=""),"",IF(NOT(AND(ISNUMBER(G458),ISNUMBER(Registro!$G458))),"",IF(G458&lt;Registro!$G458,"FALTA BOLETOS",IF(G458=Registro!$G458,"CONFORME","DIFERENCIA"))))</f>
        <v/>
      </c>
      <c r="I458" s="24" t="str">
        <f>IF(Registro!$H458="","",IFERROR(SUMPRODUCT(--("0"&amp;TRIM(RIGHT(SUBSTITUTE(TRIM(MID(SUBSTITUTE(SUBSTITUTE(Registro!$H458,";",CHAR(10)),CHAR(10),REPT(" ",LEN(Registro!$H458))),({1,2,3,4,5,6,7,8,9,10,11,12,13,14,15,16,17,18,19,20,21,22,23,24,25,26,27,28,29,30}-1)*LEN(Registro!$H458)+1,LEN(Registro!$H458)))," ",REPT(" ",50)),50)))),"Revisar formato"))</f>
        <v/>
      </c>
      <c r="J458" s="24" t="str">
        <f>IF(Registro!$I458="","",IFERROR(SUMPRODUCT(--("0"&amp;TRIM(RIGHT(SUBSTITUTE(TRIM(MID(SUBSTITUTE(SUBSTITUTE(Registro!$I458,";",CHAR(10)),CHAR(10),REPT(" ",LEN(Registro!$I458))),({1,2,3,4,5,6,7,8,9,10,11,12,13,14,15,16,17,18,19,20,21,22,23,24,25,26,27,28,29,30}-1)*LEN(Registro!$I458)+1,LEN(Registro!$I458)))," ",REPT(" ",50)),50)))),"Revisar formato"))</f>
        <v/>
      </c>
      <c r="K458" s="24" t="str">
        <f>IF(AND(Registro!$G458="",Registro!$H458=""),"",IF(AND(ISTEXT(I458),I458&lt;&gt;""),"Revisar formato",N(Registro!$G458)-N(I458)))</f>
        <v/>
      </c>
      <c r="L458" s="24" t="str">
        <f t="shared" si="15"/>
        <v/>
      </c>
      <c r="M458" s="36" t="str">
        <f>IF(AND(A458=Consulta!$B$3,C458=Consulta!$H$3),B458*10000+ROW(),"")</f>
        <v/>
      </c>
    </row>
    <row r="459" spans="1:13" x14ac:dyDescent="0.25">
      <c r="A459" s="21" t="str">
        <f>IF(Registro!$A459="","",Registro!$A459)</f>
        <v/>
      </c>
      <c r="B459" s="20" t="str">
        <f>IF(Registro!$B459="","",Registro!$B459)</f>
        <v/>
      </c>
      <c r="C459" s="35" t="str">
        <f t="shared" si="14"/>
        <v/>
      </c>
      <c r="D459" s="23" t="str">
        <f>IF(Registro!$E459="","",IF(ISERROR(FIND("x",LOWER(Registro!$E459))),"-",IFERROR(SUMPRODUCT(--("0"&amp;LEFT(TRIM(MID(SUBSTITUTE(SUBSTITUTE(SUBSTITUTE(SUBSTITUTE(SUBSTITUTE(LOWER(Registro!$E459),"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",LEN(Registro!$E459))),({1,2,3,4,5,6,7,8,9,10,11,12,13,14,15,16,17,18,19,20,21,22,23,24,25,26,27,28,29,30}-1)*LEN(Registro!$E459)+1,LEN(Registro!$E459))),FIND("x",TRIM(MID(SUBSTITUTE(SUBSTITUTE(SUBSTITUTE(SUBSTITUTE(SUBSTITUTE(LOWER(Registro!$E459),"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",LEN(Registro!$E459))),({1,2,3,4,5,6,7,8,9,10,11,12,13,14,15,16,17,18,19,20,21,22,23,24,25,26,27,28,29,30}-1)*LEN(Registro!$E459)+1,LEN(Registro!$E459)))&amp;"x")-1))),"Revisar formato")))</f>
        <v/>
      </c>
      <c r="E459" s="24" t="str">
        <f>IF(Registro!$E459="","",IF(ISERROR(FIND("x",LOWER(Registro!$E459))),"-",IFERROR(SUMPRODUCT(--("0"&amp;LEFT(TRIM(MID(SUBSTITUTE(SUBSTITUTE(SUBSTITUTE(SUBSTITUTE(SUBSTITUTE(LOWER(Registro!$E459),"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",LEN(Registro!$E459))),({1,2,3,4,5,6,7,8,9,10,11,12,13,14,15,16,17,18,19,20,21,22,23,24,25,26,27,28,29,30}-1)*LEN(Registro!$E459)+1,LEN(Registro!$E459))),FIND("x",TRIM(MID(SUBSTITUTE(SUBSTITUTE(SUBSTITUTE(SUBSTITUTE(SUBSTITUTE(LOWER(Registro!$E459),"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",LEN(Registro!$E459))),({1,2,3,4,5,6,7,8,9,10,11,12,13,14,15,16,17,18,19,20,21,22,23,24,25,26,27,28,29,30}-1)*LEN(Registro!$E459)+1,LEN(Registro!$E459)))&amp;"x")-1)),--("0"&amp;MID(TRIM(MID(SUBSTITUTE(SUBSTITUTE(SUBSTITUTE(SUBSTITUTE(SUBSTITUTE(LOWER(Registro!$E459),"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",LEN(Registro!$E459))),({1,2,3,4,5,6,7,8,9,10,11,12,13,14,15,16,17,18,19,20,21,22,23,24,25,26,27,28,29,30}-1)*LEN(Registro!$E459)+1,LEN(Registro!$E459))),FIND("x",TRIM(MID(SUBSTITUTE(SUBSTITUTE(SUBSTITUTE(SUBSTITUTE(SUBSTITUTE(LOWER(Registro!$E459),"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",LEN(Registro!$E459))),({1,2,3,4,5,6,7,8,9,10,11,12,13,14,15,16,17,18,19,20,21,22,23,24,25,26,27,28,29,30}-1)*LEN(Registro!$E459)+1,LEN(Registro!$E459)))&amp;"x")+1,20))),"Revisar formato")))</f>
        <v/>
      </c>
      <c r="F459" s="23" t="str">
        <f>IF(Registro!$F459="","",IF(ISERROR(FIND("x",LOWER(Registro!$F459))),"-",IFERROR(SUMPRODUCT(--("0"&amp;LEFT(TRIM(MID(SUBSTITUTE(SUBSTITUTE(SUBSTITUTE(SUBSTITUTE(SUBSTITUTE(LOWER(Registro!$F459)," ",""),CHAR(10),"|"),";","|"),"+","|"),"|",REPT(" ",LEN(Registro!$F459))),({1,2,3,4,5,6,7,8,9,10,11,12,13,14,15,16,17,18,19,20,21,22,23,24,25,26,27,28,29,30}-1)*LEN(Registro!$F459)+1,LEN(Registro!$F459))),FIND("x",TRIM(MID(SUBSTITUTE(SUBSTITUTE(SUBSTITUTE(SUBSTITUTE(SUBSTITUTE(LOWER(Registro!$F459)," ",""),CHAR(10),"|"),";","|"),"+","|"),"|",REPT(" ",LEN(Registro!$F459))),({1,2,3,4,5,6,7,8,9,10,11,12,13,14,15,16,17,18,19,20,21,22,23,24,25,26,27,28,29,30}-1)*LEN(Registro!$F459)+1,LEN(Registro!$F459)))&amp;"x")-1))),"Revisar formato")))</f>
        <v/>
      </c>
      <c r="G459" s="24" t="str">
        <f>IF(Registro!$F459="","",IF(ISERROR(FIND("x",LOWER(Registro!$F459))),N(Registro!$G459),IFERROR(SUMPRODUCT(--("0"&amp;LEFT(TRIM(MID(SUBSTITUTE(SUBSTITUTE(SUBSTITUTE(SUBSTITUTE(SUBSTITUTE(LOWER(Registro!$F459)," ",""),CHAR(10),"|"),";","|"),"+","|"),"|",REPT(" ",LEN(Registro!$F459))),({1,2,3,4,5,6,7,8,9,10,11,12,13,14,15,16,17,18,19,20,21,22,23,24,25,26,27,28,29,30}-1)*LEN(Registro!$F459)+1,LEN(Registro!$F459))),FIND("x",TRIM(MID(SUBSTITUTE(SUBSTITUTE(SUBSTITUTE(SUBSTITUTE(SUBSTITUTE(LOWER(Registro!$F459)," ",""),CHAR(10),"|"),";","|"),"+","|"),"|",REPT(" ",LEN(Registro!$F459))),({1,2,3,4,5,6,7,8,9,10,11,12,13,14,15,16,17,18,19,20,21,22,23,24,25,26,27,28,29,30}-1)*LEN(Registro!$F459)+1,LEN(Registro!$F459)))&amp;"x")-1)),--("0"&amp;MID(TRIM(MID(SUBSTITUTE(SUBSTITUTE(SUBSTITUTE(SUBSTITUTE(SUBSTITUTE(LOWER(Registro!$F459)," ",""),CHAR(10),"|"),";","|"),"+","|"),"|",REPT(" ",LEN(Registro!$F459))),({1,2,3,4,5,6,7,8,9,10,11,12,13,14,15,16,17,18,19,20,21,22,23,24,25,26,27,28,29,30}-1)*LEN(Registro!$F459)+1,LEN(Registro!$F459))),FIND("x",TRIM(MID(SUBSTITUTE(SUBSTITUTE(SUBSTITUTE(SUBSTITUTE(SUBSTITUTE(LOWER(Registro!$F459)," ",""),CHAR(10),"|"),";","|"),"+","|"),"|",REPT(" ",LEN(Registro!$F459))),({1,2,3,4,5,6,7,8,9,10,11,12,13,14,15,16,17,18,19,20,21,22,23,24,25,26,27,28,29,30}-1)*LEN(Registro!$F459)+1,LEN(Registro!$F459)))&amp;"x")+1,20))),"Revisar formato")))</f>
        <v/>
      </c>
      <c r="H459" s="21" t="str">
        <f>IF(AND(Registro!$E459="",Registro!$F459=""),"",IF(NOT(AND(ISNUMBER(G459),ISNUMBER(Registro!$G459))),"",IF(G459&lt;Registro!$G459,"FALTA BOLETOS",IF(G459=Registro!$G459,"CONFORME","DIFERENCIA"))))</f>
        <v/>
      </c>
      <c r="I459" s="24" t="str">
        <f>IF(Registro!$H459="","",IFERROR(SUMPRODUCT(--("0"&amp;TRIM(RIGHT(SUBSTITUTE(TRIM(MID(SUBSTITUTE(SUBSTITUTE(Registro!$H459,";",CHAR(10)),CHAR(10),REPT(" ",LEN(Registro!$H459))),({1,2,3,4,5,6,7,8,9,10,11,12,13,14,15,16,17,18,19,20,21,22,23,24,25,26,27,28,29,30}-1)*LEN(Registro!$H459)+1,LEN(Registro!$H459)))," ",REPT(" ",50)),50)))),"Revisar formato"))</f>
        <v/>
      </c>
      <c r="J459" s="24" t="str">
        <f>IF(Registro!$I459="","",IFERROR(SUMPRODUCT(--("0"&amp;TRIM(RIGHT(SUBSTITUTE(TRIM(MID(SUBSTITUTE(SUBSTITUTE(Registro!$I459,";",CHAR(10)),CHAR(10),REPT(" ",LEN(Registro!$I459))),({1,2,3,4,5,6,7,8,9,10,11,12,13,14,15,16,17,18,19,20,21,22,23,24,25,26,27,28,29,30}-1)*LEN(Registro!$I459)+1,LEN(Registro!$I459)))," ",REPT(" ",50)),50)))),"Revisar formato"))</f>
        <v/>
      </c>
      <c r="K459" s="24" t="str">
        <f>IF(AND(Registro!$G459="",Registro!$H459=""),"",IF(AND(ISTEXT(I459),I459&lt;&gt;""),"Revisar formato",N(Registro!$G459)-N(I459)))</f>
        <v/>
      </c>
      <c r="L459" s="24" t="str">
        <f t="shared" si="15"/>
        <v/>
      </c>
      <c r="M459" s="36" t="str">
        <f>IF(AND(A459=Consulta!$B$3,C459=Consulta!$H$3),B459*10000+ROW(),"")</f>
        <v/>
      </c>
    </row>
    <row r="460" spans="1:13" x14ac:dyDescent="0.25">
      <c r="A460" s="21" t="str">
        <f>IF(Registro!$A460="","",Registro!$A460)</f>
        <v/>
      </c>
      <c r="B460" s="20" t="str">
        <f>IF(Registro!$B460="","",Registro!$B460)</f>
        <v/>
      </c>
      <c r="C460" s="35" t="str">
        <f t="shared" si="14"/>
        <v/>
      </c>
      <c r="D460" s="23" t="str">
        <f>IF(Registro!$E460="","",IF(ISERROR(FIND("x",LOWER(Registro!$E460))),"-",IFERROR(SUMPRODUCT(--("0"&amp;LEFT(TRIM(MID(SUBSTITUTE(SUBSTITUTE(SUBSTITUTE(SUBSTITUTE(SUBSTITUTE(LOWER(Registro!$E460),"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",LEN(Registro!$E460))),({1,2,3,4,5,6,7,8,9,10,11,12,13,14,15,16,17,18,19,20,21,22,23,24,25,26,27,28,29,30}-1)*LEN(Registro!$E460)+1,LEN(Registro!$E460))),FIND("x",TRIM(MID(SUBSTITUTE(SUBSTITUTE(SUBSTITUTE(SUBSTITUTE(SUBSTITUTE(LOWER(Registro!$E460),"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",LEN(Registro!$E460))),({1,2,3,4,5,6,7,8,9,10,11,12,13,14,15,16,17,18,19,20,21,22,23,24,25,26,27,28,29,30}-1)*LEN(Registro!$E460)+1,LEN(Registro!$E460)))&amp;"x")-1))),"Revisar formato")))</f>
        <v/>
      </c>
      <c r="E460" s="24" t="str">
        <f>IF(Registro!$E460="","",IF(ISERROR(FIND("x",LOWER(Registro!$E460))),"-",IFERROR(SUMPRODUCT(--("0"&amp;LEFT(TRIM(MID(SUBSTITUTE(SUBSTITUTE(SUBSTITUTE(SUBSTITUTE(SUBSTITUTE(LOWER(Registro!$E460),"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",LEN(Registro!$E460))),({1,2,3,4,5,6,7,8,9,10,11,12,13,14,15,16,17,18,19,20,21,22,23,24,25,26,27,28,29,30}-1)*LEN(Registro!$E460)+1,LEN(Registro!$E460))),FIND("x",TRIM(MID(SUBSTITUTE(SUBSTITUTE(SUBSTITUTE(SUBSTITUTE(SUBSTITUTE(LOWER(Registro!$E460),"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",LEN(Registro!$E460))),({1,2,3,4,5,6,7,8,9,10,11,12,13,14,15,16,17,18,19,20,21,22,23,24,25,26,27,28,29,30}-1)*LEN(Registro!$E460)+1,LEN(Registro!$E460)))&amp;"x")-1)),--("0"&amp;MID(TRIM(MID(SUBSTITUTE(SUBSTITUTE(SUBSTITUTE(SUBSTITUTE(SUBSTITUTE(LOWER(Registro!$E460),"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",LEN(Registro!$E460))),({1,2,3,4,5,6,7,8,9,10,11,12,13,14,15,16,17,18,19,20,21,22,23,24,25,26,27,28,29,30}-1)*LEN(Registro!$E460)+1,LEN(Registro!$E460))),FIND("x",TRIM(MID(SUBSTITUTE(SUBSTITUTE(SUBSTITUTE(SUBSTITUTE(SUBSTITUTE(LOWER(Registro!$E460),"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",LEN(Registro!$E460))),({1,2,3,4,5,6,7,8,9,10,11,12,13,14,15,16,17,18,19,20,21,22,23,24,25,26,27,28,29,30}-1)*LEN(Registro!$E460)+1,LEN(Registro!$E460)))&amp;"x")+1,20))),"Revisar formato")))</f>
        <v/>
      </c>
      <c r="F460" s="23" t="str">
        <f>IF(Registro!$F460="","",IF(ISERROR(FIND("x",LOWER(Registro!$F460))),"-",IFERROR(SUMPRODUCT(--("0"&amp;LEFT(TRIM(MID(SUBSTITUTE(SUBSTITUTE(SUBSTITUTE(SUBSTITUTE(SUBSTITUTE(LOWER(Registro!$F460)," ",""),CHAR(10),"|"),";","|"),"+","|"),"|",REPT(" ",LEN(Registro!$F460))),({1,2,3,4,5,6,7,8,9,10,11,12,13,14,15,16,17,18,19,20,21,22,23,24,25,26,27,28,29,30}-1)*LEN(Registro!$F460)+1,LEN(Registro!$F460))),FIND("x",TRIM(MID(SUBSTITUTE(SUBSTITUTE(SUBSTITUTE(SUBSTITUTE(SUBSTITUTE(LOWER(Registro!$F460)," ",""),CHAR(10),"|"),";","|"),"+","|"),"|",REPT(" ",LEN(Registro!$F460))),({1,2,3,4,5,6,7,8,9,10,11,12,13,14,15,16,17,18,19,20,21,22,23,24,25,26,27,28,29,30}-1)*LEN(Registro!$F460)+1,LEN(Registro!$F460)))&amp;"x")-1))),"Revisar formato")))</f>
        <v/>
      </c>
      <c r="G460" s="24" t="str">
        <f>IF(Registro!$F460="","",IF(ISERROR(FIND("x",LOWER(Registro!$F460))),N(Registro!$G460),IFERROR(SUMPRODUCT(--("0"&amp;LEFT(TRIM(MID(SUBSTITUTE(SUBSTITUTE(SUBSTITUTE(SUBSTITUTE(SUBSTITUTE(LOWER(Registro!$F460)," ",""),CHAR(10),"|"),";","|"),"+","|"),"|",REPT(" ",LEN(Registro!$F460))),({1,2,3,4,5,6,7,8,9,10,11,12,13,14,15,16,17,18,19,20,21,22,23,24,25,26,27,28,29,30}-1)*LEN(Registro!$F460)+1,LEN(Registro!$F460))),FIND("x",TRIM(MID(SUBSTITUTE(SUBSTITUTE(SUBSTITUTE(SUBSTITUTE(SUBSTITUTE(LOWER(Registro!$F460)," ",""),CHAR(10),"|"),";","|"),"+","|"),"|",REPT(" ",LEN(Registro!$F460))),({1,2,3,4,5,6,7,8,9,10,11,12,13,14,15,16,17,18,19,20,21,22,23,24,25,26,27,28,29,30}-1)*LEN(Registro!$F460)+1,LEN(Registro!$F460)))&amp;"x")-1)),--("0"&amp;MID(TRIM(MID(SUBSTITUTE(SUBSTITUTE(SUBSTITUTE(SUBSTITUTE(SUBSTITUTE(LOWER(Registro!$F460)," ",""),CHAR(10),"|"),";","|"),"+","|"),"|",REPT(" ",LEN(Registro!$F460))),({1,2,3,4,5,6,7,8,9,10,11,12,13,14,15,16,17,18,19,20,21,22,23,24,25,26,27,28,29,30}-1)*LEN(Registro!$F460)+1,LEN(Registro!$F460))),FIND("x",TRIM(MID(SUBSTITUTE(SUBSTITUTE(SUBSTITUTE(SUBSTITUTE(SUBSTITUTE(LOWER(Registro!$F460)," ",""),CHAR(10),"|"),";","|"),"+","|"),"|",REPT(" ",LEN(Registro!$F460))),({1,2,3,4,5,6,7,8,9,10,11,12,13,14,15,16,17,18,19,20,21,22,23,24,25,26,27,28,29,30}-1)*LEN(Registro!$F460)+1,LEN(Registro!$F460)))&amp;"x")+1,20))),"Revisar formato")))</f>
        <v/>
      </c>
      <c r="H460" s="21" t="str">
        <f>IF(AND(Registro!$E460="",Registro!$F460=""),"",IF(NOT(AND(ISNUMBER(G460),ISNUMBER(Registro!$G460))),"",IF(G460&lt;Registro!$G460,"FALTA BOLETOS",IF(G460=Registro!$G460,"CONFORME","DIFERENCIA"))))</f>
        <v/>
      </c>
      <c r="I460" s="24" t="str">
        <f>IF(Registro!$H460="","",IFERROR(SUMPRODUCT(--("0"&amp;TRIM(RIGHT(SUBSTITUTE(TRIM(MID(SUBSTITUTE(SUBSTITUTE(Registro!$H460,";",CHAR(10)),CHAR(10),REPT(" ",LEN(Registro!$H460))),({1,2,3,4,5,6,7,8,9,10,11,12,13,14,15,16,17,18,19,20,21,22,23,24,25,26,27,28,29,30}-1)*LEN(Registro!$H460)+1,LEN(Registro!$H460)))," ",REPT(" ",50)),50)))),"Revisar formato"))</f>
        <v/>
      </c>
      <c r="J460" s="24" t="str">
        <f>IF(Registro!$I460="","",IFERROR(SUMPRODUCT(--("0"&amp;TRIM(RIGHT(SUBSTITUTE(TRIM(MID(SUBSTITUTE(SUBSTITUTE(Registro!$I460,";",CHAR(10)),CHAR(10),REPT(" ",LEN(Registro!$I460))),({1,2,3,4,5,6,7,8,9,10,11,12,13,14,15,16,17,18,19,20,21,22,23,24,25,26,27,28,29,30}-1)*LEN(Registro!$I460)+1,LEN(Registro!$I460)))," ",REPT(" ",50)),50)))),"Revisar formato"))</f>
        <v/>
      </c>
      <c r="K460" s="24" t="str">
        <f>IF(AND(Registro!$G460="",Registro!$H460=""),"",IF(AND(ISTEXT(I460),I460&lt;&gt;""),"Revisar formato",N(Registro!$G460)-N(I460)))</f>
        <v/>
      </c>
      <c r="L460" s="24" t="str">
        <f t="shared" si="15"/>
        <v/>
      </c>
      <c r="M460" s="36" t="str">
        <f>IF(AND(A460=Consulta!$B$3,C460=Consulta!$H$3),B460*10000+ROW(),"")</f>
        <v/>
      </c>
    </row>
    <row r="461" spans="1:13" x14ac:dyDescent="0.25">
      <c r="A461" s="21" t="str">
        <f>IF(Registro!$A461="","",Registro!$A461)</f>
        <v/>
      </c>
      <c r="B461" s="20" t="str">
        <f>IF(Registro!$B461="","",Registro!$B461)</f>
        <v/>
      </c>
      <c r="C461" s="35" t="str">
        <f t="shared" si="14"/>
        <v/>
      </c>
      <c r="D461" s="23" t="str">
        <f>IF(Registro!$E461="","",IF(ISERROR(FIND("x",LOWER(Registro!$E461))),"-",IFERROR(SUMPRODUCT(--("0"&amp;LEFT(TRIM(MID(SUBSTITUTE(SUBSTITUTE(SUBSTITUTE(SUBSTITUTE(SUBSTITUTE(LOWER(Registro!$E461),"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",LEN(Registro!$E461))),({1,2,3,4,5,6,7,8,9,10,11,12,13,14,15,16,17,18,19,20,21,22,23,24,25,26,27,28,29,30}-1)*LEN(Registro!$E461)+1,LEN(Registro!$E461))),FIND("x",TRIM(MID(SUBSTITUTE(SUBSTITUTE(SUBSTITUTE(SUBSTITUTE(SUBSTITUTE(LOWER(Registro!$E461),"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",LEN(Registro!$E461))),({1,2,3,4,5,6,7,8,9,10,11,12,13,14,15,16,17,18,19,20,21,22,23,24,25,26,27,28,29,30}-1)*LEN(Registro!$E461)+1,LEN(Registro!$E461)))&amp;"x")-1))),"Revisar formato")))</f>
        <v/>
      </c>
      <c r="E461" s="24" t="str">
        <f>IF(Registro!$E461="","",IF(ISERROR(FIND("x",LOWER(Registro!$E461))),"-",IFERROR(SUMPRODUCT(--("0"&amp;LEFT(TRIM(MID(SUBSTITUTE(SUBSTITUTE(SUBSTITUTE(SUBSTITUTE(SUBSTITUTE(LOWER(Registro!$E461),"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",LEN(Registro!$E461))),({1,2,3,4,5,6,7,8,9,10,11,12,13,14,15,16,17,18,19,20,21,22,23,24,25,26,27,28,29,30}-1)*LEN(Registro!$E461)+1,LEN(Registro!$E461))),FIND("x",TRIM(MID(SUBSTITUTE(SUBSTITUTE(SUBSTITUTE(SUBSTITUTE(SUBSTITUTE(LOWER(Registro!$E461),"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",LEN(Registro!$E461))),({1,2,3,4,5,6,7,8,9,10,11,12,13,14,15,16,17,18,19,20,21,22,23,24,25,26,27,28,29,30}-1)*LEN(Registro!$E461)+1,LEN(Registro!$E461)))&amp;"x")-1)),--("0"&amp;MID(TRIM(MID(SUBSTITUTE(SUBSTITUTE(SUBSTITUTE(SUBSTITUTE(SUBSTITUTE(LOWER(Registro!$E461),"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",LEN(Registro!$E461))),({1,2,3,4,5,6,7,8,9,10,11,12,13,14,15,16,17,18,19,20,21,22,23,24,25,26,27,28,29,30}-1)*LEN(Registro!$E461)+1,LEN(Registro!$E461))),FIND("x",TRIM(MID(SUBSTITUTE(SUBSTITUTE(SUBSTITUTE(SUBSTITUTE(SUBSTITUTE(LOWER(Registro!$E461),"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",LEN(Registro!$E461))),({1,2,3,4,5,6,7,8,9,10,11,12,13,14,15,16,17,18,19,20,21,22,23,24,25,26,27,28,29,30}-1)*LEN(Registro!$E461)+1,LEN(Registro!$E461)))&amp;"x")+1,20))),"Revisar formato")))</f>
        <v/>
      </c>
      <c r="F461" s="23" t="str">
        <f>IF(Registro!$F461="","",IF(ISERROR(FIND("x",LOWER(Registro!$F461))),"-",IFERROR(SUMPRODUCT(--("0"&amp;LEFT(TRIM(MID(SUBSTITUTE(SUBSTITUTE(SUBSTITUTE(SUBSTITUTE(SUBSTITUTE(LOWER(Registro!$F461)," ",""),CHAR(10),"|"),";","|"),"+","|"),"|",REPT(" ",LEN(Registro!$F461))),({1,2,3,4,5,6,7,8,9,10,11,12,13,14,15,16,17,18,19,20,21,22,23,24,25,26,27,28,29,30}-1)*LEN(Registro!$F461)+1,LEN(Registro!$F461))),FIND("x",TRIM(MID(SUBSTITUTE(SUBSTITUTE(SUBSTITUTE(SUBSTITUTE(SUBSTITUTE(LOWER(Registro!$F461)," ",""),CHAR(10),"|"),";","|"),"+","|"),"|",REPT(" ",LEN(Registro!$F461))),({1,2,3,4,5,6,7,8,9,10,11,12,13,14,15,16,17,18,19,20,21,22,23,24,25,26,27,28,29,30}-1)*LEN(Registro!$F461)+1,LEN(Registro!$F461)))&amp;"x")-1))),"Revisar formato")))</f>
        <v/>
      </c>
      <c r="G461" s="24" t="str">
        <f>IF(Registro!$F461="","",IF(ISERROR(FIND("x",LOWER(Registro!$F461))),N(Registro!$G461),IFERROR(SUMPRODUCT(--("0"&amp;LEFT(TRIM(MID(SUBSTITUTE(SUBSTITUTE(SUBSTITUTE(SUBSTITUTE(SUBSTITUTE(LOWER(Registro!$F461)," ",""),CHAR(10),"|"),";","|"),"+","|"),"|",REPT(" ",LEN(Registro!$F461))),({1,2,3,4,5,6,7,8,9,10,11,12,13,14,15,16,17,18,19,20,21,22,23,24,25,26,27,28,29,30}-1)*LEN(Registro!$F461)+1,LEN(Registro!$F461))),FIND("x",TRIM(MID(SUBSTITUTE(SUBSTITUTE(SUBSTITUTE(SUBSTITUTE(SUBSTITUTE(LOWER(Registro!$F461)," ",""),CHAR(10),"|"),";","|"),"+","|"),"|",REPT(" ",LEN(Registro!$F461))),({1,2,3,4,5,6,7,8,9,10,11,12,13,14,15,16,17,18,19,20,21,22,23,24,25,26,27,28,29,30}-1)*LEN(Registro!$F461)+1,LEN(Registro!$F461)))&amp;"x")-1)),--("0"&amp;MID(TRIM(MID(SUBSTITUTE(SUBSTITUTE(SUBSTITUTE(SUBSTITUTE(SUBSTITUTE(LOWER(Registro!$F461)," ",""),CHAR(10),"|"),";","|"),"+","|"),"|",REPT(" ",LEN(Registro!$F461))),({1,2,3,4,5,6,7,8,9,10,11,12,13,14,15,16,17,18,19,20,21,22,23,24,25,26,27,28,29,30}-1)*LEN(Registro!$F461)+1,LEN(Registro!$F461))),FIND("x",TRIM(MID(SUBSTITUTE(SUBSTITUTE(SUBSTITUTE(SUBSTITUTE(SUBSTITUTE(LOWER(Registro!$F461)," ",""),CHAR(10),"|"),";","|"),"+","|"),"|",REPT(" ",LEN(Registro!$F461))),({1,2,3,4,5,6,7,8,9,10,11,12,13,14,15,16,17,18,19,20,21,22,23,24,25,26,27,28,29,30}-1)*LEN(Registro!$F461)+1,LEN(Registro!$F461)))&amp;"x")+1,20))),"Revisar formato")))</f>
        <v/>
      </c>
      <c r="H461" s="21" t="str">
        <f>IF(AND(Registro!$E461="",Registro!$F461=""),"",IF(NOT(AND(ISNUMBER(G461),ISNUMBER(Registro!$G461))),"",IF(G461&lt;Registro!$G461,"FALTA BOLETOS",IF(G461=Registro!$G461,"CONFORME","DIFERENCIA"))))</f>
        <v/>
      </c>
      <c r="I461" s="24" t="str">
        <f>IF(Registro!$H461="","",IFERROR(SUMPRODUCT(--("0"&amp;TRIM(RIGHT(SUBSTITUTE(TRIM(MID(SUBSTITUTE(SUBSTITUTE(Registro!$H461,";",CHAR(10)),CHAR(10),REPT(" ",LEN(Registro!$H461))),({1,2,3,4,5,6,7,8,9,10,11,12,13,14,15,16,17,18,19,20,21,22,23,24,25,26,27,28,29,30}-1)*LEN(Registro!$H461)+1,LEN(Registro!$H461)))," ",REPT(" ",50)),50)))),"Revisar formato"))</f>
        <v/>
      </c>
      <c r="J461" s="24" t="str">
        <f>IF(Registro!$I461="","",IFERROR(SUMPRODUCT(--("0"&amp;TRIM(RIGHT(SUBSTITUTE(TRIM(MID(SUBSTITUTE(SUBSTITUTE(Registro!$I461,";",CHAR(10)),CHAR(10),REPT(" ",LEN(Registro!$I461))),({1,2,3,4,5,6,7,8,9,10,11,12,13,14,15,16,17,18,19,20,21,22,23,24,25,26,27,28,29,30}-1)*LEN(Registro!$I461)+1,LEN(Registro!$I461)))," ",REPT(" ",50)),50)))),"Revisar formato"))</f>
        <v/>
      </c>
      <c r="K461" s="24" t="str">
        <f>IF(AND(Registro!$G461="",Registro!$H461=""),"",IF(AND(ISTEXT(I461),I461&lt;&gt;""),"Revisar formato",N(Registro!$G461)-N(I461)))</f>
        <v/>
      </c>
      <c r="L461" s="24" t="str">
        <f t="shared" si="15"/>
        <v/>
      </c>
      <c r="M461" s="36" t="str">
        <f>IF(AND(A461=Consulta!$B$3,C461=Consulta!$H$3),B461*10000+ROW(),"")</f>
        <v/>
      </c>
    </row>
    <row r="462" spans="1:13" x14ac:dyDescent="0.25">
      <c r="A462" s="21" t="str">
        <f>IF(Registro!$A462="","",Registro!$A462)</f>
        <v/>
      </c>
      <c r="B462" s="20" t="str">
        <f>IF(Registro!$B462="","",Registro!$B462)</f>
        <v/>
      </c>
      <c r="C462" s="35" t="str">
        <f t="shared" si="14"/>
        <v/>
      </c>
      <c r="D462" s="23" t="str">
        <f>IF(Registro!$E462="","",IF(ISERROR(FIND("x",LOWER(Registro!$E462))),"-",IFERROR(SUMPRODUCT(--("0"&amp;LEFT(TRIM(MID(SUBSTITUTE(SUBSTITUTE(SUBSTITUTE(SUBSTITUTE(SUBSTITUTE(LOWER(Registro!$E462),"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",LEN(Registro!$E462))),({1,2,3,4,5,6,7,8,9,10,11,12,13,14,15,16,17,18,19,20,21,22,23,24,25,26,27,28,29,30}-1)*LEN(Registro!$E462)+1,LEN(Registro!$E462))),FIND("x",TRIM(MID(SUBSTITUTE(SUBSTITUTE(SUBSTITUTE(SUBSTITUTE(SUBSTITUTE(LOWER(Registro!$E462),"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",LEN(Registro!$E462))),({1,2,3,4,5,6,7,8,9,10,11,12,13,14,15,16,17,18,19,20,21,22,23,24,25,26,27,28,29,30}-1)*LEN(Registro!$E462)+1,LEN(Registro!$E462)))&amp;"x")-1))),"Revisar formato")))</f>
        <v/>
      </c>
      <c r="E462" s="24" t="str">
        <f>IF(Registro!$E462="","",IF(ISERROR(FIND("x",LOWER(Registro!$E462))),"-",IFERROR(SUMPRODUCT(--("0"&amp;LEFT(TRIM(MID(SUBSTITUTE(SUBSTITUTE(SUBSTITUTE(SUBSTITUTE(SUBSTITUTE(LOWER(Registro!$E462),"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",LEN(Registro!$E462))),({1,2,3,4,5,6,7,8,9,10,11,12,13,14,15,16,17,18,19,20,21,22,23,24,25,26,27,28,29,30}-1)*LEN(Registro!$E462)+1,LEN(Registro!$E462))),FIND("x",TRIM(MID(SUBSTITUTE(SUBSTITUTE(SUBSTITUTE(SUBSTITUTE(SUBSTITUTE(LOWER(Registro!$E462),"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",LEN(Registro!$E462))),({1,2,3,4,5,6,7,8,9,10,11,12,13,14,15,16,17,18,19,20,21,22,23,24,25,26,27,28,29,30}-1)*LEN(Registro!$E462)+1,LEN(Registro!$E462)))&amp;"x")-1)),--("0"&amp;MID(TRIM(MID(SUBSTITUTE(SUBSTITUTE(SUBSTITUTE(SUBSTITUTE(SUBSTITUTE(LOWER(Registro!$E462),"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",LEN(Registro!$E462))),({1,2,3,4,5,6,7,8,9,10,11,12,13,14,15,16,17,18,19,20,21,22,23,24,25,26,27,28,29,30}-1)*LEN(Registro!$E462)+1,LEN(Registro!$E462))),FIND("x",TRIM(MID(SUBSTITUTE(SUBSTITUTE(SUBSTITUTE(SUBSTITUTE(SUBSTITUTE(LOWER(Registro!$E462),"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",LEN(Registro!$E462))),({1,2,3,4,5,6,7,8,9,10,11,12,13,14,15,16,17,18,19,20,21,22,23,24,25,26,27,28,29,30}-1)*LEN(Registro!$E462)+1,LEN(Registro!$E462)))&amp;"x")+1,20))),"Revisar formato")))</f>
        <v/>
      </c>
      <c r="F462" s="23" t="str">
        <f>IF(Registro!$F462="","",IF(ISERROR(FIND("x",LOWER(Registro!$F462))),"-",IFERROR(SUMPRODUCT(--("0"&amp;LEFT(TRIM(MID(SUBSTITUTE(SUBSTITUTE(SUBSTITUTE(SUBSTITUTE(SUBSTITUTE(LOWER(Registro!$F462)," ",""),CHAR(10),"|"),";","|"),"+","|"),"|",REPT(" ",LEN(Registro!$F462))),({1,2,3,4,5,6,7,8,9,10,11,12,13,14,15,16,17,18,19,20,21,22,23,24,25,26,27,28,29,30}-1)*LEN(Registro!$F462)+1,LEN(Registro!$F462))),FIND("x",TRIM(MID(SUBSTITUTE(SUBSTITUTE(SUBSTITUTE(SUBSTITUTE(SUBSTITUTE(LOWER(Registro!$F462)," ",""),CHAR(10),"|"),";","|"),"+","|"),"|",REPT(" ",LEN(Registro!$F462))),({1,2,3,4,5,6,7,8,9,10,11,12,13,14,15,16,17,18,19,20,21,22,23,24,25,26,27,28,29,30}-1)*LEN(Registro!$F462)+1,LEN(Registro!$F462)))&amp;"x")-1))),"Revisar formato")))</f>
        <v/>
      </c>
      <c r="G462" s="24" t="str">
        <f>IF(Registro!$F462="","",IF(ISERROR(FIND("x",LOWER(Registro!$F462))),N(Registro!$G462),IFERROR(SUMPRODUCT(--("0"&amp;LEFT(TRIM(MID(SUBSTITUTE(SUBSTITUTE(SUBSTITUTE(SUBSTITUTE(SUBSTITUTE(LOWER(Registro!$F462)," ",""),CHAR(10),"|"),";","|"),"+","|"),"|",REPT(" ",LEN(Registro!$F462))),({1,2,3,4,5,6,7,8,9,10,11,12,13,14,15,16,17,18,19,20,21,22,23,24,25,26,27,28,29,30}-1)*LEN(Registro!$F462)+1,LEN(Registro!$F462))),FIND("x",TRIM(MID(SUBSTITUTE(SUBSTITUTE(SUBSTITUTE(SUBSTITUTE(SUBSTITUTE(LOWER(Registro!$F462)," ",""),CHAR(10),"|"),";","|"),"+","|"),"|",REPT(" ",LEN(Registro!$F462))),({1,2,3,4,5,6,7,8,9,10,11,12,13,14,15,16,17,18,19,20,21,22,23,24,25,26,27,28,29,30}-1)*LEN(Registro!$F462)+1,LEN(Registro!$F462)))&amp;"x")-1)),--("0"&amp;MID(TRIM(MID(SUBSTITUTE(SUBSTITUTE(SUBSTITUTE(SUBSTITUTE(SUBSTITUTE(LOWER(Registro!$F462)," ",""),CHAR(10),"|"),";","|"),"+","|"),"|",REPT(" ",LEN(Registro!$F462))),({1,2,3,4,5,6,7,8,9,10,11,12,13,14,15,16,17,18,19,20,21,22,23,24,25,26,27,28,29,30}-1)*LEN(Registro!$F462)+1,LEN(Registro!$F462))),FIND("x",TRIM(MID(SUBSTITUTE(SUBSTITUTE(SUBSTITUTE(SUBSTITUTE(SUBSTITUTE(LOWER(Registro!$F462)," ",""),CHAR(10),"|"),";","|"),"+","|"),"|",REPT(" ",LEN(Registro!$F462))),({1,2,3,4,5,6,7,8,9,10,11,12,13,14,15,16,17,18,19,20,21,22,23,24,25,26,27,28,29,30}-1)*LEN(Registro!$F462)+1,LEN(Registro!$F462)))&amp;"x")+1,20))),"Revisar formato")))</f>
        <v/>
      </c>
      <c r="H462" s="21" t="str">
        <f>IF(AND(Registro!$E462="",Registro!$F462=""),"",IF(NOT(AND(ISNUMBER(G462),ISNUMBER(Registro!$G462))),"",IF(G462&lt;Registro!$G462,"FALTA BOLETOS",IF(G462=Registro!$G462,"CONFORME","DIFERENCIA"))))</f>
        <v/>
      </c>
      <c r="I462" s="24" t="str">
        <f>IF(Registro!$H462="","",IFERROR(SUMPRODUCT(--("0"&amp;TRIM(RIGHT(SUBSTITUTE(TRIM(MID(SUBSTITUTE(SUBSTITUTE(Registro!$H462,";",CHAR(10)),CHAR(10),REPT(" ",LEN(Registro!$H462))),({1,2,3,4,5,6,7,8,9,10,11,12,13,14,15,16,17,18,19,20,21,22,23,24,25,26,27,28,29,30}-1)*LEN(Registro!$H462)+1,LEN(Registro!$H462)))," ",REPT(" ",50)),50)))),"Revisar formato"))</f>
        <v/>
      </c>
      <c r="J462" s="24" t="str">
        <f>IF(Registro!$I462="","",IFERROR(SUMPRODUCT(--("0"&amp;TRIM(RIGHT(SUBSTITUTE(TRIM(MID(SUBSTITUTE(SUBSTITUTE(Registro!$I462,";",CHAR(10)),CHAR(10),REPT(" ",LEN(Registro!$I462))),({1,2,3,4,5,6,7,8,9,10,11,12,13,14,15,16,17,18,19,20,21,22,23,24,25,26,27,28,29,30}-1)*LEN(Registro!$I462)+1,LEN(Registro!$I462)))," ",REPT(" ",50)),50)))),"Revisar formato"))</f>
        <v/>
      </c>
      <c r="K462" s="24" t="str">
        <f>IF(AND(Registro!$G462="",Registro!$H462=""),"",IF(AND(ISTEXT(I462),I462&lt;&gt;""),"Revisar formato",N(Registro!$G462)-N(I462)))</f>
        <v/>
      </c>
      <c r="L462" s="24" t="str">
        <f t="shared" si="15"/>
        <v/>
      </c>
      <c r="M462" s="36" t="str">
        <f>IF(AND(A462=Consulta!$B$3,C462=Consulta!$H$3),B462*10000+ROW(),"")</f>
        <v/>
      </c>
    </row>
    <row r="463" spans="1:13" x14ac:dyDescent="0.25">
      <c r="A463" s="21" t="str">
        <f>IF(Registro!$A463="","",Registro!$A463)</f>
        <v/>
      </c>
      <c r="B463" s="20" t="str">
        <f>IF(Registro!$B463="","",Registro!$B463)</f>
        <v/>
      </c>
      <c r="C463" s="35" t="str">
        <f t="shared" si="14"/>
        <v/>
      </c>
      <c r="D463" s="23" t="str">
        <f>IF(Registro!$E463="","",IF(ISERROR(FIND("x",LOWER(Registro!$E463))),"-",IFERROR(SUMPRODUCT(--("0"&amp;LEFT(TRIM(MID(SUBSTITUTE(SUBSTITUTE(SUBSTITUTE(SUBSTITUTE(SUBSTITUTE(LOWER(Registro!$E463),"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",LEN(Registro!$E463))),({1,2,3,4,5,6,7,8,9,10,11,12,13,14,15,16,17,18,19,20,21,22,23,24,25,26,27,28,29,30}-1)*LEN(Registro!$E463)+1,LEN(Registro!$E463))),FIND("x",TRIM(MID(SUBSTITUTE(SUBSTITUTE(SUBSTITUTE(SUBSTITUTE(SUBSTITUTE(LOWER(Registro!$E463),"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",LEN(Registro!$E463))),({1,2,3,4,5,6,7,8,9,10,11,12,13,14,15,16,17,18,19,20,21,22,23,24,25,26,27,28,29,30}-1)*LEN(Registro!$E463)+1,LEN(Registro!$E463)))&amp;"x")-1))),"Revisar formato")))</f>
        <v/>
      </c>
      <c r="E463" s="24" t="str">
        <f>IF(Registro!$E463="","",IF(ISERROR(FIND("x",LOWER(Registro!$E463))),"-",IFERROR(SUMPRODUCT(--("0"&amp;LEFT(TRIM(MID(SUBSTITUTE(SUBSTITUTE(SUBSTITUTE(SUBSTITUTE(SUBSTITUTE(LOWER(Registro!$E463),"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",LEN(Registro!$E463))),({1,2,3,4,5,6,7,8,9,10,11,12,13,14,15,16,17,18,19,20,21,22,23,24,25,26,27,28,29,30}-1)*LEN(Registro!$E463)+1,LEN(Registro!$E463))),FIND("x",TRIM(MID(SUBSTITUTE(SUBSTITUTE(SUBSTITUTE(SUBSTITUTE(SUBSTITUTE(LOWER(Registro!$E463),"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",LEN(Registro!$E463))),({1,2,3,4,5,6,7,8,9,10,11,12,13,14,15,16,17,18,19,20,21,22,23,24,25,26,27,28,29,30}-1)*LEN(Registro!$E463)+1,LEN(Registro!$E463)))&amp;"x")-1)),--("0"&amp;MID(TRIM(MID(SUBSTITUTE(SUBSTITUTE(SUBSTITUTE(SUBSTITUTE(SUBSTITUTE(LOWER(Registro!$E463),"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",LEN(Registro!$E463))),({1,2,3,4,5,6,7,8,9,10,11,12,13,14,15,16,17,18,19,20,21,22,23,24,25,26,27,28,29,30}-1)*LEN(Registro!$E463)+1,LEN(Registro!$E463))),FIND("x",TRIM(MID(SUBSTITUTE(SUBSTITUTE(SUBSTITUTE(SUBSTITUTE(SUBSTITUTE(LOWER(Registro!$E463),"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",LEN(Registro!$E463))),({1,2,3,4,5,6,7,8,9,10,11,12,13,14,15,16,17,18,19,20,21,22,23,24,25,26,27,28,29,30}-1)*LEN(Registro!$E463)+1,LEN(Registro!$E463)))&amp;"x")+1,20))),"Revisar formato")))</f>
        <v/>
      </c>
      <c r="F463" s="23" t="str">
        <f>IF(Registro!$F463="","",IF(ISERROR(FIND("x",LOWER(Registro!$F463))),"-",IFERROR(SUMPRODUCT(--("0"&amp;LEFT(TRIM(MID(SUBSTITUTE(SUBSTITUTE(SUBSTITUTE(SUBSTITUTE(SUBSTITUTE(LOWER(Registro!$F463)," ",""),CHAR(10),"|"),";","|"),"+","|"),"|",REPT(" ",LEN(Registro!$F463))),({1,2,3,4,5,6,7,8,9,10,11,12,13,14,15,16,17,18,19,20,21,22,23,24,25,26,27,28,29,30}-1)*LEN(Registro!$F463)+1,LEN(Registro!$F463))),FIND("x",TRIM(MID(SUBSTITUTE(SUBSTITUTE(SUBSTITUTE(SUBSTITUTE(SUBSTITUTE(LOWER(Registro!$F463)," ",""),CHAR(10),"|"),";","|"),"+","|"),"|",REPT(" ",LEN(Registro!$F463))),({1,2,3,4,5,6,7,8,9,10,11,12,13,14,15,16,17,18,19,20,21,22,23,24,25,26,27,28,29,30}-1)*LEN(Registro!$F463)+1,LEN(Registro!$F463)))&amp;"x")-1))),"Revisar formato")))</f>
        <v/>
      </c>
      <c r="G463" s="24" t="str">
        <f>IF(Registro!$F463="","",IF(ISERROR(FIND("x",LOWER(Registro!$F463))),N(Registro!$G463),IFERROR(SUMPRODUCT(--("0"&amp;LEFT(TRIM(MID(SUBSTITUTE(SUBSTITUTE(SUBSTITUTE(SUBSTITUTE(SUBSTITUTE(LOWER(Registro!$F463)," ",""),CHAR(10),"|"),";","|"),"+","|"),"|",REPT(" ",LEN(Registro!$F463))),({1,2,3,4,5,6,7,8,9,10,11,12,13,14,15,16,17,18,19,20,21,22,23,24,25,26,27,28,29,30}-1)*LEN(Registro!$F463)+1,LEN(Registro!$F463))),FIND("x",TRIM(MID(SUBSTITUTE(SUBSTITUTE(SUBSTITUTE(SUBSTITUTE(SUBSTITUTE(LOWER(Registro!$F463)," ",""),CHAR(10),"|"),";","|"),"+","|"),"|",REPT(" ",LEN(Registro!$F463))),({1,2,3,4,5,6,7,8,9,10,11,12,13,14,15,16,17,18,19,20,21,22,23,24,25,26,27,28,29,30}-1)*LEN(Registro!$F463)+1,LEN(Registro!$F463)))&amp;"x")-1)),--("0"&amp;MID(TRIM(MID(SUBSTITUTE(SUBSTITUTE(SUBSTITUTE(SUBSTITUTE(SUBSTITUTE(LOWER(Registro!$F463)," ",""),CHAR(10),"|"),";","|"),"+","|"),"|",REPT(" ",LEN(Registro!$F463))),({1,2,3,4,5,6,7,8,9,10,11,12,13,14,15,16,17,18,19,20,21,22,23,24,25,26,27,28,29,30}-1)*LEN(Registro!$F463)+1,LEN(Registro!$F463))),FIND("x",TRIM(MID(SUBSTITUTE(SUBSTITUTE(SUBSTITUTE(SUBSTITUTE(SUBSTITUTE(LOWER(Registro!$F463)," ",""),CHAR(10),"|"),";","|"),"+","|"),"|",REPT(" ",LEN(Registro!$F463))),({1,2,3,4,5,6,7,8,9,10,11,12,13,14,15,16,17,18,19,20,21,22,23,24,25,26,27,28,29,30}-1)*LEN(Registro!$F463)+1,LEN(Registro!$F463)))&amp;"x")+1,20))),"Revisar formato")))</f>
        <v/>
      </c>
      <c r="H463" s="21" t="str">
        <f>IF(AND(Registro!$E463="",Registro!$F463=""),"",IF(NOT(AND(ISNUMBER(G463),ISNUMBER(Registro!$G463))),"",IF(G463&lt;Registro!$G463,"FALTA BOLETOS",IF(G463=Registro!$G463,"CONFORME","DIFERENCIA"))))</f>
        <v/>
      </c>
      <c r="I463" s="24" t="str">
        <f>IF(Registro!$H463="","",IFERROR(SUMPRODUCT(--("0"&amp;TRIM(RIGHT(SUBSTITUTE(TRIM(MID(SUBSTITUTE(SUBSTITUTE(Registro!$H463,";",CHAR(10)),CHAR(10),REPT(" ",LEN(Registro!$H463))),({1,2,3,4,5,6,7,8,9,10,11,12,13,14,15,16,17,18,19,20,21,22,23,24,25,26,27,28,29,30}-1)*LEN(Registro!$H463)+1,LEN(Registro!$H463)))," ",REPT(" ",50)),50)))),"Revisar formato"))</f>
        <v/>
      </c>
      <c r="J463" s="24" t="str">
        <f>IF(Registro!$I463="","",IFERROR(SUMPRODUCT(--("0"&amp;TRIM(RIGHT(SUBSTITUTE(TRIM(MID(SUBSTITUTE(SUBSTITUTE(Registro!$I463,";",CHAR(10)),CHAR(10),REPT(" ",LEN(Registro!$I463))),({1,2,3,4,5,6,7,8,9,10,11,12,13,14,15,16,17,18,19,20,21,22,23,24,25,26,27,28,29,30}-1)*LEN(Registro!$I463)+1,LEN(Registro!$I463)))," ",REPT(" ",50)),50)))),"Revisar formato"))</f>
        <v/>
      </c>
      <c r="K463" s="24" t="str">
        <f>IF(AND(Registro!$G463="",Registro!$H463=""),"",IF(AND(ISTEXT(I463),I463&lt;&gt;""),"Revisar formato",N(Registro!$G463)-N(I463)))</f>
        <v/>
      </c>
      <c r="L463" s="24" t="str">
        <f t="shared" si="15"/>
        <v/>
      </c>
      <c r="M463" s="36" t="str">
        <f>IF(AND(A463=Consulta!$B$3,C463=Consulta!$H$3),B463*10000+ROW(),"")</f>
        <v/>
      </c>
    </row>
    <row r="464" spans="1:13" x14ac:dyDescent="0.25">
      <c r="A464" s="21" t="str">
        <f>IF(Registro!$A464="","",Registro!$A464)</f>
        <v/>
      </c>
      <c r="B464" s="20" t="str">
        <f>IF(Registro!$B464="","",Registro!$B464)</f>
        <v/>
      </c>
      <c r="C464" s="35" t="str">
        <f t="shared" si="14"/>
        <v/>
      </c>
      <c r="D464" s="23" t="str">
        <f>IF(Registro!$E464="","",IF(ISERROR(FIND("x",LOWER(Registro!$E464))),"-",IFERROR(SUMPRODUCT(--("0"&amp;LEFT(TRIM(MID(SUBSTITUTE(SUBSTITUTE(SUBSTITUTE(SUBSTITUTE(SUBSTITUTE(LOWER(Registro!$E464),"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",LEN(Registro!$E464))),({1,2,3,4,5,6,7,8,9,10,11,12,13,14,15,16,17,18,19,20,21,22,23,24,25,26,27,28,29,30}-1)*LEN(Registro!$E464)+1,LEN(Registro!$E464))),FIND("x",TRIM(MID(SUBSTITUTE(SUBSTITUTE(SUBSTITUTE(SUBSTITUTE(SUBSTITUTE(LOWER(Registro!$E464),"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",LEN(Registro!$E464))),({1,2,3,4,5,6,7,8,9,10,11,12,13,14,15,16,17,18,19,20,21,22,23,24,25,26,27,28,29,30}-1)*LEN(Registro!$E464)+1,LEN(Registro!$E464)))&amp;"x")-1))),"Revisar formato")))</f>
        <v/>
      </c>
      <c r="E464" s="24" t="str">
        <f>IF(Registro!$E464="","",IF(ISERROR(FIND("x",LOWER(Registro!$E464))),"-",IFERROR(SUMPRODUCT(--("0"&amp;LEFT(TRIM(MID(SUBSTITUTE(SUBSTITUTE(SUBSTITUTE(SUBSTITUTE(SUBSTITUTE(LOWER(Registro!$E464),"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",LEN(Registro!$E464))),({1,2,3,4,5,6,7,8,9,10,11,12,13,14,15,16,17,18,19,20,21,22,23,24,25,26,27,28,29,30}-1)*LEN(Registro!$E464)+1,LEN(Registro!$E464))),FIND("x",TRIM(MID(SUBSTITUTE(SUBSTITUTE(SUBSTITUTE(SUBSTITUTE(SUBSTITUTE(LOWER(Registro!$E464),"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",LEN(Registro!$E464))),({1,2,3,4,5,6,7,8,9,10,11,12,13,14,15,16,17,18,19,20,21,22,23,24,25,26,27,28,29,30}-1)*LEN(Registro!$E464)+1,LEN(Registro!$E464)))&amp;"x")-1)),--("0"&amp;MID(TRIM(MID(SUBSTITUTE(SUBSTITUTE(SUBSTITUTE(SUBSTITUTE(SUBSTITUTE(LOWER(Registro!$E464),"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",LEN(Registro!$E464))),({1,2,3,4,5,6,7,8,9,10,11,12,13,14,15,16,17,18,19,20,21,22,23,24,25,26,27,28,29,30}-1)*LEN(Registro!$E464)+1,LEN(Registro!$E464))),FIND("x",TRIM(MID(SUBSTITUTE(SUBSTITUTE(SUBSTITUTE(SUBSTITUTE(SUBSTITUTE(LOWER(Registro!$E464),"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",LEN(Registro!$E464))),({1,2,3,4,5,6,7,8,9,10,11,12,13,14,15,16,17,18,19,20,21,22,23,24,25,26,27,28,29,30}-1)*LEN(Registro!$E464)+1,LEN(Registro!$E464)))&amp;"x")+1,20))),"Revisar formato")))</f>
        <v/>
      </c>
      <c r="F464" s="23" t="str">
        <f>IF(Registro!$F464="","",IF(ISERROR(FIND("x",LOWER(Registro!$F464))),"-",IFERROR(SUMPRODUCT(--("0"&amp;LEFT(TRIM(MID(SUBSTITUTE(SUBSTITUTE(SUBSTITUTE(SUBSTITUTE(SUBSTITUTE(LOWER(Registro!$F464)," ",""),CHAR(10),"|"),";","|"),"+","|"),"|",REPT(" ",LEN(Registro!$F464))),({1,2,3,4,5,6,7,8,9,10,11,12,13,14,15,16,17,18,19,20,21,22,23,24,25,26,27,28,29,30}-1)*LEN(Registro!$F464)+1,LEN(Registro!$F464))),FIND("x",TRIM(MID(SUBSTITUTE(SUBSTITUTE(SUBSTITUTE(SUBSTITUTE(SUBSTITUTE(LOWER(Registro!$F464)," ",""),CHAR(10),"|"),";","|"),"+","|"),"|",REPT(" ",LEN(Registro!$F464))),({1,2,3,4,5,6,7,8,9,10,11,12,13,14,15,16,17,18,19,20,21,22,23,24,25,26,27,28,29,30}-1)*LEN(Registro!$F464)+1,LEN(Registro!$F464)))&amp;"x")-1))),"Revisar formato")))</f>
        <v/>
      </c>
      <c r="G464" s="24" t="str">
        <f>IF(Registro!$F464="","",IF(ISERROR(FIND("x",LOWER(Registro!$F464))),N(Registro!$G464),IFERROR(SUMPRODUCT(--("0"&amp;LEFT(TRIM(MID(SUBSTITUTE(SUBSTITUTE(SUBSTITUTE(SUBSTITUTE(SUBSTITUTE(LOWER(Registro!$F464)," ",""),CHAR(10),"|"),";","|"),"+","|"),"|",REPT(" ",LEN(Registro!$F464))),({1,2,3,4,5,6,7,8,9,10,11,12,13,14,15,16,17,18,19,20,21,22,23,24,25,26,27,28,29,30}-1)*LEN(Registro!$F464)+1,LEN(Registro!$F464))),FIND("x",TRIM(MID(SUBSTITUTE(SUBSTITUTE(SUBSTITUTE(SUBSTITUTE(SUBSTITUTE(LOWER(Registro!$F464)," ",""),CHAR(10),"|"),";","|"),"+","|"),"|",REPT(" ",LEN(Registro!$F464))),({1,2,3,4,5,6,7,8,9,10,11,12,13,14,15,16,17,18,19,20,21,22,23,24,25,26,27,28,29,30}-1)*LEN(Registro!$F464)+1,LEN(Registro!$F464)))&amp;"x")-1)),--("0"&amp;MID(TRIM(MID(SUBSTITUTE(SUBSTITUTE(SUBSTITUTE(SUBSTITUTE(SUBSTITUTE(LOWER(Registro!$F464)," ",""),CHAR(10),"|"),";","|"),"+","|"),"|",REPT(" ",LEN(Registro!$F464))),({1,2,3,4,5,6,7,8,9,10,11,12,13,14,15,16,17,18,19,20,21,22,23,24,25,26,27,28,29,30}-1)*LEN(Registro!$F464)+1,LEN(Registro!$F464))),FIND("x",TRIM(MID(SUBSTITUTE(SUBSTITUTE(SUBSTITUTE(SUBSTITUTE(SUBSTITUTE(LOWER(Registro!$F464)," ",""),CHAR(10),"|"),";","|"),"+","|"),"|",REPT(" ",LEN(Registro!$F464))),({1,2,3,4,5,6,7,8,9,10,11,12,13,14,15,16,17,18,19,20,21,22,23,24,25,26,27,28,29,30}-1)*LEN(Registro!$F464)+1,LEN(Registro!$F464)))&amp;"x")+1,20))),"Revisar formato")))</f>
        <v/>
      </c>
      <c r="H464" s="21" t="str">
        <f>IF(AND(Registro!$E464="",Registro!$F464=""),"",IF(NOT(AND(ISNUMBER(G464),ISNUMBER(Registro!$G464))),"",IF(G464&lt;Registro!$G464,"FALTA BOLETOS",IF(G464=Registro!$G464,"CONFORME","DIFERENCIA"))))</f>
        <v/>
      </c>
      <c r="I464" s="24" t="str">
        <f>IF(Registro!$H464="","",IFERROR(SUMPRODUCT(--("0"&amp;TRIM(RIGHT(SUBSTITUTE(TRIM(MID(SUBSTITUTE(SUBSTITUTE(Registro!$H464,";",CHAR(10)),CHAR(10),REPT(" ",LEN(Registro!$H464))),({1,2,3,4,5,6,7,8,9,10,11,12,13,14,15,16,17,18,19,20,21,22,23,24,25,26,27,28,29,30}-1)*LEN(Registro!$H464)+1,LEN(Registro!$H464)))," ",REPT(" ",50)),50)))),"Revisar formato"))</f>
        <v/>
      </c>
      <c r="J464" s="24" t="str">
        <f>IF(Registro!$I464="","",IFERROR(SUMPRODUCT(--("0"&amp;TRIM(RIGHT(SUBSTITUTE(TRIM(MID(SUBSTITUTE(SUBSTITUTE(Registro!$I464,";",CHAR(10)),CHAR(10),REPT(" ",LEN(Registro!$I464))),({1,2,3,4,5,6,7,8,9,10,11,12,13,14,15,16,17,18,19,20,21,22,23,24,25,26,27,28,29,30}-1)*LEN(Registro!$I464)+1,LEN(Registro!$I464)))," ",REPT(" ",50)),50)))),"Revisar formato"))</f>
        <v/>
      </c>
      <c r="K464" s="24" t="str">
        <f>IF(AND(Registro!$G464="",Registro!$H464=""),"",IF(AND(ISTEXT(I464),I464&lt;&gt;""),"Revisar formato",N(Registro!$G464)-N(I464)))</f>
        <v/>
      </c>
      <c r="L464" s="24" t="str">
        <f t="shared" si="15"/>
        <v/>
      </c>
      <c r="M464" s="36" t="str">
        <f>IF(AND(A464=Consulta!$B$3,C464=Consulta!$H$3),B464*10000+ROW(),"")</f>
        <v/>
      </c>
    </row>
    <row r="465" spans="1:13" x14ac:dyDescent="0.25">
      <c r="A465" s="21" t="str">
        <f>IF(Registro!$A465="","",Registro!$A465)</f>
        <v/>
      </c>
      <c r="B465" s="20" t="str">
        <f>IF(Registro!$B465="","",Registro!$B465)</f>
        <v/>
      </c>
      <c r="C465" s="35" t="str">
        <f t="shared" si="14"/>
        <v/>
      </c>
      <c r="D465" s="23" t="str">
        <f>IF(Registro!$E465="","",IF(ISERROR(FIND("x",LOWER(Registro!$E465))),"-",IFERROR(SUMPRODUCT(--("0"&amp;LEFT(TRIM(MID(SUBSTITUTE(SUBSTITUTE(SUBSTITUTE(SUBSTITUTE(SUBSTITUTE(LOWER(Registro!$E465),"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",LEN(Registro!$E465))),({1,2,3,4,5,6,7,8,9,10,11,12,13,14,15,16,17,18,19,20,21,22,23,24,25,26,27,28,29,30}-1)*LEN(Registro!$E465)+1,LEN(Registro!$E465))),FIND("x",TRIM(MID(SUBSTITUTE(SUBSTITUTE(SUBSTITUTE(SUBSTITUTE(SUBSTITUTE(LOWER(Registro!$E465),"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",LEN(Registro!$E465))),({1,2,3,4,5,6,7,8,9,10,11,12,13,14,15,16,17,18,19,20,21,22,23,24,25,26,27,28,29,30}-1)*LEN(Registro!$E465)+1,LEN(Registro!$E465)))&amp;"x")-1))),"Revisar formato")))</f>
        <v/>
      </c>
      <c r="E465" s="24" t="str">
        <f>IF(Registro!$E465="","",IF(ISERROR(FIND("x",LOWER(Registro!$E465))),"-",IFERROR(SUMPRODUCT(--("0"&amp;LEFT(TRIM(MID(SUBSTITUTE(SUBSTITUTE(SUBSTITUTE(SUBSTITUTE(SUBSTITUTE(LOWER(Registro!$E465),"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",LEN(Registro!$E465))),({1,2,3,4,5,6,7,8,9,10,11,12,13,14,15,16,17,18,19,20,21,22,23,24,25,26,27,28,29,30}-1)*LEN(Registro!$E465)+1,LEN(Registro!$E465))),FIND("x",TRIM(MID(SUBSTITUTE(SUBSTITUTE(SUBSTITUTE(SUBSTITUTE(SUBSTITUTE(LOWER(Registro!$E465),"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",LEN(Registro!$E465))),({1,2,3,4,5,6,7,8,9,10,11,12,13,14,15,16,17,18,19,20,21,22,23,24,25,26,27,28,29,30}-1)*LEN(Registro!$E465)+1,LEN(Registro!$E465)))&amp;"x")-1)),--("0"&amp;MID(TRIM(MID(SUBSTITUTE(SUBSTITUTE(SUBSTITUTE(SUBSTITUTE(SUBSTITUTE(LOWER(Registro!$E465),"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",LEN(Registro!$E465))),({1,2,3,4,5,6,7,8,9,10,11,12,13,14,15,16,17,18,19,20,21,22,23,24,25,26,27,28,29,30}-1)*LEN(Registro!$E465)+1,LEN(Registro!$E465))),FIND("x",TRIM(MID(SUBSTITUTE(SUBSTITUTE(SUBSTITUTE(SUBSTITUTE(SUBSTITUTE(LOWER(Registro!$E465),"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",LEN(Registro!$E465))),({1,2,3,4,5,6,7,8,9,10,11,12,13,14,15,16,17,18,19,20,21,22,23,24,25,26,27,28,29,30}-1)*LEN(Registro!$E465)+1,LEN(Registro!$E465)))&amp;"x")+1,20))),"Revisar formato")))</f>
        <v/>
      </c>
      <c r="F465" s="23" t="str">
        <f>IF(Registro!$F465="","",IF(ISERROR(FIND("x",LOWER(Registro!$F465))),"-",IFERROR(SUMPRODUCT(--("0"&amp;LEFT(TRIM(MID(SUBSTITUTE(SUBSTITUTE(SUBSTITUTE(SUBSTITUTE(SUBSTITUTE(LOWER(Registro!$F465)," ",""),CHAR(10),"|"),";","|"),"+","|"),"|",REPT(" ",LEN(Registro!$F465))),({1,2,3,4,5,6,7,8,9,10,11,12,13,14,15,16,17,18,19,20,21,22,23,24,25,26,27,28,29,30}-1)*LEN(Registro!$F465)+1,LEN(Registro!$F465))),FIND("x",TRIM(MID(SUBSTITUTE(SUBSTITUTE(SUBSTITUTE(SUBSTITUTE(SUBSTITUTE(LOWER(Registro!$F465)," ",""),CHAR(10),"|"),";","|"),"+","|"),"|",REPT(" ",LEN(Registro!$F465))),({1,2,3,4,5,6,7,8,9,10,11,12,13,14,15,16,17,18,19,20,21,22,23,24,25,26,27,28,29,30}-1)*LEN(Registro!$F465)+1,LEN(Registro!$F465)))&amp;"x")-1))),"Revisar formato")))</f>
        <v/>
      </c>
      <c r="G465" s="24" t="str">
        <f>IF(Registro!$F465="","",IF(ISERROR(FIND("x",LOWER(Registro!$F465))),N(Registro!$G465),IFERROR(SUMPRODUCT(--("0"&amp;LEFT(TRIM(MID(SUBSTITUTE(SUBSTITUTE(SUBSTITUTE(SUBSTITUTE(SUBSTITUTE(LOWER(Registro!$F465)," ",""),CHAR(10),"|"),";","|"),"+","|"),"|",REPT(" ",LEN(Registro!$F465))),({1,2,3,4,5,6,7,8,9,10,11,12,13,14,15,16,17,18,19,20,21,22,23,24,25,26,27,28,29,30}-1)*LEN(Registro!$F465)+1,LEN(Registro!$F465))),FIND("x",TRIM(MID(SUBSTITUTE(SUBSTITUTE(SUBSTITUTE(SUBSTITUTE(SUBSTITUTE(LOWER(Registro!$F465)," ",""),CHAR(10),"|"),";","|"),"+","|"),"|",REPT(" ",LEN(Registro!$F465))),({1,2,3,4,5,6,7,8,9,10,11,12,13,14,15,16,17,18,19,20,21,22,23,24,25,26,27,28,29,30}-1)*LEN(Registro!$F465)+1,LEN(Registro!$F465)))&amp;"x")-1)),--("0"&amp;MID(TRIM(MID(SUBSTITUTE(SUBSTITUTE(SUBSTITUTE(SUBSTITUTE(SUBSTITUTE(LOWER(Registro!$F465)," ",""),CHAR(10),"|"),";","|"),"+","|"),"|",REPT(" ",LEN(Registro!$F465))),({1,2,3,4,5,6,7,8,9,10,11,12,13,14,15,16,17,18,19,20,21,22,23,24,25,26,27,28,29,30}-1)*LEN(Registro!$F465)+1,LEN(Registro!$F465))),FIND("x",TRIM(MID(SUBSTITUTE(SUBSTITUTE(SUBSTITUTE(SUBSTITUTE(SUBSTITUTE(LOWER(Registro!$F465)," ",""),CHAR(10),"|"),";","|"),"+","|"),"|",REPT(" ",LEN(Registro!$F465))),({1,2,3,4,5,6,7,8,9,10,11,12,13,14,15,16,17,18,19,20,21,22,23,24,25,26,27,28,29,30}-1)*LEN(Registro!$F465)+1,LEN(Registro!$F465)))&amp;"x")+1,20))),"Revisar formato")))</f>
        <v/>
      </c>
      <c r="H465" s="21" t="str">
        <f>IF(AND(Registro!$E465="",Registro!$F465=""),"",IF(NOT(AND(ISNUMBER(G465),ISNUMBER(Registro!$G465))),"",IF(G465&lt;Registro!$G465,"FALTA BOLETOS",IF(G465=Registro!$G465,"CONFORME","DIFERENCIA"))))</f>
        <v/>
      </c>
      <c r="I465" s="24" t="str">
        <f>IF(Registro!$H465="","",IFERROR(SUMPRODUCT(--("0"&amp;TRIM(RIGHT(SUBSTITUTE(TRIM(MID(SUBSTITUTE(SUBSTITUTE(Registro!$H465,";",CHAR(10)),CHAR(10),REPT(" ",LEN(Registro!$H465))),({1,2,3,4,5,6,7,8,9,10,11,12,13,14,15,16,17,18,19,20,21,22,23,24,25,26,27,28,29,30}-1)*LEN(Registro!$H465)+1,LEN(Registro!$H465)))," ",REPT(" ",50)),50)))),"Revisar formato"))</f>
        <v/>
      </c>
      <c r="J465" s="24" t="str">
        <f>IF(Registro!$I465="","",IFERROR(SUMPRODUCT(--("0"&amp;TRIM(RIGHT(SUBSTITUTE(TRIM(MID(SUBSTITUTE(SUBSTITUTE(Registro!$I465,";",CHAR(10)),CHAR(10),REPT(" ",LEN(Registro!$I465))),({1,2,3,4,5,6,7,8,9,10,11,12,13,14,15,16,17,18,19,20,21,22,23,24,25,26,27,28,29,30}-1)*LEN(Registro!$I465)+1,LEN(Registro!$I465)))," ",REPT(" ",50)),50)))),"Revisar formato"))</f>
        <v/>
      </c>
      <c r="K465" s="24" t="str">
        <f>IF(AND(Registro!$G465="",Registro!$H465=""),"",IF(AND(ISTEXT(I465),I465&lt;&gt;""),"Revisar formato",N(Registro!$G465)-N(I465)))</f>
        <v/>
      </c>
      <c r="L465" s="24" t="str">
        <f t="shared" si="15"/>
        <v/>
      </c>
      <c r="M465" s="36" t="str">
        <f>IF(AND(A465=Consulta!$B$3,C465=Consulta!$H$3),B465*10000+ROW(),"")</f>
        <v/>
      </c>
    </row>
    <row r="466" spans="1:13" x14ac:dyDescent="0.25">
      <c r="A466" s="21" t="str">
        <f>IF(Registro!$A466="","",Registro!$A466)</f>
        <v/>
      </c>
      <c r="B466" s="20" t="str">
        <f>IF(Registro!$B466="","",Registro!$B466)</f>
        <v/>
      </c>
      <c r="C466" s="35" t="str">
        <f t="shared" si="14"/>
        <v/>
      </c>
      <c r="D466" s="23" t="str">
        <f>IF(Registro!$E466="","",IF(ISERROR(FIND("x",LOWER(Registro!$E466))),"-",IFERROR(SUMPRODUCT(--("0"&amp;LEFT(TRIM(MID(SUBSTITUTE(SUBSTITUTE(SUBSTITUTE(SUBSTITUTE(SUBSTITUTE(LOWER(Registro!$E466),"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",LEN(Registro!$E466))),({1,2,3,4,5,6,7,8,9,10,11,12,13,14,15,16,17,18,19,20,21,22,23,24,25,26,27,28,29,30}-1)*LEN(Registro!$E466)+1,LEN(Registro!$E466))),FIND("x",TRIM(MID(SUBSTITUTE(SUBSTITUTE(SUBSTITUTE(SUBSTITUTE(SUBSTITUTE(LOWER(Registro!$E466),"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",LEN(Registro!$E466))),({1,2,3,4,5,6,7,8,9,10,11,12,13,14,15,16,17,18,19,20,21,22,23,24,25,26,27,28,29,30}-1)*LEN(Registro!$E466)+1,LEN(Registro!$E466)))&amp;"x")-1))),"Revisar formato")))</f>
        <v/>
      </c>
      <c r="E466" s="24" t="str">
        <f>IF(Registro!$E466="","",IF(ISERROR(FIND("x",LOWER(Registro!$E466))),"-",IFERROR(SUMPRODUCT(--("0"&amp;LEFT(TRIM(MID(SUBSTITUTE(SUBSTITUTE(SUBSTITUTE(SUBSTITUTE(SUBSTITUTE(LOWER(Registro!$E466),"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",LEN(Registro!$E466))),({1,2,3,4,5,6,7,8,9,10,11,12,13,14,15,16,17,18,19,20,21,22,23,24,25,26,27,28,29,30}-1)*LEN(Registro!$E466)+1,LEN(Registro!$E466))),FIND("x",TRIM(MID(SUBSTITUTE(SUBSTITUTE(SUBSTITUTE(SUBSTITUTE(SUBSTITUTE(LOWER(Registro!$E466),"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",LEN(Registro!$E466))),({1,2,3,4,5,6,7,8,9,10,11,12,13,14,15,16,17,18,19,20,21,22,23,24,25,26,27,28,29,30}-1)*LEN(Registro!$E466)+1,LEN(Registro!$E466)))&amp;"x")-1)),--("0"&amp;MID(TRIM(MID(SUBSTITUTE(SUBSTITUTE(SUBSTITUTE(SUBSTITUTE(SUBSTITUTE(LOWER(Registro!$E466),"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",LEN(Registro!$E466))),({1,2,3,4,5,6,7,8,9,10,11,12,13,14,15,16,17,18,19,20,21,22,23,24,25,26,27,28,29,30}-1)*LEN(Registro!$E466)+1,LEN(Registro!$E466))),FIND("x",TRIM(MID(SUBSTITUTE(SUBSTITUTE(SUBSTITUTE(SUBSTITUTE(SUBSTITUTE(LOWER(Registro!$E466),"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",LEN(Registro!$E466))),({1,2,3,4,5,6,7,8,9,10,11,12,13,14,15,16,17,18,19,20,21,22,23,24,25,26,27,28,29,30}-1)*LEN(Registro!$E466)+1,LEN(Registro!$E466)))&amp;"x")+1,20))),"Revisar formato")))</f>
        <v/>
      </c>
      <c r="F466" s="23" t="str">
        <f>IF(Registro!$F466="","",IF(ISERROR(FIND("x",LOWER(Registro!$F466))),"-",IFERROR(SUMPRODUCT(--("0"&amp;LEFT(TRIM(MID(SUBSTITUTE(SUBSTITUTE(SUBSTITUTE(SUBSTITUTE(SUBSTITUTE(LOWER(Registro!$F466)," ",""),CHAR(10),"|"),";","|"),"+","|"),"|",REPT(" ",LEN(Registro!$F466))),({1,2,3,4,5,6,7,8,9,10,11,12,13,14,15,16,17,18,19,20,21,22,23,24,25,26,27,28,29,30}-1)*LEN(Registro!$F466)+1,LEN(Registro!$F466))),FIND("x",TRIM(MID(SUBSTITUTE(SUBSTITUTE(SUBSTITUTE(SUBSTITUTE(SUBSTITUTE(LOWER(Registro!$F466)," ",""),CHAR(10),"|"),";","|"),"+","|"),"|",REPT(" ",LEN(Registro!$F466))),({1,2,3,4,5,6,7,8,9,10,11,12,13,14,15,16,17,18,19,20,21,22,23,24,25,26,27,28,29,30}-1)*LEN(Registro!$F466)+1,LEN(Registro!$F466)))&amp;"x")-1))),"Revisar formato")))</f>
        <v/>
      </c>
      <c r="G466" s="24" t="str">
        <f>IF(Registro!$F466="","",IF(ISERROR(FIND("x",LOWER(Registro!$F466))),N(Registro!$G466),IFERROR(SUMPRODUCT(--("0"&amp;LEFT(TRIM(MID(SUBSTITUTE(SUBSTITUTE(SUBSTITUTE(SUBSTITUTE(SUBSTITUTE(LOWER(Registro!$F466)," ",""),CHAR(10),"|"),";","|"),"+","|"),"|",REPT(" ",LEN(Registro!$F466))),({1,2,3,4,5,6,7,8,9,10,11,12,13,14,15,16,17,18,19,20,21,22,23,24,25,26,27,28,29,30}-1)*LEN(Registro!$F466)+1,LEN(Registro!$F466))),FIND("x",TRIM(MID(SUBSTITUTE(SUBSTITUTE(SUBSTITUTE(SUBSTITUTE(SUBSTITUTE(LOWER(Registro!$F466)," ",""),CHAR(10),"|"),";","|"),"+","|"),"|",REPT(" ",LEN(Registro!$F466))),({1,2,3,4,5,6,7,8,9,10,11,12,13,14,15,16,17,18,19,20,21,22,23,24,25,26,27,28,29,30}-1)*LEN(Registro!$F466)+1,LEN(Registro!$F466)))&amp;"x")-1)),--("0"&amp;MID(TRIM(MID(SUBSTITUTE(SUBSTITUTE(SUBSTITUTE(SUBSTITUTE(SUBSTITUTE(LOWER(Registro!$F466)," ",""),CHAR(10),"|"),";","|"),"+","|"),"|",REPT(" ",LEN(Registro!$F466))),({1,2,3,4,5,6,7,8,9,10,11,12,13,14,15,16,17,18,19,20,21,22,23,24,25,26,27,28,29,30}-1)*LEN(Registro!$F466)+1,LEN(Registro!$F466))),FIND("x",TRIM(MID(SUBSTITUTE(SUBSTITUTE(SUBSTITUTE(SUBSTITUTE(SUBSTITUTE(LOWER(Registro!$F466)," ",""),CHAR(10),"|"),";","|"),"+","|"),"|",REPT(" ",LEN(Registro!$F466))),({1,2,3,4,5,6,7,8,9,10,11,12,13,14,15,16,17,18,19,20,21,22,23,24,25,26,27,28,29,30}-1)*LEN(Registro!$F466)+1,LEN(Registro!$F466)))&amp;"x")+1,20))),"Revisar formato")))</f>
        <v/>
      </c>
      <c r="H466" s="21" t="str">
        <f>IF(AND(Registro!$E466="",Registro!$F466=""),"",IF(NOT(AND(ISNUMBER(G466),ISNUMBER(Registro!$G466))),"",IF(G466&lt;Registro!$G466,"FALTA BOLETOS",IF(G466=Registro!$G466,"CONFORME","DIFERENCIA"))))</f>
        <v/>
      </c>
      <c r="I466" s="24" t="str">
        <f>IF(Registro!$H466="","",IFERROR(SUMPRODUCT(--("0"&amp;TRIM(RIGHT(SUBSTITUTE(TRIM(MID(SUBSTITUTE(SUBSTITUTE(Registro!$H466,";",CHAR(10)),CHAR(10),REPT(" ",LEN(Registro!$H466))),({1,2,3,4,5,6,7,8,9,10,11,12,13,14,15,16,17,18,19,20,21,22,23,24,25,26,27,28,29,30}-1)*LEN(Registro!$H466)+1,LEN(Registro!$H466)))," ",REPT(" ",50)),50)))),"Revisar formato"))</f>
        <v/>
      </c>
      <c r="J466" s="24" t="str">
        <f>IF(Registro!$I466="","",IFERROR(SUMPRODUCT(--("0"&amp;TRIM(RIGHT(SUBSTITUTE(TRIM(MID(SUBSTITUTE(SUBSTITUTE(Registro!$I466,";",CHAR(10)),CHAR(10),REPT(" ",LEN(Registro!$I466))),({1,2,3,4,5,6,7,8,9,10,11,12,13,14,15,16,17,18,19,20,21,22,23,24,25,26,27,28,29,30}-1)*LEN(Registro!$I466)+1,LEN(Registro!$I466)))," ",REPT(" ",50)),50)))),"Revisar formato"))</f>
        <v/>
      </c>
      <c r="K466" s="24" t="str">
        <f>IF(AND(Registro!$G466="",Registro!$H466=""),"",IF(AND(ISTEXT(I466),I466&lt;&gt;""),"Revisar formato",N(Registro!$G466)-N(I466)))</f>
        <v/>
      </c>
      <c r="L466" s="24" t="str">
        <f t="shared" si="15"/>
        <v/>
      </c>
      <c r="M466" s="36" t="str">
        <f>IF(AND(A466=Consulta!$B$3,C466=Consulta!$H$3),B466*10000+ROW(),"")</f>
        <v/>
      </c>
    </row>
    <row r="467" spans="1:13" x14ac:dyDescent="0.25">
      <c r="A467" s="21" t="str">
        <f>IF(Registro!$A467="","",Registro!$A467)</f>
        <v/>
      </c>
      <c r="B467" s="20" t="str">
        <f>IF(Registro!$B467="","",Registro!$B467)</f>
        <v/>
      </c>
      <c r="C467" s="35" t="str">
        <f t="shared" si="14"/>
        <v/>
      </c>
      <c r="D467" s="23" t="str">
        <f>IF(Registro!$E467="","",IF(ISERROR(FIND("x",LOWER(Registro!$E467))),"-",IFERROR(SUMPRODUCT(--("0"&amp;LEFT(TRIM(MID(SUBSTITUTE(SUBSTITUTE(SUBSTITUTE(SUBSTITUTE(SUBSTITUTE(LOWER(Registro!$E467),"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",LEN(Registro!$E467))),({1,2,3,4,5,6,7,8,9,10,11,12,13,14,15,16,17,18,19,20,21,22,23,24,25,26,27,28,29,30}-1)*LEN(Registro!$E467)+1,LEN(Registro!$E467))),FIND("x",TRIM(MID(SUBSTITUTE(SUBSTITUTE(SUBSTITUTE(SUBSTITUTE(SUBSTITUTE(LOWER(Registro!$E467),"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",LEN(Registro!$E467))),({1,2,3,4,5,6,7,8,9,10,11,12,13,14,15,16,17,18,19,20,21,22,23,24,25,26,27,28,29,30}-1)*LEN(Registro!$E467)+1,LEN(Registro!$E467)))&amp;"x")-1))),"Revisar formato")))</f>
        <v/>
      </c>
      <c r="E467" s="24" t="str">
        <f>IF(Registro!$E467="","",IF(ISERROR(FIND("x",LOWER(Registro!$E467))),"-",IFERROR(SUMPRODUCT(--("0"&amp;LEFT(TRIM(MID(SUBSTITUTE(SUBSTITUTE(SUBSTITUTE(SUBSTITUTE(SUBSTITUTE(LOWER(Registro!$E467),"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",LEN(Registro!$E467))),({1,2,3,4,5,6,7,8,9,10,11,12,13,14,15,16,17,18,19,20,21,22,23,24,25,26,27,28,29,30}-1)*LEN(Registro!$E467)+1,LEN(Registro!$E467))),FIND("x",TRIM(MID(SUBSTITUTE(SUBSTITUTE(SUBSTITUTE(SUBSTITUTE(SUBSTITUTE(LOWER(Registro!$E467),"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",LEN(Registro!$E467))),({1,2,3,4,5,6,7,8,9,10,11,12,13,14,15,16,17,18,19,20,21,22,23,24,25,26,27,28,29,30}-1)*LEN(Registro!$E467)+1,LEN(Registro!$E467)))&amp;"x")-1)),--("0"&amp;MID(TRIM(MID(SUBSTITUTE(SUBSTITUTE(SUBSTITUTE(SUBSTITUTE(SUBSTITUTE(LOWER(Registro!$E467),"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",LEN(Registro!$E467))),({1,2,3,4,5,6,7,8,9,10,11,12,13,14,15,16,17,18,19,20,21,22,23,24,25,26,27,28,29,30}-1)*LEN(Registro!$E467)+1,LEN(Registro!$E467))),FIND("x",TRIM(MID(SUBSTITUTE(SUBSTITUTE(SUBSTITUTE(SUBSTITUTE(SUBSTITUTE(LOWER(Registro!$E467),"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",LEN(Registro!$E467))),({1,2,3,4,5,6,7,8,9,10,11,12,13,14,15,16,17,18,19,20,21,22,23,24,25,26,27,28,29,30}-1)*LEN(Registro!$E467)+1,LEN(Registro!$E467)))&amp;"x")+1,20))),"Revisar formato")))</f>
        <v/>
      </c>
      <c r="F467" s="23" t="str">
        <f>IF(Registro!$F467="","",IF(ISERROR(FIND("x",LOWER(Registro!$F467))),"-",IFERROR(SUMPRODUCT(--("0"&amp;LEFT(TRIM(MID(SUBSTITUTE(SUBSTITUTE(SUBSTITUTE(SUBSTITUTE(SUBSTITUTE(LOWER(Registro!$F467)," ",""),CHAR(10),"|"),";","|"),"+","|"),"|",REPT(" ",LEN(Registro!$F467))),({1,2,3,4,5,6,7,8,9,10,11,12,13,14,15,16,17,18,19,20,21,22,23,24,25,26,27,28,29,30}-1)*LEN(Registro!$F467)+1,LEN(Registro!$F467))),FIND("x",TRIM(MID(SUBSTITUTE(SUBSTITUTE(SUBSTITUTE(SUBSTITUTE(SUBSTITUTE(LOWER(Registro!$F467)," ",""),CHAR(10),"|"),";","|"),"+","|"),"|",REPT(" ",LEN(Registro!$F467))),({1,2,3,4,5,6,7,8,9,10,11,12,13,14,15,16,17,18,19,20,21,22,23,24,25,26,27,28,29,30}-1)*LEN(Registro!$F467)+1,LEN(Registro!$F467)))&amp;"x")-1))),"Revisar formato")))</f>
        <v/>
      </c>
      <c r="G467" s="24" t="str">
        <f>IF(Registro!$F467="","",IF(ISERROR(FIND("x",LOWER(Registro!$F467))),N(Registro!$G467),IFERROR(SUMPRODUCT(--("0"&amp;LEFT(TRIM(MID(SUBSTITUTE(SUBSTITUTE(SUBSTITUTE(SUBSTITUTE(SUBSTITUTE(LOWER(Registro!$F467)," ",""),CHAR(10),"|"),";","|"),"+","|"),"|",REPT(" ",LEN(Registro!$F467))),({1,2,3,4,5,6,7,8,9,10,11,12,13,14,15,16,17,18,19,20,21,22,23,24,25,26,27,28,29,30}-1)*LEN(Registro!$F467)+1,LEN(Registro!$F467))),FIND("x",TRIM(MID(SUBSTITUTE(SUBSTITUTE(SUBSTITUTE(SUBSTITUTE(SUBSTITUTE(LOWER(Registro!$F467)," ",""),CHAR(10),"|"),";","|"),"+","|"),"|",REPT(" ",LEN(Registro!$F467))),({1,2,3,4,5,6,7,8,9,10,11,12,13,14,15,16,17,18,19,20,21,22,23,24,25,26,27,28,29,30}-1)*LEN(Registro!$F467)+1,LEN(Registro!$F467)))&amp;"x")-1)),--("0"&amp;MID(TRIM(MID(SUBSTITUTE(SUBSTITUTE(SUBSTITUTE(SUBSTITUTE(SUBSTITUTE(LOWER(Registro!$F467)," ",""),CHAR(10),"|"),";","|"),"+","|"),"|",REPT(" ",LEN(Registro!$F467))),({1,2,3,4,5,6,7,8,9,10,11,12,13,14,15,16,17,18,19,20,21,22,23,24,25,26,27,28,29,30}-1)*LEN(Registro!$F467)+1,LEN(Registro!$F467))),FIND("x",TRIM(MID(SUBSTITUTE(SUBSTITUTE(SUBSTITUTE(SUBSTITUTE(SUBSTITUTE(LOWER(Registro!$F467)," ",""),CHAR(10),"|"),";","|"),"+","|"),"|",REPT(" ",LEN(Registro!$F467))),({1,2,3,4,5,6,7,8,9,10,11,12,13,14,15,16,17,18,19,20,21,22,23,24,25,26,27,28,29,30}-1)*LEN(Registro!$F467)+1,LEN(Registro!$F467)))&amp;"x")+1,20))),"Revisar formato")))</f>
        <v/>
      </c>
      <c r="H467" s="21" t="str">
        <f>IF(AND(Registro!$E467="",Registro!$F467=""),"",IF(NOT(AND(ISNUMBER(G467),ISNUMBER(Registro!$G467))),"",IF(G467&lt;Registro!$G467,"FALTA BOLETOS",IF(G467=Registro!$G467,"CONFORME","DIFERENCIA"))))</f>
        <v/>
      </c>
      <c r="I467" s="24" t="str">
        <f>IF(Registro!$H467="","",IFERROR(SUMPRODUCT(--("0"&amp;TRIM(RIGHT(SUBSTITUTE(TRIM(MID(SUBSTITUTE(SUBSTITUTE(Registro!$H467,";",CHAR(10)),CHAR(10),REPT(" ",LEN(Registro!$H467))),({1,2,3,4,5,6,7,8,9,10,11,12,13,14,15,16,17,18,19,20,21,22,23,24,25,26,27,28,29,30}-1)*LEN(Registro!$H467)+1,LEN(Registro!$H467)))," ",REPT(" ",50)),50)))),"Revisar formato"))</f>
        <v/>
      </c>
      <c r="J467" s="24" t="str">
        <f>IF(Registro!$I467="","",IFERROR(SUMPRODUCT(--("0"&amp;TRIM(RIGHT(SUBSTITUTE(TRIM(MID(SUBSTITUTE(SUBSTITUTE(Registro!$I467,";",CHAR(10)),CHAR(10),REPT(" ",LEN(Registro!$I467))),({1,2,3,4,5,6,7,8,9,10,11,12,13,14,15,16,17,18,19,20,21,22,23,24,25,26,27,28,29,30}-1)*LEN(Registro!$I467)+1,LEN(Registro!$I467)))," ",REPT(" ",50)),50)))),"Revisar formato"))</f>
        <v/>
      </c>
      <c r="K467" s="24" t="str">
        <f>IF(AND(Registro!$G467="",Registro!$H467=""),"",IF(AND(ISTEXT(I467),I467&lt;&gt;""),"Revisar formato",N(Registro!$G467)-N(I467)))</f>
        <v/>
      </c>
      <c r="L467" s="24" t="str">
        <f t="shared" si="15"/>
        <v/>
      </c>
      <c r="M467" s="36" t="str">
        <f>IF(AND(A467=Consulta!$B$3,C467=Consulta!$H$3),B467*10000+ROW(),"")</f>
        <v/>
      </c>
    </row>
    <row r="468" spans="1:13" x14ac:dyDescent="0.25">
      <c r="A468" s="21" t="str">
        <f>IF(Registro!$A468="","",Registro!$A468)</f>
        <v/>
      </c>
      <c r="B468" s="20" t="str">
        <f>IF(Registro!$B468="","",Registro!$B468)</f>
        <v/>
      </c>
      <c r="C468" s="35" t="str">
        <f t="shared" si="14"/>
        <v/>
      </c>
      <c r="D468" s="23" t="str">
        <f>IF(Registro!$E468="","",IF(ISERROR(FIND("x",LOWER(Registro!$E468))),"-",IFERROR(SUMPRODUCT(--("0"&amp;LEFT(TRIM(MID(SUBSTITUTE(SUBSTITUTE(SUBSTITUTE(SUBSTITUTE(SUBSTITUTE(LOWER(Registro!$E468),"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",LEN(Registro!$E468))),({1,2,3,4,5,6,7,8,9,10,11,12,13,14,15,16,17,18,19,20,21,22,23,24,25,26,27,28,29,30}-1)*LEN(Registro!$E468)+1,LEN(Registro!$E468))),FIND("x",TRIM(MID(SUBSTITUTE(SUBSTITUTE(SUBSTITUTE(SUBSTITUTE(SUBSTITUTE(LOWER(Registro!$E468),"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",LEN(Registro!$E468))),({1,2,3,4,5,6,7,8,9,10,11,12,13,14,15,16,17,18,19,20,21,22,23,24,25,26,27,28,29,30}-1)*LEN(Registro!$E468)+1,LEN(Registro!$E468)))&amp;"x")-1))),"Revisar formato")))</f>
        <v/>
      </c>
      <c r="E468" s="24" t="str">
        <f>IF(Registro!$E468="","",IF(ISERROR(FIND("x",LOWER(Registro!$E468))),"-",IFERROR(SUMPRODUCT(--("0"&amp;LEFT(TRIM(MID(SUBSTITUTE(SUBSTITUTE(SUBSTITUTE(SUBSTITUTE(SUBSTITUTE(LOWER(Registro!$E468),"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",LEN(Registro!$E468))),({1,2,3,4,5,6,7,8,9,10,11,12,13,14,15,16,17,18,19,20,21,22,23,24,25,26,27,28,29,30}-1)*LEN(Registro!$E468)+1,LEN(Registro!$E468))),FIND("x",TRIM(MID(SUBSTITUTE(SUBSTITUTE(SUBSTITUTE(SUBSTITUTE(SUBSTITUTE(LOWER(Registro!$E468),"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",LEN(Registro!$E468))),({1,2,3,4,5,6,7,8,9,10,11,12,13,14,15,16,17,18,19,20,21,22,23,24,25,26,27,28,29,30}-1)*LEN(Registro!$E468)+1,LEN(Registro!$E468)))&amp;"x")-1)),--("0"&amp;MID(TRIM(MID(SUBSTITUTE(SUBSTITUTE(SUBSTITUTE(SUBSTITUTE(SUBSTITUTE(LOWER(Registro!$E468),"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",LEN(Registro!$E468))),({1,2,3,4,5,6,7,8,9,10,11,12,13,14,15,16,17,18,19,20,21,22,23,24,25,26,27,28,29,30}-1)*LEN(Registro!$E468)+1,LEN(Registro!$E468))),FIND("x",TRIM(MID(SUBSTITUTE(SUBSTITUTE(SUBSTITUTE(SUBSTITUTE(SUBSTITUTE(LOWER(Registro!$E468),"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",LEN(Registro!$E468))),({1,2,3,4,5,6,7,8,9,10,11,12,13,14,15,16,17,18,19,20,21,22,23,24,25,26,27,28,29,30}-1)*LEN(Registro!$E468)+1,LEN(Registro!$E468)))&amp;"x")+1,20))),"Revisar formato")))</f>
        <v/>
      </c>
      <c r="F468" s="23" t="str">
        <f>IF(Registro!$F468="","",IF(ISERROR(FIND("x",LOWER(Registro!$F468))),"-",IFERROR(SUMPRODUCT(--("0"&amp;LEFT(TRIM(MID(SUBSTITUTE(SUBSTITUTE(SUBSTITUTE(SUBSTITUTE(SUBSTITUTE(LOWER(Registro!$F468)," ",""),CHAR(10),"|"),";","|"),"+","|"),"|",REPT(" ",LEN(Registro!$F468))),({1,2,3,4,5,6,7,8,9,10,11,12,13,14,15,16,17,18,19,20,21,22,23,24,25,26,27,28,29,30}-1)*LEN(Registro!$F468)+1,LEN(Registro!$F468))),FIND("x",TRIM(MID(SUBSTITUTE(SUBSTITUTE(SUBSTITUTE(SUBSTITUTE(SUBSTITUTE(LOWER(Registro!$F468)," ",""),CHAR(10),"|"),";","|"),"+","|"),"|",REPT(" ",LEN(Registro!$F468))),({1,2,3,4,5,6,7,8,9,10,11,12,13,14,15,16,17,18,19,20,21,22,23,24,25,26,27,28,29,30}-1)*LEN(Registro!$F468)+1,LEN(Registro!$F468)))&amp;"x")-1))),"Revisar formato")))</f>
        <v/>
      </c>
      <c r="G468" s="24" t="str">
        <f>IF(Registro!$F468="","",IF(ISERROR(FIND("x",LOWER(Registro!$F468))),N(Registro!$G468),IFERROR(SUMPRODUCT(--("0"&amp;LEFT(TRIM(MID(SUBSTITUTE(SUBSTITUTE(SUBSTITUTE(SUBSTITUTE(SUBSTITUTE(LOWER(Registro!$F468)," ",""),CHAR(10),"|"),";","|"),"+","|"),"|",REPT(" ",LEN(Registro!$F468))),({1,2,3,4,5,6,7,8,9,10,11,12,13,14,15,16,17,18,19,20,21,22,23,24,25,26,27,28,29,30}-1)*LEN(Registro!$F468)+1,LEN(Registro!$F468))),FIND("x",TRIM(MID(SUBSTITUTE(SUBSTITUTE(SUBSTITUTE(SUBSTITUTE(SUBSTITUTE(LOWER(Registro!$F468)," ",""),CHAR(10),"|"),";","|"),"+","|"),"|",REPT(" ",LEN(Registro!$F468))),({1,2,3,4,5,6,7,8,9,10,11,12,13,14,15,16,17,18,19,20,21,22,23,24,25,26,27,28,29,30}-1)*LEN(Registro!$F468)+1,LEN(Registro!$F468)))&amp;"x")-1)),--("0"&amp;MID(TRIM(MID(SUBSTITUTE(SUBSTITUTE(SUBSTITUTE(SUBSTITUTE(SUBSTITUTE(LOWER(Registro!$F468)," ",""),CHAR(10),"|"),";","|"),"+","|"),"|",REPT(" ",LEN(Registro!$F468))),({1,2,3,4,5,6,7,8,9,10,11,12,13,14,15,16,17,18,19,20,21,22,23,24,25,26,27,28,29,30}-1)*LEN(Registro!$F468)+1,LEN(Registro!$F468))),FIND("x",TRIM(MID(SUBSTITUTE(SUBSTITUTE(SUBSTITUTE(SUBSTITUTE(SUBSTITUTE(LOWER(Registro!$F468)," ",""),CHAR(10),"|"),";","|"),"+","|"),"|",REPT(" ",LEN(Registro!$F468))),({1,2,3,4,5,6,7,8,9,10,11,12,13,14,15,16,17,18,19,20,21,22,23,24,25,26,27,28,29,30}-1)*LEN(Registro!$F468)+1,LEN(Registro!$F468)))&amp;"x")+1,20))),"Revisar formato")))</f>
        <v/>
      </c>
      <c r="H468" s="21" t="str">
        <f>IF(AND(Registro!$E468="",Registro!$F468=""),"",IF(NOT(AND(ISNUMBER(G468),ISNUMBER(Registro!$G468))),"",IF(G468&lt;Registro!$G468,"FALTA BOLETOS",IF(G468=Registro!$G468,"CONFORME","DIFERENCIA"))))</f>
        <v/>
      </c>
      <c r="I468" s="24" t="str">
        <f>IF(Registro!$H468="","",IFERROR(SUMPRODUCT(--("0"&amp;TRIM(RIGHT(SUBSTITUTE(TRIM(MID(SUBSTITUTE(SUBSTITUTE(Registro!$H468,";",CHAR(10)),CHAR(10),REPT(" ",LEN(Registro!$H468))),({1,2,3,4,5,6,7,8,9,10,11,12,13,14,15,16,17,18,19,20,21,22,23,24,25,26,27,28,29,30}-1)*LEN(Registro!$H468)+1,LEN(Registro!$H468)))," ",REPT(" ",50)),50)))),"Revisar formato"))</f>
        <v/>
      </c>
      <c r="J468" s="24" t="str">
        <f>IF(Registro!$I468="","",IFERROR(SUMPRODUCT(--("0"&amp;TRIM(RIGHT(SUBSTITUTE(TRIM(MID(SUBSTITUTE(SUBSTITUTE(Registro!$I468,";",CHAR(10)),CHAR(10),REPT(" ",LEN(Registro!$I468))),({1,2,3,4,5,6,7,8,9,10,11,12,13,14,15,16,17,18,19,20,21,22,23,24,25,26,27,28,29,30}-1)*LEN(Registro!$I468)+1,LEN(Registro!$I468)))," ",REPT(" ",50)),50)))),"Revisar formato"))</f>
        <v/>
      </c>
      <c r="K468" s="24" t="str">
        <f>IF(AND(Registro!$G468="",Registro!$H468=""),"",IF(AND(ISTEXT(I468),I468&lt;&gt;""),"Revisar formato",N(Registro!$G468)-N(I468)))</f>
        <v/>
      </c>
      <c r="L468" s="24" t="str">
        <f t="shared" si="15"/>
        <v/>
      </c>
      <c r="M468" s="36" t="str">
        <f>IF(AND(A468=Consulta!$B$3,C468=Consulta!$H$3),B468*10000+ROW(),"")</f>
        <v/>
      </c>
    </row>
    <row r="469" spans="1:13" x14ac:dyDescent="0.25">
      <c r="A469" s="21" t="str">
        <f>IF(Registro!$A469="","",Registro!$A469)</f>
        <v/>
      </c>
      <c r="B469" s="20" t="str">
        <f>IF(Registro!$B469="","",Registro!$B469)</f>
        <v/>
      </c>
      <c r="C469" s="35" t="str">
        <f t="shared" si="14"/>
        <v/>
      </c>
      <c r="D469" s="23" t="str">
        <f>IF(Registro!$E469="","",IF(ISERROR(FIND("x",LOWER(Registro!$E469))),"-",IFERROR(SUMPRODUCT(--("0"&amp;LEFT(TRIM(MID(SUBSTITUTE(SUBSTITUTE(SUBSTITUTE(SUBSTITUTE(SUBSTITUTE(LOWER(Registro!$E469),"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",LEN(Registro!$E469))),({1,2,3,4,5,6,7,8,9,10,11,12,13,14,15,16,17,18,19,20,21,22,23,24,25,26,27,28,29,30}-1)*LEN(Registro!$E469)+1,LEN(Registro!$E469))),FIND("x",TRIM(MID(SUBSTITUTE(SUBSTITUTE(SUBSTITUTE(SUBSTITUTE(SUBSTITUTE(LOWER(Registro!$E469),"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",LEN(Registro!$E469))),({1,2,3,4,5,6,7,8,9,10,11,12,13,14,15,16,17,18,19,20,21,22,23,24,25,26,27,28,29,30}-1)*LEN(Registro!$E469)+1,LEN(Registro!$E469)))&amp;"x")-1))),"Revisar formato")))</f>
        <v/>
      </c>
      <c r="E469" s="24" t="str">
        <f>IF(Registro!$E469="","",IF(ISERROR(FIND("x",LOWER(Registro!$E469))),"-",IFERROR(SUMPRODUCT(--("0"&amp;LEFT(TRIM(MID(SUBSTITUTE(SUBSTITUTE(SUBSTITUTE(SUBSTITUTE(SUBSTITUTE(LOWER(Registro!$E469),"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",LEN(Registro!$E469))),({1,2,3,4,5,6,7,8,9,10,11,12,13,14,15,16,17,18,19,20,21,22,23,24,25,26,27,28,29,30}-1)*LEN(Registro!$E469)+1,LEN(Registro!$E469))),FIND("x",TRIM(MID(SUBSTITUTE(SUBSTITUTE(SUBSTITUTE(SUBSTITUTE(SUBSTITUTE(LOWER(Registro!$E469),"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",LEN(Registro!$E469))),({1,2,3,4,5,6,7,8,9,10,11,12,13,14,15,16,17,18,19,20,21,22,23,24,25,26,27,28,29,30}-1)*LEN(Registro!$E469)+1,LEN(Registro!$E469)))&amp;"x")-1)),--("0"&amp;MID(TRIM(MID(SUBSTITUTE(SUBSTITUTE(SUBSTITUTE(SUBSTITUTE(SUBSTITUTE(LOWER(Registro!$E469),"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",LEN(Registro!$E469))),({1,2,3,4,5,6,7,8,9,10,11,12,13,14,15,16,17,18,19,20,21,22,23,24,25,26,27,28,29,30}-1)*LEN(Registro!$E469)+1,LEN(Registro!$E469))),FIND("x",TRIM(MID(SUBSTITUTE(SUBSTITUTE(SUBSTITUTE(SUBSTITUTE(SUBSTITUTE(LOWER(Registro!$E469),"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",LEN(Registro!$E469))),({1,2,3,4,5,6,7,8,9,10,11,12,13,14,15,16,17,18,19,20,21,22,23,24,25,26,27,28,29,30}-1)*LEN(Registro!$E469)+1,LEN(Registro!$E469)))&amp;"x")+1,20))),"Revisar formato")))</f>
        <v/>
      </c>
      <c r="F469" s="23" t="str">
        <f>IF(Registro!$F469="","",IF(ISERROR(FIND("x",LOWER(Registro!$F469))),"-",IFERROR(SUMPRODUCT(--("0"&amp;LEFT(TRIM(MID(SUBSTITUTE(SUBSTITUTE(SUBSTITUTE(SUBSTITUTE(SUBSTITUTE(LOWER(Registro!$F469)," ",""),CHAR(10),"|"),";","|"),"+","|"),"|",REPT(" ",LEN(Registro!$F469))),({1,2,3,4,5,6,7,8,9,10,11,12,13,14,15,16,17,18,19,20,21,22,23,24,25,26,27,28,29,30}-1)*LEN(Registro!$F469)+1,LEN(Registro!$F469))),FIND("x",TRIM(MID(SUBSTITUTE(SUBSTITUTE(SUBSTITUTE(SUBSTITUTE(SUBSTITUTE(LOWER(Registro!$F469)," ",""),CHAR(10),"|"),";","|"),"+","|"),"|",REPT(" ",LEN(Registro!$F469))),({1,2,3,4,5,6,7,8,9,10,11,12,13,14,15,16,17,18,19,20,21,22,23,24,25,26,27,28,29,30}-1)*LEN(Registro!$F469)+1,LEN(Registro!$F469)))&amp;"x")-1))),"Revisar formato")))</f>
        <v/>
      </c>
      <c r="G469" s="24" t="str">
        <f>IF(Registro!$F469="","",IF(ISERROR(FIND("x",LOWER(Registro!$F469))),N(Registro!$G469),IFERROR(SUMPRODUCT(--("0"&amp;LEFT(TRIM(MID(SUBSTITUTE(SUBSTITUTE(SUBSTITUTE(SUBSTITUTE(SUBSTITUTE(LOWER(Registro!$F469)," ",""),CHAR(10),"|"),";","|"),"+","|"),"|",REPT(" ",LEN(Registro!$F469))),({1,2,3,4,5,6,7,8,9,10,11,12,13,14,15,16,17,18,19,20,21,22,23,24,25,26,27,28,29,30}-1)*LEN(Registro!$F469)+1,LEN(Registro!$F469))),FIND("x",TRIM(MID(SUBSTITUTE(SUBSTITUTE(SUBSTITUTE(SUBSTITUTE(SUBSTITUTE(LOWER(Registro!$F469)," ",""),CHAR(10),"|"),";","|"),"+","|"),"|",REPT(" ",LEN(Registro!$F469))),({1,2,3,4,5,6,7,8,9,10,11,12,13,14,15,16,17,18,19,20,21,22,23,24,25,26,27,28,29,30}-1)*LEN(Registro!$F469)+1,LEN(Registro!$F469)))&amp;"x")-1)),--("0"&amp;MID(TRIM(MID(SUBSTITUTE(SUBSTITUTE(SUBSTITUTE(SUBSTITUTE(SUBSTITUTE(LOWER(Registro!$F469)," ",""),CHAR(10),"|"),";","|"),"+","|"),"|",REPT(" ",LEN(Registro!$F469))),({1,2,3,4,5,6,7,8,9,10,11,12,13,14,15,16,17,18,19,20,21,22,23,24,25,26,27,28,29,30}-1)*LEN(Registro!$F469)+1,LEN(Registro!$F469))),FIND("x",TRIM(MID(SUBSTITUTE(SUBSTITUTE(SUBSTITUTE(SUBSTITUTE(SUBSTITUTE(LOWER(Registro!$F469)," ",""),CHAR(10),"|"),";","|"),"+","|"),"|",REPT(" ",LEN(Registro!$F469))),({1,2,3,4,5,6,7,8,9,10,11,12,13,14,15,16,17,18,19,20,21,22,23,24,25,26,27,28,29,30}-1)*LEN(Registro!$F469)+1,LEN(Registro!$F469)))&amp;"x")+1,20))),"Revisar formato")))</f>
        <v/>
      </c>
      <c r="H469" s="21" t="str">
        <f>IF(AND(Registro!$E469="",Registro!$F469=""),"",IF(NOT(AND(ISNUMBER(G469),ISNUMBER(Registro!$G469))),"",IF(G469&lt;Registro!$G469,"FALTA BOLETOS",IF(G469=Registro!$G469,"CONFORME","DIFERENCIA"))))</f>
        <v/>
      </c>
      <c r="I469" s="24" t="str">
        <f>IF(Registro!$H469="","",IFERROR(SUMPRODUCT(--("0"&amp;TRIM(RIGHT(SUBSTITUTE(TRIM(MID(SUBSTITUTE(SUBSTITUTE(Registro!$H469,";",CHAR(10)),CHAR(10),REPT(" ",LEN(Registro!$H469))),({1,2,3,4,5,6,7,8,9,10,11,12,13,14,15,16,17,18,19,20,21,22,23,24,25,26,27,28,29,30}-1)*LEN(Registro!$H469)+1,LEN(Registro!$H469)))," ",REPT(" ",50)),50)))),"Revisar formato"))</f>
        <v/>
      </c>
      <c r="J469" s="24" t="str">
        <f>IF(Registro!$I469="","",IFERROR(SUMPRODUCT(--("0"&amp;TRIM(RIGHT(SUBSTITUTE(TRIM(MID(SUBSTITUTE(SUBSTITUTE(Registro!$I469,";",CHAR(10)),CHAR(10),REPT(" ",LEN(Registro!$I469))),({1,2,3,4,5,6,7,8,9,10,11,12,13,14,15,16,17,18,19,20,21,22,23,24,25,26,27,28,29,30}-1)*LEN(Registro!$I469)+1,LEN(Registro!$I469)))," ",REPT(" ",50)),50)))),"Revisar formato"))</f>
        <v/>
      </c>
      <c r="K469" s="24" t="str">
        <f>IF(AND(Registro!$G469="",Registro!$H469=""),"",IF(AND(ISTEXT(I469),I469&lt;&gt;""),"Revisar formato",N(Registro!$G469)-N(I469)))</f>
        <v/>
      </c>
      <c r="L469" s="24" t="str">
        <f t="shared" si="15"/>
        <v/>
      </c>
      <c r="M469" s="36" t="str">
        <f>IF(AND(A469=Consulta!$B$3,C469=Consulta!$H$3),B469*10000+ROW(),"")</f>
        <v/>
      </c>
    </row>
    <row r="470" spans="1:13" x14ac:dyDescent="0.25">
      <c r="A470" s="21" t="str">
        <f>IF(Registro!$A470="","",Registro!$A470)</f>
        <v/>
      </c>
      <c r="B470" s="20" t="str">
        <f>IF(Registro!$B470="","",Registro!$B470)</f>
        <v/>
      </c>
      <c r="C470" s="35" t="str">
        <f t="shared" si="14"/>
        <v/>
      </c>
      <c r="D470" s="23" t="str">
        <f>IF(Registro!$E470="","",IF(ISERROR(FIND("x",LOWER(Registro!$E470))),"-",IFERROR(SUMPRODUCT(--("0"&amp;LEFT(TRIM(MID(SUBSTITUTE(SUBSTITUTE(SUBSTITUTE(SUBSTITUTE(SUBSTITUTE(LOWER(Registro!$E470),"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",LEN(Registro!$E470))),({1,2,3,4,5,6,7,8,9,10,11,12,13,14,15,16,17,18,19,20,21,22,23,24,25,26,27,28,29,30}-1)*LEN(Registro!$E470)+1,LEN(Registro!$E470))),FIND("x",TRIM(MID(SUBSTITUTE(SUBSTITUTE(SUBSTITUTE(SUBSTITUTE(SUBSTITUTE(LOWER(Registro!$E470),"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",LEN(Registro!$E470))),({1,2,3,4,5,6,7,8,9,10,11,12,13,14,15,16,17,18,19,20,21,22,23,24,25,26,27,28,29,30}-1)*LEN(Registro!$E470)+1,LEN(Registro!$E470)))&amp;"x")-1))),"Revisar formato")))</f>
        <v/>
      </c>
      <c r="E470" s="24" t="str">
        <f>IF(Registro!$E470="","",IF(ISERROR(FIND("x",LOWER(Registro!$E470))),"-",IFERROR(SUMPRODUCT(--("0"&amp;LEFT(TRIM(MID(SUBSTITUTE(SUBSTITUTE(SUBSTITUTE(SUBSTITUTE(SUBSTITUTE(LOWER(Registro!$E470),"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",LEN(Registro!$E470))),({1,2,3,4,5,6,7,8,9,10,11,12,13,14,15,16,17,18,19,20,21,22,23,24,25,26,27,28,29,30}-1)*LEN(Registro!$E470)+1,LEN(Registro!$E470))),FIND("x",TRIM(MID(SUBSTITUTE(SUBSTITUTE(SUBSTITUTE(SUBSTITUTE(SUBSTITUTE(LOWER(Registro!$E470),"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",LEN(Registro!$E470))),({1,2,3,4,5,6,7,8,9,10,11,12,13,14,15,16,17,18,19,20,21,22,23,24,25,26,27,28,29,30}-1)*LEN(Registro!$E470)+1,LEN(Registro!$E470)))&amp;"x")-1)),--("0"&amp;MID(TRIM(MID(SUBSTITUTE(SUBSTITUTE(SUBSTITUTE(SUBSTITUTE(SUBSTITUTE(LOWER(Registro!$E470),"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",LEN(Registro!$E470))),({1,2,3,4,5,6,7,8,9,10,11,12,13,14,15,16,17,18,19,20,21,22,23,24,25,26,27,28,29,30}-1)*LEN(Registro!$E470)+1,LEN(Registro!$E470))),FIND("x",TRIM(MID(SUBSTITUTE(SUBSTITUTE(SUBSTITUTE(SUBSTITUTE(SUBSTITUTE(LOWER(Registro!$E470),"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",LEN(Registro!$E470))),({1,2,3,4,5,6,7,8,9,10,11,12,13,14,15,16,17,18,19,20,21,22,23,24,25,26,27,28,29,30}-1)*LEN(Registro!$E470)+1,LEN(Registro!$E470)))&amp;"x")+1,20))),"Revisar formato")))</f>
        <v/>
      </c>
      <c r="F470" s="23" t="str">
        <f>IF(Registro!$F470="","",IF(ISERROR(FIND("x",LOWER(Registro!$F470))),"-",IFERROR(SUMPRODUCT(--("0"&amp;LEFT(TRIM(MID(SUBSTITUTE(SUBSTITUTE(SUBSTITUTE(SUBSTITUTE(SUBSTITUTE(LOWER(Registro!$F470)," ",""),CHAR(10),"|"),";","|"),"+","|"),"|",REPT(" ",LEN(Registro!$F470))),({1,2,3,4,5,6,7,8,9,10,11,12,13,14,15,16,17,18,19,20,21,22,23,24,25,26,27,28,29,30}-1)*LEN(Registro!$F470)+1,LEN(Registro!$F470))),FIND("x",TRIM(MID(SUBSTITUTE(SUBSTITUTE(SUBSTITUTE(SUBSTITUTE(SUBSTITUTE(LOWER(Registro!$F470)," ",""),CHAR(10),"|"),";","|"),"+","|"),"|",REPT(" ",LEN(Registro!$F470))),({1,2,3,4,5,6,7,8,9,10,11,12,13,14,15,16,17,18,19,20,21,22,23,24,25,26,27,28,29,30}-1)*LEN(Registro!$F470)+1,LEN(Registro!$F470)))&amp;"x")-1))),"Revisar formato")))</f>
        <v/>
      </c>
      <c r="G470" s="24" t="str">
        <f>IF(Registro!$F470="","",IF(ISERROR(FIND("x",LOWER(Registro!$F470))),N(Registro!$G470),IFERROR(SUMPRODUCT(--("0"&amp;LEFT(TRIM(MID(SUBSTITUTE(SUBSTITUTE(SUBSTITUTE(SUBSTITUTE(SUBSTITUTE(LOWER(Registro!$F470)," ",""),CHAR(10),"|"),";","|"),"+","|"),"|",REPT(" ",LEN(Registro!$F470))),({1,2,3,4,5,6,7,8,9,10,11,12,13,14,15,16,17,18,19,20,21,22,23,24,25,26,27,28,29,30}-1)*LEN(Registro!$F470)+1,LEN(Registro!$F470))),FIND("x",TRIM(MID(SUBSTITUTE(SUBSTITUTE(SUBSTITUTE(SUBSTITUTE(SUBSTITUTE(LOWER(Registro!$F470)," ",""),CHAR(10),"|"),";","|"),"+","|"),"|",REPT(" ",LEN(Registro!$F470))),({1,2,3,4,5,6,7,8,9,10,11,12,13,14,15,16,17,18,19,20,21,22,23,24,25,26,27,28,29,30}-1)*LEN(Registro!$F470)+1,LEN(Registro!$F470)))&amp;"x")-1)),--("0"&amp;MID(TRIM(MID(SUBSTITUTE(SUBSTITUTE(SUBSTITUTE(SUBSTITUTE(SUBSTITUTE(LOWER(Registro!$F470)," ",""),CHAR(10),"|"),";","|"),"+","|"),"|",REPT(" ",LEN(Registro!$F470))),({1,2,3,4,5,6,7,8,9,10,11,12,13,14,15,16,17,18,19,20,21,22,23,24,25,26,27,28,29,30}-1)*LEN(Registro!$F470)+1,LEN(Registro!$F470))),FIND("x",TRIM(MID(SUBSTITUTE(SUBSTITUTE(SUBSTITUTE(SUBSTITUTE(SUBSTITUTE(LOWER(Registro!$F470)," ",""),CHAR(10),"|"),";","|"),"+","|"),"|",REPT(" ",LEN(Registro!$F470))),({1,2,3,4,5,6,7,8,9,10,11,12,13,14,15,16,17,18,19,20,21,22,23,24,25,26,27,28,29,30}-1)*LEN(Registro!$F470)+1,LEN(Registro!$F470)))&amp;"x")+1,20))),"Revisar formato")))</f>
        <v/>
      </c>
      <c r="H470" s="21" t="str">
        <f>IF(AND(Registro!$E470="",Registro!$F470=""),"",IF(NOT(AND(ISNUMBER(G470),ISNUMBER(Registro!$G470))),"",IF(G470&lt;Registro!$G470,"FALTA BOLETOS",IF(G470=Registro!$G470,"CONFORME","DIFERENCIA"))))</f>
        <v/>
      </c>
      <c r="I470" s="24" t="str">
        <f>IF(Registro!$H470="","",IFERROR(SUMPRODUCT(--("0"&amp;TRIM(RIGHT(SUBSTITUTE(TRIM(MID(SUBSTITUTE(SUBSTITUTE(Registro!$H470,";",CHAR(10)),CHAR(10),REPT(" ",LEN(Registro!$H470))),({1,2,3,4,5,6,7,8,9,10,11,12,13,14,15,16,17,18,19,20,21,22,23,24,25,26,27,28,29,30}-1)*LEN(Registro!$H470)+1,LEN(Registro!$H470)))," ",REPT(" ",50)),50)))),"Revisar formato"))</f>
        <v/>
      </c>
      <c r="J470" s="24" t="str">
        <f>IF(Registro!$I470="","",IFERROR(SUMPRODUCT(--("0"&amp;TRIM(RIGHT(SUBSTITUTE(TRIM(MID(SUBSTITUTE(SUBSTITUTE(Registro!$I470,";",CHAR(10)),CHAR(10),REPT(" ",LEN(Registro!$I470))),({1,2,3,4,5,6,7,8,9,10,11,12,13,14,15,16,17,18,19,20,21,22,23,24,25,26,27,28,29,30}-1)*LEN(Registro!$I470)+1,LEN(Registro!$I470)))," ",REPT(" ",50)),50)))),"Revisar formato"))</f>
        <v/>
      </c>
      <c r="K470" s="24" t="str">
        <f>IF(AND(Registro!$G470="",Registro!$H470=""),"",IF(AND(ISTEXT(I470),I470&lt;&gt;""),"Revisar formato",N(Registro!$G470)-N(I470)))</f>
        <v/>
      </c>
      <c r="L470" s="24" t="str">
        <f t="shared" si="15"/>
        <v/>
      </c>
      <c r="M470" s="36" t="str">
        <f>IF(AND(A470=Consulta!$B$3,C470=Consulta!$H$3),B470*10000+ROW(),"")</f>
        <v/>
      </c>
    </row>
    <row r="471" spans="1:13" x14ac:dyDescent="0.25">
      <c r="A471" s="21" t="str">
        <f>IF(Registro!$A471="","",Registro!$A471)</f>
        <v/>
      </c>
      <c r="B471" s="20" t="str">
        <f>IF(Registro!$B471="","",Registro!$B471)</f>
        <v/>
      </c>
      <c r="C471" s="35" t="str">
        <f t="shared" si="14"/>
        <v/>
      </c>
      <c r="D471" s="23" t="str">
        <f>IF(Registro!$E471="","",IF(ISERROR(FIND("x",LOWER(Registro!$E471))),"-",IFERROR(SUMPRODUCT(--("0"&amp;LEFT(TRIM(MID(SUBSTITUTE(SUBSTITUTE(SUBSTITUTE(SUBSTITUTE(SUBSTITUTE(LOWER(Registro!$E471),"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",LEN(Registro!$E471))),({1,2,3,4,5,6,7,8,9,10,11,12,13,14,15,16,17,18,19,20,21,22,23,24,25,26,27,28,29,30}-1)*LEN(Registro!$E471)+1,LEN(Registro!$E471))),FIND("x",TRIM(MID(SUBSTITUTE(SUBSTITUTE(SUBSTITUTE(SUBSTITUTE(SUBSTITUTE(LOWER(Registro!$E471),"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",LEN(Registro!$E471))),({1,2,3,4,5,6,7,8,9,10,11,12,13,14,15,16,17,18,19,20,21,22,23,24,25,26,27,28,29,30}-1)*LEN(Registro!$E471)+1,LEN(Registro!$E471)))&amp;"x")-1))),"Revisar formato")))</f>
        <v/>
      </c>
      <c r="E471" s="24" t="str">
        <f>IF(Registro!$E471="","",IF(ISERROR(FIND("x",LOWER(Registro!$E471))),"-",IFERROR(SUMPRODUCT(--("0"&amp;LEFT(TRIM(MID(SUBSTITUTE(SUBSTITUTE(SUBSTITUTE(SUBSTITUTE(SUBSTITUTE(LOWER(Registro!$E471),"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",LEN(Registro!$E471))),({1,2,3,4,5,6,7,8,9,10,11,12,13,14,15,16,17,18,19,20,21,22,23,24,25,26,27,28,29,30}-1)*LEN(Registro!$E471)+1,LEN(Registro!$E471))),FIND("x",TRIM(MID(SUBSTITUTE(SUBSTITUTE(SUBSTITUTE(SUBSTITUTE(SUBSTITUTE(LOWER(Registro!$E471),"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",LEN(Registro!$E471))),({1,2,3,4,5,6,7,8,9,10,11,12,13,14,15,16,17,18,19,20,21,22,23,24,25,26,27,28,29,30}-1)*LEN(Registro!$E471)+1,LEN(Registro!$E471)))&amp;"x")-1)),--("0"&amp;MID(TRIM(MID(SUBSTITUTE(SUBSTITUTE(SUBSTITUTE(SUBSTITUTE(SUBSTITUTE(LOWER(Registro!$E471),"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",LEN(Registro!$E471))),({1,2,3,4,5,6,7,8,9,10,11,12,13,14,15,16,17,18,19,20,21,22,23,24,25,26,27,28,29,30}-1)*LEN(Registro!$E471)+1,LEN(Registro!$E471))),FIND("x",TRIM(MID(SUBSTITUTE(SUBSTITUTE(SUBSTITUTE(SUBSTITUTE(SUBSTITUTE(LOWER(Registro!$E471),"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",LEN(Registro!$E471))),({1,2,3,4,5,6,7,8,9,10,11,12,13,14,15,16,17,18,19,20,21,22,23,24,25,26,27,28,29,30}-1)*LEN(Registro!$E471)+1,LEN(Registro!$E471)))&amp;"x")+1,20))),"Revisar formato")))</f>
        <v/>
      </c>
      <c r="F471" s="23" t="str">
        <f>IF(Registro!$F471="","",IF(ISERROR(FIND("x",LOWER(Registro!$F471))),"-",IFERROR(SUMPRODUCT(--("0"&amp;LEFT(TRIM(MID(SUBSTITUTE(SUBSTITUTE(SUBSTITUTE(SUBSTITUTE(SUBSTITUTE(LOWER(Registro!$F471)," ",""),CHAR(10),"|"),";","|"),"+","|"),"|",REPT(" ",LEN(Registro!$F471))),({1,2,3,4,5,6,7,8,9,10,11,12,13,14,15,16,17,18,19,20,21,22,23,24,25,26,27,28,29,30}-1)*LEN(Registro!$F471)+1,LEN(Registro!$F471))),FIND("x",TRIM(MID(SUBSTITUTE(SUBSTITUTE(SUBSTITUTE(SUBSTITUTE(SUBSTITUTE(LOWER(Registro!$F471)," ",""),CHAR(10),"|"),";","|"),"+","|"),"|",REPT(" ",LEN(Registro!$F471))),({1,2,3,4,5,6,7,8,9,10,11,12,13,14,15,16,17,18,19,20,21,22,23,24,25,26,27,28,29,30}-1)*LEN(Registro!$F471)+1,LEN(Registro!$F471)))&amp;"x")-1))),"Revisar formato")))</f>
        <v/>
      </c>
      <c r="G471" s="24" t="str">
        <f>IF(Registro!$F471="","",IF(ISERROR(FIND("x",LOWER(Registro!$F471))),N(Registro!$G471),IFERROR(SUMPRODUCT(--("0"&amp;LEFT(TRIM(MID(SUBSTITUTE(SUBSTITUTE(SUBSTITUTE(SUBSTITUTE(SUBSTITUTE(LOWER(Registro!$F471)," ",""),CHAR(10),"|"),";","|"),"+","|"),"|",REPT(" ",LEN(Registro!$F471))),({1,2,3,4,5,6,7,8,9,10,11,12,13,14,15,16,17,18,19,20,21,22,23,24,25,26,27,28,29,30}-1)*LEN(Registro!$F471)+1,LEN(Registro!$F471))),FIND("x",TRIM(MID(SUBSTITUTE(SUBSTITUTE(SUBSTITUTE(SUBSTITUTE(SUBSTITUTE(LOWER(Registro!$F471)," ",""),CHAR(10),"|"),";","|"),"+","|"),"|",REPT(" ",LEN(Registro!$F471))),({1,2,3,4,5,6,7,8,9,10,11,12,13,14,15,16,17,18,19,20,21,22,23,24,25,26,27,28,29,30}-1)*LEN(Registro!$F471)+1,LEN(Registro!$F471)))&amp;"x")-1)),--("0"&amp;MID(TRIM(MID(SUBSTITUTE(SUBSTITUTE(SUBSTITUTE(SUBSTITUTE(SUBSTITUTE(LOWER(Registro!$F471)," ",""),CHAR(10),"|"),";","|"),"+","|"),"|",REPT(" ",LEN(Registro!$F471))),({1,2,3,4,5,6,7,8,9,10,11,12,13,14,15,16,17,18,19,20,21,22,23,24,25,26,27,28,29,30}-1)*LEN(Registro!$F471)+1,LEN(Registro!$F471))),FIND("x",TRIM(MID(SUBSTITUTE(SUBSTITUTE(SUBSTITUTE(SUBSTITUTE(SUBSTITUTE(LOWER(Registro!$F471)," ",""),CHAR(10),"|"),";","|"),"+","|"),"|",REPT(" ",LEN(Registro!$F471))),({1,2,3,4,5,6,7,8,9,10,11,12,13,14,15,16,17,18,19,20,21,22,23,24,25,26,27,28,29,30}-1)*LEN(Registro!$F471)+1,LEN(Registro!$F471)))&amp;"x")+1,20))),"Revisar formato")))</f>
        <v/>
      </c>
      <c r="H471" s="21" t="str">
        <f>IF(AND(Registro!$E471="",Registro!$F471=""),"",IF(NOT(AND(ISNUMBER(G471),ISNUMBER(Registro!$G471))),"",IF(G471&lt;Registro!$G471,"FALTA BOLETOS",IF(G471=Registro!$G471,"CONFORME","DIFERENCIA"))))</f>
        <v/>
      </c>
      <c r="I471" s="24" t="str">
        <f>IF(Registro!$H471="","",IFERROR(SUMPRODUCT(--("0"&amp;TRIM(RIGHT(SUBSTITUTE(TRIM(MID(SUBSTITUTE(SUBSTITUTE(Registro!$H471,";",CHAR(10)),CHAR(10),REPT(" ",LEN(Registro!$H471))),({1,2,3,4,5,6,7,8,9,10,11,12,13,14,15,16,17,18,19,20,21,22,23,24,25,26,27,28,29,30}-1)*LEN(Registro!$H471)+1,LEN(Registro!$H471)))," ",REPT(" ",50)),50)))),"Revisar formato"))</f>
        <v/>
      </c>
      <c r="J471" s="24" t="str">
        <f>IF(Registro!$I471="","",IFERROR(SUMPRODUCT(--("0"&amp;TRIM(RIGHT(SUBSTITUTE(TRIM(MID(SUBSTITUTE(SUBSTITUTE(Registro!$I471,";",CHAR(10)),CHAR(10),REPT(" ",LEN(Registro!$I471))),({1,2,3,4,5,6,7,8,9,10,11,12,13,14,15,16,17,18,19,20,21,22,23,24,25,26,27,28,29,30}-1)*LEN(Registro!$I471)+1,LEN(Registro!$I471)))," ",REPT(" ",50)),50)))),"Revisar formato"))</f>
        <v/>
      </c>
      <c r="K471" s="24" t="str">
        <f>IF(AND(Registro!$G471="",Registro!$H471=""),"",IF(AND(ISTEXT(I471),I471&lt;&gt;""),"Revisar formato",N(Registro!$G471)-N(I471)))</f>
        <v/>
      </c>
      <c r="L471" s="24" t="str">
        <f t="shared" si="15"/>
        <v/>
      </c>
      <c r="M471" s="36" t="str">
        <f>IF(AND(A471=Consulta!$B$3,C471=Consulta!$H$3),B471*10000+ROW(),"")</f>
        <v/>
      </c>
    </row>
    <row r="472" spans="1:13" x14ac:dyDescent="0.25">
      <c r="A472" s="21" t="str">
        <f>IF(Registro!$A472="","",Registro!$A472)</f>
        <v/>
      </c>
      <c r="B472" s="20" t="str">
        <f>IF(Registro!$B472="","",Registro!$B472)</f>
        <v/>
      </c>
      <c r="C472" s="35" t="str">
        <f t="shared" si="14"/>
        <v/>
      </c>
      <c r="D472" s="23" t="str">
        <f>IF(Registro!$E472="","",IF(ISERROR(FIND("x",LOWER(Registro!$E472))),"-",IFERROR(SUMPRODUCT(--("0"&amp;LEFT(TRIM(MID(SUBSTITUTE(SUBSTITUTE(SUBSTITUTE(SUBSTITUTE(SUBSTITUTE(LOWER(Registro!$E472),"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",LEN(Registro!$E472))),({1,2,3,4,5,6,7,8,9,10,11,12,13,14,15,16,17,18,19,20,21,22,23,24,25,26,27,28,29,30}-1)*LEN(Registro!$E472)+1,LEN(Registro!$E472))),FIND("x",TRIM(MID(SUBSTITUTE(SUBSTITUTE(SUBSTITUTE(SUBSTITUTE(SUBSTITUTE(LOWER(Registro!$E472),"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",LEN(Registro!$E472))),({1,2,3,4,5,6,7,8,9,10,11,12,13,14,15,16,17,18,19,20,21,22,23,24,25,26,27,28,29,30}-1)*LEN(Registro!$E472)+1,LEN(Registro!$E472)))&amp;"x")-1))),"Revisar formato")))</f>
        <v/>
      </c>
      <c r="E472" s="24" t="str">
        <f>IF(Registro!$E472="","",IF(ISERROR(FIND("x",LOWER(Registro!$E472))),"-",IFERROR(SUMPRODUCT(--("0"&amp;LEFT(TRIM(MID(SUBSTITUTE(SUBSTITUTE(SUBSTITUTE(SUBSTITUTE(SUBSTITUTE(LOWER(Registro!$E472),"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",LEN(Registro!$E472))),({1,2,3,4,5,6,7,8,9,10,11,12,13,14,15,16,17,18,19,20,21,22,23,24,25,26,27,28,29,30}-1)*LEN(Registro!$E472)+1,LEN(Registro!$E472))),FIND("x",TRIM(MID(SUBSTITUTE(SUBSTITUTE(SUBSTITUTE(SUBSTITUTE(SUBSTITUTE(LOWER(Registro!$E472),"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",LEN(Registro!$E472))),({1,2,3,4,5,6,7,8,9,10,11,12,13,14,15,16,17,18,19,20,21,22,23,24,25,26,27,28,29,30}-1)*LEN(Registro!$E472)+1,LEN(Registro!$E472)))&amp;"x")-1)),--("0"&amp;MID(TRIM(MID(SUBSTITUTE(SUBSTITUTE(SUBSTITUTE(SUBSTITUTE(SUBSTITUTE(LOWER(Registro!$E472),"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",LEN(Registro!$E472))),({1,2,3,4,5,6,7,8,9,10,11,12,13,14,15,16,17,18,19,20,21,22,23,24,25,26,27,28,29,30}-1)*LEN(Registro!$E472)+1,LEN(Registro!$E472))),FIND("x",TRIM(MID(SUBSTITUTE(SUBSTITUTE(SUBSTITUTE(SUBSTITUTE(SUBSTITUTE(LOWER(Registro!$E472),"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",LEN(Registro!$E472))),({1,2,3,4,5,6,7,8,9,10,11,12,13,14,15,16,17,18,19,20,21,22,23,24,25,26,27,28,29,30}-1)*LEN(Registro!$E472)+1,LEN(Registro!$E472)))&amp;"x")+1,20))),"Revisar formato")))</f>
        <v/>
      </c>
      <c r="F472" s="23" t="str">
        <f>IF(Registro!$F472="","",IF(ISERROR(FIND("x",LOWER(Registro!$F472))),"-",IFERROR(SUMPRODUCT(--("0"&amp;LEFT(TRIM(MID(SUBSTITUTE(SUBSTITUTE(SUBSTITUTE(SUBSTITUTE(SUBSTITUTE(LOWER(Registro!$F472)," ",""),CHAR(10),"|"),";","|"),"+","|"),"|",REPT(" ",LEN(Registro!$F472))),({1,2,3,4,5,6,7,8,9,10,11,12,13,14,15,16,17,18,19,20,21,22,23,24,25,26,27,28,29,30}-1)*LEN(Registro!$F472)+1,LEN(Registro!$F472))),FIND("x",TRIM(MID(SUBSTITUTE(SUBSTITUTE(SUBSTITUTE(SUBSTITUTE(SUBSTITUTE(LOWER(Registro!$F472)," ",""),CHAR(10),"|"),";","|"),"+","|"),"|",REPT(" ",LEN(Registro!$F472))),({1,2,3,4,5,6,7,8,9,10,11,12,13,14,15,16,17,18,19,20,21,22,23,24,25,26,27,28,29,30}-1)*LEN(Registro!$F472)+1,LEN(Registro!$F472)))&amp;"x")-1))),"Revisar formato")))</f>
        <v/>
      </c>
      <c r="G472" s="24" t="str">
        <f>IF(Registro!$F472="","",IF(ISERROR(FIND("x",LOWER(Registro!$F472))),N(Registro!$G472),IFERROR(SUMPRODUCT(--("0"&amp;LEFT(TRIM(MID(SUBSTITUTE(SUBSTITUTE(SUBSTITUTE(SUBSTITUTE(SUBSTITUTE(LOWER(Registro!$F472)," ",""),CHAR(10),"|"),";","|"),"+","|"),"|",REPT(" ",LEN(Registro!$F472))),({1,2,3,4,5,6,7,8,9,10,11,12,13,14,15,16,17,18,19,20,21,22,23,24,25,26,27,28,29,30}-1)*LEN(Registro!$F472)+1,LEN(Registro!$F472))),FIND("x",TRIM(MID(SUBSTITUTE(SUBSTITUTE(SUBSTITUTE(SUBSTITUTE(SUBSTITUTE(LOWER(Registro!$F472)," ",""),CHAR(10),"|"),";","|"),"+","|"),"|",REPT(" ",LEN(Registro!$F472))),({1,2,3,4,5,6,7,8,9,10,11,12,13,14,15,16,17,18,19,20,21,22,23,24,25,26,27,28,29,30}-1)*LEN(Registro!$F472)+1,LEN(Registro!$F472)))&amp;"x")-1)),--("0"&amp;MID(TRIM(MID(SUBSTITUTE(SUBSTITUTE(SUBSTITUTE(SUBSTITUTE(SUBSTITUTE(LOWER(Registro!$F472)," ",""),CHAR(10),"|"),";","|"),"+","|"),"|",REPT(" ",LEN(Registro!$F472))),({1,2,3,4,5,6,7,8,9,10,11,12,13,14,15,16,17,18,19,20,21,22,23,24,25,26,27,28,29,30}-1)*LEN(Registro!$F472)+1,LEN(Registro!$F472))),FIND("x",TRIM(MID(SUBSTITUTE(SUBSTITUTE(SUBSTITUTE(SUBSTITUTE(SUBSTITUTE(LOWER(Registro!$F472)," ",""),CHAR(10),"|"),";","|"),"+","|"),"|",REPT(" ",LEN(Registro!$F472))),({1,2,3,4,5,6,7,8,9,10,11,12,13,14,15,16,17,18,19,20,21,22,23,24,25,26,27,28,29,30}-1)*LEN(Registro!$F472)+1,LEN(Registro!$F472)))&amp;"x")+1,20))),"Revisar formato")))</f>
        <v/>
      </c>
      <c r="H472" s="21" t="str">
        <f>IF(AND(Registro!$E472="",Registro!$F472=""),"",IF(NOT(AND(ISNUMBER(G472),ISNUMBER(Registro!$G472))),"",IF(G472&lt;Registro!$G472,"FALTA BOLETOS",IF(G472=Registro!$G472,"CONFORME","DIFERENCIA"))))</f>
        <v/>
      </c>
      <c r="I472" s="24" t="str">
        <f>IF(Registro!$H472="","",IFERROR(SUMPRODUCT(--("0"&amp;TRIM(RIGHT(SUBSTITUTE(TRIM(MID(SUBSTITUTE(SUBSTITUTE(Registro!$H472,";",CHAR(10)),CHAR(10),REPT(" ",LEN(Registro!$H472))),({1,2,3,4,5,6,7,8,9,10,11,12,13,14,15,16,17,18,19,20,21,22,23,24,25,26,27,28,29,30}-1)*LEN(Registro!$H472)+1,LEN(Registro!$H472)))," ",REPT(" ",50)),50)))),"Revisar formato"))</f>
        <v/>
      </c>
      <c r="J472" s="24" t="str">
        <f>IF(Registro!$I472="","",IFERROR(SUMPRODUCT(--("0"&amp;TRIM(RIGHT(SUBSTITUTE(TRIM(MID(SUBSTITUTE(SUBSTITUTE(Registro!$I472,";",CHAR(10)),CHAR(10),REPT(" ",LEN(Registro!$I472))),({1,2,3,4,5,6,7,8,9,10,11,12,13,14,15,16,17,18,19,20,21,22,23,24,25,26,27,28,29,30}-1)*LEN(Registro!$I472)+1,LEN(Registro!$I472)))," ",REPT(" ",50)),50)))),"Revisar formato"))</f>
        <v/>
      </c>
      <c r="K472" s="24" t="str">
        <f>IF(AND(Registro!$G472="",Registro!$H472=""),"",IF(AND(ISTEXT(I472),I472&lt;&gt;""),"Revisar formato",N(Registro!$G472)-N(I472)))</f>
        <v/>
      </c>
      <c r="L472" s="24" t="str">
        <f t="shared" si="15"/>
        <v/>
      </c>
      <c r="M472" s="36" t="str">
        <f>IF(AND(A472=Consulta!$B$3,C472=Consulta!$H$3),B472*10000+ROW(),"")</f>
        <v/>
      </c>
    </row>
    <row r="473" spans="1:13" x14ac:dyDescent="0.25">
      <c r="A473" s="21" t="str">
        <f>IF(Registro!$A473="","",Registro!$A473)</f>
        <v/>
      </c>
      <c r="B473" s="20" t="str">
        <f>IF(Registro!$B473="","",Registro!$B473)</f>
        <v/>
      </c>
      <c r="C473" s="35" t="str">
        <f t="shared" si="14"/>
        <v/>
      </c>
      <c r="D473" s="23" t="str">
        <f>IF(Registro!$E473="","",IF(ISERROR(FIND("x",LOWER(Registro!$E473))),"-",IFERROR(SUMPRODUCT(--("0"&amp;LEFT(TRIM(MID(SUBSTITUTE(SUBSTITUTE(SUBSTITUTE(SUBSTITUTE(SUBSTITUTE(LOWER(Registro!$E473),"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",LEN(Registro!$E473))),({1,2,3,4,5,6,7,8,9,10,11,12,13,14,15,16,17,18,19,20,21,22,23,24,25,26,27,28,29,30}-1)*LEN(Registro!$E473)+1,LEN(Registro!$E473))),FIND("x",TRIM(MID(SUBSTITUTE(SUBSTITUTE(SUBSTITUTE(SUBSTITUTE(SUBSTITUTE(LOWER(Registro!$E473),"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",LEN(Registro!$E473))),({1,2,3,4,5,6,7,8,9,10,11,12,13,14,15,16,17,18,19,20,21,22,23,24,25,26,27,28,29,30}-1)*LEN(Registro!$E473)+1,LEN(Registro!$E473)))&amp;"x")-1))),"Revisar formato")))</f>
        <v/>
      </c>
      <c r="E473" s="24" t="str">
        <f>IF(Registro!$E473="","",IF(ISERROR(FIND("x",LOWER(Registro!$E473))),"-",IFERROR(SUMPRODUCT(--("0"&amp;LEFT(TRIM(MID(SUBSTITUTE(SUBSTITUTE(SUBSTITUTE(SUBSTITUTE(SUBSTITUTE(LOWER(Registro!$E473),"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",LEN(Registro!$E473))),({1,2,3,4,5,6,7,8,9,10,11,12,13,14,15,16,17,18,19,20,21,22,23,24,25,26,27,28,29,30}-1)*LEN(Registro!$E473)+1,LEN(Registro!$E473))),FIND("x",TRIM(MID(SUBSTITUTE(SUBSTITUTE(SUBSTITUTE(SUBSTITUTE(SUBSTITUTE(LOWER(Registro!$E473),"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",LEN(Registro!$E473))),({1,2,3,4,5,6,7,8,9,10,11,12,13,14,15,16,17,18,19,20,21,22,23,24,25,26,27,28,29,30}-1)*LEN(Registro!$E473)+1,LEN(Registro!$E473)))&amp;"x")-1)),--("0"&amp;MID(TRIM(MID(SUBSTITUTE(SUBSTITUTE(SUBSTITUTE(SUBSTITUTE(SUBSTITUTE(LOWER(Registro!$E473),"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",LEN(Registro!$E473))),({1,2,3,4,5,6,7,8,9,10,11,12,13,14,15,16,17,18,19,20,21,22,23,24,25,26,27,28,29,30}-1)*LEN(Registro!$E473)+1,LEN(Registro!$E473))),FIND("x",TRIM(MID(SUBSTITUTE(SUBSTITUTE(SUBSTITUTE(SUBSTITUTE(SUBSTITUTE(LOWER(Registro!$E473),"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",LEN(Registro!$E473))),({1,2,3,4,5,6,7,8,9,10,11,12,13,14,15,16,17,18,19,20,21,22,23,24,25,26,27,28,29,30}-1)*LEN(Registro!$E473)+1,LEN(Registro!$E473)))&amp;"x")+1,20))),"Revisar formato")))</f>
        <v/>
      </c>
      <c r="F473" s="23" t="str">
        <f>IF(Registro!$F473="","",IF(ISERROR(FIND("x",LOWER(Registro!$F473))),"-",IFERROR(SUMPRODUCT(--("0"&amp;LEFT(TRIM(MID(SUBSTITUTE(SUBSTITUTE(SUBSTITUTE(SUBSTITUTE(SUBSTITUTE(LOWER(Registro!$F473)," ",""),CHAR(10),"|"),";","|"),"+","|"),"|",REPT(" ",LEN(Registro!$F473))),({1,2,3,4,5,6,7,8,9,10,11,12,13,14,15,16,17,18,19,20,21,22,23,24,25,26,27,28,29,30}-1)*LEN(Registro!$F473)+1,LEN(Registro!$F473))),FIND("x",TRIM(MID(SUBSTITUTE(SUBSTITUTE(SUBSTITUTE(SUBSTITUTE(SUBSTITUTE(LOWER(Registro!$F473)," ",""),CHAR(10),"|"),";","|"),"+","|"),"|",REPT(" ",LEN(Registro!$F473))),({1,2,3,4,5,6,7,8,9,10,11,12,13,14,15,16,17,18,19,20,21,22,23,24,25,26,27,28,29,30}-1)*LEN(Registro!$F473)+1,LEN(Registro!$F473)))&amp;"x")-1))),"Revisar formato")))</f>
        <v/>
      </c>
      <c r="G473" s="24" t="str">
        <f>IF(Registro!$F473="","",IF(ISERROR(FIND("x",LOWER(Registro!$F473))),N(Registro!$G473),IFERROR(SUMPRODUCT(--("0"&amp;LEFT(TRIM(MID(SUBSTITUTE(SUBSTITUTE(SUBSTITUTE(SUBSTITUTE(SUBSTITUTE(LOWER(Registro!$F473)," ",""),CHAR(10),"|"),";","|"),"+","|"),"|",REPT(" ",LEN(Registro!$F473))),({1,2,3,4,5,6,7,8,9,10,11,12,13,14,15,16,17,18,19,20,21,22,23,24,25,26,27,28,29,30}-1)*LEN(Registro!$F473)+1,LEN(Registro!$F473))),FIND("x",TRIM(MID(SUBSTITUTE(SUBSTITUTE(SUBSTITUTE(SUBSTITUTE(SUBSTITUTE(LOWER(Registro!$F473)," ",""),CHAR(10),"|"),";","|"),"+","|"),"|",REPT(" ",LEN(Registro!$F473))),({1,2,3,4,5,6,7,8,9,10,11,12,13,14,15,16,17,18,19,20,21,22,23,24,25,26,27,28,29,30}-1)*LEN(Registro!$F473)+1,LEN(Registro!$F473)))&amp;"x")-1)),--("0"&amp;MID(TRIM(MID(SUBSTITUTE(SUBSTITUTE(SUBSTITUTE(SUBSTITUTE(SUBSTITUTE(LOWER(Registro!$F473)," ",""),CHAR(10),"|"),";","|"),"+","|"),"|",REPT(" ",LEN(Registro!$F473))),({1,2,3,4,5,6,7,8,9,10,11,12,13,14,15,16,17,18,19,20,21,22,23,24,25,26,27,28,29,30}-1)*LEN(Registro!$F473)+1,LEN(Registro!$F473))),FIND("x",TRIM(MID(SUBSTITUTE(SUBSTITUTE(SUBSTITUTE(SUBSTITUTE(SUBSTITUTE(LOWER(Registro!$F473)," ",""),CHAR(10),"|"),";","|"),"+","|"),"|",REPT(" ",LEN(Registro!$F473))),({1,2,3,4,5,6,7,8,9,10,11,12,13,14,15,16,17,18,19,20,21,22,23,24,25,26,27,28,29,30}-1)*LEN(Registro!$F473)+1,LEN(Registro!$F473)))&amp;"x")+1,20))),"Revisar formato")))</f>
        <v/>
      </c>
      <c r="H473" s="21" t="str">
        <f>IF(AND(Registro!$E473="",Registro!$F473=""),"",IF(NOT(AND(ISNUMBER(G473),ISNUMBER(Registro!$G473))),"",IF(G473&lt;Registro!$G473,"FALTA BOLETOS",IF(G473=Registro!$G473,"CONFORME","DIFERENCIA"))))</f>
        <v/>
      </c>
      <c r="I473" s="24" t="str">
        <f>IF(Registro!$H473="","",IFERROR(SUMPRODUCT(--("0"&amp;TRIM(RIGHT(SUBSTITUTE(TRIM(MID(SUBSTITUTE(SUBSTITUTE(Registro!$H473,";",CHAR(10)),CHAR(10),REPT(" ",LEN(Registro!$H473))),({1,2,3,4,5,6,7,8,9,10,11,12,13,14,15,16,17,18,19,20,21,22,23,24,25,26,27,28,29,30}-1)*LEN(Registro!$H473)+1,LEN(Registro!$H473)))," ",REPT(" ",50)),50)))),"Revisar formato"))</f>
        <v/>
      </c>
      <c r="J473" s="24" t="str">
        <f>IF(Registro!$I473="","",IFERROR(SUMPRODUCT(--("0"&amp;TRIM(RIGHT(SUBSTITUTE(TRIM(MID(SUBSTITUTE(SUBSTITUTE(Registro!$I473,";",CHAR(10)),CHAR(10),REPT(" ",LEN(Registro!$I473))),({1,2,3,4,5,6,7,8,9,10,11,12,13,14,15,16,17,18,19,20,21,22,23,24,25,26,27,28,29,30}-1)*LEN(Registro!$I473)+1,LEN(Registro!$I473)))," ",REPT(" ",50)),50)))),"Revisar formato"))</f>
        <v/>
      </c>
      <c r="K473" s="24" t="str">
        <f>IF(AND(Registro!$G473="",Registro!$H473=""),"",IF(AND(ISTEXT(I473),I473&lt;&gt;""),"Revisar formato",N(Registro!$G473)-N(I473)))</f>
        <v/>
      </c>
      <c r="L473" s="24" t="str">
        <f t="shared" si="15"/>
        <v/>
      </c>
      <c r="M473" s="36" t="str">
        <f>IF(AND(A473=Consulta!$B$3,C473=Consulta!$H$3),B473*10000+ROW(),"")</f>
        <v/>
      </c>
    </row>
    <row r="474" spans="1:13" x14ac:dyDescent="0.25">
      <c r="A474" s="21" t="str">
        <f>IF(Registro!$A474="","",Registro!$A474)</f>
        <v/>
      </c>
      <c r="B474" s="20" t="str">
        <f>IF(Registro!$B474="","",Registro!$B474)</f>
        <v/>
      </c>
      <c r="C474" s="35" t="str">
        <f t="shared" si="14"/>
        <v/>
      </c>
      <c r="D474" s="23" t="str">
        <f>IF(Registro!$E474="","",IF(ISERROR(FIND("x",LOWER(Registro!$E474))),"-",IFERROR(SUMPRODUCT(--("0"&amp;LEFT(TRIM(MID(SUBSTITUTE(SUBSTITUTE(SUBSTITUTE(SUBSTITUTE(SUBSTITUTE(LOWER(Registro!$E474),"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",LEN(Registro!$E474))),({1,2,3,4,5,6,7,8,9,10,11,12,13,14,15,16,17,18,19,20,21,22,23,24,25,26,27,28,29,30}-1)*LEN(Registro!$E474)+1,LEN(Registro!$E474))),FIND("x",TRIM(MID(SUBSTITUTE(SUBSTITUTE(SUBSTITUTE(SUBSTITUTE(SUBSTITUTE(LOWER(Registro!$E474),"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",LEN(Registro!$E474))),({1,2,3,4,5,6,7,8,9,10,11,12,13,14,15,16,17,18,19,20,21,22,23,24,25,26,27,28,29,30}-1)*LEN(Registro!$E474)+1,LEN(Registro!$E474)))&amp;"x")-1))),"Revisar formato")))</f>
        <v/>
      </c>
      <c r="E474" s="24" t="str">
        <f>IF(Registro!$E474="","",IF(ISERROR(FIND("x",LOWER(Registro!$E474))),"-",IFERROR(SUMPRODUCT(--("0"&amp;LEFT(TRIM(MID(SUBSTITUTE(SUBSTITUTE(SUBSTITUTE(SUBSTITUTE(SUBSTITUTE(LOWER(Registro!$E474),"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",LEN(Registro!$E474))),({1,2,3,4,5,6,7,8,9,10,11,12,13,14,15,16,17,18,19,20,21,22,23,24,25,26,27,28,29,30}-1)*LEN(Registro!$E474)+1,LEN(Registro!$E474))),FIND("x",TRIM(MID(SUBSTITUTE(SUBSTITUTE(SUBSTITUTE(SUBSTITUTE(SUBSTITUTE(LOWER(Registro!$E474),"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",LEN(Registro!$E474))),({1,2,3,4,5,6,7,8,9,10,11,12,13,14,15,16,17,18,19,20,21,22,23,24,25,26,27,28,29,30}-1)*LEN(Registro!$E474)+1,LEN(Registro!$E474)))&amp;"x")-1)),--("0"&amp;MID(TRIM(MID(SUBSTITUTE(SUBSTITUTE(SUBSTITUTE(SUBSTITUTE(SUBSTITUTE(LOWER(Registro!$E474),"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",LEN(Registro!$E474))),({1,2,3,4,5,6,7,8,9,10,11,12,13,14,15,16,17,18,19,20,21,22,23,24,25,26,27,28,29,30}-1)*LEN(Registro!$E474)+1,LEN(Registro!$E474))),FIND("x",TRIM(MID(SUBSTITUTE(SUBSTITUTE(SUBSTITUTE(SUBSTITUTE(SUBSTITUTE(LOWER(Registro!$E474),"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",LEN(Registro!$E474))),({1,2,3,4,5,6,7,8,9,10,11,12,13,14,15,16,17,18,19,20,21,22,23,24,25,26,27,28,29,30}-1)*LEN(Registro!$E474)+1,LEN(Registro!$E474)))&amp;"x")+1,20))),"Revisar formato")))</f>
        <v/>
      </c>
      <c r="F474" s="23" t="str">
        <f>IF(Registro!$F474="","",IF(ISERROR(FIND("x",LOWER(Registro!$F474))),"-",IFERROR(SUMPRODUCT(--("0"&amp;LEFT(TRIM(MID(SUBSTITUTE(SUBSTITUTE(SUBSTITUTE(SUBSTITUTE(SUBSTITUTE(LOWER(Registro!$F474)," ",""),CHAR(10),"|"),";","|"),"+","|"),"|",REPT(" ",LEN(Registro!$F474))),({1,2,3,4,5,6,7,8,9,10,11,12,13,14,15,16,17,18,19,20,21,22,23,24,25,26,27,28,29,30}-1)*LEN(Registro!$F474)+1,LEN(Registro!$F474))),FIND("x",TRIM(MID(SUBSTITUTE(SUBSTITUTE(SUBSTITUTE(SUBSTITUTE(SUBSTITUTE(LOWER(Registro!$F474)," ",""),CHAR(10),"|"),";","|"),"+","|"),"|",REPT(" ",LEN(Registro!$F474))),({1,2,3,4,5,6,7,8,9,10,11,12,13,14,15,16,17,18,19,20,21,22,23,24,25,26,27,28,29,30}-1)*LEN(Registro!$F474)+1,LEN(Registro!$F474)))&amp;"x")-1))),"Revisar formato")))</f>
        <v/>
      </c>
      <c r="G474" s="24" t="str">
        <f>IF(Registro!$F474="","",IF(ISERROR(FIND("x",LOWER(Registro!$F474))),N(Registro!$G474),IFERROR(SUMPRODUCT(--("0"&amp;LEFT(TRIM(MID(SUBSTITUTE(SUBSTITUTE(SUBSTITUTE(SUBSTITUTE(SUBSTITUTE(LOWER(Registro!$F474)," ",""),CHAR(10),"|"),";","|"),"+","|"),"|",REPT(" ",LEN(Registro!$F474))),({1,2,3,4,5,6,7,8,9,10,11,12,13,14,15,16,17,18,19,20,21,22,23,24,25,26,27,28,29,30}-1)*LEN(Registro!$F474)+1,LEN(Registro!$F474))),FIND("x",TRIM(MID(SUBSTITUTE(SUBSTITUTE(SUBSTITUTE(SUBSTITUTE(SUBSTITUTE(LOWER(Registro!$F474)," ",""),CHAR(10),"|"),";","|"),"+","|"),"|",REPT(" ",LEN(Registro!$F474))),({1,2,3,4,5,6,7,8,9,10,11,12,13,14,15,16,17,18,19,20,21,22,23,24,25,26,27,28,29,30}-1)*LEN(Registro!$F474)+1,LEN(Registro!$F474)))&amp;"x")-1)),--("0"&amp;MID(TRIM(MID(SUBSTITUTE(SUBSTITUTE(SUBSTITUTE(SUBSTITUTE(SUBSTITUTE(LOWER(Registro!$F474)," ",""),CHAR(10),"|"),";","|"),"+","|"),"|",REPT(" ",LEN(Registro!$F474))),({1,2,3,4,5,6,7,8,9,10,11,12,13,14,15,16,17,18,19,20,21,22,23,24,25,26,27,28,29,30}-1)*LEN(Registro!$F474)+1,LEN(Registro!$F474))),FIND("x",TRIM(MID(SUBSTITUTE(SUBSTITUTE(SUBSTITUTE(SUBSTITUTE(SUBSTITUTE(LOWER(Registro!$F474)," ",""),CHAR(10),"|"),";","|"),"+","|"),"|",REPT(" ",LEN(Registro!$F474))),({1,2,3,4,5,6,7,8,9,10,11,12,13,14,15,16,17,18,19,20,21,22,23,24,25,26,27,28,29,30}-1)*LEN(Registro!$F474)+1,LEN(Registro!$F474)))&amp;"x")+1,20))),"Revisar formato")))</f>
        <v/>
      </c>
      <c r="H474" s="21" t="str">
        <f>IF(AND(Registro!$E474="",Registro!$F474=""),"",IF(NOT(AND(ISNUMBER(G474),ISNUMBER(Registro!$G474))),"",IF(G474&lt;Registro!$G474,"FALTA BOLETOS",IF(G474=Registro!$G474,"CONFORME","DIFERENCIA"))))</f>
        <v/>
      </c>
      <c r="I474" s="24" t="str">
        <f>IF(Registro!$H474="","",IFERROR(SUMPRODUCT(--("0"&amp;TRIM(RIGHT(SUBSTITUTE(TRIM(MID(SUBSTITUTE(SUBSTITUTE(Registro!$H474,";",CHAR(10)),CHAR(10),REPT(" ",LEN(Registro!$H474))),({1,2,3,4,5,6,7,8,9,10,11,12,13,14,15,16,17,18,19,20,21,22,23,24,25,26,27,28,29,30}-1)*LEN(Registro!$H474)+1,LEN(Registro!$H474)))," ",REPT(" ",50)),50)))),"Revisar formato"))</f>
        <v/>
      </c>
      <c r="J474" s="24" t="str">
        <f>IF(Registro!$I474="","",IFERROR(SUMPRODUCT(--("0"&amp;TRIM(RIGHT(SUBSTITUTE(TRIM(MID(SUBSTITUTE(SUBSTITUTE(Registro!$I474,";",CHAR(10)),CHAR(10),REPT(" ",LEN(Registro!$I474))),({1,2,3,4,5,6,7,8,9,10,11,12,13,14,15,16,17,18,19,20,21,22,23,24,25,26,27,28,29,30}-1)*LEN(Registro!$I474)+1,LEN(Registro!$I474)))," ",REPT(" ",50)),50)))),"Revisar formato"))</f>
        <v/>
      </c>
      <c r="K474" s="24" t="str">
        <f>IF(AND(Registro!$G474="",Registro!$H474=""),"",IF(AND(ISTEXT(I474),I474&lt;&gt;""),"Revisar formato",N(Registro!$G474)-N(I474)))</f>
        <v/>
      </c>
      <c r="L474" s="24" t="str">
        <f t="shared" si="15"/>
        <v/>
      </c>
      <c r="M474" s="36" t="str">
        <f>IF(AND(A474=Consulta!$B$3,C474=Consulta!$H$3),B474*10000+ROW(),"")</f>
        <v/>
      </c>
    </row>
    <row r="475" spans="1:13" x14ac:dyDescent="0.25">
      <c r="A475" s="21" t="str">
        <f>IF(Registro!$A475="","",Registro!$A475)</f>
        <v/>
      </c>
      <c r="B475" s="20" t="str">
        <f>IF(Registro!$B475="","",Registro!$B475)</f>
        <v/>
      </c>
      <c r="C475" s="35" t="str">
        <f t="shared" si="14"/>
        <v/>
      </c>
      <c r="D475" s="23" t="str">
        <f>IF(Registro!$E475="","",IF(ISERROR(FIND("x",LOWER(Registro!$E475))),"-",IFERROR(SUMPRODUCT(--("0"&amp;LEFT(TRIM(MID(SUBSTITUTE(SUBSTITUTE(SUBSTITUTE(SUBSTITUTE(SUBSTITUTE(LOWER(Registro!$E475),"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",LEN(Registro!$E475))),({1,2,3,4,5,6,7,8,9,10,11,12,13,14,15,16,17,18,19,20,21,22,23,24,25,26,27,28,29,30}-1)*LEN(Registro!$E475)+1,LEN(Registro!$E475))),FIND("x",TRIM(MID(SUBSTITUTE(SUBSTITUTE(SUBSTITUTE(SUBSTITUTE(SUBSTITUTE(LOWER(Registro!$E475),"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",LEN(Registro!$E475))),({1,2,3,4,5,6,7,8,9,10,11,12,13,14,15,16,17,18,19,20,21,22,23,24,25,26,27,28,29,30}-1)*LEN(Registro!$E475)+1,LEN(Registro!$E475)))&amp;"x")-1))),"Revisar formato")))</f>
        <v/>
      </c>
      <c r="E475" s="24" t="str">
        <f>IF(Registro!$E475="","",IF(ISERROR(FIND("x",LOWER(Registro!$E475))),"-",IFERROR(SUMPRODUCT(--("0"&amp;LEFT(TRIM(MID(SUBSTITUTE(SUBSTITUTE(SUBSTITUTE(SUBSTITUTE(SUBSTITUTE(LOWER(Registro!$E475),"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",LEN(Registro!$E475))),({1,2,3,4,5,6,7,8,9,10,11,12,13,14,15,16,17,18,19,20,21,22,23,24,25,26,27,28,29,30}-1)*LEN(Registro!$E475)+1,LEN(Registro!$E475))),FIND("x",TRIM(MID(SUBSTITUTE(SUBSTITUTE(SUBSTITUTE(SUBSTITUTE(SUBSTITUTE(LOWER(Registro!$E475),"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",LEN(Registro!$E475))),({1,2,3,4,5,6,7,8,9,10,11,12,13,14,15,16,17,18,19,20,21,22,23,24,25,26,27,28,29,30}-1)*LEN(Registro!$E475)+1,LEN(Registro!$E475)))&amp;"x")-1)),--("0"&amp;MID(TRIM(MID(SUBSTITUTE(SUBSTITUTE(SUBSTITUTE(SUBSTITUTE(SUBSTITUTE(LOWER(Registro!$E475),"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",LEN(Registro!$E475))),({1,2,3,4,5,6,7,8,9,10,11,12,13,14,15,16,17,18,19,20,21,22,23,24,25,26,27,28,29,30}-1)*LEN(Registro!$E475)+1,LEN(Registro!$E475))),FIND("x",TRIM(MID(SUBSTITUTE(SUBSTITUTE(SUBSTITUTE(SUBSTITUTE(SUBSTITUTE(LOWER(Registro!$E475),"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",LEN(Registro!$E475))),({1,2,3,4,5,6,7,8,9,10,11,12,13,14,15,16,17,18,19,20,21,22,23,24,25,26,27,28,29,30}-1)*LEN(Registro!$E475)+1,LEN(Registro!$E475)))&amp;"x")+1,20))),"Revisar formato")))</f>
        <v/>
      </c>
      <c r="F475" s="23" t="str">
        <f>IF(Registro!$F475="","",IF(ISERROR(FIND("x",LOWER(Registro!$F475))),"-",IFERROR(SUMPRODUCT(--("0"&amp;LEFT(TRIM(MID(SUBSTITUTE(SUBSTITUTE(SUBSTITUTE(SUBSTITUTE(SUBSTITUTE(LOWER(Registro!$F475)," ",""),CHAR(10),"|"),";","|"),"+","|"),"|",REPT(" ",LEN(Registro!$F475))),({1,2,3,4,5,6,7,8,9,10,11,12,13,14,15,16,17,18,19,20,21,22,23,24,25,26,27,28,29,30}-1)*LEN(Registro!$F475)+1,LEN(Registro!$F475))),FIND("x",TRIM(MID(SUBSTITUTE(SUBSTITUTE(SUBSTITUTE(SUBSTITUTE(SUBSTITUTE(LOWER(Registro!$F475)," ",""),CHAR(10),"|"),";","|"),"+","|"),"|",REPT(" ",LEN(Registro!$F475))),({1,2,3,4,5,6,7,8,9,10,11,12,13,14,15,16,17,18,19,20,21,22,23,24,25,26,27,28,29,30}-1)*LEN(Registro!$F475)+1,LEN(Registro!$F475)))&amp;"x")-1))),"Revisar formato")))</f>
        <v/>
      </c>
      <c r="G475" s="24" t="str">
        <f>IF(Registro!$F475="","",IF(ISERROR(FIND("x",LOWER(Registro!$F475))),N(Registro!$G475),IFERROR(SUMPRODUCT(--("0"&amp;LEFT(TRIM(MID(SUBSTITUTE(SUBSTITUTE(SUBSTITUTE(SUBSTITUTE(SUBSTITUTE(LOWER(Registro!$F475)," ",""),CHAR(10),"|"),";","|"),"+","|"),"|",REPT(" ",LEN(Registro!$F475))),({1,2,3,4,5,6,7,8,9,10,11,12,13,14,15,16,17,18,19,20,21,22,23,24,25,26,27,28,29,30}-1)*LEN(Registro!$F475)+1,LEN(Registro!$F475))),FIND("x",TRIM(MID(SUBSTITUTE(SUBSTITUTE(SUBSTITUTE(SUBSTITUTE(SUBSTITUTE(LOWER(Registro!$F475)," ",""),CHAR(10),"|"),";","|"),"+","|"),"|",REPT(" ",LEN(Registro!$F475))),({1,2,3,4,5,6,7,8,9,10,11,12,13,14,15,16,17,18,19,20,21,22,23,24,25,26,27,28,29,30}-1)*LEN(Registro!$F475)+1,LEN(Registro!$F475)))&amp;"x")-1)),--("0"&amp;MID(TRIM(MID(SUBSTITUTE(SUBSTITUTE(SUBSTITUTE(SUBSTITUTE(SUBSTITUTE(LOWER(Registro!$F475)," ",""),CHAR(10),"|"),";","|"),"+","|"),"|",REPT(" ",LEN(Registro!$F475))),({1,2,3,4,5,6,7,8,9,10,11,12,13,14,15,16,17,18,19,20,21,22,23,24,25,26,27,28,29,30}-1)*LEN(Registro!$F475)+1,LEN(Registro!$F475))),FIND("x",TRIM(MID(SUBSTITUTE(SUBSTITUTE(SUBSTITUTE(SUBSTITUTE(SUBSTITUTE(LOWER(Registro!$F475)," ",""),CHAR(10),"|"),";","|"),"+","|"),"|",REPT(" ",LEN(Registro!$F475))),({1,2,3,4,5,6,7,8,9,10,11,12,13,14,15,16,17,18,19,20,21,22,23,24,25,26,27,28,29,30}-1)*LEN(Registro!$F475)+1,LEN(Registro!$F475)))&amp;"x")+1,20))),"Revisar formato")))</f>
        <v/>
      </c>
      <c r="H475" s="21" t="str">
        <f>IF(AND(Registro!$E475="",Registro!$F475=""),"",IF(NOT(AND(ISNUMBER(G475),ISNUMBER(Registro!$G475))),"",IF(G475&lt;Registro!$G475,"FALTA BOLETOS",IF(G475=Registro!$G475,"CONFORME","DIFERENCIA"))))</f>
        <v/>
      </c>
      <c r="I475" s="24" t="str">
        <f>IF(Registro!$H475="","",IFERROR(SUMPRODUCT(--("0"&amp;TRIM(RIGHT(SUBSTITUTE(TRIM(MID(SUBSTITUTE(SUBSTITUTE(Registro!$H475,";",CHAR(10)),CHAR(10),REPT(" ",LEN(Registro!$H475))),({1,2,3,4,5,6,7,8,9,10,11,12,13,14,15,16,17,18,19,20,21,22,23,24,25,26,27,28,29,30}-1)*LEN(Registro!$H475)+1,LEN(Registro!$H475)))," ",REPT(" ",50)),50)))),"Revisar formato"))</f>
        <v/>
      </c>
      <c r="J475" s="24" t="str">
        <f>IF(Registro!$I475="","",IFERROR(SUMPRODUCT(--("0"&amp;TRIM(RIGHT(SUBSTITUTE(TRIM(MID(SUBSTITUTE(SUBSTITUTE(Registro!$I475,";",CHAR(10)),CHAR(10),REPT(" ",LEN(Registro!$I475))),({1,2,3,4,5,6,7,8,9,10,11,12,13,14,15,16,17,18,19,20,21,22,23,24,25,26,27,28,29,30}-1)*LEN(Registro!$I475)+1,LEN(Registro!$I475)))," ",REPT(" ",50)),50)))),"Revisar formato"))</f>
        <v/>
      </c>
      <c r="K475" s="24" t="str">
        <f>IF(AND(Registro!$G475="",Registro!$H475=""),"",IF(AND(ISTEXT(I475),I475&lt;&gt;""),"Revisar formato",N(Registro!$G475)-N(I475)))</f>
        <v/>
      </c>
      <c r="L475" s="24" t="str">
        <f t="shared" si="15"/>
        <v/>
      </c>
      <c r="M475" s="36" t="str">
        <f>IF(AND(A475=Consulta!$B$3,C475=Consulta!$H$3),B475*10000+ROW(),"")</f>
        <v/>
      </c>
    </row>
    <row r="476" spans="1:13" x14ac:dyDescent="0.25">
      <c r="A476" s="21" t="str">
        <f>IF(Registro!$A476="","",Registro!$A476)</f>
        <v/>
      </c>
      <c r="B476" s="20" t="str">
        <f>IF(Registro!$B476="","",Registro!$B476)</f>
        <v/>
      </c>
      <c r="C476" s="35" t="str">
        <f t="shared" si="14"/>
        <v/>
      </c>
      <c r="D476" s="23" t="str">
        <f>IF(Registro!$E476="","",IF(ISERROR(FIND("x",LOWER(Registro!$E476))),"-",IFERROR(SUMPRODUCT(--("0"&amp;LEFT(TRIM(MID(SUBSTITUTE(SUBSTITUTE(SUBSTITUTE(SUBSTITUTE(SUBSTITUTE(LOWER(Registro!$E476),"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",LEN(Registro!$E476))),({1,2,3,4,5,6,7,8,9,10,11,12,13,14,15,16,17,18,19,20,21,22,23,24,25,26,27,28,29,30}-1)*LEN(Registro!$E476)+1,LEN(Registro!$E476))),FIND("x",TRIM(MID(SUBSTITUTE(SUBSTITUTE(SUBSTITUTE(SUBSTITUTE(SUBSTITUTE(LOWER(Registro!$E476),"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",LEN(Registro!$E476))),({1,2,3,4,5,6,7,8,9,10,11,12,13,14,15,16,17,18,19,20,21,22,23,24,25,26,27,28,29,30}-1)*LEN(Registro!$E476)+1,LEN(Registro!$E476)))&amp;"x")-1))),"Revisar formato")))</f>
        <v/>
      </c>
      <c r="E476" s="24" t="str">
        <f>IF(Registro!$E476="","",IF(ISERROR(FIND("x",LOWER(Registro!$E476))),"-",IFERROR(SUMPRODUCT(--("0"&amp;LEFT(TRIM(MID(SUBSTITUTE(SUBSTITUTE(SUBSTITUTE(SUBSTITUTE(SUBSTITUTE(LOWER(Registro!$E476),"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",LEN(Registro!$E476))),({1,2,3,4,5,6,7,8,9,10,11,12,13,14,15,16,17,18,19,20,21,22,23,24,25,26,27,28,29,30}-1)*LEN(Registro!$E476)+1,LEN(Registro!$E476))),FIND("x",TRIM(MID(SUBSTITUTE(SUBSTITUTE(SUBSTITUTE(SUBSTITUTE(SUBSTITUTE(LOWER(Registro!$E476),"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",LEN(Registro!$E476))),({1,2,3,4,5,6,7,8,9,10,11,12,13,14,15,16,17,18,19,20,21,22,23,24,25,26,27,28,29,30}-1)*LEN(Registro!$E476)+1,LEN(Registro!$E476)))&amp;"x")-1)),--("0"&amp;MID(TRIM(MID(SUBSTITUTE(SUBSTITUTE(SUBSTITUTE(SUBSTITUTE(SUBSTITUTE(LOWER(Registro!$E476),"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",LEN(Registro!$E476))),({1,2,3,4,5,6,7,8,9,10,11,12,13,14,15,16,17,18,19,20,21,22,23,24,25,26,27,28,29,30}-1)*LEN(Registro!$E476)+1,LEN(Registro!$E476))),FIND("x",TRIM(MID(SUBSTITUTE(SUBSTITUTE(SUBSTITUTE(SUBSTITUTE(SUBSTITUTE(LOWER(Registro!$E476),"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",LEN(Registro!$E476))),({1,2,3,4,5,6,7,8,9,10,11,12,13,14,15,16,17,18,19,20,21,22,23,24,25,26,27,28,29,30}-1)*LEN(Registro!$E476)+1,LEN(Registro!$E476)))&amp;"x")+1,20))),"Revisar formato")))</f>
        <v/>
      </c>
      <c r="F476" s="23" t="str">
        <f>IF(Registro!$F476="","",IF(ISERROR(FIND("x",LOWER(Registro!$F476))),"-",IFERROR(SUMPRODUCT(--("0"&amp;LEFT(TRIM(MID(SUBSTITUTE(SUBSTITUTE(SUBSTITUTE(SUBSTITUTE(SUBSTITUTE(LOWER(Registro!$F476)," ",""),CHAR(10),"|"),";","|"),"+","|"),"|",REPT(" ",LEN(Registro!$F476))),({1,2,3,4,5,6,7,8,9,10,11,12,13,14,15,16,17,18,19,20,21,22,23,24,25,26,27,28,29,30}-1)*LEN(Registro!$F476)+1,LEN(Registro!$F476))),FIND("x",TRIM(MID(SUBSTITUTE(SUBSTITUTE(SUBSTITUTE(SUBSTITUTE(SUBSTITUTE(LOWER(Registro!$F476)," ",""),CHAR(10),"|"),";","|"),"+","|"),"|",REPT(" ",LEN(Registro!$F476))),({1,2,3,4,5,6,7,8,9,10,11,12,13,14,15,16,17,18,19,20,21,22,23,24,25,26,27,28,29,30}-1)*LEN(Registro!$F476)+1,LEN(Registro!$F476)))&amp;"x")-1))),"Revisar formato")))</f>
        <v/>
      </c>
      <c r="G476" s="24" t="str">
        <f>IF(Registro!$F476="","",IF(ISERROR(FIND("x",LOWER(Registro!$F476))),N(Registro!$G476),IFERROR(SUMPRODUCT(--("0"&amp;LEFT(TRIM(MID(SUBSTITUTE(SUBSTITUTE(SUBSTITUTE(SUBSTITUTE(SUBSTITUTE(LOWER(Registro!$F476)," ",""),CHAR(10),"|"),";","|"),"+","|"),"|",REPT(" ",LEN(Registro!$F476))),({1,2,3,4,5,6,7,8,9,10,11,12,13,14,15,16,17,18,19,20,21,22,23,24,25,26,27,28,29,30}-1)*LEN(Registro!$F476)+1,LEN(Registro!$F476))),FIND("x",TRIM(MID(SUBSTITUTE(SUBSTITUTE(SUBSTITUTE(SUBSTITUTE(SUBSTITUTE(LOWER(Registro!$F476)," ",""),CHAR(10),"|"),";","|"),"+","|"),"|",REPT(" ",LEN(Registro!$F476))),({1,2,3,4,5,6,7,8,9,10,11,12,13,14,15,16,17,18,19,20,21,22,23,24,25,26,27,28,29,30}-1)*LEN(Registro!$F476)+1,LEN(Registro!$F476)))&amp;"x")-1)),--("0"&amp;MID(TRIM(MID(SUBSTITUTE(SUBSTITUTE(SUBSTITUTE(SUBSTITUTE(SUBSTITUTE(LOWER(Registro!$F476)," ",""),CHAR(10),"|"),";","|"),"+","|"),"|",REPT(" ",LEN(Registro!$F476))),({1,2,3,4,5,6,7,8,9,10,11,12,13,14,15,16,17,18,19,20,21,22,23,24,25,26,27,28,29,30}-1)*LEN(Registro!$F476)+1,LEN(Registro!$F476))),FIND("x",TRIM(MID(SUBSTITUTE(SUBSTITUTE(SUBSTITUTE(SUBSTITUTE(SUBSTITUTE(LOWER(Registro!$F476)," ",""),CHAR(10),"|"),";","|"),"+","|"),"|",REPT(" ",LEN(Registro!$F476))),({1,2,3,4,5,6,7,8,9,10,11,12,13,14,15,16,17,18,19,20,21,22,23,24,25,26,27,28,29,30}-1)*LEN(Registro!$F476)+1,LEN(Registro!$F476)))&amp;"x")+1,20))),"Revisar formato")))</f>
        <v/>
      </c>
      <c r="H476" s="21" t="str">
        <f>IF(AND(Registro!$E476="",Registro!$F476=""),"",IF(NOT(AND(ISNUMBER(G476),ISNUMBER(Registro!$G476))),"",IF(G476&lt;Registro!$G476,"FALTA BOLETOS",IF(G476=Registro!$G476,"CONFORME","DIFERENCIA"))))</f>
        <v/>
      </c>
      <c r="I476" s="24" t="str">
        <f>IF(Registro!$H476="","",IFERROR(SUMPRODUCT(--("0"&amp;TRIM(RIGHT(SUBSTITUTE(TRIM(MID(SUBSTITUTE(SUBSTITUTE(Registro!$H476,";",CHAR(10)),CHAR(10),REPT(" ",LEN(Registro!$H476))),({1,2,3,4,5,6,7,8,9,10,11,12,13,14,15,16,17,18,19,20,21,22,23,24,25,26,27,28,29,30}-1)*LEN(Registro!$H476)+1,LEN(Registro!$H476)))," ",REPT(" ",50)),50)))),"Revisar formato"))</f>
        <v/>
      </c>
      <c r="J476" s="24" t="str">
        <f>IF(Registro!$I476="","",IFERROR(SUMPRODUCT(--("0"&amp;TRIM(RIGHT(SUBSTITUTE(TRIM(MID(SUBSTITUTE(SUBSTITUTE(Registro!$I476,";",CHAR(10)),CHAR(10),REPT(" ",LEN(Registro!$I476))),({1,2,3,4,5,6,7,8,9,10,11,12,13,14,15,16,17,18,19,20,21,22,23,24,25,26,27,28,29,30}-1)*LEN(Registro!$I476)+1,LEN(Registro!$I476)))," ",REPT(" ",50)),50)))),"Revisar formato"))</f>
        <v/>
      </c>
      <c r="K476" s="24" t="str">
        <f>IF(AND(Registro!$G476="",Registro!$H476=""),"",IF(AND(ISTEXT(I476),I476&lt;&gt;""),"Revisar formato",N(Registro!$G476)-N(I476)))</f>
        <v/>
      </c>
      <c r="L476" s="24" t="str">
        <f t="shared" si="15"/>
        <v/>
      </c>
      <c r="M476" s="36" t="str">
        <f>IF(AND(A476=Consulta!$B$3,C476=Consulta!$H$3),B476*10000+ROW(),"")</f>
        <v/>
      </c>
    </row>
    <row r="477" spans="1:13" x14ac:dyDescent="0.25">
      <c r="A477" s="21" t="str">
        <f>IF(Registro!$A477="","",Registro!$A477)</f>
        <v/>
      </c>
      <c r="B477" s="20" t="str">
        <f>IF(Registro!$B477="","",Registro!$B477)</f>
        <v/>
      </c>
      <c r="C477" s="35" t="str">
        <f t="shared" si="14"/>
        <v/>
      </c>
      <c r="D477" s="23" t="str">
        <f>IF(Registro!$E477="","",IF(ISERROR(FIND("x",LOWER(Registro!$E477))),"-",IFERROR(SUMPRODUCT(--("0"&amp;LEFT(TRIM(MID(SUBSTITUTE(SUBSTITUTE(SUBSTITUTE(SUBSTITUTE(SUBSTITUTE(LOWER(Registro!$E477),"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",LEN(Registro!$E477))),({1,2,3,4,5,6,7,8,9,10,11,12,13,14,15,16,17,18,19,20,21,22,23,24,25,26,27,28,29,30}-1)*LEN(Registro!$E477)+1,LEN(Registro!$E477))),FIND("x",TRIM(MID(SUBSTITUTE(SUBSTITUTE(SUBSTITUTE(SUBSTITUTE(SUBSTITUTE(LOWER(Registro!$E477),"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",LEN(Registro!$E477))),({1,2,3,4,5,6,7,8,9,10,11,12,13,14,15,16,17,18,19,20,21,22,23,24,25,26,27,28,29,30}-1)*LEN(Registro!$E477)+1,LEN(Registro!$E477)))&amp;"x")-1))),"Revisar formato")))</f>
        <v/>
      </c>
      <c r="E477" s="24" t="str">
        <f>IF(Registro!$E477="","",IF(ISERROR(FIND("x",LOWER(Registro!$E477))),"-",IFERROR(SUMPRODUCT(--("0"&amp;LEFT(TRIM(MID(SUBSTITUTE(SUBSTITUTE(SUBSTITUTE(SUBSTITUTE(SUBSTITUTE(LOWER(Registro!$E477),"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",LEN(Registro!$E477))),({1,2,3,4,5,6,7,8,9,10,11,12,13,14,15,16,17,18,19,20,21,22,23,24,25,26,27,28,29,30}-1)*LEN(Registro!$E477)+1,LEN(Registro!$E477))),FIND("x",TRIM(MID(SUBSTITUTE(SUBSTITUTE(SUBSTITUTE(SUBSTITUTE(SUBSTITUTE(LOWER(Registro!$E477),"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",LEN(Registro!$E477))),({1,2,3,4,5,6,7,8,9,10,11,12,13,14,15,16,17,18,19,20,21,22,23,24,25,26,27,28,29,30}-1)*LEN(Registro!$E477)+1,LEN(Registro!$E477)))&amp;"x")-1)),--("0"&amp;MID(TRIM(MID(SUBSTITUTE(SUBSTITUTE(SUBSTITUTE(SUBSTITUTE(SUBSTITUTE(LOWER(Registro!$E477),"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",LEN(Registro!$E477))),({1,2,3,4,5,6,7,8,9,10,11,12,13,14,15,16,17,18,19,20,21,22,23,24,25,26,27,28,29,30}-1)*LEN(Registro!$E477)+1,LEN(Registro!$E477))),FIND("x",TRIM(MID(SUBSTITUTE(SUBSTITUTE(SUBSTITUTE(SUBSTITUTE(SUBSTITUTE(LOWER(Registro!$E477),"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",LEN(Registro!$E477))),({1,2,3,4,5,6,7,8,9,10,11,12,13,14,15,16,17,18,19,20,21,22,23,24,25,26,27,28,29,30}-1)*LEN(Registro!$E477)+1,LEN(Registro!$E477)))&amp;"x")+1,20))),"Revisar formato")))</f>
        <v/>
      </c>
      <c r="F477" s="23" t="str">
        <f>IF(Registro!$F477="","",IF(ISERROR(FIND("x",LOWER(Registro!$F477))),"-",IFERROR(SUMPRODUCT(--("0"&amp;LEFT(TRIM(MID(SUBSTITUTE(SUBSTITUTE(SUBSTITUTE(SUBSTITUTE(SUBSTITUTE(LOWER(Registro!$F477)," ",""),CHAR(10),"|"),";","|"),"+","|"),"|",REPT(" ",LEN(Registro!$F477))),({1,2,3,4,5,6,7,8,9,10,11,12,13,14,15,16,17,18,19,20,21,22,23,24,25,26,27,28,29,30}-1)*LEN(Registro!$F477)+1,LEN(Registro!$F477))),FIND("x",TRIM(MID(SUBSTITUTE(SUBSTITUTE(SUBSTITUTE(SUBSTITUTE(SUBSTITUTE(LOWER(Registro!$F477)," ",""),CHAR(10),"|"),";","|"),"+","|"),"|",REPT(" ",LEN(Registro!$F477))),({1,2,3,4,5,6,7,8,9,10,11,12,13,14,15,16,17,18,19,20,21,22,23,24,25,26,27,28,29,30}-1)*LEN(Registro!$F477)+1,LEN(Registro!$F477)))&amp;"x")-1))),"Revisar formato")))</f>
        <v/>
      </c>
      <c r="G477" s="24" t="str">
        <f>IF(Registro!$F477="","",IF(ISERROR(FIND("x",LOWER(Registro!$F477))),N(Registro!$G477),IFERROR(SUMPRODUCT(--("0"&amp;LEFT(TRIM(MID(SUBSTITUTE(SUBSTITUTE(SUBSTITUTE(SUBSTITUTE(SUBSTITUTE(LOWER(Registro!$F477)," ",""),CHAR(10),"|"),";","|"),"+","|"),"|",REPT(" ",LEN(Registro!$F477))),({1,2,3,4,5,6,7,8,9,10,11,12,13,14,15,16,17,18,19,20,21,22,23,24,25,26,27,28,29,30}-1)*LEN(Registro!$F477)+1,LEN(Registro!$F477))),FIND("x",TRIM(MID(SUBSTITUTE(SUBSTITUTE(SUBSTITUTE(SUBSTITUTE(SUBSTITUTE(LOWER(Registro!$F477)," ",""),CHAR(10),"|"),";","|"),"+","|"),"|",REPT(" ",LEN(Registro!$F477))),({1,2,3,4,5,6,7,8,9,10,11,12,13,14,15,16,17,18,19,20,21,22,23,24,25,26,27,28,29,30}-1)*LEN(Registro!$F477)+1,LEN(Registro!$F477)))&amp;"x")-1)),--("0"&amp;MID(TRIM(MID(SUBSTITUTE(SUBSTITUTE(SUBSTITUTE(SUBSTITUTE(SUBSTITUTE(LOWER(Registro!$F477)," ",""),CHAR(10),"|"),";","|"),"+","|"),"|",REPT(" ",LEN(Registro!$F477))),({1,2,3,4,5,6,7,8,9,10,11,12,13,14,15,16,17,18,19,20,21,22,23,24,25,26,27,28,29,30}-1)*LEN(Registro!$F477)+1,LEN(Registro!$F477))),FIND("x",TRIM(MID(SUBSTITUTE(SUBSTITUTE(SUBSTITUTE(SUBSTITUTE(SUBSTITUTE(LOWER(Registro!$F477)," ",""),CHAR(10),"|"),";","|"),"+","|"),"|",REPT(" ",LEN(Registro!$F477))),({1,2,3,4,5,6,7,8,9,10,11,12,13,14,15,16,17,18,19,20,21,22,23,24,25,26,27,28,29,30}-1)*LEN(Registro!$F477)+1,LEN(Registro!$F477)))&amp;"x")+1,20))),"Revisar formato")))</f>
        <v/>
      </c>
      <c r="H477" s="21" t="str">
        <f>IF(AND(Registro!$E477="",Registro!$F477=""),"",IF(NOT(AND(ISNUMBER(G477),ISNUMBER(Registro!$G477))),"",IF(G477&lt;Registro!$G477,"FALTA BOLETOS",IF(G477=Registro!$G477,"CONFORME","DIFERENCIA"))))</f>
        <v/>
      </c>
      <c r="I477" s="24" t="str">
        <f>IF(Registro!$H477="","",IFERROR(SUMPRODUCT(--("0"&amp;TRIM(RIGHT(SUBSTITUTE(TRIM(MID(SUBSTITUTE(SUBSTITUTE(Registro!$H477,";",CHAR(10)),CHAR(10),REPT(" ",LEN(Registro!$H477))),({1,2,3,4,5,6,7,8,9,10,11,12,13,14,15,16,17,18,19,20,21,22,23,24,25,26,27,28,29,30}-1)*LEN(Registro!$H477)+1,LEN(Registro!$H477)))," ",REPT(" ",50)),50)))),"Revisar formato"))</f>
        <v/>
      </c>
      <c r="J477" s="24" t="str">
        <f>IF(Registro!$I477="","",IFERROR(SUMPRODUCT(--("0"&amp;TRIM(RIGHT(SUBSTITUTE(TRIM(MID(SUBSTITUTE(SUBSTITUTE(Registro!$I477,";",CHAR(10)),CHAR(10),REPT(" ",LEN(Registro!$I477))),({1,2,3,4,5,6,7,8,9,10,11,12,13,14,15,16,17,18,19,20,21,22,23,24,25,26,27,28,29,30}-1)*LEN(Registro!$I477)+1,LEN(Registro!$I477)))," ",REPT(" ",50)),50)))),"Revisar formato"))</f>
        <v/>
      </c>
      <c r="K477" s="24" t="str">
        <f>IF(AND(Registro!$G477="",Registro!$H477=""),"",IF(AND(ISTEXT(I477),I477&lt;&gt;""),"Revisar formato",N(Registro!$G477)-N(I477)))</f>
        <v/>
      </c>
      <c r="L477" s="24" t="str">
        <f t="shared" si="15"/>
        <v/>
      </c>
      <c r="M477" s="36" t="str">
        <f>IF(AND(A477=Consulta!$B$3,C477=Consulta!$H$3),B477*10000+ROW(),"")</f>
        <v/>
      </c>
    </row>
    <row r="478" spans="1:13" x14ac:dyDescent="0.25">
      <c r="A478" s="21" t="str">
        <f>IF(Registro!$A478="","",Registro!$A478)</f>
        <v/>
      </c>
      <c r="B478" s="20" t="str">
        <f>IF(Registro!$B478="","",Registro!$B478)</f>
        <v/>
      </c>
      <c r="C478" s="35" t="str">
        <f t="shared" si="14"/>
        <v/>
      </c>
      <c r="D478" s="23" t="str">
        <f>IF(Registro!$E478="","",IF(ISERROR(FIND("x",LOWER(Registro!$E478))),"-",IFERROR(SUMPRODUCT(--("0"&amp;LEFT(TRIM(MID(SUBSTITUTE(SUBSTITUTE(SUBSTITUTE(SUBSTITUTE(SUBSTITUTE(LOWER(Registro!$E478),"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",LEN(Registro!$E478))),({1,2,3,4,5,6,7,8,9,10,11,12,13,14,15,16,17,18,19,20,21,22,23,24,25,26,27,28,29,30}-1)*LEN(Registro!$E478)+1,LEN(Registro!$E478))),FIND("x",TRIM(MID(SUBSTITUTE(SUBSTITUTE(SUBSTITUTE(SUBSTITUTE(SUBSTITUTE(LOWER(Registro!$E478),"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",LEN(Registro!$E478))),({1,2,3,4,5,6,7,8,9,10,11,12,13,14,15,16,17,18,19,20,21,22,23,24,25,26,27,28,29,30}-1)*LEN(Registro!$E478)+1,LEN(Registro!$E478)))&amp;"x")-1))),"Revisar formato")))</f>
        <v/>
      </c>
      <c r="E478" s="24" t="str">
        <f>IF(Registro!$E478="","",IF(ISERROR(FIND("x",LOWER(Registro!$E478))),"-",IFERROR(SUMPRODUCT(--("0"&amp;LEFT(TRIM(MID(SUBSTITUTE(SUBSTITUTE(SUBSTITUTE(SUBSTITUTE(SUBSTITUTE(LOWER(Registro!$E478),"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",LEN(Registro!$E478))),({1,2,3,4,5,6,7,8,9,10,11,12,13,14,15,16,17,18,19,20,21,22,23,24,25,26,27,28,29,30}-1)*LEN(Registro!$E478)+1,LEN(Registro!$E478))),FIND("x",TRIM(MID(SUBSTITUTE(SUBSTITUTE(SUBSTITUTE(SUBSTITUTE(SUBSTITUTE(LOWER(Registro!$E478),"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",LEN(Registro!$E478))),({1,2,3,4,5,6,7,8,9,10,11,12,13,14,15,16,17,18,19,20,21,22,23,24,25,26,27,28,29,30}-1)*LEN(Registro!$E478)+1,LEN(Registro!$E478)))&amp;"x")-1)),--("0"&amp;MID(TRIM(MID(SUBSTITUTE(SUBSTITUTE(SUBSTITUTE(SUBSTITUTE(SUBSTITUTE(LOWER(Registro!$E478),"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",LEN(Registro!$E478))),({1,2,3,4,5,6,7,8,9,10,11,12,13,14,15,16,17,18,19,20,21,22,23,24,25,26,27,28,29,30}-1)*LEN(Registro!$E478)+1,LEN(Registro!$E478))),FIND("x",TRIM(MID(SUBSTITUTE(SUBSTITUTE(SUBSTITUTE(SUBSTITUTE(SUBSTITUTE(LOWER(Registro!$E478),"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",LEN(Registro!$E478))),({1,2,3,4,5,6,7,8,9,10,11,12,13,14,15,16,17,18,19,20,21,22,23,24,25,26,27,28,29,30}-1)*LEN(Registro!$E478)+1,LEN(Registro!$E478)))&amp;"x")+1,20))),"Revisar formato")))</f>
        <v/>
      </c>
      <c r="F478" s="23" t="str">
        <f>IF(Registro!$F478="","",IF(ISERROR(FIND("x",LOWER(Registro!$F478))),"-",IFERROR(SUMPRODUCT(--("0"&amp;LEFT(TRIM(MID(SUBSTITUTE(SUBSTITUTE(SUBSTITUTE(SUBSTITUTE(SUBSTITUTE(LOWER(Registro!$F478)," ",""),CHAR(10),"|"),";","|"),"+","|"),"|",REPT(" ",LEN(Registro!$F478))),({1,2,3,4,5,6,7,8,9,10,11,12,13,14,15,16,17,18,19,20,21,22,23,24,25,26,27,28,29,30}-1)*LEN(Registro!$F478)+1,LEN(Registro!$F478))),FIND("x",TRIM(MID(SUBSTITUTE(SUBSTITUTE(SUBSTITUTE(SUBSTITUTE(SUBSTITUTE(LOWER(Registro!$F478)," ",""),CHAR(10),"|"),";","|"),"+","|"),"|",REPT(" ",LEN(Registro!$F478))),({1,2,3,4,5,6,7,8,9,10,11,12,13,14,15,16,17,18,19,20,21,22,23,24,25,26,27,28,29,30}-1)*LEN(Registro!$F478)+1,LEN(Registro!$F478)))&amp;"x")-1))),"Revisar formato")))</f>
        <v/>
      </c>
      <c r="G478" s="24" t="str">
        <f>IF(Registro!$F478="","",IF(ISERROR(FIND("x",LOWER(Registro!$F478))),N(Registro!$G478),IFERROR(SUMPRODUCT(--("0"&amp;LEFT(TRIM(MID(SUBSTITUTE(SUBSTITUTE(SUBSTITUTE(SUBSTITUTE(SUBSTITUTE(LOWER(Registro!$F478)," ",""),CHAR(10),"|"),";","|"),"+","|"),"|",REPT(" ",LEN(Registro!$F478))),({1,2,3,4,5,6,7,8,9,10,11,12,13,14,15,16,17,18,19,20,21,22,23,24,25,26,27,28,29,30}-1)*LEN(Registro!$F478)+1,LEN(Registro!$F478))),FIND("x",TRIM(MID(SUBSTITUTE(SUBSTITUTE(SUBSTITUTE(SUBSTITUTE(SUBSTITUTE(LOWER(Registro!$F478)," ",""),CHAR(10),"|"),";","|"),"+","|"),"|",REPT(" ",LEN(Registro!$F478))),({1,2,3,4,5,6,7,8,9,10,11,12,13,14,15,16,17,18,19,20,21,22,23,24,25,26,27,28,29,30}-1)*LEN(Registro!$F478)+1,LEN(Registro!$F478)))&amp;"x")-1)),--("0"&amp;MID(TRIM(MID(SUBSTITUTE(SUBSTITUTE(SUBSTITUTE(SUBSTITUTE(SUBSTITUTE(LOWER(Registro!$F478)," ",""),CHAR(10),"|"),";","|"),"+","|"),"|",REPT(" ",LEN(Registro!$F478))),({1,2,3,4,5,6,7,8,9,10,11,12,13,14,15,16,17,18,19,20,21,22,23,24,25,26,27,28,29,30}-1)*LEN(Registro!$F478)+1,LEN(Registro!$F478))),FIND("x",TRIM(MID(SUBSTITUTE(SUBSTITUTE(SUBSTITUTE(SUBSTITUTE(SUBSTITUTE(LOWER(Registro!$F478)," ",""),CHAR(10),"|"),";","|"),"+","|"),"|",REPT(" ",LEN(Registro!$F478))),({1,2,3,4,5,6,7,8,9,10,11,12,13,14,15,16,17,18,19,20,21,22,23,24,25,26,27,28,29,30}-1)*LEN(Registro!$F478)+1,LEN(Registro!$F478)))&amp;"x")+1,20))),"Revisar formato")))</f>
        <v/>
      </c>
      <c r="H478" s="21" t="str">
        <f>IF(AND(Registro!$E478="",Registro!$F478=""),"",IF(NOT(AND(ISNUMBER(G478),ISNUMBER(Registro!$G478))),"",IF(G478&lt;Registro!$G478,"FALTA BOLETOS",IF(G478=Registro!$G478,"CONFORME","DIFERENCIA"))))</f>
        <v/>
      </c>
      <c r="I478" s="24" t="str">
        <f>IF(Registro!$H478="","",IFERROR(SUMPRODUCT(--("0"&amp;TRIM(RIGHT(SUBSTITUTE(TRIM(MID(SUBSTITUTE(SUBSTITUTE(Registro!$H478,";",CHAR(10)),CHAR(10),REPT(" ",LEN(Registro!$H478))),({1,2,3,4,5,6,7,8,9,10,11,12,13,14,15,16,17,18,19,20,21,22,23,24,25,26,27,28,29,30}-1)*LEN(Registro!$H478)+1,LEN(Registro!$H478)))," ",REPT(" ",50)),50)))),"Revisar formato"))</f>
        <v/>
      </c>
      <c r="J478" s="24" t="str">
        <f>IF(Registro!$I478="","",IFERROR(SUMPRODUCT(--("0"&amp;TRIM(RIGHT(SUBSTITUTE(TRIM(MID(SUBSTITUTE(SUBSTITUTE(Registro!$I478,";",CHAR(10)),CHAR(10),REPT(" ",LEN(Registro!$I478))),({1,2,3,4,5,6,7,8,9,10,11,12,13,14,15,16,17,18,19,20,21,22,23,24,25,26,27,28,29,30}-1)*LEN(Registro!$I478)+1,LEN(Registro!$I478)))," ",REPT(" ",50)),50)))),"Revisar formato"))</f>
        <v/>
      </c>
      <c r="K478" s="24" t="str">
        <f>IF(AND(Registro!$G478="",Registro!$H478=""),"",IF(AND(ISTEXT(I478),I478&lt;&gt;""),"Revisar formato",N(Registro!$G478)-N(I478)))</f>
        <v/>
      </c>
      <c r="L478" s="24" t="str">
        <f t="shared" si="15"/>
        <v/>
      </c>
      <c r="M478" s="36" t="str">
        <f>IF(AND(A478=Consulta!$B$3,C478=Consulta!$H$3),B478*10000+ROW(),"")</f>
        <v/>
      </c>
    </row>
    <row r="479" spans="1:13" x14ac:dyDescent="0.25">
      <c r="A479" s="21" t="str">
        <f>IF(Registro!$A479="","",Registro!$A479)</f>
        <v/>
      </c>
      <c r="B479" s="20" t="str">
        <f>IF(Registro!$B479="","",Registro!$B479)</f>
        <v/>
      </c>
      <c r="C479" s="35" t="str">
        <f t="shared" si="14"/>
        <v/>
      </c>
      <c r="D479" s="23" t="str">
        <f>IF(Registro!$E479="","",IF(ISERROR(FIND("x",LOWER(Registro!$E479))),"-",IFERROR(SUMPRODUCT(--("0"&amp;LEFT(TRIM(MID(SUBSTITUTE(SUBSTITUTE(SUBSTITUTE(SUBSTITUTE(SUBSTITUTE(LOWER(Registro!$E479),"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",LEN(Registro!$E479))),({1,2,3,4,5,6,7,8,9,10,11,12,13,14,15,16,17,18,19,20,21,22,23,24,25,26,27,28,29,30}-1)*LEN(Registro!$E479)+1,LEN(Registro!$E479))),FIND("x",TRIM(MID(SUBSTITUTE(SUBSTITUTE(SUBSTITUTE(SUBSTITUTE(SUBSTITUTE(LOWER(Registro!$E479),"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",LEN(Registro!$E479))),({1,2,3,4,5,6,7,8,9,10,11,12,13,14,15,16,17,18,19,20,21,22,23,24,25,26,27,28,29,30}-1)*LEN(Registro!$E479)+1,LEN(Registro!$E479)))&amp;"x")-1))),"Revisar formato")))</f>
        <v/>
      </c>
      <c r="E479" s="24" t="str">
        <f>IF(Registro!$E479="","",IF(ISERROR(FIND("x",LOWER(Registro!$E479))),"-",IFERROR(SUMPRODUCT(--("0"&amp;LEFT(TRIM(MID(SUBSTITUTE(SUBSTITUTE(SUBSTITUTE(SUBSTITUTE(SUBSTITUTE(LOWER(Registro!$E479),"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",LEN(Registro!$E479))),({1,2,3,4,5,6,7,8,9,10,11,12,13,14,15,16,17,18,19,20,21,22,23,24,25,26,27,28,29,30}-1)*LEN(Registro!$E479)+1,LEN(Registro!$E479))),FIND("x",TRIM(MID(SUBSTITUTE(SUBSTITUTE(SUBSTITUTE(SUBSTITUTE(SUBSTITUTE(LOWER(Registro!$E479),"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",LEN(Registro!$E479))),({1,2,3,4,5,6,7,8,9,10,11,12,13,14,15,16,17,18,19,20,21,22,23,24,25,26,27,28,29,30}-1)*LEN(Registro!$E479)+1,LEN(Registro!$E479)))&amp;"x")-1)),--("0"&amp;MID(TRIM(MID(SUBSTITUTE(SUBSTITUTE(SUBSTITUTE(SUBSTITUTE(SUBSTITUTE(LOWER(Registro!$E479),"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",LEN(Registro!$E479))),({1,2,3,4,5,6,7,8,9,10,11,12,13,14,15,16,17,18,19,20,21,22,23,24,25,26,27,28,29,30}-1)*LEN(Registro!$E479)+1,LEN(Registro!$E479))),FIND("x",TRIM(MID(SUBSTITUTE(SUBSTITUTE(SUBSTITUTE(SUBSTITUTE(SUBSTITUTE(LOWER(Registro!$E479),"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",LEN(Registro!$E479))),({1,2,3,4,5,6,7,8,9,10,11,12,13,14,15,16,17,18,19,20,21,22,23,24,25,26,27,28,29,30}-1)*LEN(Registro!$E479)+1,LEN(Registro!$E479)))&amp;"x")+1,20))),"Revisar formato")))</f>
        <v/>
      </c>
      <c r="F479" s="23" t="str">
        <f>IF(Registro!$F479="","",IF(ISERROR(FIND("x",LOWER(Registro!$F479))),"-",IFERROR(SUMPRODUCT(--("0"&amp;LEFT(TRIM(MID(SUBSTITUTE(SUBSTITUTE(SUBSTITUTE(SUBSTITUTE(SUBSTITUTE(LOWER(Registro!$F479)," ",""),CHAR(10),"|"),";","|"),"+","|"),"|",REPT(" ",LEN(Registro!$F479))),({1,2,3,4,5,6,7,8,9,10,11,12,13,14,15,16,17,18,19,20,21,22,23,24,25,26,27,28,29,30}-1)*LEN(Registro!$F479)+1,LEN(Registro!$F479))),FIND("x",TRIM(MID(SUBSTITUTE(SUBSTITUTE(SUBSTITUTE(SUBSTITUTE(SUBSTITUTE(LOWER(Registro!$F479)," ",""),CHAR(10),"|"),";","|"),"+","|"),"|",REPT(" ",LEN(Registro!$F479))),({1,2,3,4,5,6,7,8,9,10,11,12,13,14,15,16,17,18,19,20,21,22,23,24,25,26,27,28,29,30}-1)*LEN(Registro!$F479)+1,LEN(Registro!$F479)))&amp;"x")-1))),"Revisar formato")))</f>
        <v/>
      </c>
      <c r="G479" s="24" t="str">
        <f>IF(Registro!$F479="","",IF(ISERROR(FIND("x",LOWER(Registro!$F479))),N(Registro!$G479),IFERROR(SUMPRODUCT(--("0"&amp;LEFT(TRIM(MID(SUBSTITUTE(SUBSTITUTE(SUBSTITUTE(SUBSTITUTE(SUBSTITUTE(LOWER(Registro!$F479)," ",""),CHAR(10),"|"),";","|"),"+","|"),"|",REPT(" ",LEN(Registro!$F479))),({1,2,3,4,5,6,7,8,9,10,11,12,13,14,15,16,17,18,19,20,21,22,23,24,25,26,27,28,29,30}-1)*LEN(Registro!$F479)+1,LEN(Registro!$F479))),FIND("x",TRIM(MID(SUBSTITUTE(SUBSTITUTE(SUBSTITUTE(SUBSTITUTE(SUBSTITUTE(LOWER(Registro!$F479)," ",""),CHAR(10),"|"),";","|"),"+","|"),"|",REPT(" ",LEN(Registro!$F479))),({1,2,3,4,5,6,7,8,9,10,11,12,13,14,15,16,17,18,19,20,21,22,23,24,25,26,27,28,29,30}-1)*LEN(Registro!$F479)+1,LEN(Registro!$F479)))&amp;"x")-1)),--("0"&amp;MID(TRIM(MID(SUBSTITUTE(SUBSTITUTE(SUBSTITUTE(SUBSTITUTE(SUBSTITUTE(LOWER(Registro!$F479)," ",""),CHAR(10),"|"),";","|"),"+","|"),"|",REPT(" ",LEN(Registro!$F479))),({1,2,3,4,5,6,7,8,9,10,11,12,13,14,15,16,17,18,19,20,21,22,23,24,25,26,27,28,29,30}-1)*LEN(Registro!$F479)+1,LEN(Registro!$F479))),FIND("x",TRIM(MID(SUBSTITUTE(SUBSTITUTE(SUBSTITUTE(SUBSTITUTE(SUBSTITUTE(LOWER(Registro!$F479)," ",""),CHAR(10),"|"),";","|"),"+","|"),"|",REPT(" ",LEN(Registro!$F479))),({1,2,3,4,5,6,7,8,9,10,11,12,13,14,15,16,17,18,19,20,21,22,23,24,25,26,27,28,29,30}-1)*LEN(Registro!$F479)+1,LEN(Registro!$F479)))&amp;"x")+1,20))),"Revisar formato")))</f>
        <v/>
      </c>
      <c r="H479" s="21" t="str">
        <f>IF(AND(Registro!$E479="",Registro!$F479=""),"",IF(NOT(AND(ISNUMBER(G479),ISNUMBER(Registro!$G479))),"",IF(G479&lt;Registro!$G479,"FALTA BOLETOS",IF(G479=Registro!$G479,"CONFORME","DIFERENCIA"))))</f>
        <v/>
      </c>
      <c r="I479" s="24" t="str">
        <f>IF(Registro!$H479="","",IFERROR(SUMPRODUCT(--("0"&amp;TRIM(RIGHT(SUBSTITUTE(TRIM(MID(SUBSTITUTE(SUBSTITUTE(Registro!$H479,";",CHAR(10)),CHAR(10),REPT(" ",LEN(Registro!$H479))),({1,2,3,4,5,6,7,8,9,10,11,12,13,14,15,16,17,18,19,20,21,22,23,24,25,26,27,28,29,30}-1)*LEN(Registro!$H479)+1,LEN(Registro!$H479)))," ",REPT(" ",50)),50)))),"Revisar formato"))</f>
        <v/>
      </c>
      <c r="J479" s="24" t="str">
        <f>IF(Registro!$I479="","",IFERROR(SUMPRODUCT(--("0"&amp;TRIM(RIGHT(SUBSTITUTE(TRIM(MID(SUBSTITUTE(SUBSTITUTE(Registro!$I479,";",CHAR(10)),CHAR(10),REPT(" ",LEN(Registro!$I479))),({1,2,3,4,5,6,7,8,9,10,11,12,13,14,15,16,17,18,19,20,21,22,23,24,25,26,27,28,29,30}-1)*LEN(Registro!$I479)+1,LEN(Registro!$I479)))," ",REPT(" ",50)),50)))),"Revisar formato"))</f>
        <v/>
      </c>
      <c r="K479" s="24" t="str">
        <f>IF(AND(Registro!$G479="",Registro!$H479=""),"",IF(AND(ISTEXT(I479),I479&lt;&gt;""),"Revisar formato",N(Registro!$G479)-N(I479)))</f>
        <v/>
      </c>
      <c r="L479" s="24" t="str">
        <f t="shared" si="15"/>
        <v/>
      </c>
      <c r="M479" s="36" t="str">
        <f>IF(AND(A479=Consulta!$B$3,C479=Consulta!$H$3),B479*10000+ROW(),"")</f>
        <v/>
      </c>
    </row>
    <row r="480" spans="1:13" x14ac:dyDescent="0.25">
      <c r="A480" s="21" t="str">
        <f>IF(Registro!$A480="","",Registro!$A480)</f>
        <v/>
      </c>
      <c r="B480" s="20" t="str">
        <f>IF(Registro!$B480="","",Registro!$B480)</f>
        <v/>
      </c>
      <c r="C480" s="35" t="str">
        <f t="shared" si="14"/>
        <v/>
      </c>
      <c r="D480" s="23" t="str">
        <f>IF(Registro!$E480="","",IF(ISERROR(FIND("x",LOWER(Registro!$E480))),"-",IFERROR(SUMPRODUCT(--("0"&amp;LEFT(TRIM(MID(SUBSTITUTE(SUBSTITUTE(SUBSTITUTE(SUBSTITUTE(SUBSTITUTE(LOWER(Registro!$E480),"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",LEN(Registro!$E480))),({1,2,3,4,5,6,7,8,9,10,11,12,13,14,15,16,17,18,19,20,21,22,23,24,25,26,27,28,29,30}-1)*LEN(Registro!$E480)+1,LEN(Registro!$E480))),FIND("x",TRIM(MID(SUBSTITUTE(SUBSTITUTE(SUBSTITUTE(SUBSTITUTE(SUBSTITUTE(LOWER(Registro!$E480),"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",LEN(Registro!$E480))),({1,2,3,4,5,6,7,8,9,10,11,12,13,14,15,16,17,18,19,20,21,22,23,24,25,26,27,28,29,30}-1)*LEN(Registro!$E480)+1,LEN(Registro!$E480)))&amp;"x")-1))),"Revisar formato")))</f>
        <v/>
      </c>
      <c r="E480" s="24" t="str">
        <f>IF(Registro!$E480="","",IF(ISERROR(FIND("x",LOWER(Registro!$E480))),"-",IFERROR(SUMPRODUCT(--("0"&amp;LEFT(TRIM(MID(SUBSTITUTE(SUBSTITUTE(SUBSTITUTE(SUBSTITUTE(SUBSTITUTE(LOWER(Registro!$E480),"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",LEN(Registro!$E480))),({1,2,3,4,5,6,7,8,9,10,11,12,13,14,15,16,17,18,19,20,21,22,23,24,25,26,27,28,29,30}-1)*LEN(Registro!$E480)+1,LEN(Registro!$E480))),FIND("x",TRIM(MID(SUBSTITUTE(SUBSTITUTE(SUBSTITUTE(SUBSTITUTE(SUBSTITUTE(LOWER(Registro!$E480),"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",LEN(Registro!$E480))),({1,2,3,4,5,6,7,8,9,10,11,12,13,14,15,16,17,18,19,20,21,22,23,24,25,26,27,28,29,30}-1)*LEN(Registro!$E480)+1,LEN(Registro!$E480)))&amp;"x")-1)),--("0"&amp;MID(TRIM(MID(SUBSTITUTE(SUBSTITUTE(SUBSTITUTE(SUBSTITUTE(SUBSTITUTE(LOWER(Registro!$E480),"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",LEN(Registro!$E480))),({1,2,3,4,5,6,7,8,9,10,11,12,13,14,15,16,17,18,19,20,21,22,23,24,25,26,27,28,29,30}-1)*LEN(Registro!$E480)+1,LEN(Registro!$E480))),FIND("x",TRIM(MID(SUBSTITUTE(SUBSTITUTE(SUBSTITUTE(SUBSTITUTE(SUBSTITUTE(LOWER(Registro!$E480),"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",LEN(Registro!$E480))),({1,2,3,4,5,6,7,8,9,10,11,12,13,14,15,16,17,18,19,20,21,22,23,24,25,26,27,28,29,30}-1)*LEN(Registro!$E480)+1,LEN(Registro!$E480)))&amp;"x")+1,20))),"Revisar formato")))</f>
        <v/>
      </c>
      <c r="F480" s="23" t="str">
        <f>IF(Registro!$F480="","",IF(ISERROR(FIND("x",LOWER(Registro!$F480))),"-",IFERROR(SUMPRODUCT(--("0"&amp;LEFT(TRIM(MID(SUBSTITUTE(SUBSTITUTE(SUBSTITUTE(SUBSTITUTE(SUBSTITUTE(LOWER(Registro!$F480)," ",""),CHAR(10),"|"),";","|"),"+","|"),"|",REPT(" ",LEN(Registro!$F480))),({1,2,3,4,5,6,7,8,9,10,11,12,13,14,15,16,17,18,19,20,21,22,23,24,25,26,27,28,29,30}-1)*LEN(Registro!$F480)+1,LEN(Registro!$F480))),FIND("x",TRIM(MID(SUBSTITUTE(SUBSTITUTE(SUBSTITUTE(SUBSTITUTE(SUBSTITUTE(LOWER(Registro!$F480)," ",""),CHAR(10),"|"),";","|"),"+","|"),"|",REPT(" ",LEN(Registro!$F480))),({1,2,3,4,5,6,7,8,9,10,11,12,13,14,15,16,17,18,19,20,21,22,23,24,25,26,27,28,29,30}-1)*LEN(Registro!$F480)+1,LEN(Registro!$F480)))&amp;"x")-1))),"Revisar formato")))</f>
        <v/>
      </c>
      <c r="G480" s="24" t="str">
        <f>IF(Registro!$F480="","",IF(ISERROR(FIND("x",LOWER(Registro!$F480))),N(Registro!$G480),IFERROR(SUMPRODUCT(--("0"&amp;LEFT(TRIM(MID(SUBSTITUTE(SUBSTITUTE(SUBSTITUTE(SUBSTITUTE(SUBSTITUTE(LOWER(Registro!$F480)," ",""),CHAR(10),"|"),";","|"),"+","|"),"|",REPT(" ",LEN(Registro!$F480))),({1,2,3,4,5,6,7,8,9,10,11,12,13,14,15,16,17,18,19,20,21,22,23,24,25,26,27,28,29,30}-1)*LEN(Registro!$F480)+1,LEN(Registro!$F480))),FIND("x",TRIM(MID(SUBSTITUTE(SUBSTITUTE(SUBSTITUTE(SUBSTITUTE(SUBSTITUTE(LOWER(Registro!$F480)," ",""),CHAR(10),"|"),";","|"),"+","|"),"|",REPT(" ",LEN(Registro!$F480))),({1,2,3,4,5,6,7,8,9,10,11,12,13,14,15,16,17,18,19,20,21,22,23,24,25,26,27,28,29,30}-1)*LEN(Registro!$F480)+1,LEN(Registro!$F480)))&amp;"x")-1)),--("0"&amp;MID(TRIM(MID(SUBSTITUTE(SUBSTITUTE(SUBSTITUTE(SUBSTITUTE(SUBSTITUTE(LOWER(Registro!$F480)," ",""),CHAR(10),"|"),";","|"),"+","|"),"|",REPT(" ",LEN(Registro!$F480))),({1,2,3,4,5,6,7,8,9,10,11,12,13,14,15,16,17,18,19,20,21,22,23,24,25,26,27,28,29,30}-1)*LEN(Registro!$F480)+1,LEN(Registro!$F480))),FIND("x",TRIM(MID(SUBSTITUTE(SUBSTITUTE(SUBSTITUTE(SUBSTITUTE(SUBSTITUTE(LOWER(Registro!$F480)," ",""),CHAR(10),"|"),";","|"),"+","|"),"|",REPT(" ",LEN(Registro!$F480))),({1,2,3,4,5,6,7,8,9,10,11,12,13,14,15,16,17,18,19,20,21,22,23,24,25,26,27,28,29,30}-1)*LEN(Registro!$F480)+1,LEN(Registro!$F480)))&amp;"x")+1,20))),"Revisar formato")))</f>
        <v/>
      </c>
      <c r="H480" s="21" t="str">
        <f>IF(AND(Registro!$E480="",Registro!$F480=""),"",IF(NOT(AND(ISNUMBER(G480),ISNUMBER(Registro!$G480))),"",IF(G480&lt;Registro!$G480,"FALTA BOLETOS",IF(G480=Registro!$G480,"CONFORME","DIFERENCIA"))))</f>
        <v/>
      </c>
      <c r="I480" s="24" t="str">
        <f>IF(Registro!$H480="","",IFERROR(SUMPRODUCT(--("0"&amp;TRIM(RIGHT(SUBSTITUTE(TRIM(MID(SUBSTITUTE(SUBSTITUTE(Registro!$H480,";",CHAR(10)),CHAR(10),REPT(" ",LEN(Registro!$H480))),({1,2,3,4,5,6,7,8,9,10,11,12,13,14,15,16,17,18,19,20,21,22,23,24,25,26,27,28,29,30}-1)*LEN(Registro!$H480)+1,LEN(Registro!$H480)))," ",REPT(" ",50)),50)))),"Revisar formato"))</f>
        <v/>
      </c>
      <c r="J480" s="24" t="str">
        <f>IF(Registro!$I480="","",IFERROR(SUMPRODUCT(--("0"&amp;TRIM(RIGHT(SUBSTITUTE(TRIM(MID(SUBSTITUTE(SUBSTITUTE(Registro!$I480,";",CHAR(10)),CHAR(10),REPT(" ",LEN(Registro!$I480))),({1,2,3,4,5,6,7,8,9,10,11,12,13,14,15,16,17,18,19,20,21,22,23,24,25,26,27,28,29,30}-1)*LEN(Registro!$I480)+1,LEN(Registro!$I480)))," ",REPT(" ",50)),50)))),"Revisar formato"))</f>
        <v/>
      </c>
      <c r="K480" s="24" t="str">
        <f>IF(AND(Registro!$G480="",Registro!$H480=""),"",IF(AND(ISTEXT(I480),I480&lt;&gt;""),"Revisar formato",N(Registro!$G480)-N(I480)))</f>
        <v/>
      </c>
      <c r="L480" s="24" t="str">
        <f t="shared" si="15"/>
        <v/>
      </c>
      <c r="M480" s="36" t="str">
        <f>IF(AND(A480=Consulta!$B$3,C480=Consulta!$H$3),B480*10000+ROW(),"")</f>
        <v/>
      </c>
    </row>
    <row r="481" spans="1:13" x14ac:dyDescent="0.25">
      <c r="A481" s="21" t="str">
        <f>IF(Registro!$A481="","",Registro!$A481)</f>
        <v/>
      </c>
      <c r="B481" s="20" t="str">
        <f>IF(Registro!$B481="","",Registro!$B481)</f>
        <v/>
      </c>
      <c r="C481" s="35" t="str">
        <f t="shared" si="14"/>
        <v/>
      </c>
      <c r="D481" s="23" t="str">
        <f>IF(Registro!$E481="","",IF(ISERROR(FIND("x",LOWER(Registro!$E481))),"-",IFERROR(SUMPRODUCT(--("0"&amp;LEFT(TRIM(MID(SUBSTITUTE(SUBSTITUTE(SUBSTITUTE(SUBSTITUTE(SUBSTITUTE(LOWER(Registro!$E481),"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",LEN(Registro!$E481))),({1,2,3,4,5,6,7,8,9,10,11,12,13,14,15,16,17,18,19,20,21,22,23,24,25,26,27,28,29,30}-1)*LEN(Registro!$E481)+1,LEN(Registro!$E481))),FIND("x",TRIM(MID(SUBSTITUTE(SUBSTITUTE(SUBSTITUTE(SUBSTITUTE(SUBSTITUTE(LOWER(Registro!$E481),"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",LEN(Registro!$E481))),({1,2,3,4,5,6,7,8,9,10,11,12,13,14,15,16,17,18,19,20,21,22,23,24,25,26,27,28,29,30}-1)*LEN(Registro!$E481)+1,LEN(Registro!$E481)))&amp;"x")-1))),"Revisar formato")))</f>
        <v/>
      </c>
      <c r="E481" s="24" t="str">
        <f>IF(Registro!$E481="","",IF(ISERROR(FIND("x",LOWER(Registro!$E481))),"-",IFERROR(SUMPRODUCT(--("0"&amp;LEFT(TRIM(MID(SUBSTITUTE(SUBSTITUTE(SUBSTITUTE(SUBSTITUTE(SUBSTITUTE(LOWER(Registro!$E481),"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",LEN(Registro!$E481))),({1,2,3,4,5,6,7,8,9,10,11,12,13,14,15,16,17,18,19,20,21,22,23,24,25,26,27,28,29,30}-1)*LEN(Registro!$E481)+1,LEN(Registro!$E481))),FIND("x",TRIM(MID(SUBSTITUTE(SUBSTITUTE(SUBSTITUTE(SUBSTITUTE(SUBSTITUTE(LOWER(Registro!$E481),"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",LEN(Registro!$E481))),({1,2,3,4,5,6,7,8,9,10,11,12,13,14,15,16,17,18,19,20,21,22,23,24,25,26,27,28,29,30}-1)*LEN(Registro!$E481)+1,LEN(Registro!$E481)))&amp;"x")-1)),--("0"&amp;MID(TRIM(MID(SUBSTITUTE(SUBSTITUTE(SUBSTITUTE(SUBSTITUTE(SUBSTITUTE(LOWER(Registro!$E481),"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",LEN(Registro!$E481))),({1,2,3,4,5,6,7,8,9,10,11,12,13,14,15,16,17,18,19,20,21,22,23,24,25,26,27,28,29,30}-1)*LEN(Registro!$E481)+1,LEN(Registro!$E481))),FIND("x",TRIM(MID(SUBSTITUTE(SUBSTITUTE(SUBSTITUTE(SUBSTITUTE(SUBSTITUTE(LOWER(Registro!$E481),"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",LEN(Registro!$E481))),({1,2,3,4,5,6,7,8,9,10,11,12,13,14,15,16,17,18,19,20,21,22,23,24,25,26,27,28,29,30}-1)*LEN(Registro!$E481)+1,LEN(Registro!$E481)))&amp;"x")+1,20))),"Revisar formato")))</f>
        <v/>
      </c>
      <c r="F481" s="23" t="str">
        <f>IF(Registro!$F481="","",IF(ISERROR(FIND("x",LOWER(Registro!$F481))),"-",IFERROR(SUMPRODUCT(--("0"&amp;LEFT(TRIM(MID(SUBSTITUTE(SUBSTITUTE(SUBSTITUTE(SUBSTITUTE(SUBSTITUTE(LOWER(Registro!$F481)," ",""),CHAR(10),"|"),";","|"),"+","|"),"|",REPT(" ",LEN(Registro!$F481))),({1,2,3,4,5,6,7,8,9,10,11,12,13,14,15,16,17,18,19,20,21,22,23,24,25,26,27,28,29,30}-1)*LEN(Registro!$F481)+1,LEN(Registro!$F481))),FIND("x",TRIM(MID(SUBSTITUTE(SUBSTITUTE(SUBSTITUTE(SUBSTITUTE(SUBSTITUTE(LOWER(Registro!$F481)," ",""),CHAR(10),"|"),";","|"),"+","|"),"|",REPT(" ",LEN(Registro!$F481))),({1,2,3,4,5,6,7,8,9,10,11,12,13,14,15,16,17,18,19,20,21,22,23,24,25,26,27,28,29,30}-1)*LEN(Registro!$F481)+1,LEN(Registro!$F481)))&amp;"x")-1))),"Revisar formato")))</f>
        <v/>
      </c>
      <c r="G481" s="24" t="str">
        <f>IF(Registro!$F481="","",IF(ISERROR(FIND("x",LOWER(Registro!$F481))),N(Registro!$G481),IFERROR(SUMPRODUCT(--("0"&amp;LEFT(TRIM(MID(SUBSTITUTE(SUBSTITUTE(SUBSTITUTE(SUBSTITUTE(SUBSTITUTE(LOWER(Registro!$F481)," ",""),CHAR(10),"|"),";","|"),"+","|"),"|",REPT(" ",LEN(Registro!$F481))),({1,2,3,4,5,6,7,8,9,10,11,12,13,14,15,16,17,18,19,20,21,22,23,24,25,26,27,28,29,30}-1)*LEN(Registro!$F481)+1,LEN(Registro!$F481))),FIND("x",TRIM(MID(SUBSTITUTE(SUBSTITUTE(SUBSTITUTE(SUBSTITUTE(SUBSTITUTE(LOWER(Registro!$F481)," ",""),CHAR(10),"|"),";","|"),"+","|"),"|",REPT(" ",LEN(Registro!$F481))),({1,2,3,4,5,6,7,8,9,10,11,12,13,14,15,16,17,18,19,20,21,22,23,24,25,26,27,28,29,30}-1)*LEN(Registro!$F481)+1,LEN(Registro!$F481)))&amp;"x")-1)),--("0"&amp;MID(TRIM(MID(SUBSTITUTE(SUBSTITUTE(SUBSTITUTE(SUBSTITUTE(SUBSTITUTE(LOWER(Registro!$F481)," ",""),CHAR(10),"|"),";","|"),"+","|"),"|",REPT(" ",LEN(Registro!$F481))),({1,2,3,4,5,6,7,8,9,10,11,12,13,14,15,16,17,18,19,20,21,22,23,24,25,26,27,28,29,30}-1)*LEN(Registro!$F481)+1,LEN(Registro!$F481))),FIND("x",TRIM(MID(SUBSTITUTE(SUBSTITUTE(SUBSTITUTE(SUBSTITUTE(SUBSTITUTE(LOWER(Registro!$F481)," ",""),CHAR(10),"|"),";","|"),"+","|"),"|",REPT(" ",LEN(Registro!$F481))),({1,2,3,4,5,6,7,8,9,10,11,12,13,14,15,16,17,18,19,20,21,22,23,24,25,26,27,28,29,30}-1)*LEN(Registro!$F481)+1,LEN(Registro!$F481)))&amp;"x")+1,20))),"Revisar formato")))</f>
        <v/>
      </c>
      <c r="H481" s="21" t="str">
        <f>IF(AND(Registro!$E481="",Registro!$F481=""),"",IF(NOT(AND(ISNUMBER(G481),ISNUMBER(Registro!$G481))),"",IF(G481&lt;Registro!$G481,"FALTA BOLETOS",IF(G481=Registro!$G481,"CONFORME","DIFERENCIA"))))</f>
        <v/>
      </c>
      <c r="I481" s="24" t="str">
        <f>IF(Registro!$H481="","",IFERROR(SUMPRODUCT(--("0"&amp;TRIM(RIGHT(SUBSTITUTE(TRIM(MID(SUBSTITUTE(SUBSTITUTE(Registro!$H481,";",CHAR(10)),CHAR(10),REPT(" ",LEN(Registro!$H481))),({1,2,3,4,5,6,7,8,9,10,11,12,13,14,15,16,17,18,19,20,21,22,23,24,25,26,27,28,29,30}-1)*LEN(Registro!$H481)+1,LEN(Registro!$H481)))," ",REPT(" ",50)),50)))),"Revisar formato"))</f>
        <v/>
      </c>
      <c r="J481" s="24" t="str">
        <f>IF(Registro!$I481="","",IFERROR(SUMPRODUCT(--("0"&amp;TRIM(RIGHT(SUBSTITUTE(TRIM(MID(SUBSTITUTE(SUBSTITUTE(Registro!$I481,";",CHAR(10)),CHAR(10),REPT(" ",LEN(Registro!$I481))),({1,2,3,4,5,6,7,8,9,10,11,12,13,14,15,16,17,18,19,20,21,22,23,24,25,26,27,28,29,30}-1)*LEN(Registro!$I481)+1,LEN(Registro!$I481)))," ",REPT(" ",50)),50)))),"Revisar formato"))</f>
        <v/>
      </c>
      <c r="K481" s="24" t="str">
        <f>IF(AND(Registro!$G481="",Registro!$H481=""),"",IF(AND(ISTEXT(I481),I481&lt;&gt;""),"Revisar formato",N(Registro!$G481)-N(I481)))</f>
        <v/>
      </c>
      <c r="L481" s="24" t="str">
        <f t="shared" si="15"/>
        <v/>
      </c>
      <c r="M481" s="36" t="str">
        <f>IF(AND(A481=Consulta!$B$3,C481=Consulta!$H$3),B481*10000+ROW(),"")</f>
        <v/>
      </c>
    </row>
    <row r="482" spans="1:13" x14ac:dyDescent="0.25">
      <c r="A482" s="21" t="str">
        <f>IF(Registro!$A482="","",Registro!$A482)</f>
        <v/>
      </c>
      <c r="B482" s="20" t="str">
        <f>IF(Registro!$B482="","",Registro!$B482)</f>
        <v/>
      </c>
      <c r="C482" s="35" t="str">
        <f t="shared" si="14"/>
        <v/>
      </c>
      <c r="D482" s="23" t="str">
        <f>IF(Registro!$E482="","",IF(ISERROR(FIND("x",LOWER(Registro!$E482))),"-",IFERROR(SUMPRODUCT(--("0"&amp;LEFT(TRIM(MID(SUBSTITUTE(SUBSTITUTE(SUBSTITUTE(SUBSTITUTE(SUBSTITUTE(LOWER(Registro!$E482),"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",LEN(Registro!$E482))),({1,2,3,4,5,6,7,8,9,10,11,12,13,14,15,16,17,18,19,20,21,22,23,24,25,26,27,28,29,30}-1)*LEN(Registro!$E482)+1,LEN(Registro!$E482))),FIND("x",TRIM(MID(SUBSTITUTE(SUBSTITUTE(SUBSTITUTE(SUBSTITUTE(SUBSTITUTE(LOWER(Registro!$E482),"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",LEN(Registro!$E482))),({1,2,3,4,5,6,7,8,9,10,11,12,13,14,15,16,17,18,19,20,21,22,23,24,25,26,27,28,29,30}-1)*LEN(Registro!$E482)+1,LEN(Registro!$E482)))&amp;"x")-1))),"Revisar formato")))</f>
        <v/>
      </c>
      <c r="E482" s="24" t="str">
        <f>IF(Registro!$E482="","",IF(ISERROR(FIND("x",LOWER(Registro!$E482))),"-",IFERROR(SUMPRODUCT(--("0"&amp;LEFT(TRIM(MID(SUBSTITUTE(SUBSTITUTE(SUBSTITUTE(SUBSTITUTE(SUBSTITUTE(LOWER(Registro!$E482),"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",LEN(Registro!$E482))),({1,2,3,4,5,6,7,8,9,10,11,12,13,14,15,16,17,18,19,20,21,22,23,24,25,26,27,28,29,30}-1)*LEN(Registro!$E482)+1,LEN(Registro!$E482))),FIND("x",TRIM(MID(SUBSTITUTE(SUBSTITUTE(SUBSTITUTE(SUBSTITUTE(SUBSTITUTE(LOWER(Registro!$E482),"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",LEN(Registro!$E482))),({1,2,3,4,5,6,7,8,9,10,11,12,13,14,15,16,17,18,19,20,21,22,23,24,25,26,27,28,29,30}-1)*LEN(Registro!$E482)+1,LEN(Registro!$E482)))&amp;"x")-1)),--("0"&amp;MID(TRIM(MID(SUBSTITUTE(SUBSTITUTE(SUBSTITUTE(SUBSTITUTE(SUBSTITUTE(LOWER(Registro!$E482),"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",LEN(Registro!$E482))),({1,2,3,4,5,6,7,8,9,10,11,12,13,14,15,16,17,18,19,20,21,22,23,24,25,26,27,28,29,30}-1)*LEN(Registro!$E482)+1,LEN(Registro!$E482))),FIND("x",TRIM(MID(SUBSTITUTE(SUBSTITUTE(SUBSTITUTE(SUBSTITUTE(SUBSTITUTE(LOWER(Registro!$E482),"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",LEN(Registro!$E482))),({1,2,3,4,5,6,7,8,9,10,11,12,13,14,15,16,17,18,19,20,21,22,23,24,25,26,27,28,29,30}-1)*LEN(Registro!$E482)+1,LEN(Registro!$E482)))&amp;"x")+1,20))),"Revisar formato")))</f>
        <v/>
      </c>
      <c r="F482" s="23" t="str">
        <f>IF(Registro!$F482="","",IF(ISERROR(FIND("x",LOWER(Registro!$F482))),"-",IFERROR(SUMPRODUCT(--("0"&amp;LEFT(TRIM(MID(SUBSTITUTE(SUBSTITUTE(SUBSTITUTE(SUBSTITUTE(SUBSTITUTE(LOWER(Registro!$F482)," ",""),CHAR(10),"|"),";","|"),"+","|"),"|",REPT(" ",LEN(Registro!$F482))),({1,2,3,4,5,6,7,8,9,10,11,12,13,14,15,16,17,18,19,20,21,22,23,24,25,26,27,28,29,30}-1)*LEN(Registro!$F482)+1,LEN(Registro!$F482))),FIND("x",TRIM(MID(SUBSTITUTE(SUBSTITUTE(SUBSTITUTE(SUBSTITUTE(SUBSTITUTE(LOWER(Registro!$F482)," ",""),CHAR(10),"|"),";","|"),"+","|"),"|",REPT(" ",LEN(Registro!$F482))),({1,2,3,4,5,6,7,8,9,10,11,12,13,14,15,16,17,18,19,20,21,22,23,24,25,26,27,28,29,30}-1)*LEN(Registro!$F482)+1,LEN(Registro!$F482)))&amp;"x")-1))),"Revisar formato")))</f>
        <v/>
      </c>
      <c r="G482" s="24" t="str">
        <f>IF(Registro!$F482="","",IF(ISERROR(FIND("x",LOWER(Registro!$F482))),N(Registro!$G482),IFERROR(SUMPRODUCT(--("0"&amp;LEFT(TRIM(MID(SUBSTITUTE(SUBSTITUTE(SUBSTITUTE(SUBSTITUTE(SUBSTITUTE(LOWER(Registro!$F482)," ",""),CHAR(10),"|"),";","|"),"+","|"),"|",REPT(" ",LEN(Registro!$F482))),({1,2,3,4,5,6,7,8,9,10,11,12,13,14,15,16,17,18,19,20,21,22,23,24,25,26,27,28,29,30}-1)*LEN(Registro!$F482)+1,LEN(Registro!$F482))),FIND("x",TRIM(MID(SUBSTITUTE(SUBSTITUTE(SUBSTITUTE(SUBSTITUTE(SUBSTITUTE(LOWER(Registro!$F482)," ",""),CHAR(10),"|"),";","|"),"+","|"),"|",REPT(" ",LEN(Registro!$F482))),({1,2,3,4,5,6,7,8,9,10,11,12,13,14,15,16,17,18,19,20,21,22,23,24,25,26,27,28,29,30}-1)*LEN(Registro!$F482)+1,LEN(Registro!$F482)))&amp;"x")-1)),--("0"&amp;MID(TRIM(MID(SUBSTITUTE(SUBSTITUTE(SUBSTITUTE(SUBSTITUTE(SUBSTITUTE(LOWER(Registro!$F482)," ",""),CHAR(10),"|"),";","|"),"+","|"),"|",REPT(" ",LEN(Registro!$F482))),({1,2,3,4,5,6,7,8,9,10,11,12,13,14,15,16,17,18,19,20,21,22,23,24,25,26,27,28,29,30}-1)*LEN(Registro!$F482)+1,LEN(Registro!$F482))),FIND("x",TRIM(MID(SUBSTITUTE(SUBSTITUTE(SUBSTITUTE(SUBSTITUTE(SUBSTITUTE(LOWER(Registro!$F482)," ",""),CHAR(10),"|"),";","|"),"+","|"),"|",REPT(" ",LEN(Registro!$F482))),({1,2,3,4,5,6,7,8,9,10,11,12,13,14,15,16,17,18,19,20,21,22,23,24,25,26,27,28,29,30}-1)*LEN(Registro!$F482)+1,LEN(Registro!$F482)))&amp;"x")+1,20))),"Revisar formato")))</f>
        <v/>
      </c>
      <c r="H482" s="21" t="str">
        <f>IF(AND(Registro!$E482="",Registro!$F482=""),"",IF(NOT(AND(ISNUMBER(G482),ISNUMBER(Registro!$G482))),"",IF(G482&lt;Registro!$G482,"FALTA BOLETOS",IF(G482=Registro!$G482,"CONFORME","DIFERENCIA"))))</f>
        <v/>
      </c>
      <c r="I482" s="24" t="str">
        <f>IF(Registro!$H482="","",IFERROR(SUMPRODUCT(--("0"&amp;TRIM(RIGHT(SUBSTITUTE(TRIM(MID(SUBSTITUTE(SUBSTITUTE(Registro!$H482,";",CHAR(10)),CHAR(10),REPT(" ",LEN(Registro!$H482))),({1,2,3,4,5,6,7,8,9,10,11,12,13,14,15,16,17,18,19,20,21,22,23,24,25,26,27,28,29,30}-1)*LEN(Registro!$H482)+1,LEN(Registro!$H482)))," ",REPT(" ",50)),50)))),"Revisar formato"))</f>
        <v/>
      </c>
      <c r="J482" s="24" t="str">
        <f>IF(Registro!$I482="","",IFERROR(SUMPRODUCT(--("0"&amp;TRIM(RIGHT(SUBSTITUTE(TRIM(MID(SUBSTITUTE(SUBSTITUTE(Registro!$I482,";",CHAR(10)),CHAR(10),REPT(" ",LEN(Registro!$I482))),({1,2,3,4,5,6,7,8,9,10,11,12,13,14,15,16,17,18,19,20,21,22,23,24,25,26,27,28,29,30}-1)*LEN(Registro!$I482)+1,LEN(Registro!$I482)))," ",REPT(" ",50)),50)))),"Revisar formato"))</f>
        <v/>
      </c>
      <c r="K482" s="24" t="str">
        <f>IF(AND(Registro!$G482="",Registro!$H482=""),"",IF(AND(ISTEXT(I482),I482&lt;&gt;""),"Revisar formato",N(Registro!$G482)-N(I482)))</f>
        <v/>
      </c>
      <c r="L482" s="24" t="str">
        <f t="shared" si="15"/>
        <v/>
      </c>
      <c r="M482" s="36" t="str">
        <f>IF(AND(A482=Consulta!$B$3,C482=Consulta!$H$3),B482*10000+ROW(),"")</f>
        <v/>
      </c>
    </row>
    <row r="483" spans="1:13" x14ac:dyDescent="0.25">
      <c r="A483" s="21" t="str">
        <f>IF(Registro!$A483="","",Registro!$A483)</f>
        <v/>
      </c>
      <c r="B483" s="20" t="str">
        <f>IF(Registro!$B483="","",Registro!$B483)</f>
        <v/>
      </c>
      <c r="C483" s="35" t="str">
        <f t="shared" si="14"/>
        <v/>
      </c>
      <c r="D483" s="23" t="str">
        <f>IF(Registro!$E483="","",IF(ISERROR(FIND("x",LOWER(Registro!$E483))),"-",IFERROR(SUMPRODUCT(--("0"&amp;LEFT(TRIM(MID(SUBSTITUTE(SUBSTITUTE(SUBSTITUTE(SUBSTITUTE(SUBSTITUTE(LOWER(Registro!$E483),"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",LEN(Registro!$E483))),({1,2,3,4,5,6,7,8,9,10,11,12,13,14,15,16,17,18,19,20,21,22,23,24,25,26,27,28,29,30}-1)*LEN(Registro!$E483)+1,LEN(Registro!$E483))),FIND("x",TRIM(MID(SUBSTITUTE(SUBSTITUTE(SUBSTITUTE(SUBSTITUTE(SUBSTITUTE(LOWER(Registro!$E483),"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",LEN(Registro!$E483))),({1,2,3,4,5,6,7,8,9,10,11,12,13,14,15,16,17,18,19,20,21,22,23,24,25,26,27,28,29,30}-1)*LEN(Registro!$E483)+1,LEN(Registro!$E483)))&amp;"x")-1))),"Revisar formato")))</f>
        <v/>
      </c>
      <c r="E483" s="24" t="str">
        <f>IF(Registro!$E483="","",IF(ISERROR(FIND("x",LOWER(Registro!$E483))),"-",IFERROR(SUMPRODUCT(--("0"&amp;LEFT(TRIM(MID(SUBSTITUTE(SUBSTITUTE(SUBSTITUTE(SUBSTITUTE(SUBSTITUTE(LOWER(Registro!$E483),"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",LEN(Registro!$E483))),({1,2,3,4,5,6,7,8,9,10,11,12,13,14,15,16,17,18,19,20,21,22,23,24,25,26,27,28,29,30}-1)*LEN(Registro!$E483)+1,LEN(Registro!$E483))),FIND("x",TRIM(MID(SUBSTITUTE(SUBSTITUTE(SUBSTITUTE(SUBSTITUTE(SUBSTITUTE(LOWER(Registro!$E483),"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",LEN(Registro!$E483))),({1,2,3,4,5,6,7,8,9,10,11,12,13,14,15,16,17,18,19,20,21,22,23,24,25,26,27,28,29,30}-1)*LEN(Registro!$E483)+1,LEN(Registro!$E483)))&amp;"x")-1)),--("0"&amp;MID(TRIM(MID(SUBSTITUTE(SUBSTITUTE(SUBSTITUTE(SUBSTITUTE(SUBSTITUTE(LOWER(Registro!$E483),"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",LEN(Registro!$E483))),({1,2,3,4,5,6,7,8,9,10,11,12,13,14,15,16,17,18,19,20,21,22,23,24,25,26,27,28,29,30}-1)*LEN(Registro!$E483)+1,LEN(Registro!$E483))),FIND("x",TRIM(MID(SUBSTITUTE(SUBSTITUTE(SUBSTITUTE(SUBSTITUTE(SUBSTITUTE(LOWER(Registro!$E483),"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",LEN(Registro!$E483))),({1,2,3,4,5,6,7,8,9,10,11,12,13,14,15,16,17,18,19,20,21,22,23,24,25,26,27,28,29,30}-1)*LEN(Registro!$E483)+1,LEN(Registro!$E483)))&amp;"x")+1,20))),"Revisar formato")))</f>
        <v/>
      </c>
      <c r="F483" s="23" t="str">
        <f>IF(Registro!$F483="","",IF(ISERROR(FIND("x",LOWER(Registro!$F483))),"-",IFERROR(SUMPRODUCT(--("0"&amp;LEFT(TRIM(MID(SUBSTITUTE(SUBSTITUTE(SUBSTITUTE(SUBSTITUTE(SUBSTITUTE(LOWER(Registro!$F483)," ",""),CHAR(10),"|"),";","|"),"+","|"),"|",REPT(" ",LEN(Registro!$F483))),({1,2,3,4,5,6,7,8,9,10,11,12,13,14,15,16,17,18,19,20,21,22,23,24,25,26,27,28,29,30}-1)*LEN(Registro!$F483)+1,LEN(Registro!$F483))),FIND("x",TRIM(MID(SUBSTITUTE(SUBSTITUTE(SUBSTITUTE(SUBSTITUTE(SUBSTITUTE(LOWER(Registro!$F483)," ",""),CHAR(10),"|"),";","|"),"+","|"),"|",REPT(" ",LEN(Registro!$F483))),({1,2,3,4,5,6,7,8,9,10,11,12,13,14,15,16,17,18,19,20,21,22,23,24,25,26,27,28,29,30}-1)*LEN(Registro!$F483)+1,LEN(Registro!$F483)))&amp;"x")-1))),"Revisar formato")))</f>
        <v/>
      </c>
      <c r="G483" s="24" t="str">
        <f>IF(Registro!$F483="","",IF(ISERROR(FIND("x",LOWER(Registro!$F483))),N(Registro!$G483),IFERROR(SUMPRODUCT(--("0"&amp;LEFT(TRIM(MID(SUBSTITUTE(SUBSTITUTE(SUBSTITUTE(SUBSTITUTE(SUBSTITUTE(LOWER(Registro!$F483)," ",""),CHAR(10),"|"),";","|"),"+","|"),"|",REPT(" ",LEN(Registro!$F483))),({1,2,3,4,5,6,7,8,9,10,11,12,13,14,15,16,17,18,19,20,21,22,23,24,25,26,27,28,29,30}-1)*LEN(Registro!$F483)+1,LEN(Registro!$F483))),FIND("x",TRIM(MID(SUBSTITUTE(SUBSTITUTE(SUBSTITUTE(SUBSTITUTE(SUBSTITUTE(LOWER(Registro!$F483)," ",""),CHAR(10),"|"),";","|"),"+","|"),"|",REPT(" ",LEN(Registro!$F483))),({1,2,3,4,5,6,7,8,9,10,11,12,13,14,15,16,17,18,19,20,21,22,23,24,25,26,27,28,29,30}-1)*LEN(Registro!$F483)+1,LEN(Registro!$F483)))&amp;"x")-1)),--("0"&amp;MID(TRIM(MID(SUBSTITUTE(SUBSTITUTE(SUBSTITUTE(SUBSTITUTE(SUBSTITUTE(LOWER(Registro!$F483)," ",""),CHAR(10),"|"),";","|"),"+","|"),"|",REPT(" ",LEN(Registro!$F483))),({1,2,3,4,5,6,7,8,9,10,11,12,13,14,15,16,17,18,19,20,21,22,23,24,25,26,27,28,29,30}-1)*LEN(Registro!$F483)+1,LEN(Registro!$F483))),FIND("x",TRIM(MID(SUBSTITUTE(SUBSTITUTE(SUBSTITUTE(SUBSTITUTE(SUBSTITUTE(LOWER(Registro!$F483)," ",""),CHAR(10),"|"),";","|"),"+","|"),"|",REPT(" ",LEN(Registro!$F483))),({1,2,3,4,5,6,7,8,9,10,11,12,13,14,15,16,17,18,19,20,21,22,23,24,25,26,27,28,29,30}-1)*LEN(Registro!$F483)+1,LEN(Registro!$F483)))&amp;"x")+1,20))),"Revisar formato")))</f>
        <v/>
      </c>
      <c r="H483" s="21" t="str">
        <f>IF(AND(Registro!$E483="",Registro!$F483=""),"",IF(NOT(AND(ISNUMBER(G483),ISNUMBER(Registro!$G483))),"",IF(G483&lt;Registro!$G483,"FALTA BOLETOS",IF(G483=Registro!$G483,"CONFORME","DIFERENCIA"))))</f>
        <v/>
      </c>
      <c r="I483" s="24" t="str">
        <f>IF(Registro!$H483="","",IFERROR(SUMPRODUCT(--("0"&amp;TRIM(RIGHT(SUBSTITUTE(TRIM(MID(SUBSTITUTE(SUBSTITUTE(Registro!$H483,";",CHAR(10)),CHAR(10),REPT(" ",LEN(Registro!$H483))),({1,2,3,4,5,6,7,8,9,10,11,12,13,14,15,16,17,18,19,20,21,22,23,24,25,26,27,28,29,30}-1)*LEN(Registro!$H483)+1,LEN(Registro!$H483)))," ",REPT(" ",50)),50)))),"Revisar formato"))</f>
        <v/>
      </c>
      <c r="J483" s="24" t="str">
        <f>IF(Registro!$I483="","",IFERROR(SUMPRODUCT(--("0"&amp;TRIM(RIGHT(SUBSTITUTE(TRIM(MID(SUBSTITUTE(SUBSTITUTE(Registro!$I483,";",CHAR(10)),CHAR(10),REPT(" ",LEN(Registro!$I483))),({1,2,3,4,5,6,7,8,9,10,11,12,13,14,15,16,17,18,19,20,21,22,23,24,25,26,27,28,29,30}-1)*LEN(Registro!$I483)+1,LEN(Registro!$I483)))," ",REPT(" ",50)),50)))),"Revisar formato"))</f>
        <v/>
      </c>
      <c r="K483" s="24" t="str">
        <f>IF(AND(Registro!$G483="",Registro!$H483=""),"",IF(AND(ISTEXT(I483),I483&lt;&gt;""),"Revisar formato",N(Registro!$G483)-N(I483)))</f>
        <v/>
      </c>
      <c r="L483" s="24" t="str">
        <f t="shared" si="15"/>
        <v/>
      </c>
      <c r="M483" s="36" t="str">
        <f>IF(AND(A483=Consulta!$B$3,C483=Consulta!$H$3),B483*10000+ROW(),"")</f>
        <v/>
      </c>
    </row>
    <row r="484" spans="1:13" x14ac:dyDescent="0.25">
      <c r="A484" s="21" t="str">
        <f>IF(Registro!$A484="","",Registro!$A484)</f>
        <v/>
      </c>
      <c r="B484" s="20" t="str">
        <f>IF(Registro!$B484="","",Registro!$B484)</f>
        <v/>
      </c>
      <c r="C484" s="35" t="str">
        <f t="shared" si="14"/>
        <v/>
      </c>
      <c r="D484" s="23" t="str">
        <f>IF(Registro!$E484="","",IF(ISERROR(FIND("x",LOWER(Registro!$E484))),"-",IFERROR(SUMPRODUCT(--("0"&amp;LEFT(TRIM(MID(SUBSTITUTE(SUBSTITUTE(SUBSTITUTE(SUBSTITUTE(SUBSTITUTE(LOWER(Registro!$E484),"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",LEN(Registro!$E484))),({1,2,3,4,5,6,7,8,9,10,11,12,13,14,15,16,17,18,19,20,21,22,23,24,25,26,27,28,29,30}-1)*LEN(Registro!$E484)+1,LEN(Registro!$E484))),FIND("x",TRIM(MID(SUBSTITUTE(SUBSTITUTE(SUBSTITUTE(SUBSTITUTE(SUBSTITUTE(LOWER(Registro!$E484),"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",LEN(Registro!$E484))),({1,2,3,4,5,6,7,8,9,10,11,12,13,14,15,16,17,18,19,20,21,22,23,24,25,26,27,28,29,30}-1)*LEN(Registro!$E484)+1,LEN(Registro!$E484)))&amp;"x")-1))),"Revisar formato")))</f>
        <v/>
      </c>
      <c r="E484" s="24" t="str">
        <f>IF(Registro!$E484="","",IF(ISERROR(FIND("x",LOWER(Registro!$E484))),"-",IFERROR(SUMPRODUCT(--("0"&amp;LEFT(TRIM(MID(SUBSTITUTE(SUBSTITUTE(SUBSTITUTE(SUBSTITUTE(SUBSTITUTE(LOWER(Registro!$E484),"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",LEN(Registro!$E484))),({1,2,3,4,5,6,7,8,9,10,11,12,13,14,15,16,17,18,19,20,21,22,23,24,25,26,27,28,29,30}-1)*LEN(Registro!$E484)+1,LEN(Registro!$E484))),FIND("x",TRIM(MID(SUBSTITUTE(SUBSTITUTE(SUBSTITUTE(SUBSTITUTE(SUBSTITUTE(LOWER(Registro!$E484),"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",LEN(Registro!$E484))),({1,2,3,4,5,6,7,8,9,10,11,12,13,14,15,16,17,18,19,20,21,22,23,24,25,26,27,28,29,30}-1)*LEN(Registro!$E484)+1,LEN(Registro!$E484)))&amp;"x")-1)),--("0"&amp;MID(TRIM(MID(SUBSTITUTE(SUBSTITUTE(SUBSTITUTE(SUBSTITUTE(SUBSTITUTE(LOWER(Registro!$E484),"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",LEN(Registro!$E484))),({1,2,3,4,5,6,7,8,9,10,11,12,13,14,15,16,17,18,19,20,21,22,23,24,25,26,27,28,29,30}-1)*LEN(Registro!$E484)+1,LEN(Registro!$E484))),FIND("x",TRIM(MID(SUBSTITUTE(SUBSTITUTE(SUBSTITUTE(SUBSTITUTE(SUBSTITUTE(LOWER(Registro!$E484),"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",LEN(Registro!$E484))),({1,2,3,4,5,6,7,8,9,10,11,12,13,14,15,16,17,18,19,20,21,22,23,24,25,26,27,28,29,30}-1)*LEN(Registro!$E484)+1,LEN(Registro!$E484)))&amp;"x")+1,20))),"Revisar formato")))</f>
        <v/>
      </c>
      <c r="F484" s="23" t="str">
        <f>IF(Registro!$F484="","",IF(ISERROR(FIND("x",LOWER(Registro!$F484))),"-",IFERROR(SUMPRODUCT(--("0"&amp;LEFT(TRIM(MID(SUBSTITUTE(SUBSTITUTE(SUBSTITUTE(SUBSTITUTE(SUBSTITUTE(LOWER(Registro!$F484)," ",""),CHAR(10),"|"),";","|"),"+","|"),"|",REPT(" ",LEN(Registro!$F484))),({1,2,3,4,5,6,7,8,9,10,11,12,13,14,15,16,17,18,19,20,21,22,23,24,25,26,27,28,29,30}-1)*LEN(Registro!$F484)+1,LEN(Registro!$F484))),FIND("x",TRIM(MID(SUBSTITUTE(SUBSTITUTE(SUBSTITUTE(SUBSTITUTE(SUBSTITUTE(LOWER(Registro!$F484)," ",""),CHAR(10),"|"),";","|"),"+","|"),"|",REPT(" ",LEN(Registro!$F484))),({1,2,3,4,5,6,7,8,9,10,11,12,13,14,15,16,17,18,19,20,21,22,23,24,25,26,27,28,29,30}-1)*LEN(Registro!$F484)+1,LEN(Registro!$F484)))&amp;"x")-1))),"Revisar formato")))</f>
        <v/>
      </c>
      <c r="G484" s="24" t="str">
        <f>IF(Registro!$F484="","",IF(ISERROR(FIND("x",LOWER(Registro!$F484))),N(Registro!$G484),IFERROR(SUMPRODUCT(--("0"&amp;LEFT(TRIM(MID(SUBSTITUTE(SUBSTITUTE(SUBSTITUTE(SUBSTITUTE(SUBSTITUTE(LOWER(Registro!$F484)," ",""),CHAR(10),"|"),";","|"),"+","|"),"|",REPT(" ",LEN(Registro!$F484))),({1,2,3,4,5,6,7,8,9,10,11,12,13,14,15,16,17,18,19,20,21,22,23,24,25,26,27,28,29,30}-1)*LEN(Registro!$F484)+1,LEN(Registro!$F484))),FIND("x",TRIM(MID(SUBSTITUTE(SUBSTITUTE(SUBSTITUTE(SUBSTITUTE(SUBSTITUTE(LOWER(Registro!$F484)," ",""),CHAR(10),"|"),";","|"),"+","|"),"|",REPT(" ",LEN(Registro!$F484))),({1,2,3,4,5,6,7,8,9,10,11,12,13,14,15,16,17,18,19,20,21,22,23,24,25,26,27,28,29,30}-1)*LEN(Registro!$F484)+1,LEN(Registro!$F484)))&amp;"x")-1)),--("0"&amp;MID(TRIM(MID(SUBSTITUTE(SUBSTITUTE(SUBSTITUTE(SUBSTITUTE(SUBSTITUTE(LOWER(Registro!$F484)," ",""),CHAR(10),"|"),";","|"),"+","|"),"|",REPT(" ",LEN(Registro!$F484))),({1,2,3,4,5,6,7,8,9,10,11,12,13,14,15,16,17,18,19,20,21,22,23,24,25,26,27,28,29,30}-1)*LEN(Registro!$F484)+1,LEN(Registro!$F484))),FIND("x",TRIM(MID(SUBSTITUTE(SUBSTITUTE(SUBSTITUTE(SUBSTITUTE(SUBSTITUTE(LOWER(Registro!$F484)," ",""),CHAR(10),"|"),";","|"),"+","|"),"|",REPT(" ",LEN(Registro!$F484))),({1,2,3,4,5,6,7,8,9,10,11,12,13,14,15,16,17,18,19,20,21,22,23,24,25,26,27,28,29,30}-1)*LEN(Registro!$F484)+1,LEN(Registro!$F484)))&amp;"x")+1,20))),"Revisar formato")))</f>
        <v/>
      </c>
      <c r="H484" s="21" t="str">
        <f>IF(AND(Registro!$E484="",Registro!$F484=""),"",IF(NOT(AND(ISNUMBER(G484),ISNUMBER(Registro!$G484))),"",IF(G484&lt;Registro!$G484,"FALTA BOLETOS",IF(G484=Registro!$G484,"CONFORME","DIFERENCIA"))))</f>
        <v/>
      </c>
      <c r="I484" s="24" t="str">
        <f>IF(Registro!$H484="","",IFERROR(SUMPRODUCT(--("0"&amp;TRIM(RIGHT(SUBSTITUTE(TRIM(MID(SUBSTITUTE(SUBSTITUTE(Registro!$H484,";",CHAR(10)),CHAR(10),REPT(" ",LEN(Registro!$H484))),({1,2,3,4,5,6,7,8,9,10,11,12,13,14,15,16,17,18,19,20,21,22,23,24,25,26,27,28,29,30}-1)*LEN(Registro!$H484)+1,LEN(Registro!$H484)))," ",REPT(" ",50)),50)))),"Revisar formato"))</f>
        <v/>
      </c>
      <c r="J484" s="24" t="str">
        <f>IF(Registro!$I484="","",IFERROR(SUMPRODUCT(--("0"&amp;TRIM(RIGHT(SUBSTITUTE(TRIM(MID(SUBSTITUTE(SUBSTITUTE(Registro!$I484,";",CHAR(10)),CHAR(10),REPT(" ",LEN(Registro!$I484))),({1,2,3,4,5,6,7,8,9,10,11,12,13,14,15,16,17,18,19,20,21,22,23,24,25,26,27,28,29,30}-1)*LEN(Registro!$I484)+1,LEN(Registro!$I484)))," ",REPT(" ",50)),50)))),"Revisar formato"))</f>
        <v/>
      </c>
      <c r="K484" s="24" t="str">
        <f>IF(AND(Registro!$G484="",Registro!$H484=""),"",IF(AND(ISTEXT(I484),I484&lt;&gt;""),"Revisar formato",N(Registro!$G484)-N(I484)))</f>
        <v/>
      </c>
      <c r="L484" s="24" t="str">
        <f t="shared" si="15"/>
        <v/>
      </c>
      <c r="M484" s="36" t="str">
        <f>IF(AND(A484=Consulta!$B$3,C484=Consulta!$H$3),B484*10000+ROW(),"")</f>
        <v/>
      </c>
    </row>
    <row r="485" spans="1:13" x14ac:dyDescent="0.25">
      <c r="A485" s="21" t="str">
        <f>IF(Registro!$A485="","",Registro!$A485)</f>
        <v/>
      </c>
      <c r="B485" s="20" t="str">
        <f>IF(Registro!$B485="","",Registro!$B485)</f>
        <v/>
      </c>
      <c r="C485" s="35" t="str">
        <f t="shared" si="14"/>
        <v/>
      </c>
      <c r="D485" s="23" t="str">
        <f>IF(Registro!$E485="","",IF(ISERROR(FIND("x",LOWER(Registro!$E485))),"-",IFERROR(SUMPRODUCT(--("0"&amp;LEFT(TRIM(MID(SUBSTITUTE(SUBSTITUTE(SUBSTITUTE(SUBSTITUTE(SUBSTITUTE(LOWER(Registro!$E485),"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",LEN(Registro!$E485))),({1,2,3,4,5,6,7,8,9,10,11,12,13,14,15,16,17,18,19,20,21,22,23,24,25,26,27,28,29,30}-1)*LEN(Registro!$E485)+1,LEN(Registro!$E485))),FIND("x",TRIM(MID(SUBSTITUTE(SUBSTITUTE(SUBSTITUTE(SUBSTITUTE(SUBSTITUTE(LOWER(Registro!$E485),"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",LEN(Registro!$E485))),({1,2,3,4,5,6,7,8,9,10,11,12,13,14,15,16,17,18,19,20,21,22,23,24,25,26,27,28,29,30}-1)*LEN(Registro!$E485)+1,LEN(Registro!$E485)))&amp;"x")-1))),"Revisar formato")))</f>
        <v/>
      </c>
      <c r="E485" s="24" t="str">
        <f>IF(Registro!$E485="","",IF(ISERROR(FIND("x",LOWER(Registro!$E485))),"-",IFERROR(SUMPRODUCT(--("0"&amp;LEFT(TRIM(MID(SUBSTITUTE(SUBSTITUTE(SUBSTITUTE(SUBSTITUTE(SUBSTITUTE(LOWER(Registro!$E485),"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",LEN(Registro!$E485))),({1,2,3,4,5,6,7,8,9,10,11,12,13,14,15,16,17,18,19,20,21,22,23,24,25,26,27,28,29,30}-1)*LEN(Registro!$E485)+1,LEN(Registro!$E485))),FIND("x",TRIM(MID(SUBSTITUTE(SUBSTITUTE(SUBSTITUTE(SUBSTITUTE(SUBSTITUTE(LOWER(Registro!$E485),"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",LEN(Registro!$E485))),({1,2,3,4,5,6,7,8,9,10,11,12,13,14,15,16,17,18,19,20,21,22,23,24,25,26,27,28,29,30}-1)*LEN(Registro!$E485)+1,LEN(Registro!$E485)))&amp;"x")-1)),--("0"&amp;MID(TRIM(MID(SUBSTITUTE(SUBSTITUTE(SUBSTITUTE(SUBSTITUTE(SUBSTITUTE(LOWER(Registro!$E485),"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",LEN(Registro!$E485))),({1,2,3,4,5,6,7,8,9,10,11,12,13,14,15,16,17,18,19,20,21,22,23,24,25,26,27,28,29,30}-1)*LEN(Registro!$E485)+1,LEN(Registro!$E485))),FIND("x",TRIM(MID(SUBSTITUTE(SUBSTITUTE(SUBSTITUTE(SUBSTITUTE(SUBSTITUTE(LOWER(Registro!$E485),"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",LEN(Registro!$E485))),({1,2,3,4,5,6,7,8,9,10,11,12,13,14,15,16,17,18,19,20,21,22,23,24,25,26,27,28,29,30}-1)*LEN(Registro!$E485)+1,LEN(Registro!$E485)))&amp;"x")+1,20))),"Revisar formato")))</f>
        <v/>
      </c>
      <c r="F485" s="23" t="str">
        <f>IF(Registro!$F485="","",IF(ISERROR(FIND("x",LOWER(Registro!$F485))),"-",IFERROR(SUMPRODUCT(--("0"&amp;LEFT(TRIM(MID(SUBSTITUTE(SUBSTITUTE(SUBSTITUTE(SUBSTITUTE(SUBSTITUTE(LOWER(Registro!$F485)," ",""),CHAR(10),"|"),";","|"),"+","|"),"|",REPT(" ",LEN(Registro!$F485))),({1,2,3,4,5,6,7,8,9,10,11,12,13,14,15,16,17,18,19,20,21,22,23,24,25,26,27,28,29,30}-1)*LEN(Registro!$F485)+1,LEN(Registro!$F485))),FIND("x",TRIM(MID(SUBSTITUTE(SUBSTITUTE(SUBSTITUTE(SUBSTITUTE(SUBSTITUTE(LOWER(Registro!$F485)," ",""),CHAR(10),"|"),";","|"),"+","|"),"|",REPT(" ",LEN(Registro!$F485))),({1,2,3,4,5,6,7,8,9,10,11,12,13,14,15,16,17,18,19,20,21,22,23,24,25,26,27,28,29,30}-1)*LEN(Registro!$F485)+1,LEN(Registro!$F485)))&amp;"x")-1))),"Revisar formato")))</f>
        <v/>
      </c>
      <c r="G485" s="24" t="str">
        <f>IF(Registro!$F485="","",IF(ISERROR(FIND("x",LOWER(Registro!$F485))),N(Registro!$G485),IFERROR(SUMPRODUCT(--("0"&amp;LEFT(TRIM(MID(SUBSTITUTE(SUBSTITUTE(SUBSTITUTE(SUBSTITUTE(SUBSTITUTE(LOWER(Registro!$F485)," ",""),CHAR(10),"|"),";","|"),"+","|"),"|",REPT(" ",LEN(Registro!$F485))),({1,2,3,4,5,6,7,8,9,10,11,12,13,14,15,16,17,18,19,20,21,22,23,24,25,26,27,28,29,30}-1)*LEN(Registro!$F485)+1,LEN(Registro!$F485))),FIND("x",TRIM(MID(SUBSTITUTE(SUBSTITUTE(SUBSTITUTE(SUBSTITUTE(SUBSTITUTE(LOWER(Registro!$F485)," ",""),CHAR(10),"|"),";","|"),"+","|"),"|",REPT(" ",LEN(Registro!$F485))),({1,2,3,4,5,6,7,8,9,10,11,12,13,14,15,16,17,18,19,20,21,22,23,24,25,26,27,28,29,30}-1)*LEN(Registro!$F485)+1,LEN(Registro!$F485)))&amp;"x")-1)),--("0"&amp;MID(TRIM(MID(SUBSTITUTE(SUBSTITUTE(SUBSTITUTE(SUBSTITUTE(SUBSTITUTE(LOWER(Registro!$F485)," ",""),CHAR(10),"|"),";","|"),"+","|"),"|",REPT(" ",LEN(Registro!$F485))),({1,2,3,4,5,6,7,8,9,10,11,12,13,14,15,16,17,18,19,20,21,22,23,24,25,26,27,28,29,30}-1)*LEN(Registro!$F485)+1,LEN(Registro!$F485))),FIND("x",TRIM(MID(SUBSTITUTE(SUBSTITUTE(SUBSTITUTE(SUBSTITUTE(SUBSTITUTE(LOWER(Registro!$F485)," ",""),CHAR(10),"|"),";","|"),"+","|"),"|",REPT(" ",LEN(Registro!$F485))),({1,2,3,4,5,6,7,8,9,10,11,12,13,14,15,16,17,18,19,20,21,22,23,24,25,26,27,28,29,30}-1)*LEN(Registro!$F485)+1,LEN(Registro!$F485)))&amp;"x")+1,20))),"Revisar formato")))</f>
        <v/>
      </c>
      <c r="H485" s="21" t="str">
        <f>IF(AND(Registro!$E485="",Registro!$F485=""),"",IF(NOT(AND(ISNUMBER(G485),ISNUMBER(Registro!$G485))),"",IF(G485&lt;Registro!$G485,"FALTA BOLETOS",IF(G485=Registro!$G485,"CONFORME","DIFERENCIA"))))</f>
        <v/>
      </c>
      <c r="I485" s="24" t="str">
        <f>IF(Registro!$H485="","",IFERROR(SUMPRODUCT(--("0"&amp;TRIM(RIGHT(SUBSTITUTE(TRIM(MID(SUBSTITUTE(SUBSTITUTE(Registro!$H485,";",CHAR(10)),CHAR(10),REPT(" ",LEN(Registro!$H485))),({1,2,3,4,5,6,7,8,9,10,11,12,13,14,15,16,17,18,19,20,21,22,23,24,25,26,27,28,29,30}-1)*LEN(Registro!$H485)+1,LEN(Registro!$H485)))," ",REPT(" ",50)),50)))),"Revisar formato"))</f>
        <v/>
      </c>
      <c r="J485" s="24" t="str">
        <f>IF(Registro!$I485="","",IFERROR(SUMPRODUCT(--("0"&amp;TRIM(RIGHT(SUBSTITUTE(TRIM(MID(SUBSTITUTE(SUBSTITUTE(Registro!$I485,";",CHAR(10)),CHAR(10),REPT(" ",LEN(Registro!$I485))),({1,2,3,4,5,6,7,8,9,10,11,12,13,14,15,16,17,18,19,20,21,22,23,24,25,26,27,28,29,30}-1)*LEN(Registro!$I485)+1,LEN(Registro!$I485)))," ",REPT(" ",50)),50)))),"Revisar formato"))</f>
        <v/>
      </c>
      <c r="K485" s="24" t="str">
        <f>IF(AND(Registro!$G485="",Registro!$H485=""),"",IF(AND(ISTEXT(I485),I485&lt;&gt;""),"Revisar formato",N(Registro!$G485)-N(I485)))</f>
        <v/>
      </c>
      <c r="L485" s="24" t="str">
        <f t="shared" si="15"/>
        <v/>
      </c>
      <c r="M485" s="36" t="str">
        <f>IF(AND(A485=Consulta!$B$3,C485=Consulta!$H$3),B485*10000+ROW(),"")</f>
        <v/>
      </c>
    </row>
    <row r="486" spans="1:13" x14ac:dyDescent="0.25">
      <c r="A486" s="21" t="str">
        <f>IF(Registro!$A486="","",Registro!$A486)</f>
        <v/>
      </c>
      <c r="B486" s="20" t="str">
        <f>IF(Registro!$B486="","",Registro!$B486)</f>
        <v/>
      </c>
      <c r="C486" s="35" t="str">
        <f t="shared" si="14"/>
        <v/>
      </c>
      <c r="D486" s="23" t="str">
        <f>IF(Registro!$E486="","",IF(ISERROR(FIND("x",LOWER(Registro!$E486))),"-",IFERROR(SUMPRODUCT(--("0"&amp;LEFT(TRIM(MID(SUBSTITUTE(SUBSTITUTE(SUBSTITUTE(SUBSTITUTE(SUBSTITUTE(LOWER(Registro!$E486),"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",LEN(Registro!$E486))),({1,2,3,4,5,6,7,8,9,10,11,12,13,14,15,16,17,18,19,20,21,22,23,24,25,26,27,28,29,30}-1)*LEN(Registro!$E486)+1,LEN(Registro!$E486))),FIND("x",TRIM(MID(SUBSTITUTE(SUBSTITUTE(SUBSTITUTE(SUBSTITUTE(SUBSTITUTE(LOWER(Registro!$E486),"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",LEN(Registro!$E486))),({1,2,3,4,5,6,7,8,9,10,11,12,13,14,15,16,17,18,19,20,21,22,23,24,25,26,27,28,29,30}-1)*LEN(Registro!$E486)+1,LEN(Registro!$E486)))&amp;"x")-1))),"Revisar formato")))</f>
        <v/>
      </c>
      <c r="E486" s="24" t="str">
        <f>IF(Registro!$E486="","",IF(ISERROR(FIND("x",LOWER(Registro!$E486))),"-",IFERROR(SUMPRODUCT(--("0"&amp;LEFT(TRIM(MID(SUBSTITUTE(SUBSTITUTE(SUBSTITUTE(SUBSTITUTE(SUBSTITUTE(LOWER(Registro!$E486),"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",LEN(Registro!$E486))),({1,2,3,4,5,6,7,8,9,10,11,12,13,14,15,16,17,18,19,20,21,22,23,24,25,26,27,28,29,30}-1)*LEN(Registro!$E486)+1,LEN(Registro!$E486))),FIND("x",TRIM(MID(SUBSTITUTE(SUBSTITUTE(SUBSTITUTE(SUBSTITUTE(SUBSTITUTE(LOWER(Registro!$E486),"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",LEN(Registro!$E486))),({1,2,3,4,5,6,7,8,9,10,11,12,13,14,15,16,17,18,19,20,21,22,23,24,25,26,27,28,29,30}-1)*LEN(Registro!$E486)+1,LEN(Registro!$E486)))&amp;"x")-1)),--("0"&amp;MID(TRIM(MID(SUBSTITUTE(SUBSTITUTE(SUBSTITUTE(SUBSTITUTE(SUBSTITUTE(LOWER(Registro!$E486),"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",LEN(Registro!$E486))),({1,2,3,4,5,6,7,8,9,10,11,12,13,14,15,16,17,18,19,20,21,22,23,24,25,26,27,28,29,30}-1)*LEN(Registro!$E486)+1,LEN(Registro!$E486))),FIND("x",TRIM(MID(SUBSTITUTE(SUBSTITUTE(SUBSTITUTE(SUBSTITUTE(SUBSTITUTE(LOWER(Registro!$E486),"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",LEN(Registro!$E486))),({1,2,3,4,5,6,7,8,9,10,11,12,13,14,15,16,17,18,19,20,21,22,23,24,25,26,27,28,29,30}-1)*LEN(Registro!$E486)+1,LEN(Registro!$E486)))&amp;"x")+1,20))),"Revisar formato")))</f>
        <v/>
      </c>
      <c r="F486" s="23" t="str">
        <f>IF(Registro!$F486="","",IF(ISERROR(FIND("x",LOWER(Registro!$F486))),"-",IFERROR(SUMPRODUCT(--("0"&amp;LEFT(TRIM(MID(SUBSTITUTE(SUBSTITUTE(SUBSTITUTE(SUBSTITUTE(SUBSTITUTE(LOWER(Registro!$F486)," ",""),CHAR(10),"|"),";","|"),"+","|"),"|",REPT(" ",LEN(Registro!$F486))),({1,2,3,4,5,6,7,8,9,10,11,12,13,14,15,16,17,18,19,20,21,22,23,24,25,26,27,28,29,30}-1)*LEN(Registro!$F486)+1,LEN(Registro!$F486))),FIND("x",TRIM(MID(SUBSTITUTE(SUBSTITUTE(SUBSTITUTE(SUBSTITUTE(SUBSTITUTE(LOWER(Registro!$F486)," ",""),CHAR(10),"|"),";","|"),"+","|"),"|",REPT(" ",LEN(Registro!$F486))),({1,2,3,4,5,6,7,8,9,10,11,12,13,14,15,16,17,18,19,20,21,22,23,24,25,26,27,28,29,30}-1)*LEN(Registro!$F486)+1,LEN(Registro!$F486)))&amp;"x")-1))),"Revisar formato")))</f>
        <v/>
      </c>
      <c r="G486" s="24" t="str">
        <f>IF(Registro!$F486="","",IF(ISERROR(FIND("x",LOWER(Registro!$F486))),N(Registro!$G486),IFERROR(SUMPRODUCT(--("0"&amp;LEFT(TRIM(MID(SUBSTITUTE(SUBSTITUTE(SUBSTITUTE(SUBSTITUTE(SUBSTITUTE(LOWER(Registro!$F486)," ",""),CHAR(10),"|"),";","|"),"+","|"),"|",REPT(" ",LEN(Registro!$F486))),({1,2,3,4,5,6,7,8,9,10,11,12,13,14,15,16,17,18,19,20,21,22,23,24,25,26,27,28,29,30}-1)*LEN(Registro!$F486)+1,LEN(Registro!$F486))),FIND("x",TRIM(MID(SUBSTITUTE(SUBSTITUTE(SUBSTITUTE(SUBSTITUTE(SUBSTITUTE(LOWER(Registro!$F486)," ",""),CHAR(10),"|"),";","|"),"+","|"),"|",REPT(" ",LEN(Registro!$F486))),({1,2,3,4,5,6,7,8,9,10,11,12,13,14,15,16,17,18,19,20,21,22,23,24,25,26,27,28,29,30}-1)*LEN(Registro!$F486)+1,LEN(Registro!$F486)))&amp;"x")-1)),--("0"&amp;MID(TRIM(MID(SUBSTITUTE(SUBSTITUTE(SUBSTITUTE(SUBSTITUTE(SUBSTITUTE(LOWER(Registro!$F486)," ",""),CHAR(10),"|"),";","|"),"+","|"),"|",REPT(" ",LEN(Registro!$F486))),({1,2,3,4,5,6,7,8,9,10,11,12,13,14,15,16,17,18,19,20,21,22,23,24,25,26,27,28,29,30}-1)*LEN(Registro!$F486)+1,LEN(Registro!$F486))),FIND("x",TRIM(MID(SUBSTITUTE(SUBSTITUTE(SUBSTITUTE(SUBSTITUTE(SUBSTITUTE(LOWER(Registro!$F486)," ",""),CHAR(10),"|"),";","|"),"+","|"),"|",REPT(" ",LEN(Registro!$F486))),({1,2,3,4,5,6,7,8,9,10,11,12,13,14,15,16,17,18,19,20,21,22,23,24,25,26,27,28,29,30}-1)*LEN(Registro!$F486)+1,LEN(Registro!$F486)))&amp;"x")+1,20))),"Revisar formato")))</f>
        <v/>
      </c>
      <c r="H486" s="21" t="str">
        <f>IF(AND(Registro!$E486="",Registro!$F486=""),"",IF(NOT(AND(ISNUMBER(G486),ISNUMBER(Registro!$G486))),"",IF(G486&lt;Registro!$G486,"FALTA BOLETOS",IF(G486=Registro!$G486,"CONFORME","DIFERENCIA"))))</f>
        <v/>
      </c>
      <c r="I486" s="24" t="str">
        <f>IF(Registro!$H486="","",IFERROR(SUMPRODUCT(--("0"&amp;TRIM(RIGHT(SUBSTITUTE(TRIM(MID(SUBSTITUTE(SUBSTITUTE(Registro!$H486,";",CHAR(10)),CHAR(10),REPT(" ",LEN(Registro!$H486))),({1,2,3,4,5,6,7,8,9,10,11,12,13,14,15,16,17,18,19,20,21,22,23,24,25,26,27,28,29,30}-1)*LEN(Registro!$H486)+1,LEN(Registro!$H486)))," ",REPT(" ",50)),50)))),"Revisar formato"))</f>
        <v/>
      </c>
      <c r="J486" s="24" t="str">
        <f>IF(Registro!$I486="","",IFERROR(SUMPRODUCT(--("0"&amp;TRIM(RIGHT(SUBSTITUTE(TRIM(MID(SUBSTITUTE(SUBSTITUTE(Registro!$I486,";",CHAR(10)),CHAR(10),REPT(" ",LEN(Registro!$I486))),({1,2,3,4,5,6,7,8,9,10,11,12,13,14,15,16,17,18,19,20,21,22,23,24,25,26,27,28,29,30}-1)*LEN(Registro!$I486)+1,LEN(Registro!$I486)))," ",REPT(" ",50)),50)))),"Revisar formato"))</f>
        <v/>
      </c>
      <c r="K486" s="24" t="str">
        <f>IF(AND(Registro!$G486="",Registro!$H486=""),"",IF(AND(ISTEXT(I486),I486&lt;&gt;""),"Revisar formato",N(Registro!$G486)-N(I486)))</f>
        <v/>
      </c>
      <c r="L486" s="24" t="str">
        <f t="shared" si="15"/>
        <v/>
      </c>
      <c r="M486" s="36" t="str">
        <f>IF(AND(A486=Consulta!$B$3,C486=Consulta!$H$3),B486*10000+ROW(),"")</f>
        <v/>
      </c>
    </row>
    <row r="487" spans="1:13" x14ac:dyDescent="0.25">
      <c r="A487" s="21" t="str">
        <f>IF(Registro!$A487="","",Registro!$A487)</f>
        <v/>
      </c>
      <c r="B487" s="20" t="str">
        <f>IF(Registro!$B487="","",Registro!$B487)</f>
        <v/>
      </c>
      <c r="C487" s="35" t="str">
        <f t="shared" si="14"/>
        <v/>
      </c>
      <c r="D487" s="23" t="str">
        <f>IF(Registro!$E487="","",IF(ISERROR(FIND("x",LOWER(Registro!$E487))),"-",IFERROR(SUMPRODUCT(--("0"&amp;LEFT(TRIM(MID(SUBSTITUTE(SUBSTITUTE(SUBSTITUTE(SUBSTITUTE(SUBSTITUTE(LOWER(Registro!$E487),"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",LEN(Registro!$E487))),({1,2,3,4,5,6,7,8,9,10,11,12,13,14,15,16,17,18,19,20,21,22,23,24,25,26,27,28,29,30}-1)*LEN(Registro!$E487)+1,LEN(Registro!$E487))),FIND("x",TRIM(MID(SUBSTITUTE(SUBSTITUTE(SUBSTITUTE(SUBSTITUTE(SUBSTITUTE(LOWER(Registro!$E487),"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",LEN(Registro!$E487))),({1,2,3,4,5,6,7,8,9,10,11,12,13,14,15,16,17,18,19,20,21,22,23,24,25,26,27,28,29,30}-1)*LEN(Registro!$E487)+1,LEN(Registro!$E487)))&amp;"x")-1))),"Revisar formato")))</f>
        <v/>
      </c>
      <c r="E487" s="24" t="str">
        <f>IF(Registro!$E487="","",IF(ISERROR(FIND("x",LOWER(Registro!$E487))),"-",IFERROR(SUMPRODUCT(--("0"&amp;LEFT(TRIM(MID(SUBSTITUTE(SUBSTITUTE(SUBSTITUTE(SUBSTITUTE(SUBSTITUTE(LOWER(Registro!$E487),"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",LEN(Registro!$E487))),({1,2,3,4,5,6,7,8,9,10,11,12,13,14,15,16,17,18,19,20,21,22,23,24,25,26,27,28,29,30}-1)*LEN(Registro!$E487)+1,LEN(Registro!$E487))),FIND("x",TRIM(MID(SUBSTITUTE(SUBSTITUTE(SUBSTITUTE(SUBSTITUTE(SUBSTITUTE(LOWER(Registro!$E487),"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",LEN(Registro!$E487))),({1,2,3,4,5,6,7,8,9,10,11,12,13,14,15,16,17,18,19,20,21,22,23,24,25,26,27,28,29,30}-1)*LEN(Registro!$E487)+1,LEN(Registro!$E487)))&amp;"x")-1)),--("0"&amp;MID(TRIM(MID(SUBSTITUTE(SUBSTITUTE(SUBSTITUTE(SUBSTITUTE(SUBSTITUTE(LOWER(Registro!$E487),"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",LEN(Registro!$E487))),({1,2,3,4,5,6,7,8,9,10,11,12,13,14,15,16,17,18,19,20,21,22,23,24,25,26,27,28,29,30}-1)*LEN(Registro!$E487)+1,LEN(Registro!$E487))),FIND("x",TRIM(MID(SUBSTITUTE(SUBSTITUTE(SUBSTITUTE(SUBSTITUTE(SUBSTITUTE(LOWER(Registro!$E487),"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",LEN(Registro!$E487))),({1,2,3,4,5,6,7,8,9,10,11,12,13,14,15,16,17,18,19,20,21,22,23,24,25,26,27,28,29,30}-1)*LEN(Registro!$E487)+1,LEN(Registro!$E487)))&amp;"x")+1,20))),"Revisar formato")))</f>
        <v/>
      </c>
      <c r="F487" s="23" t="str">
        <f>IF(Registro!$F487="","",IF(ISERROR(FIND("x",LOWER(Registro!$F487))),"-",IFERROR(SUMPRODUCT(--("0"&amp;LEFT(TRIM(MID(SUBSTITUTE(SUBSTITUTE(SUBSTITUTE(SUBSTITUTE(SUBSTITUTE(LOWER(Registro!$F487)," ",""),CHAR(10),"|"),";","|"),"+","|"),"|",REPT(" ",LEN(Registro!$F487))),({1,2,3,4,5,6,7,8,9,10,11,12,13,14,15,16,17,18,19,20,21,22,23,24,25,26,27,28,29,30}-1)*LEN(Registro!$F487)+1,LEN(Registro!$F487))),FIND("x",TRIM(MID(SUBSTITUTE(SUBSTITUTE(SUBSTITUTE(SUBSTITUTE(SUBSTITUTE(LOWER(Registro!$F487)," ",""),CHAR(10),"|"),";","|"),"+","|"),"|",REPT(" ",LEN(Registro!$F487))),({1,2,3,4,5,6,7,8,9,10,11,12,13,14,15,16,17,18,19,20,21,22,23,24,25,26,27,28,29,30}-1)*LEN(Registro!$F487)+1,LEN(Registro!$F487)))&amp;"x")-1))),"Revisar formato")))</f>
        <v/>
      </c>
      <c r="G487" s="24" t="str">
        <f>IF(Registro!$F487="","",IF(ISERROR(FIND("x",LOWER(Registro!$F487))),N(Registro!$G487),IFERROR(SUMPRODUCT(--("0"&amp;LEFT(TRIM(MID(SUBSTITUTE(SUBSTITUTE(SUBSTITUTE(SUBSTITUTE(SUBSTITUTE(LOWER(Registro!$F487)," ",""),CHAR(10),"|"),";","|"),"+","|"),"|",REPT(" ",LEN(Registro!$F487))),({1,2,3,4,5,6,7,8,9,10,11,12,13,14,15,16,17,18,19,20,21,22,23,24,25,26,27,28,29,30}-1)*LEN(Registro!$F487)+1,LEN(Registro!$F487))),FIND("x",TRIM(MID(SUBSTITUTE(SUBSTITUTE(SUBSTITUTE(SUBSTITUTE(SUBSTITUTE(LOWER(Registro!$F487)," ",""),CHAR(10),"|"),";","|"),"+","|"),"|",REPT(" ",LEN(Registro!$F487))),({1,2,3,4,5,6,7,8,9,10,11,12,13,14,15,16,17,18,19,20,21,22,23,24,25,26,27,28,29,30}-1)*LEN(Registro!$F487)+1,LEN(Registro!$F487)))&amp;"x")-1)),--("0"&amp;MID(TRIM(MID(SUBSTITUTE(SUBSTITUTE(SUBSTITUTE(SUBSTITUTE(SUBSTITUTE(LOWER(Registro!$F487)," ",""),CHAR(10),"|"),";","|"),"+","|"),"|",REPT(" ",LEN(Registro!$F487))),({1,2,3,4,5,6,7,8,9,10,11,12,13,14,15,16,17,18,19,20,21,22,23,24,25,26,27,28,29,30}-1)*LEN(Registro!$F487)+1,LEN(Registro!$F487))),FIND("x",TRIM(MID(SUBSTITUTE(SUBSTITUTE(SUBSTITUTE(SUBSTITUTE(SUBSTITUTE(LOWER(Registro!$F487)," ",""),CHAR(10),"|"),";","|"),"+","|"),"|",REPT(" ",LEN(Registro!$F487))),({1,2,3,4,5,6,7,8,9,10,11,12,13,14,15,16,17,18,19,20,21,22,23,24,25,26,27,28,29,30}-1)*LEN(Registro!$F487)+1,LEN(Registro!$F487)))&amp;"x")+1,20))),"Revisar formato")))</f>
        <v/>
      </c>
      <c r="H487" s="21" t="str">
        <f>IF(AND(Registro!$E487="",Registro!$F487=""),"",IF(NOT(AND(ISNUMBER(G487),ISNUMBER(Registro!$G487))),"",IF(G487&lt;Registro!$G487,"FALTA BOLETOS",IF(G487=Registro!$G487,"CONFORME","DIFERENCIA"))))</f>
        <v/>
      </c>
      <c r="I487" s="24" t="str">
        <f>IF(Registro!$H487="","",IFERROR(SUMPRODUCT(--("0"&amp;TRIM(RIGHT(SUBSTITUTE(TRIM(MID(SUBSTITUTE(SUBSTITUTE(Registro!$H487,";",CHAR(10)),CHAR(10),REPT(" ",LEN(Registro!$H487))),({1,2,3,4,5,6,7,8,9,10,11,12,13,14,15,16,17,18,19,20,21,22,23,24,25,26,27,28,29,30}-1)*LEN(Registro!$H487)+1,LEN(Registro!$H487)))," ",REPT(" ",50)),50)))),"Revisar formato"))</f>
        <v/>
      </c>
      <c r="J487" s="24" t="str">
        <f>IF(Registro!$I487="","",IFERROR(SUMPRODUCT(--("0"&amp;TRIM(RIGHT(SUBSTITUTE(TRIM(MID(SUBSTITUTE(SUBSTITUTE(Registro!$I487,";",CHAR(10)),CHAR(10),REPT(" ",LEN(Registro!$I487))),({1,2,3,4,5,6,7,8,9,10,11,12,13,14,15,16,17,18,19,20,21,22,23,24,25,26,27,28,29,30}-1)*LEN(Registro!$I487)+1,LEN(Registro!$I487)))," ",REPT(" ",50)),50)))),"Revisar formato"))</f>
        <v/>
      </c>
      <c r="K487" s="24" t="str">
        <f>IF(AND(Registro!$G487="",Registro!$H487=""),"",IF(AND(ISTEXT(I487),I487&lt;&gt;""),"Revisar formato",N(Registro!$G487)-N(I487)))</f>
        <v/>
      </c>
      <c r="L487" s="24" t="str">
        <f t="shared" si="15"/>
        <v/>
      </c>
      <c r="M487" s="36" t="str">
        <f>IF(AND(A487=Consulta!$B$3,C487=Consulta!$H$3),B487*10000+ROW(),"")</f>
        <v/>
      </c>
    </row>
    <row r="488" spans="1:13" x14ac:dyDescent="0.25">
      <c r="A488" s="21" t="str">
        <f>IF(Registro!$A488="","",Registro!$A488)</f>
        <v/>
      </c>
      <c r="B488" s="20" t="str">
        <f>IF(Registro!$B488="","",Registro!$B488)</f>
        <v/>
      </c>
      <c r="C488" s="35" t="str">
        <f t="shared" si="14"/>
        <v/>
      </c>
      <c r="D488" s="23" t="str">
        <f>IF(Registro!$E488="","",IF(ISERROR(FIND("x",LOWER(Registro!$E488))),"-",IFERROR(SUMPRODUCT(--("0"&amp;LEFT(TRIM(MID(SUBSTITUTE(SUBSTITUTE(SUBSTITUTE(SUBSTITUTE(SUBSTITUTE(LOWER(Registro!$E488),"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",LEN(Registro!$E488))),({1,2,3,4,5,6,7,8,9,10,11,12,13,14,15,16,17,18,19,20,21,22,23,24,25,26,27,28,29,30}-1)*LEN(Registro!$E488)+1,LEN(Registro!$E488))),FIND("x",TRIM(MID(SUBSTITUTE(SUBSTITUTE(SUBSTITUTE(SUBSTITUTE(SUBSTITUTE(LOWER(Registro!$E488),"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",LEN(Registro!$E488))),({1,2,3,4,5,6,7,8,9,10,11,12,13,14,15,16,17,18,19,20,21,22,23,24,25,26,27,28,29,30}-1)*LEN(Registro!$E488)+1,LEN(Registro!$E488)))&amp;"x")-1))),"Revisar formato")))</f>
        <v/>
      </c>
      <c r="E488" s="24" t="str">
        <f>IF(Registro!$E488="","",IF(ISERROR(FIND("x",LOWER(Registro!$E488))),"-",IFERROR(SUMPRODUCT(--("0"&amp;LEFT(TRIM(MID(SUBSTITUTE(SUBSTITUTE(SUBSTITUTE(SUBSTITUTE(SUBSTITUTE(LOWER(Registro!$E488),"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",LEN(Registro!$E488))),({1,2,3,4,5,6,7,8,9,10,11,12,13,14,15,16,17,18,19,20,21,22,23,24,25,26,27,28,29,30}-1)*LEN(Registro!$E488)+1,LEN(Registro!$E488))),FIND("x",TRIM(MID(SUBSTITUTE(SUBSTITUTE(SUBSTITUTE(SUBSTITUTE(SUBSTITUTE(LOWER(Registro!$E488),"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",LEN(Registro!$E488))),({1,2,3,4,5,6,7,8,9,10,11,12,13,14,15,16,17,18,19,20,21,22,23,24,25,26,27,28,29,30}-1)*LEN(Registro!$E488)+1,LEN(Registro!$E488)))&amp;"x")-1)),--("0"&amp;MID(TRIM(MID(SUBSTITUTE(SUBSTITUTE(SUBSTITUTE(SUBSTITUTE(SUBSTITUTE(LOWER(Registro!$E488),"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",LEN(Registro!$E488))),({1,2,3,4,5,6,7,8,9,10,11,12,13,14,15,16,17,18,19,20,21,22,23,24,25,26,27,28,29,30}-1)*LEN(Registro!$E488)+1,LEN(Registro!$E488))),FIND("x",TRIM(MID(SUBSTITUTE(SUBSTITUTE(SUBSTITUTE(SUBSTITUTE(SUBSTITUTE(LOWER(Registro!$E488),"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",LEN(Registro!$E488))),({1,2,3,4,5,6,7,8,9,10,11,12,13,14,15,16,17,18,19,20,21,22,23,24,25,26,27,28,29,30}-1)*LEN(Registro!$E488)+1,LEN(Registro!$E488)))&amp;"x")+1,20))),"Revisar formato")))</f>
        <v/>
      </c>
      <c r="F488" s="23" t="str">
        <f>IF(Registro!$F488="","",IF(ISERROR(FIND("x",LOWER(Registro!$F488))),"-",IFERROR(SUMPRODUCT(--("0"&amp;LEFT(TRIM(MID(SUBSTITUTE(SUBSTITUTE(SUBSTITUTE(SUBSTITUTE(SUBSTITUTE(LOWER(Registro!$F488)," ",""),CHAR(10),"|"),";","|"),"+","|"),"|",REPT(" ",LEN(Registro!$F488))),({1,2,3,4,5,6,7,8,9,10,11,12,13,14,15,16,17,18,19,20,21,22,23,24,25,26,27,28,29,30}-1)*LEN(Registro!$F488)+1,LEN(Registro!$F488))),FIND("x",TRIM(MID(SUBSTITUTE(SUBSTITUTE(SUBSTITUTE(SUBSTITUTE(SUBSTITUTE(LOWER(Registro!$F488)," ",""),CHAR(10),"|"),";","|"),"+","|"),"|",REPT(" ",LEN(Registro!$F488))),({1,2,3,4,5,6,7,8,9,10,11,12,13,14,15,16,17,18,19,20,21,22,23,24,25,26,27,28,29,30}-1)*LEN(Registro!$F488)+1,LEN(Registro!$F488)))&amp;"x")-1))),"Revisar formato")))</f>
        <v/>
      </c>
      <c r="G488" s="24" t="str">
        <f>IF(Registro!$F488="","",IF(ISERROR(FIND("x",LOWER(Registro!$F488))),N(Registro!$G488),IFERROR(SUMPRODUCT(--("0"&amp;LEFT(TRIM(MID(SUBSTITUTE(SUBSTITUTE(SUBSTITUTE(SUBSTITUTE(SUBSTITUTE(LOWER(Registro!$F488)," ",""),CHAR(10),"|"),";","|"),"+","|"),"|",REPT(" ",LEN(Registro!$F488))),({1,2,3,4,5,6,7,8,9,10,11,12,13,14,15,16,17,18,19,20,21,22,23,24,25,26,27,28,29,30}-1)*LEN(Registro!$F488)+1,LEN(Registro!$F488))),FIND("x",TRIM(MID(SUBSTITUTE(SUBSTITUTE(SUBSTITUTE(SUBSTITUTE(SUBSTITUTE(LOWER(Registro!$F488)," ",""),CHAR(10),"|"),";","|"),"+","|"),"|",REPT(" ",LEN(Registro!$F488))),({1,2,3,4,5,6,7,8,9,10,11,12,13,14,15,16,17,18,19,20,21,22,23,24,25,26,27,28,29,30}-1)*LEN(Registro!$F488)+1,LEN(Registro!$F488)))&amp;"x")-1)),--("0"&amp;MID(TRIM(MID(SUBSTITUTE(SUBSTITUTE(SUBSTITUTE(SUBSTITUTE(SUBSTITUTE(LOWER(Registro!$F488)," ",""),CHAR(10),"|"),";","|"),"+","|"),"|",REPT(" ",LEN(Registro!$F488))),({1,2,3,4,5,6,7,8,9,10,11,12,13,14,15,16,17,18,19,20,21,22,23,24,25,26,27,28,29,30}-1)*LEN(Registro!$F488)+1,LEN(Registro!$F488))),FIND("x",TRIM(MID(SUBSTITUTE(SUBSTITUTE(SUBSTITUTE(SUBSTITUTE(SUBSTITUTE(LOWER(Registro!$F488)," ",""),CHAR(10),"|"),";","|"),"+","|"),"|",REPT(" ",LEN(Registro!$F488))),({1,2,3,4,5,6,7,8,9,10,11,12,13,14,15,16,17,18,19,20,21,22,23,24,25,26,27,28,29,30}-1)*LEN(Registro!$F488)+1,LEN(Registro!$F488)))&amp;"x")+1,20))),"Revisar formato")))</f>
        <v/>
      </c>
      <c r="H488" s="21" t="str">
        <f>IF(AND(Registro!$E488="",Registro!$F488=""),"",IF(NOT(AND(ISNUMBER(G488),ISNUMBER(Registro!$G488))),"",IF(G488&lt;Registro!$G488,"FALTA BOLETOS",IF(G488=Registro!$G488,"CONFORME","DIFERENCIA"))))</f>
        <v/>
      </c>
      <c r="I488" s="24" t="str">
        <f>IF(Registro!$H488="","",IFERROR(SUMPRODUCT(--("0"&amp;TRIM(RIGHT(SUBSTITUTE(TRIM(MID(SUBSTITUTE(SUBSTITUTE(Registro!$H488,";",CHAR(10)),CHAR(10),REPT(" ",LEN(Registro!$H488))),({1,2,3,4,5,6,7,8,9,10,11,12,13,14,15,16,17,18,19,20,21,22,23,24,25,26,27,28,29,30}-1)*LEN(Registro!$H488)+1,LEN(Registro!$H488)))," ",REPT(" ",50)),50)))),"Revisar formato"))</f>
        <v/>
      </c>
      <c r="J488" s="24" t="str">
        <f>IF(Registro!$I488="","",IFERROR(SUMPRODUCT(--("0"&amp;TRIM(RIGHT(SUBSTITUTE(TRIM(MID(SUBSTITUTE(SUBSTITUTE(Registro!$I488,";",CHAR(10)),CHAR(10),REPT(" ",LEN(Registro!$I488))),({1,2,3,4,5,6,7,8,9,10,11,12,13,14,15,16,17,18,19,20,21,22,23,24,25,26,27,28,29,30}-1)*LEN(Registro!$I488)+1,LEN(Registro!$I488)))," ",REPT(" ",50)),50)))),"Revisar formato"))</f>
        <v/>
      </c>
      <c r="K488" s="24" t="str">
        <f>IF(AND(Registro!$G488="",Registro!$H488=""),"",IF(AND(ISTEXT(I488),I488&lt;&gt;""),"Revisar formato",N(Registro!$G488)-N(I488)))</f>
        <v/>
      </c>
      <c r="L488" s="24" t="str">
        <f t="shared" si="15"/>
        <v/>
      </c>
      <c r="M488" s="36" t="str">
        <f>IF(AND(A488=Consulta!$B$3,C488=Consulta!$H$3),B488*10000+ROW(),"")</f>
        <v/>
      </c>
    </row>
    <row r="489" spans="1:13" x14ac:dyDescent="0.25">
      <c r="A489" s="21" t="str">
        <f>IF(Registro!$A489="","",Registro!$A489)</f>
        <v/>
      </c>
      <c r="B489" s="20" t="str">
        <f>IF(Registro!$B489="","",Registro!$B489)</f>
        <v/>
      </c>
      <c r="C489" s="35" t="str">
        <f t="shared" si="14"/>
        <v/>
      </c>
      <c r="D489" s="23" t="str">
        <f>IF(Registro!$E489="","",IF(ISERROR(FIND("x",LOWER(Registro!$E489))),"-",IFERROR(SUMPRODUCT(--("0"&amp;LEFT(TRIM(MID(SUBSTITUTE(SUBSTITUTE(SUBSTITUTE(SUBSTITUTE(SUBSTITUTE(LOWER(Registro!$E489),"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",LEN(Registro!$E489))),({1,2,3,4,5,6,7,8,9,10,11,12,13,14,15,16,17,18,19,20,21,22,23,24,25,26,27,28,29,30}-1)*LEN(Registro!$E489)+1,LEN(Registro!$E489))),FIND("x",TRIM(MID(SUBSTITUTE(SUBSTITUTE(SUBSTITUTE(SUBSTITUTE(SUBSTITUTE(LOWER(Registro!$E489),"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",LEN(Registro!$E489))),({1,2,3,4,5,6,7,8,9,10,11,12,13,14,15,16,17,18,19,20,21,22,23,24,25,26,27,28,29,30}-1)*LEN(Registro!$E489)+1,LEN(Registro!$E489)))&amp;"x")-1))),"Revisar formato")))</f>
        <v/>
      </c>
      <c r="E489" s="24" t="str">
        <f>IF(Registro!$E489="","",IF(ISERROR(FIND("x",LOWER(Registro!$E489))),"-",IFERROR(SUMPRODUCT(--("0"&amp;LEFT(TRIM(MID(SUBSTITUTE(SUBSTITUTE(SUBSTITUTE(SUBSTITUTE(SUBSTITUTE(LOWER(Registro!$E489),"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",LEN(Registro!$E489))),({1,2,3,4,5,6,7,8,9,10,11,12,13,14,15,16,17,18,19,20,21,22,23,24,25,26,27,28,29,30}-1)*LEN(Registro!$E489)+1,LEN(Registro!$E489))),FIND("x",TRIM(MID(SUBSTITUTE(SUBSTITUTE(SUBSTITUTE(SUBSTITUTE(SUBSTITUTE(LOWER(Registro!$E489),"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",LEN(Registro!$E489))),({1,2,3,4,5,6,7,8,9,10,11,12,13,14,15,16,17,18,19,20,21,22,23,24,25,26,27,28,29,30}-1)*LEN(Registro!$E489)+1,LEN(Registro!$E489)))&amp;"x")-1)),--("0"&amp;MID(TRIM(MID(SUBSTITUTE(SUBSTITUTE(SUBSTITUTE(SUBSTITUTE(SUBSTITUTE(LOWER(Registro!$E489),"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",LEN(Registro!$E489))),({1,2,3,4,5,6,7,8,9,10,11,12,13,14,15,16,17,18,19,20,21,22,23,24,25,26,27,28,29,30}-1)*LEN(Registro!$E489)+1,LEN(Registro!$E489))),FIND("x",TRIM(MID(SUBSTITUTE(SUBSTITUTE(SUBSTITUTE(SUBSTITUTE(SUBSTITUTE(LOWER(Registro!$E489),"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",LEN(Registro!$E489))),({1,2,3,4,5,6,7,8,9,10,11,12,13,14,15,16,17,18,19,20,21,22,23,24,25,26,27,28,29,30}-1)*LEN(Registro!$E489)+1,LEN(Registro!$E489)))&amp;"x")+1,20))),"Revisar formato")))</f>
        <v/>
      </c>
      <c r="F489" s="23" t="str">
        <f>IF(Registro!$F489="","",IF(ISERROR(FIND("x",LOWER(Registro!$F489))),"-",IFERROR(SUMPRODUCT(--("0"&amp;LEFT(TRIM(MID(SUBSTITUTE(SUBSTITUTE(SUBSTITUTE(SUBSTITUTE(SUBSTITUTE(LOWER(Registro!$F489)," ",""),CHAR(10),"|"),";","|"),"+","|"),"|",REPT(" ",LEN(Registro!$F489))),({1,2,3,4,5,6,7,8,9,10,11,12,13,14,15,16,17,18,19,20,21,22,23,24,25,26,27,28,29,30}-1)*LEN(Registro!$F489)+1,LEN(Registro!$F489))),FIND("x",TRIM(MID(SUBSTITUTE(SUBSTITUTE(SUBSTITUTE(SUBSTITUTE(SUBSTITUTE(LOWER(Registro!$F489)," ",""),CHAR(10),"|"),";","|"),"+","|"),"|",REPT(" ",LEN(Registro!$F489))),({1,2,3,4,5,6,7,8,9,10,11,12,13,14,15,16,17,18,19,20,21,22,23,24,25,26,27,28,29,30}-1)*LEN(Registro!$F489)+1,LEN(Registro!$F489)))&amp;"x")-1))),"Revisar formato")))</f>
        <v/>
      </c>
      <c r="G489" s="24" t="str">
        <f>IF(Registro!$F489="","",IF(ISERROR(FIND("x",LOWER(Registro!$F489))),N(Registro!$G489),IFERROR(SUMPRODUCT(--("0"&amp;LEFT(TRIM(MID(SUBSTITUTE(SUBSTITUTE(SUBSTITUTE(SUBSTITUTE(SUBSTITUTE(LOWER(Registro!$F489)," ",""),CHAR(10),"|"),";","|"),"+","|"),"|",REPT(" ",LEN(Registro!$F489))),({1,2,3,4,5,6,7,8,9,10,11,12,13,14,15,16,17,18,19,20,21,22,23,24,25,26,27,28,29,30}-1)*LEN(Registro!$F489)+1,LEN(Registro!$F489))),FIND("x",TRIM(MID(SUBSTITUTE(SUBSTITUTE(SUBSTITUTE(SUBSTITUTE(SUBSTITUTE(LOWER(Registro!$F489)," ",""),CHAR(10),"|"),";","|"),"+","|"),"|",REPT(" ",LEN(Registro!$F489))),({1,2,3,4,5,6,7,8,9,10,11,12,13,14,15,16,17,18,19,20,21,22,23,24,25,26,27,28,29,30}-1)*LEN(Registro!$F489)+1,LEN(Registro!$F489)))&amp;"x")-1)),--("0"&amp;MID(TRIM(MID(SUBSTITUTE(SUBSTITUTE(SUBSTITUTE(SUBSTITUTE(SUBSTITUTE(LOWER(Registro!$F489)," ",""),CHAR(10),"|"),";","|"),"+","|"),"|",REPT(" ",LEN(Registro!$F489))),({1,2,3,4,5,6,7,8,9,10,11,12,13,14,15,16,17,18,19,20,21,22,23,24,25,26,27,28,29,30}-1)*LEN(Registro!$F489)+1,LEN(Registro!$F489))),FIND("x",TRIM(MID(SUBSTITUTE(SUBSTITUTE(SUBSTITUTE(SUBSTITUTE(SUBSTITUTE(LOWER(Registro!$F489)," ",""),CHAR(10),"|"),";","|"),"+","|"),"|",REPT(" ",LEN(Registro!$F489))),({1,2,3,4,5,6,7,8,9,10,11,12,13,14,15,16,17,18,19,20,21,22,23,24,25,26,27,28,29,30}-1)*LEN(Registro!$F489)+1,LEN(Registro!$F489)))&amp;"x")+1,20))),"Revisar formato")))</f>
        <v/>
      </c>
      <c r="H489" s="21" t="str">
        <f>IF(AND(Registro!$E489="",Registro!$F489=""),"",IF(NOT(AND(ISNUMBER(G489),ISNUMBER(Registro!$G489))),"",IF(G489&lt;Registro!$G489,"FALTA BOLETOS",IF(G489=Registro!$G489,"CONFORME","DIFERENCIA"))))</f>
        <v/>
      </c>
      <c r="I489" s="24" t="str">
        <f>IF(Registro!$H489="","",IFERROR(SUMPRODUCT(--("0"&amp;TRIM(RIGHT(SUBSTITUTE(TRIM(MID(SUBSTITUTE(SUBSTITUTE(Registro!$H489,";",CHAR(10)),CHAR(10),REPT(" ",LEN(Registro!$H489))),({1,2,3,4,5,6,7,8,9,10,11,12,13,14,15,16,17,18,19,20,21,22,23,24,25,26,27,28,29,30}-1)*LEN(Registro!$H489)+1,LEN(Registro!$H489)))," ",REPT(" ",50)),50)))),"Revisar formato"))</f>
        <v/>
      </c>
      <c r="J489" s="24" t="str">
        <f>IF(Registro!$I489="","",IFERROR(SUMPRODUCT(--("0"&amp;TRIM(RIGHT(SUBSTITUTE(TRIM(MID(SUBSTITUTE(SUBSTITUTE(Registro!$I489,";",CHAR(10)),CHAR(10),REPT(" ",LEN(Registro!$I489))),({1,2,3,4,5,6,7,8,9,10,11,12,13,14,15,16,17,18,19,20,21,22,23,24,25,26,27,28,29,30}-1)*LEN(Registro!$I489)+1,LEN(Registro!$I489)))," ",REPT(" ",50)),50)))),"Revisar formato"))</f>
        <v/>
      </c>
      <c r="K489" s="24" t="str">
        <f>IF(AND(Registro!$G489="",Registro!$H489=""),"",IF(AND(ISTEXT(I489),I489&lt;&gt;""),"Revisar formato",N(Registro!$G489)-N(I489)))</f>
        <v/>
      </c>
      <c r="L489" s="24" t="str">
        <f t="shared" si="15"/>
        <v/>
      </c>
      <c r="M489" s="36" t="str">
        <f>IF(AND(A489=Consulta!$B$3,C489=Consulta!$H$3),B489*10000+ROW(),"")</f>
        <v/>
      </c>
    </row>
    <row r="490" spans="1:13" x14ac:dyDescent="0.25">
      <c r="A490" s="21" t="str">
        <f>IF(Registro!$A490="","",Registro!$A490)</f>
        <v/>
      </c>
      <c r="B490" s="20" t="str">
        <f>IF(Registro!$B490="","",Registro!$B490)</f>
        <v/>
      </c>
      <c r="C490" s="35" t="str">
        <f t="shared" si="14"/>
        <v/>
      </c>
      <c r="D490" s="23" t="str">
        <f>IF(Registro!$E490="","",IF(ISERROR(FIND("x",LOWER(Registro!$E490))),"-",IFERROR(SUMPRODUCT(--("0"&amp;LEFT(TRIM(MID(SUBSTITUTE(SUBSTITUTE(SUBSTITUTE(SUBSTITUTE(SUBSTITUTE(LOWER(Registro!$E490),"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",LEN(Registro!$E490))),({1,2,3,4,5,6,7,8,9,10,11,12,13,14,15,16,17,18,19,20,21,22,23,24,25,26,27,28,29,30}-1)*LEN(Registro!$E490)+1,LEN(Registro!$E490))),FIND("x",TRIM(MID(SUBSTITUTE(SUBSTITUTE(SUBSTITUTE(SUBSTITUTE(SUBSTITUTE(LOWER(Registro!$E490),"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",LEN(Registro!$E490))),({1,2,3,4,5,6,7,8,9,10,11,12,13,14,15,16,17,18,19,20,21,22,23,24,25,26,27,28,29,30}-1)*LEN(Registro!$E490)+1,LEN(Registro!$E490)))&amp;"x")-1))),"Revisar formato")))</f>
        <v/>
      </c>
      <c r="E490" s="24" t="str">
        <f>IF(Registro!$E490="","",IF(ISERROR(FIND("x",LOWER(Registro!$E490))),"-",IFERROR(SUMPRODUCT(--("0"&amp;LEFT(TRIM(MID(SUBSTITUTE(SUBSTITUTE(SUBSTITUTE(SUBSTITUTE(SUBSTITUTE(LOWER(Registro!$E490),"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",LEN(Registro!$E490))),({1,2,3,4,5,6,7,8,9,10,11,12,13,14,15,16,17,18,19,20,21,22,23,24,25,26,27,28,29,30}-1)*LEN(Registro!$E490)+1,LEN(Registro!$E490))),FIND("x",TRIM(MID(SUBSTITUTE(SUBSTITUTE(SUBSTITUTE(SUBSTITUTE(SUBSTITUTE(LOWER(Registro!$E490),"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",LEN(Registro!$E490))),({1,2,3,4,5,6,7,8,9,10,11,12,13,14,15,16,17,18,19,20,21,22,23,24,25,26,27,28,29,30}-1)*LEN(Registro!$E490)+1,LEN(Registro!$E490)))&amp;"x")-1)),--("0"&amp;MID(TRIM(MID(SUBSTITUTE(SUBSTITUTE(SUBSTITUTE(SUBSTITUTE(SUBSTITUTE(LOWER(Registro!$E490),"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",LEN(Registro!$E490))),({1,2,3,4,5,6,7,8,9,10,11,12,13,14,15,16,17,18,19,20,21,22,23,24,25,26,27,28,29,30}-1)*LEN(Registro!$E490)+1,LEN(Registro!$E490))),FIND("x",TRIM(MID(SUBSTITUTE(SUBSTITUTE(SUBSTITUTE(SUBSTITUTE(SUBSTITUTE(LOWER(Registro!$E490),"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",LEN(Registro!$E490))),({1,2,3,4,5,6,7,8,9,10,11,12,13,14,15,16,17,18,19,20,21,22,23,24,25,26,27,28,29,30}-1)*LEN(Registro!$E490)+1,LEN(Registro!$E490)))&amp;"x")+1,20))),"Revisar formato")))</f>
        <v/>
      </c>
      <c r="F490" s="23" t="str">
        <f>IF(Registro!$F490="","",IF(ISERROR(FIND("x",LOWER(Registro!$F490))),"-",IFERROR(SUMPRODUCT(--("0"&amp;LEFT(TRIM(MID(SUBSTITUTE(SUBSTITUTE(SUBSTITUTE(SUBSTITUTE(SUBSTITUTE(LOWER(Registro!$F490)," ",""),CHAR(10),"|"),";","|"),"+","|"),"|",REPT(" ",LEN(Registro!$F490))),({1,2,3,4,5,6,7,8,9,10,11,12,13,14,15,16,17,18,19,20,21,22,23,24,25,26,27,28,29,30}-1)*LEN(Registro!$F490)+1,LEN(Registro!$F490))),FIND("x",TRIM(MID(SUBSTITUTE(SUBSTITUTE(SUBSTITUTE(SUBSTITUTE(SUBSTITUTE(LOWER(Registro!$F490)," ",""),CHAR(10),"|"),";","|"),"+","|"),"|",REPT(" ",LEN(Registro!$F490))),({1,2,3,4,5,6,7,8,9,10,11,12,13,14,15,16,17,18,19,20,21,22,23,24,25,26,27,28,29,30}-1)*LEN(Registro!$F490)+1,LEN(Registro!$F490)))&amp;"x")-1))),"Revisar formato")))</f>
        <v/>
      </c>
      <c r="G490" s="24" t="str">
        <f>IF(Registro!$F490="","",IF(ISERROR(FIND("x",LOWER(Registro!$F490))),N(Registro!$G490),IFERROR(SUMPRODUCT(--("0"&amp;LEFT(TRIM(MID(SUBSTITUTE(SUBSTITUTE(SUBSTITUTE(SUBSTITUTE(SUBSTITUTE(LOWER(Registro!$F490)," ",""),CHAR(10),"|"),";","|"),"+","|"),"|",REPT(" ",LEN(Registro!$F490))),({1,2,3,4,5,6,7,8,9,10,11,12,13,14,15,16,17,18,19,20,21,22,23,24,25,26,27,28,29,30}-1)*LEN(Registro!$F490)+1,LEN(Registro!$F490))),FIND("x",TRIM(MID(SUBSTITUTE(SUBSTITUTE(SUBSTITUTE(SUBSTITUTE(SUBSTITUTE(LOWER(Registro!$F490)," ",""),CHAR(10),"|"),";","|"),"+","|"),"|",REPT(" ",LEN(Registro!$F490))),({1,2,3,4,5,6,7,8,9,10,11,12,13,14,15,16,17,18,19,20,21,22,23,24,25,26,27,28,29,30}-1)*LEN(Registro!$F490)+1,LEN(Registro!$F490)))&amp;"x")-1)),--("0"&amp;MID(TRIM(MID(SUBSTITUTE(SUBSTITUTE(SUBSTITUTE(SUBSTITUTE(SUBSTITUTE(LOWER(Registro!$F490)," ",""),CHAR(10),"|"),";","|"),"+","|"),"|",REPT(" ",LEN(Registro!$F490))),({1,2,3,4,5,6,7,8,9,10,11,12,13,14,15,16,17,18,19,20,21,22,23,24,25,26,27,28,29,30}-1)*LEN(Registro!$F490)+1,LEN(Registro!$F490))),FIND("x",TRIM(MID(SUBSTITUTE(SUBSTITUTE(SUBSTITUTE(SUBSTITUTE(SUBSTITUTE(LOWER(Registro!$F490)," ",""),CHAR(10),"|"),";","|"),"+","|"),"|",REPT(" ",LEN(Registro!$F490))),({1,2,3,4,5,6,7,8,9,10,11,12,13,14,15,16,17,18,19,20,21,22,23,24,25,26,27,28,29,30}-1)*LEN(Registro!$F490)+1,LEN(Registro!$F490)))&amp;"x")+1,20))),"Revisar formato")))</f>
        <v/>
      </c>
      <c r="H490" s="21" t="str">
        <f>IF(AND(Registro!$E490="",Registro!$F490=""),"",IF(NOT(AND(ISNUMBER(G490),ISNUMBER(Registro!$G490))),"",IF(G490&lt;Registro!$G490,"FALTA BOLETOS",IF(G490=Registro!$G490,"CONFORME","DIFERENCIA"))))</f>
        <v/>
      </c>
      <c r="I490" s="24" t="str">
        <f>IF(Registro!$H490="","",IFERROR(SUMPRODUCT(--("0"&amp;TRIM(RIGHT(SUBSTITUTE(TRIM(MID(SUBSTITUTE(SUBSTITUTE(Registro!$H490,";",CHAR(10)),CHAR(10),REPT(" ",LEN(Registro!$H490))),({1,2,3,4,5,6,7,8,9,10,11,12,13,14,15,16,17,18,19,20,21,22,23,24,25,26,27,28,29,30}-1)*LEN(Registro!$H490)+1,LEN(Registro!$H490)))," ",REPT(" ",50)),50)))),"Revisar formato"))</f>
        <v/>
      </c>
      <c r="J490" s="24" t="str">
        <f>IF(Registro!$I490="","",IFERROR(SUMPRODUCT(--("0"&amp;TRIM(RIGHT(SUBSTITUTE(TRIM(MID(SUBSTITUTE(SUBSTITUTE(Registro!$I490,";",CHAR(10)),CHAR(10),REPT(" ",LEN(Registro!$I490))),({1,2,3,4,5,6,7,8,9,10,11,12,13,14,15,16,17,18,19,20,21,22,23,24,25,26,27,28,29,30}-1)*LEN(Registro!$I490)+1,LEN(Registro!$I490)))," ",REPT(" ",50)),50)))),"Revisar formato"))</f>
        <v/>
      </c>
      <c r="K490" s="24" t="str">
        <f>IF(AND(Registro!$G490="",Registro!$H490=""),"",IF(AND(ISTEXT(I490),I490&lt;&gt;""),"Revisar formato",N(Registro!$G490)-N(I490)))</f>
        <v/>
      </c>
      <c r="L490" s="24" t="str">
        <f t="shared" si="15"/>
        <v/>
      </c>
      <c r="M490" s="36" t="str">
        <f>IF(AND(A490=Consulta!$B$3,C490=Consulta!$H$3),B490*10000+ROW(),"")</f>
        <v/>
      </c>
    </row>
    <row r="491" spans="1:13" x14ac:dyDescent="0.25">
      <c r="A491" s="21" t="str">
        <f>IF(Registro!$A491="","",Registro!$A491)</f>
        <v/>
      </c>
      <c r="B491" s="20" t="str">
        <f>IF(Registro!$B491="","",Registro!$B491)</f>
        <v/>
      </c>
      <c r="C491" s="35" t="str">
        <f t="shared" si="14"/>
        <v/>
      </c>
      <c r="D491" s="23" t="str">
        <f>IF(Registro!$E491="","",IF(ISERROR(FIND("x",LOWER(Registro!$E491))),"-",IFERROR(SUMPRODUCT(--("0"&amp;LEFT(TRIM(MID(SUBSTITUTE(SUBSTITUTE(SUBSTITUTE(SUBSTITUTE(SUBSTITUTE(LOWER(Registro!$E491),"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",LEN(Registro!$E491))),({1,2,3,4,5,6,7,8,9,10,11,12,13,14,15,16,17,18,19,20,21,22,23,24,25,26,27,28,29,30}-1)*LEN(Registro!$E491)+1,LEN(Registro!$E491))),FIND("x",TRIM(MID(SUBSTITUTE(SUBSTITUTE(SUBSTITUTE(SUBSTITUTE(SUBSTITUTE(LOWER(Registro!$E491),"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",LEN(Registro!$E491))),({1,2,3,4,5,6,7,8,9,10,11,12,13,14,15,16,17,18,19,20,21,22,23,24,25,26,27,28,29,30}-1)*LEN(Registro!$E491)+1,LEN(Registro!$E491)))&amp;"x")-1))),"Revisar formato")))</f>
        <v/>
      </c>
      <c r="E491" s="24" t="str">
        <f>IF(Registro!$E491="","",IF(ISERROR(FIND("x",LOWER(Registro!$E491))),"-",IFERROR(SUMPRODUCT(--("0"&amp;LEFT(TRIM(MID(SUBSTITUTE(SUBSTITUTE(SUBSTITUTE(SUBSTITUTE(SUBSTITUTE(LOWER(Registro!$E491),"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",LEN(Registro!$E491))),({1,2,3,4,5,6,7,8,9,10,11,12,13,14,15,16,17,18,19,20,21,22,23,24,25,26,27,28,29,30}-1)*LEN(Registro!$E491)+1,LEN(Registro!$E491))),FIND("x",TRIM(MID(SUBSTITUTE(SUBSTITUTE(SUBSTITUTE(SUBSTITUTE(SUBSTITUTE(LOWER(Registro!$E491),"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",LEN(Registro!$E491))),({1,2,3,4,5,6,7,8,9,10,11,12,13,14,15,16,17,18,19,20,21,22,23,24,25,26,27,28,29,30}-1)*LEN(Registro!$E491)+1,LEN(Registro!$E491)))&amp;"x")-1)),--("0"&amp;MID(TRIM(MID(SUBSTITUTE(SUBSTITUTE(SUBSTITUTE(SUBSTITUTE(SUBSTITUTE(LOWER(Registro!$E491),"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",LEN(Registro!$E491))),({1,2,3,4,5,6,7,8,9,10,11,12,13,14,15,16,17,18,19,20,21,22,23,24,25,26,27,28,29,30}-1)*LEN(Registro!$E491)+1,LEN(Registro!$E491))),FIND("x",TRIM(MID(SUBSTITUTE(SUBSTITUTE(SUBSTITUTE(SUBSTITUTE(SUBSTITUTE(LOWER(Registro!$E491),"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",LEN(Registro!$E491))),({1,2,3,4,5,6,7,8,9,10,11,12,13,14,15,16,17,18,19,20,21,22,23,24,25,26,27,28,29,30}-1)*LEN(Registro!$E491)+1,LEN(Registro!$E491)))&amp;"x")+1,20))),"Revisar formato")))</f>
        <v/>
      </c>
      <c r="F491" s="23" t="str">
        <f>IF(Registro!$F491="","",IF(ISERROR(FIND("x",LOWER(Registro!$F491))),"-",IFERROR(SUMPRODUCT(--("0"&amp;LEFT(TRIM(MID(SUBSTITUTE(SUBSTITUTE(SUBSTITUTE(SUBSTITUTE(SUBSTITUTE(LOWER(Registro!$F491)," ",""),CHAR(10),"|"),";","|"),"+","|"),"|",REPT(" ",LEN(Registro!$F491))),({1,2,3,4,5,6,7,8,9,10,11,12,13,14,15,16,17,18,19,20,21,22,23,24,25,26,27,28,29,30}-1)*LEN(Registro!$F491)+1,LEN(Registro!$F491))),FIND("x",TRIM(MID(SUBSTITUTE(SUBSTITUTE(SUBSTITUTE(SUBSTITUTE(SUBSTITUTE(LOWER(Registro!$F491)," ",""),CHAR(10),"|"),";","|"),"+","|"),"|",REPT(" ",LEN(Registro!$F491))),({1,2,3,4,5,6,7,8,9,10,11,12,13,14,15,16,17,18,19,20,21,22,23,24,25,26,27,28,29,30}-1)*LEN(Registro!$F491)+1,LEN(Registro!$F491)))&amp;"x")-1))),"Revisar formato")))</f>
        <v/>
      </c>
      <c r="G491" s="24" t="str">
        <f>IF(Registro!$F491="","",IF(ISERROR(FIND("x",LOWER(Registro!$F491))),N(Registro!$G491),IFERROR(SUMPRODUCT(--("0"&amp;LEFT(TRIM(MID(SUBSTITUTE(SUBSTITUTE(SUBSTITUTE(SUBSTITUTE(SUBSTITUTE(LOWER(Registro!$F491)," ",""),CHAR(10),"|"),";","|"),"+","|"),"|",REPT(" ",LEN(Registro!$F491))),({1,2,3,4,5,6,7,8,9,10,11,12,13,14,15,16,17,18,19,20,21,22,23,24,25,26,27,28,29,30}-1)*LEN(Registro!$F491)+1,LEN(Registro!$F491))),FIND("x",TRIM(MID(SUBSTITUTE(SUBSTITUTE(SUBSTITUTE(SUBSTITUTE(SUBSTITUTE(LOWER(Registro!$F491)," ",""),CHAR(10),"|"),";","|"),"+","|"),"|",REPT(" ",LEN(Registro!$F491))),({1,2,3,4,5,6,7,8,9,10,11,12,13,14,15,16,17,18,19,20,21,22,23,24,25,26,27,28,29,30}-1)*LEN(Registro!$F491)+1,LEN(Registro!$F491)))&amp;"x")-1)),--("0"&amp;MID(TRIM(MID(SUBSTITUTE(SUBSTITUTE(SUBSTITUTE(SUBSTITUTE(SUBSTITUTE(LOWER(Registro!$F491)," ",""),CHAR(10),"|"),";","|"),"+","|"),"|",REPT(" ",LEN(Registro!$F491))),({1,2,3,4,5,6,7,8,9,10,11,12,13,14,15,16,17,18,19,20,21,22,23,24,25,26,27,28,29,30}-1)*LEN(Registro!$F491)+1,LEN(Registro!$F491))),FIND("x",TRIM(MID(SUBSTITUTE(SUBSTITUTE(SUBSTITUTE(SUBSTITUTE(SUBSTITUTE(LOWER(Registro!$F491)," ",""),CHAR(10),"|"),";","|"),"+","|"),"|",REPT(" ",LEN(Registro!$F491))),({1,2,3,4,5,6,7,8,9,10,11,12,13,14,15,16,17,18,19,20,21,22,23,24,25,26,27,28,29,30}-1)*LEN(Registro!$F491)+1,LEN(Registro!$F491)))&amp;"x")+1,20))),"Revisar formato")))</f>
        <v/>
      </c>
      <c r="H491" s="21" t="str">
        <f>IF(AND(Registro!$E491="",Registro!$F491=""),"",IF(NOT(AND(ISNUMBER(G491),ISNUMBER(Registro!$G491))),"",IF(G491&lt;Registro!$G491,"FALTA BOLETOS",IF(G491=Registro!$G491,"CONFORME","DIFERENCIA"))))</f>
        <v/>
      </c>
      <c r="I491" s="24" t="str">
        <f>IF(Registro!$H491="","",IFERROR(SUMPRODUCT(--("0"&amp;TRIM(RIGHT(SUBSTITUTE(TRIM(MID(SUBSTITUTE(SUBSTITUTE(Registro!$H491,";",CHAR(10)),CHAR(10),REPT(" ",LEN(Registro!$H491))),({1,2,3,4,5,6,7,8,9,10,11,12,13,14,15,16,17,18,19,20,21,22,23,24,25,26,27,28,29,30}-1)*LEN(Registro!$H491)+1,LEN(Registro!$H491)))," ",REPT(" ",50)),50)))),"Revisar formato"))</f>
        <v/>
      </c>
      <c r="J491" s="24" t="str">
        <f>IF(Registro!$I491="","",IFERROR(SUMPRODUCT(--("0"&amp;TRIM(RIGHT(SUBSTITUTE(TRIM(MID(SUBSTITUTE(SUBSTITUTE(Registro!$I491,";",CHAR(10)),CHAR(10),REPT(" ",LEN(Registro!$I491))),({1,2,3,4,5,6,7,8,9,10,11,12,13,14,15,16,17,18,19,20,21,22,23,24,25,26,27,28,29,30}-1)*LEN(Registro!$I491)+1,LEN(Registro!$I491)))," ",REPT(" ",50)),50)))),"Revisar formato"))</f>
        <v/>
      </c>
      <c r="K491" s="24" t="str">
        <f>IF(AND(Registro!$G491="",Registro!$H491=""),"",IF(AND(ISTEXT(I491),I491&lt;&gt;""),"Revisar formato",N(Registro!$G491)-N(I491)))</f>
        <v/>
      </c>
      <c r="L491" s="24" t="str">
        <f t="shared" si="15"/>
        <v/>
      </c>
      <c r="M491" s="36" t="str">
        <f>IF(AND(A491=Consulta!$B$3,C491=Consulta!$H$3),B491*10000+ROW(),"")</f>
        <v/>
      </c>
    </row>
    <row r="492" spans="1:13" x14ac:dyDescent="0.25">
      <c r="A492" s="21" t="str">
        <f>IF(Registro!$A492="","",Registro!$A492)</f>
        <v/>
      </c>
      <c r="B492" s="20" t="str">
        <f>IF(Registro!$B492="","",Registro!$B492)</f>
        <v/>
      </c>
      <c r="C492" s="35" t="str">
        <f t="shared" si="14"/>
        <v/>
      </c>
      <c r="D492" s="23" t="str">
        <f>IF(Registro!$E492="","",IF(ISERROR(FIND("x",LOWER(Registro!$E492))),"-",IFERROR(SUMPRODUCT(--("0"&amp;LEFT(TRIM(MID(SUBSTITUTE(SUBSTITUTE(SUBSTITUTE(SUBSTITUTE(SUBSTITUTE(LOWER(Registro!$E492),"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",LEN(Registro!$E492))),({1,2,3,4,5,6,7,8,9,10,11,12,13,14,15,16,17,18,19,20,21,22,23,24,25,26,27,28,29,30}-1)*LEN(Registro!$E492)+1,LEN(Registro!$E492))),FIND("x",TRIM(MID(SUBSTITUTE(SUBSTITUTE(SUBSTITUTE(SUBSTITUTE(SUBSTITUTE(LOWER(Registro!$E492),"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",LEN(Registro!$E492))),({1,2,3,4,5,6,7,8,9,10,11,12,13,14,15,16,17,18,19,20,21,22,23,24,25,26,27,28,29,30}-1)*LEN(Registro!$E492)+1,LEN(Registro!$E492)))&amp;"x")-1))),"Revisar formato")))</f>
        <v/>
      </c>
      <c r="E492" s="24" t="str">
        <f>IF(Registro!$E492="","",IF(ISERROR(FIND("x",LOWER(Registro!$E492))),"-",IFERROR(SUMPRODUCT(--("0"&amp;LEFT(TRIM(MID(SUBSTITUTE(SUBSTITUTE(SUBSTITUTE(SUBSTITUTE(SUBSTITUTE(LOWER(Registro!$E492),"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",LEN(Registro!$E492))),({1,2,3,4,5,6,7,8,9,10,11,12,13,14,15,16,17,18,19,20,21,22,23,24,25,26,27,28,29,30}-1)*LEN(Registro!$E492)+1,LEN(Registro!$E492))),FIND("x",TRIM(MID(SUBSTITUTE(SUBSTITUTE(SUBSTITUTE(SUBSTITUTE(SUBSTITUTE(LOWER(Registro!$E492),"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",LEN(Registro!$E492))),({1,2,3,4,5,6,7,8,9,10,11,12,13,14,15,16,17,18,19,20,21,22,23,24,25,26,27,28,29,30}-1)*LEN(Registro!$E492)+1,LEN(Registro!$E492)))&amp;"x")-1)),--("0"&amp;MID(TRIM(MID(SUBSTITUTE(SUBSTITUTE(SUBSTITUTE(SUBSTITUTE(SUBSTITUTE(LOWER(Registro!$E492),"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",LEN(Registro!$E492))),({1,2,3,4,5,6,7,8,9,10,11,12,13,14,15,16,17,18,19,20,21,22,23,24,25,26,27,28,29,30}-1)*LEN(Registro!$E492)+1,LEN(Registro!$E492))),FIND("x",TRIM(MID(SUBSTITUTE(SUBSTITUTE(SUBSTITUTE(SUBSTITUTE(SUBSTITUTE(LOWER(Registro!$E492),"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",LEN(Registro!$E492))),({1,2,3,4,5,6,7,8,9,10,11,12,13,14,15,16,17,18,19,20,21,22,23,24,25,26,27,28,29,30}-1)*LEN(Registro!$E492)+1,LEN(Registro!$E492)))&amp;"x")+1,20))),"Revisar formato")))</f>
        <v/>
      </c>
      <c r="F492" s="23" t="str">
        <f>IF(Registro!$F492="","",IF(ISERROR(FIND("x",LOWER(Registro!$F492))),"-",IFERROR(SUMPRODUCT(--("0"&amp;LEFT(TRIM(MID(SUBSTITUTE(SUBSTITUTE(SUBSTITUTE(SUBSTITUTE(SUBSTITUTE(LOWER(Registro!$F492)," ",""),CHAR(10),"|"),";","|"),"+","|"),"|",REPT(" ",LEN(Registro!$F492))),({1,2,3,4,5,6,7,8,9,10,11,12,13,14,15,16,17,18,19,20,21,22,23,24,25,26,27,28,29,30}-1)*LEN(Registro!$F492)+1,LEN(Registro!$F492))),FIND("x",TRIM(MID(SUBSTITUTE(SUBSTITUTE(SUBSTITUTE(SUBSTITUTE(SUBSTITUTE(LOWER(Registro!$F492)," ",""),CHAR(10),"|"),";","|"),"+","|"),"|",REPT(" ",LEN(Registro!$F492))),({1,2,3,4,5,6,7,8,9,10,11,12,13,14,15,16,17,18,19,20,21,22,23,24,25,26,27,28,29,30}-1)*LEN(Registro!$F492)+1,LEN(Registro!$F492)))&amp;"x")-1))),"Revisar formato")))</f>
        <v/>
      </c>
      <c r="G492" s="24" t="str">
        <f>IF(Registro!$F492="","",IF(ISERROR(FIND("x",LOWER(Registro!$F492))),N(Registro!$G492),IFERROR(SUMPRODUCT(--("0"&amp;LEFT(TRIM(MID(SUBSTITUTE(SUBSTITUTE(SUBSTITUTE(SUBSTITUTE(SUBSTITUTE(LOWER(Registro!$F492)," ",""),CHAR(10),"|"),";","|"),"+","|"),"|",REPT(" ",LEN(Registro!$F492))),({1,2,3,4,5,6,7,8,9,10,11,12,13,14,15,16,17,18,19,20,21,22,23,24,25,26,27,28,29,30}-1)*LEN(Registro!$F492)+1,LEN(Registro!$F492))),FIND("x",TRIM(MID(SUBSTITUTE(SUBSTITUTE(SUBSTITUTE(SUBSTITUTE(SUBSTITUTE(LOWER(Registro!$F492)," ",""),CHAR(10),"|"),";","|"),"+","|"),"|",REPT(" ",LEN(Registro!$F492))),({1,2,3,4,5,6,7,8,9,10,11,12,13,14,15,16,17,18,19,20,21,22,23,24,25,26,27,28,29,30}-1)*LEN(Registro!$F492)+1,LEN(Registro!$F492)))&amp;"x")-1)),--("0"&amp;MID(TRIM(MID(SUBSTITUTE(SUBSTITUTE(SUBSTITUTE(SUBSTITUTE(SUBSTITUTE(LOWER(Registro!$F492)," ",""),CHAR(10),"|"),";","|"),"+","|"),"|",REPT(" ",LEN(Registro!$F492))),({1,2,3,4,5,6,7,8,9,10,11,12,13,14,15,16,17,18,19,20,21,22,23,24,25,26,27,28,29,30}-1)*LEN(Registro!$F492)+1,LEN(Registro!$F492))),FIND("x",TRIM(MID(SUBSTITUTE(SUBSTITUTE(SUBSTITUTE(SUBSTITUTE(SUBSTITUTE(LOWER(Registro!$F492)," ",""),CHAR(10),"|"),";","|"),"+","|"),"|",REPT(" ",LEN(Registro!$F492))),({1,2,3,4,5,6,7,8,9,10,11,12,13,14,15,16,17,18,19,20,21,22,23,24,25,26,27,28,29,30}-1)*LEN(Registro!$F492)+1,LEN(Registro!$F492)))&amp;"x")+1,20))),"Revisar formato")))</f>
        <v/>
      </c>
      <c r="H492" s="21" t="str">
        <f>IF(AND(Registro!$E492="",Registro!$F492=""),"",IF(NOT(AND(ISNUMBER(G492),ISNUMBER(Registro!$G492))),"",IF(G492&lt;Registro!$G492,"FALTA BOLETOS",IF(G492=Registro!$G492,"CONFORME","DIFERENCIA"))))</f>
        <v/>
      </c>
      <c r="I492" s="24" t="str">
        <f>IF(Registro!$H492="","",IFERROR(SUMPRODUCT(--("0"&amp;TRIM(RIGHT(SUBSTITUTE(TRIM(MID(SUBSTITUTE(SUBSTITUTE(Registro!$H492,";",CHAR(10)),CHAR(10),REPT(" ",LEN(Registro!$H492))),({1,2,3,4,5,6,7,8,9,10,11,12,13,14,15,16,17,18,19,20,21,22,23,24,25,26,27,28,29,30}-1)*LEN(Registro!$H492)+1,LEN(Registro!$H492)))," ",REPT(" ",50)),50)))),"Revisar formato"))</f>
        <v/>
      </c>
      <c r="J492" s="24" t="str">
        <f>IF(Registro!$I492="","",IFERROR(SUMPRODUCT(--("0"&amp;TRIM(RIGHT(SUBSTITUTE(TRIM(MID(SUBSTITUTE(SUBSTITUTE(Registro!$I492,";",CHAR(10)),CHAR(10),REPT(" ",LEN(Registro!$I492))),({1,2,3,4,5,6,7,8,9,10,11,12,13,14,15,16,17,18,19,20,21,22,23,24,25,26,27,28,29,30}-1)*LEN(Registro!$I492)+1,LEN(Registro!$I492)))," ",REPT(" ",50)),50)))),"Revisar formato"))</f>
        <v/>
      </c>
      <c r="K492" s="24" t="str">
        <f>IF(AND(Registro!$G492="",Registro!$H492=""),"",IF(AND(ISTEXT(I492),I492&lt;&gt;""),"Revisar formato",N(Registro!$G492)-N(I492)))</f>
        <v/>
      </c>
      <c r="L492" s="24" t="str">
        <f t="shared" si="15"/>
        <v/>
      </c>
      <c r="M492" s="36" t="str">
        <f>IF(AND(A492=Consulta!$B$3,C492=Consulta!$H$3),B492*10000+ROW(),"")</f>
        <v/>
      </c>
    </row>
    <row r="493" spans="1:13" x14ac:dyDescent="0.25">
      <c r="A493" s="21" t="str">
        <f>IF(Registro!$A493="","",Registro!$A493)</f>
        <v/>
      </c>
      <c r="B493" s="20" t="str">
        <f>IF(Registro!$B493="","",Registro!$B493)</f>
        <v/>
      </c>
      <c r="C493" s="35" t="str">
        <f t="shared" si="14"/>
        <v/>
      </c>
      <c r="D493" s="23" t="str">
        <f>IF(Registro!$E493="","",IF(ISERROR(FIND("x",LOWER(Registro!$E493))),"-",IFERROR(SUMPRODUCT(--("0"&amp;LEFT(TRIM(MID(SUBSTITUTE(SUBSTITUTE(SUBSTITUTE(SUBSTITUTE(SUBSTITUTE(LOWER(Registro!$E493),"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",LEN(Registro!$E493))),({1,2,3,4,5,6,7,8,9,10,11,12,13,14,15,16,17,18,19,20,21,22,23,24,25,26,27,28,29,30}-1)*LEN(Registro!$E493)+1,LEN(Registro!$E493))),FIND("x",TRIM(MID(SUBSTITUTE(SUBSTITUTE(SUBSTITUTE(SUBSTITUTE(SUBSTITUTE(LOWER(Registro!$E493),"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",LEN(Registro!$E493))),({1,2,3,4,5,6,7,8,9,10,11,12,13,14,15,16,17,18,19,20,21,22,23,24,25,26,27,28,29,30}-1)*LEN(Registro!$E493)+1,LEN(Registro!$E493)))&amp;"x")-1))),"Revisar formato")))</f>
        <v/>
      </c>
      <c r="E493" s="24" t="str">
        <f>IF(Registro!$E493="","",IF(ISERROR(FIND("x",LOWER(Registro!$E493))),"-",IFERROR(SUMPRODUCT(--("0"&amp;LEFT(TRIM(MID(SUBSTITUTE(SUBSTITUTE(SUBSTITUTE(SUBSTITUTE(SUBSTITUTE(LOWER(Registro!$E493),"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",LEN(Registro!$E493))),({1,2,3,4,5,6,7,8,9,10,11,12,13,14,15,16,17,18,19,20,21,22,23,24,25,26,27,28,29,30}-1)*LEN(Registro!$E493)+1,LEN(Registro!$E493))),FIND("x",TRIM(MID(SUBSTITUTE(SUBSTITUTE(SUBSTITUTE(SUBSTITUTE(SUBSTITUTE(LOWER(Registro!$E493),"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",LEN(Registro!$E493))),({1,2,3,4,5,6,7,8,9,10,11,12,13,14,15,16,17,18,19,20,21,22,23,24,25,26,27,28,29,30}-1)*LEN(Registro!$E493)+1,LEN(Registro!$E493)))&amp;"x")-1)),--("0"&amp;MID(TRIM(MID(SUBSTITUTE(SUBSTITUTE(SUBSTITUTE(SUBSTITUTE(SUBSTITUTE(LOWER(Registro!$E493),"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",LEN(Registro!$E493))),({1,2,3,4,5,6,7,8,9,10,11,12,13,14,15,16,17,18,19,20,21,22,23,24,25,26,27,28,29,30}-1)*LEN(Registro!$E493)+1,LEN(Registro!$E493))),FIND("x",TRIM(MID(SUBSTITUTE(SUBSTITUTE(SUBSTITUTE(SUBSTITUTE(SUBSTITUTE(LOWER(Registro!$E493),"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",LEN(Registro!$E493))),({1,2,3,4,5,6,7,8,9,10,11,12,13,14,15,16,17,18,19,20,21,22,23,24,25,26,27,28,29,30}-1)*LEN(Registro!$E493)+1,LEN(Registro!$E493)))&amp;"x")+1,20))),"Revisar formato")))</f>
        <v/>
      </c>
      <c r="F493" s="23" t="str">
        <f>IF(Registro!$F493="","",IF(ISERROR(FIND("x",LOWER(Registro!$F493))),"-",IFERROR(SUMPRODUCT(--("0"&amp;LEFT(TRIM(MID(SUBSTITUTE(SUBSTITUTE(SUBSTITUTE(SUBSTITUTE(SUBSTITUTE(LOWER(Registro!$F493)," ",""),CHAR(10),"|"),";","|"),"+","|"),"|",REPT(" ",LEN(Registro!$F493))),({1,2,3,4,5,6,7,8,9,10,11,12,13,14,15,16,17,18,19,20,21,22,23,24,25,26,27,28,29,30}-1)*LEN(Registro!$F493)+1,LEN(Registro!$F493))),FIND("x",TRIM(MID(SUBSTITUTE(SUBSTITUTE(SUBSTITUTE(SUBSTITUTE(SUBSTITUTE(LOWER(Registro!$F493)," ",""),CHAR(10),"|"),";","|"),"+","|"),"|",REPT(" ",LEN(Registro!$F493))),({1,2,3,4,5,6,7,8,9,10,11,12,13,14,15,16,17,18,19,20,21,22,23,24,25,26,27,28,29,30}-1)*LEN(Registro!$F493)+1,LEN(Registro!$F493)))&amp;"x")-1))),"Revisar formato")))</f>
        <v/>
      </c>
      <c r="G493" s="24" t="str">
        <f>IF(Registro!$F493="","",IF(ISERROR(FIND("x",LOWER(Registro!$F493))),N(Registro!$G493),IFERROR(SUMPRODUCT(--("0"&amp;LEFT(TRIM(MID(SUBSTITUTE(SUBSTITUTE(SUBSTITUTE(SUBSTITUTE(SUBSTITUTE(LOWER(Registro!$F493)," ",""),CHAR(10),"|"),";","|"),"+","|"),"|",REPT(" ",LEN(Registro!$F493))),({1,2,3,4,5,6,7,8,9,10,11,12,13,14,15,16,17,18,19,20,21,22,23,24,25,26,27,28,29,30}-1)*LEN(Registro!$F493)+1,LEN(Registro!$F493))),FIND("x",TRIM(MID(SUBSTITUTE(SUBSTITUTE(SUBSTITUTE(SUBSTITUTE(SUBSTITUTE(LOWER(Registro!$F493)," ",""),CHAR(10),"|"),";","|"),"+","|"),"|",REPT(" ",LEN(Registro!$F493))),({1,2,3,4,5,6,7,8,9,10,11,12,13,14,15,16,17,18,19,20,21,22,23,24,25,26,27,28,29,30}-1)*LEN(Registro!$F493)+1,LEN(Registro!$F493)))&amp;"x")-1)),--("0"&amp;MID(TRIM(MID(SUBSTITUTE(SUBSTITUTE(SUBSTITUTE(SUBSTITUTE(SUBSTITUTE(LOWER(Registro!$F493)," ",""),CHAR(10),"|"),";","|"),"+","|"),"|",REPT(" ",LEN(Registro!$F493))),({1,2,3,4,5,6,7,8,9,10,11,12,13,14,15,16,17,18,19,20,21,22,23,24,25,26,27,28,29,30}-1)*LEN(Registro!$F493)+1,LEN(Registro!$F493))),FIND("x",TRIM(MID(SUBSTITUTE(SUBSTITUTE(SUBSTITUTE(SUBSTITUTE(SUBSTITUTE(LOWER(Registro!$F493)," ",""),CHAR(10),"|"),";","|"),"+","|"),"|",REPT(" ",LEN(Registro!$F493))),({1,2,3,4,5,6,7,8,9,10,11,12,13,14,15,16,17,18,19,20,21,22,23,24,25,26,27,28,29,30}-1)*LEN(Registro!$F493)+1,LEN(Registro!$F493)))&amp;"x")+1,20))),"Revisar formato")))</f>
        <v/>
      </c>
      <c r="H493" s="21" t="str">
        <f>IF(AND(Registro!$E493="",Registro!$F493=""),"",IF(NOT(AND(ISNUMBER(G493),ISNUMBER(Registro!$G493))),"",IF(G493&lt;Registro!$G493,"FALTA BOLETOS",IF(G493=Registro!$G493,"CONFORME","DIFERENCIA"))))</f>
        <v/>
      </c>
      <c r="I493" s="24" t="str">
        <f>IF(Registro!$H493="","",IFERROR(SUMPRODUCT(--("0"&amp;TRIM(RIGHT(SUBSTITUTE(TRIM(MID(SUBSTITUTE(SUBSTITUTE(Registro!$H493,";",CHAR(10)),CHAR(10),REPT(" ",LEN(Registro!$H493))),({1,2,3,4,5,6,7,8,9,10,11,12,13,14,15,16,17,18,19,20,21,22,23,24,25,26,27,28,29,30}-1)*LEN(Registro!$H493)+1,LEN(Registro!$H493)))," ",REPT(" ",50)),50)))),"Revisar formato"))</f>
        <v/>
      </c>
      <c r="J493" s="24" t="str">
        <f>IF(Registro!$I493="","",IFERROR(SUMPRODUCT(--("0"&amp;TRIM(RIGHT(SUBSTITUTE(TRIM(MID(SUBSTITUTE(SUBSTITUTE(Registro!$I493,";",CHAR(10)),CHAR(10),REPT(" ",LEN(Registro!$I493))),({1,2,3,4,5,6,7,8,9,10,11,12,13,14,15,16,17,18,19,20,21,22,23,24,25,26,27,28,29,30}-1)*LEN(Registro!$I493)+1,LEN(Registro!$I493)))," ",REPT(" ",50)),50)))),"Revisar formato"))</f>
        <v/>
      </c>
      <c r="K493" s="24" t="str">
        <f>IF(AND(Registro!$G493="",Registro!$H493=""),"",IF(AND(ISTEXT(I493),I493&lt;&gt;""),"Revisar formato",N(Registro!$G493)-N(I493)))</f>
        <v/>
      </c>
      <c r="L493" s="24" t="str">
        <f t="shared" si="15"/>
        <v/>
      </c>
      <c r="M493" s="36" t="str">
        <f>IF(AND(A493=Consulta!$B$3,C493=Consulta!$H$3),B493*10000+ROW(),"")</f>
        <v/>
      </c>
    </row>
    <row r="494" spans="1:13" x14ac:dyDescent="0.25">
      <c r="A494" s="21" t="str">
        <f>IF(Registro!$A494="","",Registro!$A494)</f>
        <v/>
      </c>
      <c r="B494" s="20" t="str">
        <f>IF(Registro!$B494="","",Registro!$B494)</f>
        <v/>
      </c>
      <c r="C494" s="35" t="str">
        <f t="shared" si="14"/>
        <v/>
      </c>
      <c r="D494" s="23" t="str">
        <f>IF(Registro!$E494="","",IF(ISERROR(FIND("x",LOWER(Registro!$E494))),"-",IFERROR(SUMPRODUCT(--("0"&amp;LEFT(TRIM(MID(SUBSTITUTE(SUBSTITUTE(SUBSTITUTE(SUBSTITUTE(SUBSTITUTE(LOWER(Registro!$E494),"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",LEN(Registro!$E494))),({1,2,3,4,5,6,7,8,9,10,11,12,13,14,15,16,17,18,19,20,21,22,23,24,25,26,27,28,29,30}-1)*LEN(Registro!$E494)+1,LEN(Registro!$E494))),FIND("x",TRIM(MID(SUBSTITUTE(SUBSTITUTE(SUBSTITUTE(SUBSTITUTE(SUBSTITUTE(LOWER(Registro!$E494),"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",LEN(Registro!$E494))),({1,2,3,4,5,6,7,8,9,10,11,12,13,14,15,16,17,18,19,20,21,22,23,24,25,26,27,28,29,30}-1)*LEN(Registro!$E494)+1,LEN(Registro!$E494)))&amp;"x")-1))),"Revisar formato")))</f>
        <v/>
      </c>
      <c r="E494" s="24" t="str">
        <f>IF(Registro!$E494="","",IF(ISERROR(FIND("x",LOWER(Registro!$E494))),"-",IFERROR(SUMPRODUCT(--("0"&amp;LEFT(TRIM(MID(SUBSTITUTE(SUBSTITUTE(SUBSTITUTE(SUBSTITUTE(SUBSTITUTE(LOWER(Registro!$E494),"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",LEN(Registro!$E494))),({1,2,3,4,5,6,7,8,9,10,11,12,13,14,15,16,17,18,19,20,21,22,23,24,25,26,27,28,29,30}-1)*LEN(Registro!$E494)+1,LEN(Registro!$E494))),FIND("x",TRIM(MID(SUBSTITUTE(SUBSTITUTE(SUBSTITUTE(SUBSTITUTE(SUBSTITUTE(LOWER(Registro!$E494),"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",LEN(Registro!$E494))),({1,2,3,4,5,6,7,8,9,10,11,12,13,14,15,16,17,18,19,20,21,22,23,24,25,26,27,28,29,30}-1)*LEN(Registro!$E494)+1,LEN(Registro!$E494)))&amp;"x")-1)),--("0"&amp;MID(TRIM(MID(SUBSTITUTE(SUBSTITUTE(SUBSTITUTE(SUBSTITUTE(SUBSTITUTE(LOWER(Registro!$E494),"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",LEN(Registro!$E494))),({1,2,3,4,5,6,7,8,9,10,11,12,13,14,15,16,17,18,19,20,21,22,23,24,25,26,27,28,29,30}-1)*LEN(Registro!$E494)+1,LEN(Registro!$E494))),FIND("x",TRIM(MID(SUBSTITUTE(SUBSTITUTE(SUBSTITUTE(SUBSTITUTE(SUBSTITUTE(LOWER(Registro!$E494),"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",LEN(Registro!$E494))),({1,2,3,4,5,6,7,8,9,10,11,12,13,14,15,16,17,18,19,20,21,22,23,24,25,26,27,28,29,30}-1)*LEN(Registro!$E494)+1,LEN(Registro!$E494)))&amp;"x")+1,20))),"Revisar formato")))</f>
        <v/>
      </c>
      <c r="F494" s="23" t="str">
        <f>IF(Registro!$F494="","",IF(ISERROR(FIND("x",LOWER(Registro!$F494))),"-",IFERROR(SUMPRODUCT(--("0"&amp;LEFT(TRIM(MID(SUBSTITUTE(SUBSTITUTE(SUBSTITUTE(SUBSTITUTE(SUBSTITUTE(LOWER(Registro!$F494)," ",""),CHAR(10),"|"),";","|"),"+","|"),"|",REPT(" ",LEN(Registro!$F494))),({1,2,3,4,5,6,7,8,9,10,11,12,13,14,15,16,17,18,19,20,21,22,23,24,25,26,27,28,29,30}-1)*LEN(Registro!$F494)+1,LEN(Registro!$F494))),FIND("x",TRIM(MID(SUBSTITUTE(SUBSTITUTE(SUBSTITUTE(SUBSTITUTE(SUBSTITUTE(LOWER(Registro!$F494)," ",""),CHAR(10),"|"),";","|"),"+","|"),"|",REPT(" ",LEN(Registro!$F494))),({1,2,3,4,5,6,7,8,9,10,11,12,13,14,15,16,17,18,19,20,21,22,23,24,25,26,27,28,29,30}-1)*LEN(Registro!$F494)+1,LEN(Registro!$F494)))&amp;"x")-1))),"Revisar formato")))</f>
        <v/>
      </c>
      <c r="G494" s="24" t="str">
        <f>IF(Registro!$F494="","",IF(ISERROR(FIND("x",LOWER(Registro!$F494))),N(Registro!$G494),IFERROR(SUMPRODUCT(--("0"&amp;LEFT(TRIM(MID(SUBSTITUTE(SUBSTITUTE(SUBSTITUTE(SUBSTITUTE(SUBSTITUTE(LOWER(Registro!$F494)," ",""),CHAR(10),"|"),";","|"),"+","|"),"|",REPT(" ",LEN(Registro!$F494))),({1,2,3,4,5,6,7,8,9,10,11,12,13,14,15,16,17,18,19,20,21,22,23,24,25,26,27,28,29,30}-1)*LEN(Registro!$F494)+1,LEN(Registro!$F494))),FIND("x",TRIM(MID(SUBSTITUTE(SUBSTITUTE(SUBSTITUTE(SUBSTITUTE(SUBSTITUTE(LOWER(Registro!$F494)," ",""),CHAR(10),"|"),";","|"),"+","|"),"|",REPT(" ",LEN(Registro!$F494))),({1,2,3,4,5,6,7,8,9,10,11,12,13,14,15,16,17,18,19,20,21,22,23,24,25,26,27,28,29,30}-1)*LEN(Registro!$F494)+1,LEN(Registro!$F494)))&amp;"x")-1)),--("0"&amp;MID(TRIM(MID(SUBSTITUTE(SUBSTITUTE(SUBSTITUTE(SUBSTITUTE(SUBSTITUTE(LOWER(Registro!$F494)," ",""),CHAR(10),"|"),";","|"),"+","|"),"|",REPT(" ",LEN(Registro!$F494))),({1,2,3,4,5,6,7,8,9,10,11,12,13,14,15,16,17,18,19,20,21,22,23,24,25,26,27,28,29,30}-1)*LEN(Registro!$F494)+1,LEN(Registro!$F494))),FIND("x",TRIM(MID(SUBSTITUTE(SUBSTITUTE(SUBSTITUTE(SUBSTITUTE(SUBSTITUTE(LOWER(Registro!$F494)," ",""),CHAR(10),"|"),";","|"),"+","|"),"|",REPT(" ",LEN(Registro!$F494))),({1,2,3,4,5,6,7,8,9,10,11,12,13,14,15,16,17,18,19,20,21,22,23,24,25,26,27,28,29,30}-1)*LEN(Registro!$F494)+1,LEN(Registro!$F494)))&amp;"x")+1,20))),"Revisar formato")))</f>
        <v/>
      </c>
      <c r="H494" s="21" t="str">
        <f>IF(AND(Registro!$E494="",Registro!$F494=""),"",IF(NOT(AND(ISNUMBER(G494),ISNUMBER(Registro!$G494))),"",IF(G494&lt;Registro!$G494,"FALTA BOLETOS",IF(G494=Registro!$G494,"CONFORME","DIFERENCIA"))))</f>
        <v/>
      </c>
      <c r="I494" s="24" t="str">
        <f>IF(Registro!$H494="","",IFERROR(SUMPRODUCT(--("0"&amp;TRIM(RIGHT(SUBSTITUTE(TRIM(MID(SUBSTITUTE(SUBSTITUTE(Registro!$H494,";",CHAR(10)),CHAR(10),REPT(" ",LEN(Registro!$H494))),({1,2,3,4,5,6,7,8,9,10,11,12,13,14,15,16,17,18,19,20,21,22,23,24,25,26,27,28,29,30}-1)*LEN(Registro!$H494)+1,LEN(Registro!$H494)))," ",REPT(" ",50)),50)))),"Revisar formato"))</f>
        <v/>
      </c>
      <c r="J494" s="24" t="str">
        <f>IF(Registro!$I494="","",IFERROR(SUMPRODUCT(--("0"&amp;TRIM(RIGHT(SUBSTITUTE(TRIM(MID(SUBSTITUTE(SUBSTITUTE(Registro!$I494,";",CHAR(10)),CHAR(10),REPT(" ",LEN(Registro!$I494))),({1,2,3,4,5,6,7,8,9,10,11,12,13,14,15,16,17,18,19,20,21,22,23,24,25,26,27,28,29,30}-1)*LEN(Registro!$I494)+1,LEN(Registro!$I494)))," ",REPT(" ",50)),50)))),"Revisar formato"))</f>
        <v/>
      </c>
      <c r="K494" s="24" t="str">
        <f>IF(AND(Registro!$G494="",Registro!$H494=""),"",IF(AND(ISTEXT(I494),I494&lt;&gt;""),"Revisar formato",N(Registro!$G494)-N(I494)))</f>
        <v/>
      </c>
      <c r="L494" s="24" t="str">
        <f t="shared" si="15"/>
        <v/>
      </c>
      <c r="M494" s="36" t="str">
        <f>IF(AND(A494=Consulta!$B$3,C494=Consulta!$H$3),B494*10000+ROW(),"")</f>
        <v/>
      </c>
    </row>
    <row r="495" spans="1:13" x14ac:dyDescent="0.25">
      <c r="A495" s="21" t="str">
        <f>IF(Registro!$A495="","",Registro!$A495)</f>
        <v/>
      </c>
      <c r="B495" s="20" t="str">
        <f>IF(Registro!$B495="","",Registro!$B495)</f>
        <v/>
      </c>
      <c r="C495" s="35" t="str">
        <f t="shared" si="14"/>
        <v/>
      </c>
      <c r="D495" s="23" t="str">
        <f>IF(Registro!$E495="","",IF(ISERROR(FIND("x",LOWER(Registro!$E495))),"-",IFERROR(SUMPRODUCT(--("0"&amp;LEFT(TRIM(MID(SUBSTITUTE(SUBSTITUTE(SUBSTITUTE(SUBSTITUTE(SUBSTITUTE(LOWER(Registro!$E495),"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",LEN(Registro!$E495))),({1,2,3,4,5,6,7,8,9,10,11,12,13,14,15,16,17,18,19,20,21,22,23,24,25,26,27,28,29,30}-1)*LEN(Registro!$E495)+1,LEN(Registro!$E495))),FIND("x",TRIM(MID(SUBSTITUTE(SUBSTITUTE(SUBSTITUTE(SUBSTITUTE(SUBSTITUTE(LOWER(Registro!$E495),"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",LEN(Registro!$E495))),({1,2,3,4,5,6,7,8,9,10,11,12,13,14,15,16,17,18,19,20,21,22,23,24,25,26,27,28,29,30}-1)*LEN(Registro!$E495)+1,LEN(Registro!$E495)))&amp;"x")-1))),"Revisar formato")))</f>
        <v/>
      </c>
      <c r="E495" s="24" t="str">
        <f>IF(Registro!$E495="","",IF(ISERROR(FIND("x",LOWER(Registro!$E495))),"-",IFERROR(SUMPRODUCT(--("0"&amp;LEFT(TRIM(MID(SUBSTITUTE(SUBSTITUTE(SUBSTITUTE(SUBSTITUTE(SUBSTITUTE(LOWER(Registro!$E495),"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",LEN(Registro!$E495))),({1,2,3,4,5,6,7,8,9,10,11,12,13,14,15,16,17,18,19,20,21,22,23,24,25,26,27,28,29,30}-1)*LEN(Registro!$E495)+1,LEN(Registro!$E495))),FIND("x",TRIM(MID(SUBSTITUTE(SUBSTITUTE(SUBSTITUTE(SUBSTITUTE(SUBSTITUTE(LOWER(Registro!$E495),"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",LEN(Registro!$E495))),({1,2,3,4,5,6,7,8,9,10,11,12,13,14,15,16,17,18,19,20,21,22,23,24,25,26,27,28,29,30}-1)*LEN(Registro!$E495)+1,LEN(Registro!$E495)))&amp;"x")-1)),--("0"&amp;MID(TRIM(MID(SUBSTITUTE(SUBSTITUTE(SUBSTITUTE(SUBSTITUTE(SUBSTITUTE(LOWER(Registro!$E495),"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",LEN(Registro!$E495))),({1,2,3,4,5,6,7,8,9,10,11,12,13,14,15,16,17,18,19,20,21,22,23,24,25,26,27,28,29,30}-1)*LEN(Registro!$E495)+1,LEN(Registro!$E495))),FIND("x",TRIM(MID(SUBSTITUTE(SUBSTITUTE(SUBSTITUTE(SUBSTITUTE(SUBSTITUTE(LOWER(Registro!$E495),"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",LEN(Registro!$E495))),({1,2,3,4,5,6,7,8,9,10,11,12,13,14,15,16,17,18,19,20,21,22,23,24,25,26,27,28,29,30}-1)*LEN(Registro!$E495)+1,LEN(Registro!$E495)))&amp;"x")+1,20))),"Revisar formato")))</f>
        <v/>
      </c>
      <c r="F495" s="23" t="str">
        <f>IF(Registro!$F495="","",IF(ISERROR(FIND("x",LOWER(Registro!$F495))),"-",IFERROR(SUMPRODUCT(--("0"&amp;LEFT(TRIM(MID(SUBSTITUTE(SUBSTITUTE(SUBSTITUTE(SUBSTITUTE(SUBSTITUTE(LOWER(Registro!$F495)," ",""),CHAR(10),"|"),";","|"),"+","|"),"|",REPT(" ",LEN(Registro!$F495))),({1,2,3,4,5,6,7,8,9,10,11,12,13,14,15,16,17,18,19,20,21,22,23,24,25,26,27,28,29,30}-1)*LEN(Registro!$F495)+1,LEN(Registro!$F495))),FIND("x",TRIM(MID(SUBSTITUTE(SUBSTITUTE(SUBSTITUTE(SUBSTITUTE(SUBSTITUTE(LOWER(Registro!$F495)," ",""),CHAR(10),"|"),";","|"),"+","|"),"|",REPT(" ",LEN(Registro!$F495))),({1,2,3,4,5,6,7,8,9,10,11,12,13,14,15,16,17,18,19,20,21,22,23,24,25,26,27,28,29,30}-1)*LEN(Registro!$F495)+1,LEN(Registro!$F495)))&amp;"x")-1))),"Revisar formato")))</f>
        <v/>
      </c>
      <c r="G495" s="24" t="str">
        <f>IF(Registro!$F495="","",IF(ISERROR(FIND("x",LOWER(Registro!$F495))),N(Registro!$G495),IFERROR(SUMPRODUCT(--("0"&amp;LEFT(TRIM(MID(SUBSTITUTE(SUBSTITUTE(SUBSTITUTE(SUBSTITUTE(SUBSTITUTE(LOWER(Registro!$F495)," ",""),CHAR(10),"|"),";","|"),"+","|"),"|",REPT(" ",LEN(Registro!$F495))),({1,2,3,4,5,6,7,8,9,10,11,12,13,14,15,16,17,18,19,20,21,22,23,24,25,26,27,28,29,30}-1)*LEN(Registro!$F495)+1,LEN(Registro!$F495))),FIND("x",TRIM(MID(SUBSTITUTE(SUBSTITUTE(SUBSTITUTE(SUBSTITUTE(SUBSTITUTE(LOWER(Registro!$F495)," ",""),CHAR(10),"|"),";","|"),"+","|"),"|",REPT(" ",LEN(Registro!$F495))),({1,2,3,4,5,6,7,8,9,10,11,12,13,14,15,16,17,18,19,20,21,22,23,24,25,26,27,28,29,30}-1)*LEN(Registro!$F495)+1,LEN(Registro!$F495)))&amp;"x")-1)),--("0"&amp;MID(TRIM(MID(SUBSTITUTE(SUBSTITUTE(SUBSTITUTE(SUBSTITUTE(SUBSTITUTE(LOWER(Registro!$F495)," ",""),CHAR(10),"|"),";","|"),"+","|"),"|",REPT(" ",LEN(Registro!$F495))),({1,2,3,4,5,6,7,8,9,10,11,12,13,14,15,16,17,18,19,20,21,22,23,24,25,26,27,28,29,30}-1)*LEN(Registro!$F495)+1,LEN(Registro!$F495))),FIND("x",TRIM(MID(SUBSTITUTE(SUBSTITUTE(SUBSTITUTE(SUBSTITUTE(SUBSTITUTE(LOWER(Registro!$F495)," ",""),CHAR(10),"|"),";","|"),"+","|"),"|",REPT(" ",LEN(Registro!$F495))),({1,2,3,4,5,6,7,8,9,10,11,12,13,14,15,16,17,18,19,20,21,22,23,24,25,26,27,28,29,30}-1)*LEN(Registro!$F495)+1,LEN(Registro!$F495)))&amp;"x")+1,20))),"Revisar formato")))</f>
        <v/>
      </c>
      <c r="H495" s="21" t="str">
        <f>IF(AND(Registro!$E495="",Registro!$F495=""),"",IF(NOT(AND(ISNUMBER(G495),ISNUMBER(Registro!$G495))),"",IF(G495&lt;Registro!$G495,"FALTA BOLETOS",IF(G495=Registro!$G495,"CONFORME","DIFERENCIA"))))</f>
        <v/>
      </c>
      <c r="I495" s="24" t="str">
        <f>IF(Registro!$H495="","",IFERROR(SUMPRODUCT(--("0"&amp;TRIM(RIGHT(SUBSTITUTE(TRIM(MID(SUBSTITUTE(SUBSTITUTE(Registro!$H495,";",CHAR(10)),CHAR(10),REPT(" ",LEN(Registro!$H495))),({1,2,3,4,5,6,7,8,9,10,11,12,13,14,15,16,17,18,19,20,21,22,23,24,25,26,27,28,29,30}-1)*LEN(Registro!$H495)+1,LEN(Registro!$H495)))," ",REPT(" ",50)),50)))),"Revisar formato"))</f>
        <v/>
      </c>
      <c r="J495" s="24" t="str">
        <f>IF(Registro!$I495="","",IFERROR(SUMPRODUCT(--("0"&amp;TRIM(RIGHT(SUBSTITUTE(TRIM(MID(SUBSTITUTE(SUBSTITUTE(Registro!$I495,";",CHAR(10)),CHAR(10),REPT(" ",LEN(Registro!$I495))),({1,2,3,4,5,6,7,8,9,10,11,12,13,14,15,16,17,18,19,20,21,22,23,24,25,26,27,28,29,30}-1)*LEN(Registro!$I495)+1,LEN(Registro!$I495)))," ",REPT(" ",50)),50)))),"Revisar formato"))</f>
        <v/>
      </c>
      <c r="K495" s="24" t="str">
        <f>IF(AND(Registro!$G495="",Registro!$H495=""),"",IF(AND(ISTEXT(I495),I495&lt;&gt;""),"Revisar formato",N(Registro!$G495)-N(I495)))</f>
        <v/>
      </c>
      <c r="L495" s="24" t="str">
        <f t="shared" si="15"/>
        <v/>
      </c>
      <c r="M495" s="36" t="str">
        <f>IF(AND(A495=Consulta!$B$3,C495=Consulta!$H$3),B495*10000+ROW(),"")</f>
        <v/>
      </c>
    </row>
    <row r="496" spans="1:13" x14ac:dyDescent="0.25">
      <c r="A496" s="21" t="str">
        <f>IF(Registro!$A496="","",Registro!$A496)</f>
        <v/>
      </c>
      <c r="B496" s="20" t="str">
        <f>IF(Registro!$B496="","",Registro!$B496)</f>
        <v/>
      </c>
      <c r="C496" s="35" t="str">
        <f t="shared" si="14"/>
        <v/>
      </c>
      <c r="D496" s="23" t="str">
        <f>IF(Registro!$E496="","",IF(ISERROR(FIND("x",LOWER(Registro!$E496))),"-",IFERROR(SUMPRODUCT(--("0"&amp;LEFT(TRIM(MID(SUBSTITUTE(SUBSTITUTE(SUBSTITUTE(SUBSTITUTE(SUBSTITUTE(LOWER(Registro!$E496),"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",LEN(Registro!$E496))),({1,2,3,4,5,6,7,8,9,10,11,12,13,14,15,16,17,18,19,20,21,22,23,24,25,26,27,28,29,30}-1)*LEN(Registro!$E496)+1,LEN(Registro!$E496))),FIND("x",TRIM(MID(SUBSTITUTE(SUBSTITUTE(SUBSTITUTE(SUBSTITUTE(SUBSTITUTE(LOWER(Registro!$E496),"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",LEN(Registro!$E496))),({1,2,3,4,5,6,7,8,9,10,11,12,13,14,15,16,17,18,19,20,21,22,23,24,25,26,27,28,29,30}-1)*LEN(Registro!$E496)+1,LEN(Registro!$E496)))&amp;"x")-1))),"Revisar formato")))</f>
        <v/>
      </c>
      <c r="E496" s="24" t="str">
        <f>IF(Registro!$E496="","",IF(ISERROR(FIND("x",LOWER(Registro!$E496))),"-",IFERROR(SUMPRODUCT(--("0"&amp;LEFT(TRIM(MID(SUBSTITUTE(SUBSTITUTE(SUBSTITUTE(SUBSTITUTE(SUBSTITUTE(LOWER(Registro!$E496),"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",LEN(Registro!$E496))),({1,2,3,4,5,6,7,8,9,10,11,12,13,14,15,16,17,18,19,20,21,22,23,24,25,26,27,28,29,30}-1)*LEN(Registro!$E496)+1,LEN(Registro!$E496))),FIND("x",TRIM(MID(SUBSTITUTE(SUBSTITUTE(SUBSTITUTE(SUBSTITUTE(SUBSTITUTE(LOWER(Registro!$E496),"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",LEN(Registro!$E496))),({1,2,3,4,5,6,7,8,9,10,11,12,13,14,15,16,17,18,19,20,21,22,23,24,25,26,27,28,29,30}-1)*LEN(Registro!$E496)+1,LEN(Registro!$E496)))&amp;"x")-1)),--("0"&amp;MID(TRIM(MID(SUBSTITUTE(SUBSTITUTE(SUBSTITUTE(SUBSTITUTE(SUBSTITUTE(LOWER(Registro!$E496),"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",LEN(Registro!$E496))),({1,2,3,4,5,6,7,8,9,10,11,12,13,14,15,16,17,18,19,20,21,22,23,24,25,26,27,28,29,30}-1)*LEN(Registro!$E496)+1,LEN(Registro!$E496))),FIND("x",TRIM(MID(SUBSTITUTE(SUBSTITUTE(SUBSTITUTE(SUBSTITUTE(SUBSTITUTE(LOWER(Registro!$E496),"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",LEN(Registro!$E496))),({1,2,3,4,5,6,7,8,9,10,11,12,13,14,15,16,17,18,19,20,21,22,23,24,25,26,27,28,29,30}-1)*LEN(Registro!$E496)+1,LEN(Registro!$E496)))&amp;"x")+1,20))),"Revisar formato")))</f>
        <v/>
      </c>
      <c r="F496" s="23" t="str">
        <f>IF(Registro!$F496="","",IF(ISERROR(FIND("x",LOWER(Registro!$F496))),"-",IFERROR(SUMPRODUCT(--("0"&amp;LEFT(TRIM(MID(SUBSTITUTE(SUBSTITUTE(SUBSTITUTE(SUBSTITUTE(SUBSTITUTE(LOWER(Registro!$F496)," ",""),CHAR(10),"|"),";","|"),"+","|"),"|",REPT(" ",LEN(Registro!$F496))),({1,2,3,4,5,6,7,8,9,10,11,12,13,14,15,16,17,18,19,20,21,22,23,24,25,26,27,28,29,30}-1)*LEN(Registro!$F496)+1,LEN(Registro!$F496))),FIND("x",TRIM(MID(SUBSTITUTE(SUBSTITUTE(SUBSTITUTE(SUBSTITUTE(SUBSTITUTE(LOWER(Registro!$F496)," ",""),CHAR(10),"|"),";","|"),"+","|"),"|",REPT(" ",LEN(Registro!$F496))),({1,2,3,4,5,6,7,8,9,10,11,12,13,14,15,16,17,18,19,20,21,22,23,24,25,26,27,28,29,30}-1)*LEN(Registro!$F496)+1,LEN(Registro!$F496)))&amp;"x")-1))),"Revisar formato")))</f>
        <v/>
      </c>
      <c r="G496" s="24" t="str">
        <f>IF(Registro!$F496="","",IF(ISERROR(FIND("x",LOWER(Registro!$F496))),N(Registro!$G496),IFERROR(SUMPRODUCT(--("0"&amp;LEFT(TRIM(MID(SUBSTITUTE(SUBSTITUTE(SUBSTITUTE(SUBSTITUTE(SUBSTITUTE(LOWER(Registro!$F496)," ",""),CHAR(10),"|"),";","|"),"+","|"),"|",REPT(" ",LEN(Registro!$F496))),({1,2,3,4,5,6,7,8,9,10,11,12,13,14,15,16,17,18,19,20,21,22,23,24,25,26,27,28,29,30}-1)*LEN(Registro!$F496)+1,LEN(Registro!$F496))),FIND("x",TRIM(MID(SUBSTITUTE(SUBSTITUTE(SUBSTITUTE(SUBSTITUTE(SUBSTITUTE(LOWER(Registro!$F496)," ",""),CHAR(10),"|"),";","|"),"+","|"),"|",REPT(" ",LEN(Registro!$F496))),({1,2,3,4,5,6,7,8,9,10,11,12,13,14,15,16,17,18,19,20,21,22,23,24,25,26,27,28,29,30}-1)*LEN(Registro!$F496)+1,LEN(Registro!$F496)))&amp;"x")-1)),--("0"&amp;MID(TRIM(MID(SUBSTITUTE(SUBSTITUTE(SUBSTITUTE(SUBSTITUTE(SUBSTITUTE(LOWER(Registro!$F496)," ",""),CHAR(10),"|"),";","|"),"+","|"),"|",REPT(" ",LEN(Registro!$F496))),({1,2,3,4,5,6,7,8,9,10,11,12,13,14,15,16,17,18,19,20,21,22,23,24,25,26,27,28,29,30}-1)*LEN(Registro!$F496)+1,LEN(Registro!$F496))),FIND("x",TRIM(MID(SUBSTITUTE(SUBSTITUTE(SUBSTITUTE(SUBSTITUTE(SUBSTITUTE(LOWER(Registro!$F496)," ",""),CHAR(10),"|"),";","|"),"+","|"),"|",REPT(" ",LEN(Registro!$F496))),({1,2,3,4,5,6,7,8,9,10,11,12,13,14,15,16,17,18,19,20,21,22,23,24,25,26,27,28,29,30}-1)*LEN(Registro!$F496)+1,LEN(Registro!$F496)))&amp;"x")+1,20))),"Revisar formato")))</f>
        <v/>
      </c>
      <c r="H496" s="21" t="str">
        <f>IF(AND(Registro!$E496="",Registro!$F496=""),"",IF(NOT(AND(ISNUMBER(G496),ISNUMBER(Registro!$G496))),"",IF(G496&lt;Registro!$G496,"FALTA BOLETOS",IF(G496=Registro!$G496,"CONFORME","DIFERENCIA"))))</f>
        <v/>
      </c>
      <c r="I496" s="24" t="str">
        <f>IF(Registro!$H496="","",IFERROR(SUMPRODUCT(--("0"&amp;TRIM(RIGHT(SUBSTITUTE(TRIM(MID(SUBSTITUTE(SUBSTITUTE(Registro!$H496,";",CHAR(10)),CHAR(10),REPT(" ",LEN(Registro!$H496))),({1,2,3,4,5,6,7,8,9,10,11,12,13,14,15,16,17,18,19,20,21,22,23,24,25,26,27,28,29,30}-1)*LEN(Registro!$H496)+1,LEN(Registro!$H496)))," ",REPT(" ",50)),50)))),"Revisar formato"))</f>
        <v/>
      </c>
      <c r="J496" s="24" t="str">
        <f>IF(Registro!$I496="","",IFERROR(SUMPRODUCT(--("0"&amp;TRIM(RIGHT(SUBSTITUTE(TRIM(MID(SUBSTITUTE(SUBSTITUTE(Registro!$I496,";",CHAR(10)),CHAR(10),REPT(" ",LEN(Registro!$I496))),({1,2,3,4,5,6,7,8,9,10,11,12,13,14,15,16,17,18,19,20,21,22,23,24,25,26,27,28,29,30}-1)*LEN(Registro!$I496)+1,LEN(Registro!$I496)))," ",REPT(" ",50)),50)))),"Revisar formato"))</f>
        <v/>
      </c>
      <c r="K496" s="24" t="str">
        <f>IF(AND(Registro!$G496="",Registro!$H496=""),"",IF(AND(ISTEXT(I496),I496&lt;&gt;""),"Revisar formato",N(Registro!$G496)-N(I496)))</f>
        <v/>
      </c>
      <c r="L496" s="24" t="str">
        <f t="shared" si="15"/>
        <v/>
      </c>
      <c r="M496" s="36" t="str">
        <f>IF(AND(A496=Consulta!$B$3,C496=Consulta!$H$3),B496*10000+ROW(),"")</f>
        <v/>
      </c>
    </row>
    <row r="497" spans="1:13" x14ac:dyDescent="0.25">
      <c r="A497" s="21" t="str">
        <f>IF(Registro!$A497="","",Registro!$A497)</f>
        <v/>
      </c>
      <c r="B497" s="20" t="str">
        <f>IF(Registro!$B497="","",Registro!$B497)</f>
        <v/>
      </c>
      <c r="C497" s="35" t="str">
        <f t="shared" si="14"/>
        <v/>
      </c>
      <c r="D497" s="23" t="str">
        <f>IF(Registro!$E497="","",IF(ISERROR(FIND("x",LOWER(Registro!$E497))),"-",IFERROR(SUMPRODUCT(--("0"&amp;LEFT(TRIM(MID(SUBSTITUTE(SUBSTITUTE(SUBSTITUTE(SUBSTITUTE(SUBSTITUTE(LOWER(Registro!$E497),"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",LEN(Registro!$E497))),({1,2,3,4,5,6,7,8,9,10,11,12,13,14,15,16,17,18,19,20,21,22,23,24,25,26,27,28,29,30}-1)*LEN(Registro!$E497)+1,LEN(Registro!$E497))),FIND("x",TRIM(MID(SUBSTITUTE(SUBSTITUTE(SUBSTITUTE(SUBSTITUTE(SUBSTITUTE(LOWER(Registro!$E497),"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",LEN(Registro!$E497))),({1,2,3,4,5,6,7,8,9,10,11,12,13,14,15,16,17,18,19,20,21,22,23,24,25,26,27,28,29,30}-1)*LEN(Registro!$E497)+1,LEN(Registro!$E497)))&amp;"x")-1))),"Revisar formato")))</f>
        <v/>
      </c>
      <c r="E497" s="24" t="str">
        <f>IF(Registro!$E497="","",IF(ISERROR(FIND("x",LOWER(Registro!$E497))),"-",IFERROR(SUMPRODUCT(--("0"&amp;LEFT(TRIM(MID(SUBSTITUTE(SUBSTITUTE(SUBSTITUTE(SUBSTITUTE(SUBSTITUTE(LOWER(Registro!$E497),"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",LEN(Registro!$E497))),({1,2,3,4,5,6,7,8,9,10,11,12,13,14,15,16,17,18,19,20,21,22,23,24,25,26,27,28,29,30}-1)*LEN(Registro!$E497)+1,LEN(Registro!$E497))),FIND("x",TRIM(MID(SUBSTITUTE(SUBSTITUTE(SUBSTITUTE(SUBSTITUTE(SUBSTITUTE(LOWER(Registro!$E497),"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",LEN(Registro!$E497))),({1,2,3,4,5,6,7,8,9,10,11,12,13,14,15,16,17,18,19,20,21,22,23,24,25,26,27,28,29,30}-1)*LEN(Registro!$E497)+1,LEN(Registro!$E497)))&amp;"x")-1)),--("0"&amp;MID(TRIM(MID(SUBSTITUTE(SUBSTITUTE(SUBSTITUTE(SUBSTITUTE(SUBSTITUTE(LOWER(Registro!$E497),"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",LEN(Registro!$E497))),({1,2,3,4,5,6,7,8,9,10,11,12,13,14,15,16,17,18,19,20,21,22,23,24,25,26,27,28,29,30}-1)*LEN(Registro!$E497)+1,LEN(Registro!$E497))),FIND("x",TRIM(MID(SUBSTITUTE(SUBSTITUTE(SUBSTITUTE(SUBSTITUTE(SUBSTITUTE(LOWER(Registro!$E497),"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",LEN(Registro!$E497))),({1,2,3,4,5,6,7,8,9,10,11,12,13,14,15,16,17,18,19,20,21,22,23,24,25,26,27,28,29,30}-1)*LEN(Registro!$E497)+1,LEN(Registro!$E497)))&amp;"x")+1,20))),"Revisar formato")))</f>
        <v/>
      </c>
      <c r="F497" s="23" t="str">
        <f>IF(Registro!$F497="","",IF(ISERROR(FIND("x",LOWER(Registro!$F497))),"-",IFERROR(SUMPRODUCT(--("0"&amp;LEFT(TRIM(MID(SUBSTITUTE(SUBSTITUTE(SUBSTITUTE(SUBSTITUTE(SUBSTITUTE(LOWER(Registro!$F497)," ",""),CHAR(10),"|"),";","|"),"+","|"),"|",REPT(" ",LEN(Registro!$F497))),({1,2,3,4,5,6,7,8,9,10,11,12,13,14,15,16,17,18,19,20,21,22,23,24,25,26,27,28,29,30}-1)*LEN(Registro!$F497)+1,LEN(Registro!$F497))),FIND("x",TRIM(MID(SUBSTITUTE(SUBSTITUTE(SUBSTITUTE(SUBSTITUTE(SUBSTITUTE(LOWER(Registro!$F497)," ",""),CHAR(10),"|"),";","|"),"+","|"),"|",REPT(" ",LEN(Registro!$F497))),({1,2,3,4,5,6,7,8,9,10,11,12,13,14,15,16,17,18,19,20,21,22,23,24,25,26,27,28,29,30}-1)*LEN(Registro!$F497)+1,LEN(Registro!$F497)))&amp;"x")-1))),"Revisar formato")))</f>
        <v/>
      </c>
      <c r="G497" s="24" t="str">
        <f>IF(Registro!$F497="","",IF(ISERROR(FIND("x",LOWER(Registro!$F497))),N(Registro!$G497),IFERROR(SUMPRODUCT(--("0"&amp;LEFT(TRIM(MID(SUBSTITUTE(SUBSTITUTE(SUBSTITUTE(SUBSTITUTE(SUBSTITUTE(LOWER(Registro!$F497)," ",""),CHAR(10),"|"),";","|"),"+","|"),"|",REPT(" ",LEN(Registro!$F497))),({1,2,3,4,5,6,7,8,9,10,11,12,13,14,15,16,17,18,19,20,21,22,23,24,25,26,27,28,29,30}-1)*LEN(Registro!$F497)+1,LEN(Registro!$F497))),FIND("x",TRIM(MID(SUBSTITUTE(SUBSTITUTE(SUBSTITUTE(SUBSTITUTE(SUBSTITUTE(LOWER(Registro!$F497)," ",""),CHAR(10),"|"),";","|"),"+","|"),"|",REPT(" ",LEN(Registro!$F497))),({1,2,3,4,5,6,7,8,9,10,11,12,13,14,15,16,17,18,19,20,21,22,23,24,25,26,27,28,29,30}-1)*LEN(Registro!$F497)+1,LEN(Registro!$F497)))&amp;"x")-1)),--("0"&amp;MID(TRIM(MID(SUBSTITUTE(SUBSTITUTE(SUBSTITUTE(SUBSTITUTE(SUBSTITUTE(LOWER(Registro!$F497)," ",""),CHAR(10),"|"),";","|"),"+","|"),"|",REPT(" ",LEN(Registro!$F497))),({1,2,3,4,5,6,7,8,9,10,11,12,13,14,15,16,17,18,19,20,21,22,23,24,25,26,27,28,29,30}-1)*LEN(Registro!$F497)+1,LEN(Registro!$F497))),FIND("x",TRIM(MID(SUBSTITUTE(SUBSTITUTE(SUBSTITUTE(SUBSTITUTE(SUBSTITUTE(LOWER(Registro!$F497)," ",""),CHAR(10),"|"),";","|"),"+","|"),"|",REPT(" ",LEN(Registro!$F497))),({1,2,3,4,5,6,7,8,9,10,11,12,13,14,15,16,17,18,19,20,21,22,23,24,25,26,27,28,29,30}-1)*LEN(Registro!$F497)+1,LEN(Registro!$F497)))&amp;"x")+1,20))),"Revisar formato")))</f>
        <v/>
      </c>
      <c r="H497" s="21" t="str">
        <f>IF(AND(Registro!$E497="",Registro!$F497=""),"",IF(NOT(AND(ISNUMBER(G497),ISNUMBER(Registro!$G497))),"",IF(G497&lt;Registro!$G497,"FALTA BOLETOS",IF(G497=Registro!$G497,"CONFORME","DIFERENCIA"))))</f>
        <v/>
      </c>
      <c r="I497" s="24" t="str">
        <f>IF(Registro!$H497="","",IFERROR(SUMPRODUCT(--("0"&amp;TRIM(RIGHT(SUBSTITUTE(TRIM(MID(SUBSTITUTE(SUBSTITUTE(Registro!$H497,";",CHAR(10)),CHAR(10),REPT(" ",LEN(Registro!$H497))),({1,2,3,4,5,6,7,8,9,10,11,12,13,14,15,16,17,18,19,20,21,22,23,24,25,26,27,28,29,30}-1)*LEN(Registro!$H497)+1,LEN(Registro!$H497)))," ",REPT(" ",50)),50)))),"Revisar formato"))</f>
        <v/>
      </c>
      <c r="J497" s="24" t="str">
        <f>IF(Registro!$I497="","",IFERROR(SUMPRODUCT(--("0"&amp;TRIM(RIGHT(SUBSTITUTE(TRIM(MID(SUBSTITUTE(SUBSTITUTE(Registro!$I497,";",CHAR(10)),CHAR(10),REPT(" ",LEN(Registro!$I497))),({1,2,3,4,5,6,7,8,9,10,11,12,13,14,15,16,17,18,19,20,21,22,23,24,25,26,27,28,29,30}-1)*LEN(Registro!$I497)+1,LEN(Registro!$I497)))," ",REPT(" ",50)),50)))),"Revisar formato"))</f>
        <v/>
      </c>
      <c r="K497" s="24" t="str">
        <f>IF(AND(Registro!$G497="",Registro!$H497=""),"",IF(AND(ISTEXT(I497),I497&lt;&gt;""),"Revisar formato",N(Registro!$G497)-N(I497)))</f>
        <v/>
      </c>
      <c r="L497" s="24" t="str">
        <f t="shared" si="15"/>
        <v/>
      </c>
      <c r="M497" s="36" t="str">
        <f>IF(AND(A497=Consulta!$B$3,C497=Consulta!$H$3),B497*10000+ROW(),"")</f>
        <v/>
      </c>
    </row>
    <row r="498" spans="1:13" x14ac:dyDescent="0.25">
      <c r="A498" s="21" t="str">
        <f>IF(Registro!$A498="","",Registro!$A498)</f>
        <v/>
      </c>
      <c r="B498" s="20" t="str">
        <f>IF(Registro!$B498="","",Registro!$B498)</f>
        <v/>
      </c>
      <c r="C498" s="35" t="str">
        <f t="shared" si="14"/>
        <v/>
      </c>
      <c r="D498" s="23" t="str">
        <f>IF(Registro!$E498="","",IF(ISERROR(FIND("x",LOWER(Registro!$E498))),"-",IFERROR(SUMPRODUCT(--("0"&amp;LEFT(TRIM(MID(SUBSTITUTE(SUBSTITUTE(SUBSTITUTE(SUBSTITUTE(SUBSTITUTE(LOWER(Registro!$E498),"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",LEN(Registro!$E498))),({1,2,3,4,5,6,7,8,9,10,11,12,13,14,15,16,17,18,19,20,21,22,23,24,25,26,27,28,29,30}-1)*LEN(Registro!$E498)+1,LEN(Registro!$E498))),FIND("x",TRIM(MID(SUBSTITUTE(SUBSTITUTE(SUBSTITUTE(SUBSTITUTE(SUBSTITUTE(LOWER(Registro!$E498),"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",LEN(Registro!$E498))),({1,2,3,4,5,6,7,8,9,10,11,12,13,14,15,16,17,18,19,20,21,22,23,24,25,26,27,28,29,30}-1)*LEN(Registro!$E498)+1,LEN(Registro!$E498)))&amp;"x")-1))),"Revisar formato")))</f>
        <v/>
      </c>
      <c r="E498" s="24" t="str">
        <f>IF(Registro!$E498="","",IF(ISERROR(FIND("x",LOWER(Registro!$E498))),"-",IFERROR(SUMPRODUCT(--("0"&amp;LEFT(TRIM(MID(SUBSTITUTE(SUBSTITUTE(SUBSTITUTE(SUBSTITUTE(SUBSTITUTE(LOWER(Registro!$E498),"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",LEN(Registro!$E498))),({1,2,3,4,5,6,7,8,9,10,11,12,13,14,15,16,17,18,19,20,21,22,23,24,25,26,27,28,29,30}-1)*LEN(Registro!$E498)+1,LEN(Registro!$E498))),FIND("x",TRIM(MID(SUBSTITUTE(SUBSTITUTE(SUBSTITUTE(SUBSTITUTE(SUBSTITUTE(LOWER(Registro!$E498),"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",LEN(Registro!$E498))),({1,2,3,4,5,6,7,8,9,10,11,12,13,14,15,16,17,18,19,20,21,22,23,24,25,26,27,28,29,30}-1)*LEN(Registro!$E498)+1,LEN(Registro!$E498)))&amp;"x")-1)),--("0"&amp;MID(TRIM(MID(SUBSTITUTE(SUBSTITUTE(SUBSTITUTE(SUBSTITUTE(SUBSTITUTE(LOWER(Registro!$E498),"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",LEN(Registro!$E498))),({1,2,3,4,5,6,7,8,9,10,11,12,13,14,15,16,17,18,19,20,21,22,23,24,25,26,27,28,29,30}-1)*LEN(Registro!$E498)+1,LEN(Registro!$E498))),FIND("x",TRIM(MID(SUBSTITUTE(SUBSTITUTE(SUBSTITUTE(SUBSTITUTE(SUBSTITUTE(LOWER(Registro!$E498),"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",LEN(Registro!$E498))),({1,2,3,4,5,6,7,8,9,10,11,12,13,14,15,16,17,18,19,20,21,22,23,24,25,26,27,28,29,30}-1)*LEN(Registro!$E498)+1,LEN(Registro!$E498)))&amp;"x")+1,20))),"Revisar formato")))</f>
        <v/>
      </c>
      <c r="F498" s="23" t="str">
        <f>IF(Registro!$F498="","",IF(ISERROR(FIND("x",LOWER(Registro!$F498))),"-",IFERROR(SUMPRODUCT(--("0"&amp;LEFT(TRIM(MID(SUBSTITUTE(SUBSTITUTE(SUBSTITUTE(SUBSTITUTE(SUBSTITUTE(LOWER(Registro!$F498)," ",""),CHAR(10),"|"),";","|"),"+","|"),"|",REPT(" ",LEN(Registro!$F498))),({1,2,3,4,5,6,7,8,9,10,11,12,13,14,15,16,17,18,19,20,21,22,23,24,25,26,27,28,29,30}-1)*LEN(Registro!$F498)+1,LEN(Registro!$F498))),FIND("x",TRIM(MID(SUBSTITUTE(SUBSTITUTE(SUBSTITUTE(SUBSTITUTE(SUBSTITUTE(LOWER(Registro!$F498)," ",""),CHAR(10),"|"),";","|"),"+","|"),"|",REPT(" ",LEN(Registro!$F498))),({1,2,3,4,5,6,7,8,9,10,11,12,13,14,15,16,17,18,19,20,21,22,23,24,25,26,27,28,29,30}-1)*LEN(Registro!$F498)+1,LEN(Registro!$F498)))&amp;"x")-1))),"Revisar formato")))</f>
        <v/>
      </c>
      <c r="G498" s="24" t="str">
        <f>IF(Registro!$F498="","",IF(ISERROR(FIND("x",LOWER(Registro!$F498))),N(Registro!$G498),IFERROR(SUMPRODUCT(--("0"&amp;LEFT(TRIM(MID(SUBSTITUTE(SUBSTITUTE(SUBSTITUTE(SUBSTITUTE(SUBSTITUTE(LOWER(Registro!$F498)," ",""),CHAR(10),"|"),";","|"),"+","|"),"|",REPT(" ",LEN(Registro!$F498))),({1,2,3,4,5,6,7,8,9,10,11,12,13,14,15,16,17,18,19,20,21,22,23,24,25,26,27,28,29,30}-1)*LEN(Registro!$F498)+1,LEN(Registro!$F498))),FIND("x",TRIM(MID(SUBSTITUTE(SUBSTITUTE(SUBSTITUTE(SUBSTITUTE(SUBSTITUTE(LOWER(Registro!$F498)," ",""),CHAR(10),"|"),";","|"),"+","|"),"|",REPT(" ",LEN(Registro!$F498))),({1,2,3,4,5,6,7,8,9,10,11,12,13,14,15,16,17,18,19,20,21,22,23,24,25,26,27,28,29,30}-1)*LEN(Registro!$F498)+1,LEN(Registro!$F498)))&amp;"x")-1)),--("0"&amp;MID(TRIM(MID(SUBSTITUTE(SUBSTITUTE(SUBSTITUTE(SUBSTITUTE(SUBSTITUTE(LOWER(Registro!$F498)," ",""),CHAR(10),"|"),";","|"),"+","|"),"|",REPT(" ",LEN(Registro!$F498))),({1,2,3,4,5,6,7,8,9,10,11,12,13,14,15,16,17,18,19,20,21,22,23,24,25,26,27,28,29,30}-1)*LEN(Registro!$F498)+1,LEN(Registro!$F498))),FIND("x",TRIM(MID(SUBSTITUTE(SUBSTITUTE(SUBSTITUTE(SUBSTITUTE(SUBSTITUTE(LOWER(Registro!$F498)," ",""),CHAR(10),"|"),";","|"),"+","|"),"|",REPT(" ",LEN(Registro!$F498))),({1,2,3,4,5,6,7,8,9,10,11,12,13,14,15,16,17,18,19,20,21,22,23,24,25,26,27,28,29,30}-1)*LEN(Registro!$F498)+1,LEN(Registro!$F498)))&amp;"x")+1,20))),"Revisar formato")))</f>
        <v/>
      </c>
      <c r="H498" s="21" t="str">
        <f>IF(AND(Registro!$E498="",Registro!$F498=""),"",IF(NOT(AND(ISNUMBER(G498),ISNUMBER(Registro!$G498))),"",IF(G498&lt;Registro!$G498,"FALTA BOLETOS",IF(G498=Registro!$G498,"CONFORME","DIFERENCIA"))))</f>
        <v/>
      </c>
      <c r="I498" s="24" t="str">
        <f>IF(Registro!$H498="","",IFERROR(SUMPRODUCT(--("0"&amp;TRIM(RIGHT(SUBSTITUTE(TRIM(MID(SUBSTITUTE(SUBSTITUTE(Registro!$H498,";",CHAR(10)),CHAR(10),REPT(" ",LEN(Registro!$H498))),({1,2,3,4,5,6,7,8,9,10,11,12,13,14,15,16,17,18,19,20,21,22,23,24,25,26,27,28,29,30}-1)*LEN(Registro!$H498)+1,LEN(Registro!$H498)))," ",REPT(" ",50)),50)))),"Revisar formato"))</f>
        <v/>
      </c>
      <c r="J498" s="24" t="str">
        <f>IF(Registro!$I498="","",IFERROR(SUMPRODUCT(--("0"&amp;TRIM(RIGHT(SUBSTITUTE(TRIM(MID(SUBSTITUTE(SUBSTITUTE(Registro!$I498,";",CHAR(10)),CHAR(10),REPT(" ",LEN(Registro!$I498))),({1,2,3,4,5,6,7,8,9,10,11,12,13,14,15,16,17,18,19,20,21,22,23,24,25,26,27,28,29,30}-1)*LEN(Registro!$I498)+1,LEN(Registro!$I498)))," ",REPT(" ",50)),50)))),"Revisar formato"))</f>
        <v/>
      </c>
      <c r="K498" s="24" t="str">
        <f>IF(AND(Registro!$G498="",Registro!$H498=""),"",IF(AND(ISTEXT(I498),I498&lt;&gt;""),"Revisar formato",N(Registro!$G498)-N(I498)))</f>
        <v/>
      </c>
      <c r="L498" s="24" t="str">
        <f t="shared" si="15"/>
        <v/>
      </c>
      <c r="M498" s="36" t="str">
        <f>IF(AND(A498=Consulta!$B$3,C498=Consulta!$H$3),B498*10000+ROW(),"")</f>
        <v/>
      </c>
    </row>
    <row r="499" spans="1:13" x14ac:dyDescent="0.25">
      <c r="A499" s="21" t="str">
        <f>IF(Registro!$A499="","",Registro!$A499)</f>
        <v/>
      </c>
      <c r="B499" s="20" t="str">
        <f>IF(Registro!$B499="","",Registro!$B499)</f>
        <v/>
      </c>
      <c r="C499" s="35" t="str">
        <f t="shared" si="14"/>
        <v/>
      </c>
      <c r="D499" s="23" t="str">
        <f>IF(Registro!$E499="","",IF(ISERROR(FIND("x",LOWER(Registro!$E499))),"-",IFERROR(SUMPRODUCT(--("0"&amp;LEFT(TRIM(MID(SUBSTITUTE(SUBSTITUTE(SUBSTITUTE(SUBSTITUTE(SUBSTITUTE(LOWER(Registro!$E499),"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",LEN(Registro!$E499))),({1,2,3,4,5,6,7,8,9,10,11,12,13,14,15,16,17,18,19,20,21,22,23,24,25,26,27,28,29,30}-1)*LEN(Registro!$E499)+1,LEN(Registro!$E499))),FIND("x",TRIM(MID(SUBSTITUTE(SUBSTITUTE(SUBSTITUTE(SUBSTITUTE(SUBSTITUTE(LOWER(Registro!$E499),"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",LEN(Registro!$E499))),({1,2,3,4,5,6,7,8,9,10,11,12,13,14,15,16,17,18,19,20,21,22,23,24,25,26,27,28,29,30}-1)*LEN(Registro!$E499)+1,LEN(Registro!$E499)))&amp;"x")-1))),"Revisar formato")))</f>
        <v/>
      </c>
      <c r="E499" s="24" t="str">
        <f>IF(Registro!$E499="","",IF(ISERROR(FIND("x",LOWER(Registro!$E499))),"-",IFERROR(SUMPRODUCT(--("0"&amp;LEFT(TRIM(MID(SUBSTITUTE(SUBSTITUTE(SUBSTITUTE(SUBSTITUTE(SUBSTITUTE(LOWER(Registro!$E499),"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",LEN(Registro!$E499))),({1,2,3,4,5,6,7,8,9,10,11,12,13,14,15,16,17,18,19,20,21,22,23,24,25,26,27,28,29,30}-1)*LEN(Registro!$E499)+1,LEN(Registro!$E499))),FIND("x",TRIM(MID(SUBSTITUTE(SUBSTITUTE(SUBSTITUTE(SUBSTITUTE(SUBSTITUTE(LOWER(Registro!$E499),"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",LEN(Registro!$E499))),({1,2,3,4,5,6,7,8,9,10,11,12,13,14,15,16,17,18,19,20,21,22,23,24,25,26,27,28,29,30}-1)*LEN(Registro!$E499)+1,LEN(Registro!$E499)))&amp;"x")-1)),--("0"&amp;MID(TRIM(MID(SUBSTITUTE(SUBSTITUTE(SUBSTITUTE(SUBSTITUTE(SUBSTITUTE(LOWER(Registro!$E499),"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",LEN(Registro!$E499))),({1,2,3,4,5,6,7,8,9,10,11,12,13,14,15,16,17,18,19,20,21,22,23,24,25,26,27,28,29,30}-1)*LEN(Registro!$E499)+1,LEN(Registro!$E499))),FIND("x",TRIM(MID(SUBSTITUTE(SUBSTITUTE(SUBSTITUTE(SUBSTITUTE(SUBSTITUTE(LOWER(Registro!$E499),"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",LEN(Registro!$E499))),({1,2,3,4,5,6,7,8,9,10,11,12,13,14,15,16,17,18,19,20,21,22,23,24,25,26,27,28,29,30}-1)*LEN(Registro!$E499)+1,LEN(Registro!$E499)))&amp;"x")+1,20))),"Revisar formato")))</f>
        <v/>
      </c>
      <c r="F499" s="23" t="str">
        <f>IF(Registro!$F499="","",IF(ISERROR(FIND("x",LOWER(Registro!$F499))),"-",IFERROR(SUMPRODUCT(--("0"&amp;LEFT(TRIM(MID(SUBSTITUTE(SUBSTITUTE(SUBSTITUTE(SUBSTITUTE(SUBSTITUTE(LOWER(Registro!$F499)," ",""),CHAR(10),"|"),";","|"),"+","|"),"|",REPT(" ",LEN(Registro!$F499))),({1,2,3,4,5,6,7,8,9,10,11,12,13,14,15,16,17,18,19,20,21,22,23,24,25,26,27,28,29,30}-1)*LEN(Registro!$F499)+1,LEN(Registro!$F499))),FIND("x",TRIM(MID(SUBSTITUTE(SUBSTITUTE(SUBSTITUTE(SUBSTITUTE(SUBSTITUTE(LOWER(Registro!$F499)," ",""),CHAR(10),"|"),";","|"),"+","|"),"|",REPT(" ",LEN(Registro!$F499))),({1,2,3,4,5,6,7,8,9,10,11,12,13,14,15,16,17,18,19,20,21,22,23,24,25,26,27,28,29,30}-1)*LEN(Registro!$F499)+1,LEN(Registro!$F499)))&amp;"x")-1))),"Revisar formato")))</f>
        <v/>
      </c>
      <c r="G499" s="24" t="str">
        <f>IF(Registro!$F499="","",IF(ISERROR(FIND("x",LOWER(Registro!$F499))),N(Registro!$G499),IFERROR(SUMPRODUCT(--("0"&amp;LEFT(TRIM(MID(SUBSTITUTE(SUBSTITUTE(SUBSTITUTE(SUBSTITUTE(SUBSTITUTE(LOWER(Registro!$F499)," ",""),CHAR(10),"|"),";","|"),"+","|"),"|",REPT(" ",LEN(Registro!$F499))),({1,2,3,4,5,6,7,8,9,10,11,12,13,14,15,16,17,18,19,20,21,22,23,24,25,26,27,28,29,30}-1)*LEN(Registro!$F499)+1,LEN(Registro!$F499))),FIND("x",TRIM(MID(SUBSTITUTE(SUBSTITUTE(SUBSTITUTE(SUBSTITUTE(SUBSTITUTE(LOWER(Registro!$F499)," ",""),CHAR(10),"|"),";","|"),"+","|"),"|",REPT(" ",LEN(Registro!$F499))),({1,2,3,4,5,6,7,8,9,10,11,12,13,14,15,16,17,18,19,20,21,22,23,24,25,26,27,28,29,30}-1)*LEN(Registro!$F499)+1,LEN(Registro!$F499)))&amp;"x")-1)),--("0"&amp;MID(TRIM(MID(SUBSTITUTE(SUBSTITUTE(SUBSTITUTE(SUBSTITUTE(SUBSTITUTE(LOWER(Registro!$F499)," ",""),CHAR(10),"|"),";","|"),"+","|"),"|",REPT(" ",LEN(Registro!$F499))),({1,2,3,4,5,6,7,8,9,10,11,12,13,14,15,16,17,18,19,20,21,22,23,24,25,26,27,28,29,30}-1)*LEN(Registro!$F499)+1,LEN(Registro!$F499))),FIND("x",TRIM(MID(SUBSTITUTE(SUBSTITUTE(SUBSTITUTE(SUBSTITUTE(SUBSTITUTE(LOWER(Registro!$F499)," ",""),CHAR(10),"|"),";","|"),"+","|"),"|",REPT(" ",LEN(Registro!$F499))),({1,2,3,4,5,6,7,8,9,10,11,12,13,14,15,16,17,18,19,20,21,22,23,24,25,26,27,28,29,30}-1)*LEN(Registro!$F499)+1,LEN(Registro!$F499)))&amp;"x")+1,20))),"Revisar formato")))</f>
        <v/>
      </c>
      <c r="H499" s="21" t="str">
        <f>IF(AND(Registro!$E499="",Registro!$F499=""),"",IF(NOT(AND(ISNUMBER(G499),ISNUMBER(Registro!$G499))),"",IF(G499&lt;Registro!$G499,"FALTA BOLETOS",IF(G499=Registro!$G499,"CONFORME","DIFERENCIA"))))</f>
        <v/>
      </c>
      <c r="I499" s="24" t="str">
        <f>IF(Registro!$H499="","",IFERROR(SUMPRODUCT(--("0"&amp;TRIM(RIGHT(SUBSTITUTE(TRIM(MID(SUBSTITUTE(SUBSTITUTE(Registro!$H499,";",CHAR(10)),CHAR(10),REPT(" ",LEN(Registro!$H499))),({1,2,3,4,5,6,7,8,9,10,11,12,13,14,15,16,17,18,19,20,21,22,23,24,25,26,27,28,29,30}-1)*LEN(Registro!$H499)+1,LEN(Registro!$H499)))," ",REPT(" ",50)),50)))),"Revisar formato"))</f>
        <v/>
      </c>
      <c r="J499" s="24" t="str">
        <f>IF(Registro!$I499="","",IFERROR(SUMPRODUCT(--("0"&amp;TRIM(RIGHT(SUBSTITUTE(TRIM(MID(SUBSTITUTE(SUBSTITUTE(Registro!$I499,";",CHAR(10)),CHAR(10),REPT(" ",LEN(Registro!$I499))),({1,2,3,4,5,6,7,8,9,10,11,12,13,14,15,16,17,18,19,20,21,22,23,24,25,26,27,28,29,30}-1)*LEN(Registro!$I499)+1,LEN(Registro!$I499)))," ",REPT(" ",50)),50)))),"Revisar formato"))</f>
        <v/>
      </c>
      <c r="K499" s="24" t="str">
        <f>IF(AND(Registro!$G499="",Registro!$H499=""),"",IF(AND(ISTEXT(I499),I499&lt;&gt;""),"Revisar formato",N(Registro!$G499)-N(I499)))</f>
        <v/>
      </c>
      <c r="L499" s="24" t="str">
        <f t="shared" si="15"/>
        <v/>
      </c>
      <c r="M499" s="36" t="str">
        <f>IF(AND(A499=Consulta!$B$3,C499=Consulta!$H$3),B499*10000+ROW(),"")</f>
        <v/>
      </c>
    </row>
    <row r="500" spans="1:13" x14ac:dyDescent="0.25">
      <c r="A500" s="21" t="str">
        <f>IF(Registro!$A500="","",Registro!$A500)</f>
        <v/>
      </c>
      <c r="B500" s="20" t="str">
        <f>IF(Registro!$B500="","",Registro!$B500)</f>
        <v/>
      </c>
      <c r="C500" s="35" t="str">
        <f t="shared" si="14"/>
        <v/>
      </c>
      <c r="D500" s="23" t="str">
        <f>IF(Registro!$E500="","",IF(ISERROR(FIND("x",LOWER(Registro!$E500))),"-",IFERROR(SUMPRODUCT(--("0"&amp;LEFT(TRIM(MID(SUBSTITUTE(SUBSTITUTE(SUBSTITUTE(SUBSTITUTE(SUBSTITUTE(LOWER(Registro!$E500),"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",LEN(Registro!$E500))),({1,2,3,4,5,6,7,8,9,10,11,12,13,14,15,16,17,18,19,20,21,22,23,24,25,26,27,28,29,30}-1)*LEN(Registro!$E500)+1,LEN(Registro!$E500))),FIND("x",TRIM(MID(SUBSTITUTE(SUBSTITUTE(SUBSTITUTE(SUBSTITUTE(SUBSTITUTE(LOWER(Registro!$E500),"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",LEN(Registro!$E500))),({1,2,3,4,5,6,7,8,9,10,11,12,13,14,15,16,17,18,19,20,21,22,23,24,25,26,27,28,29,30}-1)*LEN(Registro!$E500)+1,LEN(Registro!$E500)))&amp;"x")-1))),"Revisar formato")))</f>
        <v/>
      </c>
      <c r="E500" s="24" t="str">
        <f>IF(Registro!$E500="","",IF(ISERROR(FIND("x",LOWER(Registro!$E500))),"-",IFERROR(SUMPRODUCT(--("0"&amp;LEFT(TRIM(MID(SUBSTITUTE(SUBSTITUTE(SUBSTITUTE(SUBSTITUTE(SUBSTITUTE(LOWER(Registro!$E500),"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",LEN(Registro!$E500))),({1,2,3,4,5,6,7,8,9,10,11,12,13,14,15,16,17,18,19,20,21,22,23,24,25,26,27,28,29,30}-1)*LEN(Registro!$E500)+1,LEN(Registro!$E500))),FIND("x",TRIM(MID(SUBSTITUTE(SUBSTITUTE(SUBSTITUTE(SUBSTITUTE(SUBSTITUTE(LOWER(Registro!$E500),"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",LEN(Registro!$E500))),({1,2,3,4,5,6,7,8,9,10,11,12,13,14,15,16,17,18,19,20,21,22,23,24,25,26,27,28,29,30}-1)*LEN(Registro!$E500)+1,LEN(Registro!$E500)))&amp;"x")-1)),--("0"&amp;MID(TRIM(MID(SUBSTITUTE(SUBSTITUTE(SUBSTITUTE(SUBSTITUTE(SUBSTITUTE(LOWER(Registro!$E500),"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",LEN(Registro!$E500))),({1,2,3,4,5,6,7,8,9,10,11,12,13,14,15,16,17,18,19,20,21,22,23,24,25,26,27,28,29,30}-1)*LEN(Registro!$E500)+1,LEN(Registro!$E500))),FIND("x",TRIM(MID(SUBSTITUTE(SUBSTITUTE(SUBSTITUTE(SUBSTITUTE(SUBSTITUTE(LOWER(Registro!$E500),"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",LEN(Registro!$E500))),({1,2,3,4,5,6,7,8,9,10,11,12,13,14,15,16,17,18,19,20,21,22,23,24,25,26,27,28,29,30}-1)*LEN(Registro!$E500)+1,LEN(Registro!$E500)))&amp;"x")+1,20))),"Revisar formato")))</f>
        <v/>
      </c>
      <c r="F500" s="23" t="str">
        <f>IF(Registro!$F500="","",IF(ISERROR(FIND("x",LOWER(Registro!$F500))),"-",IFERROR(SUMPRODUCT(--("0"&amp;LEFT(TRIM(MID(SUBSTITUTE(SUBSTITUTE(SUBSTITUTE(SUBSTITUTE(SUBSTITUTE(LOWER(Registro!$F500)," ",""),CHAR(10),"|"),";","|"),"+","|"),"|",REPT(" ",LEN(Registro!$F500))),({1,2,3,4,5,6,7,8,9,10,11,12,13,14,15,16,17,18,19,20,21,22,23,24,25,26,27,28,29,30}-1)*LEN(Registro!$F500)+1,LEN(Registro!$F500))),FIND("x",TRIM(MID(SUBSTITUTE(SUBSTITUTE(SUBSTITUTE(SUBSTITUTE(SUBSTITUTE(LOWER(Registro!$F500)," ",""),CHAR(10),"|"),";","|"),"+","|"),"|",REPT(" ",LEN(Registro!$F500))),({1,2,3,4,5,6,7,8,9,10,11,12,13,14,15,16,17,18,19,20,21,22,23,24,25,26,27,28,29,30}-1)*LEN(Registro!$F500)+1,LEN(Registro!$F500)))&amp;"x")-1))),"Revisar formato")))</f>
        <v/>
      </c>
      <c r="G500" s="24" t="str">
        <f>IF(Registro!$F500="","",IF(ISERROR(FIND("x",LOWER(Registro!$F500))),N(Registro!$G500),IFERROR(SUMPRODUCT(--("0"&amp;LEFT(TRIM(MID(SUBSTITUTE(SUBSTITUTE(SUBSTITUTE(SUBSTITUTE(SUBSTITUTE(LOWER(Registro!$F500)," ",""),CHAR(10),"|"),";","|"),"+","|"),"|",REPT(" ",LEN(Registro!$F500))),({1,2,3,4,5,6,7,8,9,10,11,12,13,14,15,16,17,18,19,20,21,22,23,24,25,26,27,28,29,30}-1)*LEN(Registro!$F500)+1,LEN(Registro!$F500))),FIND("x",TRIM(MID(SUBSTITUTE(SUBSTITUTE(SUBSTITUTE(SUBSTITUTE(SUBSTITUTE(LOWER(Registro!$F500)," ",""),CHAR(10),"|"),";","|"),"+","|"),"|",REPT(" ",LEN(Registro!$F500))),({1,2,3,4,5,6,7,8,9,10,11,12,13,14,15,16,17,18,19,20,21,22,23,24,25,26,27,28,29,30}-1)*LEN(Registro!$F500)+1,LEN(Registro!$F500)))&amp;"x")-1)),--("0"&amp;MID(TRIM(MID(SUBSTITUTE(SUBSTITUTE(SUBSTITUTE(SUBSTITUTE(SUBSTITUTE(LOWER(Registro!$F500)," ",""),CHAR(10),"|"),";","|"),"+","|"),"|",REPT(" ",LEN(Registro!$F500))),({1,2,3,4,5,6,7,8,9,10,11,12,13,14,15,16,17,18,19,20,21,22,23,24,25,26,27,28,29,30}-1)*LEN(Registro!$F500)+1,LEN(Registro!$F500))),FIND("x",TRIM(MID(SUBSTITUTE(SUBSTITUTE(SUBSTITUTE(SUBSTITUTE(SUBSTITUTE(LOWER(Registro!$F500)," ",""),CHAR(10),"|"),";","|"),"+","|"),"|",REPT(" ",LEN(Registro!$F500))),({1,2,3,4,5,6,7,8,9,10,11,12,13,14,15,16,17,18,19,20,21,22,23,24,25,26,27,28,29,30}-1)*LEN(Registro!$F500)+1,LEN(Registro!$F500)))&amp;"x")+1,20))),"Revisar formato")))</f>
        <v/>
      </c>
      <c r="H500" s="21" t="str">
        <f>IF(AND(Registro!$E500="",Registro!$F500=""),"",IF(NOT(AND(ISNUMBER(G500),ISNUMBER(Registro!$G500))),"",IF(G500&lt;Registro!$G500,"FALTA BOLETOS",IF(G500=Registro!$G500,"CONFORME","DIFERENCIA"))))</f>
        <v/>
      </c>
      <c r="I500" s="24" t="str">
        <f>IF(Registro!$H500="","",IFERROR(SUMPRODUCT(--("0"&amp;TRIM(RIGHT(SUBSTITUTE(TRIM(MID(SUBSTITUTE(SUBSTITUTE(Registro!$H500,";",CHAR(10)),CHAR(10),REPT(" ",LEN(Registro!$H500))),({1,2,3,4,5,6,7,8,9,10,11,12,13,14,15,16,17,18,19,20,21,22,23,24,25,26,27,28,29,30}-1)*LEN(Registro!$H500)+1,LEN(Registro!$H500)))," ",REPT(" ",50)),50)))),"Revisar formato"))</f>
        <v/>
      </c>
      <c r="J500" s="24" t="str">
        <f>IF(Registro!$I500="","",IFERROR(SUMPRODUCT(--("0"&amp;TRIM(RIGHT(SUBSTITUTE(TRIM(MID(SUBSTITUTE(SUBSTITUTE(Registro!$I500,";",CHAR(10)),CHAR(10),REPT(" ",LEN(Registro!$I500))),({1,2,3,4,5,6,7,8,9,10,11,12,13,14,15,16,17,18,19,20,21,22,23,24,25,26,27,28,29,30}-1)*LEN(Registro!$I500)+1,LEN(Registro!$I500)))," ",REPT(" ",50)),50)))),"Revisar formato"))</f>
        <v/>
      </c>
      <c r="K500" s="24" t="str">
        <f>IF(AND(Registro!$G500="",Registro!$H500=""),"",IF(AND(ISTEXT(I500),I500&lt;&gt;""),"Revisar formato",N(Registro!$G500)-N(I500)))</f>
        <v/>
      </c>
      <c r="L500" s="24" t="str">
        <f t="shared" si="15"/>
        <v/>
      </c>
      <c r="M500" s="36" t="str">
        <f>IF(AND(A500=Consulta!$B$3,C500=Consulta!$H$3),B500*10000+ROW(),"")</f>
        <v/>
      </c>
    </row>
    <row r="501" spans="1:13" x14ac:dyDescent="0.25">
      <c r="A501" s="21" t="str">
        <f>IF(Registro!$A501="","",Registro!$A501)</f>
        <v/>
      </c>
      <c r="B501" s="20" t="str">
        <f>IF(Registro!$B501="","",Registro!$B501)</f>
        <v/>
      </c>
      <c r="C501" s="35" t="str">
        <f t="shared" si="14"/>
        <v/>
      </c>
      <c r="D501" s="23" t="str">
        <f>IF(Registro!$E501="","",IF(ISERROR(FIND("x",LOWER(Registro!$E501))),"-",IFERROR(SUMPRODUCT(--("0"&amp;LEFT(TRIM(MID(SUBSTITUTE(SUBSTITUTE(SUBSTITUTE(SUBSTITUTE(SUBSTITUTE(LOWER(Registro!$E501),"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",LEN(Registro!$E501))),({1,2,3,4,5,6,7,8,9,10,11,12,13,14,15,16,17,18,19,20,21,22,23,24,25,26,27,28,29,30}-1)*LEN(Registro!$E501)+1,LEN(Registro!$E501))),FIND("x",TRIM(MID(SUBSTITUTE(SUBSTITUTE(SUBSTITUTE(SUBSTITUTE(SUBSTITUTE(LOWER(Registro!$E501),"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",LEN(Registro!$E501))),({1,2,3,4,5,6,7,8,9,10,11,12,13,14,15,16,17,18,19,20,21,22,23,24,25,26,27,28,29,30}-1)*LEN(Registro!$E501)+1,LEN(Registro!$E501)))&amp;"x")-1))),"Revisar formato")))</f>
        <v/>
      </c>
      <c r="E501" s="24" t="str">
        <f>IF(Registro!$E501="","",IF(ISERROR(FIND("x",LOWER(Registro!$E501))),"-",IFERROR(SUMPRODUCT(--("0"&amp;LEFT(TRIM(MID(SUBSTITUTE(SUBSTITUTE(SUBSTITUTE(SUBSTITUTE(SUBSTITUTE(LOWER(Registro!$E501),"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",LEN(Registro!$E501))),({1,2,3,4,5,6,7,8,9,10,11,12,13,14,15,16,17,18,19,20,21,22,23,24,25,26,27,28,29,30}-1)*LEN(Registro!$E501)+1,LEN(Registro!$E501))),FIND("x",TRIM(MID(SUBSTITUTE(SUBSTITUTE(SUBSTITUTE(SUBSTITUTE(SUBSTITUTE(LOWER(Registro!$E501),"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",LEN(Registro!$E501))),({1,2,3,4,5,6,7,8,9,10,11,12,13,14,15,16,17,18,19,20,21,22,23,24,25,26,27,28,29,30}-1)*LEN(Registro!$E501)+1,LEN(Registro!$E501)))&amp;"x")-1)),--("0"&amp;MID(TRIM(MID(SUBSTITUTE(SUBSTITUTE(SUBSTITUTE(SUBSTITUTE(SUBSTITUTE(LOWER(Registro!$E501),"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",LEN(Registro!$E501))),({1,2,3,4,5,6,7,8,9,10,11,12,13,14,15,16,17,18,19,20,21,22,23,24,25,26,27,28,29,30}-1)*LEN(Registro!$E501)+1,LEN(Registro!$E501))),FIND("x",TRIM(MID(SUBSTITUTE(SUBSTITUTE(SUBSTITUTE(SUBSTITUTE(SUBSTITUTE(LOWER(Registro!$E501),"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",LEN(Registro!$E501))),({1,2,3,4,5,6,7,8,9,10,11,12,13,14,15,16,17,18,19,20,21,22,23,24,25,26,27,28,29,30}-1)*LEN(Registro!$E501)+1,LEN(Registro!$E501)))&amp;"x")+1,20))),"Revisar formato")))</f>
        <v/>
      </c>
      <c r="F501" s="23" t="str">
        <f>IF(Registro!$F501="","",IF(ISERROR(FIND("x",LOWER(Registro!$F501))),"-",IFERROR(SUMPRODUCT(--("0"&amp;LEFT(TRIM(MID(SUBSTITUTE(SUBSTITUTE(SUBSTITUTE(SUBSTITUTE(SUBSTITUTE(LOWER(Registro!$F501)," ",""),CHAR(10),"|"),";","|"),"+","|"),"|",REPT(" ",LEN(Registro!$F501))),({1,2,3,4,5,6,7,8,9,10,11,12,13,14,15,16,17,18,19,20,21,22,23,24,25,26,27,28,29,30}-1)*LEN(Registro!$F501)+1,LEN(Registro!$F501))),FIND("x",TRIM(MID(SUBSTITUTE(SUBSTITUTE(SUBSTITUTE(SUBSTITUTE(SUBSTITUTE(LOWER(Registro!$F501)," ",""),CHAR(10),"|"),";","|"),"+","|"),"|",REPT(" ",LEN(Registro!$F501))),({1,2,3,4,5,6,7,8,9,10,11,12,13,14,15,16,17,18,19,20,21,22,23,24,25,26,27,28,29,30}-1)*LEN(Registro!$F501)+1,LEN(Registro!$F501)))&amp;"x")-1))),"Revisar formato")))</f>
        <v/>
      </c>
      <c r="G501" s="24" t="str">
        <f>IF(Registro!$F501="","",IF(ISERROR(FIND("x",LOWER(Registro!$F501))),N(Registro!$G501),IFERROR(SUMPRODUCT(--("0"&amp;LEFT(TRIM(MID(SUBSTITUTE(SUBSTITUTE(SUBSTITUTE(SUBSTITUTE(SUBSTITUTE(LOWER(Registro!$F501)," ",""),CHAR(10),"|"),";","|"),"+","|"),"|",REPT(" ",LEN(Registro!$F501))),({1,2,3,4,5,6,7,8,9,10,11,12,13,14,15,16,17,18,19,20,21,22,23,24,25,26,27,28,29,30}-1)*LEN(Registro!$F501)+1,LEN(Registro!$F501))),FIND("x",TRIM(MID(SUBSTITUTE(SUBSTITUTE(SUBSTITUTE(SUBSTITUTE(SUBSTITUTE(LOWER(Registro!$F501)," ",""),CHAR(10),"|"),";","|"),"+","|"),"|",REPT(" ",LEN(Registro!$F501))),({1,2,3,4,5,6,7,8,9,10,11,12,13,14,15,16,17,18,19,20,21,22,23,24,25,26,27,28,29,30}-1)*LEN(Registro!$F501)+1,LEN(Registro!$F501)))&amp;"x")-1)),--("0"&amp;MID(TRIM(MID(SUBSTITUTE(SUBSTITUTE(SUBSTITUTE(SUBSTITUTE(SUBSTITUTE(LOWER(Registro!$F501)," ",""),CHAR(10),"|"),";","|"),"+","|"),"|",REPT(" ",LEN(Registro!$F501))),({1,2,3,4,5,6,7,8,9,10,11,12,13,14,15,16,17,18,19,20,21,22,23,24,25,26,27,28,29,30}-1)*LEN(Registro!$F501)+1,LEN(Registro!$F501))),FIND("x",TRIM(MID(SUBSTITUTE(SUBSTITUTE(SUBSTITUTE(SUBSTITUTE(SUBSTITUTE(LOWER(Registro!$F501)," ",""),CHAR(10),"|"),";","|"),"+","|"),"|",REPT(" ",LEN(Registro!$F501))),({1,2,3,4,5,6,7,8,9,10,11,12,13,14,15,16,17,18,19,20,21,22,23,24,25,26,27,28,29,30}-1)*LEN(Registro!$F501)+1,LEN(Registro!$F501)))&amp;"x")+1,20))),"Revisar formato")))</f>
        <v/>
      </c>
      <c r="H501" s="21" t="str">
        <f>IF(AND(Registro!$E501="",Registro!$F501=""),"",IF(NOT(AND(ISNUMBER(G501),ISNUMBER(Registro!$G501))),"",IF(G501&lt;Registro!$G501,"FALTA BOLETOS",IF(G501=Registro!$G501,"CONFORME","DIFERENCIA"))))</f>
        <v/>
      </c>
      <c r="I501" s="24" t="str">
        <f>IF(Registro!$H501="","",IFERROR(SUMPRODUCT(--("0"&amp;TRIM(RIGHT(SUBSTITUTE(TRIM(MID(SUBSTITUTE(SUBSTITUTE(Registro!$H501,";",CHAR(10)),CHAR(10),REPT(" ",LEN(Registro!$H501))),({1,2,3,4,5,6,7,8,9,10,11,12,13,14,15,16,17,18,19,20,21,22,23,24,25,26,27,28,29,30}-1)*LEN(Registro!$H501)+1,LEN(Registro!$H501)))," ",REPT(" ",50)),50)))),"Revisar formato"))</f>
        <v/>
      </c>
      <c r="J501" s="24" t="str">
        <f>IF(Registro!$I501="","",IFERROR(SUMPRODUCT(--("0"&amp;TRIM(RIGHT(SUBSTITUTE(TRIM(MID(SUBSTITUTE(SUBSTITUTE(Registro!$I501,";",CHAR(10)),CHAR(10),REPT(" ",LEN(Registro!$I501))),({1,2,3,4,5,6,7,8,9,10,11,12,13,14,15,16,17,18,19,20,21,22,23,24,25,26,27,28,29,30}-1)*LEN(Registro!$I501)+1,LEN(Registro!$I501)))," ",REPT(" ",50)),50)))),"Revisar formato"))</f>
        <v/>
      </c>
      <c r="K501" s="24" t="str">
        <f>IF(AND(Registro!$G501="",Registro!$H501=""),"",IF(AND(ISTEXT(I501),I501&lt;&gt;""),"Revisar formato",N(Registro!$G501)-N(I501)))</f>
        <v/>
      </c>
      <c r="L501" s="24" t="str">
        <f t="shared" si="15"/>
        <v/>
      </c>
      <c r="M501" s="36" t="str">
        <f>IF(AND(A501=Consulta!$B$3,C501=Consulta!$H$3),B501*10000+ROW(),"")</f>
        <v/>
      </c>
    </row>
    <row r="502" spans="1:13" x14ac:dyDescent="0.25">
      <c r="A502" s="21" t="str">
        <f>IF(Registro!$A502="","",Registro!$A502)</f>
        <v/>
      </c>
      <c r="B502" s="20" t="str">
        <f>IF(Registro!$B502="","",Registro!$B502)</f>
        <v/>
      </c>
      <c r="C502" s="35" t="str">
        <f t="shared" si="14"/>
        <v/>
      </c>
      <c r="D502" s="23" t="str">
        <f>IF(Registro!$E502="","",IF(ISERROR(FIND("x",LOWER(Registro!$E502))),"-",IFERROR(SUMPRODUCT(--("0"&amp;LEFT(TRIM(MID(SUBSTITUTE(SUBSTITUTE(SUBSTITUTE(SUBSTITUTE(SUBSTITUTE(LOWER(Registro!$E502),"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",LEN(Registro!$E502))),({1,2,3,4,5,6,7,8,9,10,11,12,13,14,15,16,17,18,19,20,21,22,23,24,25,26,27,28,29,30}-1)*LEN(Registro!$E502)+1,LEN(Registro!$E502))),FIND("x",TRIM(MID(SUBSTITUTE(SUBSTITUTE(SUBSTITUTE(SUBSTITUTE(SUBSTITUTE(LOWER(Registro!$E502),"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",LEN(Registro!$E502))),({1,2,3,4,5,6,7,8,9,10,11,12,13,14,15,16,17,18,19,20,21,22,23,24,25,26,27,28,29,30}-1)*LEN(Registro!$E502)+1,LEN(Registro!$E502)))&amp;"x")-1))),"Revisar formato")))</f>
        <v/>
      </c>
      <c r="E502" s="24" t="str">
        <f>IF(Registro!$E502="","",IF(ISERROR(FIND("x",LOWER(Registro!$E502))),"-",IFERROR(SUMPRODUCT(--("0"&amp;LEFT(TRIM(MID(SUBSTITUTE(SUBSTITUTE(SUBSTITUTE(SUBSTITUTE(SUBSTITUTE(LOWER(Registro!$E502),"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",LEN(Registro!$E502))),({1,2,3,4,5,6,7,8,9,10,11,12,13,14,15,16,17,18,19,20,21,22,23,24,25,26,27,28,29,30}-1)*LEN(Registro!$E502)+1,LEN(Registro!$E502))),FIND("x",TRIM(MID(SUBSTITUTE(SUBSTITUTE(SUBSTITUTE(SUBSTITUTE(SUBSTITUTE(LOWER(Registro!$E502),"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",LEN(Registro!$E502))),({1,2,3,4,5,6,7,8,9,10,11,12,13,14,15,16,17,18,19,20,21,22,23,24,25,26,27,28,29,30}-1)*LEN(Registro!$E502)+1,LEN(Registro!$E502)))&amp;"x")-1)),--("0"&amp;MID(TRIM(MID(SUBSTITUTE(SUBSTITUTE(SUBSTITUTE(SUBSTITUTE(SUBSTITUTE(LOWER(Registro!$E502),"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",LEN(Registro!$E502))),({1,2,3,4,5,6,7,8,9,10,11,12,13,14,15,16,17,18,19,20,21,22,23,24,25,26,27,28,29,30}-1)*LEN(Registro!$E502)+1,LEN(Registro!$E502))),FIND("x",TRIM(MID(SUBSTITUTE(SUBSTITUTE(SUBSTITUTE(SUBSTITUTE(SUBSTITUTE(LOWER(Registro!$E502),"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",LEN(Registro!$E502))),({1,2,3,4,5,6,7,8,9,10,11,12,13,14,15,16,17,18,19,20,21,22,23,24,25,26,27,28,29,30}-1)*LEN(Registro!$E502)+1,LEN(Registro!$E502)))&amp;"x")+1,20))),"Revisar formato")))</f>
        <v/>
      </c>
      <c r="F502" s="23" t="str">
        <f>IF(Registro!$F502="","",IF(ISERROR(FIND("x",LOWER(Registro!$F502))),"-",IFERROR(SUMPRODUCT(--("0"&amp;LEFT(TRIM(MID(SUBSTITUTE(SUBSTITUTE(SUBSTITUTE(SUBSTITUTE(SUBSTITUTE(LOWER(Registro!$F502)," ",""),CHAR(10),"|"),";","|"),"+","|"),"|",REPT(" ",LEN(Registro!$F502))),({1,2,3,4,5,6,7,8,9,10,11,12,13,14,15,16,17,18,19,20,21,22,23,24,25,26,27,28,29,30}-1)*LEN(Registro!$F502)+1,LEN(Registro!$F502))),FIND("x",TRIM(MID(SUBSTITUTE(SUBSTITUTE(SUBSTITUTE(SUBSTITUTE(SUBSTITUTE(LOWER(Registro!$F502)," ",""),CHAR(10),"|"),";","|"),"+","|"),"|",REPT(" ",LEN(Registro!$F502))),({1,2,3,4,5,6,7,8,9,10,11,12,13,14,15,16,17,18,19,20,21,22,23,24,25,26,27,28,29,30}-1)*LEN(Registro!$F502)+1,LEN(Registro!$F502)))&amp;"x")-1))),"Revisar formato")))</f>
        <v/>
      </c>
      <c r="G502" s="24" t="str">
        <f>IF(Registro!$F502="","",IF(ISERROR(FIND("x",LOWER(Registro!$F502))),N(Registro!$G502),IFERROR(SUMPRODUCT(--("0"&amp;LEFT(TRIM(MID(SUBSTITUTE(SUBSTITUTE(SUBSTITUTE(SUBSTITUTE(SUBSTITUTE(LOWER(Registro!$F502)," ",""),CHAR(10),"|"),";","|"),"+","|"),"|",REPT(" ",LEN(Registro!$F502))),({1,2,3,4,5,6,7,8,9,10,11,12,13,14,15,16,17,18,19,20,21,22,23,24,25,26,27,28,29,30}-1)*LEN(Registro!$F502)+1,LEN(Registro!$F502))),FIND("x",TRIM(MID(SUBSTITUTE(SUBSTITUTE(SUBSTITUTE(SUBSTITUTE(SUBSTITUTE(LOWER(Registro!$F502)," ",""),CHAR(10),"|"),";","|"),"+","|"),"|",REPT(" ",LEN(Registro!$F502))),({1,2,3,4,5,6,7,8,9,10,11,12,13,14,15,16,17,18,19,20,21,22,23,24,25,26,27,28,29,30}-1)*LEN(Registro!$F502)+1,LEN(Registro!$F502)))&amp;"x")-1)),--("0"&amp;MID(TRIM(MID(SUBSTITUTE(SUBSTITUTE(SUBSTITUTE(SUBSTITUTE(SUBSTITUTE(LOWER(Registro!$F502)," ",""),CHAR(10),"|"),";","|"),"+","|"),"|",REPT(" ",LEN(Registro!$F502))),({1,2,3,4,5,6,7,8,9,10,11,12,13,14,15,16,17,18,19,20,21,22,23,24,25,26,27,28,29,30}-1)*LEN(Registro!$F502)+1,LEN(Registro!$F502))),FIND("x",TRIM(MID(SUBSTITUTE(SUBSTITUTE(SUBSTITUTE(SUBSTITUTE(SUBSTITUTE(LOWER(Registro!$F502)," ",""),CHAR(10),"|"),";","|"),"+","|"),"|",REPT(" ",LEN(Registro!$F502))),({1,2,3,4,5,6,7,8,9,10,11,12,13,14,15,16,17,18,19,20,21,22,23,24,25,26,27,28,29,30}-1)*LEN(Registro!$F502)+1,LEN(Registro!$F502)))&amp;"x")+1,20))),"Revisar formato")))</f>
        <v/>
      </c>
      <c r="H502" s="21" t="str">
        <f>IF(AND(Registro!$E502="",Registro!$F502=""),"",IF(NOT(AND(ISNUMBER(G502),ISNUMBER(Registro!$G502))),"",IF(G502&lt;Registro!$G502,"FALTA BOLETOS",IF(G502=Registro!$G502,"CONFORME","DIFERENCIA"))))</f>
        <v/>
      </c>
      <c r="I502" s="24" t="str">
        <f>IF(Registro!$H502="","",IFERROR(SUMPRODUCT(--("0"&amp;TRIM(RIGHT(SUBSTITUTE(TRIM(MID(SUBSTITUTE(SUBSTITUTE(Registro!$H502,";",CHAR(10)),CHAR(10),REPT(" ",LEN(Registro!$H502))),({1,2,3,4,5,6,7,8,9,10,11,12,13,14,15,16,17,18,19,20,21,22,23,24,25,26,27,28,29,30}-1)*LEN(Registro!$H502)+1,LEN(Registro!$H502)))," ",REPT(" ",50)),50)))),"Revisar formato"))</f>
        <v/>
      </c>
      <c r="J502" s="24" t="str">
        <f>IF(Registro!$I502="","",IFERROR(SUMPRODUCT(--("0"&amp;TRIM(RIGHT(SUBSTITUTE(TRIM(MID(SUBSTITUTE(SUBSTITUTE(Registro!$I502,";",CHAR(10)),CHAR(10),REPT(" ",LEN(Registro!$I502))),({1,2,3,4,5,6,7,8,9,10,11,12,13,14,15,16,17,18,19,20,21,22,23,24,25,26,27,28,29,30}-1)*LEN(Registro!$I502)+1,LEN(Registro!$I502)))," ",REPT(" ",50)),50)))),"Revisar formato"))</f>
        <v/>
      </c>
      <c r="K502" s="24" t="str">
        <f>IF(AND(Registro!$G502="",Registro!$H502=""),"",IF(AND(ISTEXT(I502),I502&lt;&gt;""),"Revisar formato",N(Registro!$G502)-N(I502)))</f>
        <v/>
      </c>
      <c r="L502" s="24" t="str">
        <f t="shared" si="15"/>
        <v/>
      </c>
      <c r="M502" s="36" t="str">
        <f>IF(AND(A502=Consulta!$B$3,C502=Consulta!$H$3),B502*10000+ROW(),"")</f>
        <v/>
      </c>
    </row>
    <row r="503" spans="1:13" x14ac:dyDescent="0.25">
      <c r="A503" s="21" t="str">
        <f>IF(Registro!$A503="","",Registro!$A503)</f>
        <v/>
      </c>
      <c r="B503" s="20" t="str">
        <f>IF(Registro!$B503="","",Registro!$B503)</f>
        <v/>
      </c>
      <c r="C503" s="35" t="str">
        <f t="shared" si="14"/>
        <v/>
      </c>
      <c r="D503" s="23" t="str">
        <f>IF(Registro!$E503="","",IF(ISERROR(FIND("x",LOWER(Registro!$E503))),"-",IFERROR(SUMPRODUCT(--("0"&amp;LEFT(TRIM(MID(SUBSTITUTE(SUBSTITUTE(SUBSTITUTE(SUBSTITUTE(SUBSTITUTE(LOWER(Registro!$E503),"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",LEN(Registro!$E503))),({1,2,3,4,5,6,7,8,9,10,11,12,13,14,15,16,17,18,19,20,21,22,23,24,25,26,27,28,29,30}-1)*LEN(Registro!$E503)+1,LEN(Registro!$E503))),FIND("x",TRIM(MID(SUBSTITUTE(SUBSTITUTE(SUBSTITUTE(SUBSTITUTE(SUBSTITUTE(LOWER(Registro!$E503),"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",LEN(Registro!$E503))),({1,2,3,4,5,6,7,8,9,10,11,12,13,14,15,16,17,18,19,20,21,22,23,24,25,26,27,28,29,30}-1)*LEN(Registro!$E503)+1,LEN(Registro!$E503)))&amp;"x")-1))),"Revisar formato")))</f>
        <v/>
      </c>
      <c r="E503" s="24" t="str">
        <f>IF(Registro!$E503="","",IF(ISERROR(FIND("x",LOWER(Registro!$E503))),"-",IFERROR(SUMPRODUCT(--("0"&amp;LEFT(TRIM(MID(SUBSTITUTE(SUBSTITUTE(SUBSTITUTE(SUBSTITUTE(SUBSTITUTE(LOWER(Registro!$E503),"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",LEN(Registro!$E503))),({1,2,3,4,5,6,7,8,9,10,11,12,13,14,15,16,17,18,19,20,21,22,23,24,25,26,27,28,29,30}-1)*LEN(Registro!$E503)+1,LEN(Registro!$E503))),FIND("x",TRIM(MID(SUBSTITUTE(SUBSTITUTE(SUBSTITUTE(SUBSTITUTE(SUBSTITUTE(LOWER(Registro!$E503),"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",LEN(Registro!$E503))),({1,2,3,4,5,6,7,8,9,10,11,12,13,14,15,16,17,18,19,20,21,22,23,24,25,26,27,28,29,30}-1)*LEN(Registro!$E503)+1,LEN(Registro!$E503)))&amp;"x")-1)),--("0"&amp;MID(TRIM(MID(SUBSTITUTE(SUBSTITUTE(SUBSTITUTE(SUBSTITUTE(SUBSTITUTE(LOWER(Registro!$E503),"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",LEN(Registro!$E503))),({1,2,3,4,5,6,7,8,9,10,11,12,13,14,15,16,17,18,19,20,21,22,23,24,25,26,27,28,29,30}-1)*LEN(Registro!$E503)+1,LEN(Registro!$E503))),FIND("x",TRIM(MID(SUBSTITUTE(SUBSTITUTE(SUBSTITUTE(SUBSTITUTE(SUBSTITUTE(LOWER(Registro!$E503),"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",LEN(Registro!$E503))),({1,2,3,4,5,6,7,8,9,10,11,12,13,14,15,16,17,18,19,20,21,22,23,24,25,26,27,28,29,30}-1)*LEN(Registro!$E503)+1,LEN(Registro!$E503)))&amp;"x")+1,20))),"Revisar formato")))</f>
        <v/>
      </c>
      <c r="F503" s="23" t="str">
        <f>IF(Registro!$F503="","",IF(ISERROR(FIND("x",LOWER(Registro!$F503))),"-",IFERROR(SUMPRODUCT(--("0"&amp;LEFT(TRIM(MID(SUBSTITUTE(SUBSTITUTE(SUBSTITUTE(SUBSTITUTE(SUBSTITUTE(LOWER(Registro!$F503)," ",""),CHAR(10),"|"),";","|"),"+","|"),"|",REPT(" ",LEN(Registro!$F503))),({1,2,3,4,5,6,7,8,9,10,11,12,13,14,15,16,17,18,19,20,21,22,23,24,25,26,27,28,29,30}-1)*LEN(Registro!$F503)+1,LEN(Registro!$F503))),FIND("x",TRIM(MID(SUBSTITUTE(SUBSTITUTE(SUBSTITUTE(SUBSTITUTE(SUBSTITUTE(LOWER(Registro!$F503)," ",""),CHAR(10),"|"),";","|"),"+","|"),"|",REPT(" ",LEN(Registro!$F503))),({1,2,3,4,5,6,7,8,9,10,11,12,13,14,15,16,17,18,19,20,21,22,23,24,25,26,27,28,29,30}-1)*LEN(Registro!$F503)+1,LEN(Registro!$F503)))&amp;"x")-1))),"Revisar formato")))</f>
        <v/>
      </c>
      <c r="G503" s="24" t="str">
        <f>IF(Registro!$F503="","",IF(ISERROR(FIND("x",LOWER(Registro!$F503))),N(Registro!$G503),IFERROR(SUMPRODUCT(--("0"&amp;LEFT(TRIM(MID(SUBSTITUTE(SUBSTITUTE(SUBSTITUTE(SUBSTITUTE(SUBSTITUTE(LOWER(Registro!$F503)," ",""),CHAR(10),"|"),";","|"),"+","|"),"|",REPT(" ",LEN(Registro!$F503))),({1,2,3,4,5,6,7,8,9,10,11,12,13,14,15,16,17,18,19,20,21,22,23,24,25,26,27,28,29,30}-1)*LEN(Registro!$F503)+1,LEN(Registro!$F503))),FIND("x",TRIM(MID(SUBSTITUTE(SUBSTITUTE(SUBSTITUTE(SUBSTITUTE(SUBSTITUTE(LOWER(Registro!$F503)," ",""),CHAR(10),"|"),";","|"),"+","|"),"|",REPT(" ",LEN(Registro!$F503))),({1,2,3,4,5,6,7,8,9,10,11,12,13,14,15,16,17,18,19,20,21,22,23,24,25,26,27,28,29,30}-1)*LEN(Registro!$F503)+1,LEN(Registro!$F503)))&amp;"x")-1)),--("0"&amp;MID(TRIM(MID(SUBSTITUTE(SUBSTITUTE(SUBSTITUTE(SUBSTITUTE(SUBSTITUTE(LOWER(Registro!$F503)," ",""),CHAR(10),"|"),";","|"),"+","|"),"|",REPT(" ",LEN(Registro!$F503))),({1,2,3,4,5,6,7,8,9,10,11,12,13,14,15,16,17,18,19,20,21,22,23,24,25,26,27,28,29,30}-1)*LEN(Registro!$F503)+1,LEN(Registro!$F503))),FIND("x",TRIM(MID(SUBSTITUTE(SUBSTITUTE(SUBSTITUTE(SUBSTITUTE(SUBSTITUTE(LOWER(Registro!$F503)," ",""),CHAR(10),"|"),";","|"),"+","|"),"|",REPT(" ",LEN(Registro!$F503))),({1,2,3,4,5,6,7,8,9,10,11,12,13,14,15,16,17,18,19,20,21,22,23,24,25,26,27,28,29,30}-1)*LEN(Registro!$F503)+1,LEN(Registro!$F503)))&amp;"x")+1,20))),"Revisar formato")))</f>
        <v/>
      </c>
      <c r="H503" s="21" t="str">
        <f>IF(AND(Registro!$E503="",Registro!$F503=""),"",IF(NOT(AND(ISNUMBER(G503),ISNUMBER(Registro!$G503))),"",IF(G503&lt;Registro!$G503,"FALTA BOLETOS",IF(G503=Registro!$G503,"CONFORME","DIFERENCIA"))))</f>
        <v/>
      </c>
      <c r="I503" s="24" t="str">
        <f>IF(Registro!$H503="","",IFERROR(SUMPRODUCT(--("0"&amp;TRIM(RIGHT(SUBSTITUTE(TRIM(MID(SUBSTITUTE(SUBSTITUTE(Registro!$H503,";",CHAR(10)),CHAR(10),REPT(" ",LEN(Registro!$H503))),({1,2,3,4,5,6,7,8,9,10,11,12,13,14,15,16,17,18,19,20,21,22,23,24,25,26,27,28,29,30}-1)*LEN(Registro!$H503)+1,LEN(Registro!$H503)))," ",REPT(" ",50)),50)))),"Revisar formato"))</f>
        <v/>
      </c>
      <c r="J503" s="24" t="str">
        <f>IF(Registro!$I503="","",IFERROR(SUMPRODUCT(--("0"&amp;TRIM(RIGHT(SUBSTITUTE(TRIM(MID(SUBSTITUTE(SUBSTITUTE(Registro!$I503,";",CHAR(10)),CHAR(10),REPT(" ",LEN(Registro!$I503))),({1,2,3,4,5,6,7,8,9,10,11,12,13,14,15,16,17,18,19,20,21,22,23,24,25,26,27,28,29,30}-1)*LEN(Registro!$I503)+1,LEN(Registro!$I503)))," ",REPT(" ",50)),50)))),"Revisar formato"))</f>
        <v/>
      </c>
      <c r="K503" s="24" t="str">
        <f>IF(AND(Registro!$G503="",Registro!$H503=""),"",IF(AND(ISTEXT(I503),I503&lt;&gt;""),"Revisar formato",N(Registro!$G503)-N(I503)))</f>
        <v/>
      </c>
      <c r="L503" s="24" t="str">
        <f t="shared" si="15"/>
        <v/>
      </c>
      <c r="M503" s="36" t="str">
        <f>IF(AND(A503=Consulta!$B$3,C503=Consulta!$H$3),B503*10000+ROW(),"")</f>
        <v/>
      </c>
    </row>
    <row r="504" spans="1:13" x14ac:dyDescent="0.25">
      <c r="A504" s="21" t="str">
        <f>IF(Registro!$A504="","",Registro!$A504)</f>
        <v/>
      </c>
      <c r="B504" s="20" t="str">
        <f>IF(Registro!$B504="","",Registro!$B504)</f>
        <v/>
      </c>
      <c r="C504" s="35" t="str">
        <f t="shared" si="14"/>
        <v/>
      </c>
      <c r="D504" s="23" t="str">
        <f>IF(Registro!$E504="","",IF(ISERROR(FIND("x",LOWER(Registro!$E504))),"-",IFERROR(SUMPRODUCT(--("0"&amp;LEFT(TRIM(MID(SUBSTITUTE(SUBSTITUTE(SUBSTITUTE(SUBSTITUTE(SUBSTITUTE(LOWER(Registro!$E504),"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",LEN(Registro!$E504))),({1,2,3,4,5,6,7,8,9,10,11,12,13,14,15,16,17,18,19,20,21,22,23,24,25,26,27,28,29,30}-1)*LEN(Registro!$E504)+1,LEN(Registro!$E504))),FIND("x",TRIM(MID(SUBSTITUTE(SUBSTITUTE(SUBSTITUTE(SUBSTITUTE(SUBSTITUTE(LOWER(Registro!$E504),"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",LEN(Registro!$E504))),({1,2,3,4,5,6,7,8,9,10,11,12,13,14,15,16,17,18,19,20,21,22,23,24,25,26,27,28,29,30}-1)*LEN(Registro!$E504)+1,LEN(Registro!$E504)))&amp;"x")-1))),"Revisar formato")))</f>
        <v/>
      </c>
      <c r="E504" s="24" t="str">
        <f>IF(Registro!$E504="","",IF(ISERROR(FIND("x",LOWER(Registro!$E504))),"-",IFERROR(SUMPRODUCT(--("0"&amp;LEFT(TRIM(MID(SUBSTITUTE(SUBSTITUTE(SUBSTITUTE(SUBSTITUTE(SUBSTITUTE(LOWER(Registro!$E504),"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",LEN(Registro!$E504))),({1,2,3,4,5,6,7,8,9,10,11,12,13,14,15,16,17,18,19,20,21,22,23,24,25,26,27,28,29,30}-1)*LEN(Registro!$E504)+1,LEN(Registro!$E504))),FIND("x",TRIM(MID(SUBSTITUTE(SUBSTITUTE(SUBSTITUTE(SUBSTITUTE(SUBSTITUTE(LOWER(Registro!$E504),"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",LEN(Registro!$E504))),({1,2,3,4,5,6,7,8,9,10,11,12,13,14,15,16,17,18,19,20,21,22,23,24,25,26,27,28,29,30}-1)*LEN(Registro!$E504)+1,LEN(Registro!$E504)))&amp;"x")-1)),--("0"&amp;MID(TRIM(MID(SUBSTITUTE(SUBSTITUTE(SUBSTITUTE(SUBSTITUTE(SUBSTITUTE(LOWER(Registro!$E504),"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",LEN(Registro!$E504))),({1,2,3,4,5,6,7,8,9,10,11,12,13,14,15,16,17,18,19,20,21,22,23,24,25,26,27,28,29,30}-1)*LEN(Registro!$E504)+1,LEN(Registro!$E504))),FIND("x",TRIM(MID(SUBSTITUTE(SUBSTITUTE(SUBSTITUTE(SUBSTITUTE(SUBSTITUTE(LOWER(Registro!$E504),"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",LEN(Registro!$E504))),({1,2,3,4,5,6,7,8,9,10,11,12,13,14,15,16,17,18,19,20,21,22,23,24,25,26,27,28,29,30}-1)*LEN(Registro!$E504)+1,LEN(Registro!$E504)))&amp;"x")+1,20))),"Revisar formato")))</f>
        <v/>
      </c>
      <c r="F504" s="23" t="str">
        <f>IF(Registro!$F504="","",IF(ISERROR(FIND("x",LOWER(Registro!$F504))),"-",IFERROR(SUMPRODUCT(--("0"&amp;LEFT(TRIM(MID(SUBSTITUTE(SUBSTITUTE(SUBSTITUTE(SUBSTITUTE(SUBSTITUTE(LOWER(Registro!$F504)," ",""),CHAR(10),"|"),";","|"),"+","|"),"|",REPT(" ",LEN(Registro!$F504))),({1,2,3,4,5,6,7,8,9,10,11,12,13,14,15,16,17,18,19,20,21,22,23,24,25,26,27,28,29,30}-1)*LEN(Registro!$F504)+1,LEN(Registro!$F504))),FIND("x",TRIM(MID(SUBSTITUTE(SUBSTITUTE(SUBSTITUTE(SUBSTITUTE(SUBSTITUTE(LOWER(Registro!$F504)," ",""),CHAR(10),"|"),";","|"),"+","|"),"|",REPT(" ",LEN(Registro!$F504))),({1,2,3,4,5,6,7,8,9,10,11,12,13,14,15,16,17,18,19,20,21,22,23,24,25,26,27,28,29,30}-1)*LEN(Registro!$F504)+1,LEN(Registro!$F504)))&amp;"x")-1))),"Revisar formato")))</f>
        <v/>
      </c>
      <c r="G504" s="24" t="str">
        <f>IF(Registro!$F504="","",IF(ISERROR(FIND("x",LOWER(Registro!$F504))),N(Registro!$G504),IFERROR(SUMPRODUCT(--("0"&amp;LEFT(TRIM(MID(SUBSTITUTE(SUBSTITUTE(SUBSTITUTE(SUBSTITUTE(SUBSTITUTE(LOWER(Registro!$F504)," ",""),CHAR(10),"|"),";","|"),"+","|"),"|",REPT(" ",LEN(Registro!$F504))),({1,2,3,4,5,6,7,8,9,10,11,12,13,14,15,16,17,18,19,20,21,22,23,24,25,26,27,28,29,30}-1)*LEN(Registro!$F504)+1,LEN(Registro!$F504))),FIND("x",TRIM(MID(SUBSTITUTE(SUBSTITUTE(SUBSTITUTE(SUBSTITUTE(SUBSTITUTE(LOWER(Registro!$F504)," ",""),CHAR(10),"|"),";","|"),"+","|"),"|",REPT(" ",LEN(Registro!$F504))),({1,2,3,4,5,6,7,8,9,10,11,12,13,14,15,16,17,18,19,20,21,22,23,24,25,26,27,28,29,30}-1)*LEN(Registro!$F504)+1,LEN(Registro!$F504)))&amp;"x")-1)),--("0"&amp;MID(TRIM(MID(SUBSTITUTE(SUBSTITUTE(SUBSTITUTE(SUBSTITUTE(SUBSTITUTE(LOWER(Registro!$F504)," ",""),CHAR(10),"|"),";","|"),"+","|"),"|",REPT(" ",LEN(Registro!$F504))),({1,2,3,4,5,6,7,8,9,10,11,12,13,14,15,16,17,18,19,20,21,22,23,24,25,26,27,28,29,30}-1)*LEN(Registro!$F504)+1,LEN(Registro!$F504))),FIND("x",TRIM(MID(SUBSTITUTE(SUBSTITUTE(SUBSTITUTE(SUBSTITUTE(SUBSTITUTE(LOWER(Registro!$F504)," ",""),CHAR(10),"|"),";","|"),"+","|"),"|",REPT(" ",LEN(Registro!$F504))),({1,2,3,4,5,6,7,8,9,10,11,12,13,14,15,16,17,18,19,20,21,22,23,24,25,26,27,28,29,30}-1)*LEN(Registro!$F504)+1,LEN(Registro!$F504)))&amp;"x")+1,20))),"Revisar formato")))</f>
        <v/>
      </c>
      <c r="H504" s="21" t="str">
        <f>IF(AND(Registro!$E504="",Registro!$F504=""),"",IF(NOT(AND(ISNUMBER(G504),ISNUMBER(Registro!$G504))),"",IF(G504&lt;Registro!$G504,"FALTA BOLETOS",IF(G504=Registro!$G504,"CONFORME","DIFERENCIA"))))</f>
        <v/>
      </c>
      <c r="I504" s="24" t="str">
        <f>IF(Registro!$H504="","",IFERROR(SUMPRODUCT(--("0"&amp;TRIM(RIGHT(SUBSTITUTE(TRIM(MID(SUBSTITUTE(SUBSTITUTE(Registro!$H504,";",CHAR(10)),CHAR(10),REPT(" ",LEN(Registro!$H504))),({1,2,3,4,5,6,7,8,9,10,11,12,13,14,15,16,17,18,19,20,21,22,23,24,25,26,27,28,29,30}-1)*LEN(Registro!$H504)+1,LEN(Registro!$H504)))," ",REPT(" ",50)),50)))),"Revisar formato"))</f>
        <v/>
      </c>
      <c r="J504" s="24" t="str">
        <f>IF(Registro!$I504="","",IFERROR(SUMPRODUCT(--("0"&amp;TRIM(RIGHT(SUBSTITUTE(TRIM(MID(SUBSTITUTE(SUBSTITUTE(Registro!$I504,";",CHAR(10)),CHAR(10),REPT(" ",LEN(Registro!$I504))),({1,2,3,4,5,6,7,8,9,10,11,12,13,14,15,16,17,18,19,20,21,22,23,24,25,26,27,28,29,30}-1)*LEN(Registro!$I504)+1,LEN(Registro!$I504)))," ",REPT(" ",50)),50)))),"Revisar formato"))</f>
        <v/>
      </c>
      <c r="K504" s="24" t="str">
        <f>IF(AND(Registro!$G504="",Registro!$H504=""),"",IF(AND(ISTEXT(I504),I504&lt;&gt;""),"Revisar formato",N(Registro!$G504)-N(I504)))</f>
        <v/>
      </c>
      <c r="L504" s="24" t="str">
        <f t="shared" si="15"/>
        <v/>
      </c>
      <c r="M504" s="36" t="str">
        <f>IF(AND(A504=Consulta!$B$3,C504=Consulta!$H$3),B504*10000+ROW(),"")</f>
        <v/>
      </c>
    </row>
    <row r="505" spans="1:13" x14ac:dyDescent="0.25">
      <c r="A505" s="21" t="str">
        <f>IF(Registro!$A505="","",Registro!$A505)</f>
        <v/>
      </c>
      <c r="B505" s="20" t="str">
        <f>IF(Registro!$B505="","",Registro!$B505)</f>
        <v/>
      </c>
      <c r="C505" s="35" t="str">
        <f t="shared" si="14"/>
        <v/>
      </c>
      <c r="D505" s="23" t="str">
        <f>IF(Registro!$E505="","",IF(ISERROR(FIND("x",LOWER(Registro!$E505))),"-",IFERROR(SUMPRODUCT(--("0"&amp;LEFT(TRIM(MID(SUBSTITUTE(SUBSTITUTE(SUBSTITUTE(SUBSTITUTE(SUBSTITUTE(LOWER(Registro!$E505),"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",LEN(Registro!$E505))),({1,2,3,4,5,6,7,8,9,10,11,12,13,14,15,16,17,18,19,20,21,22,23,24,25,26,27,28,29,30}-1)*LEN(Registro!$E505)+1,LEN(Registro!$E505))),FIND("x",TRIM(MID(SUBSTITUTE(SUBSTITUTE(SUBSTITUTE(SUBSTITUTE(SUBSTITUTE(LOWER(Registro!$E505),"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",LEN(Registro!$E505))),({1,2,3,4,5,6,7,8,9,10,11,12,13,14,15,16,17,18,19,20,21,22,23,24,25,26,27,28,29,30}-1)*LEN(Registro!$E505)+1,LEN(Registro!$E505)))&amp;"x")-1))),"Revisar formato")))</f>
        <v/>
      </c>
      <c r="E505" s="24" t="str">
        <f>IF(Registro!$E505="","",IF(ISERROR(FIND("x",LOWER(Registro!$E505))),"-",IFERROR(SUMPRODUCT(--("0"&amp;LEFT(TRIM(MID(SUBSTITUTE(SUBSTITUTE(SUBSTITUTE(SUBSTITUTE(SUBSTITUTE(LOWER(Registro!$E505),"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",LEN(Registro!$E505))),({1,2,3,4,5,6,7,8,9,10,11,12,13,14,15,16,17,18,19,20,21,22,23,24,25,26,27,28,29,30}-1)*LEN(Registro!$E505)+1,LEN(Registro!$E505))),FIND("x",TRIM(MID(SUBSTITUTE(SUBSTITUTE(SUBSTITUTE(SUBSTITUTE(SUBSTITUTE(LOWER(Registro!$E505),"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",LEN(Registro!$E505))),({1,2,3,4,5,6,7,8,9,10,11,12,13,14,15,16,17,18,19,20,21,22,23,24,25,26,27,28,29,30}-1)*LEN(Registro!$E505)+1,LEN(Registro!$E505)))&amp;"x")-1)),--("0"&amp;MID(TRIM(MID(SUBSTITUTE(SUBSTITUTE(SUBSTITUTE(SUBSTITUTE(SUBSTITUTE(LOWER(Registro!$E505),"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",LEN(Registro!$E505))),({1,2,3,4,5,6,7,8,9,10,11,12,13,14,15,16,17,18,19,20,21,22,23,24,25,26,27,28,29,30}-1)*LEN(Registro!$E505)+1,LEN(Registro!$E505))),FIND("x",TRIM(MID(SUBSTITUTE(SUBSTITUTE(SUBSTITUTE(SUBSTITUTE(SUBSTITUTE(LOWER(Registro!$E505),"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",LEN(Registro!$E505))),({1,2,3,4,5,6,7,8,9,10,11,12,13,14,15,16,17,18,19,20,21,22,23,24,25,26,27,28,29,30}-1)*LEN(Registro!$E505)+1,LEN(Registro!$E505)))&amp;"x")+1,20))),"Revisar formato")))</f>
        <v/>
      </c>
      <c r="F505" s="23" t="str">
        <f>IF(Registro!$F505="","",IF(ISERROR(FIND("x",LOWER(Registro!$F505))),"-",IFERROR(SUMPRODUCT(--("0"&amp;LEFT(TRIM(MID(SUBSTITUTE(SUBSTITUTE(SUBSTITUTE(SUBSTITUTE(SUBSTITUTE(LOWER(Registro!$F505)," ",""),CHAR(10),"|"),";","|"),"+","|"),"|",REPT(" ",LEN(Registro!$F505))),({1,2,3,4,5,6,7,8,9,10,11,12,13,14,15,16,17,18,19,20,21,22,23,24,25,26,27,28,29,30}-1)*LEN(Registro!$F505)+1,LEN(Registro!$F505))),FIND("x",TRIM(MID(SUBSTITUTE(SUBSTITUTE(SUBSTITUTE(SUBSTITUTE(SUBSTITUTE(LOWER(Registro!$F505)," ",""),CHAR(10),"|"),";","|"),"+","|"),"|",REPT(" ",LEN(Registro!$F505))),({1,2,3,4,5,6,7,8,9,10,11,12,13,14,15,16,17,18,19,20,21,22,23,24,25,26,27,28,29,30}-1)*LEN(Registro!$F505)+1,LEN(Registro!$F505)))&amp;"x")-1))),"Revisar formato")))</f>
        <v/>
      </c>
      <c r="G505" s="24" t="str">
        <f>IF(Registro!$F505="","",IF(ISERROR(FIND("x",LOWER(Registro!$F505))),N(Registro!$G505),IFERROR(SUMPRODUCT(--("0"&amp;LEFT(TRIM(MID(SUBSTITUTE(SUBSTITUTE(SUBSTITUTE(SUBSTITUTE(SUBSTITUTE(LOWER(Registro!$F505)," ",""),CHAR(10),"|"),";","|"),"+","|"),"|",REPT(" ",LEN(Registro!$F505))),({1,2,3,4,5,6,7,8,9,10,11,12,13,14,15,16,17,18,19,20,21,22,23,24,25,26,27,28,29,30}-1)*LEN(Registro!$F505)+1,LEN(Registro!$F505))),FIND("x",TRIM(MID(SUBSTITUTE(SUBSTITUTE(SUBSTITUTE(SUBSTITUTE(SUBSTITUTE(LOWER(Registro!$F505)," ",""),CHAR(10),"|"),";","|"),"+","|"),"|",REPT(" ",LEN(Registro!$F505))),({1,2,3,4,5,6,7,8,9,10,11,12,13,14,15,16,17,18,19,20,21,22,23,24,25,26,27,28,29,30}-1)*LEN(Registro!$F505)+1,LEN(Registro!$F505)))&amp;"x")-1)),--("0"&amp;MID(TRIM(MID(SUBSTITUTE(SUBSTITUTE(SUBSTITUTE(SUBSTITUTE(SUBSTITUTE(LOWER(Registro!$F505)," ",""),CHAR(10),"|"),";","|"),"+","|"),"|",REPT(" ",LEN(Registro!$F505))),({1,2,3,4,5,6,7,8,9,10,11,12,13,14,15,16,17,18,19,20,21,22,23,24,25,26,27,28,29,30}-1)*LEN(Registro!$F505)+1,LEN(Registro!$F505))),FIND("x",TRIM(MID(SUBSTITUTE(SUBSTITUTE(SUBSTITUTE(SUBSTITUTE(SUBSTITUTE(LOWER(Registro!$F505)," ",""),CHAR(10),"|"),";","|"),"+","|"),"|",REPT(" ",LEN(Registro!$F505))),({1,2,3,4,5,6,7,8,9,10,11,12,13,14,15,16,17,18,19,20,21,22,23,24,25,26,27,28,29,30}-1)*LEN(Registro!$F505)+1,LEN(Registro!$F505)))&amp;"x")+1,20))),"Revisar formato")))</f>
        <v/>
      </c>
      <c r="H505" s="21" t="str">
        <f>IF(AND(Registro!$E505="",Registro!$F505=""),"",IF(NOT(AND(ISNUMBER(G505),ISNUMBER(Registro!$G505))),"",IF(G505&lt;Registro!$G505,"FALTA BOLETOS",IF(G505=Registro!$G505,"CONFORME","DIFERENCIA"))))</f>
        <v/>
      </c>
      <c r="I505" s="24" t="str">
        <f>IF(Registro!$H505="","",IFERROR(SUMPRODUCT(--("0"&amp;TRIM(RIGHT(SUBSTITUTE(TRIM(MID(SUBSTITUTE(SUBSTITUTE(Registro!$H505,";",CHAR(10)),CHAR(10),REPT(" ",LEN(Registro!$H505))),({1,2,3,4,5,6,7,8,9,10,11,12,13,14,15,16,17,18,19,20,21,22,23,24,25,26,27,28,29,30}-1)*LEN(Registro!$H505)+1,LEN(Registro!$H505)))," ",REPT(" ",50)),50)))),"Revisar formato"))</f>
        <v/>
      </c>
      <c r="J505" s="24" t="str">
        <f>IF(Registro!$I505="","",IFERROR(SUMPRODUCT(--("0"&amp;TRIM(RIGHT(SUBSTITUTE(TRIM(MID(SUBSTITUTE(SUBSTITUTE(Registro!$I505,";",CHAR(10)),CHAR(10),REPT(" ",LEN(Registro!$I505))),({1,2,3,4,5,6,7,8,9,10,11,12,13,14,15,16,17,18,19,20,21,22,23,24,25,26,27,28,29,30}-1)*LEN(Registro!$I505)+1,LEN(Registro!$I505)))," ",REPT(" ",50)),50)))),"Revisar formato"))</f>
        <v/>
      </c>
      <c r="K505" s="24" t="str">
        <f>IF(AND(Registro!$G505="",Registro!$H505=""),"",IF(AND(ISTEXT(I505),I505&lt;&gt;""),"Revisar formato",N(Registro!$G505)-N(I505)))</f>
        <v/>
      </c>
      <c r="L505" s="24" t="str">
        <f t="shared" si="15"/>
        <v/>
      </c>
      <c r="M505" s="36" t="str">
        <f>IF(AND(A505=Consulta!$B$3,C505=Consulta!$H$3),B505*10000+ROW(),"")</f>
        <v/>
      </c>
    </row>
    <row r="506" spans="1:13" x14ac:dyDescent="0.25">
      <c r="A506" s="21" t="str">
        <f>IF(Registro!$A506="","",Registro!$A506)</f>
        <v/>
      </c>
      <c r="B506" s="20" t="str">
        <f>IF(Registro!$B506="","",Registro!$B506)</f>
        <v/>
      </c>
      <c r="C506" s="35" t="str">
        <f t="shared" si="14"/>
        <v/>
      </c>
      <c r="D506" s="23" t="str">
        <f>IF(Registro!$E506="","",IF(ISERROR(FIND("x",LOWER(Registro!$E506))),"-",IFERROR(SUMPRODUCT(--("0"&amp;LEFT(TRIM(MID(SUBSTITUTE(SUBSTITUTE(SUBSTITUTE(SUBSTITUTE(SUBSTITUTE(LOWER(Registro!$E506),"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",LEN(Registro!$E506))),({1,2,3,4,5,6,7,8,9,10,11,12,13,14,15,16,17,18,19,20,21,22,23,24,25,26,27,28,29,30}-1)*LEN(Registro!$E506)+1,LEN(Registro!$E506))),FIND("x",TRIM(MID(SUBSTITUTE(SUBSTITUTE(SUBSTITUTE(SUBSTITUTE(SUBSTITUTE(LOWER(Registro!$E506),"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",LEN(Registro!$E506))),({1,2,3,4,5,6,7,8,9,10,11,12,13,14,15,16,17,18,19,20,21,22,23,24,25,26,27,28,29,30}-1)*LEN(Registro!$E506)+1,LEN(Registro!$E506)))&amp;"x")-1))),"Revisar formato")))</f>
        <v/>
      </c>
      <c r="E506" s="24" t="str">
        <f>IF(Registro!$E506="","",IF(ISERROR(FIND("x",LOWER(Registro!$E506))),"-",IFERROR(SUMPRODUCT(--("0"&amp;LEFT(TRIM(MID(SUBSTITUTE(SUBSTITUTE(SUBSTITUTE(SUBSTITUTE(SUBSTITUTE(LOWER(Registro!$E506),"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",LEN(Registro!$E506))),({1,2,3,4,5,6,7,8,9,10,11,12,13,14,15,16,17,18,19,20,21,22,23,24,25,26,27,28,29,30}-1)*LEN(Registro!$E506)+1,LEN(Registro!$E506))),FIND("x",TRIM(MID(SUBSTITUTE(SUBSTITUTE(SUBSTITUTE(SUBSTITUTE(SUBSTITUTE(LOWER(Registro!$E506),"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",LEN(Registro!$E506))),({1,2,3,4,5,6,7,8,9,10,11,12,13,14,15,16,17,18,19,20,21,22,23,24,25,26,27,28,29,30}-1)*LEN(Registro!$E506)+1,LEN(Registro!$E506)))&amp;"x")-1)),--("0"&amp;MID(TRIM(MID(SUBSTITUTE(SUBSTITUTE(SUBSTITUTE(SUBSTITUTE(SUBSTITUTE(LOWER(Registro!$E506),"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",LEN(Registro!$E506))),({1,2,3,4,5,6,7,8,9,10,11,12,13,14,15,16,17,18,19,20,21,22,23,24,25,26,27,28,29,30}-1)*LEN(Registro!$E506)+1,LEN(Registro!$E506))),FIND("x",TRIM(MID(SUBSTITUTE(SUBSTITUTE(SUBSTITUTE(SUBSTITUTE(SUBSTITUTE(LOWER(Registro!$E506),"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",LEN(Registro!$E506))),({1,2,3,4,5,6,7,8,9,10,11,12,13,14,15,16,17,18,19,20,21,22,23,24,25,26,27,28,29,30}-1)*LEN(Registro!$E506)+1,LEN(Registro!$E506)))&amp;"x")+1,20))),"Revisar formato")))</f>
        <v/>
      </c>
      <c r="F506" s="23" t="str">
        <f>IF(Registro!$F506="","",IF(ISERROR(FIND("x",LOWER(Registro!$F506))),"-",IFERROR(SUMPRODUCT(--("0"&amp;LEFT(TRIM(MID(SUBSTITUTE(SUBSTITUTE(SUBSTITUTE(SUBSTITUTE(SUBSTITUTE(LOWER(Registro!$F506)," ",""),CHAR(10),"|"),";","|"),"+","|"),"|",REPT(" ",LEN(Registro!$F506))),({1,2,3,4,5,6,7,8,9,10,11,12,13,14,15,16,17,18,19,20,21,22,23,24,25,26,27,28,29,30}-1)*LEN(Registro!$F506)+1,LEN(Registro!$F506))),FIND("x",TRIM(MID(SUBSTITUTE(SUBSTITUTE(SUBSTITUTE(SUBSTITUTE(SUBSTITUTE(LOWER(Registro!$F506)," ",""),CHAR(10),"|"),";","|"),"+","|"),"|",REPT(" ",LEN(Registro!$F506))),({1,2,3,4,5,6,7,8,9,10,11,12,13,14,15,16,17,18,19,20,21,22,23,24,25,26,27,28,29,30}-1)*LEN(Registro!$F506)+1,LEN(Registro!$F506)))&amp;"x")-1))),"Revisar formato")))</f>
        <v/>
      </c>
      <c r="G506" s="24" t="str">
        <f>IF(Registro!$F506="","",IF(ISERROR(FIND("x",LOWER(Registro!$F506))),N(Registro!$G506),IFERROR(SUMPRODUCT(--("0"&amp;LEFT(TRIM(MID(SUBSTITUTE(SUBSTITUTE(SUBSTITUTE(SUBSTITUTE(SUBSTITUTE(LOWER(Registro!$F506)," ",""),CHAR(10),"|"),";","|"),"+","|"),"|",REPT(" ",LEN(Registro!$F506))),({1,2,3,4,5,6,7,8,9,10,11,12,13,14,15,16,17,18,19,20,21,22,23,24,25,26,27,28,29,30}-1)*LEN(Registro!$F506)+1,LEN(Registro!$F506))),FIND("x",TRIM(MID(SUBSTITUTE(SUBSTITUTE(SUBSTITUTE(SUBSTITUTE(SUBSTITUTE(LOWER(Registro!$F506)," ",""),CHAR(10),"|"),";","|"),"+","|"),"|",REPT(" ",LEN(Registro!$F506))),({1,2,3,4,5,6,7,8,9,10,11,12,13,14,15,16,17,18,19,20,21,22,23,24,25,26,27,28,29,30}-1)*LEN(Registro!$F506)+1,LEN(Registro!$F506)))&amp;"x")-1)),--("0"&amp;MID(TRIM(MID(SUBSTITUTE(SUBSTITUTE(SUBSTITUTE(SUBSTITUTE(SUBSTITUTE(LOWER(Registro!$F506)," ",""),CHAR(10),"|"),";","|"),"+","|"),"|",REPT(" ",LEN(Registro!$F506))),({1,2,3,4,5,6,7,8,9,10,11,12,13,14,15,16,17,18,19,20,21,22,23,24,25,26,27,28,29,30}-1)*LEN(Registro!$F506)+1,LEN(Registro!$F506))),FIND("x",TRIM(MID(SUBSTITUTE(SUBSTITUTE(SUBSTITUTE(SUBSTITUTE(SUBSTITUTE(LOWER(Registro!$F506)," ",""),CHAR(10),"|"),";","|"),"+","|"),"|",REPT(" ",LEN(Registro!$F506))),({1,2,3,4,5,6,7,8,9,10,11,12,13,14,15,16,17,18,19,20,21,22,23,24,25,26,27,28,29,30}-1)*LEN(Registro!$F506)+1,LEN(Registro!$F506)))&amp;"x")+1,20))),"Revisar formato")))</f>
        <v/>
      </c>
      <c r="H506" s="21" t="str">
        <f>IF(AND(Registro!$E506="",Registro!$F506=""),"",IF(NOT(AND(ISNUMBER(G506),ISNUMBER(Registro!$G506))),"",IF(G506&lt;Registro!$G506,"FALTA BOLETOS",IF(G506=Registro!$G506,"CONFORME","DIFERENCIA"))))</f>
        <v/>
      </c>
      <c r="I506" s="24" t="str">
        <f>IF(Registro!$H506="","",IFERROR(SUMPRODUCT(--("0"&amp;TRIM(RIGHT(SUBSTITUTE(TRIM(MID(SUBSTITUTE(SUBSTITUTE(Registro!$H506,";",CHAR(10)),CHAR(10),REPT(" ",LEN(Registro!$H506))),({1,2,3,4,5,6,7,8,9,10,11,12,13,14,15,16,17,18,19,20,21,22,23,24,25,26,27,28,29,30}-1)*LEN(Registro!$H506)+1,LEN(Registro!$H506)))," ",REPT(" ",50)),50)))),"Revisar formato"))</f>
        <v/>
      </c>
      <c r="J506" s="24" t="str">
        <f>IF(Registro!$I506="","",IFERROR(SUMPRODUCT(--("0"&amp;TRIM(RIGHT(SUBSTITUTE(TRIM(MID(SUBSTITUTE(SUBSTITUTE(Registro!$I506,";",CHAR(10)),CHAR(10),REPT(" ",LEN(Registro!$I506))),({1,2,3,4,5,6,7,8,9,10,11,12,13,14,15,16,17,18,19,20,21,22,23,24,25,26,27,28,29,30}-1)*LEN(Registro!$I506)+1,LEN(Registro!$I506)))," ",REPT(" ",50)),50)))),"Revisar formato"))</f>
        <v/>
      </c>
      <c r="K506" s="24" t="str">
        <f>IF(AND(Registro!$G506="",Registro!$H506=""),"",IF(AND(ISTEXT(I506),I506&lt;&gt;""),"Revisar formato",N(Registro!$G506)-N(I506)))</f>
        <v/>
      </c>
      <c r="L506" s="24" t="str">
        <f t="shared" si="15"/>
        <v/>
      </c>
      <c r="M506" s="36" t="str">
        <f>IF(AND(A506=Consulta!$B$3,C506=Consulta!$H$3),B506*10000+ROW(),"")</f>
        <v/>
      </c>
    </row>
    <row r="507" spans="1:13" x14ac:dyDescent="0.25">
      <c r="A507" s="21" t="str">
        <f>IF(Registro!$A507="","",Registro!$A507)</f>
        <v/>
      </c>
      <c r="B507" s="20" t="str">
        <f>IF(Registro!$B507="","",Registro!$B507)</f>
        <v/>
      </c>
      <c r="C507" s="35" t="str">
        <f t="shared" si="14"/>
        <v/>
      </c>
      <c r="D507" s="23" t="str">
        <f>IF(Registro!$E507="","",IF(ISERROR(FIND("x",LOWER(Registro!$E507))),"-",IFERROR(SUMPRODUCT(--("0"&amp;LEFT(TRIM(MID(SUBSTITUTE(SUBSTITUTE(SUBSTITUTE(SUBSTITUTE(SUBSTITUTE(LOWER(Registro!$E507),"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",LEN(Registro!$E507))),({1,2,3,4,5,6,7,8,9,10,11,12,13,14,15,16,17,18,19,20,21,22,23,24,25,26,27,28,29,30}-1)*LEN(Registro!$E507)+1,LEN(Registro!$E507))),FIND("x",TRIM(MID(SUBSTITUTE(SUBSTITUTE(SUBSTITUTE(SUBSTITUTE(SUBSTITUTE(LOWER(Registro!$E507),"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",LEN(Registro!$E507))),({1,2,3,4,5,6,7,8,9,10,11,12,13,14,15,16,17,18,19,20,21,22,23,24,25,26,27,28,29,30}-1)*LEN(Registro!$E507)+1,LEN(Registro!$E507)))&amp;"x")-1))),"Revisar formato")))</f>
        <v/>
      </c>
      <c r="E507" s="24" t="str">
        <f>IF(Registro!$E507="","",IF(ISERROR(FIND("x",LOWER(Registro!$E507))),"-",IFERROR(SUMPRODUCT(--("0"&amp;LEFT(TRIM(MID(SUBSTITUTE(SUBSTITUTE(SUBSTITUTE(SUBSTITUTE(SUBSTITUTE(LOWER(Registro!$E507),"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",LEN(Registro!$E507))),({1,2,3,4,5,6,7,8,9,10,11,12,13,14,15,16,17,18,19,20,21,22,23,24,25,26,27,28,29,30}-1)*LEN(Registro!$E507)+1,LEN(Registro!$E507))),FIND("x",TRIM(MID(SUBSTITUTE(SUBSTITUTE(SUBSTITUTE(SUBSTITUTE(SUBSTITUTE(LOWER(Registro!$E507),"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",LEN(Registro!$E507))),({1,2,3,4,5,6,7,8,9,10,11,12,13,14,15,16,17,18,19,20,21,22,23,24,25,26,27,28,29,30}-1)*LEN(Registro!$E507)+1,LEN(Registro!$E507)))&amp;"x")-1)),--("0"&amp;MID(TRIM(MID(SUBSTITUTE(SUBSTITUTE(SUBSTITUTE(SUBSTITUTE(SUBSTITUTE(LOWER(Registro!$E507),"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",LEN(Registro!$E507))),({1,2,3,4,5,6,7,8,9,10,11,12,13,14,15,16,17,18,19,20,21,22,23,24,25,26,27,28,29,30}-1)*LEN(Registro!$E507)+1,LEN(Registro!$E507))),FIND("x",TRIM(MID(SUBSTITUTE(SUBSTITUTE(SUBSTITUTE(SUBSTITUTE(SUBSTITUTE(LOWER(Registro!$E507),"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",LEN(Registro!$E507))),({1,2,3,4,5,6,7,8,9,10,11,12,13,14,15,16,17,18,19,20,21,22,23,24,25,26,27,28,29,30}-1)*LEN(Registro!$E507)+1,LEN(Registro!$E507)))&amp;"x")+1,20))),"Revisar formato")))</f>
        <v/>
      </c>
      <c r="F507" s="23" t="str">
        <f>IF(Registro!$F507="","",IF(ISERROR(FIND("x",LOWER(Registro!$F507))),"-",IFERROR(SUMPRODUCT(--("0"&amp;LEFT(TRIM(MID(SUBSTITUTE(SUBSTITUTE(SUBSTITUTE(SUBSTITUTE(SUBSTITUTE(LOWER(Registro!$F507)," ",""),CHAR(10),"|"),";","|"),"+","|"),"|",REPT(" ",LEN(Registro!$F507))),({1,2,3,4,5,6,7,8,9,10,11,12,13,14,15,16,17,18,19,20,21,22,23,24,25,26,27,28,29,30}-1)*LEN(Registro!$F507)+1,LEN(Registro!$F507))),FIND("x",TRIM(MID(SUBSTITUTE(SUBSTITUTE(SUBSTITUTE(SUBSTITUTE(SUBSTITUTE(LOWER(Registro!$F507)," ",""),CHAR(10),"|"),";","|"),"+","|"),"|",REPT(" ",LEN(Registro!$F507))),({1,2,3,4,5,6,7,8,9,10,11,12,13,14,15,16,17,18,19,20,21,22,23,24,25,26,27,28,29,30}-1)*LEN(Registro!$F507)+1,LEN(Registro!$F507)))&amp;"x")-1))),"Revisar formato")))</f>
        <v/>
      </c>
      <c r="G507" s="24" t="str">
        <f>IF(Registro!$F507="","",IF(ISERROR(FIND("x",LOWER(Registro!$F507))),N(Registro!$G507),IFERROR(SUMPRODUCT(--("0"&amp;LEFT(TRIM(MID(SUBSTITUTE(SUBSTITUTE(SUBSTITUTE(SUBSTITUTE(SUBSTITUTE(LOWER(Registro!$F507)," ",""),CHAR(10),"|"),";","|"),"+","|"),"|",REPT(" ",LEN(Registro!$F507))),({1,2,3,4,5,6,7,8,9,10,11,12,13,14,15,16,17,18,19,20,21,22,23,24,25,26,27,28,29,30}-1)*LEN(Registro!$F507)+1,LEN(Registro!$F507))),FIND("x",TRIM(MID(SUBSTITUTE(SUBSTITUTE(SUBSTITUTE(SUBSTITUTE(SUBSTITUTE(LOWER(Registro!$F507)," ",""),CHAR(10),"|"),";","|"),"+","|"),"|",REPT(" ",LEN(Registro!$F507))),({1,2,3,4,5,6,7,8,9,10,11,12,13,14,15,16,17,18,19,20,21,22,23,24,25,26,27,28,29,30}-1)*LEN(Registro!$F507)+1,LEN(Registro!$F507)))&amp;"x")-1)),--("0"&amp;MID(TRIM(MID(SUBSTITUTE(SUBSTITUTE(SUBSTITUTE(SUBSTITUTE(SUBSTITUTE(LOWER(Registro!$F507)," ",""),CHAR(10),"|"),";","|"),"+","|"),"|",REPT(" ",LEN(Registro!$F507))),({1,2,3,4,5,6,7,8,9,10,11,12,13,14,15,16,17,18,19,20,21,22,23,24,25,26,27,28,29,30}-1)*LEN(Registro!$F507)+1,LEN(Registro!$F507))),FIND("x",TRIM(MID(SUBSTITUTE(SUBSTITUTE(SUBSTITUTE(SUBSTITUTE(SUBSTITUTE(LOWER(Registro!$F507)," ",""),CHAR(10),"|"),";","|"),"+","|"),"|",REPT(" ",LEN(Registro!$F507))),({1,2,3,4,5,6,7,8,9,10,11,12,13,14,15,16,17,18,19,20,21,22,23,24,25,26,27,28,29,30}-1)*LEN(Registro!$F507)+1,LEN(Registro!$F507)))&amp;"x")+1,20))),"Revisar formato")))</f>
        <v/>
      </c>
      <c r="H507" s="21" t="str">
        <f>IF(AND(Registro!$E507="",Registro!$F507=""),"",IF(NOT(AND(ISNUMBER(G507),ISNUMBER(Registro!$G507))),"",IF(G507&lt;Registro!$G507,"FALTA BOLETOS",IF(G507=Registro!$G507,"CONFORME","DIFERENCIA"))))</f>
        <v/>
      </c>
      <c r="I507" s="24" t="str">
        <f>IF(Registro!$H507="","",IFERROR(SUMPRODUCT(--("0"&amp;TRIM(RIGHT(SUBSTITUTE(TRIM(MID(SUBSTITUTE(SUBSTITUTE(Registro!$H507,";",CHAR(10)),CHAR(10),REPT(" ",LEN(Registro!$H507))),({1,2,3,4,5,6,7,8,9,10,11,12,13,14,15,16,17,18,19,20,21,22,23,24,25,26,27,28,29,30}-1)*LEN(Registro!$H507)+1,LEN(Registro!$H507)))," ",REPT(" ",50)),50)))),"Revisar formato"))</f>
        <v/>
      </c>
      <c r="J507" s="24" t="str">
        <f>IF(Registro!$I507="","",IFERROR(SUMPRODUCT(--("0"&amp;TRIM(RIGHT(SUBSTITUTE(TRIM(MID(SUBSTITUTE(SUBSTITUTE(Registro!$I507,";",CHAR(10)),CHAR(10),REPT(" ",LEN(Registro!$I507))),({1,2,3,4,5,6,7,8,9,10,11,12,13,14,15,16,17,18,19,20,21,22,23,24,25,26,27,28,29,30}-1)*LEN(Registro!$I507)+1,LEN(Registro!$I507)))," ",REPT(" ",50)),50)))),"Revisar formato"))</f>
        <v/>
      </c>
      <c r="K507" s="24" t="str">
        <f>IF(AND(Registro!$G507="",Registro!$H507=""),"",IF(AND(ISTEXT(I507),I507&lt;&gt;""),"Revisar formato",N(Registro!$G507)-N(I507)))</f>
        <v/>
      </c>
      <c r="L507" s="24" t="str">
        <f t="shared" si="15"/>
        <v/>
      </c>
      <c r="M507" s="36" t="str">
        <f>IF(AND(A507=Consulta!$B$3,C507=Consulta!$H$3),B507*10000+ROW(),"")</f>
        <v/>
      </c>
    </row>
    <row r="508" spans="1:13" x14ac:dyDescent="0.25">
      <c r="A508" s="21" t="str">
        <f>IF(Registro!$A508="","",Registro!$A508)</f>
        <v/>
      </c>
      <c r="B508" s="20" t="str">
        <f>IF(Registro!$B508="","",Registro!$B508)</f>
        <v/>
      </c>
      <c r="C508" s="35" t="str">
        <f t="shared" si="14"/>
        <v/>
      </c>
      <c r="D508" s="23" t="str">
        <f>IF(Registro!$E508="","",IF(ISERROR(FIND("x",LOWER(Registro!$E508))),"-",IFERROR(SUMPRODUCT(--("0"&amp;LEFT(TRIM(MID(SUBSTITUTE(SUBSTITUTE(SUBSTITUTE(SUBSTITUTE(SUBSTITUTE(LOWER(Registro!$E508),"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",LEN(Registro!$E508))),({1,2,3,4,5,6,7,8,9,10,11,12,13,14,15,16,17,18,19,20,21,22,23,24,25,26,27,28,29,30}-1)*LEN(Registro!$E508)+1,LEN(Registro!$E508))),FIND("x",TRIM(MID(SUBSTITUTE(SUBSTITUTE(SUBSTITUTE(SUBSTITUTE(SUBSTITUTE(LOWER(Registro!$E508),"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",LEN(Registro!$E508))),({1,2,3,4,5,6,7,8,9,10,11,12,13,14,15,16,17,18,19,20,21,22,23,24,25,26,27,28,29,30}-1)*LEN(Registro!$E508)+1,LEN(Registro!$E508)))&amp;"x")-1))),"Revisar formato")))</f>
        <v/>
      </c>
      <c r="E508" s="24" t="str">
        <f>IF(Registro!$E508="","",IF(ISERROR(FIND("x",LOWER(Registro!$E508))),"-",IFERROR(SUMPRODUCT(--("0"&amp;LEFT(TRIM(MID(SUBSTITUTE(SUBSTITUTE(SUBSTITUTE(SUBSTITUTE(SUBSTITUTE(LOWER(Registro!$E508),"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",LEN(Registro!$E508))),({1,2,3,4,5,6,7,8,9,10,11,12,13,14,15,16,17,18,19,20,21,22,23,24,25,26,27,28,29,30}-1)*LEN(Registro!$E508)+1,LEN(Registro!$E508))),FIND("x",TRIM(MID(SUBSTITUTE(SUBSTITUTE(SUBSTITUTE(SUBSTITUTE(SUBSTITUTE(LOWER(Registro!$E508),"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",LEN(Registro!$E508))),({1,2,3,4,5,6,7,8,9,10,11,12,13,14,15,16,17,18,19,20,21,22,23,24,25,26,27,28,29,30}-1)*LEN(Registro!$E508)+1,LEN(Registro!$E508)))&amp;"x")-1)),--("0"&amp;MID(TRIM(MID(SUBSTITUTE(SUBSTITUTE(SUBSTITUTE(SUBSTITUTE(SUBSTITUTE(LOWER(Registro!$E508),"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",LEN(Registro!$E508))),({1,2,3,4,5,6,7,8,9,10,11,12,13,14,15,16,17,18,19,20,21,22,23,24,25,26,27,28,29,30}-1)*LEN(Registro!$E508)+1,LEN(Registro!$E508))),FIND("x",TRIM(MID(SUBSTITUTE(SUBSTITUTE(SUBSTITUTE(SUBSTITUTE(SUBSTITUTE(LOWER(Registro!$E508),"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",LEN(Registro!$E508))),({1,2,3,4,5,6,7,8,9,10,11,12,13,14,15,16,17,18,19,20,21,22,23,24,25,26,27,28,29,30}-1)*LEN(Registro!$E508)+1,LEN(Registro!$E508)))&amp;"x")+1,20))),"Revisar formato")))</f>
        <v/>
      </c>
      <c r="F508" s="23" t="str">
        <f>IF(Registro!$F508="","",IF(ISERROR(FIND("x",LOWER(Registro!$F508))),"-",IFERROR(SUMPRODUCT(--("0"&amp;LEFT(TRIM(MID(SUBSTITUTE(SUBSTITUTE(SUBSTITUTE(SUBSTITUTE(SUBSTITUTE(LOWER(Registro!$F508)," ",""),CHAR(10),"|"),";","|"),"+","|"),"|",REPT(" ",LEN(Registro!$F508))),({1,2,3,4,5,6,7,8,9,10,11,12,13,14,15,16,17,18,19,20,21,22,23,24,25,26,27,28,29,30}-1)*LEN(Registro!$F508)+1,LEN(Registro!$F508))),FIND("x",TRIM(MID(SUBSTITUTE(SUBSTITUTE(SUBSTITUTE(SUBSTITUTE(SUBSTITUTE(LOWER(Registro!$F508)," ",""),CHAR(10),"|"),";","|"),"+","|"),"|",REPT(" ",LEN(Registro!$F508))),({1,2,3,4,5,6,7,8,9,10,11,12,13,14,15,16,17,18,19,20,21,22,23,24,25,26,27,28,29,30}-1)*LEN(Registro!$F508)+1,LEN(Registro!$F508)))&amp;"x")-1))),"Revisar formato")))</f>
        <v/>
      </c>
      <c r="G508" s="24" t="str">
        <f>IF(Registro!$F508="","",IF(ISERROR(FIND("x",LOWER(Registro!$F508))),N(Registro!$G508),IFERROR(SUMPRODUCT(--("0"&amp;LEFT(TRIM(MID(SUBSTITUTE(SUBSTITUTE(SUBSTITUTE(SUBSTITUTE(SUBSTITUTE(LOWER(Registro!$F508)," ",""),CHAR(10),"|"),";","|"),"+","|"),"|",REPT(" ",LEN(Registro!$F508))),({1,2,3,4,5,6,7,8,9,10,11,12,13,14,15,16,17,18,19,20,21,22,23,24,25,26,27,28,29,30}-1)*LEN(Registro!$F508)+1,LEN(Registro!$F508))),FIND("x",TRIM(MID(SUBSTITUTE(SUBSTITUTE(SUBSTITUTE(SUBSTITUTE(SUBSTITUTE(LOWER(Registro!$F508)," ",""),CHAR(10),"|"),";","|"),"+","|"),"|",REPT(" ",LEN(Registro!$F508))),({1,2,3,4,5,6,7,8,9,10,11,12,13,14,15,16,17,18,19,20,21,22,23,24,25,26,27,28,29,30}-1)*LEN(Registro!$F508)+1,LEN(Registro!$F508)))&amp;"x")-1)),--("0"&amp;MID(TRIM(MID(SUBSTITUTE(SUBSTITUTE(SUBSTITUTE(SUBSTITUTE(SUBSTITUTE(LOWER(Registro!$F508)," ",""),CHAR(10),"|"),";","|"),"+","|"),"|",REPT(" ",LEN(Registro!$F508))),({1,2,3,4,5,6,7,8,9,10,11,12,13,14,15,16,17,18,19,20,21,22,23,24,25,26,27,28,29,30}-1)*LEN(Registro!$F508)+1,LEN(Registro!$F508))),FIND("x",TRIM(MID(SUBSTITUTE(SUBSTITUTE(SUBSTITUTE(SUBSTITUTE(SUBSTITUTE(LOWER(Registro!$F508)," ",""),CHAR(10),"|"),";","|"),"+","|"),"|",REPT(" ",LEN(Registro!$F508))),({1,2,3,4,5,6,7,8,9,10,11,12,13,14,15,16,17,18,19,20,21,22,23,24,25,26,27,28,29,30}-1)*LEN(Registro!$F508)+1,LEN(Registro!$F508)))&amp;"x")+1,20))),"Revisar formato")))</f>
        <v/>
      </c>
      <c r="H508" s="21" t="str">
        <f>IF(AND(Registro!$E508="",Registro!$F508=""),"",IF(NOT(AND(ISNUMBER(G508),ISNUMBER(Registro!$G508))),"",IF(G508&lt;Registro!$G508,"FALTA BOLETOS",IF(G508=Registro!$G508,"CONFORME","DIFERENCIA"))))</f>
        <v/>
      </c>
      <c r="I508" s="24" t="str">
        <f>IF(Registro!$H508="","",IFERROR(SUMPRODUCT(--("0"&amp;TRIM(RIGHT(SUBSTITUTE(TRIM(MID(SUBSTITUTE(SUBSTITUTE(Registro!$H508,";",CHAR(10)),CHAR(10),REPT(" ",LEN(Registro!$H508))),({1,2,3,4,5,6,7,8,9,10,11,12,13,14,15,16,17,18,19,20,21,22,23,24,25,26,27,28,29,30}-1)*LEN(Registro!$H508)+1,LEN(Registro!$H508)))," ",REPT(" ",50)),50)))),"Revisar formato"))</f>
        <v/>
      </c>
      <c r="J508" s="24" t="str">
        <f>IF(Registro!$I508="","",IFERROR(SUMPRODUCT(--("0"&amp;TRIM(RIGHT(SUBSTITUTE(TRIM(MID(SUBSTITUTE(SUBSTITUTE(Registro!$I508,";",CHAR(10)),CHAR(10),REPT(" ",LEN(Registro!$I508))),({1,2,3,4,5,6,7,8,9,10,11,12,13,14,15,16,17,18,19,20,21,22,23,24,25,26,27,28,29,30}-1)*LEN(Registro!$I508)+1,LEN(Registro!$I508)))," ",REPT(" ",50)),50)))),"Revisar formato"))</f>
        <v/>
      </c>
      <c r="K508" s="24" t="str">
        <f>IF(AND(Registro!$G508="",Registro!$H508=""),"",IF(AND(ISTEXT(I508),I508&lt;&gt;""),"Revisar formato",N(Registro!$G508)-N(I508)))</f>
        <v/>
      </c>
      <c r="L508" s="24" t="str">
        <f t="shared" si="15"/>
        <v/>
      </c>
      <c r="M508" s="36" t="str">
        <f>IF(AND(A508=Consulta!$B$3,C508=Consulta!$H$3),B508*10000+ROW(),"")</f>
        <v/>
      </c>
    </row>
    <row r="509" spans="1:13" x14ac:dyDescent="0.25">
      <c r="A509" s="21" t="str">
        <f>IF(Registro!$A509="","",Registro!$A509)</f>
        <v/>
      </c>
      <c r="B509" s="20" t="str">
        <f>IF(Registro!$B509="","",Registro!$B509)</f>
        <v/>
      </c>
      <c r="C509" s="35" t="str">
        <f t="shared" si="14"/>
        <v/>
      </c>
      <c r="D509" s="23" t="str">
        <f>IF(Registro!$E509="","",IF(ISERROR(FIND("x",LOWER(Registro!$E509))),"-",IFERROR(SUMPRODUCT(--("0"&amp;LEFT(TRIM(MID(SUBSTITUTE(SUBSTITUTE(SUBSTITUTE(SUBSTITUTE(SUBSTITUTE(LOWER(Registro!$E509),"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",LEN(Registro!$E509))),({1,2,3,4,5,6,7,8,9,10,11,12,13,14,15,16,17,18,19,20,21,22,23,24,25,26,27,28,29,30}-1)*LEN(Registro!$E509)+1,LEN(Registro!$E509))),FIND("x",TRIM(MID(SUBSTITUTE(SUBSTITUTE(SUBSTITUTE(SUBSTITUTE(SUBSTITUTE(LOWER(Registro!$E509),"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",LEN(Registro!$E509))),({1,2,3,4,5,6,7,8,9,10,11,12,13,14,15,16,17,18,19,20,21,22,23,24,25,26,27,28,29,30}-1)*LEN(Registro!$E509)+1,LEN(Registro!$E509)))&amp;"x")-1))),"Revisar formato")))</f>
        <v/>
      </c>
      <c r="E509" s="24" t="str">
        <f>IF(Registro!$E509="","",IF(ISERROR(FIND("x",LOWER(Registro!$E509))),"-",IFERROR(SUMPRODUCT(--("0"&amp;LEFT(TRIM(MID(SUBSTITUTE(SUBSTITUTE(SUBSTITUTE(SUBSTITUTE(SUBSTITUTE(LOWER(Registro!$E509),"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",LEN(Registro!$E509))),({1,2,3,4,5,6,7,8,9,10,11,12,13,14,15,16,17,18,19,20,21,22,23,24,25,26,27,28,29,30}-1)*LEN(Registro!$E509)+1,LEN(Registro!$E509))),FIND("x",TRIM(MID(SUBSTITUTE(SUBSTITUTE(SUBSTITUTE(SUBSTITUTE(SUBSTITUTE(LOWER(Registro!$E509),"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",LEN(Registro!$E509))),({1,2,3,4,5,6,7,8,9,10,11,12,13,14,15,16,17,18,19,20,21,22,23,24,25,26,27,28,29,30}-1)*LEN(Registro!$E509)+1,LEN(Registro!$E509)))&amp;"x")-1)),--("0"&amp;MID(TRIM(MID(SUBSTITUTE(SUBSTITUTE(SUBSTITUTE(SUBSTITUTE(SUBSTITUTE(LOWER(Registro!$E509),"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",LEN(Registro!$E509))),({1,2,3,4,5,6,7,8,9,10,11,12,13,14,15,16,17,18,19,20,21,22,23,24,25,26,27,28,29,30}-1)*LEN(Registro!$E509)+1,LEN(Registro!$E509))),FIND("x",TRIM(MID(SUBSTITUTE(SUBSTITUTE(SUBSTITUTE(SUBSTITUTE(SUBSTITUTE(LOWER(Registro!$E509),"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",LEN(Registro!$E509))),({1,2,3,4,5,6,7,8,9,10,11,12,13,14,15,16,17,18,19,20,21,22,23,24,25,26,27,28,29,30}-1)*LEN(Registro!$E509)+1,LEN(Registro!$E509)))&amp;"x")+1,20))),"Revisar formato")))</f>
        <v/>
      </c>
      <c r="F509" s="23" t="str">
        <f>IF(Registro!$F509="","",IF(ISERROR(FIND("x",LOWER(Registro!$F509))),"-",IFERROR(SUMPRODUCT(--("0"&amp;LEFT(TRIM(MID(SUBSTITUTE(SUBSTITUTE(SUBSTITUTE(SUBSTITUTE(SUBSTITUTE(LOWER(Registro!$F509)," ",""),CHAR(10),"|"),";","|"),"+","|"),"|",REPT(" ",LEN(Registro!$F509))),({1,2,3,4,5,6,7,8,9,10,11,12,13,14,15,16,17,18,19,20,21,22,23,24,25,26,27,28,29,30}-1)*LEN(Registro!$F509)+1,LEN(Registro!$F509))),FIND("x",TRIM(MID(SUBSTITUTE(SUBSTITUTE(SUBSTITUTE(SUBSTITUTE(SUBSTITUTE(LOWER(Registro!$F509)," ",""),CHAR(10),"|"),";","|"),"+","|"),"|",REPT(" ",LEN(Registro!$F509))),({1,2,3,4,5,6,7,8,9,10,11,12,13,14,15,16,17,18,19,20,21,22,23,24,25,26,27,28,29,30}-1)*LEN(Registro!$F509)+1,LEN(Registro!$F509)))&amp;"x")-1))),"Revisar formato")))</f>
        <v/>
      </c>
      <c r="G509" s="24" t="str">
        <f>IF(Registro!$F509="","",IF(ISERROR(FIND("x",LOWER(Registro!$F509))),N(Registro!$G509),IFERROR(SUMPRODUCT(--("0"&amp;LEFT(TRIM(MID(SUBSTITUTE(SUBSTITUTE(SUBSTITUTE(SUBSTITUTE(SUBSTITUTE(LOWER(Registro!$F509)," ",""),CHAR(10),"|"),";","|"),"+","|"),"|",REPT(" ",LEN(Registro!$F509))),({1,2,3,4,5,6,7,8,9,10,11,12,13,14,15,16,17,18,19,20,21,22,23,24,25,26,27,28,29,30}-1)*LEN(Registro!$F509)+1,LEN(Registro!$F509))),FIND("x",TRIM(MID(SUBSTITUTE(SUBSTITUTE(SUBSTITUTE(SUBSTITUTE(SUBSTITUTE(LOWER(Registro!$F509)," ",""),CHAR(10),"|"),";","|"),"+","|"),"|",REPT(" ",LEN(Registro!$F509))),({1,2,3,4,5,6,7,8,9,10,11,12,13,14,15,16,17,18,19,20,21,22,23,24,25,26,27,28,29,30}-1)*LEN(Registro!$F509)+1,LEN(Registro!$F509)))&amp;"x")-1)),--("0"&amp;MID(TRIM(MID(SUBSTITUTE(SUBSTITUTE(SUBSTITUTE(SUBSTITUTE(SUBSTITUTE(LOWER(Registro!$F509)," ",""),CHAR(10),"|"),";","|"),"+","|"),"|",REPT(" ",LEN(Registro!$F509))),({1,2,3,4,5,6,7,8,9,10,11,12,13,14,15,16,17,18,19,20,21,22,23,24,25,26,27,28,29,30}-1)*LEN(Registro!$F509)+1,LEN(Registro!$F509))),FIND("x",TRIM(MID(SUBSTITUTE(SUBSTITUTE(SUBSTITUTE(SUBSTITUTE(SUBSTITUTE(LOWER(Registro!$F509)," ",""),CHAR(10),"|"),";","|"),"+","|"),"|",REPT(" ",LEN(Registro!$F509))),({1,2,3,4,5,6,7,8,9,10,11,12,13,14,15,16,17,18,19,20,21,22,23,24,25,26,27,28,29,30}-1)*LEN(Registro!$F509)+1,LEN(Registro!$F509)))&amp;"x")+1,20))),"Revisar formato")))</f>
        <v/>
      </c>
      <c r="H509" s="21" t="str">
        <f>IF(AND(Registro!$E509="",Registro!$F509=""),"",IF(NOT(AND(ISNUMBER(G509),ISNUMBER(Registro!$G509))),"",IF(G509&lt;Registro!$G509,"FALTA BOLETOS",IF(G509=Registro!$G509,"CONFORME","DIFERENCIA"))))</f>
        <v/>
      </c>
      <c r="I509" s="24" t="str">
        <f>IF(Registro!$H509="","",IFERROR(SUMPRODUCT(--("0"&amp;TRIM(RIGHT(SUBSTITUTE(TRIM(MID(SUBSTITUTE(SUBSTITUTE(Registro!$H509,";",CHAR(10)),CHAR(10),REPT(" ",LEN(Registro!$H509))),({1,2,3,4,5,6,7,8,9,10,11,12,13,14,15,16,17,18,19,20,21,22,23,24,25,26,27,28,29,30}-1)*LEN(Registro!$H509)+1,LEN(Registro!$H509)))," ",REPT(" ",50)),50)))),"Revisar formato"))</f>
        <v/>
      </c>
      <c r="J509" s="24" t="str">
        <f>IF(Registro!$I509="","",IFERROR(SUMPRODUCT(--("0"&amp;TRIM(RIGHT(SUBSTITUTE(TRIM(MID(SUBSTITUTE(SUBSTITUTE(Registro!$I509,";",CHAR(10)),CHAR(10),REPT(" ",LEN(Registro!$I509))),({1,2,3,4,5,6,7,8,9,10,11,12,13,14,15,16,17,18,19,20,21,22,23,24,25,26,27,28,29,30}-1)*LEN(Registro!$I509)+1,LEN(Registro!$I509)))," ",REPT(" ",50)),50)))),"Revisar formato"))</f>
        <v/>
      </c>
      <c r="K509" s="24" t="str">
        <f>IF(AND(Registro!$G509="",Registro!$H509=""),"",IF(AND(ISTEXT(I509),I509&lt;&gt;""),"Revisar formato",N(Registro!$G509)-N(I509)))</f>
        <v/>
      </c>
      <c r="L509" s="24" t="str">
        <f t="shared" si="15"/>
        <v/>
      </c>
      <c r="M509" s="36" t="str">
        <f>IF(AND(A509=Consulta!$B$3,C509=Consulta!$H$3),B509*10000+ROW(),"")</f>
        <v/>
      </c>
    </row>
    <row r="510" spans="1:13" x14ac:dyDescent="0.25">
      <c r="A510" s="21" t="str">
        <f>IF(Registro!$A510="","",Registro!$A510)</f>
        <v/>
      </c>
      <c r="B510" s="20" t="str">
        <f>IF(Registro!$B510="","",Registro!$B510)</f>
        <v/>
      </c>
      <c r="C510" s="35" t="str">
        <f t="shared" si="14"/>
        <v/>
      </c>
      <c r="D510" s="23" t="str">
        <f>IF(Registro!$E510="","",IF(ISERROR(FIND("x",LOWER(Registro!$E510))),"-",IFERROR(SUMPRODUCT(--("0"&amp;LEFT(TRIM(MID(SUBSTITUTE(SUBSTITUTE(SUBSTITUTE(SUBSTITUTE(SUBSTITUTE(LOWER(Registro!$E510),"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",LEN(Registro!$E510))),({1,2,3,4,5,6,7,8,9,10,11,12,13,14,15,16,17,18,19,20,21,22,23,24,25,26,27,28,29,30}-1)*LEN(Registro!$E510)+1,LEN(Registro!$E510))),FIND("x",TRIM(MID(SUBSTITUTE(SUBSTITUTE(SUBSTITUTE(SUBSTITUTE(SUBSTITUTE(LOWER(Registro!$E510),"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",LEN(Registro!$E510))),({1,2,3,4,5,6,7,8,9,10,11,12,13,14,15,16,17,18,19,20,21,22,23,24,25,26,27,28,29,30}-1)*LEN(Registro!$E510)+1,LEN(Registro!$E510)))&amp;"x")-1))),"Revisar formato")))</f>
        <v/>
      </c>
      <c r="E510" s="24" t="str">
        <f>IF(Registro!$E510="","",IF(ISERROR(FIND("x",LOWER(Registro!$E510))),"-",IFERROR(SUMPRODUCT(--("0"&amp;LEFT(TRIM(MID(SUBSTITUTE(SUBSTITUTE(SUBSTITUTE(SUBSTITUTE(SUBSTITUTE(LOWER(Registro!$E510),"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",LEN(Registro!$E510))),({1,2,3,4,5,6,7,8,9,10,11,12,13,14,15,16,17,18,19,20,21,22,23,24,25,26,27,28,29,30}-1)*LEN(Registro!$E510)+1,LEN(Registro!$E510))),FIND("x",TRIM(MID(SUBSTITUTE(SUBSTITUTE(SUBSTITUTE(SUBSTITUTE(SUBSTITUTE(LOWER(Registro!$E510),"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",LEN(Registro!$E510))),({1,2,3,4,5,6,7,8,9,10,11,12,13,14,15,16,17,18,19,20,21,22,23,24,25,26,27,28,29,30}-1)*LEN(Registro!$E510)+1,LEN(Registro!$E510)))&amp;"x")-1)),--("0"&amp;MID(TRIM(MID(SUBSTITUTE(SUBSTITUTE(SUBSTITUTE(SUBSTITUTE(SUBSTITUTE(LOWER(Registro!$E510),"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",LEN(Registro!$E510))),({1,2,3,4,5,6,7,8,9,10,11,12,13,14,15,16,17,18,19,20,21,22,23,24,25,26,27,28,29,30}-1)*LEN(Registro!$E510)+1,LEN(Registro!$E510))),FIND("x",TRIM(MID(SUBSTITUTE(SUBSTITUTE(SUBSTITUTE(SUBSTITUTE(SUBSTITUTE(LOWER(Registro!$E510),"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",LEN(Registro!$E510))),({1,2,3,4,5,6,7,8,9,10,11,12,13,14,15,16,17,18,19,20,21,22,23,24,25,26,27,28,29,30}-1)*LEN(Registro!$E510)+1,LEN(Registro!$E510)))&amp;"x")+1,20))),"Revisar formato")))</f>
        <v/>
      </c>
      <c r="F510" s="23" t="str">
        <f>IF(Registro!$F510="","",IF(ISERROR(FIND("x",LOWER(Registro!$F510))),"-",IFERROR(SUMPRODUCT(--("0"&amp;LEFT(TRIM(MID(SUBSTITUTE(SUBSTITUTE(SUBSTITUTE(SUBSTITUTE(SUBSTITUTE(LOWER(Registro!$F510)," ",""),CHAR(10),"|"),";","|"),"+","|"),"|",REPT(" ",LEN(Registro!$F510))),({1,2,3,4,5,6,7,8,9,10,11,12,13,14,15,16,17,18,19,20,21,22,23,24,25,26,27,28,29,30}-1)*LEN(Registro!$F510)+1,LEN(Registro!$F510))),FIND("x",TRIM(MID(SUBSTITUTE(SUBSTITUTE(SUBSTITUTE(SUBSTITUTE(SUBSTITUTE(LOWER(Registro!$F510)," ",""),CHAR(10),"|"),";","|"),"+","|"),"|",REPT(" ",LEN(Registro!$F510))),({1,2,3,4,5,6,7,8,9,10,11,12,13,14,15,16,17,18,19,20,21,22,23,24,25,26,27,28,29,30}-1)*LEN(Registro!$F510)+1,LEN(Registro!$F510)))&amp;"x")-1))),"Revisar formato")))</f>
        <v/>
      </c>
      <c r="G510" s="24" t="str">
        <f>IF(Registro!$F510="","",IF(ISERROR(FIND("x",LOWER(Registro!$F510))),N(Registro!$G510),IFERROR(SUMPRODUCT(--("0"&amp;LEFT(TRIM(MID(SUBSTITUTE(SUBSTITUTE(SUBSTITUTE(SUBSTITUTE(SUBSTITUTE(LOWER(Registro!$F510)," ",""),CHAR(10),"|"),";","|"),"+","|"),"|",REPT(" ",LEN(Registro!$F510))),({1,2,3,4,5,6,7,8,9,10,11,12,13,14,15,16,17,18,19,20,21,22,23,24,25,26,27,28,29,30}-1)*LEN(Registro!$F510)+1,LEN(Registro!$F510))),FIND("x",TRIM(MID(SUBSTITUTE(SUBSTITUTE(SUBSTITUTE(SUBSTITUTE(SUBSTITUTE(LOWER(Registro!$F510)," ",""),CHAR(10),"|"),";","|"),"+","|"),"|",REPT(" ",LEN(Registro!$F510))),({1,2,3,4,5,6,7,8,9,10,11,12,13,14,15,16,17,18,19,20,21,22,23,24,25,26,27,28,29,30}-1)*LEN(Registro!$F510)+1,LEN(Registro!$F510)))&amp;"x")-1)),--("0"&amp;MID(TRIM(MID(SUBSTITUTE(SUBSTITUTE(SUBSTITUTE(SUBSTITUTE(SUBSTITUTE(LOWER(Registro!$F510)," ",""),CHAR(10),"|"),";","|"),"+","|"),"|",REPT(" ",LEN(Registro!$F510))),({1,2,3,4,5,6,7,8,9,10,11,12,13,14,15,16,17,18,19,20,21,22,23,24,25,26,27,28,29,30}-1)*LEN(Registro!$F510)+1,LEN(Registro!$F510))),FIND("x",TRIM(MID(SUBSTITUTE(SUBSTITUTE(SUBSTITUTE(SUBSTITUTE(SUBSTITUTE(LOWER(Registro!$F510)," ",""),CHAR(10),"|"),";","|"),"+","|"),"|",REPT(" ",LEN(Registro!$F510))),({1,2,3,4,5,6,7,8,9,10,11,12,13,14,15,16,17,18,19,20,21,22,23,24,25,26,27,28,29,30}-1)*LEN(Registro!$F510)+1,LEN(Registro!$F510)))&amp;"x")+1,20))),"Revisar formato")))</f>
        <v/>
      </c>
      <c r="H510" s="21" t="str">
        <f>IF(AND(Registro!$E510="",Registro!$F510=""),"",IF(NOT(AND(ISNUMBER(G510),ISNUMBER(Registro!$G510))),"",IF(G510&lt;Registro!$G510,"FALTA BOLETOS",IF(G510=Registro!$G510,"CONFORME","DIFERENCIA"))))</f>
        <v/>
      </c>
      <c r="I510" s="24" t="str">
        <f>IF(Registro!$H510="","",IFERROR(SUMPRODUCT(--("0"&amp;TRIM(RIGHT(SUBSTITUTE(TRIM(MID(SUBSTITUTE(SUBSTITUTE(Registro!$H510,";",CHAR(10)),CHAR(10),REPT(" ",LEN(Registro!$H510))),({1,2,3,4,5,6,7,8,9,10,11,12,13,14,15,16,17,18,19,20,21,22,23,24,25,26,27,28,29,30}-1)*LEN(Registro!$H510)+1,LEN(Registro!$H510)))," ",REPT(" ",50)),50)))),"Revisar formato"))</f>
        <v/>
      </c>
      <c r="J510" s="24" t="str">
        <f>IF(Registro!$I510="","",IFERROR(SUMPRODUCT(--("0"&amp;TRIM(RIGHT(SUBSTITUTE(TRIM(MID(SUBSTITUTE(SUBSTITUTE(Registro!$I510,";",CHAR(10)),CHAR(10),REPT(" ",LEN(Registro!$I510))),({1,2,3,4,5,6,7,8,9,10,11,12,13,14,15,16,17,18,19,20,21,22,23,24,25,26,27,28,29,30}-1)*LEN(Registro!$I510)+1,LEN(Registro!$I510)))," ",REPT(" ",50)),50)))),"Revisar formato"))</f>
        <v/>
      </c>
      <c r="K510" s="24" t="str">
        <f>IF(AND(Registro!$G510="",Registro!$H510=""),"",IF(AND(ISTEXT(I510),I510&lt;&gt;""),"Revisar formato",N(Registro!$G510)-N(I510)))</f>
        <v/>
      </c>
      <c r="L510" s="24" t="str">
        <f t="shared" si="15"/>
        <v/>
      </c>
      <c r="M510" s="36" t="str">
        <f>IF(AND(A510=Consulta!$B$3,C510=Consulta!$H$3),B510*10000+ROW(),"")</f>
        <v/>
      </c>
    </row>
    <row r="511" spans="1:13" x14ac:dyDescent="0.25">
      <c r="A511" s="21" t="str">
        <f>IF(Registro!$A511="","",Registro!$A511)</f>
        <v/>
      </c>
      <c r="B511" s="20" t="str">
        <f>IF(Registro!$B511="","",Registro!$B511)</f>
        <v/>
      </c>
      <c r="C511" s="35" t="str">
        <f t="shared" si="14"/>
        <v/>
      </c>
      <c r="D511" s="23" t="str">
        <f>IF(Registro!$E511="","",IF(ISERROR(FIND("x",LOWER(Registro!$E511))),"-",IFERROR(SUMPRODUCT(--("0"&amp;LEFT(TRIM(MID(SUBSTITUTE(SUBSTITUTE(SUBSTITUTE(SUBSTITUTE(SUBSTITUTE(LOWER(Registro!$E511),"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",LEN(Registro!$E511))),({1,2,3,4,5,6,7,8,9,10,11,12,13,14,15,16,17,18,19,20,21,22,23,24,25,26,27,28,29,30}-1)*LEN(Registro!$E511)+1,LEN(Registro!$E511))),FIND("x",TRIM(MID(SUBSTITUTE(SUBSTITUTE(SUBSTITUTE(SUBSTITUTE(SUBSTITUTE(LOWER(Registro!$E511),"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",LEN(Registro!$E511))),({1,2,3,4,5,6,7,8,9,10,11,12,13,14,15,16,17,18,19,20,21,22,23,24,25,26,27,28,29,30}-1)*LEN(Registro!$E511)+1,LEN(Registro!$E511)))&amp;"x")-1))),"Revisar formato")))</f>
        <v/>
      </c>
      <c r="E511" s="24" t="str">
        <f>IF(Registro!$E511="","",IF(ISERROR(FIND("x",LOWER(Registro!$E511))),"-",IFERROR(SUMPRODUCT(--("0"&amp;LEFT(TRIM(MID(SUBSTITUTE(SUBSTITUTE(SUBSTITUTE(SUBSTITUTE(SUBSTITUTE(LOWER(Registro!$E511),"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",LEN(Registro!$E511))),({1,2,3,4,5,6,7,8,9,10,11,12,13,14,15,16,17,18,19,20,21,22,23,24,25,26,27,28,29,30}-1)*LEN(Registro!$E511)+1,LEN(Registro!$E511))),FIND("x",TRIM(MID(SUBSTITUTE(SUBSTITUTE(SUBSTITUTE(SUBSTITUTE(SUBSTITUTE(LOWER(Registro!$E511),"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",LEN(Registro!$E511))),({1,2,3,4,5,6,7,8,9,10,11,12,13,14,15,16,17,18,19,20,21,22,23,24,25,26,27,28,29,30}-1)*LEN(Registro!$E511)+1,LEN(Registro!$E511)))&amp;"x")-1)),--("0"&amp;MID(TRIM(MID(SUBSTITUTE(SUBSTITUTE(SUBSTITUTE(SUBSTITUTE(SUBSTITUTE(LOWER(Registro!$E511),"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",LEN(Registro!$E511))),({1,2,3,4,5,6,7,8,9,10,11,12,13,14,15,16,17,18,19,20,21,22,23,24,25,26,27,28,29,30}-1)*LEN(Registro!$E511)+1,LEN(Registro!$E511))),FIND("x",TRIM(MID(SUBSTITUTE(SUBSTITUTE(SUBSTITUTE(SUBSTITUTE(SUBSTITUTE(LOWER(Registro!$E511),"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",LEN(Registro!$E511))),({1,2,3,4,5,6,7,8,9,10,11,12,13,14,15,16,17,18,19,20,21,22,23,24,25,26,27,28,29,30}-1)*LEN(Registro!$E511)+1,LEN(Registro!$E511)))&amp;"x")+1,20))),"Revisar formato")))</f>
        <v/>
      </c>
      <c r="F511" s="23" t="str">
        <f>IF(Registro!$F511="","",IF(ISERROR(FIND("x",LOWER(Registro!$F511))),"-",IFERROR(SUMPRODUCT(--("0"&amp;LEFT(TRIM(MID(SUBSTITUTE(SUBSTITUTE(SUBSTITUTE(SUBSTITUTE(SUBSTITUTE(LOWER(Registro!$F511)," ",""),CHAR(10),"|"),";","|"),"+","|"),"|",REPT(" ",LEN(Registro!$F511))),({1,2,3,4,5,6,7,8,9,10,11,12,13,14,15,16,17,18,19,20,21,22,23,24,25,26,27,28,29,30}-1)*LEN(Registro!$F511)+1,LEN(Registro!$F511))),FIND("x",TRIM(MID(SUBSTITUTE(SUBSTITUTE(SUBSTITUTE(SUBSTITUTE(SUBSTITUTE(LOWER(Registro!$F511)," ",""),CHAR(10),"|"),";","|"),"+","|"),"|",REPT(" ",LEN(Registro!$F511))),({1,2,3,4,5,6,7,8,9,10,11,12,13,14,15,16,17,18,19,20,21,22,23,24,25,26,27,28,29,30}-1)*LEN(Registro!$F511)+1,LEN(Registro!$F511)))&amp;"x")-1))),"Revisar formato")))</f>
        <v/>
      </c>
      <c r="G511" s="24" t="str">
        <f>IF(Registro!$F511="","",IF(ISERROR(FIND("x",LOWER(Registro!$F511))),N(Registro!$G511),IFERROR(SUMPRODUCT(--("0"&amp;LEFT(TRIM(MID(SUBSTITUTE(SUBSTITUTE(SUBSTITUTE(SUBSTITUTE(SUBSTITUTE(LOWER(Registro!$F511)," ",""),CHAR(10),"|"),";","|"),"+","|"),"|",REPT(" ",LEN(Registro!$F511))),({1,2,3,4,5,6,7,8,9,10,11,12,13,14,15,16,17,18,19,20,21,22,23,24,25,26,27,28,29,30}-1)*LEN(Registro!$F511)+1,LEN(Registro!$F511))),FIND("x",TRIM(MID(SUBSTITUTE(SUBSTITUTE(SUBSTITUTE(SUBSTITUTE(SUBSTITUTE(LOWER(Registro!$F511)," ",""),CHAR(10),"|"),";","|"),"+","|"),"|",REPT(" ",LEN(Registro!$F511))),({1,2,3,4,5,6,7,8,9,10,11,12,13,14,15,16,17,18,19,20,21,22,23,24,25,26,27,28,29,30}-1)*LEN(Registro!$F511)+1,LEN(Registro!$F511)))&amp;"x")-1)),--("0"&amp;MID(TRIM(MID(SUBSTITUTE(SUBSTITUTE(SUBSTITUTE(SUBSTITUTE(SUBSTITUTE(LOWER(Registro!$F511)," ",""),CHAR(10),"|"),";","|"),"+","|"),"|",REPT(" ",LEN(Registro!$F511))),({1,2,3,4,5,6,7,8,9,10,11,12,13,14,15,16,17,18,19,20,21,22,23,24,25,26,27,28,29,30}-1)*LEN(Registro!$F511)+1,LEN(Registro!$F511))),FIND("x",TRIM(MID(SUBSTITUTE(SUBSTITUTE(SUBSTITUTE(SUBSTITUTE(SUBSTITUTE(LOWER(Registro!$F511)," ",""),CHAR(10),"|"),";","|"),"+","|"),"|",REPT(" ",LEN(Registro!$F511))),({1,2,3,4,5,6,7,8,9,10,11,12,13,14,15,16,17,18,19,20,21,22,23,24,25,26,27,28,29,30}-1)*LEN(Registro!$F511)+1,LEN(Registro!$F511)))&amp;"x")+1,20))),"Revisar formato")))</f>
        <v/>
      </c>
      <c r="H511" s="21" t="str">
        <f>IF(AND(Registro!$E511="",Registro!$F511=""),"",IF(NOT(AND(ISNUMBER(G511),ISNUMBER(Registro!$G511))),"",IF(G511&lt;Registro!$G511,"FALTA BOLETOS",IF(G511=Registro!$G511,"CONFORME","DIFERENCIA"))))</f>
        <v/>
      </c>
      <c r="I511" s="24" t="str">
        <f>IF(Registro!$H511="","",IFERROR(SUMPRODUCT(--("0"&amp;TRIM(RIGHT(SUBSTITUTE(TRIM(MID(SUBSTITUTE(SUBSTITUTE(Registro!$H511,";",CHAR(10)),CHAR(10),REPT(" ",LEN(Registro!$H511))),({1,2,3,4,5,6,7,8,9,10,11,12,13,14,15,16,17,18,19,20,21,22,23,24,25,26,27,28,29,30}-1)*LEN(Registro!$H511)+1,LEN(Registro!$H511)))," ",REPT(" ",50)),50)))),"Revisar formato"))</f>
        <v/>
      </c>
      <c r="J511" s="24" t="str">
        <f>IF(Registro!$I511="","",IFERROR(SUMPRODUCT(--("0"&amp;TRIM(RIGHT(SUBSTITUTE(TRIM(MID(SUBSTITUTE(SUBSTITUTE(Registro!$I511,";",CHAR(10)),CHAR(10),REPT(" ",LEN(Registro!$I511))),({1,2,3,4,5,6,7,8,9,10,11,12,13,14,15,16,17,18,19,20,21,22,23,24,25,26,27,28,29,30}-1)*LEN(Registro!$I511)+1,LEN(Registro!$I511)))," ",REPT(" ",50)),50)))),"Revisar formato"))</f>
        <v/>
      </c>
      <c r="K511" s="24" t="str">
        <f>IF(AND(Registro!$G511="",Registro!$H511=""),"",IF(AND(ISTEXT(I511),I511&lt;&gt;""),"Revisar formato",N(Registro!$G511)-N(I511)))</f>
        <v/>
      </c>
      <c r="L511" s="24" t="str">
        <f t="shared" si="15"/>
        <v/>
      </c>
      <c r="M511" s="36" t="str">
        <f>IF(AND(A511=Consulta!$B$3,C511=Consulta!$H$3),B511*10000+ROW(),"")</f>
        <v/>
      </c>
    </row>
    <row r="512" spans="1:13" x14ac:dyDescent="0.25">
      <c r="A512" s="21" t="str">
        <f>IF(Registro!$A512="","",Registro!$A512)</f>
        <v/>
      </c>
      <c r="B512" s="20" t="str">
        <f>IF(Registro!$B512="","",Registro!$B512)</f>
        <v/>
      </c>
      <c r="C512" s="35" t="str">
        <f t="shared" si="14"/>
        <v/>
      </c>
      <c r="D512" s="23" t="str">
        <f>IF(Registro!$E512="","",IF(ISERROR(FIND("x",LOWER(Registro!$E512))),"-",IFERROR(SUMPRODUCT(--("0"&amp;LEFT(TRIM(MID(SUBSTITUTE(SUBSTITUTE(SUBSTITUTE(SUBSTITUTE(SUBSTITUTE(LOWER(Registro!$E512),"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",LEN(Registro!$E512))),({1,2,3,4,5,6,7,8,9,10,11,12,13,14,15,16,17,18,19,20,21,22,23,24,25,26,27,28,29,30}-1)*LEN(Registro!$E512)+1,LEN(Registro!$E512))),FIND("x",TRIM(MID(SUBSTITUTE(SUBSTITUTE(SUBSTITUTE(SUBSTITUTE(SUBSTITUTE(LOWER(Registro!$E512),"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",LEN(Registro!$E512))),({1,2,3,4,5,6,7,8,9,10,11,12,13,14,15,16,17,18,19,20,21,22,23,24,25,26,27,28,29,30}-1)*LEN(Registro!$E512)+1,LEN(Registro!$E512)))&amp;"x")-1))),"Revisar formato")))</f>
        <v/>
      </c>
      <c r="E512" s="24" t="str">
        <f>IF(Registro!$E512="","",IF(ISERROR(FIND("x",LOWER(Registro!$E512))),"-",IFERROR(SUMPRODUCT(--("0"&amp;LEFT(TRIM(MID(SUBSTITUTE(SUBSTITUTE(SUBSTITUTE(SUBSTITUTE(SUBSTITUTE(LOWER(Registro!$E512),"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",LEN(Registro!$E512))),({1,2,3,4,5,6,7,8,9,10,11,12,13,14,15,16,17,18,19,20,21,22,23,24,25,26,27,28,29,30}-1)*LEN(Registro!$E512)+1,LEN(Registro!$E512))),FIND("x",TRIM(MID(SUBSTITUTE(SUBSTITUTE(SUBSTITUTE(SUBSTITUTE(SUBSTITUTE(LOWER(Registro!$E512),"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",LEN(Registro!$E512))),({1,2,3,4,5,6,7,8,9,10,11,12,13,14,15,16,17,18,19,20,21,22,23,24,25,26,27,28,29,30}-1)*LEN(Registro!$E512)+1,LEN(Registro!$E512)))&amp;"x")-1)),--("0"&amp;MID(TRIM(MID(SUBSTITUTE(SUBSTITUTE(SUBSTITUTE(SUBSTITUTE(SUBSTITUTE(LOWER(Registro!$E512),"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",LEN(Registro!$E512))),({1,2,3,4,5,6,7,8,9,10,11,12,13,14,15,16,17,18,19,20,21,22,23,24,25,26,27,28,29,30}-1)*LEN(Registro!$E512)+1,LEN(Registro!$E512))),FIND("x",TRIM(MID(SUBSTITUTE(SUBSTITUTE(SUBSTITUTE(SUBSTITUTE(SUBSTITUTE(LOWER(Registro!$E512),"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",LEN(Registro!$E512))),({1,2,3,4,5,6,7,8,9,10,11,12,13,14,15,16,17,18,19,20,21,22,23,24,25,26,27,28,29,30}-1)*LEN(Registro!$E512)+1,LEN(Registro!$E512)))&amp;"x")+1,20))),"Revisar formato")))</f>
        <v/>
      </c>
      <c r="F512" s="23" t="str">
        <f>IF(Registro!$F512="","",IF(ISERROR(FIND("x",LOWER(Registro!$F512))),"-",IFERROR(SUMPRODUCT(--("0"&amp;LEFT(TRIM(MID(SUBSTITUTE(SUBSTITUTE(SUBSTITUTE(SUBSTITUTE(SUBSTITUTE(LOWER(Registro!$F512)," ",""),CHAR(10),"|"),";","|"),"+","|"),"|",REPT(" ",LEN(Registro!$F512))),({1,2,3,4,5,6,7,8,9,10,11,12,13,14,15,16,17,18,19,20,21,22,23,24,25,26,27,28,29,30}-1)*LEN(Registro!$F512)+1,LEN(Registro!$F512))),FIND("x",TRIM(MID(SUBSTITUTE(SUBSTITUTE(SUBSTITUTE(SUBSTITUTE(SUBSTITUTE(LOWER(Registro!$F512)," ",""),CHAR(10),"|"),";","|"),"+","|"),"|",REPT(" ",LEN(Registro!$F512))),({1,2,3,4,5,6,7,8,9,10,11,12,13,14,15,16,17,18,19,20,21,22,23,24,25,26,27,28,29,30}-1)*LEN(Registro!$F512)+1,LEN(Registro!$F512)))&amp;"x")-1))),"Revisar formato")))</f>
        <v/>
      </c>
      <c r="G512" s="24" t="str">
        <f>IF(Registro!$F512="","",IF(ISERROR(FIND("x",LOWER(Registro!$F512))),N(Registro!$G512),IFERROR(SUMPRODUCT(--("0"&amp;LEFT(TRIM(MID(SUBSTITUTE(SUBSTITUTE(SUBSTITUTE(SUBSTITUTE(SUBSTITUTE(LOWER(Registro!$F512)," ",""),CHAR(10),"|"),";","|"),"+","|"),"|",REPT(" ",LEN(Registro!$F512))),({1,2,3,4,5,6,7,8,9,10,11,12,13,14,15,16,17,18,19,20,21,22,23,24,25,26,27,28,29,30}-1)*LEN(Registro!$F512)+1,LEN(Registro!$F512))),FIND("x",TRIM(MID(SUBSTITUTE(SUBSTITUTE(SUBSTITUTE(SUBSTITUTE(SUBSTITUTE(LOWER(Registro!$F512)," ",""),CHAR(10),"|"),";","|"),"+","|"),"|",REPT(" ",LEN(Registro!$F512))),({1,2,3,4,5,6,7,8,9,10,11,12,13,14,15,16,17,18,19,20,21,22,23,24,25,26,27,28,29,30}-1)*LEN(Registro!$F512)+1,LEN(Registro!$F512)))&amp;"x")-1)),--("0"&amp;MID(TRIM(MID(SUBSTITUTE(SUBSTITUTE(SUBSTITUTE(SUBSTITUTE(SUBSTITUTE(LOWER(Registro!$F512)," ",""),CHAR(10),"|"),";","|"),"+","|"),"|",REPT(" ",LEN(Registro!$F512))),({1,2,3,4,5,6,7,8,9,10,11,12,13,14,15,16,17,18,19,20,21,22,23,24,25,26,27,28,29,30}-1)*LEN(Registro!$F512)+1,LEN(Registro!$F512))),FIND("x",TRIM(MID(SUBSTITUTE(SUBSTITUTE(SUBSTITUTE(SUBSTITUTE(SUBSTITUTE(LOWER(Registro!$F512)," ",""),CHAR(10),"|"),";","|"),"+","|"),"|",REPT(" ",LEN(Registro!$F512))),({1,2,3,4,5,6,7,8,9,10,11,12,13,14,15,16,17,18,19,20,21,22,23,24,25,26,27,28,29,30}-1)*LEN(Registro!$F512)+1,LEN(Registro!$F512)))&amp;"x")+1,20))),"Revisar formato")))</f>
        <v/>
      </c>
      <c r="H512" s="21" t="str">
        <f>IF(AND(Registro!$E512="",Registro!$F512=""),"",IF(NOT(AND(ISNUMBER(G512),ISNUMBER(Registro!$G512))),"",IF(G512&lt;Registro!$G512,"FALTA BOLETOS",IF(G512=Registro!$G512,"CONFORME","DIFERENCIA"))))</f>
        <v/>
      </c>
      <c r="I512" s="24" t="str">
        <f>IF(Registro!$H512="","",IFERROR(SUMPRODUCT(--("0"&amp;TRIM(RIGHT(SUBSTITUTE(TRIM(MID(SUBSTITUTE(SUBSTITUTE(Registro!$H512,";",CHAR(10)),CHAR(10),REPT(" ",LEN(Registro!$H512))),({1,2,3,4,5,6,7,8,9,10,11,12,13,14,15,16,17,18,19,20,21,22,23,24,25,26,27,28,29,30}-1)*LEN(Registro!$H512)+1,LEN(Registro!$H512)))," ",REPT(" ",50)),50)))),"Revisar formato"))</f>
        <v/>
      </c>
      <c r="J512" s="24" t="str">
        <f>IF(Registro!$I512="","",IFERROR(SUMPRODUCT(--("0"&amp;TRIM(RIGHT(SUBSTITUTE(TRIM(MID(SUBSTITUTE(SUBSTITUTE(Registro!$I512,";",CHAR(10)),CHAR(10),REPT(" ",LEN(Registro!$I512))),({1,2,3,4,5,6,7,8,9,10,11,12,13,14,15,16,17,18,19,20,21,22,23,24,25,26,27,28,29,30}-1)*LEN(Registro!$I512)+1,LEN(Registro!$I512)))," ",REPT(" ",50)),50)))),"Revisar formato"))</f>
        <v/>
      </c>
      <c r="K512" s="24" t="str">
        <f>IF(AND(Registro!$G512="",Registro!$H512=""),"",IF(AND(ISTEXT(I512),I512&lt;&gt;""),"Revisar formato",N(Registro!$G512)-N(I512)))</f>
        <v/>
      </c>
      <c r="L512" s="24" t="str">
        <f t="shared" si="15"/>
        <v/>
      </c>
      <c r="M512" s="36" t="str">
        <f>IF(AND(A512=Consulta!$B$3,C512=Consulta!$H$3),B512*10000+ROW(),"")</f>
        <v/>
      </c>
    </row>
    <row r="513" spans="1:13" x14ac:dyDescent="0.25">
      <c r="A513" s="21" t="str">
        <f>IF(Registro!$A513="","",Registro!$A513)</f>
        <v/>
      </c>
      <c r="B513" s="20" t="str">
        <f>IF(Registro!$B513="","",Registro!$B513)</f>
        <v/>
      </c>
      <c r="C513" s="35" t="str">
        <f t="shared" si="14"/>
        <v/>
      </c>
      <c r="D513" s="23" t="str">
        <f>IF(Registro!$E513="","",IF(ISERROR(FIND("x",LOWER(Registro!$E513))),"-",IFERROR(SUMPRODUCT(--("0"&amp;LEFT(TRIM(MID(SUBSTITUTE(SUBSTITUTE(SUBSTITUTE(SUBSTITUTE(SUBSTITUTE(LOWER(Registro!$E513),"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",LEN(Registro!$E513))),({1,2,3,4,5,6,7,8,9,10,11,12,13,14,15,16,17,18,19,20,21,22,23,24,25,26,27,28,29,30}-1)*LEN(Registro!$E513)+1,LEN(Registro!$E513))),FIND("x",TRIM(MID(SUBSTITUTE(SUBSTITUTE(SUBSTITUTE(SUBSTITUTE(SUBSTITUTE(LOWER(Registro!$E513),"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",LEN(Registro!$E513))),({1,2,3,4,5,6,7,8,9,10,11,12,13,14,15,16,17,18,19,20,21,22,23,24,25,26,27,28,29,30}-1)*LEN(Registro!$E513)+1,LEN(Registro!$E513)))&amp;"x")-1))),"Revisar formato")))</f>
        <v/>
      </c>
      <c r="E513" s="24" t="str">
        <f>IF(Registro!$E513="","",IF(ISERROR(FIND("x",LOWER(Registro!$E513))),"-",IFERROR(SUMPRODUCT(--("0"&amp;LEFT(TRIM(MID(SUBSTITUTE(SUBSTITUTE(SUBSTITUTE(SUBSTITUTE(SUBSTITUTE(LOWER(Registro!$E513),"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",LEN(Registro!$E513))),({1,2,3,4,5,6,7,8,9,10,11,12,13,14,15,16,17,18,19,20,21,22,23,24,25,26,27,28,29,30}-1)*LEN(Registro!$E513)+1,LEN(Registro!$E513))),FIND("x",TRIM(MID(SUBSTITUTE(SUBSTITUTE(SUBSTITUTE(SUBSTITUTE(SUBSTITUTE(LOWER(Registro!$E513),"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",LEN(Registro!$E513))),({1,2,3,4,5,6,7,8,9,10,11,12,13,14,15,16,17,18,19,20,21,22,23,24,25,26,27,28,29,30}-1)*LEN(Registro!$E513)+1,LEN(Registro!$E513)))&amp;"x")-1)),--("0"&amp;MID(TRIM(MID(SUBSTITUTE(SUBSTITUTE(SUBSTITUTE(SUBSTITUTE(SUBSTITUTE(LOWER(Registro!$E513),"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",LEN(Registro!$E513))),({1,2,3,4,5,6,7,8,9,10,11,12,13,14,15,16,17,18,19,20,21,22,23,24,25,26,27,28,29,30}-1)*LEN(Registro!$E513)+1,LEN(Registro!$E513))),FIND("x",TRIM(MID(SUBSTITUTE(SUBSTITUTE(SUBSTITUTE(SUBSTITUTE(SUBSTITUTE(LOWER(Registro!$E513),"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",LEN(Registro!$E513))),({1,2,3,4,5,6,7,8,9,10,11,12,13,14,15,16,17,18,19,20,21,22,23,24,25,26,27,28,29,30}-1)*LEN(Registro!$E513)+1,LEN(Registro!$E513)))&amp;"x")+1,20))),"Revisar formato")))</f>
        <v/>
      </c>
      <c r="F513" s="23" t="str">
        <f>IF(Registro!$F513="","",IF(ISERROR(FIND("x",LOWER(Registro!$F513))),"-",IFERROR(SUMPRODUCT(--("0"&amp;LEFT(TRIM(MID(SUBSTITUTE(SUBSTITUTE(SUBSTITUTE(SUBSTITUTE(SUBSTITUTE(LOWER(Registro!$F513)," ",""),CHAR(10),"|"),";","|"),"+","|"),"|",REPT(" ",LEN(Registro!$F513))),({1,2,3,4,5,6,7,8,9,10,11,12,13,14,15,16,17,18,19,20,21,22,23,24,25,26,27,28,29,30}-1)*LEN(Registro!$F513)+1,LEN(Registro!$F513))),FIND("x",TRIM(MID(SUBSTITUTE(SUBSTITUTE(SUBSTITUTE(SUBSTITUTE(SUBSTITUTE(LOWER(Registro!$F513)," ",""),CHAR(10),"|"),";","|"),"+","|"),"|",REPT(" ",LEN(Registro!$F513))),({1,2,3,4,5,6,7,8,9,10,11,12,13,14,15,16,17,18,19,20,21,22,23,24,25,26,27,28,29,30}-1)*LEN(Registro!$F513)+1,LEN(Registro!$F513)))&amp;"x")-1))),"Revisar formato")))</f>
        <v/>
      </c>
      <c r="G513" s="24" t="str">
        <f>IF(Registro!$F513="","",IF(ISERROR(FIND("x",LOWER(Registro!$F513))),N(Registro!$G513),IFERROR(SUMPRODUCT(--("0"&amp;LEFT(TRIM(MID(SUBSTITUTE(SUBSTITUTE(SUBSTITUTE(SUBSTITUTE(SUBSTITUTE(LOWER(Registro!$F513)," ",""),CHAR(10),"|"),";","|"),"+","|"),"|",REPT(" ",LEN(Registro!$F513))),({1,2,3,4,5,6,7,8,9,10,11,12,13,14,15,16,17,18,19,20,21,22,23,24,25,26,27,28,29,30}-1)*LEN(Registro!$F513)+1,LEN(Registro!$F513))),FIND("x",TRIM(MID(SUBSTITUTE(SUBSTITUTE(SUBSTITUTE(SUBSTITUTE(SUBSTITUTE(LOWER(Registro!$F513)," ",""),CHAR(10),"|"),";","|"),"+","|"),"|",REPT(" ",LEN(Registro!$F513))),({1,2,3,4,5,6,7,8,9,10,11,12,13,14,15,16,17,18,19,20,21,22,23,24,25,26,27,28,29,30}-1)*LEN(Registro!$F513)+1,LEN(Registro!$F513)))&amp;"x")-1)),--("0"&amp;MID(TRIM(MID(SUBSTITUTE(SUBSTITUTE(SUBSTITUTE(SUBSTITUTE(SUBSTITUTE(LOWER(Registro!$F513)," ",""),CHAR(10),"|"),";","|"),"+","|"),"|",REPT(" ",LEN(Registro!$F513))),({1,2,3,4,5,6,7,8,9,10,11,12,13,14,15,16,17,18,19,20,21,22,23,24,25,26,27,28,29,30}-1)*LEN(Registro!$F513)+1,LEN(Registro!$F513))),FIND("x",TRIM(MID(SUBSTITUTE(SUBSTITUTE(SUBSTITUTE(SUBSTITUTE(SUBSTITUTE(LOWER(Registro!$F513)," ",""),CHAR(10),"|"),";","|"),"+","|"),"|",REPT(" ",LEN(Registro!$F513))),({1,2,3,4,5,6,7,8,9,10,11,12,13,14,15,16,17,18,19,20,21,22,23,24,25,26,27,28,29,30}-1)*LEN(Registro!$F513)+1,LEN(Registro!$F513)))&amp;"x")+1,20))),"Revisar formato")))</f>
        <v/>
      </c>
      <c r="H513" s="21" t="str">
        <f>IF(AND(Registro!$E513="",Registro!$F513=""),"",IF(NOT(AND(ISNUMBER(G513),ISNUMBER(Registro!$G513))),"",IF(G513&lt;Registro!$G513,"FALTA BOLETOS",IF(G513=Registro!$G513,"CONFORME","DIFERENCIA"))))</f>
        <v/>
      </c>
      <c r="I513" s="24" t="str">
        <f>IF(Registro!$H513="","",IFERROR(SUMPRODUCT(--("0"&amp;TRIM(RIGHT(SUBSTITUTE(TRIM(MID(SUBSTITUTE(SUBSTITUTE(Registro!$H513,";",CHAR(10)),CHAR(10),REPT(" ",LEN(Registro!$H513))),({1,2,3,4,5,6,7,8,9,10,11,12,13,14,15,16,17,18,19,20,21,22,23,24,25,26,27,28,29,30}-1)*LEN(Registro!$H513)+1,LEN(Registro!$H513)))," ",REPT(" ",50)),50)))),"Revisar formato"))</f>
        <v/>
      </c>
      <c r="J513" s="24" t="str">
        <f>IF(Registro!$I513="","",IFERROR(SUMPRODUCT(--("0"&amp;TRIM(RIGHT(SUBSTITUTE(TRIM(MID(SUBSTITUTE(SUBSTITUTE(Registro!$I513,";",CHAR(10)),CHAR(10),REPT(" ",LEN(Registro!$I513))),({1,2,3,4,5,6,7,8,9,10,11,12,13,14,15,16,17,18,19,20,21,22,23,24,25,26,27,28,29,30}-1)*LEN(Registro!$I513)+1,LEN(Registro!$I513)))," ",REPT(" ",50)),50)))),"Revisar formato"))</f>
        <v/>
      </c>
      <c r="K513" s="24" t="str">
        <f>IF(AND(Registro!$G513="",Registro!$H513=""),"",IF(AND(ISTEXT(I513),I513&lt;&gt;""),"Revisar formato",N(Registro!$G513)-N(I513)))</f>
        <v/>
      </c>
      <c r="L513" s="24" t="str">
        <f t="shared" si="15"/>
        <v/>
      </c>
      <c r="M513" s="36" t="str">
        <f>IF(AND(A513=Consulta!$B$3,C513=Consulta!$H$3),B513*10000+ROW(),"")</f>
        <v/>
      </c>
    </row>
    <row r="514" spans="1:13" x14ac:dyDescent="0.25">
      <c r="A514" s="21" t="str">
        <f>IF(Registro!$A514="","",Registro!$A514)</f>
        <v/>
      </c>
      <c r="B514" s="20" t="str">
        <f>IF(Registro!$B514="","",Registro!$B514)</f>
        <v/>
      </c>
      <c r="C514" s="35" t="str">
        <f t="shared" ref="C514:C577" si="16">IF(ISNUMBER(B514),YEAR(B514)*100+MONTH(B514),"")</f>
        <v/>
      </c>
      <c r="D514" s="23" t="str">
        <f>IF(Registro!$E514="","",IF(ISERROR(FIND("x",LOWER(Registro!$E514))),"-",IFERROR(SUMPRODUCT(--("0"&amp;LEFT(TRIM(MID(SUBSTITUTE(SUBSTITUTE(SUBSTITUTE(SUBSTITUTE(SUBSTITUTE(LOWER(Registro!$E514),"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",LEN(Registro!$E514))),({1,2,3,4,5,6,7,8,9,10,11,12,13,14,15,16,17,18,19,20,21,22,23,24,25,26,27,28,29,30}-1)*LEN(Registro!$E514)+1,LEN(Registro!$E514))),FIND("x",TRIM(MID(SUBSTITUTE(SUBSTITUTE(SUBSTITUTE(SUBSTITUTE(SUBSTITUTE(LOWER(Registro!$E514),"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",LEN(Registro!$E514))),({1,2,3,4,5,6,7,8,9,10,11,12,13,14,15,16,17,18,19,20,21,22,23,24,25,26,27,28,29,30}-1)*LEN(Registro!$E514)+1,LEN(Registro!$E514)))&amp;"x")-1))),"Revisar formato")))</f>
        <v/>
      </c>
      <c r="E514" s="24" t="str">
        <f>IF(Registro!$E514="","",IF(ISERROR(FIND("x",LOWER(Registro!$E514))),"-",IFERROR(SUMPRODUCT(--("0"&amp;LEFT(TRIM(MID(SUBSTITUTE(SUBSTITUTE(SUBSTITUTE(SUBSTITUTE(SUBSTITUTE(LOWER(Registro!$E514),"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",LEN(Registro!$E514))),({1,2,3,4,5,6,7,8,9,10,11,12,13,14,15,16,17,18,19,20,21,22,23,24,25,26,27,28,29,30}-1)*LEN(Registro!$E514)+1,LEN(Registro!$E514))),FIND("x",TRIM(MID(SUBSTITUTE(SUBSTITUTE(SUBSTITUTE(SUBSTITUTE(SUBSTITUTE(LOWER(Registro!$E514),"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",LEN(Registro!$E514))),({1,2,3,4,5,6,7,8,9,10,11,12,13,14,15,16,17,18,19,20,21,22,23,24,25,26,27,28,29,30}-1)*LEN(Registro!$E514)+1,LEN(Registro!$E514)))&amp;"x")-1)),--("0"&amp;MID(TRIM(MID(SUBSTITUTE(SUBSTITUTE(SUBSTITUTE(SUBSTITUTE(SUBSTITUTE(LOWER(Registro!$E514),"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",LEN(Registro!$E514))),({1,2,3,4,5,6,7,8,9,10,11,12,13,14,15,16,17,18,19,20,21,22,23,24,25,26,27,28,29,30}-1)*LEN(Registro!$E514)+1,LEN(Registro!$E514))),FIND("x",TRIM(MID(SUBSTITUTE(SUBSTITUTE(SUBSTITUTE(SUBSTITUTE(SUBSTITUTE(LOWER(Registro!$E514),"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",LEN(Registro!$E514))),({1,2,3,4,5,6,7,8,9,10,11,12,13,14,15,16,17,18,19,20,21,22,23,24,25,26,27,28,29,30}-1)*LEN(Registro!$E514)+1,LEN(Registro!$E514)))&amp;"x")+1,20))),"Revisar formato")))</f>
        <v/>
      </c>
      <c r="F514" s="23" t="str">
        <f>IF(Registro!$F514="","",IF(ISERROR(FIND("x",LOWER(Registro!$F514))),"-",IFERROR(SUMPRODUCT(--("0"&amp;LEFT(TRIM(MID(SUBSTITUTE(SUBSTITUTE(SUBSTITUTE(SUBSTITUTE(SUBSTITUTE(LOWER(Registro!$F514)," ",""),CHAR(10),"|"),";","|"),"+","|"),"|",REPT(" ",LEN(Registro!$F514))),({1,2,3,4,5,6,7,8,9,10,11,12,13,14,15,16,17,18,19,20,21,22,23,24,25,26,27,28,29,30}-1)*LEN(Registro!$F514)+1,LEN(Registro!$F514))),FIND("x",TRIM(MID(SUBSTITUTE(SUBSTITUTE(SUBSTITUTE(SUBSTITUTE(SUBSTITUTE(LOWER(Registro!$F514)," ",""),CHAR(10),"|"),";","|"),"+","|"),"|",REPT(" ",LEN(Registro!$F514))),({1,2,3,4,5,6,7,8,9,10,11,12,13,14,15,16,17,18,19,20,21,22,23,24,25,26,27,28,29,30}-1)*LEN(Registro!$F514)+1,LEN(Registro!$F514)))&amp;"x")-1))),"Revisar formato")))</f>
        <v/>
      </c>
      <c r="G514" s="24" t="str">
        <f>IF(Registro!$F514="","",IF(ISERROR(FIND("x",LOWER(Registro!$F514))),N(Registro!$G514),IFERROR(SUMPRODUCT(--("0"&amp;LEFT(TRIM(MID(SUBSTITUTE(SUBSTITUTE(SUBSTITUTE(SUBSTITUTE(SUBSTITUTE(LOWER(Registro!$F514)," ",""),CHAR(10),"|"),";","|"),"+","|"),"|",REPT(" ",LEN(Registro!$F514))),({1,2,3,4,5,6,7,8,9,10,11,12,13,14,15,16,17,18,19,20,21,22,23,24,25,26,27,28,29,30}-1)*LEN(Registro!$F514)+1,LEN(Registro!$F514))),FIND("x",TRIM(MID(SUBSTITUTE(SUBSTITUTE(SUBSTITUTE(SUBSTITUTE(SUBSTITUTE(LOWER(Registro!$F514)," ",""),CHAR(10),"|"),";","|"),"+","|"),"|",REPT(" ",LEN(Registro!$F514))),({1,2,3,4,5,6,7,8,9,10,11,12,13,14,15,16,17,18,19,20,21,22,23,24,25,26,27,28,29,30}-1)*LEN(Registro!$F514)+1,LEN(Registro!$F514)))&amp;"x")-1)),--("0"&amp;MID(TRIM(MID(SUBSTITUTE(SUBSTITUTE(SUBSTITUTE(SUBSTITUTE(SUBSTITUTE(LOWER(Registro!$F514)," ",""),CHAR(10),"|"),";","|"),"+","|"),"|",REPT(" ",LEN(Registro!$F514))),({1,2,3,4,5,6,7,8,9,10,11,12,13,14,15,16,17,18,19,20,21,22,23,24,25,26,27,28,29,30}-1)*LEN(Registro!$F514)+1,LEN(Registro!$F514))),FIND("x",TRIM(MID(SUBSTITUTE(SUBSTITUTE(SUBSTITUTE(SUBSTITUTE(SUBSTITUTE(LOWER(Registro!$F514)," ",""),CHAR(10),"|"),";","|"),"+","|"),"|",REPT(" ",LEN(Registro!$F514))),({1,2,3,4,5,6,7,8,9,10,11,12,13,14,15,16,17,18,19,20,21,22,23,24,25,26,27,28,29,30}-1)*LEN(Registro!$F514)+1,LEN(Registro!$F514)))&amp;"x")+1,20))),"Revisar formato")))</f>
        <v/>
      </c>
      <c r="H514" s="21" t="str">
        <f>IF(AND(Registro!$E514="",Registro!$F514=""),"",IF(NOT(AND(ISNUMBER(G514),ISNUMBER(Registro!$G514))),"",IF(G514&lt;Registro!$G514,"FALTA BOLETOS",IF(G514=Registro!$G514,"CONFORME","DIFERENCIA"))))</f>
        <v/>
      </c>
      <c r="I514" s="24" t="str">
        <f>IF(Registro!$H514="","",IFERROR(SUMPRODUCT(--("0"&amp;TRIM(RIGHT(SUBSTITUTE(TRIM(MID(SUBSTITUTE(SUBSTITUTE(Registro!$H514,";",CHAR(10)),CHAR(10),REPT(" ",LEN(Registro!$H514))),({1,2,3,4,5,6,7,8,9,10,11,12,13,14,15,16,17,18,19,20,21,22,23,24,25,26,27,28,29,30}-1)*LEN(Registro!$H514)+1,LEN(Registro!$H514)))," ",REPT(" ",50)),50)))),"Revisar formato"))</f>
        <v/>
      </c>
      <c r="J514" s="24" t="str">
        <f>IF(Registro!$I514="","",IFERROR(SUMPRODUCT(--("0"&amp;TRIM(RIGHT(SUBSTITUTE(TRIM(MID(SUBSTITUTE(SUBSTITUTE(Registro!$I514,";",CHAR(10)),CHAR(10),REPT(" ",LEN(Registro!$I514))),({1,2,3,4,5,6,7,8,9,10,11,12,13,14,15,16,17,18,19,20,21,22,23,24,25,26,27,28,29,30}-1)*LEN(Registro!$I514)+1,LEN(Registro!$I514)))," ",REPT(" ",50)),50)))),"Revisar formato"))</f>
        <v/>
      </c>
      <c r="K514" s="24" t="str">
        <f>IF(AND(Registro!$G514="",Registro!$H514=""),"",IF(AND(ISTEXT(I514),I514&lt;&gt;""),"Revisar formato",N(Registro!$G514)-N(I514)))</f>
        <v/>
      </c>
      <c r="L514" s="24" t="str">
        <f t="shared" ref="L514:L577" si="17">IF(K514="","",IF(OR(K514="Revisar formato",AND(ISTEXT(J514),J514&lt;&gt;"")),"Revisar formato",K514-N(J514)))</f>
        <v/>
      </c>
      <c r="M514" s="36" t="str">
        <f>IF(AND(A514=Consulta!$B$3,C514=Consulta!$H$3),B514*10000+ROW(),"")</f>
        <v/>
      </c>
    </row>
    <row r="515" spans="1:13" x14ac:dyDescent="0.25">
      <c r="A515" s="21" t="str">
        <f>IF(Registro!$A515="","",Registro!$A515)</f>
        <v/>
      </c>
      <c r="B515" s="20" t="str">
        <f>IF(Registro!$B515="","",Registro!$B515)</f>
        <v/>
      </c>
      <c r="C515" s="35" t="str">
        <f t="shared" si="16"/>
        <v/>
      </c>
      <c r="D515" s="23" t="str">
        <f>IF(Registro!$E515="","",IF(ISERROR(FIND("x",LOWER(Registro!$E515))),"-",IFERROR(SUMPRODUCT(--("0"&amp;LEFT(TRIM(MID(SUBSTITUTE(SUBSTITUTE(SUBSTITUTE(SUBSTITUTE(SUBSTITUTE(LOWER(Registro!$E515),"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",LEN(Registro!$E515))),({1,2,3,4,5,6,7,8,9,10,11,12,13,14,15,16,17,18,19,20,21,22,23,24,25,26,27,28,29,30}-1)*LEN(Registro!$E515)+1,LEN(Registro!$E515))),FIND("x",TRIM(MID(SUBSTITUTE(SUBSTITUTE(SUBSTITUTE(SUBSTITUTE(SUBSTITUTE(LOWER(Registro!$E515),"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",LEN(Registro!$E515))),({1,2,3,4,5,6,7,8,9,10,11,12,13,14,15,16,17,18,19,20,21,22,23,24,25,26,27,28,29,30}-1)*LEN(Registro!$E515)+1,LEN(Registro!$E515)))&amp;"x")-1))),"Revisar formato")))</f>
        <v/>
      </c>
      <c r="E515" s="24" t="str">
        <f>IF(Registro!$E515="","",IF(ISERROR(FIND("x",LOWER(Registro!$E515))),"-",IFERROR(SUMPRODUCT(--("0"&amp;LEFT(TRIM(MID(SUBSTITUTE(SUBSTITUTE(SUBSTITUTE(SUBSTITUTE(SUBSTITUTE(LOWER(Registro!$E515),"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",LEN(Registro!$E515))),({1,2,3,4,5,6,7,8,9,10,11,12,13,14,15,16,17,18,19,20,21,22,23,24,25,26,27,28,29,30}-1)*LEN(Registro!$E515)+1,LEN(Registro!$E515))),FIND("x",TRIM(MID(SUBSTITUTE(SUBSTITUTE(SUBSTITUTE(SUBSTITUTE(SUBSTITUTE(LOWER(Registro!$E515),"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",LEN(Registro!$E515))),({1,2,3,4,5,6,7,8,9,10,11,12,13,14,15,16,17,18,19,20,21,22,23,24,25,26,27,28,29,30}-1)*LEN(Registro!$E515)+1,LEN(Registro!$E515)))&amp;"x")-1)),--("0"&amp;MID(TRIM(MID(SUBSTITUTE(SUBSTITUTE(SUBSTITUTE(SUBSTITUTE(SUBSTITUTE(LOWER(Registro!$E515),"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",LEN(Registro!$E515))),({1,2,3,4,5,6,7,8,9,10,11,12,13,14,15,16,17,18,19,20,21,22,23,24,25,26,27,28,29,30}-1)*LEN(Registro!$E515)+1,LEN(Registro!$E515))),FIND("x",TRIM(MID(SUBSTITUTE(SUBSTITUTE(SUBSTITUTE(SUBSTITUTE(SUBSTITUTE(LOWER(Registro!$E515),"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",LEN(Registro!$E515))),({1,2,3,4,5,6,7,8,9,10,11,12,13,14,15,16,17,18,19,20,21,22,23,24,25,26,27,28,29,30}-1)*LEN(Registro!$E515)+1,LEN(Registro!$E515)))&amp;"x")+1,20))),"Revisar formato")))</f>
        <v/>
      </c>
      <c r="F515" s="23" t="str">
        <f>IF(Registro!$F515="","",IF(ISERROR(FIND("x",LOWER(Registro!$F515))),"-",IFERROR(SUMPRODUCT(--("0"&amp;LEFT(TRIM(MID(SUBSTITUTE(SUBSTITUTE(SUBSTITUTE(SUBSTITUTE(SUBSTITUTE(LOWER(Registro!$F515)," ",""),CHAR(10),"|"),";","|"),"+","|"),"|",REPT(" ",LEN(Registro!$F515))),({1,2,3,4,5,6,7,8,9,10,11,12,13,14,15,16,17,18,19,20,21,22,23,24,25,26,27,28,29,30}-1)*LEN(Registro!$F515)+1,LEN(Registro!$F515))),FIND("x",TRIM(MID(SUBSTITUTE(SUBSTITUTE(SUBSTITUTE(SUBSTITUTE(SUBSTITUTE(LOWER(Registro!$F515)," ",""),CHAR(10),"|"),";","|"),"+","|"),"|",REPT(" ",LEN(Registro!$F515))),({1,2,3,4,5,6,7,8,9,10,11,12,13,14,15,16,17,18,19,20,21,22,23,24,25,26,27,28,29,30}-1)*LEN(Registro!$F515)+1,LEN(Registro!$F515)))&amp;"x")-1))),"Revisar formato")))</f>
        <v/>
      </c>
      <c r="G515" s="24" t="str">
        <f>IF(Registro!$F515="","",IF(ISERROR(FIND("x",LOWER(Registro!$F515))),N(Registro!$G515),IFERROR(SUMPRODUCT(--("0"&amp;LEFT(TRIM(MID(SUBSTITUTE(SUBSTITUTE(SUBSTITUTE(SUBSTITUTE(SUBSTITUTE(LOWER(Registro!$F515)," ",""),CHAR(10),"|"),";","|"),"+","|"),"|",REPT(" ",LEN(Registro!$F515))),({1,2,3,4,5,6,7,8,9,10,11,12,13,14,15,16,17,18,19,20,21,22,23,24,25,26,27,28,29,30}-1)*LEN(Registro!$F515)+1,LEN(Registro!$F515))),FIND("x",TRIM(MID(SUBSTITUTE(SUBSTITUTE(SUBSTITUTE(SUBSTITUTE(SUBSTITUTE(LOWER(Registro!$F515)," ",""),CHAR(10),"|"),";","|"),"+","|"),"|",REPT(" ",LEN(Registro!$F515))),({1,2,3,4,5,6,7,8,9,10,11,12,13,14,15,16,17,18,19,20,21,22,23,24,25,26,27,28,29,30}-1)*LEN(Registro!$F515)+1,LEN(Registro!$F515)))&amp;"x")-1)),--("0"&amp;MID(TRIM(MID(SUBSTITUTE(SUBSTITUTE(SUBSTITUTE(SUBSTITUTE(SUBSTITUTE(LOWER(Registro!$F515)," ",""),CHAR(10),"|"),";","|"),"+","|"),"|",REPT(" ",LEN(Registro!$F515))),({1,2,3,4,5,6,7,8,9,10,11,12,13,14,15,16,17,18,19,20,21,22,23,24,25,26,27,28,29,30}-1)*LEN(Registro!$F515)+1,LEN(Registro!$F515))),FIND("x",TRIM(MID(SUBSTITUTE(SUBSTITUTE(SUBSTITUTE(SUBSTITUTE(SUBSTITUTE(LOWER(Registro!$F515)," ",""),CHAR(10),"|"),";","|"),"+","|"),"|",REPT(" ",LEN(Registro!$F515))),({1,2,3,4,5,6,7,8,9,10,11,12,13,14,15,16,17,18,19,20,21,22,23,24,25,26,27,28,29,30}-1)*LEN(Registro!$F515)+1,LEN(Registro!$F515)))&amp;"x")+1,20))),"Revisar formato")))</f>
        <v/>
      </c>
      <c r="H515" s="21" t="str">
        <f>IF(AND(Registro!$E515="",Registro!$F515=""),"",IF(NOT(AND(ISNUMBER(G515),ISNUMBER(Registro!$G515))),"",IF(G515&lt;Registro!$G515,"FALTA BOLETOS",IF(G515=Registro!$G515,"CONFORME","DIFERENCIA"))))</f>
        <v/>
      </c>
      <c r="I515" s="24" t="str">
        <f>IF(Registro!$H515="","",IFERROR(SUMPRODUCT(--("0"&amp;TRIM(RIGHT(SUBSTITUTE(TRIM(MID(SUBSTITUTE(SUBSTITUTE(Registro!$H515,";",CHAR(10)),CHAR(10),REPT(" ",LEN(Registro!$H515))),({1,2,3,4,5,6,7,8,9,10,11,12,13,14,15,16,17,18,19,20,21,22,23,24,25,26,27,28,29,30}-1)*LEN(Registro!$H515)+1,LEN(Registro!$H515)))," ",REPT(" ",50)),50)))),"Revisar formato"))</f>
        <v/>
      </c>
      <c r="J515" s="24" t="str">
        <f>IF(Registro!$I515="","",IFERROR(SUMPRODUCT(--("0"&amp;TRIM(RIGHT(SUBSTITUTE(TRIM(MID(SUBSTITUTE(SUBSTITUTE(Registro!$I515,";",CHAR(10)),CHAR(10),REPT(" ",LEN(Registro!$I515))),({1,2,3,4,5,6,7,8,9,10,11,12,13,14,15,16,17,18,19,20,21,22,23,24,25,26,27,28,29,30}-1)*LEN(Registro!$I515)+1,LEN(Registro!$I515)))," ",REPT(" ",50)),50)))),"Revisar formato"))</f>
        <v/>
      </c>
      <c r="K515" s="24" t="str">
        <f>IF(AND(Registro!$G515="",Registro!$H515=""),"",IF(AND(ISTEXT(I515),I515&lt;&gt;""),"Revisar formato",N(Registro!$G515)-N(I515)))</f>
        <v/>
      </c>
      <c r="L515" s="24" t="str">
        <f t="shared" si="17"/>
        <v/>
      </c>
      <c r="M515" s="36" t="str">
        <f>IF(AND(A515=Consulta!$B$3,C515=Consulta!$H$3),B515*10000+ROW(),"")</f>
        <v/>
      </c>
    </row>
    <row r="516" spans="1:13" x14ac:dyDescent="0.25">
      <c r="A516" s="21" t="str">
        <f>IF(Registro!$A516="","",Registro!$A516)</f>
        <v/>
      </c>
      <c r="B516" s="20" t="str">
        <f>IF(Registro!$B516="","",Registro!$B516)</f>
        <v/>
      </c>
      <c r="C516" s="35" t="str">
        <f t="shared" si="16"/>
        <v/>
      </c>
      <c r="D516" s="23" t="str">
        <f>IF(Registro!$E516="","",IF(ISERROR(FIND("x",LOWER(Registro!$E516))),"-",IFERROR(SUMPRODUCT(--("0"&amp;LEFT(TRIM(MID(SUBSTITUTE(SUBSTITUTE(SUBSTITUTE(SUBSTITUTE(SUBSTITUTE(LOWER(Registro!$E516),"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",LEN(Registro!$E516))),({1,2,3,4,5,6,7,8,9,10,11,12,13,14,15,16,17,18,19,20,21,22,23,24,25,26,27,28,29,30}-1)*LEN(Registro!$E516)+1,LEN(Registro!$E516))),FIND("x",TRIM(MID(SUBSTITUTE(SUBSTITUTE(SUBSTITUTE(SUBSTITUTE(SUBSTITUTE(LOWER(Registro!$E516),"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",LEN(Registro!$E516))),({1,2,3,4,5,6,7,8,9,10,11,12,13,14,15,16,17,18,19,20,21,22,23,24,25,26,27,28,29,30}-1)*LEN(Registro!$E516)+1,LEN(Registro!$E516)))&amp;"x")-1))),"Revisar formato")))</f>
        <v/>
      </c>
      <c r="E516" s="24" t="str">
        <f>IF(Registro!$E516="","",IF(ISERROR(FIND("x",LOWER(Registro!$E516))),"-",IFERROR(SUMPRODUCT(--("0"&amp;LEFT(TRIM(MID(SUBSTITUTE(SUBSTITUTE(SUBSTITUTE(SUBSTITUTE(SUBSTITUTE(LOWER(Registro!$E516),"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",LEN(Registro!$E516))),({1,2,3,4,5,6,7,8,9,10,11,12,13,14,15,16,17,18,19,20,21,22,23,24,25,26,27,28,29,30}-1)*LEN(Registro!$E516)+1,LEN(Registro!$E516))),FIND("x",TRIM(MID(SUBSTITUTE(SUBSTITUTE(SUBSTITUTE(SUBSTITUTE(SUBSTITUTE(LOWER(Registro!$E516),"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",LEN(Registro!$E516))),({1,2,3,4,5,6,7,8,9,10,11,12,13,14,15,16,17,18,19,20,21,22,23,24,25,26,27,28,29,30}-1)*LEN(Registro!$E516)+1,LEN(Registro!$E516)))&amp;"x")-1)),--("0"&amp;MID(TRIM(MID(SUBSTITUTE(SUBSTITUTE(SUBSTITUTE(SUBSTITUTE(SUBSTITUTE(LOWER(Registro!$E516),"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",LEN(Registro!$E516))),({1,2,3,4,5,6,7,8,9,10,11,12,13,14,15,16,17,18,19,20,21,22,23,24,25,26,27,28,29,30}-1)*LEN(Registro!$E516)+1,LEN(Registro!$E516))),FIND("x",TRIM(MID(SUBSTITUTE(SUBSTITUTE(SUBSTITUTE(SUBSTITUTE(SUBSTITUTE(LOWER(Registro!$E516),"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",LEN(Registro!$E516))),({1,2,3,4,5,6,7,8,9,10,11,12,13,14,15,16,17,18,19,20,21,22,23,24,25,26,27,28,29,30}-1)*LEN(Registro!$E516)+1,LEN(Registro!$E516)))&amp;"x")+1,20))),"Revisar formato")))</f>
        <v/>
      </c>
      <c r="F516" s="23" t="str">
        <f>IF(Registro!$F516="","",IF(ISERROR(FIND("x",LOWER(Registro!$F516))),"-",IFERROR(SUMPRODUCT(--("0"&amp;LEFT(TRIM(MID(SUBSTITUTE(SUBSTITUTE(SUBSTITUTE(SUBSTITUTE(SUBSTITUTE(LOWER(Registro!$F516)," ",""),CHAR(10),"|"),";","|"),"+","|"),"|",REPT(" ",LEN(Registro!$F516))),({1,2,3,4,5,6,7,8,9,10,11,12,13,14,15,16,17,18,19,20,21,22,23,24,25,26,27,28,29,30}-1)*LEN(Registro!$F516)+1,LEN(Registro!$F516))),FIND("x",TRIM(MID(SUBSTITUTE(SUBSTITUTE(SUBSTITUTE(SUBSTITUTE(SUBSTITUTE(LOWER(Registro!$F516)," ",""),CHAR(10),"|"),";","|"),"+","|"),"|",REPT(" ",LEN(Registro!$F516))),({1,2,3,4,5,6,7,8,9,10,11,12,13,14,15,16,17,18,19,20,21,22,23,24,25,26,27,28,29,30}-1)*LEN(Registro!$F516)+1,LEN(Registro!$F516)))&amp;"x")-1))),"Revisar formato")))</f>
        <v/>
      </c>
      <c r="G516" s="24" t="str">
        <f>IF(Registro!$F516="","",IF(ISERROR(FIND("x",LOWER(Registro!$F516))),N(Registro!$G516),IFERROR(SUMPRODUCT(--("0"&amp;LEFT(TRIM(MID(SUBSTITUTE(SUBSTITUTE(SUBSTITUTE(SUBSTITUTE(SUBSTITUTE(LOWER(Registro!$F516)," ",""),CHAR(10),"|"),";","|"),"+","|"),"|",REPT(" ",LEN(Registro!$F516))),({1,2,3,4,5,6,7,8,9,10,11,12,13,14,15,16,17,18,19,20,21,22,23,24,25,26,27,28,29,30}-1)*LEN(Registro!$F516)+1,LEN(Registro!$F516))),FIND("x",TRIM(MID(SUBSTITUTE(SUBSTITUTE(SUBSTITUTE(SUBSTITUTE(SUBSTITUTE(LOWER(Registro!$F516)," ",""),CHAR(10),"|"),";","|"),"+","|"),"|",REPT(" ",LEN(Registro!$F516))),({1,2,3,4,5,6,7,8,9,10,11,12,13,14,15,16,17,18,19,20,21,22,23,24,25,26,27,28,29,30}-1)*LEN(Registro!$F516)+1,LEN(Registro!$F516)))&amp;"x")-1)),--("0"&amp;MID(TRIM(MID(SUBSTITUTE(SUBSTITUTE(SUBSTITUTE(SUBSTITUTE(SUBSTITUTE(LOWER(Registro!$F516)," ",""),CHAR(10),"|"),";","|"),"+","|"),"|",REPT(" ",LEN(Registro!$F516))),({1,2,3,4,5,6,7,8,9,10,11,12,13,14,15,16,17,18,19,20,21,22,23,24,25,26,27,28,29,30}-1)*LEN(Registro!$F516)+1,LEN(Registro!$F516))),FIND("x",TRIM(MID(SUBSTITUTE(SUBSTITUTE(SUBSTITUTE(SUBSTITUTE(SUBSTITUTE(LOWER(Registro!$F516)," ",""),CHAR(10),"|"),";","|"),"+","|"),"|",REPT(" ",LEN(Registro!$F516))),({1,2,3,4,5,6,7,8,9,10,11,12,13,14,15,16,17,18,19,20,21,22,23,24,25,26,27,28,29,30}-1)*LEN(Registro!$F516)+1,LEN(Registro!$F516)))&amp;"x")+1,20))),"Revisar formato")))</f>
        <v/>
      </c>
      <c r="H516" s="21" t="str">
        <f>IF(AND(Registro!$E516="",Registro!$F516=""),"",IF(NOT(AND(ISNUMBER(G516),ISNUMBER(Registro!$G516))),"",IF(G516&lt;Registro!$G516,"FALTA BOLETOS",IF(G516=Registro!$G516,"CONFORME","DIFERENCIA"))))</f>
        <v/>
      </c>
      <c r="I516" s="24" t="str">
        <f>IF(Registro!$H516="","",IFERROR(SUMPRODUCT(--("0"&amp;TRIM(RIGHT(SUBSTITUTE(TRIM(MID(SUBSTITUTE(SUBSTITUTE(Registro!$H516,";",CHAR(10)),CHAR(10),REPT(" ",LEN(Registro!$H516))),({1,2,3,4,5,6,7,8,9,10,11,12,13,14,15,16,17,18,19,20,21,22,23,24,25,26,27,28,29,30}-1)*LEN(Registro!$H516)+1,LEN(Registro!$H516)))," ",REPT(" ",50)),50)))),"Revisar formato"))</f>
        <v/>
      </c>
      <c r="J516" s="24" t="str">
        <f>IF(Registro!$I516="","",IFERROR(SUMPRODUCT(--("0"&amp;TRIM(RIGHT(SUBSTITUTE(TRIM(MID(SUBSTITUTE(SUBSTITUTE(Registro!$I516,";",CHAR(10)),CHAR(10),REPT(" ",LEN(Registro!$I516))),({1,2,3,4,5,6,7,8,9,10,11,12,13,14,15,16,17,18,19,20,21,22,23,24,25,26,27,28,29,30}-1)*LEN(Registro!$I516)+1,LEN(Registro!$I516)))," ",REPT(" ",50)),50)))),"Revisar formato"))</f>
        <v/>
      </c>
      <c r="K516" s="24" t="str">
        <f>IF(AND(Registro!$G516="",Registro!$H516=""),"",IF(AND(ISTEXT(I516),I516&lt;&gt;""),"Revisar formato",N(Registro!$G516)-N(I516)))</f>
        <v/>
      </c>
      <c r="L516" s="24" t="str">
        <f t="shared" si="17"/>
        <v/>
      </c>
      <c r="M516" s="36" t="str">
        <f>IF(AND(A516=Consulta!$B$3,C516=Consulta!$H$3),B516*10000+ROW(),"")</f>
        <v/>
      </c>
    </row>
    <row r="517" spans="1:13" x14ac:dyDescent="0.25">
      <c r="A517" s="21" t="str">
        <f>IF(Registro!$A517="","",Registro!$A517)</f>
        <v/>
      </c>
      <c r="B517" s="20" t="str">
        <f>IF(Registro!$B517="","",Registro!$B517)</f>
        <v/>
      </c>
      <c r="C517" s="35" t="str">
        <f t="shared" si="16"/>
        <v/>
      </c>
      <c r="D517" s="23" t="str">
        <f>IF(Registro!$E517="","",IF(ISERROR(FIND("x",LOWER(Registro!$E517))),"-",IFERROR(SUMPRODUCT(--("0"&amp;LEFT(TRIM(MID(SUBSTITUTE(SUBSTITUTE(SUBSTITUTE(SUBSTITUTE(SUBSTITUTE(LOWER(Registro!$E517),"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",LEN(Registro!$E517))),({1,2,3,4,5,6,7,8,9,10,11,12,13,14,15,16,17,18,19,20,21,22,23,24,25,26,27,28,29,30}-1)*LEN(Registro!$E517)+1,LEN(Registro!$E517))),FIND("x",TRIM(MID(SUBSTITUTE(SUBSTITUTE(SUBSTITUTE(SUBSTITUTE(SUBSTITUTE(LOWER(Registro!$E517),"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",LEN(Registro!$E517))),({1,2,3,4,5,6,7,8,9,10,11,12,13,14,15,16,17,18,19,20,21,22,23,24,25,26,27,28,29,30}-1)*LEN(Registro!$E517)+1,LEN(Registro!$E517)))&amp;"x")-1))),"Revisar formato")))</f>
        <v/>
      </c>
      <c r="E517" s="24" t="str">
        <f>IF(Registro!$E517="","",IF(ISERROR(FIND("x",LOWER(Registro!$E517))),"-",IFERROR(SUMPRODUCT(--("0"&amp;LEFT(TRIM(MID(SUBSTITUTE(SUBSTITUTE(SUBSTITUTE(SUBSTITUTE(SUBSTITUTE(LOWER(Registro!$E517),"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",LEN(Registro!$E517))),({1,2,3,4,5,6,7,8,9,10,11,12,13,14,15,16,17,18,19,20,21,22,23,24,25,26,27,28,29,30}-1)*LEN(Registro!$E517)+1,LEN(Registro!$E517))),FIND("x",TRIM(MID(SUBSTITUTE(SUBSTITUTE(SUBSTITUTE(SUBSTITUTE(SUBSTITUTE(LOWER(Registro!$E517),"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",LEN(Registro!$E517))),({1,2,3,4,5,6,7,8,9,10,11,12,13,14,15,16,17,18,19,20,21,22,23,24,25,26,27,28,29,30}-1)*LEN(Registro!$E517)+1,LEN(Registro!$E517)))&amp;"x")-1)),--("0"&amp;MID(TRIM(MID(SUBSTITUTE(SUBSTITUTE(SUBSTITUTE(SUBSTITUTE(SUBSTITUTE(LOWER(Registro!$E517),"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",LEN(Registro!$E517))),({1,2,3,4,5,6,7,8,9,10,11,12,13,14,15,16,17,18,19,20,21,22,23,24,25,26,27,28,29,30}-1)*LEN(Registro!$E517)+1,LEN(Registro!$E517))),FIND("x",TRIM(MID(SUBSTITUTE(SUBSTITUTE(SUBSTITUTE(SUBSTITUTE(SUBSTITUTE(LOWER(Registro!$E517),"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",LEN(Registro!$E517))),({1,2,3,4,5,6,7,8,9,10,11,12,13,14,15,16,17,18,19,20,21,22,23,24,25,26,27,28,29,30}-1)*LEN(Registro!$E517)+1,LEN(Registro!$E517)))&amp;"x")+1,20))),"Revisar formato")))</f>
        <v/>
      </c>
      <c r="F517" s="23" t="str">
        <f>IF(Registro!$F517="","",IF(ISERROR(FIND("x",LOWER(Registro!$F517))),"-",IFERROR(SUMPRODUCT(--("0"&amp;LEFT(TRIM(MID(SUBSTITUTE(SUBSTITUTE(SUBSTITUTE(SUBSTITUTE(SUBSTITUTE(LOWER(Registro!$F517)," ",""),CHAR(10),"|"),";","|"),"+","|"),"|",REPT(" ",LEN(Registro!$F517))),({1,2,3,4,5,6,7,8,9,10,11,12,13,14,15,16,17,18,19,20,21,22,23,24,25,26,27,28,29,30}-1)*LEN(Registro!$F517)+1,LEN(Registro!$F517))),FIND("x",TRIM(MID(SUBSTITUTE(SUBSTITUTE(SUBSTITUTE(SUBSTITUTE(SUBSTITUTE(LOWER(Registro!$F517)," ",""),CHAR(10),"|"),";","|"),"+","|"),"|",REPT(" ",LEN(Registro!$F517))),({1,2,3,4,5,6,7,8,9,10,11,12,13,14,15,16,17,18,19,20,21,22,23,24,25,26,27,28,29,30}-1)*LEN(Registro!$F517)+1,LEN(Registro!$F517)))&amp;"x")-1))),"Revisar formato")))</f>
        <v/>
      </c>
      <c r="G517" s="24" t="str">
        <f>IF(Registro!$F517="","",IF(ISERROR(FIND("x",LOWER(Registro!$F517))),N(Registro!$G517),IFERROR(SUMPRODUCT(--("0"&amp;LEFT(TRIM(MID(SUBSTITUTE(SUBSTITUTE(SUBSTITUTE(SUBSTITUTE(SUBSTITUTE(LOWER(Registro!$F517)," ",""),CHAR(10),"|"),";","|"),"+","|"),"|",REPT(" ",LEN(Registro!$F517))),({1,2,3,4,5,6,7,8,9,10,11,12,13,14,15,16,17,18,19,20,21,22,23,24,25,26,27,28,29,30}-1)*LEN(Registro!$F517)+1,LEN(Registro!$F517))),FIND("x",TRIM(MID(SUBSTITUTE(SUBSTITUTE(SUBSTITUTE(SUBSTITUTE(SUBSTITUTE(LOWER(Registro!$F517)," ",""),CHAR(10),"|"),";","|"),"+","|"),"|",REPT(" ",LEN(Registro!$F517))),({1,2,3,4,5,6,7,8,9,10,11,12,13,14,15,16,17,18,19,20,21,22,23,24,25,26,27,28,29,30}-1)*LEN(Registro!$F517)+1,LEN(Registro!$F517)))&amp;"x")-1)),--("0"&amp;MID(TRIM(MID(SUBSTITUTE(SUBSTITUTE(SUBSTITUTE(SUBSTITUTE(SUBSTITUTE(LOWER(Registro!$F517)," ",""),CHAR(10),"|"),";","|"),"+","|"),"|",REPT(" ",LEN(Registro!$F517))),({1,2,3,4,5,6,7,8,9,10,11,12,13,14,15,16,17,18,19,20,21,22,23,24,25,26,27,28,29,30}-1)*LEN(Registro!$F517)+1,LEN(Registro!$F517))),FIND("x",TRIM(MID(SUBSTITUTE(SUBSTITUTE(SUBSTITUTE(SUBSTITUTE(SUBSTITUTE(LOWER(Registro!$F517)," ",""),CHAR(10),"|"),";","|"),"+","|"),"|",REPT(" ",LEN(Registro!$F517))),({1,2,3,4,5,6,7,8,9,10,11,12,13,14,15,16,17,18,19,20,21,22,23,24,25,26,27,28,29,30}-1)*LEN(Registro!$F517)+1,LEN(Registro!$F517)))&amp;"x")+1,20))),"Revisar formato")))</f>
        <v/>
      </c>
      <c r="H517" s="21" t="str">
        <f>IF(AND(Registro!$E517="",Registro!$F517=""),"",IF(NOT(AND(ISNUMBER(G517),ISNUMBER(Registro!$G517))),"",IF(G517&lt;Registro!$G517,"FALTA BOLETOS",IF(G517=Registro!$G517,"CONFORME","DIFERENCIA"))))</f>
        <v/>
      </c>
      <c r="I517" s="24" t="str">
        <f>IF(Registro!$H517="","",IFERROR(SUMPRODUCT(--("0"&amp;TRIM(RIGHT(SUBSTITUTE(TRIM(MID(SUBSTITUTE(SUBSTITUTE(Registro!$H517,";",CHAR(10)),CHAR(10),REPT(" ",LEN(Registro!$H517))),({1,2,3,4,5,6,7,8,9,10,11,12,13,14,15,16,17,18,19,20,21,22,23,24,25,26,27,28,29,30}-1)*LEN(Registro!$H517)+1,LEN(Registro!$H517)))," ",REPT(" ",50)),50)))),"Revisar formato"))</f>
        <v/>
      </c>
      <c r="J517" s="24" t="str">
        <f>IF(Registro!$I517="","",IFERROR(SUMPRODUCT(--("0"&amp;TRIM(RIGHT(SUBSTITUTE(TRIM(MID(SUBSTITUTE(SUBSTITUTE(Registro!$I517,";",CHAR(10)),CHAR(10),REPT(" ",LEN(Registro!$I517))),({1,2,3,4,5,6,7,8,9,10,11,12,13,14,15,16,17,18,19,20,21,22,23,24,25,26,27,28,29,30}-1)*LEN(Registro!$I517)+1,LEN(Registro!$I517)))," ",REPT(" ",50)),50)))),"Revisar formato"))</f>
        <v/>
      </c>
      <c r="K517" s="24" t="str">
        <f>IF(AND(Registro!$G517="",Registro!$H517=""),"",IF(AND(ISTEXT(I517),I517&lt;&gt;""),"Revisar formato",N(Registro!$G517)-N(I517)))</f>
        <v/>
      </c>
      <c r="L517" s="24" t="str">
        <f t="shared" si="17"/>
        <v/>
      </c>
      <c r="M517" s="36" t="str">
        <f>IF(AND(A517=Consulta!$B$3,C517=Consulta!$H$3),B517*10000+ROW(),"")</f>
        <v/>
      </c>
    </row>
    <row r="518" spans="1:13" x14ac:dyDescent="0.25">
      <c r="A518" s="21" t="str">
        <f>IF(Registro!$A518="","",Registro!$A518)</f>
        <v/>
      </c>
      <c r="B518" s="20" t="str">
        <f>IF(Registro!$B518="","",Registro!$B518)</f>
        <v/>
      </c>
      <c r="C518" s="35" t="str">
        <f t="shared" si="16"/>
        <v/>
      </c>
      <c r="D518" s="23" t="str">
        <f>IF(Registro!$E518="","",IF(ISERROR(FIND("x",LOWER(Registro!$E518))),"-",IFERROR(SUMPRODUCT(--("0"&amp;LEFT(TRIM(MID(SUBSTITUTE(SUBSTITUTE(SUBSTITUTE(SUBSTITUTE(SUBSTITUTE(LOWER(Registro!$E518),"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",LEN(Registro!$E518))),({1,2,3,4,5,6,7,8,9,10,11,12,13,14,15,16,17,18,19,20,21,22,23,24,25,26,27,28,29,30}-1)*LEN(Registro!$E518)+1,LEN(Registro!$E518))),FIND("x",TRIM(MID(SUBSTITUTE(SUBSTITUTE(SUBSTITUTE(SUBSTITUTE(SUBSTITUTE(LOWER(Registro!$E518),"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",LEN(Registro!$E518))),({1,2,3,4,5,6,7,8,9,10,11,12,13,14,15,16,17,18,19,20,21,22,23,24,25,26,27,28,29,30}-1)*LEN(Registro!$E518)+1,LEN(Registro!$E518)))&amp;"x")-1))),"Revisar formato")))</f>
        <v/>
      </c>
      <c r="E518" s="24" t="str">
        <f>IF(Registro!$E518="","",IF(ISERROR(FIND("x",LOWER(Registro!$E518))),"-",IFERROR(SUMPRODUCT(--("0"&amp;LEFT(TRIM(MID(SUBSTITUTE(SUBSTITUTE(SUBSTITUTE(SUBSTITUTE(SUBSTITUTE(LOWER(Registro!$E518),"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",LEN(Registro!$E518))),({1,2,3,4,5,6,7,8,9,10,11,12,13,14,15,16,17,18,19,20,21,22,23,24,25,26,27,28,29,30}-1)*LEN(Registro!$E518)+1,LEN(Registro!$E518))),FIND("x",TRIM(MID(SUBSTITUTE(SUBSTITUTE(SUBSTITUTE(SUBSTITUTE(SUBSTITUTE(LOWER(Registro!$E518),"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",LEN(Registro!$E518))),({1,2,3,4,5,6,7,8,9,10,11,12,13,14,15,16,17,18,19,20,21,22,23,24,25,26,27,28,29,30}-1)*LEN(Registro!$E518)+1,LEN(Registro!$E518)))&amp;"x")-1)),--("0"&amp;MID(TRIM(MID(SUBSTITUTE(SUBSTITUTE(SUBSTITUTE(SUBSTITUTE(SUBSTITUTE(LOWER(Registro!$E518),"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",LEN(Registro!$E518))),({1,2,3,4,5,6,7,8,9,10,11,12,13,14,15,16,17,18,19,20,21,22,23,24,25,26,27,28,29,30}-1)*LEN(Registro!$E518)+1,LEN(Registro!$E518))),FIND("x",TRIM(MID(SUBSTITUTE(SUBSTITUTE(SUBSTITUTE(SUBSTITUTE(SUBSTITUTE(LOWER(Registro!$E518),"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",LEN(Registro!$E518))),({1,2,3,4,5,6,7,8,9,10,11,12,13,14,15,16,17,18,19,20,21,22,23,24,25,26,27,28,29,30}-1)*LEN(Registro!$E518)+1,LEN(Registro!$E518)))&amp;"x")+1,20))),"Revisar formato")))</f>
        <v/>
      </c>
      <c r="F518" s="23" t="str">
        <f>IF(Registro!$F518="","",IF(ISERROR(FIND("x",LOWER(Registro!$F518))),"-",IFERROR(SUMPRODUCT(--("0"&amp;LEFT(TRIM(MID(SUBSTITUTE(SUBSTITUTE(SUBSTITUTE(SUBSTITUTE(SUBSTITUTE(LOWER(Registro!$F518)," ",""),CHAR(10),"|"),";","|"),"+","|"),"|",REPT(" ",LEN(Registro!$F518))),({1,2,3,4,5,6,7,8,9,10,11,12,13,14,15,16,17,18,19,20,21,22,23,24,25,26,27,28,29,30}-1)*LEN(Registro!$F518)+1,LEN(Registro!$F518))),FIND("x",TRIM(MID(SUBSTITUTE(SUBSTITUTE(SUBSTITUTE(SUBSTITUTE(SUBSTITUTE(LOWER(Registro!$F518)," ",""),CHAR(10),"|"),";","|"),"+","|"),"|",REPT(" ",LEN(Registro!$F518))),({1,2,3,4,5,6,7,8,9,10,11,12,13,14,15,16,17,18,19,20,21,22,23,24,25,26,27,28,29,30}-1)*LEN(Registro!$F518)+1,LEN(Registro!$F518)))&amp;"x")-1))),"Revisar formato")))</f>
        <v/>
      </c>
      <c r="G518" s="24" t="str">
        <f>IF(Registro!$F518="","",IF(ISERROR(FIND("x",LOWER(Registro!$F518))),N(Registro!$G518),IFERROR(SUMPRODUCT(--("0"&amp;LEFT(TRIM(MID(SUBSTITUTE(SUBSTITUTE(SUBSTITUTE(SUBSTITUTE(SUBSTITUTE(LOWER(Registro!$F518)," ",""),CHAR(10),"|"),";","|"),"+","|"),"|",REPT(" ",LEN(Registro!$F518))),({1,2,3,4,5,6,7,8,9,10,11,12,13,14,15,16,17,18,19,20,21,22,23,24,25,26,27,28,29,30}-1)*LEN(Registro!$F518)+1,LEN(Registro!$F518))),FIND("x",TRIM(MID(SUBSTITUTE(SUBSTITUTE(SUBSTITUTE(SUBSTITUTE(SUBSTITUTE(LOWER(Registro!$F518)," ",""),CHAR(10),"|"),";","|"),"+","|"),"|",REPT(" ",LEN(Registro!$F518))),({1,2,3,4,5,6,7,8,9,10,11,12,13,14,15,16,17,18,19,20,21,22,23,24,25,26,27,28,29,30}-1)*LEN(Registro!$F518)+1,LEN(Registro!$F518)))&amp;"x")-1)),--("0"&amp;MID(TRIM(MID(SUBSTITUTE(SUBSTITUTE(SUBSTITUTE(SUBSTITUTE(SUBSTITUTE(LOWER(Registro!$F518)," ",""),CHAR(10),"|"),";","|"),"+","|"),"|",REPT(" ",LEN(Registro!$F518))),({1,2,3,4,5,6,7,8,9,10,11,12,13,14,15,16,17,18,19,20,21,22,23,24,25,26,27,28,29,30}-1)*LEN(Registro!$F518)+1,LEN(Registro!$F518))),FIND("x",TRIM(MID(SUBSTITUTE(SUBSTITUTE(SUBSTITUTE(SUBSTITUTE(SUBSTITUTE(LOWER(Registro!$F518)," ",""),CHAR(10),"|"),";","|"),"+","|"),"|",REPT(" ",LEN(Registro!$F518))),({1,2,3,4,5,6,7,8,9,10,11,12,13,14,15,16,17,18,19,20,21,22,23,24,25,26,27,28,29,30}-1)*LEN(Registro!$F518)+1,LEN(Registro!$F518)))&amp;"x")+1,20))),"Revisar formato")))</f>
        <v/>
      </c>
      <c r="H518" s="21" t="str">
        <f>IF(AND(Registro!$E518="",Registro!$F518=""),"",IF(NOT(AND(ISNUMBER(G518),ISNUMBER(Registro!$G518))),"",IF(G518&lt;Registro!$G518,"FALTA BOLETOS",IF(G518=Registro!$G518,"CONFORME","DIFERENCIA"))))</f>
        <v/>
      </c>
      <c r="I518" s="24" t="str">
        <f>IF(Registro!$H518="","",IFERROR(SUMPRODUCT(--("0"&amp;TRIM(RIGHT(SUBSTITUTE(TRIM(MID(SUBSTITUTE(SUBSTITUTE(Registro!$H518,";",CHAR(10)),CHAR(10),REPT(" ",LEN(Registro!$H518))),({1,2,3,4,5,6,7,8,9,10,11,12,13,14,15,16,17,18,19,20,21,22,23,24,25,26,27,28,29,30}-1)*LEN(Registro!$H518)+1,LEN(Registro!$H518)))," ",REPT(" ",50)),50)))),"Revisar formato"))</f>
        <v/>
      </c>
      <c r="J518" s="24" t="str">
        <f>IF(Registro!$I518="","",IFERROR(SUMPRODUCT(--("0"&amp;TRIM(RIGHT(SUBSTITUTE(TRIM(MID(SUBSTITUTE(SUBSTITUTE(Registro!$I518,";",CHAR(10)),CHAR(10),REPT(" ",LEN(Registro!$I518))),({1,2,3,4,5,6,7,8,9,10,11,12,13,14,15,16,17,18,19,20,21,22,23,24,25,26,27,28,29,30}-1)*LEN(Registro!$I518)+1,LEN(Registro!$I518)))," ",REPT(" ",50)),50)))),"Revisar formato"))</f>
        <v/>
      </c>
      <c r="K518" s="24" t="str">
        <f>IF(AND(Registro!$G518="",Registro!$H518=""),"",IF(AND(ISTEXT(I518),I518&lt;&gt;""),"Revisar formato",N(Registro!$G518)-N(I518)))</f>
        <v/>
      </c>
      <c r="L518" s="24" t="str">
        <f t="shared" si="17"/>
        <v/>
      </c>
      <c r="M518" s="36" t="str">
        <f>IF(AND(A518=Consulta!$B$3,C518=Consulta!$H$3),B518*10000+ROW(),"")</f>
        <v/>
      </c>
    </row>
    <row r="519" spans="1:13" x14ac:dyDescent="0.25">
      <c r="A519" s="21" t="str">
        <f>IF(Registro!$A519="","",Registro!$A519)</f>
        <v/>
      </c>
      <c r="B519" s="20" t="str">
        <f>IF(Registro!$B519="","",Registro!$B519)</f>
        <v/>
      </c>
      <c r="C519" s="35" t="str">
        <f t="shared" si="16"/>
        <v/>
      </c>
      <c r="D519" s="23" t="str">
        <f>IF(Registro!$E519="","",IF(ISERROR(FIND("x",LOWER(Registro!$E519))),"-",IFERROR(SUMPRODUCT(--("0"&amp;LEFT(TRIM(MID(SUBSTITUTE(SUBSTITUTE(SUBSTITUTE(SUBSTITUTE(SUBSTITUTE(LOWER(Registro!$E519),"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",LEN(Registro!$E519))),({1,2,3,4,5,6,7,8,9,10,11,12,13,14,15,16,17,18,19,20,21,22,23,24,25,26,27,28,29,30}-1)*LEN(Registro!$E519)+1,LEN(Registro!$E519))),FIND("x",TRIM(MID(SUBSTITUTE(SUBSTITUTE(SUBSTITUTE(SUBSTITUTE(SUBSTITUTE(LOWER(Registro!$E519),"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",LEN(Registro!$E519))),({1,2,3,4,5,6,7,8,9,10,11,12,13,14,15,16,17,18,19,20,21,22,23,24,25,26,27,28,29,30}-1)*LEN(Registro!$E519)+1,LEN(Registro!$E519)))&amp;"x")-1))),"Revisar formato")))</f>
        <v/>
      </c>
      <c r="E519" s="24" t="str">
        <f>IF(Registro!$E519="","",IF(ISERROR(FIND("x",LOWER(Registro!$E519))),"-",IFERROR(SUMPRODUCT(--("0"&amp;LEFT(TRIM(MID(SUBSTITUTE(SUBSTITUTE(SUBSTITUTE(SUBSTITUTE(SUBSTITUTE(LOWER(Registro!$E519),"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",LEN(Registro!$E519))),({1,2,3,4,5,6,7,8,9,10,11,12,13,14,15,16,17,18,19,20,21,22,23,24,25,26,27,28,29,30}-1)*LEN(Registro!$E519)+1,LEN(Registro!$E519))),FIND("x",TRIM(MID(SUBSTITUTE(SUBSTITUTE(SUBSTITUTE(SUBSTITUTE(SUBSTITUTE(LOWER(Registro!$E519),"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",LEN(Registro!$E519))),({1,2,3,4,5,6,7,8,9,10,11,12,13,14,15,16,17,18,19,20,21,22,23,24,25,26,27,28,29,30}-1)*LEN(Registro!$E519)+1,LEN(Registro!$E519)))&amp;"x")-1)),--("0"&amp;MID(TRIM(MID(SUBSTITUTE(SUBSTITUTE(SUBSTITUTE(SUBSTITUTE(SUBSTITUTE(LOWER(Registro!$E519),"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",LEN(Registro!$E519))),({1,2,3,4,5,6,7,8,9,10,11,12,13,14,15,16,17,18,19,20,21,22,23,24,25,26,27,28,29,30}-1)*LEN(Registro!$E519)+1,LEN(Registro!$E519))),FIND("x",TRIM(MID(SUBSTITUTE(SUBSTITUTE(SUBSTITUTE(SUBSTITUTE(SUBSTITUTE(LOWER(Registro!$E519),"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",LEN(Registro!$E519))),({1,2,3,4,5,6,7,8,9,10,11,12,13,14,15,16,17,18,19,20,21,22,23,24,25,26,27,28,29,30}-1)*LEN(Registro!$E519)+1,LEN(Registro!$E519)))&amp;"x")+1,20))),"Revisar formato")))</f>
        <v/>
      </c>
      <c r="F519" s="23" t="str">
        <f>IF(Registro!$F519="","",IF(ISERROR(FIND("x",LOWER(Registro!$F519))),"-",IFERROR(SUMPRODUCT(--("0"&amp;LEFT(TRIM(MID(SUBSTITUTE(SUBSTITUTE(SUBSTITUTE(SUBSTITUTE(SUBSTITUTE(LOWER(Registro!$F519)," ",""),CHAR(10),"|"),";","|"),"+","|"),"|",REPT(" ",LEN(Registro!$F519))),({1,2,3,4,5,6,7,8,9,10,11,12,13,14,15,16,17,18,19,20,21,22,23,24,25,26,27,28,29,30}-1)*LEN(Registro!$F519)+1,LEN(Registro!$F519))),FIND("x",TRIM(MID(SUBSTITUTE(SUBSTITUTE(SUBSTITUTE(SUBSTITUTE(SUBSTITUTE(LOWER(Registro!$F519)," ",""),CHAR(10),"|"),";","|"),"+","|"),"|",REPT(" ",LEN(Registro!$F519))),({1,2,3,4,5,6,7,8,9,10,11,12,13,14,15,16,17,18,19,20,21,22,23,24,25,26,27,28,29,30}-1)*LEN(Registro!$F519)+1,LEN(Registro!$F519)))&amp;"x")-1))),"Revisar formato")))</f>
        <v/>
      </c>
      <c r="G519" s="24" t="str">
        <f>IF(Registro!$F519="","",IF(ISERROR(FIND("x",LOWER(Registro!$F519))),N(Registro!$G519),IFERROR(SUMPRODUCT(--("0"&amp;LEFT(TRIM(MID(SUBSTITUTE(SUBSTITUTE(SUBSTITUTE(SUBSTITUTE(SUBSTITUTE(LOWER(Registro!$F519)," ",""),CHAR(10),"|"),";","|"),"+","|"),"|",REPT(" ",LEN(Registro!$F519))),({1,2,3,4,5,6,7,8,9,10,11,12,13,14,15,16,17,18,19,20,21,22,23,24,25,26,27,28,29,30}-1)*LEN(Registro!$F519)+1,LEN(Registro!$F519))),FIND("x",TRIM(MID(SUBSTITUTE(SUBSTITUTE(SUBSTITUTE(SUBSTITUTE(SUBSTITUTE(LOWER(Registro!$F519)," ",""),CHAR(10),"|"),";","|"),"+","|"),"|",REPT(" ",LEN(Registro!$F519))),({1,2,3,4,5,6,7,8,9,10,11,12,13,14,15,16,17,18,19,20,21,22,23,24,25,26,27,28,29,30}-1)*LEN(Registro!$F519)+1,LEN(Registro!$F519)))&amp;"x")-1)),--("0"&amp;MID(TRIM(MID(SUBSTITUTE(SUBSTITUTE(SUBSTITUTE(SUBSTITUTE(SUBSTITUTE(LOWER(Registro!$F519)," ",""),CHAR(10),"|"),";","|"),"+","|"),"|",REPT(" ",LEN(Registro!$F519))),({1,2,3,4,5,6,7,8,9,10,11,12,13,14,15,16,17,18,19,20,21,22,23,24,25,26,27,28,29,30}-1)*LEN(Registro!$F519)+1,LEN(Registro!$F519))),FIND("x",TRIM(MID(SUBSTITUTE(SUBSTITUTE(SUBSTITUTE(SUBSTITUTE(SUBSTITUTE(LOWER(Registro!$F519)," ",""),CHAR(10),"|"),";","|"),"+","|"),"|",REPT(" ",LEN(Registro!$F519))),({1,2,3,4,5,6,7,8,9,10,11,12,13,14,15,16,17,18,19,20,21,22,23,24,25,26,27,28,29,30}-1)*LEN(Registro!$F519)+1,LEN(Registro!$F519)))&amp;"x")+1,20))),"Revisar formato")))</f>
        <v/>
      </c>
      <c r="H519" s="21" t="str">
        <f>IF(AND(Registro!$E519="",Registro!$F519=""),"",IF(NOT(AND(ISNUMBER(G519),ISNUMBER(Registro!$G519))),"",IF(G519&lt;Registro!$G519,"FALTA BOLETOS",IF(G519=Registro!$G519,"CONFORME","DIFERENCIA"))))</f>
        <v/>
      </c>
      <c r="I519" s="24" t="str">
        <f>IF(Registro!$H519="","",IFERROR(SUMPRODUCT(--("0"&amp;TRIM(RIGHT(SUBSTITUTE(TRIM(MID(SUBSTITUTE(SUBSTITUTE(Registro!$H519,";",CHAR(10)),CHAR(10),REPT(" ",LEN(Registro!$H519))),({1,2,3,4,5,6,7,8,9,10,11,12,13,14,15,16,17,18,19,20,21,22,23,24,25,26,27,28,29,30}-1)*LEN(Registro!$H519)+1,LEN(Registro!$H519)))," ",REPT(" ",50)),50)))),"Revisar formato"))</f>
        <v/>
      </c>
      <c r="J519" s="24" t="str">
        <f>IF(Registro!$I519="","",IFERROR(SUMPRODUCT(--("0"&amp;TRIM(RIGHT(SUBSTITUTE(TRIM(MID(SUBSTITUTE(SUBSTITUTE(Registro!$I519,";",CHAR(10)),CHAR(10),REPT(" ",LEN(Registro!$I519))),({1,2,3,4,5,6,7,8,9,10,11,12,13,14,15,16,17,18,19,20,21,22,23,24,25,26,27,28,29,30}-1)*LEN(Registro!$I519)+1,LEN(Registro!$I519)))," ",REPT(" ",50)),50)))),"Revisar formato"))</f>
        <v/>
      </c>
      <c r="K519" s="24" t="str">
        <f>IF(AND(Registro!$G519="",Registro!$H519=""),"",IF(AND(ISTEXT(I519),I519&lt;&gt;""),"Revisar formato",N(Registro!$G519)-N(I519)))</f>
        <v/>
      </c>
      <c r="L519" s="24" t="str">
        <f t="shared" si="17"/>
        <v/>
      </c>
      <c r="M519" s="36" t="str">
        <f>IF(AND(A519=Consulta!$B$3,C519=Consulta!$H$3),B519*10000+ROW(),"")</f>
        <v/>
      </c>
    </row>
    <row r="520" spans="1:13" x14ac:dyDescent="0.25">
      <c r="A520" s="21" t="str">
        <f>IF(Registro!$A520="","",Registro!$A520)</f>
        <v/>
      </c>
      <c r="B520" s="20" t="str">
        <f>IF(Registro!$B520="","",Registro!$B520)</f>
        <v/>
      </c>
      <c r="C520" s="35" t="str">
        <f t="shared" si="16"/>
        <v/>
      </c>
      <c r="D520" s="23" t="str">
        <f>IF(Registro!$E520="","",IF(ISERROR(FIND("x",LOWER(Registro!$E520))),"-",IFERROR(SUMPRODUCT(--("0"&amp;LEFT(TRIM(MID(SUBSTITUTE(SUBSTITUTE(SUBSTITUTE(SUBSTITUTE(SUBSTITUTE(LOWER(Registro!$E520),"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",LEN(Registro!$E520))),({1,2,3,4,5,6,7,8,9,10,11,12,13,14,15,16,17,18,19,20,21,22,23,24,25,26,27,28,29,30}-1)*LEN(Registro!$E520)+1,LEN(Registro!$E520))),FIND("x",TRIM(MID(SUBSTITUTE(SUBSTITUTE(SUBSTITUTE(SUBSTITUTE(SUBSTITUTE(LOWER(Registro!$E520),"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",LEN(Registro!$E520))),({1,2,3,4,5,6,7,8,9,10,11,12,13,14,15,16,17,18,19,20,21,22,23,24,25,26,27,28,29,30}-1)*LEN(Registro!$E520)+1,LEN(Registro!$E520)))&amp;"x")-1))),"Revisar formato")))</f>
        <v/>
      </c>
      <c r="E520" s="24" t="str">
        <f>IF(Registro!$E520="","",IF(ISERROR(FIND("x",LOWER(Registro!$E520))),"-",IFERROR(SUMPRODUCT(--("0"&amp;LEFT(TRIM(MID(SUBSTITUTE(SUBSTITUTE(SUBSTITUTE(SUBSTITUTE(SUBSTITUTE(LOWER(Registro!$E520),"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",LEN(Registro!$E520))),({1,2,3,4,5,6,7,8,9,10,11,12,13,14,15,16,17,18,19,20,21,22,23,24,25,26,27,28,29,30}-1)*LEN(Registro!$E520)+1,LEN(Registro!$E520))),FIND("x",TRIM(MID(SUBSTITUTE(SUBSTITUTE(SUBSTITUTE(SUBSTITUTE(SUBSTITUTE(LOWER(Registro!$E520),"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",LEN(Registro!$E520))),({1,2,3,4,5,6,7,8,9,10,11,12,13,14,15,16,17,18,19,20,21,22,23,24,25,26,27,28,29,30}-1)*LEN(Registro!$E520)+1,LEN(Registro!$E520)))&amp;"x")-1)),--("0"&amp;MID(TRIM(MID(SUBSTITUTE(SUBSTITUTE(SUBSTITUTE(SUBSTITUTE(SUBSTITUTE(LOWER(Registro!$E520),"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",LEN(Registro!$E520))),({1,2,3,4,5,6,7,8,9,10,11,12,13,14,15,16,17,18,19,20,21,22,23,24,25,26,27,28,29,30}-1)*LEN(Registro!$E520)+1,LEN(Registro!$E520))),FIND("x",TRIM(MID(SUBSTITUTE(SUBSTITUTE(SUBSTITUTE(SUBSTITUTE(SUBSTITUTE(LOWER(Registro!$E520),"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",LEN(Registro!$E520))),({1,2,3,4,5,6,7,8,9,10,11,12,13,14,15,16,17,18,19,20,21,22,23,24,25,26,27,28,29,30}-1)*LEN(Registro!$E520)+1,LEN(Registro!$E520)))&amp;"x")+1,20))),"Revisar formato")))</f>
        <v/>
      </c>
      <c r="F520" s="23" t="str">
        <f>IF(Registro!$F520="","",IF(ISERROR(FIND("x",LOWER(Registro!$F520))),"-",IFERROR(SUMPRODUCT(--("0"&amp;LEFT(TRIM(MID(SUBSTITUTE(SUBSTITUTE(SUBSTITUTE(SUBSTITUTE(SUBSTITUTE(LOWER(Registro!$F520)," ",""),CHAR(10),"|"),";","|"),"+","|"),"|",REPT(" ",LEN(Registro!$F520))),({1,2,3,4,5,6,7,8,9,10,11,12,13,14,15,16,17,18,19,20,21,22,23,24,25,26,27,28,29,30}-1)*LEN(Registro!$F520)+1,LEN(Registro!$F520))),FIND("x",TRIM(MID(SUBSTITUTE(SUBSTITUTE(SUBSTITUTE(SUBSTITUTE(SUBSTITUTE(LOWER(Registro!$F520)," ",""),CHAR(10),"|"),";","|"),"+","|"),"|",REPT(" ",LEN(Registro!$F520))),({1,2,3,4,5,6,7,8,9,10,11,12,13,14,15,16,17,18,19,20,21,22,23,24,25,26,27,28,29,30}-1)*LEN(Registro!$F520)+1,LEN(Registro!$F520)))&amp;"x")-1))),"Revisar formato")))</f>
        <v/>
      </c>
      <c r="G520" s="24" t="str">
        <f>IF(Registro!$F520="","",IF(ISERROR(FIND("x",LOWER(Registro!$F520))),N(Registro!$G520),IFERROR(SUMPRODUCT(--("0"&amp;LEFT(TRIM(MID(SUBSTITUTE(SUBSTITUTE(SUBSTITUTE(SUBSTITUTE(SUBSTITUTE(LOWER(Registro!$F520)," ",""),CHAR(10),"|"),";","|"),"+","|"),"|",REPT(" ",LEN(Registro!$F520))),({1,2,3,4,5,6,7,8,9,10,11,12,13,14,15,16,17,18,19,20,21,22,23,24,25,26,27,28,29,30}-1)*LEN(Registro!$F520)+1,LEN(Registro!$F520))),FIND("x",TRIM(MID(SUBSTITUTE(SUBSTITUTE(SUBSTITUTE(SUBSTITUTE(SUBSTITUTE(LOWER(Registro!$F520)," ",""),CHAR(10),"|"),";","|"),"+","|"),"|",REPT(" ",LEN(Registro!$F520))),({1,2,3,4,5,6,7,8,9,10,11,12,13,14,15,16,17,18,19,20,21,22,23,24,25,26,27,28,29,30}-1)*LEN(Registro!$F520)+1,LEN(Registro!$F520)))&amp;"x")-1)),--("0"&amp;MID(TRIM(MID(SUBSTITUTE(SUBSTITUTE(SUBSTITUTE(SUBSTITUTE(SUBSTITUTE(LOWER(Registro!$F520)," ",""),CHAR(10),"|"),";","|"),"+","|"),"|",REPT(" ",LEN(Registro!$F520))),({1,2,3,4,5,6,7,8,9,10,11,12,13,14,15,16,17,18,19,20,21,22,23,24,25,26,27,28,29,30}-1)*LEN(Registro!$F520)+1,LEN(Registro!$F520))),FIND("x",TRIM(MID(SUBSTITUTE(SUBSTITUTE(SUBSTITUTE(SUBSTITUTE(SUBSTITUTE(LOWER(Registro!$F520)," ",""),CHAR(10),"|"),";","|"),"+","|"),"|",REPT(" ",LEN(Registro!$F520))),({1,2,3,4,5,6,7,8,9,10,11,12,13,14,15,16,17,18,19,20,21,22,23,24,25,26,27,28,29,30}-1)*LEN(Registro!$F520)+1,LEN(Registro!$F520)))&amp;"x")+1,20))),"Revisar formato")))</f>
        <v/>
      </c>
      <c r="H520" s="21" t="str">
        <f>IF(AND(Registro!$E520="",Registro!$F520=""),"",IF(NOT(AND(ISNUMBER(G520),ISNUMBER(Registro!$G520))),"",IF(G520&lt;Registro!$G520,"FALTA BOLETOS",IF(G520=Registro!$G520,"CONFORME","DIFERENCIA"))))</f>
        <v/>
      </c>
      <c r="I520" s="24" t="str">
        <f>IF(Registro!$H520="","",IFERROR(SUMPRODUCT(--("0"&amp;TRIM(RIGHT(SUBSTITUTE(TRIM(MID(SUBSTITUTE(SUBSTITUTE(Registro!$H520,";",CHAR(10)),CHAR(10),REPT(" ",LEN(Registro!$H520))),({1,2,3,4,5,6,7,8,9,10,11,12,13,14,15,16,17,18,19,20,21,22,23,24,25,26,27,28,29,30}-1)*LEN(Registro!$H520)+1,LEN(Registro!$H520)))," ",REPT(" ",50)),50)))),"Revisar formato"))</f>
        <v/>
      </c>
      <c r="J520" s="24" t="str">
        <f>IF(Registro!$I520="","",IFERROR(SUMPRODUCT(--("0"&amp;TRIM(RIGHT(SUBSTITUTE(TRIM(MID(SUBSTITUTE(SUBSTITUTE(Registro!$I520,";",CHAR(10)),CHAR(10),REPT(" ",LEN(Registro!$I520))),({1,2,3,4,5,6,7,8,9,10,11,12,13,14,15,16,17,18,19,20,21,22,23,24,25,26,27,28,29,30}-1)*LEN(Registro!$I520)+1,LEN(Registro!$I520)))," ",REPT(" ",50)),50)))),"Revisar formato"))</f>
        <v/>
      </c>
      <c r="K520" s="24" t="str">
        <f>IF(AND(Registro!$G520="",Registro!$H520=""),"",IF(AND(ISTEXT(I520),I520&lt;&gt;""),"Revisar formato",N(Registro!$G520)-N(I520)))</f>
        <v/>
      </c>
      <c r="L520" s="24" t="str">
        <f t="shared" si="17"/>
        <v/>
      </c>
      <c r="M520" s="36" t="str">
        <f>IF(AND(A520=Consulta!$B$3,C520=Consulta!$H$3),B520*10000+ROW(),"")</f>
        <v/>
      </c>
    </row>
    <row r="521" spans="1:13" x14ac:dyDescent="0.25">
      <c r="A521" s="21" t="str">
        <f>IF(Registro!$A521="","",Registro!$A521)</f>
        <v/>
      </c>
      <c r="B521" s="20" t="str">
        <f>IF(Registro!$B521="","",Registro!$B521)</f>
        <v/>
      </c>
      <c r="C521" s="35" t="str">
        <f t="shared" si="16"/>
        <v/>
      </c>
      <c r="D521" s="23" t="str">
        <f>IF(Registro!$E521="","",IF(ISERROR(FIND("x",LOWER(Registro!$E521))),"-",IFERROR(SUMPRODUCT(--("0"&amp;LEFT(TRIM(MID(SUBSTITUTE(SUBSTITUTE(SUBSTITUTE(SUBSTITUTE(SUBSTITUTE(LOWER(Registro!$E521),"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",LEN(Registro!$E521))),({1,2,3,4,5,6,7,8,9,10,11,12,13,14,15,16,17,18,19,20,21,22,23,24,25,26,27,28,29,30}-1)*LEN(Registro!$E521)+1,LEN(Registro!$E521))),FIND("x",TRIM(MID(SUBSTITUTE(SUBSTITUTE(SUBSTITUTE(SUBSTITUTE(SUBSTITUTE(LOWER(Registro!$E521),"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",LEN(Registro!$E521))),({1,2,3,4,5,6,7,8,9,10,11,12,13,14,15,16,17,18,19,20,21,22,23,24,25,26,27,28,29,30}-1)*LEN(Registro!$E521)+1,LEN(Registro!$E521)))&amp;"x")-1))),"Revisar formato")))</f>
        <v/>
      </c>
      <c r="E521" s="24" t="str">
        <f>IF(Registro!$E521="","",IF(ISERROR(FIND("x",LOWER(Registro!$E521))),"-",IFERROR(SUMPRODUCT(--("0"&amp;LEFT(TRIM(MID(SUBSTITUTE(SUBSTITUTE(SUBSTITUTE(SUBSTITUTE(SUBSTITUTE(LOWER(Registro!$E521),"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",LEN(Registro!$E521))),({1,2,3,4,5,6,7,8,9,10,11,12,13,14,15,16,17,18,19,20,21,22,23,24,25,26,27,28,29,30}-1)*LEN(Registro!$E521)+1,LEN(Registro!$E521))),FIND("x",TRIM(MID(SUBSTITUTE(SUBSTITUTE(SUBSTITUTE(SUBSTITUTE(SUBSTITUTE(LOWER(Registro!$E521),"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",LEN(Registro!$E521))),({1,2,3,4,5,6,7,8,9,10,11,12,13,14,15,16,17,18,19,20,21,22,23,24,25,26,27,28,29,30}-1)*LEN(Registro!$E521)+1,LEN(Registro!$E521)))&amp;"x")-1)),--("0"&amp;MID(TRIM(MID(SUBSTITUTE(SUBSTITUTE(SUBSTITUTE(SUBSTITUTE(SUBSTITUTE(LOWER(Registro!$E521),"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",LEN(Registro!$E521))),({1,2,3,4,5,6,7,8,9,10,11,12,13,14,15,16,17,18,19,20,21,22,23,24,25,26,27,28,29,30}-1)*LEN(Registro!$E521)+1,LEN(Registro!$E521))),FIND("x",TRIM(MID(SUBSTITUTE(SUBSTITUTE(SUBSTITUTE(SUBSTITUTE(SUBSTITUTE(LOWER(Registro!$E521),"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",LEN(Registro!$E521))),({1,2,3,4,5,6,7,8,9,10,11,12,13,14,15,16,17,18,19,20,21,22,23,24,25,26,27,28,29,30}-1)*LEN(Registro!$E521)+1,LEN(Registro!$E521)))&amp;"x")+1,20))),"Revisar formato")))</f>
        <v/>
      </c>
      <c r="F521" s="23" t="str">
        <f>IF(Registro!$F521="","",IF(ISERROR(FIND("x",LOWER(Registro!$F521))),"-",IFERROR(SUMPRODUCT(--("0"&amp;LEFT(TRIM(MID(SUBSTITUTE(SUBSTITUTE(SUBSTITUTE(SUBSTITUTE(SUBSTITUTE(LOWER(Registro!$F521)," ",""),CHAR(10),"|"),";","|"),"+","|"),"|",REPT(" ",LEN(Registro!$F521))),({1,2,3,4,5,6,7,8,9,10,11,12,13,14,15,16,17,18,19,20,21,22,23,24,25,26,27,28,29,30}-1)*LEN(Registro!$F521)+1,LEN(Registro!$F521))),FIND("x",TRIM(MID(SUBSTITUTE(SUBSTITUTE(SUBSTITUTE(SUBSTITUTE(SUBSTITUTE(LOWER(Registro!$F521)," ",""),CHAR(10),"|"),";","|"),"+","|"),"|",REPT(" ",LEN(Registro!$F521))),({1,2,3,4,5,6,7,8,9,10,11,12,13,14,15,16,17,18,19,20,21,22,23,24,25,26,27,28,29,30}-1)*LEN(Registro!$F521)+1,LEN(Registro!$F521)))&amp;"x")-1))),"Revisar formato")))</f>
        <v/>
      </c>
      <c r="G521" s="24" t="str">
        <f>IF(Registro!$F521="","",IF(ISERROR(FIND("x",LOWER(Registro!$F521))),N(Registro!$G521),IFERROR(SUMPRODUCT(--("0"&amp;LEFT(TRIM(MID(SUBSTITUTE(SUBSTITUTE(SUBSTITUTE(SUBSTITUTE(SUBSTITUTE(LOWER(Registro!$F521)," ",""),CHAR(10),"|"),";","|"),"+","|"),"|",REPT(" ",LEN(Registro!$F521))),({1,2,3,4,5,6,7,8,9,10,11,12,13,14,15,16,17,18,19,20,21,22,23,24,25,26,27,28,29,30}-1)*LEN(Registro!$F521)+1,LEN(Registro!$F521))),FIND("x",TRIM(MID(SUBSTITUTE(SUBSTITUTE(SUBSTITUTE(SUBSTITUTE(SUBSTITUTE(LOWER(Registro!$F521)," ",""),CHAR(10),"|"),";","|"),"+","|"),"|",REPT(" ",LEN(Registro!$F521))),({1,2,3,4,5,6,7,8,9,10,11,12,13,14,15,16,17,18,19,20,21,22,23,24,25,26,27,28,29,30}-1)*LEN(Registro!$F521)+1,LEN(Registro!$F521)))&amp;"x")-1)),--("0"&amp;MID(TRIM(MID(SUBSTITUTE(SUBSTITUTE(SUBSTITUTE(SUBSTITUTE(SUBSTITUTE(LOWER(Registro!$F521)," ",""),CHAR(10),"|"),";","|"),"+","|"),"|",REPT(" ",LEN(Registro!$F521))),({1,2,3,4,5,6,7,8,9,10,11,12,13,14,15,16,17,18,19,20,21,22,23,24,25,26,27,28,29,30}-1)*LEN(Registro!$F521)+1,LEN(Registro!$F521))),FIND("x",TRIM(MID(SUBSTITUTE(SUBSTITUTE(SUBSTITUTE(SUBSTITUTE(SUBSTITUTE(LOWER(Registro!$F521)," ",""),CHAR(10),"|"),";","|"),"+","|"),"|",REPT(" ",LEN(Registro!$F521))),({1,2,3,4,5,6,7,8,9,10,11,12,13,14,15,16,17,18,19,20,21,22,23,24,25,26,27,28,29,30}-1)*LEN(Registro!$F521)+1,LEN(Registro!$F521)))&amp;"x")+1,20))),"Revisar formato")))</f>
        <v/>
      </c>
      <c r="H521" s="21" t="str">
        <f>IF(AND(Registro!$E521="",Registro!$F521=""),"",IF(NOT(AND(ISNUMBER(G521),ISNUMBER(Registro!$G521))),"",IF(G521&lt;Registro!$G521,"FALTA BOLETOS",IF(G521=Registro!$G521,"CONFORME","DIFERENCIA"))))</f>
        <v/>
      </c>
      <c r="I521" s="24" t="str">
        <f>IF(Registro!$H521="","",IFERROR(SUMPRODUCT(--("0"&amp;TRIM(RIGHT(SUBSTITUTE(TRIM(MID(SUBSTITUTE(SUBSTITUTE(Registro!$H521,";",CHAR(10)),CHAR(10),REPT(" ",LEN(Registro!$H521))),({1,2,3,4,5,6,7,8,9,10,11,12,13,14,15,16,17,18,19,20,21,22,23,24,25,26,27,28,29,30}-1)*LEN(Registro!$H521)+1,LEN(Registro!$H521)))," ",REPT(" ",50)),50)))),"Revisar formato"))</f>
        <v/>
      </c>
      <c r="J521" s="24" t="str">
        <f>IF(Registro!$I521="","",IFERROR(SUMPRODUCT(--("0"&amp;TRIM(RIGHT(SUBSTITUTE(TRIM(MID(SUBSTITUTE(SUBSTITUTE(Registro!$I521,";",CHAR(10)),CHAR(10),REPT(" ",LEN(Registro!$I521))),({1,2,3,4,5,6,7,8,9,10,11,12,13,14,15,16,17,18,19,20,21,22,23,24,25,26,27,28,29,30}-1)*LEN(Registro!$I521)+1,LEN(Registro!$I521)))," ",REPT(" ",50)),50)))),"Revisar formato"))</f>
        <v/>
      </c>
      <c r="K521" s="24" t="str">
        <f>IF(AND(Registro!$G521="",Registro!$H521=""),"",IF(AND(ISTEXT(I521),I521&lt;&gt;""),"Revisar formato",N(Registro!$G521)-N(I521)))</f>
        <v/>
      </c>
      <c r="L521" s="24" t="str">
        <f t="shared" si="17"/>
        <v/>
      </c>
      <c r="M521" s="36" t="str">
        <f>IF(AND(A521=Consulta!$B$3,C521=Consulta!$H$3),B521*10000+ROW(),"")</f>
        <v/>
      </c>
    </row>
    <row r="522" spans="1:13" x14ac:dyDescent="0.25">
      <c r="A522" s="21" t="str">
        <f>IF(Registro!$A522="","",Registro!$A522)</f>
        <v/>
      </c>
      <c r="B522" s="20" t="str">
        <f>IF(Registro!$B522="","",Registro!$B522)</f>
        <v/>
      </c>
      <c r="C522" s="35" t="str">
        <f t="shared" si="16"/>
        <v/>
      </c>
      <c r="D522" s="23" t="str">
        <f>IF(Registro!$E522="","",IF(ISERROR(FIND("x",LOWER(Registro!$E522))),"-",IFERROR(SUMPRODUCT(--("0"&amp;LEFT(TRIM(MID(SUBSTITUTE(SUBSTITUTE(SUBSTITUTE(SUBSTITUTE(SUBSTITUTE(LOWER(Registro!$E522),"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",LEN(Registro!$E522))),({1,2,3,4,5,6,7,8,9,10,11,12,13,14,15,16,17,18,19,20,21,22,23,24,25,26,27,28,29,30}-1)*LEN(Registro!$E522)+1,LEN(Registro!$E522))),FIND("x",TRIM(MID(SUBSTITUTE(SUBSTITUTE(SUBSTITUTE(SUBSTITUTE(SUBSTITUTE(LOWER(Registro!$E522),"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",LEN(Registro!$E522))),({1,2,3,4,5,6,7,8,9,10,11,12,13,14,15,16,17,18,19,20,21,22,23,24,25,26,27,28,29,30}-1)*LEN(Registro!$E522)+1,LEN(Registro!$E522)))&amp;"x")-1))),"Revisar formato")))</f>
        <v/>
      </c>
      <c r="E522" s="24" t="str">
        <f>IF(Registro!$E522="","",IF(ISERROR(FIND("x",LOWER(Registro!$E522))),"-",IFERROR(SUMPRODUCT(--("0"&amp;LEFT(TRIM(MID(SUBSTITUTE(SUBSTITUTE(SUBSTITUTE(SUBSTITUTE(SUBSTITUTE(LOWER(Registro!$E522),"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",LEN(Registro!$E522))),({1,2,3,4,5,6,7,8,9,10,11,12,13,14,15,16,17,18,19,20,21,22,23,24,25,26,27,28,29,30}-1)*LEN(Registro!$E522)+1,LEN(Registro!$E522))),FIND("x",TRIM(MID(SUBSTITUTE(SUBSTITUTE(SUBSTITUTE(SUBSTITUTE(SUBSTITUTE(LOWER(Registro!$E522),"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",LEN(Registro!$E522))),({1,2,3,4,5,6,7,8,9,10,11,12,13,14,15,16,17,18,19,20,21,22,23,24,25,26,27,28,29,30}-1)*LEN(Registro!$E522)+1,LEN(Registro!$E522)))&amp;"x")-1)),--("0"&amp;MID(TRIM(MID(SUBSTITUTE(SUBSTITUTE(SUBSTITUTE(SUBSTITUTE(SUBSTITUTE(LOWER(Registro!$E522),"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",LEN(Registro!$E522))),({1,2,3,4,5,6,7,8,9,10,11,12,13,14,15,16,17,18,19,20,21,22,23,24,25,26,27,28,29,30}-1)*LEN(Registro!$E522)+1,LEN(Registro!$E522))),FIND("x",TRIM(MID(SUBSTITUTE(SUBSTITUTE(SUBSTITUTE(SUBSTITUTE(SUBSTITUTE(LOWER(Registro!$E522),"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",LEN(Registro!$E522))),({1,2,3,4,5,6,7,8,9,10,11,12,13,14,15,16,17,18,19,20,21,22,23,24,25,26,27,28,29,30}-1)*LEN(Registro!$E522)+1,LEN(Registro!$E522)))&amp;"x")+1,20))),"Revisar formato")))</f>
        <v/>
      </c>
      <c r="F522" s="23" t="str">
        <f>IF(Registro!$F522="","",IF(ISERROR(FIND("x",LOWER(Registro!$F522))),"-",IFERROR(SUMPRODUCT(--("0"&amp;LEFT(TRIM(MID(SUBSTITUTE(SUBSTITUTE(SUBSTITUTE(SUBSTITUTE(SUBSTITUTE(LOWER(Registro!$F522)," ",""),CHAR(10),"|"),";","|"),"+","|"),"|",REPT(" ",LEN(Registro!$F522))),({1,2,3,4,5,6,7,8,9,10,11,12,13,14,15,16,17,18,19,20,21,22,23,24,25,26,27,28,29,30}-1)*LEN(Registro!$F522)+1,LEN(Registro!$F522))),FIND("x",TRIM(MID(SUBSTITUTE(SUBSTITUTE(SUBSTITUTE(SUBSTITUTE(SUBSTITUTE(LOWER(Registro!$F522)," ",""),CHAR(10),"|"),";","|"),"+","|"),"|",REPT(" ",LEN(Registro!$F522))),({1,2,3,4,5,6,7,8,9,10,11,12,13,14,15,16,17,18,19,20,21,22,23,24,25,26,27,28,29,30}-1)*LEN(Registro!$F522)+1,LEN(Registro!$F522)))&amp;"x")-1))),"Revisar formato")))</f>
        <v/>
      </c>
      <c r="G522" s="24" t="str">
        <f>IF(Registro!$F522="","",IF(ISERROR(FIND("x",LOWER(Registro!$F522))),N(Registro!$G522),IFERROR(SUMPRODUCT(--("0"&amp;LEFT(TRIM(MID(SUBSTITUTE(SUBSTITUTE(SUBSTITUTE(SUBSTITUTE(SUBSTITUTE(LOWER(Registro!$F522)," ",""),CHAR(10),"|"),";","|"),"+","|"),"|",REPT(" ",LEN(Registro!$F522))),({1,2,3,4,5,6,7,8,9,10,11,12,13,14,15,16,17,18,19,20,21,22,23,24,25,26,27,28,29,30}-1)*LEN(Registro!$F522)+1,LEN(Registro!$F522))),FIND("x",TRIM(MID(SUBSTITUTE(SUBSTITUTE(SUBSTITUTE(SUBSTITUTE(SUBSTITUTE(LOWER(Registro!$F522)," ",""),CHAR(10),"|"),";","|"),"+","|"),"|",REPT(" ",LEN(Registro!$F522))),({1,2,3,4,5,6,7,8,9,10,11,12,13,14,15,16,17,18,19,20,21,22,23,24,25,26,27,28,29,30}-1)*LEN(Registro!$F522)+1,LEN(Registro!$F522)))&amp;"x")-1)),--("0"&amp;MID(TRIM(MID(SUBSTITUTE(SUBSTITUTE(SUBSTITUTE(SUBSTITUTE(SUBSTITUTE(LOWER(Registro!$F522)," ",""),CHAR(10),"|"),";","|"),"+","|"),"|",REPT(" ",LEN(Registro!$F522))),({1,2,3,4,5,6,7,8,9,10,11,12,13,14,15,16,17,18,19,20,21,22,23,24,25,26,27,28,29,30}-1)*LEN(Registro!$F522)+1,LEN(Registro!$F522))),FIND("x",TRIM(MID(SUBSTITUTE(SUBSTITUTE(SUBSTITUTE(SUBSTITUTE(SUBSTITUTE(LOWER(Registro!$F522)," ",""),CHAR(10),"|"),";","|"),"+","|"),"|",REPT(" ",LEN(Registro!$F522))),({1,2,3,4,5,6,7,8,9,10,11,12,13,14,15,16,17,18,19,20,21,22,23,24,25,26,27,28,29,30}-1)*LEN(Registro!$F522)+1,LEN(Registro!$F522)))&amp;"x")+1,20))),"Revisar formato")))</f>
        <v/>
      </c>
      <c r="H522" s="21" t="str">
        <f>IF(AND(Registro!$E522="",Registro!$F522=""),"",IF(NOT(AND(ISNUMBER(G522),ISNUMBER(Registro!$G522))),"",IF(G522&lt;Registro!$G522,"FALTA BOLETOS",IF(G522=Registro!$G522,"CONFORME","DIFERENCIA"))))</f>
        <v/>
      </c>
      <c r="I522" s="24" t="str">
        <f>IF(Registro!$H522="","",IFERROR(SUMPRODUCT(--("0"&amp;TRIM(RIGHT(SUBSTITUTE(TRIM(MID(SUBSTITUTE(SUBSTITUTE(Registro!$H522,";",CHAR(10)),CHAR(10),REPT(" ",LEN(Registro!$H522))),({1,2,3,4,5,6,7,8,9,10,11,12,13,14,15,16,17,18,19,20,21,22,23,24,25,26,27,28,29,30}-1)*LEN(Registro!$H522)+1,LEN(Registro!$H522)))," ",REPT(" ",50)),50)))),"Revisar formato"))</f>
        <v/>
      </c>
      <c r="J522" s="24" t="str">
        <f>IF(Registro!$I522="","",IFERROR(SUMPRODUCT(--("0"&amp;TRIM(RIGHT(SUBSTITUTE(TRIM(MID(SUBSTITUTE(SUBSTITUTE(Registro!$I522,";",CHAR(10)),CHAR(10),REPT(" ",LEN(Registro!$I522))),({1,2,3,4,5,6,7,8,9,10,11,12,13,14,15,16,17,18,19,20,21,22,23,24,25,26,27,28,29,30}-1)*LEN(Registro!$I522)+1,LEN(Registro!$I522)))," ",REPT(" ",50)),50)))),"Revisar formato"))</f>
        <v/>
      </c>
      <c r="K522" s="24" t="str">
        <f>IF(AND(Registro!$G522="",Registro!$H522=""),"",IF(AND(ISTEXT(I522),I522&lt;&gt;""),"Revisar formato",N(Registro!$G522)-N(I522)))</f>
        <v/>
      </c>
      <c r="L522" s="24" t="str">
        <f t="shared" si="17"/>
        <v/>
      </c>
      <c r="M522" s="36" t="str">
        <f>IF(AND(A522=Consulta!$B$3,C522=Consulta!$H$3),B522*10000+ROW(),"")</f>
        <v/>
      </c>
    </row>
    <row r="523" spans="1:13" x14ac:dyDescent="0.25">
      <c r="A523" s="21" t="str">
        <f>IF(Registro!$A523="","",Registro!$A523)</f>
        <v/>
      </c>
      <c r="B523" s="20" t="str">
        <f>IF(Registro!$B523="","",Registro!$B523)</f>
        <v/>
      </c>
      <c r="C523" s="35" t="str">
        <f t="shared" si="16"/>
        <v/>
      </c>
      <c r="D523" s="23" t="str">
        <f>IF(Registro!$E523="","",IF(ISERROR(FIND("x",LOWER(Registro!$E523))),"-",IFERROR(SUMPRODUCT(--("0"&amp;LEFT(TRIM(MID(SUBSTITUTE(SUBSTITUTE(SUBSTITUTE(SUBSTITUTE(SUBSTITUTE(LOWER(Registro!$E523),"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",LEN(Registro!$E523))),({1,2,3,4,5,6,7,8,9,10,11,12,13,14,15,16,17,18,19,20,21,22,23,24,25,26,27,28,29,30}-1)*LEN(Registro!$E523)+1,LEN(Registro!$E523))),FIND("x",TRIM(MID(SUBSTITUTE(SUBSTITUTE(SUBSTITUTE(SUBSTITUTE(SUBSTITUTE(LOWER(Registro!$E523),"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",LEN(Registro!$E523))),({1,2,3,4,5,6,7,8,9,10,11,12,13,14,15,16,17,18,19,20,21,22,23,24,25,26,27,28,29,30}-1)*LEN(Registro!$E523)+1,LEN(Registro!$E523)))&amp;"x")-1))),"Revisar formato")))</f>
        <v/>
      </c>
      <c r="E523" s="24" t="str">
        <f>IF(Registro!$E523="","",IF(ISERROR(FIND("x",LOWER(Registro!$E523))),"-",IFERROR(SUMPRODUCT(--("0"&amp;LEFT(TRIM(MID(SUBSTITUTE(SUBSTITUTE(SUBSTITUTE(SUBSTITUTE(SUBSTITUTE(LOWER(Registro!$E523),"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",LEN(Registro!$E523))),({1,2,3,4,5,6,7,8,9,10,11,12,13,14,15,16,17,18,19,20,21,22,23,24,25,26,27,28,29,30}-1)*LEN(Registro!$E523)+1,LEN(Registro!$E523))),FIND("x",TRIM(MID(SUBSTITUTE(SUBSTITUTE(SUBSTITUTE(SUBSTITUTE(SUBSTITUTE(LOWER(Registro!$E523),"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",LEN(Registro!$E523))),({1,2,3,4,5,6,7,8,9,10,11,12,13,14,15,16,17,18,19,20,21,22,23,24,25,26,27,28,29,30}-1)*LEN(Registro!$E523)+1,LEN(Registro!$E523)))&amp;"x")-1)),--("0"&amp;MID(TRIM(MID(SUBSTITUTE(SUBSTITUTE(SUBSTITUTE(SUBSTITUTE(SUBSTITUTE(LOWER(Registro!$E523),"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",LEN(Registro!$E523))),({1,2,3,4,5,6,7,8,9,10,11,12,13,14,15,16,17,18,19,20,21,22,23,24,25,26,27,28,29,30}-1)*LEN(Registro!$E523)+1,LEN(Registro!$E523))),FIND("x",TRIM(MID(SUBSTITUTE(SUBSTITUTE(SUBSTITUTE(SUBSTITUTE(SUBSTITUTE(LOWER(Registro!$E523),"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",LEN(Registro!$E523))),({1,2,3,4,5,6,7,8,9,10,11,12,13,14,15,16,17,18,19,20,21,22,23,24,25,26,27,28,29,30}-1)*LEN(Registro!$E523)+1,LEN(Registro!$E523)))&amp;"x")+1,20))),"Revisar formato")))</f>
        <v/>
      </c>
      <c r="F523" s="23" t="str">
        <f>IF(Registro!$F523="","",IF(ISERROR(FIND("x",LOWER(Registro!$F523))),"-",IFERROR(SUMPRODUCT(--("0"&amp;LEFT(TRIM(MID(SUBSTITUTE(SUBSTITUTE(SUBSTITUTE(SUBSTITUTE(SUBSTITUTE(LOWER(Registro!$F523)," ",""),CHAR(10),"|"),";","|"),"+","|"),"|",REPT(" ",LEN(Registro!$F523))),({1,2,3,4,5,6,7,8,9,10,11,12,13,14,15,16,17,18,19,20,21,22,23,24,25,26,27,28,29,30}-1)*LEN(Registro!$F523)+1,LEN(Registro!$F523))),FIND("x",TRIM(MID(SUBSTITUTE(SUBSTITUTE(SUBSTITUTE(SUBSTITUTE(SUBSTITUTE(LOWER(Registro!$F523)," ",""),CHAR(10),"|"),";","|"),"+","|"),"|",REPT(" ",LEN(Registro!$F523))),({1,2,3,4,5,6,7,8,9,10,11,12,13,14,15,16,17,18,19,20,21,22,23,24,25,26,27,28,29,30}-1)*LEN(Registro!$F523)+1,LEN(Registro!$F523)))&amp;"x")-1))),"Revisar formato")))</f>
        <v/>
      </c>
      <c r="G523" s="24" t="str">
        <f>IF(Registro!$F523="","",IF(ISERROR(FIND("x",LOWER(Registro!$F523))),N(Registro!$G523),IFERROR(SUMPRODUCT(--("0"&amp;LEFT(TRIM(MID(SUBSTITUTE(SUBSTITUTE(SUBSTITUTE(SUBSTITUTE(SUBSTITUTE(LOWER(Registro!$F523)," ",""),CHAR(10),"|"),";","|"),"+","|"),"|",REPT(" ",LEN(Registro!$F523))),({1,2,3,4,5,6,7,8,9,10,11,12,13,14,15,16,17,18,19,20,21,22,23,24,25,26,27,28,29,30}-1)*LEN(Registro!$F523)+1,LEN(Registro!$F523))),FIND("x",TRIM(MID(SUBSTITUTE(SUBSTITUTE(SUBSTITUTE(SUBSTITUTE(SUBSTITUTE(LOWER(Registro!$F523)," ",""),CHAR(10),"|"),";","|"),"+","|"),"|",REPT(" ",LEN(Registro!$F523))),({1,2,3,4,5,6,7,8,9,10,11,12,13,14,15,16,17,18,19,20,21,22,23,24,25,26,27,28,29,30}-1)*LEN(Registro!$F523)+1,LEN(Registro!$F523)))&amp;"x")-1)),--("0"&amp;MID(TRIM(MID(SUBSTITUTE(SUBSTITUTE(SUBSTITUTE(SUBSTITUTE(SUBSTITUTE(LOWER(Registro!$F523)," ",""),CHAR(10),"|"),";","|"),"+","|"),"|",REPT(" ",LEN(Registro!$F523))),({1,2,3,4,5,6,7,8,9,10,11,12,13,14,15,16,17,18,19,20,21,22,23,24,25,26,27,28,29,30}-1)*LEN(Registro!$F523)+1,LEN(Registro!$F523))),FIND("x",TRIM(MID(SUBSTITUTE(SUBSTITUTE(SUBSTITUTE(SUBSTITUTE(SUBSTITUTE(LOWER(Registro!$F523)," ",""),CHAR(10),"|"),";","|"),"+","|"),"|",REPT(" ",LEN(Registro!$F523))),({1,2,3,4,5,6,7,8,9,10,11,12,13,14,15,16,17,18,19,20,21,22,23,24,25,26,27,28,29,30}-1)*LEN(Registro!$F523)+1,LEN(Registro!$F523)))&amp;"x")+1,20))),"Revisar formato")))</f>
        <v/>
      </c>
      <c r="H523" s="21" t="str">
        <f>IF(AND(Registro!$E523="",Registro!$F523=""),"",IF(NOT(AND(ISNUMBER(G523),ISNUMBER(Registro!$G523))),"",IF(G523&lt;Registro!$G523,"FALTA BOLETOS",IF(G523=Registro!$G523,"CONFORME","DIFERENCIA"))))</f>
        <v/>
      </c>
      <c r="I523" s="24" t="str">
        <f>IF(Registro!$H523="","",IFERROR(SUMPRODUCT(--("0"&amp;TRIM(RIGHT(SUBSTITUTE(TRIM(MID(SUBSTITUTE(SUBSTITUTE(Registro!$H523,";",CHAR(10)),CHAR(10),REPT(" ",LEN(Registro!$H523))),({1,2,3,4,5,6,7,8,9,10,11,12,13,14,15,16,17,18,19,20,21,22,23,24,25,26,27,28,29,30}-1)*LEN(Registro!$H523)+1,LEN(Registro!$H523)))," ",REPT(" ",50)),50)))),"Revisar formato"))</f>
        <v/>
      </c>
      <c r="J523" s="24" t="str">
        <f>IF(Registro!$I523="","",IFERROR(SUMPRODUCT(--("0"&amp;TRIM(RIGHT(SUBSTITUTE(TRIM(MID(SUBSTITUTE(SUBSTITUTE(Registro!$I523,";",CHAR(10)),CHAR(10),REPT(" ",LEN(Registro!$I523))),({1,2,3,4,5,6,7,8,9,10,11,12,13,14,15,16,17,18,19,20,21,22,23,24,25,26,27,28,29,30}-1)*LEN(Registro!$I523)+1,LEN(Registro!$I523)))," ",REPT(" ",50)),50)))),"Revisar formato"))</f>
        <v/>
      </c>
      <c r="K523" s="24" t="str">
        <f>IF(AND(Registro!$G523="",Registro!$H523=""),"",IF(AND(ISTEXT(I523),I523&lt;&gt;""),"Revisar formato",N(Registro!$G523)-N(I523)))</f>
        <v/>
      </c>
      <c r="L523" s="24" t="str">
        <f t="shared" si="17"/>
        <v/>
      </c>
      <c r="M523" s="36" t="str">
        <f>IF(AND(A523=Consulta!$B$3,C523=Consulta!$H$3),B523*10000+ROW(),"")</f>
        <v/>
      </c>
    </row>
    <row r="524" spans="1:13" x14ac:dyDescent="0.25">
      <c r="A524" s="21" t="str">
        <f>IF(Registro!$A524="","",Registro!$A524)</f>
        <v/>
      </c>
      <c r="B524" s="20" t="str">
        <f>IF(Registro!$B524="","",Registro!$B524)</f>
        <v/>
      </c>
      <c r="C524" s="35" t="str">
        <f t="shared" si="16"/>
        <v/>
      </c>
      <c r="D524" s="23" t="str">
        <f>IF(Registro!$E524="","",IF(ISERROR(FIND("x",LOWER(Registro!$E524))),"-",IFERROR(SUMPRODUCT(--("0"&amp;LEFT(TRIM(MID(SUBSTITUTE(SUBSTITUTE(SUBSTITUTE(SUBSTITUTE(SUBSTITUTE(LOWER(Registro!$E524),"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",LEN(Registro!$E524))),({1,2,3,4,5,6,7,8,9,10,11,12,13,14,15,16,17,18,19,20,21,22,23,24,25,26,27,28,29,30}-1)*LEN(Registro!$E524)+1,LEN(Registro!$E524))),FIND("x",TRIM(MID(SUBSTITUTE(SUBSTITUTE(SUBSTITUTE(SUBSTITUTE(SUBSTITUTE(LOWER(Registro!$E524),"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",LEN(Registro!$E524))),({1,2,3,4,5,6,7,8,9,10,11,12,13,14,15,16,17,18,19,20,21,22,23,24,25,26,27,28,29,30}-1)*LEN(Registro!$E524)+1,LEN(Registro!$E524)))&amp;"x")-1))),"Revisar formato")))</f>
        <v/>
      </c>
      <c r="E524" s="24" t="str">
        <f>IF(Registro!$E524="","",IF(ISERROR(FIND("x",LOWER(Registro!$E524))),"-",IFERROR(SUMPRODUCT(--("0"&amp;LEFT(TRIM(MID(SUBSTITUTE(SUBSTITUTE(SUBSTITUTE(SUBSTITUTE(SUBSTITUTE(LOWER(Registro!$E524),"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",LEN(Registro!$E524))),({1,2,3,4,5,6,7,8,9,10,11,12,13,14,15,16,17,18,19,20,21,22,23,24,25,26,27,28,29,30}-1)*LEN(Registro!$E524)+1,LEN(Registro!$E524))),FIND("x",TRIM(MID(SUBSTITUTE(SUBSTITUTE(SUBSTITUTE(SUBSTITUTE(SUBSTITUTE(LOWER(Registro!$E524),"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",LEN(Registro!$E524))),({1,2,3,4,5,6,7,8,9,10,11,12,13,14,15,16,17,18,19,20,21,22,23,24,25,26,27,28,29,30}-1)*LEN(Registro!$E524)+1,LEN(Registro!$E524)))&amp;"x")-1)),--("0"&amp;MID(TRIM(MID(SUBSTITUTE(SUBSTITUTE(SUBSTITUTE(SUBSTITUTE(SUBSTITUTE(LOWER(Registro!$E524),"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",LEN(Registro!$E524))),({1,2,3,4,5,6,7,8,9,10,11,12,13,14,15,16,17,18,19,20,21,22,23,24,25,26,27,28,29,30}-1)*LEN(Registro!$E524)+1,LEN(Registro!$E524))),FIND("x",TRIM(MID(SUBSTITUTE(SUBSTITUTE(SUBSTITUTE(SUBSTITUTE(SUBSTITUTE(LOWER(Registro!$E524),"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",LEN(Registro!$E524))),({1,2,3,4,5,6,7,8,9,10,11,12,13,14,15,16,17,18,19,20,21,22,23,24,25,26,27,28,29,30}-1)*LEN(Registro!$E524)+1,LEN(Registro!$E524)))&amp;"x")+1,20))),"Revisar formato")))</f>
        <v/>
      </c>
      <c r="F524" s="23" t="str">
        <f>IF(Registro!$F524="","",IF(ISERROR(FIND("x",LOWER(Registro!$F524))),"-",IFERROR(SUMPRODUCT(--("0"&amp;LEFT(TRIM(MID(SUBSTITUTE(SUBSTITUTE(SUBSTITUTE(SUBSTITUTE(SUBSTITUTE(LOWER(Registro!$F524)," ",""),CHAR(10),"|"),";","|"),"+","|"),"|",REPT(" ",LEN(Registro!$F524))),({1,2,3,4,5,6,7,8,9,10,11,12,13,14,15,16,17,18,19,20,21,22,23,24,25,26,27,28,29,30}-1)*LEN(Registro!$F524)+1,LEN(Registro!$F524))),FIND("x",TRIM(MID(SUBSTITUTE(SUBSTITUTE(SUBSTITUTE(SUBSTITUTE(SUBSTITUTE(LOWER(Registro!$F524)," ",""),CHAR(10),"|"),";","|"),"+","|"),"|",REPT(" ",LEN(Registro!$F524))),({1,2,3,4,5,6,7,8,9,10,11,12,13,14,15,16,17,18,19,20,21,22,23,24,25,26,27,28,29,30}-1)*LEN(Registro!$F524)+1,LEN(Registro!$F524)))&amp;"x")-1))),"Revisar formato")))</f>
        <v/>
      </c>
      <c r="G524" s="24" t="str">
        <f>IF(Registro!$F524="","",IF(ISERROR(FIND("x",LOWER(Registro!$F524))),N(Registro!$G524),IFERROR(SUMPRODUCT(--("0"&amp;LEFT(TRIM(MID(SUBSTITUTE(SUBSTITUTE(SUBSTITUTE(SUBSTITUTE(SUBSTITUTE(LOWER(Registro!$F524)," ",""),CHAR(10),"|"),";","|"),"+","|"),"|",REPT(" ",LEN(Registro!$F524))),({1,2,3,4,5,6,7,8,9,10,11,12,13,14,15,16,17,18,19,20,21,22,23,24,25,26,27,28,29,30}-1)*LEN(Registro!$F524)+1,LEN(Registro!$F524))),FIND("x",TRIM(MID(SUBSTITUTE(SUBSTITUTE(SUBSTITUTE(SUBSTITUTE(SUBSTITUTE(LOWER(Registro!$F524)," ",""),CHAR(10),"|"),";","|"),"+","|"),"|",REPT(" ",LEN(Registro!$F524))),({1,2,3,4,5,6,7,8,9,10,11,12,13,14,15,16,17,18,19,20,21,22,23,24,25,26,27,28,29,30}-1)*LEN(Registro!$F524)+1,LEN(Registro!$F524)))&amp;"x")-1)),--("0"&amp;MID(TRIM(MID(SUBSTITUTE(SUBSTITUTE(SUBSTITUTE(SUBSTITUTE(SUBSTITUTE(LOWER(Registro!$F524)," ",""),CHAR(10),"|"),";","|"),"+","|"),"|",REPT(" ",LEN(Registro!$F524))),({1,2,3,4,5,6,7,8,9,10,11,12,13,14,15,16,17,18,19,20,21,22,23,24,25,26,27,28,29,30}-1)*LEN(Registro!$F524)+1,LEN(Registro!$F524))),FIND("x",TRIM(MID(SUBSTITUTE(SUBSTITUTE(SUBSTITUTE(SUBSTITUTE(SUBSTITUTE(LOWER(Registro!$F524)," ",""),CHAR(10),"|"),";","|"),"+","|"),"|",REPT(" ",LEN(Registro!$F524))),({1,2,3,4,5,6,7,8,9,10,11,12,13,14,15,16,17,18,19,20,21,22,23,24,25,26,27,28,29,30}-1)*LEN(Registro!$F524)+1,LEN(Registro!$F524)))&amp;"x")+1,20))),"Revisar formato")))</f>
        <v/>
      </c>
      <c r="H524" s="21" t="str">
        <f>IF(AND(Registro!$E524="",Registro!$F524=""),"",IF(NOT(AND(ISNUMBER(G524),ISNUMBER(Registro!$G524))),"",IF(G524&lt;Registro!$G524,"FALTA BOLETOS",IF(G524=Registro!$G524,"CONFORME","DIFERENCIA"))))</f>
        <v/>
      </c>
      <c r="I524" s="24" t="str">
        <f>IF(Registro!$H524="","",IFERROR(SUMPRODUCT(--("0"&amp;TRIM(RIGHT(SUBSTITUTE(TRIM(MID(SUBSTITUTE(SUBSTITUTE(Registro!$H524,";",CHAR(10)),CHAR(10),REPT(" ",LEN(Registro!$H524))),({1,2,3,4,5,6,7,8,9,10,11,12,13,14,15,16,17,18,19,20,21,22,23,24,25,26,27,28,29,30}-1)*LEN(Registro!$H524)+1,LEN(Registro!$H524)))," ",REPT(" ",50)),50)))),"Revisar formato"))</f>
        <v/>
      </c>
      <c r="J524" s="24" t="str">
        <f>IF(Registro!$I524="","",IFERROR(SUMPRODUCT(--("0"&amp;TRIM(RIGHT(SUBSTITUTE(TRIM(MID(SUBSTITUTE(SUBSTITUTE(Registro!$I524,";",CHAR(10)),CHAR(10),REPT(" ",LEN(Registro!$I524))),({1,2,3,4,5,6,7,8,9,10,11,12,13,14,15,16,17,18,19,20,21,22,23,24,25,26,27,28,29,30}-1)*LEN(Registro!$I524)+1,LEN(Registro!$I524)))," ",REPT(" ",50)),50)))),"Revisar formato"))</f>
        <v/>
      </c>
      <c r="K524" s="24" t="str">
        <f>IF(AND(Registro!$G524="",Registro!$H524=""),"",IF(AND(ISTEXT(I524),I524&lt;&gt;""),"Revisar formato",N(Registro!$G524)-N(I524)))</f>
        <v/>
      </c>
      <c r="L524" s="24" t="str">
        <f t="shared" si="17"/>
        <v/>
      </c>
      <c r="M524" s="36" t="str">
        <f>IF(AND(A524=Consulta!$B$3,C524=Consulta!$H$3),B524*10000+ROW(),"")</f>
        <v/>
      </c>
    </row>
    <row r="525" spans="1:13" x14ac:dyDescent="0.25">
      <c r="A525" s="21" t="str">
        <f>IF(Registro!$A525="","",Registro!$A525)</f>
        <v/>
      </c>
      <c r="B525" s="20" t="str">
        <f>IF(Registro!$B525="","",Registro!$B525)</f>
        <v/>
      </c>
      <c r="C525" s="35" t="str">
        <f t="shared" si="16"/>
        <v/>
      </c>
      <c r="D525" s="23" t="str">
        <f>IF(Registro!$E525="","",IF(ISERROR(FIND("x",LOWER(Registro!$E525))),"-",IFERROR(SUMPRODUCT(--("0"&amp;LEFT(TRIM(MID(SUBSTITUTE(SUBSTITUTE(SUBSTITUTE(SUBSTITUTE(SUBSTITUTE(LOWER(Registro!$E525),"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",LEN(Registro!$E525))),({1,2,3,4,5,6,7,8,9,10,11,12,13,14,15,16,17,18,19,20,21,22,23,24,25,26,27,28,29,30}-1)*LEN(Registro!$E525)+1,LEN(Registro!$E525))),FIND("x",TRIM(MID(SUBSTITUTE(SUBSTITUTE(SUBSTITUTE(SUBSTITUTE(SUBSTITUTE(LOWER(Registro!$E525),"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",LEN(Registro!$E525))),({1,2,3,4,5,6,7,8,9,10,11,12,13,14,15,16,17,18,19,20,21,22,23,24,25,26,27,28,29,30}-1)*LEN(Registro!$E525)+1,LEN(Registro!$E525)))&amp;"x")-1))),"Revisar formato")))</f>
        <v/>
      </c>
      <c r="E525" s="24" t="str">
        <f>IF(Registro!$E525="","",IF(ISERROR(FIND("x",LOWER(Registro!$E525))),"-",IFERROR(SUMPRODUCT(--("0"&amp;LEFT(TRIM(MID(SUBSTITUTE(SUBSTITUTE(SUBSTITUTE(SUBSTITUTE(SUBSTITUTE(LOWER(Registro!$E525),"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",LEN(Registro!$E525))),({1,2,3,4,5,6,7,8,9,10,11,12,13,14,15,16,17,18,19,20,21,22,23,24,25,26,27,28,29,30}-1)*LEN(Registro!$E525)+1,LEN(Registro!$E525))),FIND("x",TRIM(MID(SUBSTITUTE(SUBSTITUTE(SUBSTITUTE(SUBSTITUTE(SUBSTITUTE(LOWER(Registro!$E525),"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",LEN(Registro!$E525))),({1,2,3,4,5,6,7,8,9,10,11,12,13,14,15,16,17,18,19,20,21,22,23,24,25,26,27,28,29,30}-1)*LEN(Registro!$E525)+1,LEN(Registro!$E525)))&amp;"x")-1)),--("0"&amp;MID(TRIM(MID(SUBSTITUTE(SUBSTITUTE(SUBSTITUTE(SUBSTITUTE(SUBSTITUTE(LOWER(Registro!$E525),"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",LEN(Registro!$E525))),({1,2,3,4,5,6,7,8,9,10,11,12,13,14,15,16,17,18,19,20,21,22,23,24,25,26,27,28,29,30}-1)*LEN(Registro!$E525)+1,LEN(Registro!$E525))),FIND("x",TRIM(MID(SUBSTITUTE(SUBSTITUTE(SUBSTITUTE(SUBSTITUTE(SUBSTITUTE(LOWER(Registro!$E525),"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",LEN(Registro!$E525))),({1,2,3,4,5,6,7,8,9,10,11,12,13,14,15,16,17,18,19,20,21,22,23,24,25,26,27,28,29,30}-1)*LEN(Registro!$E525)+1,LEN(Registro!$E525)))&amp;"x")+1,20))),"Revisar formato")))</f>
        <v/>
      </c>
      <c r="F525" s="23" t="str">
        <f>IF(Registro!$F525="","",IF(ISERROR(FIND("x",LOWER(Registro!$F525))),"-",IFERROR(SUMPRODUCT(--("0"&amp;LEFT(TRIM(MID(SUBSTITUTE(SUBSTITUTE(SUBSTITUTE(SUBSTITUTE(SUBSTITUTE(LOWER(Registro!$F525)," ",""),CHAR(10),"|"),";","|"),"+","|"),"|",REPT(" ",LEN(Registro!$F525))),({1,2,3,4,5,6,7,8,9,10,11,12,13,14,15,16,17,18,19,20,21,22,23,24,25,26,27,28,29,30}-1)*LEN(Registro!$F525)+1,LEN(Registro!$F525))),FIND("x",TRIM(MID(SUBSTITUTE(SUBSTITUTE(SUBSTITUTE(SUBSTITUTE(SUBSTITUTE(LOWER(Registro!$F525)," ",""),CHAR(10),"|"),";","|"),"+","|"),"|",REPT(" ",LEN(Registro!$F525))),({1,2,3,4,5,6,7,8,9,10,11,12,13,14,15,16,17,18,19,20,21,22,23,24,25,26,27,28,29,30}-1)*LEN(Registro!$F525)+1,LEN(Registro!$F525)))&amp;"x")-1))),"Revisar formato")))</f>
        <v/>
      </c>
      <c r="G525" s="24" t="str">
        <f>IF(Registro!$F525="","",IF(ISERROR(FIND("x",LOWER(Registro!$F525))),N(Registro!$G525),IFERROR(SUMPRODUCT(--("0"&amp;LEFT(TRIM(MID(SUBSTITUTE(SUBSTITUTE(SUBSTITUTE(SUBSTITUTE(SUBSTITUTE(LOWER(Registro!$F525)," ",""),CHAR(10),"|"),";","|"),"+","|"),"|",REPT(" ",LEN(Registro!$F525))),({1,2,3,4,5,6,7,8,9,10,11,12,13,14,15,16,17,18,19,20,21,22,23,24,25,26,27,28,29,30}-1)*LEN(Registro!$F525)+1,LEN(Registro!$F525))),FIND("x",TRIM(MID(SUBSTITUTE(SUBSTITUTE(SUBSTITUTE(SUBSTITUTE(SUBSTITUTE(LOWER(Registro!$F525)," ",""),CHAR(10),"|"),";","|"),"+","|"),"|",REPT(" ",LEN(Registro!$F525))),({1,2,3,4,5,6,7,8,9,10,11,12,13,14,15,16,17,18,19,20,21,22,23,24,25,26,27,28,29,30}-1)*LEN(Registro!$F525)+1,LEN(Registro!$F525)))&amp;"x")-1)),--("0"&amp;MID(TRIM(MID(SUBSTITUTE(SUBSTITUTE(SUBSTITUTE(SUBSTITUTE(SUBSTITUTE(LOWER(Registro!$F525)," ",""),CHAR(10),"|"),";","|"),"+","|"),"|",REPT(" ",LEN(Registro!$F525))),({1,2,3,4,5,6,7,8,9,10,11,12,13,14,15,16,17,18,19,20,21,22,23,24,25,26,27,28,29,30}-1)*LEN(Registro!$F525)+1,LEN(Registro!$F525))),FIND("x",TRIM(MID(SUBSTITUTE(SUBSTITUTE(SUBSTITUTE(SUBSTITUTE(SUBSTITUTE(LOWER(Registro!$F525)," ",""),CHAR(10),"|"),";","|"),"+","|"),"|",REPT(" ",LEN(Registro!$F525))),({1,2,3,4,5,6,7,8,9,10,11,12,13,14,15,16,17,18,19,20,21,22,23,24,25,26,27,28,29,30}-1)*LEN(Registro!$F525)+1,LEN(Registro!$F525)))&amp;"x")+1,20))),"Revisar formato")))</f>
        <v/>
      </c>
      <c r="H525" s="21" t="str">
        <f>IF(AND(Registro!$E525="",Registro!$F525=""),"",IF(NOT(AND(ISNUMBER(G525),ISNUMBER(Registro!$G525))),"",IF(G525&lt;Registro!$G525,"FALTA BOLETOS",IF(G525=Registro!$G525,"CONFORME","DIFERENCIA"))))</f>
        <v/>
      </c>
      <c r="I525" s="24" t="str">
        <f>IF(Registro!$H525="","",IFERROR(SUMPRODUCT(--("0"&amp;TRIM(RIGHT(SUBSTITUTE(TRIM(MID(SUBSTITUTE(SUBSTITUTE(Registro!$H525,";",CHAR(10)),CHAR(10),REPT(" ",LEN(Registro!$H525))),({1,2,3,4,5,6,7,8,9,10,11,12,13,14,15,16,17,18,19,20,21,22,23,24,25,26,27,28,29,30}-1)*LEN(Registro!$H525)+1,LEN(Registro!$H525)))," ",REPT(" ",50)),50)))),"Revisar formato"))</f>
        <v/>
      </c>
      <c r="J525" s="24" t="str">
        <f>IF(Registro!$I525="","",IFERROR(SUMPRODUCT(--("0"&amp;TRIM(RIGHT(SUBSTITUTE(TRIM(MID(SUBSTITUTE(SUBSTITUTE(Registro!$I525,";",CHAR(10)),CHAR(10),REPT(" ",LEN(Registro!$I525))),({1,2,3,4,5,6,7,8,9,10,11,12,13,14,15,16,17,18,19,20,21,22,23,24,25,26,27,28,29,30}-1)*LEN(Registro!$I525)+1,LEN(Registro!$I525)))," ",REPT(" ",50)),50)))),"Revisar formato"))</f>
        <v/>
      </c>
      <c r="K525" s="24" t="str">
        <f>IF(AND(Registro!$G525="",Registro!$H525=""),"",IF(AND(ISTEXT(I525),I525&lt;&gt;""),"Revisar formato",N(Registro!$G525)-N(I525)))</f>
        <v/>
      </c>
      <c r="L525" s="24" t="str">
        <f t="shared" si="17"/>
        <v/>
      </c>
      <c r="M525" s="36" t="str">
        <f>IF(AND(A525=Consulta!$B$3,C525=Consulta!$H$3),B525*10000+ROW(),"")</f>
        <v/>
      </c>
    </row>
    <row r="526" spans="1:13" x14ac:dyDescent="0.25">
      <c r="A526" s="21" t="str">
        <f>IF(Registro!$A526="","",Registro!$A526)</f>
        <v/>
      </c>
      <c r="B526" s="20" t="str">
        <f>IF(Registro!$B526="","",Registro!$B526)</f>
        <v/>
      </c>
      <c r="C526" s="35" t="str">
        <f t="shared" si="16"/>
        <v/>
      </c>
      <c r="D526" s="23" t="str">
        <f>IF(Registro!$E526="","",IF(ISERROR(FIND("x",LOWER(Registro!$E526))),"-",IFERROR(SUMPRODUCT(--("0"&amp;LEFT(TRIM(MID(SUBSTITUTE(SUBSTITUTE(SUBSTITUTE(SUBSTITUTE(SUBSTITUTE(LOWER(Registro!$E526),"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",LEN(Registro!$E526))),({1,2,3,4,5,6,7,8,9,10,11,12,13,14,15,16,17,18,19,20,21,22,23,24,25,26,27,28,29,30}-1)*LEN(Registro!$E526)+1,LEN(Registro!$E526))),FIND("x",TRIM(MID(SUBSTITUTE(SUBSTITUTE(SUBSTITUTE(SUBSTITUTE(SUBSTITUTE(LOWER(Registro!$E526),"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",LEN(Registro!$E526))),({1,2,3,4,5,6,7,8,9,10,11,12,13,14,15,16,17,18,19,20,21,22,23,24,25,26,27,28,29,30}-1)*LEN(Registro!$E526)+1,LEN(Registro!$E526)))&amp;"x")-1))),"Revisar formato")))</f>
        <v/>
      </c>
      <c r="E526" s="24" t="str">
        <f>IF(Registro!$E526="","",IF(ISERROR(FIND("x",LOWER(Registro!$E526))),"-",IFERROR(SUMPRODUCT(--("0"&amp;LEFT(TRIM(MID(SUBSTITUTE(SUBSTITUTE(SUBSTITUTE(SUBSTITUTE(SUBSTITUTE(LOWER(Registro!$E526),"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",LEN(Registro!$E526))),({1,2,3,4,5,6,7,8,9,10,11,12,13,14,15,16,17,18,19,20,21,22,23,24,25,26,27,28,29,30}-1)*LEN(Registro!$E526)+1,LEN(Registro!$E526))),FIND("x",TRIM(MID(SUBSTITUTE(SUBSTITUTE(SUBSTITUTE(SUBSTITUTE(SUBSTITUTE(LOWER(Registro!$E526),"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",LEN(Registro!$E526))),({1,2,3,4,5,6,7,8,9,10,11,12,13,14,15,16,17,18,19,20,21,22,23,24,25,26,27,28,29,30}-1)*LEN(Registro!$E526)+1,LEN(Registro!$E526)))&amp;"x")-1)),--("0"&amp;MID(TRIM(MID(SUBSTITUTE(SUBSTITUTE(SUBSTITUTE(SUBSTITUTE(SUBSTITUTE(LOWER(Registro!$E526),"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",LEN(Registro!$E526))),({1,2,3,4,5,6,7,8,9,10,11,12,13,14,15,16,17,18,19,20,21,22,23,24,25,26,27,28,29,30}-1)*LEN(Registro!$E526)+1,LEN(Registro!$E526))),FIND("x",TRIM(MID(SUBSTITUTE(SUBSTITUTE(SUBSTITUTE(SUBSTITUTE(SUBSTITUTE(LOWER(Registro!$E526),"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",LEN(Registro!$E526))),({1,2,3,4,5,6,7,8,9,10,11,12,13,14,15,16,17,18,19,20,21,22,23,24,25,26,27,28,29,30}-1)*LEN(Registro!$E526)+1,LEN(Registro!$E526)))&amp;"x")+1,20))),"Revisar formato")))</f>
        <v/>
      </c>
      <c r="F526" s="23" t="str">
        <f>IF(Registro!$F526="","",IF(ISERROR(FIND("x",LOWER(Registro!$F526))),"-",IFERROR(SUMPRODUCT(--("0"&amp;LEFT(TRIM(MID(SUBSTITUTE(SUBSTITUTE(SUBSTITUTE(SUBSTITUTE(SUBSTITUTE(LOWER(Registro!$F526)," ",""),CHAR(10),"|"),";","|"),"+","|"),"|",REPT(" ",LEN(Registro!$F526))),({1,2,3,4,5,6,7,8,9,10,11,12,13,14,15,16,17,18,19,20,21,22,23,24,25,26,27,28,29,30}-1)*LEN(Registro!$F526)+1,LEN(Registro!$F526))),FIND("x",TRIM(MID(SUBSTITUTE(SUBSTITUTE(SUBSTITUTE(SUBSTITUTE(SUBSTITUTE(LOWER(Registro!$F526)," ",""),CHAR(10),"|"),";","|"),"+","|"),"|",REPT(" ",LEN(Registro!$F526))),({1,2,3,4,5,6,7,8,9,10,11,12,13,14,15,16,17,18,19,20,21,22,23,24,25,26,27,28,29,30}-1)*LEN(Registro!$F526)+1,LEN(Registro!$F526)))&amp;"x")-1))),"Revisar formato")))</f>
        <v/>
      </c>
      <c r="G526" s="24" t="str">
        <f>IF(Registro!$F526="","",IF(ISERROR(FIND("x",LOWER(Registro!$F526))),N(Registro!$G526),IFERROR(SUMPRODUCT(--("0"&amp;LEFT(TRIM(MID(SUBSTITUTE(SUBSTITUTE(SUBSTITUTE(SUBSTITUTE(SUBSTITUTE(LOWER(Registro!$F526)," ",""),CHAR(10),"|"),";","|"),"+","|"),"|",REPT(" ",LEN(Registro!$F526))),({1,2,3,4,5,6,7,8,9,10,11,12,13,14,15,16,17,18,19,20,21,22,23,24,25,26,27,28,29,30}-1)*LEN(Registro!$F526)+1,LEN(Registro!$F526))),FIND("x",TRIM(MID(SUBSTITUTE(SUBSTITUTE(SUBSTITUTE(SUBSTITUTE(SUBSTITUTE(LOWER(Registro!$F526)," ",""),CHAR(10),"|"),";","|"),"+","|"),"|",REPT(" ",LEN(Registro!$F526))),({1,2,3,4,5,6,7,8,9,10,11,12,13,14,15,16,17,18,19,20,21,22,23,24,25,26,27,28,29,30}-1)*LEN(Registro!$F526)+1,LEN(Registro!$F526)))&amp;"x")-1)),--("0"&amp;MID(TRIM(MID(SUBSTITUTE(SUBSTITUTE(SUBSTITUTE(SUBSTITUTE(SUBSTITUTE(LOWER(Registro!$F526)," ",""),CHAR(10),"|"),";","|"),"+","|"),"|",REPT(" ",LEN(Registro!$F526))),({1,2,3,4,5,6,7,8,9,10,11,12,13,14,15,16,17,18,19,20,21,22,23,24,25,26,27,28,29,30}-1)*LEN(Registro!$F526)+1,LEN(Registro!$F526))),FIND("x",TRIM(MID(SUBSTITUTE(SUBSTITUTE(SUBSTITUTE(SUBSTITUTE(SUBSTITUTE(LOWER(Registro!$F526)," ",""),CHAR(10),"|"),";","|"),"+","|"),"|",REPT(" ",LEN(Registro!$F526))),({1,2,3,4,5,6,7,8,9,10,11,12,13,14,15,16,17,18,19,20,21,22,23,24,25,26,27,28,29,30}-1)*LEN(Registro!$F526)+1,LEN(Registro!$F526)))&amp;"x")+1,20))),"Revisar formato")))</f>
        <v/>
      </c>
      <c r="H526" s="21" t="str">
        <f>IF(AND(Registro!$E526="",Registro!$F526=""),"",IF(NOT(AND(ISNUMBER(G526),ISNUMBER(Registro!$G526))),"",IF(G526&lt;Registro!$G526,"FALTA BOLETOS",IF(G526=Registro!$G526,"CONFORME","DIFERENCIA"))))</f>
        <v/>
      </c>
      <c r="I526" s="24" t="str">
        <f>IF(Registro!$H526="","",IFERROR(SUMPRODUCT(--("0"&amp;TRIM(RIGHT(SUBSTITUTE(TRIM(MID(SUBSTITUTE(SUBSTITUTE(Registro!$H526,";",CHAR(10)),CHAR(10),REPT(" ",LEN(Registro!$H526))),({1,2,3,4,5,6,7,8,9,10,11,12,13,14,15,16,17,18,19,20,21,22,23,24,25,26,27,28,29,30}-1)*LEN(Registro!$H526)+1,LEN(Registro!$H526)))," ",REPT(" ",50)),50)))),"Revisar formato"))</f>
        <v/>
      </c>
      <c r="J526" s="24" t="str">
        <f>IF(Registro!$I526="","",IFERROR(SUMPRODUCT(--("0"&amp;TRIM(RIGHT(SUBSTITUTE(TRIM(MID(SUBSTITUTE(SUBSTITUTE(Registro!$I526,";",CHAR(10)),CHAR(10),REPT(" ",LEN(Registro!$I526))),({1,2,3,4,5,6,7,8,9,10,11,12,13,14,15,16,17,18,19,20,21,22,23,24,25,26,27,28,29,30}-1)*LEN(Registro!$I526)+1,LEN(Registro!$I526)))," ",REPT(" ",50)),50)))),"Revisar formato"))</f>
        <v/>
      </c>
      <c r="K526" s="24" t="str">
        <f>IF(AND(Registro!$G526="",Registro!$H526=""),"",IF(AND(ISTEXT(I526),I526&lt;&gt;""),"Revisar formato",N(Registro!$G526)-N(I526)))</f>
        <v/>
      </c>
      <c r="L526" s="24" t="str">
        <f t="shared" si="17"/>
        <v/>
      </c>
      <c r="M526" s="36" t="str">
        <f>IF(AND(A526=Consulta!$B$3,C526=Consulta!$H$3),B526*10000+ROW(),"")</f>
        <v/>
      </c>
    </row>
    <row r="527" spans="1:13" x14ac:dyDescent="0.25">
      <c r="A527" s="21" t="str">
        <f>IF(Registro!$A527="","",Registro!$A527)</f>
        <v/>
      </c>
      <c r="B527" s="20" t="str">
        <f>IF(Registro!$B527="","",Registro!$B527)</f>
        <v/>
      </c>
      <c r="C527" s="35" t="str">
        <f t="shared" si="16"/>
        <v/>
      </c>
      <c r="D527" s="23" t="str">
        <f>IF(Registro!$E527="","",IF(ISERROR(FIND("x",LOWER(Registro!$E527))),"-",IFERROR(SUMPRODUCT(--("0"&amp;LEFT(TRIM(MID(SUBSTITUTE(SUBSTITUTE(SUBSTITUTE(SUBSTITUTE(SUBSTITUTE(LOWER(Registro!$E527),"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",LEN(Registro!$E527))),({1,2,3,4,5,6,7,8,9,10,11,12,13,14,15,16,17,18,19,20,21,22,23,24,25,26,27,28,29,30}-1)*LEN(Registro!$E527)+1,LEN(Registro!$E527))),FIND("x",TRIM(MID(SUBSTITUTE(SUBSTITUTE(SUBSTITUTE(SUBSTITUTE(SUBSTITUTE(LOWER(Registro!$E527),"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",LEN(Registro!$E527))),({1,2,3,4,5,6,7,8,9,10,11,12,13,14,15,16,17,18,19,20,21,22,23,24,25,26,27,28,29,30}-1)*LEN(Registro!$E527)+1,LEN(Registro!$E527)))&amp;"x")-1))),"Revisar formato")))</f>
        <v/>
      </c>
      <c r="E527" s="24" t="str">
        <f>IF(Registro!$E527="","",IF(ISERROR(FIND("x",LOWER(Registro!$E527))),"-",IFERROR(SUMPRODUCT(--("0"&amp;LEFT(TRIM(MID(SUBSTITUTE(SUBSTITUTE(SUBSTITUTE(SUBSTITUTE(SUBSTITUTE(LOWER(Registro!$E527),"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",LEN(Registro!$E527))),({1,2,3,4,5,6,7,8,9,10,11,12,13,14,15,16,17,18,19,20,21,22,23,24,25,26,27,28,29,30}-1)*LEN(Registro!$E527)+1,LEN(Registro!$E527))),FIND("x",TRIM(MID(SUBSTITUTE(SUBSTITUTE(SUBSTITUTE(SUBSTITUTE(SUBSTITUTE(LOWER(Registro!$E527),"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",LEN(Registro!$E527))),({1,2,3,4,5,6,7,8,9,10,11,12,13,14,15,16,17,18,19,20,21,22,23,24,25,26,27,28,29,30}-1)*LEN(Registro!$E527)+1,LEN(Registro!$E527)))&amp;"x")-1)),--("0"&amp;MID(TRIM(MID(SUBSTITUTE(SUBSTITUTE(SUBSTITUTE(SUBSTITUTE(SUBSTITUTE(LOWER(Registro!$E527),"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",LEN(Registro!$E527))),({1,2,3,4,5,6,7,8,9,10,11,12,13,14,15,16,17,18,19,20,21,22,23,24,25,26,27,28,29,30}-1)*LEN(Registro!$E527)+1,LEN(Registro!$E527))),FIND("x",TRIM(MID(SUBSTITUTE(SUBSTITUTE(SUBSTITUTE(SUBSTITUTE(SUBSTITUTE(LOWER(Registro!$E527),"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",LEN(Registro!$E527))),({1,2,3,4,5,6,7,8,9,10,11,12,13,14,15,16,17,18,19,20,21,22,23,24,25,26,27,28,29,30}-1)*LEN(Registro!$E527)+1,LEN(Registro!$E527)))&amp;"x")+1,20))),"Revisar formato")))</f>
        <v/>
      </c>
      <c r="F527" s="23" t="str">
        <f>IF(Registro!$F527="","",IF(ISERROR(FIND("x",LOWER(Registro!$F527))),"-",IFERROR(SUMPRODUCT(--("0"&amp;LEFT(TRIM(MID(SUBSTITUTE(SUBSTITUTE(SUBSTITUTE(SUBSTITUTE(SUBSTITUTE(LOWER(Registro!$F527)," ",""),CHAR(10),"|"),";","|"),"+","|"),"|",REPT(" ",LEN(Registro!$F527))),({1,2,3,4,5,6,7,8,9,10,11,12,13,14,15,16,17,18,19,20,21,22,23,24,25,26,27,28,29,30}-1)*LEN(Registro!$F527)+1,LEN(Registro!$F527))),FIND("x",TRIM(MID(SUBSTITUTE(SUBSTITUTE(SUBSTITUTE(SUBSTITUTE(SUBSTITUTE(LOWER(Registro!$F527)," ",""),CHAR(10),"|"),";","|"),"+","|"),"|",REPT(" ",LEN(Registro!$F527))),({1,2,3,4,5,6,7,8,9,10,11,12,13,14,15,16,17,18,19,20,21,22,23,24,25,26,27,28,29,30}-1)*LEN(Registro!$F527)+1,LEN(Registro!$F527)))&amp;"x")-1))),"Revisar formato")))</f>
        <v/>
      </c>
      <c r="G527" s="24" t="str">
        <f>IF(Registro!$F527="","",IF(ISERROR(FIND("x",LOWER(Registro!$F527))),N(Registro!$G527),IFERROR(SUMPRODUCT(--("0"&amp;LEFT(TRIM(MID(SUBSTITUTE(SUBSTITUTE(SUBSTITUTE(SUBSTITUTE(SUBSTITUTE(LOWER(Registro!$F527)," ",""),CHAR(10),"|"),";","|"),"+","|"),"|",REPT(" ",LEN(Registro!$F527))),({1,2,3,4,5,6,7,8,9,10,11,12,13,14,15,16,17,18,19,20,21,22,23,24,25,26,27,28,29,30}-1)*LEN(Registro!$F527)+1,LEN(Registro!$F527))),FIND("x",TRIM(MID(SUBSTITUTE(SUBSTITUTE(SUBSTITUTE(SUBSTITUTE(SUBSTITUTE(LOWER(Registro!$F527)," ",""),CHAR(10),"|"),";","|"),"+","|"),"|",REPT(" ",LEN(Registro!$F527))),({1,2,3,4,5,6,7,8,9,10,11,12,13,14,15,16,17,18,19,20,21,22,23,24,25,26,27,28,29,30}-1)*LEN(Registro!$F527)+1,LEN(Registro!$F527)))&amp;"x")-1)),--("0"&amp;MID(TRIM(MID(SUBSTITUTE(SUBSTITUTE(SUBSTITUTE(SUBSTITUTE(SUBSTITUTE(LOWER(Registro!$F527)," ",""),CHAR(10),"|"),";","|"),"+","|"),"|",REPT(" ",LEN(Registro!$F527))),({1,2,3,4,5,6,7,8,9,10,11,12,13,14,15,16,17,18,19,20,21,22,23,24,25,26,27,28,29,30}-1)*LEN(Registro!$F527)+1,LEN(Registro!$F527))),FIND("x",TRIM(MID(SUBSTITUTE(SUBSTITUTE(SUBSTITUTE(SUBSTITUTE(SUBSTITUTE(LOWER(Registro!$F527)," ",""),CHAR(10),"|"),";","|"),"+","|"),"|",REPT(" ",LEN(Registro!$F527))),({1,2,3,4,5,6,7,8,9,10,11,12,13,14,15,16,17,18,19,20,21,22,23,24,25,26,27,28,29,30}-1)*LEN(Registro!$F527)+1,LEN(Registro!$F527)))&amp;"x")+1,20))),"Revisar formato")))</f>
        <v/>
      </c>
      <c r="H527" s="21" t="str">
        <f>IF(AND(Registro!$E527="",Registro!$F527=""),"",IF(NOT(AND(ISNUMBER(G527),ISNUMBER(Registro!$G527))),"",IF(G527&lt;Registro!$G527,"FALTA BOLETOS",IF(G527=Registro!$G527,"CONFORME","DIFERENCIA"))))</f>
        <v/>
      </c>
      <c r="I527" s="24" t="str">
        <f>IF(Registro!$H527="","",IFERROR(SUMPRODUCT(--("0"&amp;TRIM(RIGHT(SUBSTITUTE(TRIM(MID(SUBSTITUTE(SUBSTITUTE(Registro!$H527,";",CHAR(10)),CHAR(10),REPT(" ",LEN(Registro!$H527))),({1,2,3,4,5,6,7,8,9,10,11,12,13,14,15,16,17,18,19,20,21,22,23,24,25,26,27,28,29,30}-1)*LEN(Registro!$H527)+1,LEN(Registro!$H527)))," ",REPT(" ",50)),50)))),"Revisar formato"))</f>
        <v/>
      </c>
      <c r="J527" s="24" t="str">
        <f>IF(Registro!$I527="","",IFERROR(SUMPRODUCT(--("0"&amp;TRIM(RIGHT(SUBSTITUTE(TRIM(MID(SUBSTITUTE(SUBSTITUTE(Registro!$I527,";",CHAR(10)),CHAR(10),REPT(" ",LEN(Registro!$I527))),({1,2,3,4,5,6,7,8,9,10,11,12,13,14,15,16,17,18,19,20,21,22,23,24,25,26,27,28,29,30}-1)*LEN(Registro!$I527)+1,LEN(Registro!$I527)))," ",REPT(" ",50)),50)))),"Revisar formato"))</f>
        <v/>
      </c>
      <c r="K527" s="24" t="str">
        <f>IF(AND(Registro!$G527="",Registro!$H527=""),"",IF(AND(ISTEXT(I527),I527&lt;&gt;""),"Revisar formato",N(Registro!$G527)-N(I527)))</f>
        <v/>
      </c>
      <c r="L527" s="24" t="str">
        <f t="shared" si="17"/>
        <v/>
      </c>
      <c r="M527" s="36" t="str">
        <f>IF(AND(A527=Consulta!$B$3,C527=Consulta!$H$3),B527*10000+ROW(),"")</f>
        <v/>
      </c>
    </row>
    <row r="528" spans="1:13" x14ac:dyDescent="0.25">
      <c r="A528" s="21" t="str">
        <f>IF(Registro!$A528="","",Registro!$A528)</f>
        <v/>
      </c>
      <c r="B528" s="20" t="str">
        <f>IF(Registro!$B528="","",Registro!$B528)</f>
        <v/>
      </c>
      <c r="C528" s="35" t="str">
        <f t="shared" si="16"/>
        <v/>
      </c>
      <c r="D528" s="23" t="str">
        <f>IF(Registro!$E528="","",IF(ISERROR(FIND("x",LOWER(Registro!$E528))),"-",IFERROR(SUMPRODUCT(--("0"&amp;LEFT(TRIM(MID(SUBSTITUTE(SUBSTITUTE(SUBSTITUTE(SUBSTITUTE(SUBSTITUTE(LOWER(Registro!$E528),"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",LEN(Registro!$E528))),({1,2,3,4,5,6,7,8,9,10,11,12,13,14,15,16,17,18,19,20,21,22,23,24,25,26,27,28,29,30}-1)*LEN(Registro!$E528)+1,LEN(Registro!$E528))),FIND("x",TRIM(MID(SUBSTITUTE(SUBSTITUTE(SUBSTITUTE(SUBSTITUTE(SUBSTITUTE(LOWER(Registro!$E528),"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",LEN(Registro!$E528))),({1,2,3,4,5,6,7,8,9,10,11,12,13,14,15,16,17,18,19,20,21,22,23,24,25,26,27,28,29,30}-1)*LEN(Registro!$E528)+1,LEN(Registro!$E528)))&amp;"x")-1))),"Revisar formato")))</f>
        <v/>
      </c>
      <c r="E528" s="24" t="str">
        <f>IF(Registro!$E528="","",IF(ISERROR(FIND("x",LOWER(Registro!$E528))),"-",IFERROR(SUMPRODUCT(--("0"&amp;LEFT(TRIM(MID(SUBSTITUTE(SUBSTITUTE(SUBSTITUTE(SUBSTITUTE(SUBSTITUTE(LOWER(Registro!$E528),"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",LEN(Registro!$E528))),({1,2,3,4,5,6,7,8,9,10,11,12,13,14,15,16,17,18,19,20,21,22,23,24,25,26,27,28,29,30}-1)*LEN(Registro!$E528)+1,LEN(Registro!$E528))),FIND("x",TRIM(MID(SUBSTITUTE(SUBSTITUTE(SUBSTITUTE(SUBSTITUTE(SUBSTITUTE(LOWER(Registro!$E528),"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",LEN(Registro!$E528))),({1,2,3,4,5,6,7,8,9,10,11,12,13,14,15,16,17,18,19,20,21,22,23,24,25,26,27,28,29,30}-1)*LEN(Registro!$E528)+1,LEN(Registro!$E528)))&amp;"x")-1)),--("0"&amp;MID(TRIM(MID(SUBSTITUTE(SUBSTITUTE(SUBSTITUTE(SUBSTITUTE(SUBSTITUTE(LOWER(Registro!$E528),"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",LEN(Registro!$E528))),({1,2,3,4,5,6,7,8,9,10,11,12,13,14,15,16,17,18,19,20,21,22,23,24,25,26,27,28,29,30}-1)*LEN(Registro!$E528)+1,LEN(Registro!$E528))),FIND("x",TRIM(MID(SUBSTITUTE(SUBSTITUTE(SUBSTITUTE(SUBSTITUTE(SUBSTITUTE(LOWER(Registro!$E528),"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",LEN(Registro!$E528))),({1,2,3,4,5,6,7,8,9,10,11,12,13,14,15,16,17,18,19,20,21,22,23,24,25,26,27,28,29,30}-1)*LEN(Registro!$E528)+1,LEN(Registro!$E528)))&amp;"x")+1,20))),"Revisar formato")))</f>
        <v/>
      </c>
      <c r="F528" s="23" t="str">
        <f>IF(Registro!$F528="","",IF(ISERROR(FIND("x",LOWER(Registro!$F528))),"-",IFERROR(SUMPRODUCT(--("0"&amp;LEFT(TRIM(MID(SUBSTITUTE(SUBSTITUTE(SUBSTITUTE(SUBSTITUTE(SUBSTITUTE(LOWER(Registro!$F528)," ",""),CHAR(10),"|"),";","|"),"+","|"),"|",REPT(" ",LEN(Registro!$F528))),({1,2,3,4,5,6,7,8,9,10,11,12,13,14,15,16,17,18,19,20,21,22,23,24,25,26,27,28,29,30}-1)*LEN(Registro!$F528)+1,LEN(Registro!$F528))),FIND("x",TRIM(MID(SUBSTITUTE(SUBSTITUTE(SUBSTITUTE(SUBSTITUTE(SUBSTITUTE(LOWER(Registro!$F528)," ",""),CHAR(10),"|"),";","|"),"+","|"),"|",REPT(" ",LEN(Registro!$F528))),({1,2,3,4,5,6,7,8,9,10,11,12,13,14,15,16,17,18,19,20,21,22,23,24,25,26,27,28,29,30}-1)*LEN(Registro!$F528)+1,LEN(Registro!$F528)))&amp;"x")-1))),"Revisar formato")))</f>
        <v/>
      </c>
      <c r="G528" s="24" t="str">
        <f>IF(Registro!$F528="","",IF(ISERROR(FIND("x",LOWER(Registro!$F528))),N(Registro!$G528),IFERROR(SUMPRODUCT(--("0"&amp;LEFT(TRIM(MID(SUBSTITUTE(SUBSTITUTE(SUBSTITUTE(SUBSTITUTE(SUBSTITUTE(LOWER(Registro!$F528)," ",""),CHAR(10),"|"),";","|"),"+","|"),"|",REPT(" ",LEN(Registro!$F528))),({1,2,3,4,5,6,7,8,9,10,11,12,13,14,15,16,17,18,19,20,21,22,23,24,25,26,27,28,29,30}-1)*LEN(Registro!$F528)+1,LEN(Registro!$F528))),FIND("x",TRIM(MID(SUBSTITUTE(SUBSTITUTE(SUBSTITUTE(SUBSTITUTE(SUBSTITUTE(LOWER(Registro!$F528)," ",""),CHAR(10),"|"),";","|"),"+","|"),"|",REPT(" ",LEN(Registro!$F528))),({1,2,3,4,5,6,7,8,9,10,11,12,13,14,15,16,17,18,19,20,21,22,23,24,25,26,27,28,29,30}-1)*LEN(Registro!$F528)+1,LEN(Registro!$F528)))&amp;"x")-1)),--("0"&amp;MID(TRIM(MID(SUBSTITUTE(SUBSTITUTE(SUBSTITUTE(SUBSTITUTE(SUBSTITUTE(LOWER(Registro!$F528)," ",""),CHAR(10),"|"),";","|"),"+","|"),"|",REPT(" ",LEN(Registro!$F528))),({1,2,3,4,5,6,7,8,9,10,11,12,13,14,15,16,17,18,19,20,21,22,23,24,25,26,27,28,29,30}-1)*LEN(Registro!$F528)+1,LEN(Registro!$F528))),FIND("x",TRIM(MID(SUBSTITUTE(SUBSTITUTE(SUBSTITUTE(SUBSTITUTE(SUBSTITUTE(LOWER(Registro!$F528)," ",""),CHAR(10),"|"),";","|"),"+","|"),"|",REPT(" ",LEN(Registro!$F528))),({1,2,3,4,5,6,7,8,9,10,11,12,13,14,15,16,17,18,19,20,21,22,23,24,25,26,27,28,29,30}-1)*LEN(Registro!$F528)+1,LEN(Registro!$F528)))&amp;"x")+1,20))),"Revisar formato")))</f>
        <v/>
      </c>
      <c r="H528" s="21" t="str">
        <f>IF(AND(Registro!$E528="",Registro!$F528=""),"",IF(NOT(AND(ISNUMBER(G528),ISNUMBER(Registro!$G528))),"",IF(G528&lt;Registro!$G528,"FALTA BOLETOS",IF(G528=Registro!$G528,"CONFORME","DIFERENCIA"))))</f>
        <v/>
      </c>
      <c r="I528" s="24" t="str">
        <f>IF(Registro!$H528="","",IFERROR(SUMPRODUCT(--("0"&amp;TRIM(RIGHT(SUBSTITUTE(TRIM(MID(SUBSTITUTE(SUBSTITUTE(Registro!$H528,";",CHAR(10)),CHAR(10),REPT(" ",LEN(Registro!$H528))),({1,2,3,4,5,6,7,8,9,10,11,12,13,14,15,16,17,18,19,20,21,22,23,24,25,26,27,28,29,30}-1)*LEN(Registro!$H528)+1,LEN(Registro!$H528)))," ",REPT(" ",50)),50)))),"Revisar formato"))</f>
        <v/>
      </c>
      <c r="J528" s="24" t="str">
        <f>IF(Registro!$I528="","",IFERROR(SUMPRODUCT(--("0"&amp;TRIM(RIGHT(SUBSTITUTE(TRIM(MID(SUBSTITUTE(SUBSTITUTE(Registro!$I528,";",CHAR(10)),CHAR(10),REPT(" ",LEN(Registro!$I528))),({1,2,3,4,5,6,7,8,9,10,11,12,13,14,15,16,17,18,19,20,21,22,23,24,25,26,27,28,29,30}-1)*LEN(Registro!$I528)+1,LEN(Registro!$I528)))," ",REPT(" ",50)),50)))),"Revisar formato"))</f>
        <v/>
      </c>
      <c r="K528" s="24" t="str">
        <f>IF(AND(Registro!$G528="",Registro!$H528=""),"",IF(AND(ISTEXT(I528),I528&lt;&gt;""),"Revisar formato",N(Registro!$G528)-N(I528)))</f>
        <v/>
      </c>
      <c r="L528" s="24" t="str">
        <f t="shared" si="17"/>
        <v/>
      </c>
      <c r="M528" s="36" t="str">
        <f>IF(AND(A528=Consulta!$B$3,C528=Consulta!$H$3),B528*10000+ROW(),"")</f>
        <v/>
      </c>
    </row>
    <row r="529" spans="1:13" x14ac:dyDescent="0.25">
      <c r="A529" s="21" t="str">
        <f>IF(Registro!$A529="","",Registro!$A529)</f>
        <v/>
      </c>
      <c r="B529" s="20" t="str">
        <f>IF(Registro!$B529="","",Registro!$B529)</f>
        <v/>
      </c>
      <c r="C529" s="35" t="str">
        <f t="shared" si="16"/>
        <v/>
      </c>
      <c r="D529" s="23" t="str">
        <f>IF(Registro!$E529="","",IF(ISERROR(FIND("x",LOWER(Registro!$E529))),"-",IFERROR(SUMPRODUCT(--("0"&amp;LEFT(TRIM(MID(SUBSTITUTE(SUBSTITUTE(SUBSTITUTE(SUBSTITUTE(SUBSTITUTE(LOWER(Registro!$E529),"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",LEN(Registro!$E529))),({1,2,3,4,5,6,7,8,9,10,11,12,13,14,15,16,17,18,19,20,21,22,23,24,25,26,27,28,29,30}-1)*LEN(Registro!$E529)+1,LEN(Registro!$E529))),FIND("x",TRIM(MID(SUBSTITUTE(SUBSTITUTE(SUBSTITUTE(SUBSTITUTE(SUBSTITUTE(LOWER(Registro!$E529),"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",LEN(Registro!$E529))),({1,2,3,4,5,6,7,8,9,10,11,12,13,14,15,16,17,18,19,20,21,22,23,24,25,26,27,28,29,30}-1)*LEN(Registro!$E529)+1,LEN(Registro!$E529)))&amp;"x")-1))),"Revisar formato")))</f>
        <v/>
      </c>
      <c r="E529" s="24" t="str">
        <f>IF(Registro!$E529="","",IF(ISERROR(FIND("x",LOWER(Registro!$E529))),"-",IFERROR(SUMPRODUCT(--("0"&amp;LEFT(TRIM(MID(SUBSTITUTE(SUBSTITUTE(SUBSTITUTE(SUBSTITUTE(SUBSTITUTE(LOWER(Registro!$E529),"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",LEN(Registro!$E529))),({1,2,3,4,5,6,7,8,9,10,11,12,13,14,15,16,17,18,19,20,21,22,23,24,25,26,27,28,29,30}-1)*LEN(Registro!$E529)+1,LEN(Registro!$E529))),FIND("x",TRIM(MID(SUBSTITUTE(SUBSTITUTE(SUBSTITUTE(SUBSTITUTE(SUBSTITUTE(LOWER(Registro!$E529),"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",LEN(Registro!$E529))),({1,2,3,4,5,6,7,8,9,10,11,12,13,14,15,16,17,18,19,20,21,22,23,24,25,26,27,28,29,30}-1)*LEN(Registro!$E529)+1,LEN(Registro!$E529)))&amp;"x")-1)),--("0"&amp;MID(TRIM(MID(SUBSTITUTE(SUBSTITUTE(SUBSTITUTE(SUBSTITUTE(SUBSTITUTE(LOWER(Registro!$E529),"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",LEN(Registro!$E529))),({1,2,3,4,5,6,7,8,9,10,11,12,13,14,15,16,17,18,19,20,21,22,23,24,25,26,27,28,29,30}-1)*LEN(Registro!$E529)+1,LEN(Registro!$E529))),FIND("x",TRIM(MID(SUBSTITUTE(SUBSTITUTE(SUBSTITUTE(SUBSTITUTE(SUBSTITUTE(LOWER(Registro!$E529),"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",LEN(Registro!$E529))),({1,2,3,4,5,6,7,8,9,10,11,12,13,14,15,16,17,18,19,20,21,22,23,24,25,26,27,28,29,30}-1)*LEN(Registro!$E529)+1,LEN(Registro!$E529)))&amp;"x")+1,20))),"Revisar formato")))</f>
        <v/>
      </c>
      <c r="F529" s="23" t="str">
        <f>IF(Registro!$F529="","",IF(ISERROR(FIND("x",LOWER(Registro!$F529))),"-",IFERROR(SUMPRODUCT(--("0"&amp;LEFT(TRIM(MID(SUBSTITUTE(SUBSTITUTE(SUBSTITUTE(SUBSTITUTE(SUBSTITUTE(LOWER(Registro!$F529)," ",""),CHAR(10),"|"),";","|"),"+","|"),"|",REPT(" ",LEN(Registro!$F529))),({1,2,3,4,5,6,7,8,9,10,11,12,13,14,15,16,17,18,19,20,21,22,23,24,25,26,27,28,29,30}-1)*LEN(Registro!$F529)+1,LEN(Registro!$F529))),FIND("x",TRIM(MID(SUBSTITUTE(SUBSTITUTE(SUBSTITUTE(SUBSTITUTE(SUBSTITUTE(LOWER(Registro!$F529)," ",""),CHAR(10),"|"),";","|"),"+","|"),"|",REPT(" ",LEN(Registro!$F529))),({1,2,3,4,5,6,7,8,9,10,11,12,13,14,15,16,17,18,19,20,21,22,23,24,25,26,27,28,29,30}-1)*LEN(Registro!$F529)+1,LEN(Registro!$F529)))&amp;"x")-1))),"Revisar formato")))</f>
        <v/>
      </c>
      <c r="G529" s="24" t="str">
        <f>IF(Registro!$F529="","",IF(ISERROR(FIND("x",LOWER(Registro!$F529))),N(Registro!$G529),IFERROR(SUMPRODUCT(--("0"&amp;LEFT(TRIM(MID(SUBSTITUTE(SUBSTITUTE(SUBSTITUTE(SUBSTITUTE(SUBSTITUTE(LOWER(Registro!$F529)," ",""),CHAR(10),"|"),";","|"),"+","|"),"|",REPT(" ",LEN(Registro!$F529))),({1,2,3,4,5,6,7,8,9,10,11,12,13,14,15,16,17,18,19,20,21,22,23,24,25,26,27,28,29,30}-1)*LEN(Registro!$F529)+1,LEN(Registro!$F529))),FIND("x",TRIM(MID(SUBSTITUTE(SUBSTITUTE(SUBSTITUTE(SUBSTITUTE(SUBSTITUTE(LOWER(Registro!$F529)," ",""),CHAR(10),"|"),";","|"),"+","|"),"|",REPT(" ",LEN(Registro!$F529))),({1,2,3,4,5,6,7,8,9,10,11,12,13,14,15,16,17,18,19,20,21,22,23,24,25,26,27,28,29,30}-1)*LEN(Registro!$F529)+1,LEN(Registro!$F529)))&amp;"x")-1)),--("0"&amp;MID(TRIM(MID(SUBSTITUTE(SUBSTITUTE(SUBSTITUTE(SUBSTITUTE(SUBSTITUTE(LOWER(Registro!$F529)," ",""),CHAR(10),"|"),";","|"),"+","|"),"|",REPT(" ",LEN(Registro!$F529))),({1,2,3,4,5,6,7,8,9,10,11,12,13,14,15,16,17,18,19,20,21,22,23,24,25,26,27,28,29,30}-1)*LEN(Registro!$F529)+1,LEN(Registro!$F529))),FIND("x",TRIM(MID(SUBSTITUTE(SUBSTITUTE(SUBSTITUTE(SUBSTITUTE(SUBSTITUTE(LOWER(Registro!$F529)," ",""),CHAR(10),"|"),";","|"),"+","|"),"|",REPT(" ",LEN(Registro!$F529))),({1,2,3,4,5,6,7,8,9,10,11,12,13,14,15,16,17,18,19,20,21,22,23,24,25,26,27,28,29,30}-1)*LEN(Registro!$F529)+1,LEN(Registro!$F529)))&amp;"x")+1,20))),"Revisar formato")))</f>
        <v/>
      </c>
      <c r="H529" s="21" t="str">
        <f>IF(AND(Registro!$E529="",Registro!$F529=""),"",IF(NOT(AND(ISNUMBER(G529),ISNUMBER(Registro!$G529))),"",IF(G529&lt;Registro!$G529,"FALTA BOLETOS",IF(G529=Registro!$G529,"CONFORME","DIFERENCIA"))))</f>
        <v/>
      </c>
      <c r="I529" s="24" t="str">
        <f>IF(Registro!$H529="","",IFERROR(SUMPRODUCT(--("0"&amp;TRIM(RIGHT(SUBSTITUTE(TRIM(MID(SUBSTITUTE(SUBSTITUTE(Registro!$H529,";",CHAR(10)),CHAR(10),REPT(" ",LEN(Registro!$H529))),({1,2,3,4,5,6,7,8,9,10,11,12,13,14,15,16,17,18,19,20,21,22,23,24,25,26,27,28,29,30}-1)*LEN(Registro!$H529)+1,LEN(Registro!$H529)))," ",REPT(" ",50)),50)))),"Revisar formato"))</f>
        <v/>
      </c>
      <c r="J529" s="24" t="str">
        <f>IF(Registro!$I529="","",IFERROR(SUMPRODUCT(--("0"&amp;TRIM(RIGHT(SUBSTITUTE(TRIM(MID(SUBSTITUTE(SUBSTITUTE(Registro!$I529,";",CHAR(10)),CHAR(10),REPT(" ",LEN(Registro!$I529))),({1,2,3,4,5,6,7,8,9,10,11,12,13,14,15,16,17,18,19,20,21,22,23,24,25,26,27,28,29,30}-1)*LEN(Registro!$I529)+1,LEN(Registro!$I529)))," ",REPT(" ",50)),50)))),"Revisar formato"))</f>
        <v/>
      </c>
      <c r="K529" s="24" t="str">
        <f>IF(AND(Registro!$G529="",Registro!$H529=""),"",IF(AND(ISTEXT(I529),I529&lt;&gt;""),"Revisar formato",N(Registro!$G529)-N(I529)))</f>
        <v/>
      </c>
      <c r="L529" s="24" t="str">
        <f t="shared" si="17"/>
        <v/>
      </c>
      <c r="M529" s="36" t="str">
        <f>IF(AND(A529=Consulta!$B$3,C529=Consulta!$H$3),B529*10000+ROW(),"")</f>
        <v/>
      </c>
    </row>
    <row r="530" spans="1:13" x14ac:dyDescent="0.25">
      <c r="A530" s="21" t="str">
        <f>IF(Registro!$A530="","",Registro!$A530)</f>
        <v/>
      </c>
      <c r="B530" s="20" t="str">
        <f>IF(Registro!$B530="","",Registro!$B530)</f>
        <v/>
      </c>
      <c r="C530" s="35" t="str">
        <f t="shared" si="16"/>
        <v/>
      </c>
      <c r="D530" s="23" t="str">
        <f>IF(Registro!$E530="","",IF(ISERROR(FIND("x",LOWER(Registro!$E530))),"-",IFERROR(SUMPRODUCT(--("0"&amp;LEFT(TRIM(MID(SUBSTITUTE(SUBSTITUTE(SUBSTITUTE(SUBSTITUTE(SUBSTITUTE(LOWER(Registro!$E530),"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",LEN(Registro!$E530))),({1,2,3,4,5,6,7,8,9,10,11,12,13,14,15,16,17,18,19,20,21,22,23,24,25,26,27,28,29,30}-1)*LEN(Registro!$E530)+1,LEN(Registro!$E530))),FIND("x",TRIM(MID(SUBSTITUTE(SUBSTITUTE(SUBSTITUTE(SUBSTITUTE(SUBSTITUTE(LOWER(Registro!$E530),"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",LEN(Registro!$E530))),({1,2,3,4,5,6,7,8,9,10,11,12,13,14,15,16,17,18,19,20,21,22,23,24,25,26,27,28,29,30}-1)*LEN(Registro!$E530)+1,LEN(Registro!$E530)))&amp;"x")-1))),"Revisar formato")))</f>
        <v/>
      </c>
      <c r="E530" s="24" t="str">
        <f>IF(Registro!$E530="","",IF(ISERROR(FIND("x",LOWER(Registro!$E530))),"-",IFERROR(SUMPRODUCT(--("0"&amp;LEFT(TRIM(MID(SUBSTITUTE(SUBSTITUTE(SUBSTITUTE(SUBSTITUTE(SUBSTITUTE(LOWER(Registro!$E530),"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",LEN(Registro!$E530))),({1,2,3,4,5,6,7,8,9,10,11,12,13,14,15,16,17,18,19,20,21,22,23,24,25,26,27,28,29,30}-1)*LEN(Registro!$E530)+1,LEN(Registro!$E530))),FIND("x",TRIM(MID(SUBSTITUTE(SUBSTITUTE(SUBSTITUTE(SUBSTITUTE(SUBSTITUTE(LOWER(Registro!$E530),"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",LEN(Registro!$E530))),({1,2,3,4,5,6,7,8,9,10,11,12,13,14,15,16,17,18,19,20,21,22,23,24,25,26,27,28,29,30}-1)*LEN(Registro!$E530)+1,LEN(Registro!$E530)))&amp;"x")-1)),--("0"&amp;MID(TRIM(MID(SUBSTITUTE(SUBSTITUTE(SUBSTITUTE(SUBSTITUTE(SUBSTITUTE(LOWER(Registro!$E530),"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",LEN(Registro!$E530))),({1,2,3,4,5,6,7,8,9,10,11,12,13,14,15,16,17,18,19,20,21,22,23,24,25,26,27,28,29,30}-1)*LEN(Registro!$E530)+1,LEN(Registro!$E530))),FIND("x",TRIM(MID(SUBSTITUTE(SUBSTITUTE(SUBSTITUTE(SUBSTITUTE(SUBSTITUTE(LOWER(Registro!$E530),"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",LEN(Registro!$E530))),({1,2,3,4,5,6,7,8,9,10,11,12,13,14,15,16,17,18,19,20,21,22,23,24,25,26,27,28,29,30}-1)*LEN(Registro!$E530)+1,LEN(Registro!$E530)))&amp;"x")+1,20))),"Revisar formato")))</f>
        <v/>
      </c>
      <c r="F530" s="23" t="str">
        <f>IF(Registro!$F530="","",IF(ISERROR(FIND("x",LOWER(Registro!$F530))),"-",IFERROR(SUMPRODUCT(--("0"&amp;LEFT(TRIM(MID(SUBSTITUTE(SUBSTITUTE(SUBSTITUTE(SUBSTITUTE(SUBSTITUTE(LOWER(Registro!$F530)," ",""),CHAR(10),"|"),";","|"),"+","|"),"|",REPT(" ",LEN(Registro!$F530))),({1,2,3,4,5,6,7,8,9,10,11,12,13,14,15,16,17,18,19,20,21,22,23,24,25,26,27,28,29,30}-1)*LEN(Registro!$F530)+1,LEN(Registro!$F530))),FIND("x",TRIM(MID(SUBSTITUTE(SUBSTITUTE(SUBSTITUTE(SUBSTITUTE(SUBSTITUTE(LOWER(Registro!$F530)," ",""),CHAR(10),"|"),";","|"),"+","|"),"|",REPT(" ",LEN(Registro!$F530))),({1,2,3,4,5,6,7,8,9,10,11,12,13,14,15,16,17,18,19,20,21,22,23,24,25,26,27,28,29,30}-1)*LEN(Registro!$F530)+1,LEN(Registro!$F530)))&amp;"x")-1))),"Revisar formato")))</f>
        <v/>
      </c>
      <c r="G530" s="24" t="str">
        <f>IF(Registro!$F530="","",IF(ISERROR(FIND("x",LOWER(Registro!$F530))),N(Registro!$G530),IFERROR(SUMPRODUCT(--("0"&amp;LEFT(TRIM(MID(SUBSTITUTE(SUBSTITUTE(SUBSTITUTE(SUBSTITUTE(SUBSTITUTE(LOWER(Registro!$F530)," ",""),CHAR(10),"|"),";","|"),"+","|"),"|",REPT(" ",LEN(Registro!$F530))),({1,2,3,4,5,6,7,8,9,10,11,12,13,14,15,16,17,18,19,20,21,22,23,24,25,26,27,28,29,30}-1)*LEN(Registro!$F530)+1,LEN(Registro!$F530))),FIND("x",TRIM(MID(SUBSTITUTE(SUBSTITUTE(SUBSTITUTE(SUBSTITUTE(SUBSTITUTE(LOWER(Registro!$F530)," ",""),CHAR(10),"|"),";","|"),"+","|"),"|",REPT(" ",LEN(Registro!$F530))),({1,2,3,4,5,6,7,8,9,10,11,12,13,14,15,16,17,18,19,20,21,22,23,24,25,26,27,28,29,30}-1)*LEN(Registro!$F530)+1,LEN(Registro!$F530)))&amp;"x")-1)),--("0"&amp;MID(TRIM(MID(SUBSTITUTE(SUBSTITUTE(SUBSTITUTE(SUBSTITUTE(SUBSTITUTE(LOWER(Registro!$F530)," ",""),CHAR(10),"|"),";","|"),"+","|"),"|",REPT(" ",LEN(Registro!$F530))),({1,2,3,4,5,6,7,8,9,10,11,12,13,14,15,16,17,18,19,20,21,22,23,24,25,26,27,28,29,30}-1)*LEN(Registro!$F530)+1,LEN(Registro!$F530))),FIND("x",TRIM(MID(SUBSTITUTE(SUBSTITUTE(SUBSTITUTE(SUBSTITUTE(SUBSTITUTE(LOWER(Registro!$F530)," ",""),CHAR(10),"|"),";","|"),"+","|"),"|",REPT(" ",LEN(Registro!$F530))),({1,2,3,4,5,6,7,8,9,10,11,12,13,14,15,16,17,18,19,20,21,22,23,24,25,26,27,28,29,30}-1)*LEN(Registro!$F530)+1,LEN(Registro!$F530)))&amp;"x")+1,20))),"Revisar formato")))</f>
        <v/>
      </c>
      <c r="H530" s="21" t="str">
        <f>IF(AND(Registro!$E530="",Registro!$F530=""),"",IF(NOT(AND(ISNUMBER(G530),ISNUMBER(Registro!$G530))),"",IF(G530&lt;Registro!$G530,"FALTA BOLETOS",IF(G530=Registro!$G530,"CONFORME","DIFERENCIA"))))</f>
        <v/>
      </c>
      <c r="I530" s="24" t="str">
        <f>IF(Registro!$H530="","",IFERROR(SUMPRODUCT(--("0"&amp;TRIM(RIGHT(SUBSTITUTE(TRIM(MID(SUBSTITUTE(SUBSTITUTE(Registro!$H530,";",CHAR(10)),CHAR(10),REPT(" ",LEN(Registro!$H530))),({1,2,3,4,5,6,7,8,9,10,11,12,13,14,15,16,17,18,19,20,21,22,23,24,25,26,27,28,29,30}-1)*LEN(Registro!$H530)+1,LEN(Registro!$H530)))," ",REPT(" ",50)),50)))),"Revisar formato"))</f>
        <v/>
      </c>
      <c r="J530" s="24" t="str">
        <f>IF(Registro!$I530="","",IFERROR(SUMPRODUCT(--("0"&amp;TRIM(RIGHT(SUBSTITUTE(TRIM(MID(SUBSTITUTE(SUBSTITUTE(Registro!$I530,";",CHAR(10)),CHAR(10),REPT(" ",LEN(Registro!$I530))),({1,2,3,4,5,6,7,8,9,10,11,12,13,14,15,16,17,18,19,20,21,22,23,24,25,26,27,28,29,30}-1)*LEN(Registro!$I530)+1,LEN(Registro!$I530)))," ",REPT(" ",50)),50)))),"Revisar formato"))</f>
        <v/>
      </c>
      <c r="K530" s="24" t="str">
        <f>IF(AND(Registro!$G530="",Registro!$H530=""),"",IF(AND(ISTEXT(I530),I530&lt;&gt;""),"Revisar formato",N(Registro!$G530)-N(I530)))</f>
        <v/>
      </c>
      <c r="L530" s="24" t="str">
        <f t="shared" si="17"/>
        <v/>
      </c>
      <c r="M530" s="36" t="str">
        <f>IF(AND(A530=Consulta!$B$3,C530=Consulta!$H$3),B530*10000+ROW(),"")</f>
        <v/>
      </c>
    </row>
    <row r="531" spans="1:13" x14ac:dyDescent="0.25">
      <c r="A531" s="21" t="str">
        <f>IF(Registro!$A531="","",Registro!$A531)</f>
        <v/>
      </c>
      <c r="B531" s="20" t="str">
        <f>IF(Registro!$B531="","",Registro!$B531)</f>
        <v/>
      </c>
      <c r="C531" s="35" t="str">
        <f t="shared" si="16"/>
        <v/>
      </c>
      <c r="D531" s="23" t="str">
        <f>IF(Registro!$E531="","",IF(ISERROR(FIND("x",LOWER(Registro!$E531))),"-",IFERROR(SUMPRODUCT(--("0"&amp;LEFT(TRIM(MID(SUBSTITUTE(SUBSTITUTE(SUBSTITUTE(SUBSTITUTE(SUBSTITUTE(LOWER(Registro!$E531),"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",LEN(Registro!$E531))),({1,2,3,4,5,6,7,8,9,10,11,12,13,14,15,16,17,18,19,20,21,22,23,24,25,26,27,28,29,30}-1)*LEN(Registro!$E531)+1,LEN(Registro!$E531))),FIND("x",TRIM(MID(SUBSTITUTE(SUBSTITUTE(SUBSTITUTE(SUBSTITUTE(SUBSTITUTE(LOWER(Registro!$E531),"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",LEN(Registro!$E531))),({1,2,3,4,5,6,7,8,9,10,11,12,13,14,15,16,17,18,19,20,21,22,23,24,25,26,27,28,29,30}-1)*LEN(Registro!$E531)+1,LEN(Registro!$E531)))&amp;"x")-1))),"Revisar formato")))</f>
        <v/>
      </c>
      <c r="E531" s="24" t="str">
        <f>IF(Registro!$E531="","",IF(ISERROR(FIND("x",LOWER(Registro!$E531))),"-",IFERROR(SUMPRODUCT(--("0"&amp;LEFT(TRIM(MID(SUBSTITUTE(SUBSTITUTE(SUBSTITUTE(SUBSTITUTE(SUBSTITUTE(LOWER(Registro!$E531),"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",LEN(Registro!$E531))),({1,2,3,4,5,6,7,8,9,10,11,12,13,14,15,16,17,18,19,20,21,22,23,24,25,26,27,28,29,30}-1)*LEN(Registro!$E531)+1,LEN(Registro!$E531))),FIND("x",TRIM(MID(SUBSTITUTE(SUBSTITUTE(SUBSTITUTE(SUBSTITUTE(SUBSTITUTE(LOWER(Registro!$E531),"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",LEN(Registro!$E531))),({1,2,3,4,5,6,7,8,9,10,11,12,13,14,15,16,17,18,19,20,21,22,23,24,25,26,27,28,29,30}-1)*LEN(Registro!$E531)+1,LEN(Registro!$E531)))&amp;"x")-1)),--("0"&amp;MID(TRIM(MID(SUBSTITUTE(SUBSTITUTE(SUBSTITUTE(SUBSTITUTE(SUBSTITUTE(LOWER(Registro!$E531),"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",LEN(Registro!$E531))),({1,2,3,4,5,6,7,8,9,10,11,12,13,14,15,16,17,18,19,20,21,22,23,24,25,26,27,28,29,30}-1)*LEN(Registro!$E531)+1,LEN(Registro!$E531))),FIND("x",TRIM(MID(SUBSTITUTE(SUBSTITUTE(SUBSTITUTE(SUBSTITUTE(SUBSTITUTE(LOWER(Registro!$E531),"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",LEN(Registro!$E531))),({1,2,3,4,5,6,7,8,9,10,11,12,13,14,15,16,17,18,19,20,21,22,23,24,25,26,27,28,29,30}-1)*LEN(Registro!$E531)+1,LEN(Registro!$E531)))&amp;"x")+1,20))),"Revisar formato")))</f>
        <v/>
      </c>
      <c r="F531" s="23" t="str">
        <f>IF(Registro!$F531="","",IF(ISERROR(FIND("x",LOWER(Registro!$F531))),"-",IFERROR(SUMPRODUCT(--("0"&amp;LEFT(TRIM(MID(SUBSTITUTE(SUBSTITUTE(SUBSTITUTE(SUBSTITUTE(SUBSTITUTE(LOWER(Registro!$F531)," ",""),CHAR(10),"|"),";","|"),"+","|"),"|",REPT(" ",LEN(Registro!$F531))),({1,2,3,4,5,6,7,8,9,10,11,12,13,14,15,16,17,18,19,20,21,22,23,24,25,26,27,28,29,30}-1)*LEN(Registro!$F531)+1,LEN(Registro!$F531))),FIND("x",TRIM(MID(SUBSTITUTE(SUBSTITUTE(SUBSTITUTE(SUBSTITUTE(SUBSTITUTE(LOWER(Registro!$F531)," ",""),CHAR(10),"|"),";","|"),"+","|"),"|",REPT(" ",LEN(Registro!$F531))),({1,2,3,4,5,6,7,8,9,10,11,12,13,14,15,16,17,18,19,20,21,22,23,24,25,26,27,28,29,30}-1)*LEN(Registro!$F531)+1,LEN(Registro!$F531)))&amp;"x")-1))),"Revisar formato")))</f>
        <v/>
      </c>
      <c r="G531" s="24" t="str">
        <f>IF(Registro!$F531="","",IF(ISERROR(FIND("x",LOWER(Registro!$F531))),N(Registro!$G531),IFERROR(SUMPRODUCT(--("0"&amp;LEFT(TRIM(MID(SUBSTITUTE(SUBSTITUTE(SUBSTITUTE(SUBSTITUTE(SUBSTITUTE(LOWER(Registro!$F531)," ",""),CHAR(10),"|"),";","|"),"+","|"),"|",REPT(" ",LEN(Registro!$F531))),({1,2,3,4,5,6,7,8,9,10,11,12,13,14,15,16,17,18,19,20,21,22,23,24,25,26,27,28,29,30}-1)*LEN(Registro!$F531)+1,LEN(Registro!$F531))),FIND("x",TRIM(MID(SUBSTITUTE(SUBSTITUTE(SUBSTITUTE(SUBSTITUTE(SUBSTITUTE(LOWER(Registro!$F531)," ",""),CHAR(10),"|"),";","|"),"+","|"),"|",REPT(" ",LEN(Registro!$F531))),({1,2,3,4,5,6,7,8,9,10,11,12,13,14,15,16,17,18,19,20,21,22,23,24,25,26,27,28,29,30}-1)*LEN(Registro!$F531)+1,LEN(Registro!$F531)))&amp;"x")-1)),--("0"&amp;MID(TRIM(MID(SUBSTITUTE(SUBSTITUTE(SUBSTITUTE(SUBSTITUTE(SUBSTITUTE(LOWER(Registro!$F531)," ",""),CHAR(10),"|"),";","|"),"+","|"),"|",REPT(" ",LEN(Registro!$F531))),({1,2,3,4,5,6,7,8,9,10,11,12,13,14,15,16,17,18,19,20,21,22,23,24,25,26,27,28,29,30}-1)*LEN(Registro!$F531)+1,LEN(Registro!$F531))),FIND("x",TRIM(MID(SUBSTITUTE(SUBSTITUTE(SUBSTITUTE(SUBSTITUTE(SUBSTITUTE(LOWER(Registro!$F531)," ",""),CHAR(10),"|"),";","|"),"+","|"),"|",REPT(" ",LEN(Registro!$F531))),({1,2,3,4,5,6,7,8,9,10,11,12,13,14,15,16,17,18,19,20,21,22,23,24,25,26,27,28,29,30}-1)*LEN(Registro!$F531)+1,LEN(Registro!$F531)))&amp;"x")+1,20))),"Revisar formato")))</f>
        <v/>
      </c>
      <c r="H531" s="21" t="str">
        <f>IF(AND(Registro!$E531="",Registro!$F531=""),"",IF(NOT(AND(ISNUMBER(G531),ISNUMBER(Registro!$G531))),"",IF(G531&lt;Registro!$G531,"FALTA BOLETOS",IF(G531=Registro!$G531,"CONFORME","DIFERENCIA"))))</f>
        <v/>
      </c>
      <c r="I531" s="24" t="str">
        <f>IF(Registro!$H531="","",IFERROR(SUMPRODUCT(--("0"&amp;TRIM(RIGHT(SUBSTITUTE(TRIM(MID(SUBSTITUTE(SUBSTITUTE(Registro!$H531,";",CHAR(10)),CHAR(10),REPT(" ",LEN(Registro!$H531))),({1,2,3,4,5,6,7,8,9,10,11,12,13,14,15,16,17,18,19,20,21,22,23,24,25,26,27,28,29,30}-1)*LEN(Registro!$H531)+1,LEN(Registro!$H531)))," ",REPT(" ",50)),50)))),"Revisar formato"))</f>
        <v/>
      </c>
      <c r="J531" s="24" t="str">
        <f>IF(Registro!$I531="","",IFERROR(SUMPRODUCT(--("0"&amp;TRIM(RIGHT(SUBSTITUTE(TRIM(MID(SUBSTITUTE(SUBSTITUTE(Registro!$I531,";",CHAR(10)),CHAR(10),REPT(" ",LEN(Registro!$I531))),({1,2,3,4,5,6,7,8,9,10,11,12,13,14,15,16,17,18,19,20,21,22,23,24,25,26,27,28,29,30}-1)*LEN(Registro!$I531)+1,LEN(Registro!$I531)))," ",REPT(" ",50)),50)))),"Revisar formato"))</f>
        <v/>
      </c>
      <c r="K531" s="24" t="str">
        <f>IF(AND(Registro!$G531="",Registro!$H531=""),"",IF(AND(ISTEXT(I531),I531&lt;&gt;""),"Revisar formato",N(Registro!$G531)-N(I531)))</f>
        <v/>
      </c>
      <c r="L531" s="24" t="str">
        <f t="shared" si="17"/>
        <v/>
      </c>
      <c r="M531" s="36" t="str">
        <f>IF(AND(A531=Consulta!$B$3,C531=Consulta!$H$3),B531*10000+ROW(),"")</f>
        <v/>
      </c>
    </row>
    <row r="532" spans="1:13" x14ac:dyDescent="0.25">
      <c r="A532" s="21" t="str">
        <f>IF(Registro!$A532="","",Registro!$A532)</f>
        <v/>
      </c>
      <c r="B532" s="20" t="str">
        <f>IF(Registro!$B532="","",Registro!$B532)</f>
        <v/>
      </c>
      <c r="C532" s="35" t="str">
        <f t="shared" si="16"/>
        <v/>
      </c>
      <c r="D532" s="23" t="str">
        <f>IF(Registro!$E532="","",IF(ISERROR(FIND("x",LOWER(Registro!$E532))),"-",IFERROR(SUMPRODUCT(--("0"&amp;LEFT(TRIM(MID(SUBSTITUTE(SUBSTITUTE(SUBSTITUTE(SUBSTITUTE(SUBSTITUTE(LOWER(Registro!$E532),"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",LEN(Registro!$E532))),({1,2,3,4,5,6,7,8,9,10,11,12,13,14,15,16,17,18,19,20,21,22,23,24,25,26,27,28,29,30}-1)*LEN(Registro!$E532)+1,LEN(Registro!$E532))),FIND("x",TRIM(MID(SUBSTITUTE(SUBSTITUTE(SUBSTITUTE(SUBSTITUTE(SUBSTITUTE(LOWER(Registro!$E532),"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",LEN(Registro!$E532))),({1,2,3,4,5,6,7,8,9,10,11,12,13,14,15,16,17,18,19,20,21,22,23,24,25,26,27,28,29,30}-1)*LEN(Registro!$E532)+1,LEN(Registro!$E532)))&amp;"x")-1))),"Revisar formato")))</f>
        <v/>
      </c>
      <c r="E532" s="24" t="str">
        <f>IF(Registro!$E532="","",IF(ISERROR(FIND("x",LOWER(Registro!$E532))),"-",IFERROR(SUMPRODUCT(--("0"&amp;LEFT(TRIM(MID(SUBSTITUTE(SUBSTITUTE(SUBSTITUTE(SUBSTITUTE(SUBSTITUTE(LOWER(Registro!$E532),"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",LEN(Registro!$E532))),({1,2,3,4,5,6,7,8,9,10,11,12,13,14,15,16,17,18,19,20,21,22,23,24,25,26,27,28,29,30}-1)*LEN(Registro!$E532)+1,LEN(Registro!$E532))),FIND("x",TRIM(MID(SUBSTITUTE(SUBSTITUTE(SUBSTITUTE(SUBSTITUTE(SUBSTITUTE(LOWER(Registro!$E532),"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",LEN(Registro!$E532))),({1,2,3,4,5,6,7,8,9,10,11,12,13,14,15,16,17,18,19,20,21,22,23,24,25,26,27,28,29,30}-1)*LEN(Registro!$E532)+1,LEN(Registro!$E532)))&amp;"x")-1)),--("0"&amp;MID(TRIM(MID(SUBSTITUTE(SUBSTITUTE(SUBSTITUTE(SUBSTITUTE(SUBSTITUTE(LOWER(Registro!$E532),"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",LEN(Registro!$E532))),({1,2,3,4,5,6,7,8,9,10,11,12,13,14,15,16,17,18,19,20,21,22,23,24,25,26,27,28,29,30}-1)*LEN(Registro!$E532)+1,LEN(Registro!$E532))),FIND("x",TRIM(MID(SUBSTITUTE(SUBSTITUTE(SUBSTITUTE(SUBSTITUTE(SUBSTITUTE(LOWER(Registro!$E532),"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",LEN(Registro!$E532))),({1,2,3,4,5,6,7,8,9,10,11,12,13,14,15,16,17,18,19,20,21,22,23,24,25,26,27,28,29,30}-1)*LEN(Registro!$E532)+1,LEN(Registro!$E532)))&amp;"x")+1,20))),"Revisar formato")))</f>
        <v/>
      </c>
      <c r="F532" s="23" t="str">
        <f>IF(Registro!$F532="","",IF(ISERROR(FIND("x",LOWER(Registro!$F532))),"-",IFERROR(SUMPRODUCT(--("0"&amp;LEFT(TRIM(MID(SUBSTITUTE(SUBSTITUTE(SUBSTITUTE(SUBSTITUTE(SUBSTITUTE(LOWER(Registro!$F532)," ",""),CHAR(10),"|"),";","|"),"+","|"),"|",REPT(" ",LEN(Registro!$F532))),({1,2,3,4,5,6,7,8,9,10,11,12,13,14,15,16,17,18,19,20,21,22,23,24,25,26,27,28,29,30}-1)*LEN(Registro!$F532)+1,LEN(Registro!$F532))),FIND("x",TRIM(MID(SUBSTITUTE(SUBSTITUTE(SUBSTITUTE(SUBSTITUTE(SUBSTITUTE(LOWER(Registro!$F532)," ",""),CHAR(10),"|"),";","|"),"+","|"),"|",REPT(" ",LEN(Registro!$F532))),({1,2,3,4,5,6,7,8,9,10,11,12,13,14,15,16,17,18,19,20,21,22,23,24,25,26,27,28,29,30}-1)*LEN(Registro!$F532)+1,LEN(Registro!$F532)))&amp;"x")-1))),"Revisar formato")))</f>
        <v/>
      </c>
      <c r="G532" s="24" t="str">
        <f>IF(Registro!$F532="","",IF(ISERROR(FIND("x",LOWER(Registro!$F532))),N(Registro!$G532),IFERROR(SUMPRODUCT(--("0"&amp;LEFT(TRIM(MID(SUBSTITUTE(SUBSTITUTE(SUBSTITUTE(SUBSTITUTE(SUBSTITUTE(LOWER(Registro!$F532)," ",""),CHAR(10),"|"),";","|"),"+","|"),"|",REPT(" ",LEN(Registro!$F532))),({1,2,3,4,5,6,7,8,9,10,11,12,13,14,15,16,17,18,19,20,21,22,23,24,25,26,27,28,29,30}-1)*LEN(Registro!$F532)+1,LEN(Registro!$F532))),FIND("x",TRIM(MID(SUBSTITUTE(SUBSTITUTE(SUBSTITUTE(SUBSTITUTE(SUBSTITUTE(LOWER(Registro!$F532)," ",""),CHAR(10),"|"),";","|"),"+","|"),"|",REPT(" ",LEN(Registro!$F532))),({1,2,3,4,5,6,7,8,9,10,11,12,13,14,15,16,17,18,19,20,21,22,23,24,25,26,27,28,29,30}-1)*LEN(Registro!$F532)+1,LEN(Registro!$F532)))&amp;"x")-1)),--("0"&amp;MID(TRIM(MID(SUBSTITUTE(SUBSTITUTE(SUBSTITUTE(SUBSTITUTE(SUBSTITUTE(LOWER(Registro!$F532)," ",""),CHAR(10),"|"),";","|"),"+","|"),"|",REPT(" ",LEN(Registro!$F532))),({1,2,3,4,5,6,7,8,9,10,11,12,13,14,15,16,17,18,19,20,21,22,23,24,25,26,27,28,29,30}-1)*LEN(Registro!$F532)+1,LEN(Registro!$F532))),FIND("x",TRIM(MID(SUBSTITUTE(SUBSTITUTE(SUBSTITUTE(SUBSTITUTE(SUBSTITUTE(LOWER(Registro!$F532)," ",""),CHAR(10),"|"),";","|"),"+","|"),"|",REPT(" ",LEN(Registro!$F532))),({1,2,3,4,5,6,7,8,9,10,11,12,13,14,15,16,17,18,19,20,21,22,23,24,25,26,27,28,29,30}-1)*LEN(Registro!$F532)+1,LEN(Registro!$F532)))&amp;"x")+1,20))),"Revisar formato")))</f>
        <v/>
      </c>
      <c r="H532" s="21" t="str">
        <f>IF(AND(Registro!$E532="",Registro!$F532=""),"",IF(NOT(AND(ISNUMBER(G532),ISNUMBER(Registro!$G532))),"",IF(G532&lt;Registro!$G532,"FALTA BOLETOS",IF(G532=Registro!$G532,"CONFORME","DIFERENCIA"))))</f>
        <v/>
      </c>
      <c r="I532" s="24" t="str">
        <f>IF(Registro!$H532="","",IFERROR(SUMPRODUCT(--("0"&amp;TRIM(RIGHT(SUBSTITUTE(TRIM(MID(SUBSTITUTE(SUBSTITUTE(Registro!$H532,";",CHAR(10)),CHAR(10),REPT(" ",LEN(Registro!$H532))),({1,2,3,4,5,6,7,8,9,10,11,12,13,14,15,16,17,18,19,20,21,22,23,24,25,26,27,28,29,30}-1)*LEN(Registro!$H532)+1,LEN(Registro!$H532)))," ",REPT(" ",50)),50)))),"Revisar formato"))</f>
        <v/>
      </c>
      <c r="J532" s="24" t="str">
        <f>IF(Registro!$I532="","",IFERROR(SUMPRODUCT(--("0"&amp;TRIM(RIGHT(SUBSTITUTE(TRIM(MID(SUBSTITUTE(SUBSTITUTE(Registro!$I532,";",CHAR(10)),CHAR(10),REPT(" ",LEN(Registro!$I532))),({1,2,3,4,5,6,7,8,9,10,11,12,13,14,15,16,17,18,19,20,21,22,23,24,25,26,27,28,29,30}-1)*LEN(Registro!$I532)+1,LEN(Registro!$I532)))," ",REPT(" ",50)),50)))),"Revisar formato"))</f>
        <v/>
      </c>
      <c r="K532" s="24" t="str">
        <f>IF(AND(Registro!$G532="",Registro!$H532=""),"",IF(AND(ISTEXT(I532),I532&lt;&gt;""),"Revisar formato",N(Registro!$G532)-N(I532)))</f>
        <v/>
      </c>
      <c r="L532" s="24" t="str">
        <f t="shared" si="17"/>
        <v/>
      </c>
      <c r="M532" s="36" t="str">
        <f>IF(AND(A532=Consulta!$B$3,C532=Consulta!$H$3),B532*10000+ROW(),"")</f>
        <v/>
      </c>
    </row>
    <row r="533" spans="1:13" x14ac:dyDescent="0.25">
      <c r="A533" s="21" t="str">
        <f>IF(Registro!$A533="","",Registro!$A533)</f>
        <v/>
      </c>
      <c r="B533" s="20" t="str">
        <f>IF(Registro!$B533="","",Registro!$B533)</f>
        <v/>
      </c>
      <c r="C533" s="35" t="str">
        <f t="shared" si="16"/>
        <v/>
      </c>
      <c r="D533" s="23" t="str">
        <f>IF(Registro!$E533="","",IF(ISERROR(FIND("x",LOWER(Registro!$E533))),"-",IFERROR(SUMPRODUCT(--("0"&amp;LEFT(TRIM(MID(SUBSTITUTE(SUBSTITUTE(SUBSTITUTE(SUBSTITUTE(SUBSTITUTE(LOWER(Registro!$E533),"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",LEN(Registro!$E533))),({1,2,3,4,5,6,7,8,9,10,11,12,13,14,15,16,17,18,19,20,21,22,23,24,25,26,27,28,29,30}-1)*LEN(Registro!$E533)+1,LEN(Registro!$E533))),FIND("x",TRIM(MID(SUBSTITUTE(SUBSTITUTE(SUBSTITUTE(SUBSTITUTE(SUBSTITUTE(LOWER(Registro!$E533),"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",LEN(Registro!$E533))),({1,2,3,4,5,6,7,8,9,10,11,12,13,14,15,16,17,18,19,20,21,22,23,24,25,26,27,28,29,30}-1)*LEN(Registro!$E533)+1,LEN(Registro!$E533)))&amp;"x")-1))),"Revisar formato")))</f>
        <v/>
      </c>
      <c r="E533" s="24" t="str">
        <f>IF(Registro!$E533="","",IF(ISERROR(FIND("x",LOWER(Registro!$E533))),"-",IFERROR(SUMPRODUCT(--("0"&amp;LEFT(TRIM(MID(SUBSTITUTE(SUBSTITUTE(SUBSTITUTE(SUBSTITUTE(SUBSTITUTE(LOWER(Registro!$E533),"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",LEN(Registro!$E533))),({1,2,3,4,5,6,7,8,9,10,11,12,13,14,15,16,17,18,19,20,21,22,23,24,25,26,27,28,29,30}-1)*LEN(Registro!$E533)+1,LEN(Registro!$E533))),FIND("x",TRIM(MID(SUBSTITUTE(SUBSTITUTE(SUBSTITUTE(SUBSTITUTE(SUBSTITUTE(LOWER(Registro!$E533),"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",LEN(Registro!$E533))),({1,2,3,4,5,6,7,8,9,10,11,12,13,14,15,16,17,18,19,20,21,22,23,24,25,26,27,28,29,30}-1)*LEN(Registro!$E533)+1,LEN(Registro!$E533)))&amp;"x")-1)),--("0"&amp;MID(TRIM(MID(SUBSTITUTE(SUBSTITUTE(SUBSTITUTE(SUBSTITUTE(SUBSTITUTE(LOWER(Registro!$E533),"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",LEN(Registro!$E533))),({1,2,3,4,5,6,7,8,9,10,11,12,13,14,15,16,17,18,19,20,21,22,23,24,25,26,27,28,29,30}-1)*LEN(Registro!$E533)+1,LEN(Registro!$E533))),FIND("x",TRIM(MID(SUBSTITUTE(SUBSTITUTE(SUBSTITUTE(SUBSTITUTE(SUBSTITUTE(LOWER(Registro!$E533),"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",LEN(Registro!$E533))),({1,2,3,4,5,6,7,8,9,10,11,12,13,14,15,16,17,18,19,20,21,22,23,24,25,26,27,28,29,30}-1)*LEN(Registro!$E533)+1,LEN(Registro!$E533)))&amp;"x")+1,20))),"Revisar formato")))</f>
        <v/>
      </c>
      <c r="F533" s="23" t="str">
        <f>IF(Registro!$F533="","",IF(ISERROR(FIND("x",LOWER(Registro!$F533))),"-",IFERROR(SUMPRODUCT(--("0"&amp;LEFT(TRIM(MID(SUBSTITUTE(SUBSTITUTE(SUBSTITUTE(SUBSTITUTE(SUBSTITUTE(LOWER(Registro!$F533)," ",""),CHAR(10),"|"),";","|"),"+","|"),"|",REPT(" ",LEN(Registro!$F533))),({1,2,3,4,5,6,7,8,9,10,11,12,13,14,15,16,17,18,19,20,21,22,23,24,25,26,27,28,29,30}-1)*LEN(Registro!$F533)+1,LEN(Registro!$F533))),FIND("x",TRIM(MID(SUBSTITUTE(SUBSTITUTE(SUBSTITUTE(SUBSTITUTE(SUBSTITUTE(LOWER(Registro!$F533)," ",""),CHAR(10),"|"),";","|"),"+","|"),"|",REPT(" ",LEN(Registro!$F533))),({1,2,3,4,5,6,7,8,9,10,11,12,13,14,15,16,17,18,19,20,21,22,23,24,25,26,27,28,29,30}-1)*LEN(Registro!$F533)+1,LEN(Registro!$F533)))&amp;"x")-1))),"Revisar formato")))</f>
        <v/>
      </c>
      <c r="G533" s="24" t="str">
        <f>IF(Registro!$F533="","",IF(ISERROR(FIND("x",LOWER(Registro!$F533))),N(Registro!$G533),IFERROR(SUMPRODUCT(--("0"&amp;LEFT(TRIM(MID(SUBSTITUTE(SUBSTITUTE(SUBSTITUTE(SUBSTITUTE(SUBSTITUTE(LOWER(Registro!$F533)," ",""),CHAR(10),"|"),";","|"),"+","|"),"|",REPT(" ",LEN(Registro!$F533))),({1,2,3,4,5,6,7,8,9,10,11,12,13,14,15,16,17,18,19,20,21,22,23,24,25,26,27,28,29,30}-1)*LEN(Registro!$F533)+1,LEN(Registro!$F533))),FIND("x",TRIM(MID(SUBSTITUTE(SUBSTITUTE(SUBSTITUTE(SUBSTITUTE(SUBSTITUTE(LOWER(Registro!$F533)," ",""),CHAR(10),"|"),";","|"),"+","|"),"|",REPT(" ",LEN(Registro!$F533))),({1,2,3,4,5,6,7,8,9,10,11,12,13,14,15,16,17,18,19,20,21,22,23,24,25,26,27,28,29,30}-1)*LEN(Registro!$F533)+1,LEN(Registro!$F533)))&amp;"x")-1)),--("0"&amp;MID(TRIM(MID(SUBSTITUTE(SUBSTITUTE(SUBSTITUTE(SUBSTITUTE(SUBSTITUTE(LOWER(Registro!$F533)," ",""),CHAR(10),"|"),";","|"),"+","|"),"|",REPT(" ",LEN(Registro!$F533))),({1,2,3,4,5,6,7,8,9,10,11,12,13,14,15,16,17,18,19,20,21,22,23,24,25,26,27,28,29,30}-1)*LEN(Registro!$F533)+1,LEN(Registro!$F533))),FIND("x",TRIM(MID(SUBSTITUTE(SUBSTITUTE(SUBSTITUTE(SUBSTITUTE(SUBSTITUTE(LOWER(Registro!$F533)," ",""),CHAR(10),"|"),";","|"),"+","|"),"|",REPT(" ",LEN(Registro!$F533))),({1,2,3,4,5,6,7,8,9,10,11,12,13,14,15,16,17,18,19,20,21,22,23,24,25,26,27,28,29,30}-1)*LEN(Registro!$F533)+1,LEN(Registro!$F533)))&amp;"x")+1,20))),"Revisar formato")))</f>
        <v/>
      </c>
      <c r="H533" s="21" t="str">
        <f>IF(AND(Registro!$E533="",Registro!$F533=""),"",IF(NOT(AND(ISNUMBER(G533),ISNUMBER(Registro!$G533))),"",IF(G533&lt;Registro!$G533,"FALTA BOLETOS",IF(G533=Registro!$G533,"CONFORME","DIFERENCIA"))))</f>
        <v/>
      </c>
      <c r="I533" s="24" t="str">
        <f>IF(Registro!$H533="","",IFERROR(SUMPRODUCT(--("0"&amp;TRIM(RIGHT(SUBSTITUTE(TRIM(MID(SUBSTITUTE(SUBSTITUTE(Registro!$H533,";",CHAR(10)),CHAR(10),REPT(" ",LEN(Registro!$H533))),({1,2,3,4,5,6,7,8,9,10,11,12,13,14,15,16,17,18,19,20,21,22,23,24,25,26,27,28,29,30}-1)*LEN(Registro!$H533)+1,LEN(Registro!$H533)))," ",REPT(" ",50)),50)))),"Revisar formato"))</f>
        <v/>
      </c>
      <c r="J533" s="24" t="str">
        <f>IF(Registro!$I533="","",IFERROR(SUMPRODUCT(--("0"&amp;TRIM(RIGHT(SUBSTITUTE(TRIM(MID(SUBSTITUTE(SUBSTITUTE(Registro!$I533,";",CHAR(10)),CHAR(10),REPT(" ",LEN(Registro!$I533))),({1,2,3,4,5,6,7,8,9,10,11,12,13,14,15,16,17,18,19,20,21,22,23,24,25,26,27,28,29,30}-1)*LEN(Registro!$I533)+1,LEN(Registro!$I533)))," ",REPT(" ",50)),50)))),"Revisar formato"))</f>
        <v/>
      </c>
      <c r="K533" s="24" t="str">
        <f>IF(AND(Registro!$G533="",Registro!$H533=""),"",IF(AND(ISTEXT(I533),I533&lt;&gt;""),"Revisar formato",N(Registro!$G533)-N(I533)))</f>
        <v/>
      </c>
      <c r="L533" s="24" t="str">
        <f t="shared" si="17"/>
        <v/>
      </c>
      <c r="M533" s="36" t="str">
        <f>IF(AND(A533=Consulta!$B$3,C533=Consulta!$H$3),B533*10000+ROW(),"")</f>
        <v/>
      </c>
    </row>
    <row r="534" spans="1:13" x14ac:dyDescent="0.25">
      <c r="A534" s="21" t="str">
        <f>IF(Registro!$A534="","",Registro!$A534)</f>
        <v/>
      </c>
      <c r="B534" s="20" t="str">
        <f>IF(Registro!$B534="","",Registro!$B534)</f>
        <v/>
      </c>
      <c r="C534" s="35" t="str">
        <f t="shared" si="16"/>
        <v/>
      </c>
      <c r="D534" s="23" t="str">
        <f>IF(Registro!$E534="","",IF(ISERROR(FIND("x",LOWER(Registro!$E534))),"-",IFERROR(SUMPRODUCT(--("0"&amp;LEFT(TRIM(MID(SUBSTITUTE(SUBSTITUTE(SUBSTITUTE(SUBSTITUTE(SUBSTITUTE(LOWER(Registro!$E534),"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",LEN(Registro!$E534))),({1,2,3,4,5,6,7,8,9,10,11,12,13,14,15,16,17,18,19,20,21,22,23,24,25,26,27,28,29,30}-1)*LEN(Registro!$E534)+1,LEN(Registro!$E534))),FIND("x",TRIM(MID(SUBSTITUTE(SUBSTITUTE(SUBSTITUTE(SUBSTITUTE(SUBSTITUTE(LOWER(Registro!$E534),"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",LEN(Registro!$E534))),({1,2,3,4,5,6,7,8,9,10,11,12,13,14,15,16,17,18,19,20,21,22,23,24,25,26,27,28,29,30}-1)*LEN(Registro!$E534)+1,LEN(Registro!$E534)))&amp;"x")-1))),"Revisar formato")))</f>
        <v/>
      </c>
      <c r="E534" s="24" t="str">
        <f>IF(Registro!$E534="","",IF(ISERROR(FIND("x",LOWER(Registro!$E534))),"-",IFERROR(SUMPRODUCT(--("0"&amp;LEFT(TRIM(MID(SUBSTITUTE(SUBSTITUTE(SUBSTITUTE(SUBSTITUTE(SUBSTITUTE(LOWER(Registro!$E534),"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",LEN(Registro!$E534))),({1,2,3,4,5,6,7,8,9,10,11,12,13,14,15,16,17,18,19,20,21,22,23,24,25,26,27,28,29,30}-1)*LEN(Registro!$E534)+1,LEN(Registro!$E534))),FIND("x",TRIM(MID(SUBSTITUTE(SUBSTITUTE(SUBSTITUTE(SUBSTITUTE(SUBSTITUTE(LOWER(Registro!$E534),"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",LEN(Registro!$E534))),({1,2,3,4,5,6,7,8,9,10,11,12,13,14,15,16,17,18,19,20,21,22,23,24,25,26,27,28,29,30}-1)*LEN(Registro!$E534)+1,LEN(Registro!$E534)))&amp;"x")-1)),--("0"&amp;MID(TRIM(MID(SUBSTITUTE(SUBSTITUTE(SUBSTITUTE(SUBSTITUTE(SUBSTITUTE(LOWER(Registro!$E534),"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",LEN(Registro!$E534))),({1,2,3,4,5,6,7,8,9,10,11,12,13,14,15,16,17,18,19,20,21,22,23,24,25,26,27,28,29,30}-1)*LEN(Registro!$E534)+1,LEN(Registro!$E534))),FIND("x",TRIM(MID(SUBSTITUTE(SUBSTITUTE(SUBSTITUTE(SUBSTITUTE(SUBSTITUTE(LOWER(Registro!$E534),"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",LEN(Registro!$E534))),({1,2,3,4,5,6,7,8,9,10,11,12,13,14,15,16,17,18,19,20,21,22,23,24,25,26,27,28,29,30}-1)*LEN(Registro!$E534)+1,LEN(Registro!$E534)))&amp;"x")+1,20))),"Revisar formato")))</f>
        <v/>
      </c>
      <c r="F534" s="23" t="str">
        <f>IF(Registro!$F534="","",IF(ISERROR(FIND("x",LOWER(Registro!$F534))),"-",IFERROR(SUMPRODUCT(--("0"&amp;LEFT(TRIM(MID(SUBSTITUTE(SUBSTITUTE(SUBSTITUTE(SUBSTITUTE(SUBSTITUTE(LOWER(Registro!$F534)," ",""),CHAR(10),"|"),";","|"),"+","|"),"|",REPT(" ",LEN(Registro!$F534))),({1,2,3,4,5,6,7,8,9,10,11,12,13,14,15,16,17,18,19,20,21,22,23,24,25,26,27,28,29,30}-1)*LEN(Registro!$F534)+1,LEN(Registro!$F534))),FIND("x",TRIM(MID(SUBSTITUTE(SUBSTITUTE(SUBSTITUTE(SUBSTITUTE(SUBSTITUTE(LOWER(Registro!$F534)," ",""),CHAR(10),"|"),";","|"),"+","|"),"|",REPT(" ",LEN(Registro!$F534))),({1,2,3,4,5,6,7,8,9,10,11,12,13,14,15,16,17,18,19,20,21,22,23,24,25,26,27,28,29,30}-1)*LEN(Registro!$F534)+1,LEN(Registro!$F534)))&amp;"x")-1))),"Revisar formato")))</f>
        <v/>
      </c>
      <c r="G534" s="24" t="str">
        <f>IF(Registro!$F534="","",IF(ISERROR(FIND("x",LOWER(Registro!$F534))),N(Registro!$G534),IFERROR(SUMPRODUCT(--("0"&amp;LEFT(TRIM(MID(SUBSTITUTE(SUBSTITUTE(SUBSTITUTE(SUBSTITUTE(SUBSTITUTE(LOWER(Registro!$F534)," ",""),CHAR(10),"|"),";","|"),"+","|"),"|",REPT(" ",LEN(Registro!$F534))),({1,2,3,4,5,6,7,8,9,10,11,12,13,14,15,16,17,18,19,20,21,22,23,24,25,26,27,28,29,30}-1)*LEN(Registro!$F534)+1,LEN(Registro!$F534))),FIND("x",TRIM(MID(SUBSTITUTE(SUBSTITUTE(SUBSTITUTE(SUBSTITUTE(SUBSTITUTE(LOWER(Registro!$F534)," ",""),CHAR(10),"|"),";","|"),"+","|"),"|",REPT(" ",LEN(Registro!$F534))),({1,2,3,4,5,6,7,8,9,10,11,12,13,14,15,16,17,18,19,20,21,22,23,24,25,26,27,28,29,30}-1)*LEN(Registro!$F534)+1,LEN(Registro!$F534)))&amp;"x")-1)),--("0"&amp;MID(TRIM(MID(SUBSTITUTE(SUBSTITUTE(SUBSTITUTE(SUBSTITUTE(SUBSTITUTE(LOWER(Registro!$F534)," ",""),CHAR(10),"|"),";","|"),"+","|"),"|",REPT(" ",LEN(Registro!$F534))),({1,2,3,4,5,6,7,8,9,10,11,12,13,14,15,16,17,18,19,20,21,22,23,24,25,26,27,28,29,30}-1)*LEN(Registro!$F534)+1,LEN(Registro!$F534))),FIND("x",TRIM(MID(SUBSTITUTE(SUBSTITUTE(SUBSTITUTE(SUBSTITUTE(SUBSTITUTE(LOWER(Registro!$F534)," ",""),CHAR(10),"|"),";","|"),"+","|"),"|",REPT(" ",LEN(Registro!$F534))),({1,2,3,4,5,6,7,8,9,10,11,12,13,14,15,16,17,18,19,20,21,22,23,24,25,26,27,28,29,30}-1)*LEN(Registro!$F534)+1,LEN(Registro!$F534)))&amp;"x")+1,20))),"Revisar formato")))</f>
        <v/>
      </c>
      <c r="H534" s="21" t="str">
        <f>IF(AND(Registro!$E534="",Registro!$F534=""),"",IF(NOT(AND(ISNUMBER(G534),ISNUMBER(Registro!$G534))),"",IF(G534&lt;Registro!$G534,"FALTA BOLETOS",IF(G534=Registro!$G534,"CONFORME","DIFERENCIA"))))</f>
        <v/>
      </c>
      <c r="I534" s="24" t="str">
        <f>IF(Registro!$H534="","",IFERROR(SUMPRODUCT(--("0"&amp;TRIM(RIGHT(SUBSTITUTE(TRIM(MID(SUBSTITUTE(SUBSTITUTE(Registro!$H534,";",CHAR(10)),CHAR(10),REPT(" ",LEN(Registro!$H534))),({1,2,3,4,5,6,7,8,9,10,11,12,13,14,15,16,17,18,19,20,21,22,23,24,25,26,27,28,29,30}-1)*LEN(Registro!$H534)+1,LEN(Registro!$H534)))," ",REPT(" ",50)),50)))),"Revisar formato"))</f>
        <v/>
      </c>
      <c r="J534" s="24" t="str">
        <f>IF(Registro!$I534="","",IFERROR(SUMPRODUCT(--("0"&amp;TRIM(RIGHT(SUBSTITUTE(TRIM(MID(SUBSTITUTE(SUBSTITUTE(Registro!$I534,";",CHAR(10)),CHAR(10),REPT(" ",LEN(Registro!$I534))),({1,2,3,4,5,6,7,8,9,10,11,12,13,14,15,16,17,18,19,20,21,22,23,24,25,26,27,28,29,30}-1)*LEN(Registro!$I534)+1,LEN(Registro!$I534)))," ",REPT(" ",50)),50)))),"Revisar formato"))</f>
        <v/>
      </c>
      <c r="K534" s="24" t="str">
        <f>IF(AND(Registro!$G534="",Registro!$H534=""),"",IF(AND(ISTEXT(I534),I534&lt;&gt;""),"Revisar formato",N(Registro!$G534)-N(I534)))</f>
        <v/>
      </c>
      <c r="L534" s="24" t="str">
        <f t="shared" si="17"/>
        <v/>
      </c>
      <c r="M534" s="36" t="str">
        <f>IF(AND(A534=Consulta!$B$3,C534=Consulta!$H$3),B534*10000+ROW(),"")</f>
        <v/>
      </c>
    </row>
    <row r="535" spans="1:13" x14ac:dyDescent="0.25">
      <c r="A535" s="21" t="str">
        <f>IF(Registro!$A535="","",Registro!$A535)</f>
        <v/>
      </c>
      <c r="B535" s="20" t="str">
        <f>IF(Registro!$B535="","",Registro!$B535)</f>
        <v/>
      </c>
      <c r="C535" s="35" t="str">
        <f t="shared" si="16"/>
        <v/>
      </c>
      <c r="D535" s="23" t="str">
        <f>IF(Registro!$E535="","",IF(ISERROR(FIND("x",LOWER(Registro!$E535))),"-",IFERROR(SUMPRODUCT(--("0"&amp;LEFT(TRIM(MID(SUBSTITUTE(SUBSTITUTE(SUBSTITUTE(SUBSTITUTE(SUBSTITUTE(LOWER(Registro!$E535),"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",LEN(Registro!$E535))),({1,2,3,4,5,6,7,8,9,10,11,12,13,14,15,16,17,18,19,20,21,22,23,24,25,26,27,28,29,30}-1)*LEN(Registro!$E535)+1,LEN(Registro!$E535))),FIND("x",TRIM(MID(SUBSTITUTE(SUBSTITUTE(SUBSTITUTE(SUBSTITUTE(SUBSTITUTE(LOWER(Registro!$E535),"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",LEN(Registro!$E535))),({1,2,3,4,5,6,7,8,9,10,11,12,13,14,15,16,17,18,19,20,21,22,23,24,25,26,27,28,29,30}-1)*LEN(Registro!$E535)+1,LEN(Registro!$E535)))&amp;"x")-1))),"Revisar formato")))</f>
        <v/>
      </c>
      <c r="E535" s="24" t="str">
        <f>IF(Registro!$E535="","",IF(ISERROR(FIND("x",LOWER(Registro!$E535))),"-",IFERROR(SUMPRODUCT(--("0"&amp;LEFT(TRIM(MID(SUBSTITUTE(SUBSTITUTE(SUBSTITUTE(SUBSTITUTE(SUBSTITUTE(LOWER(Registro!$E535),"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",LEN(Registro!$E535))),({1,2,3,4,5,6,7,8,9,10,11,12,13,14,15,16,17,18,19,20,21,22,23,24,25,26,27,28,29,30}-1)*LEN(Registro!$E535)+1,LEN(Registro!$E535))),FIND("x",TRIM(MID(SUBSTITUTE(SUBSTITUTE(SUBSTITUTE(SUBSTITUTE(SUBSTITUTE(LOWER(Registro!$E535),"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",LEN(Registro!$E535))),({1,2,3,4,5,6,7,8,9,10,11,12,13,14,15,16,17,18,19,20,21,22,23,24,25,26,27,28,29,30}-1)*LEN(Registro!$E535)+1,LEN(Registro!$E535)))&amp;"x")-1)),--("0"&amp;MID(TRIM(MID(SUBSTITUTE(SUBSTITUTE(SUBSTITUTE(SUBSTITUTE(SUBSTITUTE(LOWER(Registro!$E535),"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",LEN(Registro!$E535))),({1,2,3,4,5,6,7,8,9,10,11,12,13,14,15,16,17,18,19,20,21,22,23,24,25,26,27,28,29,30}-1)*LEN(Registro!$E535)+1,LEN(Registro!$E535))),FIND("x",TRIM(MID(SUBSTITUTE(SUBSTITUTE(SUBSTITUTE(SUBSTITUTE(SUBSTITUTE(LOWER(Registro!$E535),"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",LEN(Registro!$E535))),({1,2,3,4,5,6,7,8,9,10,11,12,13,14,15,16,17,18,19,20,21,22,23,24,25,26,27,28,29,30}-1)*LEN(Registro!$E535)+1,LEN(Registro!$E535)))&amp;"x")+1,20))),"Revisar formato")))</f>
        <v/>
      </c>
      <c r="F535" s="23" t="str">
        <f>IF(Registro!$F535="","",IF(ISERROR(FIND("x",LOWER(Registro!$F535))),"-",IFERROR(SUMPRODUCT(--("0"&amp;LEFT(TRIM(MID(SUBSTITUTE(SUBSTITUTE(SUBSTITUTE(SUBSTITUTE(SUBSTITUTE(LOWER(Registro!$F535)," ",""),CHAR(10),"|"),";","|"),"+","|"),"|",REPT(" ",LEN(Registro!$F535))),({1,2,3,4,5,6,7,8,9,10,11,12,13,14,15,16,17,18,19,20,21,22,23,24,25,26,27,28,29,30}-1)*LEN(Registro!$F535)+1,LEN(Registro!$F535))),FIND("x",TRIM(MID(SUBSTITUTE(SUBSTITUTE(SUBSTITUTE(SUBSTITUTE(SUBSTITUTE(LOWER(Registro!$F535)," ",""),CHAR(10),"|"),";","|"),"+","|"),"|",REPT(" ",LEN(Registro!$F535))),({1,2,3,4,5,6,7,8,9,10,11,12,13,14,15,16,17,18,19,20,21,22,23,24,25,26,27,28,29,30}-1)*LEN(Registro!$F535)+1,LEN(Registro!$F535)))&amp;"x")-1))),"Revisar formato")))</f>
        <v/>
      </c>
      <c r="G535" s="24" t="str">
        <f>IF(Registro!$F535="","",IF(ISERROR(FIND("x",LOWER(Registro!$F535))),N(Registro!$G535),IFERROR(SUMPRODUCT(--("0"&amp;LEFT(TRIM(MID(SUBSTITUTE(SUBSTITUTE(SUBSTITUTE(SUBSTITUTE(SUBSTITUTE(LOWER(Registro!$F535)," ",""),CHAR(10),"|"),";","|"),"+","|"),"|",REPT(" ",LEN(Registro!$F535))),({1,2,3,4,5,6,7,8,9,10,11,12,13,14,15,16,17,18,19,20,21,22,23,24,25,26,27,28,29,30}-1)*LEN(Registro!$F535)+1,LEN(Registro!$F535))),FIND("x",TRIM(MID(SUBSTITUTE(SUBSTITUTE(SUBSTITUTE(SUBSTITUTE(SUBSTITUTE(LOWER(Registro!$F535)," ",""),CHAR(10),"|"),";","|"),"+","|"),"|",REPT(" ",LEN(Registro!$F535))),({1,2,3,4,5,6,7,8,9,10,11,12,13,14,15,16,17,18,19,20,21,22,23,24,25,26,27,28,29,30}-1)*LEN(Registro!$F535)+1,LEN(Registro!$F535)))&amp;"x")-1)),--("0"&amp;MID(TRIM(MID(SUBSTITUTE(SUBSTITUTE(SUBSTITUTE(SUBSTITUTE(SUBSTITUTE(LOWER(Registro!$F535)," ",""),CHAR(10),"|"),";","|"),"+","|"),"|",REPT(" ",LEN(Registro!$F535))),({1,2,3,4,5,6,7,8,9,10,11,12,13,14,15,16,17,18,19,20,21,22,23,24,25,26,27,28,29,30}-1)*LEN(Registro!$F535)+1,LEN(Registro!$F535))),FIND("x",TRIM(MID(SUBSTITUTE(SUBSTITUTE(SUBSTITUTE(SUBSTITUTE(SUBSTITUTE(LOWER(Registro!$F535)," ",""),CHAR(10),"|"),";","|"),"+","|"),"|",REPT(" ",LEN(Registro!$F535))),({1,2,3,4,5,6,7,8,9,10,11,12,13,14,15,16,17,18,19,20,21,22,23,24,25,26,27,28,29,30}-1)*LEN(Registro!$F535)+1,LEN(Registro!$F535)))&amp;"x")+1,20))),"Revisar formato")))</f>
        <v/>
      </c>
      <c r="H535" s="21" t="str">
        <f>IF(AND(Registro!$E535="",Registro!$F535=""),"",IF(NOT(AND(ISNUMBER(G535),ISNUMBER(Registro!$G535))),"",IF(G535&lt;Registro!$G535,"FALTA BOLETOS",IF(G535=Registro!$G535,"CONFORME","DIFERENCIA"))))</f>
        <v/>
      </c>
      <c r="I535" s="24" t="str">
        <f>IF(Registro!$H535="","",IFERROR(SUMPRODUCT(--("0"&amp;TRIM(RIGHT(SUBSTITUTE(TRIM(MID(SUBSTITUTE(SUBSTITUTE(Registro!$H535,";",CHAR(10)),CHAR(10),REPT(" ",LEN(Registro!$H535))),({1,2,3,4,5,6,7,8,9,10,11,12,13,14,15,16,17,18,19,20,21,22,23,24,25,26,27,28,29,30}-1)*LEN(Registro!$H535)+1,LEN(Registro!$H535)))," ",REPT(" ",50)),50)))),"Revisar formato"))</f>
        <v/>
      </c>
      <c r="J535" s="24" t="str">
        <f>IF(Registro!$I535="","",IFERROR(SUMPRODUCT(--("0"&amp;TRIM(RIGHT(SUBSTITUTE(TRIM(MID(SUBSTITUTE(SUBSTITUTE(Registro!$I535,";",CHAR(10)),CHAR(10),REPT(" ",LEN(Registro!$I535))),({1,2,3,4,5,6,7,8,9,10,11,12,13,14,15,16,17,18,19,20,21,22,23,24,25,26,27,28,29,30}-1)*LEN(Registro!$I535)+1,LEN(Registro!$I535)))," ",REPT(" ",50)),50)))),"Revisar formato"))</f>
        <v/>
      </c>
      <c r="K535" s="24" t="str">
        <f>IF(AND(Registro!$G535="",Registro!$H535=""),"",IF(AND(ISTEXT(I535),I535&lt;&gt;""),"Revisar formato",N(Registro!$G535)-N(I535)))</f>
        <v/>
      </c>
      <c r="L535" s="24" t="str">
        <f t="shared" si="17"/>
        <v/>
      </c>
      <c r="M535" s="36" t="str">
        <f>IF(AND(A535=Consulta!$B$3,C535=Consulta!$H$3),B535*10000+ROW(),"")</f>
        <v/>
      </c>
    </row>
    <row r="536" spans="1:13" x14ac:dyDescent="0.25">
      <c r="A536" s="21" t="str">
        <f>IF(Registro!$A536="","",Registro!$A536)</f>
        <v/>
      </c>
      <c r="B536" s="20" t="str">
        <f>IF(Registro!$B536="","",Registro!$B536)</f>
        <v/>
      </c>
      <c r="C536" s="35" t="str">
        <f t="shared" si="16"/>
        <v/>
      </c>
      <c r="D536" s="23" t="str">
        <f>IF(Registro!$E536="","",IF(ISERROR(FIND("x",LOWER(Registro!$E536))),"-",IFERROR(SUMPRODUCT(--("0"&amp;LEFT(TRIM(MID(SUBSTITUTE(SUBSTITUTE(SUBSTITUTE(SUBSTITUTE(SUBSTITUTE(LOWER(Registro!$E536),"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",LEN(Registro!$E536))),({1,2,3,4,5,6,7,8,9,10,11,12,13,14,15,16,17,18,19,20,21,22,23,24,25,26,27,28,29,30}-1)*LEN(Registro!$E536)+1,LEN(Registro!$E536))),FIND("x",TRIM(MID(SUBSTITUTE(SUBSTITUTE(SUBSTITUTE(SUBSTITUTE(SUBSTITUTE(LOWER(Registro!$E536),"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",LEN(Registro!$E536))),({1,2,3,4,5,6,7,8,9,10,11,12,13,14,15,16,17,18,19,20,21,22,23,24,25,26,27,28,29,30}-1)*LEN(Registro!$E536)+1,LEN(Registro!$E536)))&amp;"x")-1))),"Revisar formato")))</f>
        <v/>
      </c>
      <c r="E536" s="24" t="str">
        <f>IF(Registro!$E536="","",IF(ISERROR(FIND("x",LOWER(Registro!$E536))),"-",IFERROR(SUMPRODUCT(--("0"&amp;LEFT(TRIM(MID(SUBSTITUTE(SUBSTITUTE(SUBSTITUTE(SUBSTITUTE(SUBSTITUTE(LOWER(Registro!$E536),"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",LEN(Registro!$E536))),({1,2,3,4,5,6,7,8,9,10,11,12,13,14,15,16,17,18,19,20,21,22,23,24,25,26,27,28,29,30}-1)*LEN(Registro!$E536)+1,LEN(Registro!$E536))),FIND("x",TRIM(MID(SUBSTITUTE(SUBSTITUTE(SUBSTITUTE(SUBSTITUTE(SUBSTITUTE(LOWER(Registro!$E536),"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",LEN(Registro!$E536))),({1,2,3,4,5,6,7,8,9,10,11,12,13,14,15,16,17,18,19,20,21,22,23,24,25,26,27,28,29,30}-1)*LEN(Registro!$E536)+1,LEN(Registro!$E536)))&amp;"x")-1)),--("0"&amp;MID(TRIM(MID(SUBSTITUTE(SUBSTITUTE(SUBSTITUTE(SUBSTITUTE(SUBSTITUTE(LOWER(Registro!$E536),"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",LEN(Registro!$E536))),({1,2,3,4,5,6,7,8,9,10,11,12,13,14,15,16,17,18,19,20,21,22,23,24,25,26,27,28,29,30}-1)*LEN(Registro!$E536)+1,LEN(Registro!$E536))),FIND("x",TRIM(MID(SUBSTITUTE(SUBSTITUTE(SUBSTITUTE(SUBSTITUTE(SUBSTITUTE(LOWER(Registro!$E536),"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",LEN(Registro!$E536))),({1,2,3,4,5,6,7,8,9,10,11,12,13,14,15,16,17,18,19,20,21,22,23,24,25,26,27,28,29,30}-1)*LEN(Registro!$E536)+1,LEN(Registro!$E536)))&amp;"x")+1,20))),"Revisar formato")))</f>
        <v/>
      </c>
      <c r="F536" s="23" t="str">
        <f>IF(Registro!$F536="","",IF(ISERROR(FIND("x",LOWER(Registro!$F536))),"-",IFERROR(SUMPRODUCT(--("0"&amp;LEFT(TRIM(MID(SUBSTITUTE(SUBSTITUTE(SUBSTITUTE(SUBSTITUTE(SUBSTITUTE(LOWER(Registro!$F536)," ",""),CHAR(10),"|"),";","|"),"+","|"),"|",REPT(" ",LEN(Registro!$F536))),({1,2,3,4,5,6,7,8,9,10,11,12,13,14,15,16,17,18,19,20,21,22,23,24,25,26,27,28,29,30}-1)*LEN(Registro!$F536)+1,LEN(Registro!$F536))),FIND("x",TRIM(MID(SUBSTITUTE(SUBSTITUTE(SUBSTITUTE(SUBSTITUTE(SUBSTITUTE(LOWER(Registro!$F536)," ",""),CHAR(10),"|"),";","|"),"+","|"),"|",REPT(" ",LEN(Registro!$F536))),({1,2,3,4,5,6,7,8,9,10,11,12,13,14,15,16,17,18,19,20,21,22,23,24,25,26,27,28,29,30}-1)*LEN(Registro!$F536)+1,LEN(Registro!$F536)))&amp;"x")-1))),"Revisar formato")))</f>
        <v/>
      </c>
      <c r="G536" s="24" t="str">
        <f>IF(Registro!$F536="","",IF(ISERROR(FIND("x",LOWER(Registro!$F536))),N(Registro!$G536),IFERROR(SUMPRODUCT(--("0"&amp;LEFT(TRIM(MID(SUBSTITUTE(SUBSTITUTE(SUBSTITUTE(SUBSTITUTE(SUBSTITUTE(LOWER(Registro!$F536)," ",""),CHAR(10),"|"),";","|"),"+","|"),"|",REPT(" ",LEN(Registro!$F536))),({1,2,3,4,5,6,7,8,9,10,11,12,13,14,15,16,17,18,19,20,21,22,23,24,25,26,27,28,29,30}-1)*LEN(Registro!$F536)+1,LEN(Registro!$F536))),FIND("x",TRIM(MID(SUBSTITUTE(SUBSTITUTE(SUBSTITUTE(SUBSTITUTE(SUBSTITUTE(LOWER(Registro!$F536)," ",""),CHAR(10),"|"),";","|"),"+","|"),"|",REPT(" ",LEN(Registro!$F536))),({1,2,3,4,5,6,7,8,9,10,11,12,13,14,15,16,17,18,19,20,21,22,23,24,25,26,27,28,29,30}-1)*LEN(Registro!$F536)+1,LEN(Registro!$F536)))&amp;"x")-1)),--("0"&amp;MID(TRIM(MID(SUBSTITUTE(SUBSTITUTE(SUBSTITUTE(SUBSTITUTE(SUBSTITUTE(LOWER(Registro!$F536)," ",""),CHAR(10),"|"),";","|"),"+","|"),"|",REPT(" ",LEN(Registro!$F536))),({1,2,3,4,5,6,7,8,9,10,11,12,13,14,15,16,17,18,19,20,21,22,23,24,25,26,27,28,29,30}-1)*LEN(Registro!$F536)+1,LEN(Registro!$F536))),FIND("x",TRIM(MID(SUBSTITUTE(SUBSTITUTE(SUBSTITUTE(SUBSTITUTE(SUBSTITUTE(LOWER(Registro!$F536)," ",""),CHAR(10),"|"),";","|"),"+","|"),"|",REPT(" ",LEN(Registro!$F536))),({1,2,3,4,5,6,7,8,9,10,11,12,13,14,15,16,17,18,19,20,21,22,23,24,25,26,27,28,29,30}-1)*LEN(Registro!$F536)+1,LEN(Registro!$F536)))&amp;"x")+1,20))),"Revisar formato")))</f>
        <v/>
      </c>
      <c r="H536" s="21" t="str">
        <f>IF(AND(Registro!$E536="",Registro!$F536=""),"",IF(NOT(AND(ISNUMBER(G536),ISNUMBER(Registro!$G536))),"",IF(G536&lt;Registro!$G536,"FALTA BOLETOS",IF(G536=Registro!$G536,"CONFORME","DIFERENCIA"))))</f>
        <v/>
      </c>
      <c r="I536" s="24" t="str">
        <f>IF(Registro!$H536="","",IFERROR(SUMPRODUCT(--("0"&amp;TRIM(RIGHT(SUBSTITUTE(TRIM(MID(SUBSTITUTE(SUBSTITUTE(Registro!$H536,";",CHAR(10)),CHAR(10),REPT(" ",LEN(Registro!$H536))),({1,2,3,4,5,6,7,8,9,10,11,12,13,14,15,16,17,18,19,20,21,22,23,24,25,26,27,28,29,30}-1)*LEN(Registro!$H536)+1,LEN(Registro!$H536)))," ",REPT(" ",50)),50)))),"Revisar formato"))</f>
        <v/>
      </c>
      <c r="J536" s="24" t="str">
        <f>IF(Registro!$I536="","",IFERROR(SUMPRODUCT(--("0"&amp;TRIM(RIGHT(SUBSTITUTE(TRIM(MID(SUBSTITUTE(SUBSTITUTE(Registro!$I536,";",CHAR(10)),CHAR(10),REPT(" ",LEN(Registro!$I536))),({1,2,3,4,5,6,7,8,9,10,11,12,13,14,15,16,17,18,19,20,21,22,23,24,25,26,27,28,29,30}-1)*LEN(Registro!$I536)+1,LEN(Registro!$I536)))," ",REPT(" ",50)),50)))),"Revisar formato"))</f>
        <v/>
      </c>
      <c r="K536" s="24" t="str">
        <f>IF(AND(Registro!$G536="",Registro!$H536=""),"",IF(AND(ISTEXT(I536),I536&lt;&gt;""),"Revisar formato",N(Registro!$G536)-N(I536)))</f>
        <v/>
      </c>
      <c r="L536" s="24" t="str">
        <f t="shared" si="17"/>
        <v/>
      </c>
      <c r="M536" s="36" t="str">
        <f>IF(AND(A536=Consulta!$B$3,C536=Consulta!$H$3),B536*10000+ROW(),"")</f>
        <v/>
      </c>
    </row>
    <row r="537" spans="1:13" x14ac:dyDescent="0.25">
      <c r="A537" s="21" t="str">
        <f>IF(Registro!$A537="","",Registro!$A537)</f>
        <v/>
      </c>
      <c r="B537" s="20" t="str">
        <f>IF(Registro!$B537="","",Registro!$B537)</f>
        <v/>
      </c>
      <c r="C537" s="35" t="str">
        <f t="shared" si="16"/>
        <v/>
      </c>
      <c r="D537" s="23" t="str">
        <f>IF(Registro!$E537="","",IF(ISERROR(FIND("x",LOWER(Registro!$E537))),"-",IFERROR(SUMPRODUCT(--("0"&amp;LEFT(TRIM(MID(SUBSTITUTE(SUBSTITUTE(SUBSTITUTE(SUBSTITUTE(SUBSTITUTE(LOWER(Registro!$E537),"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",LEN(Registro!$E537))),({1,2,3,4,5,6,7,8,9,10,11,12,13,14,15,16,17,18,19,20,21,22,23,24,25,26,27,28,29,30}-1)*LEN(Registro!$E537)+1,LEN(Registro!$E537))),FIND("x",TRIM(MID(SUBSTITUTE(SUBSTITUTE(SUBSTITUTE(SUBSTITUTE(SUBSTITUTE(LOWER(Registro!$E537),"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",LEN(Registro!$E537))),({1,2,3,4,5,6,7,8,9,10,11,12,13,14,15,16,17,18,19,20,21,22,23,24,25,26,27,28,29,30}-1)*LEN(Registro!$E537)+1,LEN(Registro!$E537)))&amp;"x")-1))),"Revisar formato")))</f>
        <v/>
      </c>
      <c r="E537" s="24" t="str">
        <f>IF(Registro!$E537="","",IF(ISERROR(FIND("x",LOWER(Registro!$E537))),"-",IFERROR(SUMPRODUCT(--("0"&amp;LEFT(TRIM(MID(SUBSTITUTE(SUBSTITUTE(SUBSTITUTE(SUBSTITUTE(SUBSTITUTE(LOWER(Registro!$E537),"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",LEN(Registro!$E537))),({1,2,3,4,5,6,7,8,9,10,11,12,13,14,15,16,17,18,19,20,21,22,23,24,25,26,27,28,29,30}-1)*LEN(Registro!$E537)+1,LEN(Registro!$E537))),FIND("x",TRIM(MID(SUBSTITUTE(SUBSTITUTE(SUBSTITUTE(SUBSTITUTE(SUBSTITUTE(LOWER(Registro!$E537),"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",LEN(Registro!$E537))),({1,2,3,4,5,6,7,8,9,10,11,12,13,14,15,16,17,18,19,20,21,22,23,24,25,26,27,28,29,30}-1)*LEN(Registro!$E537)+1,LEN(Registro!$E537)))&amp;"x")-1)),--("0"&amp;MID(TRIM(MID(SUBSTITUTE(SUBSTITUTE(SUBSTITUTE(SUBSTITUTE(SUBSTITUTE(LOWER(Registro!$E537),"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",LEN(Registro!$E537))),({1,2,3,4,5,6,7,8,9,10,11,12,13,14,15,16,17,18,19,20,21,22,23,24,25,26,27,28,29,30}-1)*LEN(Registro!$E537)+1,LEN(Registro!$E537))),FIND("x",TRIM(MID(SUBSTITUTE(SUBSTITUTE(SUBSTITUTE(SUBSTITUTE(SUBSTITUTE(LOWER(Registro!$E537),"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",LEN(Registro!$E537))),({1,2,3,4,5,6,7,8,9,10,11,12,13,14,15,16,17,18,19,20,21,22,23,24,25,26,27,28,29,30}-1)*LEN(Registro!$E537)+1,LEN(Registro!$E537)))&amp;"x")+1,20))),"Revisar formato")))</f>
        <v/>
      </c>
      <c r="F537" s="23" t="str">
        <f>IF(Registro!$F537="","",IF(ISERROR(FIND("x",LOWER(Registro!$F537))),"-",IFERROR(SUMPRODUCT(--("0"&amp;LEFT(TRIM(MID(SUBSTITUTE(SUBSTITUTE(SUBSTITUTE(SUBSTITUTE(SUBSTITUTE(LOWER(Registro!$F537)," ",""),CHAR(10),"|"),";","|"),"+","|"),"|",REPT(" ",LEN(Registro!$F537))),({1,2,3,4,5,6,7,8,9,10,11,12,13,14,15,16,17,18,19,20,21,22,23,24,25,26,27,28,29,30}-1)*LEN(Registro!$F537)+1,LEN(Registro!$F537))),FIND("x",TRIM(MID(SUBSTITUTE(SUBSTITUTE(SUBSTITUTE(SUBSTITUTE(SUBSTITUTE(LOWER(Registro!$F537)," ",""),CHAR(10),"|"),";","|"),"+","|"),"|",REPT(" ",LEN(Registro!$F537))),({1,2,3,4,5,6,7,8,9,10,11,12,13,14,15,16,17,18,19,20,21,22,23,24,25,26,27,28,29,30}-1)*LEN(Registro!$F537)+1,LEN(Registro!$F537)))&amp;"x")-1))),"Revisar formato")))</f>
        <v/>
      </c>
      <c r="G537" s="24" t="str">
        <f>IF(Registro!$F537="","",IF(ISERROR(FIND("x",LOWER(Registro!$F537))),N(Registro!$G537),IFERROR(SUMPRODUCT(--("0"&amp;LEFT(TRIM(MID(SUBSTITUTE(SUBSTITUTE(SUBSTITUTE(SUBSTITUTE(SUBSTITUTE(LOWER(Registro!$F537)," ",""),CHAR(10),"|"),";","|"),"+","|"),"|",REPT(" ",LEN(Registro!$F537))),({1,2,3,4,5,6,7,8,9,10,11,12,13,14,15,16,17,18,19,20,21,22,23,24,25,26,27,28,29,30}-1)*LEN(Registro!$F537)+1,LEN(Registro!$F537))),FIND("x",TRIM(MID(SUBSTITUTE(SUBSTITUTE(SUBSTITUTE(SUBSTITUTE(SUBSTITUTE(LOWER(Registro!$F537)," ",""),CHAR(10),"|"),";","|"),"+","|"),"|",REPT(" ",LEN(Registro!$F537))),({1,2,3,4,5,6,7,8,9,10,11,12,13,14,15,16,17,18,19,20,21,22,23,24,25,26,27,28,29,30}-1)*LEN(Registro!$F537)+1,LEN(Registro!$F537)))&amp;"x")-1)),--("0"&amp;MID(TRIM(MID(SUBSTITUTE(SUBSTITUTE(SUBSTITUTE(SUBSTITUTE(SUBSTITUTE(LOWER(Registro!$F537)," ",""),CHAR(10),"|"),";","|"),"+","|"),"|",REPT(" ",LEN(Registro!$F537))),({1,2,3,4,5,6,7,8,9,10,11,12,13,14,15,16,17,18,19,20,21,22,23,24,25,26,27,28,29,30}-1)*LEN(Registro!$F537)+1,LEN(Registro!$F537))),FIND("x",TRIM(MID(SUBSTITUTE(SUBSTITUTE(SUBSTITUTE(SUBSTITUTE(SUBSTITUTE(LOWER(Registro!$F537)," ",""),CHAR(10),"|"),";","|"),"+","|"),"|",REPT(" ",LEN(Registro!$F537))),({1,2,3,4,5,6,7,8,9,10,11,12,13,14,15,16,17,18,19,20,21,22,23,24,25,26,27,28,29,30}-1)*LEN(Registro!$F537)+1,LEN(Registro!$F537)))&amp;"x")+1,20))),"Revisar formato")))</f>
        <v/>
      </c>
      <c r="H537" s="21" t="str">
        <f>IF(AND(Registro!$E537="",Registro!$F537=""),"",IF(NOT(AND(ISNUMBER(G537),ISNUMBER(Registro!$G537))),"",IF(G537&lt;Registro!$G537,"FALTA BOLETOS",IF(G537=Registro!$G537,"CONFORME","DIFERENCIA"))))</f>
        <v/>
      </c>
      <c r="I537" s="24" t="str">
        <f>IF(Registro!$H537="","",IFERROR(SUMPRODUCT(--("0"&amp;TRIM(RIGHT(SUBSTITUTE(TRIM(MID(SUBSTITUTE(SUBSTITUTE(Registro!$H537,";",CHAR(10)),CHAR(10),REPT(" ",LEN(Registro!$H537))),({1,2,3,4,5,6,7,8,9,10,11,12,13,14,15,16,17,18,19,20,21,22,23,24,25,26,27,28,29,30}-1)*LEN(Registro!$H537)+1,LEN(Registro!$H537)))," ",REPT(" ",50)),50)))),"Revisar formato"))</f>
        <v/>
      </c>
      <c r="J537" s="24" t="str">
        <f>IF(Registro!$I537="","",IFERROR(SUMPRODUCT(--("0"&amp;TRIM(RIGHT(SUBSTITUTE(TRIM(MID(SUBSTITUTE(SUBSTITUTE(Registro!$I537,";",CHAR(10)),CHAR(10),REPT(" ",LEN(Registro!$I537))),({1,2,3,4,5,6,7,8,9,10,11,12,13,14,15,16,17,18,19,20,21,22,23,24,25,26,27,28,29,30}-1)*LEN(Registro!$I537)+1,LEN(Registro!$I537)))," ",REPT(" ",50)),50)))),"Revisar formato"))</f>
        <v/>
      </c>
      <c r="K537" s="24" t="str">
        <f>IF(AND(Registro!$G537="",Registro!$H537=""),"",IF(AND(ISTEXT(I537),I537&lt;&gt;""),"Revisar formato",N(Registro!$G537)-N(I537)))</f>
        <v/>
      </c>
      <c r="L537" s="24" t="str">
        <f t="shared" si="17"/>
        <v/>
      </c>
      <c r="M537" s="36" t="str">
        <f>IF(AND(A537=Consulta!$B$3,C537=Consulta!$H$3),B537*10000+ROW(),"")</f>
        <v/>
      </c>
    </row>
    <row r="538" spans="1:13" x14ac:dyDescent="0.25">
      <c r="A538" s="21" t="str">
        <f>IF(Registro!$A538="","",Registro!$A538)</f>
        <v/>
      </c>
      <c r="B538" s="20" t="str">
        <f>IF(Registro!$B538="","",Registro!$B538)</f>
        <v/>
      </c>
      <c r="C538" s="35" t="str">
        <f t="shared" si="16"/>
        <v/>
      </c>
      <c r="D538" s="23" t="str">
        <f>IF(Registro!$E538="","",IF(ISERROR(FIND("x",LOWER(Registro!$E538))),"-",IFERROR(SUMPRODUCT(--("0"&amp;LEFT(TRIM(MID(SUBSTITUTE(SUBSTITUTE(SUBSTITUTE(SUBSTITUTE(SUBSTITUTE(LOWER(Registro!$E538),"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",LEN(Registro!$E538))),({1,2,3,4,5,6,7,8,9,10,11,12,13,14,15,16,17,18,19,20,21,22,23,24,25,26,27,28,29,30}-1)*LEN(Registro!$E538)+1,LEN(Registro!$E538))),FIND("x",TRIM(MID(SUBSTITUTE(SUBSTITUTE(SUBSTITUTE(SUBSTITUTE(SUBSTITUTE(LOWER(Registro!$E538),"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",LEN(Registro!$E538))),({1,2,3,4,5,6,7,8,9,10,11,12,13,14,15,16,17,18,19,20,21,22,23,24,25,26,27,28,29,30}-1)*LEN(Registro!$E538)+1,LEN(Registro!$E538)))&amp;"x")-1))),"Revisar formato")))</f>
        <v/>
      </c>
      <c r="E538" s="24" t="str">
        <f>IF(Registro!$E538="","",IF(ISERROR(FIND("x",LOWER(Registro!$E538))),"-",IFERROR(SUMPRODUCT(--("0"&amp;LEFT(TRIM(MID(SUBSTITUTE(SUBSTITUTE(SUBSTITUTE(SUBSTITUTE(SUBSTITUTE(LOWER(Registro!$E538),"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",LEN(Registro!$E538))),({1,2,3,4,5,6,7,8,9,10,11,12,13,14,15,16,17,18,19,20,21,22,23,24,25,26,27,28,29,30}-1)*LEN(Registro!$E538)+1,LEN(Registro!$E538))),FIND("x",TRIM(MID(SUBSTITUTE(SUBSTITUTE(SUBSTITUTE(SUBSTITUTE(SUBSTITUTE(LOWER(Registro!$E538),"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",LEN(Registro!$E538))),({1,2,3,4,5,6,7,8,9,10,11,12,13,14,15,16,17,18,19,20,21,22,23,24,25,26,27,28,29,30}-1)*LEN(Registro!$E538)+1,LEN(Registro!$E538)))&amp;"x")-1)),--("0"&amp;MID(TRIM(MID(SUBSTITUTE(SUBSTITUTE(SUBSTITUTE(SUBSTITUTE(SUBSTITUTE(LOWER(Registro!$E538),"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",LEN(Registro!$E538))),({1,2,3,4,5,6,7,8,9,10,11,12,13,14,15,16,17,18,19,20,21,22,23,24,25,26,27,28,29,30}-1)*LEN(Registro!$E538)+1,LEN(Registro!$E538))),FIND("x",TRIM(MID(SUBSTITUTE(SUBSTITUTE(SUBSTITUTE(SUBSTITUTE(SUBSTITUTE(LOWER(Registro!$E538),"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",LEN(Registro!$E538))),({1,2,3,4,5,6,7,8,9,10,11,12,13,14,15,16,17,18,19,20,21,22,23,24,25,26,27,28,29,30}-1)*LEN(Registro!$E538)+1,LEN(Registro!$E538)))&amp;"x")+1,20))),"Revisar formato")))</f>
        <v/>
      </c>
      <c r="F538" s="23" t="str">
        <f>IF(Registro!$F538="","",IF(ISERROR(FIND("x",LOWER(Registro!$F538))),"-",IFERROR(SUMPRODUCT(--("0"&amp;LEFT(TRIM(MID(SUBSTITUTE(SUBSTITUTE(SUBSTITUTE(SUBSTITUTE(SUBSTITUTE(LOWER(Registro!$F538)," ",""),CHAR(10),"|"),";","|"),"+","|"),"|",REPT(" ",LEN(Registro!$F538))),({1,2,3,4,5,6,7,8,9,10,11,12,13,14,15,16,17,18,19,20,21,22,23,24,25,26,27,28,29,30}-1)*LEN(Registro!$F538)+1,LEN(Registro!$F538))),FIND("x",TRIM(MID(SUBSTITUTE(SUBSTITUTE(SUBSTITUTE(SUBSTITUTE(SUBSTITUTE(LOWER(Registro!$F538)," ",""),CHAR(10),"|"),";","|"),"+","|"),"|",REPT(" ",LEN(Registro!$F538))),({1,2,3,4,5,6,7,8,9,10,11,12,13,14,15,16,17,18,19,20,21,22,23,24,25,26,27,28,29,30}-1)*LEN(Registro!$F538)+1,LEN(Registro!$F538)))&amp;"x")-1))),"Revisar formato")))</f>
        <v/>
      </c>
      <c r="G538" s="24" t="str">
        <f>IF(Registro!$F538="","",IF(ISERROR(FIND("x",LOWER(Registro!$F538))),N(Registro!$G538),IFERROR(SUMPRODUCT(--("0"&amp;LEFT(TRIM(MID(SUBSTITUTE(SUBSTITUTE(SUBSTITUTE(SUBSTITUTE(SUBSTITUTE(LOWER(Registro!$F538)," ",""),CHAR(10),"|"),";","|"),"+","|"),"|",REPT(" ",LEN(Registro!$F538))),({1,2,3,4,5,6,7,8,9,10,11,12,13,14,15,16,17,18,19,20,21,22,23,24,25,26,27,28,29,30}-1)*LEN(Registro!$F538)+1,LEN(Registro!$F538))),FIND("x",TRIM(MID(SUBSTITUTE(SUBSTITUTE(SUBSTITUTE(SUBSTITUTE(SUBSTITUTE(LOWER(Registro!$F538)," ",""),CHAR(10),"|"),";","|"),"+","|"),"|",REPT(" ",LEN(Registro!$F538))),({1,2,3,4,5,6,7,8,9,10,11,12,13,14,15,16,17,18,19,20,21,22,23,24,25,26,27,28,29,30}-1)*LEN(Registro!$F538)+1,LEN(Registro!$F538)))&amp;"x")-1)),--("0"&amp;MID(TRIM(MID(SUBSTITUTE(SUBSTITUTE(SUBSTITUTE(SUBSTITUTE(SUBSTITUTE(LOWER(Registro!$F538)," ",""),CHAR(10),"|"),";","|"),"+","|"),"|",REPT(" ",LEN(Registro!$F538))),({1,2,3,4,5,6,7,8,9,10,11,12,13,14,15,16,17,18,19,20,21,22,23,24,25,26,27,28,29,30}-1)*LEN(Registro!$F538)+1,LEN(Registro!$F538))),FIND("x",TRIM(MID(SUBSTITUTE(SUBSTITUTE(SUBSTITUTE(SUBSTITUTE(SUBSTITUTE(LOWER(Registro!$F538)," ",""),CHAR(10),"|"),";","|"),"+","|"),"|",REPT(" ",LEN(Registro!$F538))),({1,2,3,4,5,6,7,8,9,10,11,12,13,14,15,16,17,18,19,20,21,22,23,24,25,26,27,28,29,30}-1)*LEN(Registro!$F538)+1,LEN(Registro!$F538)))&amp;"x")+1,20))),"Revisar formato")))</f>
        <v/>
      </c>
      <c r="H538" s="21" t="str">
        <f>IF(AND(Registro!$E538="",Registro!$F538=""),"",IF(NOT(AND(ISNUMBER(G538),ISNUMBER(Registro!$G538))),"",IF(G538&lt;Registro!$G538,"FALTA BOLETOS",IF(G538=Registro!$G538,"CONFORME","DIFERENCIA"))))</f>
        <v/>
      </c>
      <c r="I538" s="24" t="str">
        <f>IF(Registro!$H538="","",IFERROR(SUMPRODUCT(--("0"&amp;TRIM(RIGHT(SUBSTITUTE(TRIM(MID(SUBSTITUTE(SUBSTITUTE(Registro!$H538,";",CHAR(10)),CHAR(10),REPT(" ",LEN(Registro!$H538))),({1,2,3,4,5,6,7,8,9,10,11,12,13,14,15,16,17,18,19,20,21,22,23,24,25,26,27,28,29,30}-1)*LEN(Registro!$H538)+1,LEN(Registro!$H538)))," ",REPT(" ",50)),50)))),"Revisar formato"))</f>
        <v/>
      </c>
      <c r="J538" s="24" t="str">
        <f>IF(Registro!$I538="","",IFERROR(SUMPRODUCT(--("0"&amp;TRIM(RIGHT(SUBSTITUTE(TRIM(MID(SUBSTITUTE(SUBSTITUTE(Registro!$I538,";",CHAR(10)),CHAR(10),REPT(" ",LEN(Registro!$I538))),({1,2,3,4,5,6,7,8,9,10,11,12,13,14,15,16,17,18,19,20,21,22,23,24,25,26,27,28,29,30}-1)*LEN(Registro!$I538)+1,LEN(Registro!$I538)))," ",REPT(" ",50)),50)))),"Revisar formato"))</f>
        <v/>
      </c>
      <c r="K538" s="24" t="str">
        <f>IF(AND(Registro!$G538="",Registro!$H538=""),"",IF(AND(ISTEXT(I538),I538&lt;&gt;""),"Revisar formato",N(Registro!$G538)-N(I538)))</f>
        <v/>
      </c>
      <c r="L538" s="24" t="str">
        <f t="shared" si="17"/>
        <v/>
      </c>
      <c r="M538" s="36" t="str">
        <f>IF(AND(A538=Consulta!$B$3,C538=Consulta!$H$3),B538*10000+ROW(),"")</f>
        <v/>
      </c>
    </row>
    <row r="539" spans="1:13" x14ac:dyDescent="0.25">
      <c r="A539" s="21" t="str">
        <f>IF(Registro!$A539="","",Registro!$A539)</f>
        <v/>
      </c>
      <c r="B539" s="20" t="str">
        <f>IF(Registro!$B539="","",Registro!$B539)</f>
        <v/>
      </c>
      <c r="C539" s="35" t="str">
        <f t="shared" si="16"/>
        <v/>
      </c>
      <c r="D539" s="23" t="str">
        <f>IF(Registro!$E539="","",IF(ISERROR(FIND("x",LOWER(Registro!$E539))),"-",IFERROR(SUMPRODUCT(--("0"&amp;LEFT(TRIM(MID(SUBSTITUTE(SUBSTITUTE(SUBSTITUTE(SUBSTITUTE(SUBSTITUTE(LOWER(Registro!$E539),"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",LEN(Registro!$E539))),({1,2,3,4,5,6,7,8,9,10,11,12,13,14,15,16,17,18,19,20,21,22,23,24,25,26,27,28,29,30}-1)*LEN(Registro!$E539)+1,LEN(Registro!$E539))),FIND("x",TRIM(MID(SUBSTITUTE(SUBSTITUTE(SUBSTITUTE(SUBSTITUTE(SUBSTITUTE(LOWER(Registro!$E539),"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",LEN(Registro!$E539))),({1,2,3,4,5,6,7,8,9,10,11,12,13,14,15,16,17,18,19,20,21,22,23,24,25,26,27,28,29,30}-1)*LEN(Registro!$E539)+1,LEN(Registro!$E539)))&amp;"x")-1))),"Revisar formato")))</f>
        <v/>
      </c>
      <c r="E539" s="24" t="str">
        <f>IF(Registro!$E539="","",IF(ISERROR(FIND("x",LOWER(Registro!$E539))),"-",IFERROR(SUMPRODUCT(--("0"&amp;LEFT(TRIM(MID(SUBSTITUTE(SUBSTITUTE(SUBSTITUTE(SUBSTITUTE(SUBSTITUTE(LOWER(Registro!$E539),"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",LEN(Registro!$E539))),({1,2,3,4,5,6,7,8,9,10,11,12,13,14,15,16,17,18,19,20,21,22,23,24,25,26,27,28,29,30}-1)*LEN(Registro!$E539)+1,LEN(Registro!$E539))),FIND("x",TRIM(MID(SUBSTITUTE(SUBSTITUTE(SUBSTITUTE(SUBSTITUTE(SUBSTITUTE(LOWER(Registro!$E539),"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",LEN(Registro!$E539))),({1,2,3,4,5,6,7,8,9,10,11,12,13,14,15,16,17,18,19,20,21,22,23,24,25,26,27,28,29,30}-1)*LEN(Registro!$E539)+1,LEN(Registro!$E539)))&amp;"x")-1)),--("0"&amp;MID(TRIM(MID(SUBSTITUTE(SUBSTITUTE(SUBSTITUTE(SUBSTITUTE(SUBSTITUTE(LOWER(Registro!$E539),"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",LEN(Registro!$E539))),({1,2,3,4,5,6,7,8,9,10,11,12,13,14,15,16,17,18,19,20,21,22,23,24,25,26,27,28,29,30}-1)*LEN(Registro!$E539)+1,LEN(Registro!$E539))),FIND("x",TRIM(MID(SUBSTITUTE(SUBSTITUTE(SUBSTITUTE(SUBSTITUTE(SUBSTITUTE(LOWER(Registro!$E539),"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",LEN(Registro!$E539))),({1,2,3,4,5,6,7,8,9,10,11,12,13,14,15,16,17,18,19,20,21,22,23,24,25,26,27,28,29,30}-1)*LEN(Registro!$E539)+1,LEN(Registro!$E539)))&amp;"x")+1,20))),"Revisar formato")))</f>
        <v/>
      </c>
      <c r="F539" s="23" t="str">
        <f>IF(Registro!$F539="","",IF(ISERROR(FIND("x",LOWER(Registro!$F539))),"-",IFERROR(SUMPRODUCT(--("0"&amp;LEFT(TRIM(MID(SUBSTITUTE(SUBSTITUTE(SUBSTITUTE(SUBSTITUTE(SUBSTITUTE(LOWER(Registro!$F539)," ",""),CHAR(10),"|"),";","|"),"+","|"),"|",REPT(" ",LEN(Registro!$F539))),({1,2,3,4,5,6,7,8,9,10,11,12,13,14,15,16,17,18,19,20,21,22,23,24,25,26,27,28,29,30}-1)*LEN(Registro!$F539)+1,LEN(Registro!$F539))),FIND("x",TRIM(MID(SUBSTITUTE(SUBSTITUTE(SUBSTITUTE(SUBSTITUTE(SUBSTITUTE(LOWER(Registro!$F539)," ",""),CHAR(10),"|"),";","|"),"+","|"),"|",REPT(" ",LEN(Registro!$F539))),({1,2,3,4,5,6,7,8,9,10,11,12,13,14,15,16,17,18,19,20,21,22,23,24,25,26,27,28,29,30}-1)*LEN(Registro!$F539)+1,LEN(Registro!$F539)))&amp;"x")-1))),"Revisar formato")))</f>
        <v/>
      </c>
      <c r="G539" s="24" t="str">
        <f>IF(Registro!$F539="","",IF(ISERROR(FIND("x",LOWER(Registro!$F539))),N(Registro!$G539),IFERROR(SUMPRODUCT(--("0"&amp;LEFT(TRIM(MID(SUBSTITUTE(SUBSTITUTE(SUBSTITUTE(SUBSTITUTE(SUBSTITUTE(LOWER(Registro!$F539)," ",""),CHAR(10),"|"),";","|"),"+","|"),"|",REPT(" ",LEN(Registro!$F539))),({1,2,3,4,5,6,7,8,9,10,11,12,13,14,15,16,17,18,19,20,21,22,23,24,25,26,27,28,29,30}-1)*LEN(Registro!$F539)+1,LEN(Registro!$F539))),FIND("x",TRIM(MID(SUBSTITUTE(SUBSTITUTE(SUBSTITUTE(SUBSTITUTE(SUBSTITUTE(LOWER(Registro!$F539)," ",""),CHAR(10),"|"),";","|"),"+","|"),"|",REPT(" ",LEN(Registro!$F539))),({1,2,3,4,5,6,7,8,9,10,11,12,13,14,15,16,17,18,19,20,21,22,23,24,25,26,27,28,29,30}-1)*LEN(Registro!$F539)+1,LEN(Registro!$F539)))&amp;"x")-1)),--("0"&amp;MID(TRIM(MID(SUBSTITUTE(SUBSTITUTE(SUBSTITUTE(SUBSTITUTE(SUBSTITUTE(LOWER(Registro!$F539)," ",""),CHAR(10),"|"),";","|"),"+","|"),"|",REPT(" ",LEN(Registro!$F539))),({1,2,3,4,5,6,7,8,9,10,11,12,13,14,15,16,17,18,19,20,21,22,23,24,25,26,27,28,29,30}-1)*LEN(Registro!$F539)+1,LEN(Registro!$F539))),FIND("x",TRIM(MID(SUBSTITUTE(SUBSTITUTE(SUBSTITUTE(SUBSTITUTE(SUBSTITUTE(LOWER(Registro!$F539)," ",""),CHAR(10),"|"),";","|"),"+","|"),"|",REPT(" ",LEN(Registro!$F539))),({1,2,3,4,5,6,7,8,9,10,11,12,13,14,15,16,17,18,19,20,21,22,23,24,25,26,27,28,29,30}-1)*LEN(Registro!$F539)+1,LEN(Registro!$F539)))&amp;"x")+1,20))),"Revisar formato")))</f>
        <v/>
      </c>
      <c r="H539" s="21" t="str">
        <f>IF(AND(Registro!$E539="",Registro!$F539=""),"",IF(NOT(AND(ISNUMBER(G539),ISNUMBER(Registro!$G539))),"",IF(G539&lt;Registro!$G539,"FALTA BOLETOS",IF(G539=Registro!$G539,"CONFORME","DIFERENCIA"))))</f>
        <v/>
      </c>
      <c r="I539" s="24" t="str">
        <f>IF(Registro!$H539="","",IFERROR(SUMPRODUCT(--("0"&amp;TRIM(RIGHT(SUBSTITUTE(TRIM(MID(SUBSTITUTE(SUBSTITUTE(Registro!$H539,";",CHAR(10)),CHAR(10),REPT(" ",LEN(Registro!$H539))),({1,2,3,4,5,6,7,8,9,10,11,12,13,14,15,16,17,18,19,20,21,22,23,24,25,26,27,28,29,30}-1)*LEN(Registro!$H539)+1,LEN(Registro!$H539)))," ",REPT(" ",50)),50)))),"Revisar formato"))</f>
        <v/>
      </c>
      <c r="J539" s="24" t="str">
        <f>IF(Registro!$I539="","",IFERROR(SUMPRODUCT(--("0"&amp;TRIM(RIGHT(SUBSTITUTE(TRIM(MID(SUBSTITUTE(SUBSTITUTE(Registro!$I539,";",CHAR(10)),CHAR(10),REPT(" ",LEN(Registro!$I539))),({1,2,3,4,5,6,7,8,9,10,11,12,13,14,15,16,17,18,19,20,21,22,23,24,25,26,27,28,29,30}-1)*LEN(Registro!$I539)+1,LEN(Registro!$I539)))," ",REPT(" ",50)),50)))),"Revisar formato"))</f>
        <v/>
      </c>
      <c r="K539" s="24" t="str">
        <f>IF(AND(Registro!$G539="",Registro!$H539=""),"",IF(AND(ISTEXT(I539),I539&lt;&gt;""),"Revisar formato",N(Registro!$G539)-N(I539)))</f>
        <v/>
      </c>
      <c r="L539" s="24" t="str">
        <f t="shared" si="17"/>
        <v/>
      </c>
      <c r="M539" s="36" t="str">
        <f>IF(AND(A539=Consulta!$B$3,C539=Consulta!$H$3),B539*10000+ROW(),"")</f>
        <v/>
      </c>
    </row>
    <row r="540" spans="1:13" x14ac:dyDescent="0.25">
      <c r="A540" s="21" t="str">
        <f>IF(Registro!$A540="","",Registro!$A540)</f>
        <v/>
      </c>
      <c r="B540" s="20" t="str">
        <f>IF(Registro!$B540="","",Registro!$B540)</f>
        <v/>
      </c>
      <c r="C540" s="35" t="str">
        <f t="shared" si="16"/>
        <v/>
      </c>
      <c r="D540" s="23" t="str">
        <f>IF(Registro!$E540="","",IF(ISERROR(FIND("x",LOWER(Registro!$E540))),"-",IFERROR(SUMPRODUCT(--("0"&amp;LEFT(TRIM(MID(SUBSTITUTE(SUBSTITUTE(SUBSTITUTE(SUBSTITUTE(SUBSTITUTE(LOWER(Registro!$E540),"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",LEN(Registro!$E540))),({1,2,3,4,5,6,7,8,9,10,11,12,13,14,15,16,17,18,19,20,21,22,23,24,25,26,27,28,29,30}-1)*LEN(Registro!$E540)+1,LEN(Registro!$E540))),FIND("x",TRIM(MID(SUBSTITUTE(SUBSTITUTE(SUBSTITUTE(SUBSTITUTE(SUBSTITUTE(LOWER(Registro!$E540),"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",LEN(Registro!$E540))),({1,2,3,4,5,6,7,8,9,10,11,12,13,14,15,16,17,18,19,20,21,22,23,24,25,26,27,28,29,30}-1)*LEN(Registro!$E540)+1,LEN(Registro!$E540)))&amp;"x")-1))),"Revisar formato")))</f>
        <v/>
      </c>
      <c r="E540" s="24" t="str">
        <f>IF(Registro!$E540="","",IF(ISERROR(FIND("x",LOWER(Registro!$E540))),"-",IFERROR(SUMPRODUCT(--("0"&amp;LEFT(TRIM(MID(SUBSTITUTE(SUBSTITUTE(SUBSTITUTE(SUBSTITUTE(SUBSTITUTE(LOWER(Registro!$E540),"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",LEN(Registro!$E540))),({1,2,3,4,5,6,7,8,9,10,11,12,13,14,15,16,17,18,19,20,21,22,23,24,25,26,27,28,29,30}-1)*LEN(Registro!$E540)+1,LEN(Registro!$E540))),FIND("x",TRIM(MID(SUBSTITUTE(SUBSTITUTE(SUBSTITUTE(SUBSTITUTE(SUBSTITUTE(LOWER(Registro!$E540),"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",LEN(Registro!$E540))),({1,2,3,4,5,6,7,8,9,10,11,12,13,14,15,16,17,18,19,20,21,22,23,24,25,26,27,28,29,30}-1)*LEN(Registro!$E540)+1,LEN(Registro!$E540)))&amp;"x")-1)),--("0"&amp;MID(TRIM(MID(SUBSTITUTE(SUBSTITUTE(SUBSTITUTE(SUBSTITUTE(SUBSTITUTE(LOWER(Registro!$E540),"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",LEN(Registro!$E540))),({1,2,3,4,5,6,7,8,9,10,11,12,13,14,15,16,17,18,19,20,21,22,23,24,25,26,27,28,29,30}-1)*LEN(Registro!$E540)+1,LEN(Registro!$E540))),FIND("x",TRIM(MID(SUBSTITUTE(SUBSTITUTE(SUBSTITUTE(SUBSTITUTE(SUBSTITUTE(LOWER(Registro!$E540),"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",LEN(Registro!$E540))),({1,2,3,4,5,6,7,8,9,10,11,12,13,14,15,16,17,18,19,20,21,22,23,24,25,26,27,28,29,30}-1)*LEN(Registro!$E540)+1,LEN(Registro!$E540)))&amp;"x")+1,20))),"Revisar formato")))</f>
        <v/>
      </c>
      <c r="F540" s="23" t="str">
        <f>IF(Registro!$F540="","",IF(ISERROR(FIND("x",LOWER(Registro!$F540))),"-",IFERROR(SUMPRODUCT(--("0"&amp;LEFT(TRIM(MID(SUBSTITUTE(SUBSTITUTE(SUBSTITUTE(SUBSTITUTE(SUBSTITUTE(LOWER(Registro!$F540)," ",""),CHAR(10),"|"),";","|"),"+","|"),"|",REPT(" ",LEN(Registro!$F540))),({1,2,3,4,5,6,7,8,9,10,11,12,13,14,15,16,17,18,19,20,21,22,23,24,25,26,27,28,29,30}-1)*LEN(Registro!$F540)+1,LEN(Registro!$F540))),FIND("x",TRIM(MID(SUBSTITUTE(SUBSTITUTE(SUBSTITUTE(SUBSTITUTE(SUBSTITUTE(LOWER(Registro!$F540)," ",""),CHAR(10),"|"),";","|"),"+","|"),"|",REPT(" ",LEN(Registro!$F540))),({1,2,3,4,5,6,7,8,9,10,11,12,13,14,15,16,17,18,19,20,21,22,23,24,25,26,27,28,29,30}-1)*LEN(Registro!$F540)+1,LEN(Registro!$F540)))&amp;"x")-1))),"Revisar formato")))</f>
        <v/>
      </c>
      <c r="G540" s="24" t="str">
        <f>IF(Registro!$F540="","",IF(ISERROR(FIND("x",LOWER(Registro!$F540))),N(Registro!$G540),IFERROR(SUMPRODUCT(--("0"&amp;LEFT(TRIM(MID(SUBSTITUTE(SUBSTITUTE(SUBSTITUTE(SUBSTITUTE(SUBSTITUTE(LOWER(Registro!$F540)," ",""),CHAR(10),"|"),";","|"),"+","|"),"|",REPT(" ",LEN(Registro!$F540))),({1,2,3,4,5,6,7,8,9,10,11,12,13,14,15,16,17,18,19,20,21,22,23,24,25,26,27,28,29,30}-1)*LEN(Registro!$F540)+1,LEN(Registro!$F540))),FIND("x",TRIM(MID(SUBSTITUTE(SUBSTITUTE(SUBSTITUTE(SUBSTITUTE(SUBSTITUTE(LOWER(Registro!$F540)," ",""),CHAR(10),"|"),";","|"),"+","|"),"|",REPT(" ",LEN(Registro!$F540))),({1,2,3,4,5,6,7,8,9,10,11,12,13,14,15,16,17,18,19,20,21,22,23,24,25,26,27,28,29,30}-1)*LEN(Registro!$F540)+1,LEN(Registro!$F540)))&amp;"x")-1)),--("0"&amp;MID(TRIM(MID(SUBSTITUTE(SUBSTITUTE(SUBSTITUTE(SUBSTITUTE(SUBSTITUTE(LOWER(Registro!$F540)," ",""),CHAR(10),"|"),";","|"),"+","|"),"|",REPT(" ",LEN(Registro!$F540))),({1,2,3,4,5,6,7,8,9,10,11,12,13,14,15,16,17,18,19,20,21,22,23,24,25,26,27,28,29,30}-1)*LEN(Registro!$F540)+1,LEN(Registro!$F540))),FIND("x",TRIM(MID(SUBSTITUTE(SUBSTITUTE(SUBSTITUTE(SUBSTITUTE(SUBSTITUTE(LOWER(Registro!$F540)," ",""),CHAR(10),"|"),";","|"),"+","|"),"|",REPT(" ",LEN(Registro!$F540))),({1,2,3,4,5,6,7,8,9,10,11,12,13,14,15,16,17,18,19,20,21,22,23,24,25,26,27,28,29,30}-1)*LEN(Registro!$F540)+1,LEN(Registro!$F540)))&amp;"x")+1,20))),"Revisar formato")))</f>
        <v/>
      </c>
      <c r="H540" s="21" t="str">
        <f>IF(AND(Registro!$E540="",Registro!$F540=""),"",IF(NOT(AND(ISNUMBER(G540),ISNUMBER(Registro!$G540))),"",IF(G540&lt;Registro!$G540,"FALTA BOLETOS",IF(G540=Registro!$G540,"CONFORME","DIFERENCIA"))))</f>
        <v/>
      </c>
      <c r="I540" s="24" t="str">
        <f>IF(Registro!$H540="","",IFERROR(SUMPRODUCT(--("0"&amp;TRIM(RIGHT(SUBSTITUTE(TRIM(MID(SUBSTITUTE(SUBSTITUTE(Registro!$H540,";",CHAR(10)),CHAR(10),REPT(" ",LEN(Registro!$H540))),({1,2,3,4,5,6,7,8,9,10,11,12,13,14,15,16,17,18,19,20,21,22,23,24,25,26,27,28,29,30}-1)*LEN(Registro!$H540)+1,LEN(Registro!$H540)))," ",REPT(" ",50)),50)))),"Revisar formato"))</f>
        <v/>
      </c>
      <c r="J540" s="24" t="str">
        <f>IF(Registro!$I540="","",IFERROR(SUMPRODUCT(--("0"&amp;TRIM(RIGHT(SUBSTITUTE(TRIM(MID(SUBSTITUTE(SUBSTITUTE(Registro!$I540,";",CHAR(10)),CHAR(10),REPT(" ",LEN(Registro!$I540))),({1,2,3,4,5,6,7,8,9,10,11,12,13,14,15,16,17,18,19,20,21,22,23,24,25,26,27,28,29,30}-1)*LEN(Registro!$I540)+1,LEN(Registro!$I540)))," ",REPT(" ",50)),50)))),"Revisar formato"))</f>
        <v/>
      </c>
      <c r="K540" s="24" t="str">
        <f>IF(AND(Registro!$G540="",Registro!$H540=""),"",IF(AND(ISTEXT(I540),I540&lt;&gt;""),"Revisar formato",N(Registro!$G540)-N(I540)))</f>
        <v/>
      </c>
      <c r="L540" s="24" t="str">
        <f t="shared" si="17"/>
        <v/>
      </c>
      <c r="M540" s="36" t="str">
        <f>IF(AND(A540=Consulta!$B$3,C540=Consulta!$H$3),B540*10000+ROW(),"")</f>
        <v/>
      </c>
    </row>
    <row r="541" spans="1:13" x14ac:dyDescent="0.25">
      <c r="A541" s="21" t="str">
        <f>IF(Registro!$A541="","",Registro!$A541)</f>
        <v/>
      </c>
      <c r="B541" s="20" t="str">
        <f>IF(Registro!$B541="","",Registro!$B541)</f>
        <v/>
      </c>
      <c r="C541" s="35" t="str">
        <f t="shared" si="16"/>
        <v/>
      </c>
      <c r="D541" s="23" t="str">
        <f>IF(Registro!$E541="","",IF(ISERROR(FIND("x",LOWER(Registro!$E541))),"-",IFERROR(SUMPRODUCT(--("0"&amp;LEFT(TRIM(MID(SUBSTITUTE(SUBSTITUTE(SUBSTITUTE(SUBSTITUTE(SUBSTITUTE(LOWER(Registro!$E541),"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",LEN(Registro!$E541))),({1,2,3,4,5,6,7,8,9,10,11,12,13,14,15,16,17,18,19,20,21,22,23,24,25,26,27,28,29,30}-1)*LEN(Registro!$E541)+1,LEN(Registro!$E541))),FIND("x",TRIM(MID(SUBSTITUTE(SUBSTITUTE(SUBSTITUTE(SUBSTITUTE(SUBSTITUTE(LOWER(Registro!$E541),"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",LEN(Registro!$E541))),({1,2,3,4,5,6,7,8,9,10,11,12,13,14,15,16,17,18,19,20,21,22,23,24,25,26,27,28,29,30}-1)*LEN(Registro!$E541)+1,LEN(Registro!$E541)))&amp;"x")-1))),"Revisar formato")))</f>
        <v/>
      </c>
      <c r="E541" s="24" t="str">
        <f>IF(Registro!$E541="","",IF(ISERROR(FIND("x",LOWER(Registro!$E541))),"-",IFERROR(SUMPRODUCT(--("0"&amp;LEFT(TRIM(MID(SUBSTITUTE(SUBSTITUTE(SUBSTITUTE(SUBSTITUTE(SUBSTITUTE(LOWER(Registro!$E541),"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",LEN(Registro!$E541))),({1,2,3,4,5,6,7,8,9,10,11,12,13,14,15,16,17,18,19,20,21,22,23,24,25,26,27,28,29,30}-1)*LEN(Registro!$E541)+1,LEN(Registro!$E541))),FIND("x",TRIM(MID(SUBSTITUTE(SUBSTITUTE(SUBSTITUTE(SUBSTITUTE(SUBSTITUTE(LOWER(Registro!$E541),"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",LEN(Registro!$E541))),({1,2,3,4,5,6,7,8,9,10,11,12,13,14,15,16,17,18,19,20,21,22,23,24,25,26,27,28,29,30}-1)*LEN(Registro!$E541)+1,LEN(Registro!$E541)))&amp;"x")-1)),--("0"&amp;MID(TRIM(MID(SUBSTITUTE(SUBSTITUTE(SUBSTITUTE(SUBSTITUTE(SUBSTITUTE(LOWER(Registro!$E541),"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",LEN(Registro!$E541))),({1,2,3,4,5,6,7,8,9,10,11,12,13,14,15,16,17,18,19,20,21,22,23,24,25,26,27,28,29,30}-1)*LEN(Registro!$E541)+1,LEN(Registro!$E541))),FIND("x",TRIM(MID(SUBSTITUTE(SUBSTITUTE(SUBSTITUTE(SUBSTITUTE(SUBSTITUTE(LOWER(Registro!$E541),"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",LEN(Registro!$E541))),({1,2,3,4,5,6,7,8,9,10,11,12,13,14,15,16,17,18,19,20,21,22,23,24,25,26,27,28,29,30}-1)*LEN(Registro!$E541)+1,LEN(Registro!$E541)))&amp;"x")+1,20))),"Revisar formato")))</f>
        <v/>
      </c>
      <c r="F541" s="23" t="str">
        <f>IF(Registro!$F541="","",IF(ISERROR(FIND("x",LOWER(Registro!$F541))),"-",IFERROR(SUMPRODUCT(--("0"&amp;LEFT(TRIM(MID(SUBSTITUTE(SUBSTITUTE(SUBSTITUTE(SUBSTITUTE(SUBSTITUTE(LOWER(Registro!$F541)," ",""),CHAR(10),"|"),";","|"),"+","|"),"|",REPT(" ",LEN(Registro!$F541))),({1,2,3,4,5,6,7,8,9,10,11,12,13,14,15,16,17,18,19,20,21,22,23,24,25,26,27,28,29,30}-1)*LEN(Registro!$F541)+1,LEN(Registro!$F541))),FIND("x",TRIM(MID(SUBSTITUTE(SUBSTITUTE(SUBSTITUTE(SUBSTITUTE(SUBSTITUTE(LOWER(Registro!$F541)," ",""),CHAR(10),"|"),";","|"),"+","|"),"|",REPT(" ",LEN(Registro!$F541))),({1,2,3,4,5,6,7,8,9,10,11,12,13,14,15,16,17,18,19,20,21,22,23,24,25,26,27,28,29,30}-1)*LEN(Registro!$F541)+1,LEN(Registro!$F541)))&amp;"x")-1))),"Revisar formato")))</f>
        <v/>
      </c>
      <c r="G541" s="24" t="str">
        <f>IF(Registro!$F541="","",IF(ISERROR(FIND("x",LOWER(Registro!$F541))),N(Registro!$G541),IFERROR(SUMPRODUCT(--("0"&amp;LEFT(TRIM(MID(SUBSTITUTE(SUBSTITUTE(SUBSTITUTE(SUBSTITUTE(SUBSTITUTE(LOWER(Registro!$F541)," ",""),CHAR(10),"|"),";","|"),"+","|"),"|",REPT(" ",LEN(Registro!$F541))),({1,2,3,4,5,6,7,8,9,10,11,12,13,14,15,16,17,18,19,20,21,22,23,24,25,26,27,28,29,30}-1)*LEN(Registro!$F541)+1,LEN(Registro!$F541))),FIND("x",TRIM(MID(SUBSTITUTE(SUBSTITUTE(SUBSTITUTE(SUBSTITUTE(SUBSTITUTE(LOWER(Registro!$F541)," ",""),CHAR(10),"|"),";","|"),"+","|"),"|",REPT(" ",LEN(Registro!$F541))),({1,2,3,4,5,6,7,8,9,10,11,12,13,14,15,16,17,18,19,20,21,22,23,24,25,26,27,28,29,30}-1)*LEN(Registro!$F541)+1,LEN(Registro!$F541)))&amp;"x")-1)),--("0"&amp;MID(TRIM(MID(SUBSTITUTE(SUBSTITUTE(SUBSTITUTE(SUBSTITUTE(SUBSTITUTE(LOWER(Registro!$F541)," ",""),CHAR(10),"|"),";","|"),"+","|"),"|",REPT(" ",LEN(Registro!$F541))),({1,2,3,4,5,6,7,8,9,10,11,12,13,14,15,16,17,18,19,20,21,22,23,24,25,26,27,28,29,30}-1)*LEN(Registro!$F541)+1,LEN(Registro!$F541))),FIND("x",TRIM(MID(SUBSTITUTE(SUBSTITUTE(SUBSTITUTE(SUBSTITUTE(SUBSTITUTE(LOWER(Registro!$F541)," ",""),CHAR(10),"|"),";","|"),"+","|"),"|",REPT(" ",LEN(Registro!$F541))),({1,2,3,4,5,6,7,8,9,10,11,12,13,14,15,16,17,18,19,20,21,22,23,24,25,26,27,28,29,30}-1)*LEN(Registro!$F541)+1,LEN(Registro!$F541)))&amp;"x")+1,20))),"Revisar formato")))</f>
        <v/>
      </c>
      <c r="H541" s="21" t="str">
        <f>IF(AND(Registro!$E541="",Registro!$F541=""),"",IF(NOT(AND(ISNUMBER(G541),ISNUMBER(Registro!$G541))),"",IF(G541&lt;Registro!$G541,"FALTA BOLETOS",IF(G541=Registro!$G541,"CONFORME","DIFERENCIA"))))</f>
        <v/>
      </c>
      <c r="I541" s="24" t="str">
        <f>IF(Registro!$H541="","",IFERROR(SUMPRODUCT(--("0"&amp;TRIM(RIGHT(SUBSTITUTE(TRIM(MID(SUBSTITUTE(SUBSTITUTE(Registro!$H541,";",CHAR(10)),CHAR(10),REPT(" ",LEN(Registro!$H541))),({1,2,3,4,5,6,7,8,9,10,11,12,13,14,15,16,17,18,19,20,21,22,23,24,25,26,27,28,29,30}-1)*LEN(Registro!$H541)+1,LEN(Registro!$H541)))," ",REPT(" ",50)),50)))),"Revisar formato"))</f>
        <v/>
      </c>
      <c r="J541" s="24" t="str">
        <f>IF(Registro!$I541="","",IFERROR(SUMPRODUCT(--("0"&amp;TRIM(RIGHT(SUBSTITUTE(TRIM(MID(SUBSTITUTE(SUBSTITUTE(Registro!$I541,";",CHAR(10)),CHAR(10),REPT(" ",LEN(Registro!$I541))),({1,2,3,4,5,6,7,8,9,10,11,12,13,14,15,16,17,18,19,20,21,22,23,24,25,26,27,28,29,30}-1)*LEN(Registro!$I541)+1,LEN(Registro!$I541)))," ",REPT(" ",50)),50)))),"Revisar formato"))</f>
        <v/>
      </c>
      <c r="K541" s="24" t="str">
        <f>IF(AND(Registro!$G541="",Registro!$H541=""),"",IF(AND(ISTEXT(I541),I541&lt;&gt;""),"Revisar formato",N(Registro!$G541)-N(I541)))</f>
        <v/>
      </c>
      <c r="L541" s="24" t="str">
        <f t="shared" si="17"/>
        <v/>
      </c>
      <c r="M541" s="36" t="str">
        <f>IF(AND(A541=Consulta!$B$3,C541=Consulta!$H$3),B541*10000+ROW(),"")</f>
        <v/>
      </c>
    </row>
    <row r="542" spans="1:13" x14ac:dyDescent="0.25">
      <c r="A542" s="21" t="str">
        <f>IF(Registro!$A542="","",Registro!$A542)</f>
        <v/>
      </c>
      <c r="B542" s="20" t="str">
        <f>IF(Registro!$B542="","",Registro!$B542)</f>
        <v/>
      </c>
      <c r="C542" s="35" t="str">
        <f t="shared" si="16"/>
        <v/>
      </c>
      <c r="D542" s="23" t="str">
        <f>IF(Registro!$E542="","",IF(ISERROR(FIND("x",LOWER(Registro!$E542))),"-",IFERROR(SUMPRODUCT(--("0"&amp;LEFT(TRIM(MID(SUBSTITUTE(SUBSTITUTE(SUBSTITUTE(SUBSTITUTE(SUBSTITUTE(LOWER(Registro!$E542),"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",LEN(Registro!$E542))),({1,2,3,4,5,6,7,8,9,10,11,12,13,14,15,16,17,18,19,20,21,22,23,24,25,26,27,28,29,30}-1)*LEN(Registro!$E542)+1,LEN(Registro!$E542))),FIND("x",TRIM(MID(SUBSTITUTE(SUBSTITUTE(SUBSTITUTE(SUBSTITUTE(SUBSTITUTE(LOWER(Registro!$E542),"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",LEN(Registro!$E542))),({1,2,3,4,5,6,7,8,9,10,11,12,13,14,15,16,17,18,19,20,21,22,23,24,25,26,27,28,29,30}-1)*LEN(Registro!$E542)+1,LEN(Registro!$E542)))&amp;"x")-1))),"Revisar formato")))</f>
        <v/>
      </c>
      <c r="E542" s="24" t="str">
        <f>IF(Registro!$E542="","",IF(ISERROR(FIND("x",LOWER(Registro!$E542))),"-",IFERROR(SUMPRODUCT(--("0"&amp;LEFT(TRIM(MID(SUBSTITUTE(SUBSTITUTE(SUBSTITUTE(SUBSTITUTE(SUBSTITUTE(LOWER(Registro!$E542),"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",LEN(Registro!$E542))),({1,2,3,4,5,6,7,8,9,10,11,12,13,14,15,16,17,18,19,20,21,22,23,24,25,26,27,28,29,30}-1)*LEN(Registro!$E542)+1,LEN(Registro!$E542))),FIND("x",TRIM(MID(SUBSTITUTE(SUBSTITUTE(SUBSTITUTE(SUBSTITUTE(SUBSTITUTE(LOWER(Registro!$E542),"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",LEN(Registro!$E542))),({1,2,3,4,5,6,7,8,9,10,11,12,13,14,15,16,17,18,19,20,21,22,23,24,25,26,27,28,29,30}-1)*LEN(Registro!$E542)+1,LEN(Registro!$E542)))&amp;"x")-1)),--("0"&amp;MID(TRIM(MID(SUBSTITUTE(SUBSTITUTE(SUBSTITUTE(SUBSTITUTE(SUBSTITUTE(LOWER(Registro!$E542),"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",LEN(Registro!$E542))),({1,2,3,4,5,6,7,8,9,10,11,12,13,14,15,16,17,18,19,20,21,22,23,24,25,26,27,28,29,30}-1)*LEN(Registro!$E542)+1,LEN(Registro!$E542))),FIND("x",TRIM(MID(SUBSTITUTE(SUBSTITUTE(SUBSTITUTE(SUBSTITUTE(SUBSTITUTE(LOWER(Registro!$E542),"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",LEN(Registro!$E542))),({1,2,3,4,5,6,7,8,9,10,11,12,13,14,15,16,17,18,19,20,21,22,23,24,25,26,27,28,29,30}-1)*LEN(Registro!$E542)+1,LEN(Registro!$E542)))&amp;"x")+1,20))),"Revisar formato")))</f>
        <v/>
      </c>
      <c r="F542" s="23" t="str">
        <f>IF(Registro!$F542="","",IF(ISERROR(FIND("x",LOWER(Registro!$F542))),"-",IFERROR(SUMPRODUCT(--("0"&amp;LEFT(TRIM(MID(SUBSTITUTE(SUBSTITUTE(SUBSTITUTE(SUBSTITUTE(SUBSTITUTE(LOWER(Registro!$F542)," ",""),CHAR(10),"|"),";","|"),"+","|"),"|",REPT(" ",LEN(Registro!$F542))),({1,2,3,4,5,6,7,8,9,10,11,12,13,14,15,16,17,18,19,20,21,22,23,24,25,26,27,28,29,30}-1)*LEN(Registro!$F542)+1,LEN(Registro!$F542))),FIND("x",TRIM(MID(SUBSTITUTE(SUBSTITUTE(SUBSTITUTE(SUBSTITUTE(SUBSTITUTE(LOWER(Registro!$F542)," ",""),CHAR(10),"|"),";","|"),"+","|"),"|",REPT(" ",LEN(Registro!$F542))),({1,2,3,4,5,6,7,8,9,10,11,12,13,14,15,16,17,18,19,20,21,22,23,24,25,26,27,28,29,30}-1)*LEN(Registro!$F542)+1,LEN(Registro!$F542)))&amp;"x")-1))),"Revisar formato")))</f>
        <v/>
      </c>
      <c r="G542" s="24" t="str">
        <f>IF(Registro!$F542="","",IF(ISERROR(FIND("x",LOWER(Registro!$F542))),N(Registro!$G542),IFERROR(SUMPRODUCT(--("0"&amp;LEFT(TRIM(MID(SUBSTITUTE(SUBSTITUTE(SUBSTITUTE(SUBSTITUTE(SUBSTITUTE(LOWER(Registro!$F542)," ",""),CHAR(10),"|"),";","|"),"+","|"),"|",REPT(" ",LEN(Registro!$F542))),({1,2,3,4,5,6,7,8,9,10,11,12,13,14,15,16,17,18,19,20,21,22,23,24,25,26,27,28,29,30}-1)*LEN(Registro!$F542)+1,LEN(Registro!$F542))),FIND("x",TRIM(MID(SUBSTITUTE(SUBSTITUTE(SUBSTITUTE(SUBSTITUTE(SUBSTITUTE(LOWER(Registro!$F542)," ",""),CHAR(10),"|"),";","|"),"+","|"),"|",REPT(" ",LEN(Registro!$F542))),({1,2,3,4,5,6,7,8,9,10,11,12,13,14,15,16,17,18,19,20,21,22,23,24,25,26,27,28,29,30}-1)*LEN(Registro!$F542)+1,LEN(Registro!$F542)))&amp;"x")-1)),--("0"&amp;MID(TRIM(MID(SUBSTITUTE(SUBSTITUTE(SUBSTITUTE(SUBSTITUTE(SUBSTITUTE(LOWER(Registro!$F542)," ",""),CHAR(10),"|"),";","|"),"+","|"),"|",REPT(" ",LEN(Registro!$F542))),({1,2,3,4,5,6,7,8,9,10,11,12,13,14,15,16,17,18,19,20,21,22,23,24,25,26,27,28,29,30}-1)*LEN(Registro!$F542)+1,LEN(Registro!$F542))),FIND("x",TRIM(MID(SUBSTITUTE(SUBSTITUTE(SUBSTITUTE(SUBSTITUTE(SUBSTITUTE(LOWER(Registro!$F542)," ",""),CHAR(10),"|"),";","|"),"+","|"),"|",REPT(" ",LEN(Registro!$F542))),({1,2,3,4,5,6,7,8,9,10,11,12,13,14,15,16,17,18,19,20,21,22,23,24,25,26,27,28,29,30}-1)*LEN(Registro!$F542)+1,LEN(Registro!$F542)))&amp;"x")+1,20))),"Revisar formato")))</f>
        <v/>
      </c>
      <c r="H542" s="21" t="str">
        <f>IF(AND(Registro!$E542="",Registro!$F542=""),"",IF(NOT(AND(ISNUMBER(G542),ISNUMBER(Registro!$G542))),"",IF(G542&lt;Registro!$G542,"FALTA BOLETOS",IF(G542=Registro!$G542,"CONFORME","DIFERENCIA"))))</f>
        <v/>
      </c>
      <c r="I542" s="24" t="str">
        <f>IF(Registro!$H542="","",IFERROR(SUMPRODUCT(--("0"&amp;TRIM(RIGHT(SUBSTITUTE(TRIM(MID(SUBSTITUTE(SUBSTITUTE(Registro!$H542,";",CHAR(10)),CHAR(10),REPT(" ",LEN(Registro!$H542))),({1,2,3,4,5,6,7,8,9,10,11,12,13,14,15,16,17,18,19,20,21,22,23,24,25,26,27,28,29,30}-1)*LEN(Registro!$H542)+1,LEN(Registro!$H542)))," ",REPT(" ",50)),50)))),"Revisar formato"))</f>
        <v/>
      </c>
      <c r="J542" s="24" t="str">
        <f>IF(Registro!$I542="","",IFERROR(SUMPRODUCT(--("0"&amp;TRIM(RIGHT(SUBSTITUTE(TRIM(MID(SUBSTITUTE(SUBSTITUTE(Registro!$I542,";",CHAR(10)),CHAR(10),REPT(" ",LEN(Registro!$I542))),({1,2,3,4,5,6,7,8,9,10,11,12,13,14,15,16,17,18,19,20,21,22,23,24,25,26,27,28,29,30}-1)*LEN(Registro!$I542)+1,LEN(Registro!$I542)))," ",REPT(" ",50)),50)))),"Revisar formato"))</f>
        <v/>
      </c>
      <c r="K542" s="24" t="str">
        <f>IF(AND(Registro!$G542="",Registro!$H542=""),"",IF(AND(ISTEXT(I542),I542&lt;&gt;""),"Revisar formato",N(Registro!$G542)-N(I542)))</f>
        <v/>
      </c>
      <c r="L542" s="24" t="str">
        <f t="shared" si="17"/>
        <v/>
      </c>
      <c r="M542" s="36" t="str">
        <f>IF(AND(A542=Consulta!$B$3,C542=Consulta!$H$3),B542*10000+ROW(),"")</f>
        <v/>
      </c>
    </row>
    <row r="543" spans="1:13" x14ac:dyDescent="0.25">
      <c r="A543" s="21" t="str">
        <f>IF(Registro!$A543="","",Registro!$A543)</f>
        <v/>
      </c>
      <c r="B543" s="20" t="str">
        <f>IF(Registro!$B543="","",Registro!$B543)</f>
        <v/>
      </c>
      <c r="C543" s="35" t="str">
        <f t="shared" si="16"/>
        <v/>
      </c>
      <c r="D543" s="23" t="str">
        <f>IF(Registro!$E543="","",IF(ISERROR(FIND("x",LOWER(Registro!$E543))),"-",IFERROR(SUMPRODUCT(--("0"&amp;LEFT(TRIM(MID(SUBSTITUTE(SUBSTITUTE(SUBSTITUTE(SUBSTITUTE(SUBSTITUTE(LOWER(Registro!$E543),"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",LEN(Registro!$E543))),({1,2,3,4,5,6,7,8,9,10,11,12,13,14,15,16,17,18,19,20,21,22,23,24,25,26,27,28,29,30}-1)*LEN(Registro!$E543)+1,LEN(Registro!$E543))),FIND("x",TRIM(MID(SUBSTITUTE(SUBSTITUTE(SUBSTITUTE(SUBSTITUTE(SUBSTITUTE(LOWER(Registro!$E543),"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",LEN(Registro!$E543))),({1,2,3,4,5,6,7,8,9,10,11,12,13,14,15,16,17,18,19,20,21,22,23,24,25,26,27,28,29,30}-1)*LEN(Registro!$E543)+1,LEN(Registro!$E543)))&amp;"x")-1))),"Revisar formato")))</f>
        <v/>
      </c>
      <c r="E543" s="24" t="str">
        <f>IF(Registro!$E543="","",IF(ISERROR(FIND("x",LOWER(Registro!$E543))),"-",IFERROR(SUMPRODUCT(--("0"&amp;LEFT(TRIM(MID(SUBSTITUTE(SUBSTITUTE(SUBSTITUTE(SUBSTITUTE(SUBSTITUTE(LOWER(Registro!$E543),"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",LEN(Registro!$E543))),({1,2,3,4,5,6,7,8,9,10,11,12,13,14,15,16,17,18,19,20,21,22,23,24,25,26,27,28,29,30}-1)*LEN(Registro!$E543)+1,LEN(Registro!$E543))),FIND("x",TRIM(MID(SUBSTITUTE(SUBSTITUTE(SUBSTITUTE(SUBSTITUTE(SUBSTITUTE(LOWER(Registro!$E543),"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",LEN(Registro!$E543))),({1,2,3,4,5,6,7,8,9,10,11,12,13,14,15,16,17,18,19,20,21,22,23,24,25,26,27,28,29,30}-1)*LEN(Registro!$E543)+1,LEN(Registro!$E543)))&amp;"x")-1)),--("0"&amp;MID(TRIM(MID(SUBSTITUTE(SUBSTITUTE(SUBSTITUTE(SUBSTITUTE(SUBSTITUTE(LOWER(Registro!$E543),"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",LEN(Registro!$E543))),({1,2,3,4,5,6,7,8,9,10,11,12,13,14,15,16,17,18,19,20,21,22,23,24,25,26,27,28,29,30}-1)*LEN(Registro!$E543)+1,LEN(Registro!$E543))),FIND("x",TRIM(MID(SUBSTITUTE(SUBSTITUTE(SUBSTITUTE(SUBSTITUTE(SUBSTITUTE(LOWER(Registro!$E543),"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",LEN(Registro!$E543))),({1,2,3,4,5,6,7,8,9,10,11,12,13,14,15,16,17,18,19,20,21,22,23,24,25,26,27,28,29,30}-1)*LEN(Registro!$E543)+1,LEN(Registro!$E543)))&amp;"x")+1,20))),"Revisar formato")))</f>
        <v/>
      </c>
      <c r="F543" s="23" t="str">
        <f>IF(Registro!$F543="","",IF(ISERROR(FIND("x",LOWER(Registro!$F543))),"-",IFERROR(SUMPRODUCT(--("0"&amp;LEFT(TRIM(MID(SUBSTITUTE(SUBSTITUTE(SUBSTITUTE(SUBSTITUTE(SUBSTITUTE(LOWER(Registro!$F543)," ",""),CHAR(10),"|"),";","|"),"+","|"),"|",REPT(" ",LEN(Registro!$F543))),({1,2,3,4,5,6,7,8,9,10,11,12,13,14,15,16,17,18,19,20,21,22,23,24,25,26,27,28,29,30}-1)*LEN(Registro!$F543)+1,LEN(Registro!$F543))),FIND("x",TRIM(MID(SUBSTITUTE(SUBSTITUTE(SUBSTITUTE(SUBSTITUTE(SUBSTITUTE(LOWER(Registro!$F543)," ",""),CHAR(10),"|"),";","|"),"+","|"),"|",REPT(" ",LEN(Registro!$F543))),({1,2,3,4,5,6,7,8,9,10,11,12,13,14,15,16,17,18,19,20,21,22,23,24,25,26,27,28,29,30}-1)*LEN(Registro!$F543)+1,LEN(Registro!$F543)))&amp;"x")-1))),"Revisar formato")))</f>
        <v/>
      </c>
      <c r="G543" s="24" t="str">
        <f>IF(Registro!$F543="","",IF(ISERROR(FIND("x",LOWER(Registro!$F543))),N(Registro!$G543),IFERROR(SUMPRODUCT(--("0"&amp;LEFT(TRIM(MID(SUBSTITUTE(SUBSTITUTE(SUBSTITUTE(SUBSTITUTE(SUBSTITUTE(LOWER(Registro!$F543)," ",""),CHAR(10),"|"),";","|"),"+","|"),"|",REPT(" ",LEN(Registro!$F543))),({1,2,3,4,5,6,7,8,9,10,11,12,13,14,15,16,17,18,19,20,21,22,23,24,25,26,27,28,29,30}-1)*LEN(Registro!$F543)+1,LEN(Registro!$F543))),FIND("x",TRIM(MID(SUBSTITUTE(SUBSTITUTE(SUBSTITUTE(SUBSTITUTE(SUBSTITUTE(LOWER(Registro!$F543)," ",""),CHAR(10),"|"),";","|"),"+","|"),"|",REPT(" ",LEN(Registro!$F543))),({1,2,3,4,5,6,7,8,9,10,11,12,13,14,15,16,17,18,19,20,21,22,23,24,25,26,27,28,29,30}-1)*LEN(Registro!$F543)+1,LEN(Registro!$F543)))&amp;"x")-1)),--("0"&amp;MID(TRIM(MID(SUBSTITUTE(SUBSTITUTE(SUBSTITUTE(SUBSTITUTE(SUBSTITUTE(LOWER(Registro!$F543)," ",""),CHAR(10),"|"),";","|"),"+","|"),"|",REPT(" ",LEN(Registro!$F543))),({1,2,3,4,5,6,7,8,9,10,11,12,13,14,15,16,17,18,19,20,21,22,23,24,25,26,27,28,29,30}-1)*LEN(Registro!$F543)+1,LEN(Registro!$F543))),FIND("x",TRIM(MID(SUBSTITUTE(SUBSTITUTE(SUBSTITUTE(SUBSTITUTE(SUBSTITUTE(LOWER(Registro!$F543)," ",""),CHAR(10),"|"),";","|"),"+","|"),"|",REPT(" ",LEN(Registro!$F543))),({1,2,3,4,5,6,7,8,9,10,11,12,13,14,15,16,17,18,19,20,21,22,23,24,25,26,27,28,29,30}-1)*LEN(Registro!$F543)+1,LEN(Registro!$F543)))&amp;"x")+1,20))),"Revisar formato")))</f>
        <v/>
      </c>
      <c r="H543" s="21" t="str">
        <f>IF(AND(Registro!$E543="",Registro!$F543=""),"",IF(NOT(AND(ISNUMBER(G543),ISNUMBER(Registro!$G543))),"",IF(G543&lt;Registro!$G543,"FALTA BOLETOS",IF(G543=Registro!$G543,"CONFORME","DIFERENCIA"))))</f>
        <v/>
      </c>
      <c r="I543" s="24" t="str">
        <f>IF(Registro!$H543="","",IFERROR(SUMPRODUCT(--("0"&amp;TRIM(RIGHT(SUBSTITUTE(TRIM(MID(SUBSTITUTE(SUBSTITUTE(Registro!$H543,";",CHAR(10)),CHAR(10),REPT(" ",LEN(Registro!$H543))),({1,2,3,4,5,6,7,8,9,10,11,12,13,14,15,16,17,18,19,20,21,22,23,24,25,26,27,28,29,30}-1)*LEN(Registro!$H543)+1,LEN(Registro!$H543)))," ",REPT(" ",50)),50)))),"Revisar formato"))</f>
        <v/>
      </c>
      <c r="J543" s="24" t="str">
        <f>IF(Registro!$I543="","",IFERROR(SUMPRODUCT(--("0"&amp;TRIM(RIGHT(SUBSTITUTE(TRIM(MID(SUBSTITUTE(SUBSTITUTE(Registro!$I543,";",CHAR(10)),CHAR(10),REPT(" ",LEN(Registro!$I543))),({1,2,3,4,5,6,7,8,9,10,11,12,13,14,15,16,17,18,19,20,21,22,23,24,25,26,27,28,29,30}-1)*LEN(Registro!$I543)+1,LEN(Registro!$I543)))," ",REPT(" ",50)),50)))),"Revisar formato"))</f>
        <v/>
      </c>
      <c r="K543" s="24" t="str">
        <f>IF(AND(Registro!$G543="",Registro!$H543=""),"",IF(AND(ISTEXT(I543),I543&lt;&gt;""),"Revisar formato",N(Registro!$G543)-N(I543)))</f>
        <v/>
      </c>
      <c r="L543" s="24" t="str">
        <f t="shared" si="17"/>
        <v/>
      </c>
      <c r="M543" s="36" t="str">
        <f>IF(AND(A543=Consulta!$B$3,C543=Consulta!$H$3),B543*10000+ROW(),"")</f>
        <v/>
      </c>
    </row>
    <row r="544" spans="1:13" x14ac:dyDescent="0.25">
      <c r="A544" s="21" t="str">
        <f>IF(Registro!$A544="","",Registro!$A544)</f>
        <v/>
      </c>
      <c r="B544" s="20" t="str">
        <f>IF(Registro!$B544="","",Registro!$B544)</f>
        <v/>
      </c>
      <c r="C544" s="35" t="str">
        <f t="shared" si="16"/>
        <v/>
      </c>
      <c r="D544" s="23" t="str">
        <f>IF(Registro!$E544="","",IF(ISERROR(FIND("x",LOWER(Registro!$E544))),"-",IFERROR(SUMPRODUCT(--("0"&amp;LEFT(TRIM(MID(SUBSTITUTE(SUBSTITUTE(SUBSTITUTE(SUBSTITUTE(SUBSTITUTE(LOWER(Registro!$E544),"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",LEN(Registro!$E544))),({1,2,3,4,5,6,7,8,9,10,11,12,13,14,15,16,17,18,19,20,21,22,23,24,25,26,27,28,29,30}-1)*LEN(Registro!$E544)+1,LEN(Registro!$E544))),FIND("x",TRIM(MID(SUBSTITUTE(SUBSTITUTE(SUBSTITUTE(SUBSTITUTE(SUBSTITUTE(LOWER(Registro!$E544),"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",LEN(Registro!$E544))),({1,2,3,4,5,6,7,8,9,10,11,12,13,14,15,16,17,18,19,20,21,22,23,24,25,26,27,28,29,30}-1)*LEN(Registro!$E544)+1,LEN(Registro!$E544)))&amp;"x")-1))),"Revisar formato")))</f>
        <v/>
      </c>
      <c r="E544" s="24" t="str">
        <f>IF(Registro!$E544="","",IF(ISERROR(FIND("x",LOWER(Registro!$E544))),"-",IFERROR(SUMPRODUCT(--("0"&amp;LEFT(TRIM(MID(SUBSTITUTE(SUBSTITUTE(SUBSTITUTE(SUBSTITUTE(SUBSTITUTE(LOWER(Registro!$E544),"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",LEN(Registro!$E544))),({1,2,3,4,5,6,7,8,9,10,11,12,13,14,15,16,17,18,19,20,21,22,23,24,25,26,27,28,29,30}-1)*LEN(Registro!$E544)+1,LEN(Registro!$E544))),FIND("x",TRIM(MID(SUBSTITUTE(SUBSTITUTE(SUBSTITUTE(SUBSTITUTE(SUBSTITUTE(LOWER(Registro!$E544),"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",LEN(Registro!$E544))),({1,2,3,4,5,6,7,8,9,10,11,12,13,14,15,16,17,18,19,20,21,22,23,24,25,26,27,28,29,30}-1)*LEN(Registro!$E544)+1,LEN(Registro!$E544)))&amp;"x")-1)),--("0"&amp;MID(TRIM(MID(SUBSTITUTE(SUBSTITUTE(SUBSTITUTE(SUBSTITUTE(SUBSTITUTE(LOWER(Registro!$E544),"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",LEN(Registro!$E544))),({1,2,3,4,5,6,7,8,9,10,11,12,13,14,15,16,17,18,19,20,21,22,23,24,25,26,27,28,29,30}-1)*LEN(Registro!$E544)+1,LEN(Registro!$E544))),FIND("x",TRIM(MID(SUBSTITUTE(SUBSTITUTE(SUBSTITUTE(SUBSTITUTE(SUBSTITUTE(LOWER(Registro!$E544),"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",LEN(Registro!$E544))),({1,2,3,4,5,6,7,8,9,10,11,12,13,14,15,16,17,18,19,20,21,22,23,24,25,26,27,28,29,30}-1)*LEN(Registro!$E544)+1,LEN(Registro!$E544)))&amp;"x")+1,20))),"Revisar formato")))</f>
        <v/>
      </c>
      <c r="F544" s="23" t="str">
        <f>IF(Registro!$F544="","",IF(ISERROR(FIND("x",LOWER(Registro!$F544))),"-",IFERROR(SUMPRODUCT(--("0"&amp;LEFT(TRIM(MID(SUBSTITUTE(SUBSTITUTE(SUBSTITUTE(SUBSTITUTE(SUBSTITUTE(LOWER(Registro!$F544)," ",""),CHAR(10),"|"),";","|"),"+","|"),"|",REPT(" ",LEN(Registro!$F544))),({1,2,3,4,5,6,7,8,9,10,11,12,13,14,15,16,17,18,19,20,21,22,23,24,25,26,27,28,29,30}-1)*LEN(Registro!$F544)+1,LEN(Registro!$F544))),FIND("x",TRIM(MID(SUBSTITUTE(SUBSTITUTE(SUBSTITUTE(SUBSTITUTE(SUBSTITUTE(LOWER(Registro!$F544)," ",""),CHAR(10),"|"),";","|"),"+","|"),"|",REPT(" ",LEN(Registro!$F544))),({1,2,3,4,5,6,7,8,9,10,11,12,13,14,15,16,17,18,19,20,21,22,23,24,25,26,27,28,29,30}-1)*LEN(Registro!$F544)+1,LEN(Registro!$F544)))&amp;"x")-1))),"Revisar formato")))</f>
        <v/>
      </c>
      <c r="G544" s="24" t="str">
        <f>IF(Registro!$F544="","",IF(ISERROR(FIND("x",LOWER(Registro!$F544))),N(Registro!$G544),IFERROR(SUMPRODUCT(--("0"&amp;LEFT(TRIM(MID(SUBSTITUTE(SUBSTITUTE(SUBSTITUTE(SUBSTITUTE(SUBSTITUTE(LOWER(Registro!$F544)," ",""),CHAR(10),"|"),";","|"),"+","|"),"|",REPT(" ",LEN(Registro!$F544))),({1,2,3,4,5,6,7,8,9,10,11,12,13,14,15,16,17,18,19,20,21,22,23,24,25,26,27,28,29,30}-1)*LEN(Registro!$F544)+1,LEN(Registro!$F544))),FIND("x",TRIM(MID(SUBSTITUTE(SUBSTITUTE(SUBSTITUTE(SUBSTITUTE(SUBSTITUTE(LOWER(Registro!$F544)," ",""),CHAR(10),"|"),";","|"),"+","|"),"|",REPT(" ",LEN(Registro!$F544))),({1,2,3,4,5,6,7,8,9,10,11,12,13,14,15,16,17,18,19,20,21,22,23,24,25,26,27,28,29,30}-1)*LEN(Registro!$F544)+1,LEN(Registro!$F544)))&amp;"x")-1)),--("0"&amp;MID(TRIM(MID(SUBSTITUTE(SUBSTITUTE(SUBSTITUTE(SUBSTITUTE(SUBSTITUTE(LOWER(Registro!$F544)," ",""),CHAR(10),"|"),";","|"),"+","|"),"|",REPT(" ",LEN(Registro!$F544))),({1,2,3,4,5,6,7,8,9,10,11,12,13,14,15,16,17,18,19,20,21,22,23,24,25,26,27,28,29,30}-1)*LEN(Registro!$F544)+1,LEN(Registro!$F544))),FIND("x",TRIM(MID(SUBSTITUTE(SUBSTITUTE(SUBSTITUTE(SUBSTITUTE(SUBSTITUTE(LOWER(Registro!$F544)," ",""),CHAR(10),"|"),";","|"),"+","|"),"|",REPT(" ",LEN(Registro!$F544))),({1,2,3,4,5,6,7,8,9,10,11,12,13,14,15,16,17,18,19,20,21,22,23,24,25,26,27,28,29,30}-1)*LEN(Registro!$F544)+1,LEN(Registro!$F544)))&amp;"x")+1,20))),"Revisar formato")))</f>
        <v/>
      </c>
      <c r="H544" s="21" t="str">
        <f>IF(AND(Registro!$E544="",Registro!$F544=""),"",IF(NOT(AND(ISNUMBER(G544),ISNUMBER(Registro!$G544))),"",IF(G544&lt;Registro!$G544,"FALTA BOLETOS",IF(G544=Registro!$G544,"CONFORME","DIFERENCIA"))))</f>
        <v/>
      </c>
      <c r="I544" s="24" t="str">
        <f>IF(Registro!$H544="","",IFERROR(SUMPRODUCT(--("0"&amp;TRIM(RIGHT(SUBSTITUTE(TRIM(MID(SUBSTITUTE(SUBSTITUTE(Registro!$H544,";",CHAR(10)),CHAR(10),REPT(" ",LEN(Registro!$H544))),({1,2,3,4,5,6,7,8,9,10,11,12,13,14,15,16,17,18,19,20,21,22,23,24,25,26,27,28,29,30}-1)*LEN(Registro!$H544)+1,LEN(Registro!$H544)))," ",REPT(" ",50)),50)))),"Revisar formato"))</f>
        <v/>
      </c>
      <c r="J544" s="24" t="str">
        <f>IF(Registro!$I544="","",IFERROR(SUMPRODUCT(--("0"&amp;TRIM(RIGHT(SUBSTITUTE(TRIM(MID(SUBSTITUTE(SUBSTITUTE(Registro!$I544,";",CHAR(10)),CHAR(10),REPT(" ",LEN(Registro!$I544))),({1,2,3,4,5,6,7,8,9,10,11,12,13,14,15,16,17,18,19,20,21,22,23,24,25,26,27,28,29,30}-1)*LEN(Registro!$I544)+1,LEN(Registro!$I544)))," ",REPT(" ",50)),50)))),"Revisar formato"))</f>
        <v/>
      </c>
      <c r="K544" s="24" t="str">
        <f>IF(AND(Registro!$G544="",Registro!$H544=""),"",IF(AND(ISTEXT(I544),I544&lt;&gt;""),"Revisar formato",N(Registro!$G544)-N(I544)))</f>
        <v/>
      </c>
      <c r="L544" s="24" t="str">
        <f t="shared" si="17"/>
        <v/>
      </c>
      <c r="M544" s="36" t="str">
        <f>IF(AND(A544=Consulta!$B$3,C544=Consulta!$H$3),B544*10000+ROW(),"")</f>
        <v/>
      </c>
    </row>
    <row r="545" spans="1:13" x14ac:dyDescent="0.25">
      <c r="A545" s="21" t="str">
        <f>IF(Registro!$A545="","",Registro!$A545)</f>
        <v/>
      </c>
      <c r="B545" s="20" t="str">
        <f>IF(Registro!$B545="","",Registro!$B545)</f>
        <v/>
      </c>
      <c r="C545" s="35" t="str">
        <f t="shared" si="16"/>
        <v/>
      </c>
      <c r="D545" s="23" t="str">
        <f>IF(Registro!$E545="","",IF(ISERROR(FIND("x",LOWER(Registro!$E545))),"-",IFERROR(SUMPRODUCT(--("0"&amp;LEFT(TRIM(MID(SUBSTITUTE(SUBSTITUTE(SUBSTITUTE(SUBSTITUTE(SUBSTITUTE(LOWER(Registro!$E545),"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",LEN(Registro!$E545))),({1,2,3,4,5,6,7,8,9,10,11,12,13,14,15,16,17,18,19,20,21,22,23,24,25,26,27,28,29,30}-1)*LEN(Registro!$E545)+1,LEN(Registro!$E545))),FIND("x",TRIM(MID(SUBSTITUTE(SUBSTITUTE(SUBSTITUTE(SUBSTITUTE(SUBSTITUTE(LOWER(Registro!$E545),"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",LEN(Registro!$E545))),({1,2,3,4,5,6,7,8,9,10,11,12,13,14,15,16,17,18,19,20,21,22,23,24,25,26,27,28,29,30}-1)*LEN(Registro!$E545)+1,LEN(Registro!$E545)))&amp;"x")-1))),"Revisar formato")))</f>
        <v/>
      </c>
      <c r="E545" s="24" t="str">
        <f>IF(Registro!$E545="","",IF(ISERROR(FIND("x",LOWER(Registro!$E545))),"-",IFERROR(SUMPRODUCT(--("0"&amp;LEFT(TRIM(MID(SUBSTITUTE(SUBSTITUTE(SUBSTITUTE(SUBSTITUTE(SUBSTITUTE(LOWER(Registro!$E545),"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",LEN(Registro!$E545))),({1,2,3,4,5,6,7,8,9,10,11,12,13,14,15,16,17,18,19,20,21,22,23,24,25,26,27,28,29,30}-1)*LEN(Registro!$E545)+1,LEN(Registro!$E545))),FIND("x",TRIM(MID(SUBSTITUTE(SUBSTITUTE(SUBSTITUTE(SUBSTITUTE(SUBSTITUTE(LOWER(Registro!$E545),"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",LEN(Registro!$E545))),({1,2,3,4,5,6,7,8,9,10,11,12,13,14,15,16,17,18,19,20,21,22,23,24,25,26,27,28,29,30}-1)*LEN(Registro!$E545)+1,LEN(Registro!$E545)))&amp;"x")-1)),--("0"&amp;MID(TRIM(MID(SUBSTITUTE(SUBSTITUTE(SUBSTITUTE(SUBSTITUTE(SUBSTITUTE(LOWER(Registro!$E545),"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",LEN(Registro!$E545))),({1,2,3,4,5,6,7,8,9,10,11,12,13,14,15,16,17,18,19,20,21,22,23,24,25,26,27,28,29,30}-1)*LEN(Registro!$E545)+1,LEN(Registro!$E545))),FIND("x",TRIM(MID(SUBSTITUTE(SUBSTITUTE(SUBSTITUTE(SUBSTITUTE(SUBSTITUTE(LOWER(Registro!$E545),"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",LEN(Registro!$E545))),({1,2,3,4,5,6,7,8,9,10,11,12,13,14,15,16,17,18,19,20,21,22,23,24,25,26,27,28,29,30}-1)*LEN(Registro!$E545)+1,LEN(Registro!$E545)))&amp;"x")+1,20))),"Revisar formato")))</f>
        <v/>
      </c>
      <c r="F545" s="23" t="str">
        <f>IF(Registro!$F545="","",IF(ISERROR(FIND("x",LOWER(Registro!$F545))),"-",IFERROR(SUMPRODUCT(--("0"&amp;LEFT(TRIM(MID(SUBSTITUTE(SUBSTITUTE(SUBSTITUTE(SUBSTITUTE(SUBSTITUTE(LOWER(Registro!$F545)," ",""),CHAR(10),"|"),";","|"),"+","|"),"|",REPT(" ",LEN(Registro!$F545))),({1,2,3,4,5,6,7,8,9,10,11,12,13,14,15,16,17,18,19,20,21,22,23,24,25,26,27,28,29,30}-1)*LEN(Registro!$F545)+1,LEN(Registro!$F545))),FIND("x",TRIM(MID(SUBSTITUTE(SUBSTITUTE(SUBSTITUTE(SUBSTITUTE(SUBSTITUTE(LOWER(Registro!$F545)," ",""),CHAR(10),"|"),";","|"),"+","|"),"|",REPT(" ",LEN(Registro!$F545))),({1,2,3,4,5,6,7,8,9,10,11,12,13,14,15,16,17,18,19,20,21,22,23,24,25,26,27,28,29,30}-1)*LEN(Registro!$F545)+1,LEN(Registro!$F545)))&amp;"x")-1))),"Revisar formato")))</f>
        <v/>
      </c>
      <c r="G545" s="24" t="str">
        <f>IF(Registro!$F545="","",IF(ISERROR(FIND("x",LOWER(Registro!$F545))),N(Registro!$G545),IFERROR(SUMPRODUCT(--("0"&amp;LEFT(TRIM(MID(SUBSTITUTE(SUBSTITUTE(SUBSTITUTE(SUBSTITUTE(SUBSTITUTE(LOWER(Registro!$F545)," ",""),CHAR(10),"|"),";","|"),"+","|"),"|",REPT(" ",LEN(Registro!$F545))),({1,2,3,4,5,6,7,8,9,10,11,12,13,14,15,16,17,18,19,20,21,22,23,24,25,26,27,28,29,30}-1)*LEN(Registro!$F545)+1,LEN(Registro!$F545))),FIND("x",TRIM(MID(SUBSTITUTE(SUBSTITUTE(SUBSTITUTE(SUBSTITUTE(SUBSTITUTE(LOWER(Registro!$F545)," ",""),CHAR(10),"|"),";","|"),"+","|"),"|",REPT(" ",LEN(Registro!$F545))),({1,2,3,4,5,6,7,8,9,10,11,12,13,14,15,16,17,18,19,20,21,22,23,24,25,26,27,28,29,30}-1)*LEN(Registro!$F545)+1,LEN(Registro!$F545)))&amp;"x")-1)),--("0"&amp;MID(TRIM(MID(SUBSTITUTE(SUBSTITUTE(SUBSTITUTE(SUBSTITUTE(SUBSTITUTE(LOWER(Registro!$F545)," ",""),CHAR(10),"|"),";","|"),"+","|"),"|",REPT(" ",LEN(Registro!$F545))),({1,2,3,4,5,6,7,8,9,10,11,12,13,14,15,16,17,18,19,20,21,22,23,24,25,26,27,28,29,30}-1)*LEN(Registro!$F545)+1,LEN(Registro!$F545))),FIND("x",TRIM(MID(SUBSTITUTE(SUBSTITUTE(SUBSTITUTE(SUBSTITUTE(SUBSTITUTE(LOWER(Registro!$F545)," ",""),CHAR(10),"|"),";","|"),"+","|"),"|",REPT(" ",LEN(Registro!$F545))),({1,2,3,4,5,6,7,8,9,10,11,12,13,14,15,16,17,18,19,20,21,22,23,24,25,26,27,28,29,30}-1)*LEN(Registro!$F545)+1,LEN(Registro!$F545)))&amp;"x")+1,20))),"Revisar formato")))</f>
        <v/>
      </c>
      <c r="H545" s="21" t="str">
        <f>IF(AND(Registro!$E545="",Registro!$F545=""),"",IF(NOT(AND(ISNUMBER(G545),ISNUMBER(Registro!$G545))),"",IF(G545&lt;Registro!$G545,"FALTA BOLETOS",IF(G545=Registro!$G545,"CONFORME","DIFERENCIA"))))</f>
        <v/>
      </c>
      <c r="I545" s="24" t="str">
        <f>IF(Registro!$H545="","",IFERROR(SUMPRODUCT(--("0"&amp;TRIM(RIGHT(SUBSTITUTE(TRIM(MID(SUBSTITUTE(SUBSTITUTE(Registro!$H545,";",CHAR(10)),CHAR(10),REPT(" ",LEN(Registro!$H545))),({1,2,3,4,5,6,7,8,9,10,11,12,13,14,15,16,17,18,19,20,21,22,23,24,25,26,27,28,29,30}-1)*LEN(Registro!$H545)+1,LEN(Registro!$H545)))," ",REPT(" ",50)),50)))),"Revisar formato"))</f>
        <v/>
      </c>
      <c r="J545" s="24" t="str">
        <f>IF(Registro!$I545="","",IFERROR(SUMPRODUCT(--("0"&amp;TRIM(RIGHT(SUBSTITUTE(TRIM(MID(SUBSTITUTE(SUBSTITUTE(Registro!$I545,";",CHAR(10)),CHAR(10),REPT(" ",LEN(Registro!$I545))),({1,2,3,4,5,6,7,8,9,10,11,12,13,14,15,16,17,18,19,20,21,22,23,24,25,26,27,28,29,30}-1)*LEN(Registro!$I545)+1,LEN(Registro!$I545)))," ",REPT(" ",50)),50)))),"Revisar formato"))</f>
        <v/>
      </c>
      <c r="K545" s="24" t="str">
        <f>IF(AND(Registro!$G545="",Registro!$H545=""),"",IF(AND(ISTEXT(I545),I545&lt;&gt;""),"Revisar formato",N(Registro!$G545)-N(I545)))</f>
        <v/>
      </c>
      <c r="L545" s="24" t="str">
        <f t="shared" si="17"/>
        <v/>
      </c>
      <c r="M545" s="36" t="str">
        <f>IF(AND(A545=Consulta!$B$3,C545=Consulta!$H$3),B545*10000+ROW(),"")</f>
        <v/>
      </c>
    </row>
    <row r="546" spans="1:13" x14ac:dyDescent="0.25">
      <c r="A546" s="21" t="str">
        <f>IF(Registro!$A546="","",Registro!$A546)</f>
        <v/>
      </c>
      <c r="B546" s="20" t="str">
        <f>IF(Registro!$B546="","",Registro!$B546)</f>
        <v/>
      </c>
      <c r="C546" s="35" t="str">
        <f t="shared" si="16"/>
        <v/>
      </c>
      <c r="D546" s="23" t="str">
        <f>IF(Registro!$E546="","",IF(ISERROR(FIND("x",LOWER(Registro!$E546))),"-",IFERROR(SUMPRODUCT(--("0"&amp;LEFT(TRIM(MID(SUBSTITUTE(SUBSTITUTE(SUBSTITUTE(SUBSTITUTE(SUBSTITUTE(LOWER(Registro!$E546),"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",LEN(Registro!$E546))),({1,2,3,4,5,6,7,8,9,10,11,12,13,14,15,16,17,18,19,20,21,22,23,24,25,26,27,28,29,30}-1)*LEN(Registro!$E546)+1,LEN(Registro!$E546))),FIND("x",TRIM(MID(SUBSTITUTE(SUBSTITUTE(SUBSTITUTE(SUBSTITUTE(SUBSTITUTE(LOWER(Registro!$E546),"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",LEN(Registro!$E546))),({1,2,3,4,5,6,7,8,9,10,11,12,13,14,15,16,17,18,19,20,21,22,23,24,25,26,27,28,29,30}-1)*LEN(Registro!$E546)+1,LEN(Registro!$E546)))&amp;"x")-1))),"Revisar formato")))</f>
        <v/>
      </c>
      <c r="E546" s="24" t="str">
        <f>IF(Registro!$E546="","",IF(ISERROR(FIND("x",LOWER(Registro!$E546))),"-",IFERROR(SUMPRODUCT(--("0"&amp;LEFT(TRIM(MID(SUBSTITUTE(SUBSTITUTE(SUBSTITUTE(SUBSTITUTE(SUBSTITUTE(LOWER(Registro!$E546),"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",LEN(Registro!$E546))),({1,2,3,4,5,6,7,8,9,10,11,12,13,14,15,16,17,18,19,20,21,22,23,24,25,26,27,28,29,30}-1)*LEN(Registro!$E546)+1,LEN(Registro!$E546))),FIND("x",TRIM(MID(SUBSTITUTE(SUBSTITUTE(SUBSTITUTE(SUBSTITUTE(SUBSTITUTE(LOWER(Registro!$E546),"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",LEN(Registro!$E546))),({1,2,3,4,5,6,7,8,9,10,11,12,13,14,15,16,17,18,19,20,21,22,23,24,25,26,27,28,29,30}-1)*LEN(Registro!$E546)+1,LEN(Registro!$E546)))&amp;"x")-1)),--("0"&amp;MID(TRIM(MID(SUBSTITUTE(SUBSTITUTE(SUBSTITUTE(SUBSTITUTE(SUBSTITUTE(LOWER(Registro!$E546),"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",LEN(Registro!$E546))),({1,2,3,4,5,6,7,8,9,10,11,12,13,14,15,16,17,18,19,20,21,22,23,24,25,26,27,28,29,30}-1)*LEN(Registro!$E546)+1,LEN(Registro!$E546))),FIND("x",TRIM(MID(SUBSTITUTE(SUBSTITUTE(SUBSTITUTE(SUBSTITUTE(SUBSTITUTE(LOWER(Registro!$E546),"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",LEN(Registro!$E546))),({1,2,3,4,5,6,7,8,9,10,11,12,13,14,15,16,17,18,19,20,21,22,23,24,25,26,27,28,29,30}-1)*LEN(Registro!$E546)+1,LEN(Registro!$E546)))&amp;"x")+1,20))),"Revisar formato")))</f>
        <v/>
      </c>
      <c r="F546" s="23" t="str">
        <f>IF(Registro!$F546="","",IF(ISERROR(FIND("x",LOWER(Registro!$F546))),"-",IFERROR(SUMPRODUCT(--("0"&amp;LEFT(TRIM(MID(SUBSTITUTE(SUBSTITUTE(SUBSTITUTE(SUBSTITUTE(SUBSTITUTE(LOWER(Registro!$F546)," ",""),CHAR(10),"|"),";","|"),"+","|"),"|",REPT(" ",LEN(Registro!$F546))),({1,2,3,4,5,6,7,8,9,10,11,12,13,14,15,16,17,18,19,20,21,22,23,24,25,26,27,28,29,30}-1)*LEN(Registro!$F546)+1,LEN(Registro!$F546))),FIND("x",TRIM(MID(SUBSTITUTE(SUBSTITUTE(SUBSTITUTE(SUBSTITUTE(SUBSTITUTE(LOWER(Registro!$F546)," ",""),CHAR(10),"|"),";","|"),"+","|"),"|",REPT(" ",LEN(Registro!$F546))),({1,2,3,4,5,6,7,8,9,10,11,12,13,14,15,16,17,18,19,20,21,22,23,24,25,26,27,28,29,30}-1)*LEN(Registro!$F546)+1,LEN(Registro!$F546)))&amp;"x")-1))),"Revisar formato")))</f>
        <v/>
      </c>
      <c r="G546" s="24" t="str">
        <f>IF(Registro!$F546="","",IF(ISERROR(FIND("x",LOWER(Registro!$F546))),N(Registro!$G546),IFERROR(SUMPRODUCT(--("0"&amp;LEFT(TRIM(MID(SUBSTITUTE(SUBSTITUTE(SUBSTITUTE(SUBSTITUTE(SUBSTITUTE(LOWER(Registro!$F546)," ",""),CHAR(10),"|"),";","|"),"+","|"),"|",REPT(" ",LEN(Registro!$F546))),({1,2,3,4,5,6,7,8,9,10,11,12,13,14,15,16,17,18,19,20,21,22,23,24,25,26,27,28,29,30}-1)*LEN(Registro!$F546)+1,LEN(Registro!$F546))),FIND("x",TRIM(MID(SUBSTITUTE(SUBSTITUTE(SUBSTITUTE(SUBSTITUTE(SUBSTITUTE(LOWER(Registro!$F546)," ",""),CHAR(10),"|"),";","|"),"+","|"),"|",REPT(" ",LEN(Registro!$F546))),({1,2,3,4,5,6,7,8,9,10,11,12,13,14,15,16,17,18,19,20,21,22,23,24,25,26,27,28,29,30}-1)*LEN(Registro!$F546)+1,LEN(Registro!$F546)))&amp;"x")-1)),--("0"&amp;MID(TRIM(MID(SUBSTITUTE(SUBSTITUTE(SUBSTITUTE(SUBSTITUTE(SUBSTITUTE(LOWER(Registro!$F546)," ",""),CHAR(10),"|"),";","|"),"+","|"),"|",REPT(" ",LEN(Registro!$F546))),({1,2,3,4,5,6,7,8,9,10,11,12,13,14,15,16,17,18,19,20,21,22,23,24,25,26,27,28,29,30}-1)*LEN(Registro!$F546)+1,LEN(Registro!$F546))),FIND("x",TRIM(MID(SUBSTITUTE(SUBSTITUTE(SUBSTITUTE(SUBSTITUTE(SUBSTITUTE(LOWER(Registro!$F546)," ",""),CHAR(10),"|"),";","|"),"+","|"),"|",REPT(" ",LEN(Registro!$F546))),({1,2,3,4,5,6,7,8,9,10,11,12,13,14,15,16,17,18,19,20,21,22,23,24,25,26,27,28,29,30}-1)*LEN(Registro!$F546)+1,LEN(Registro!$F546)))&amp;"x")+1,20))),"Revisar formato")))</f>
        <v/>
      </c>
      <c r="H546" s="21" t="str">
        <f>IF(AND(Registro!$E546="",Registro!$F546=""),"",IF(NOT(AND(ISNUMBER(G546),ISNUMBER(Registro!$G546))),"",IF(G546&lt;Registro!$G546,"FALTA BOLETOS",IF(G546=Registro!$G546,"CONFORME","DIFERENCIA"))))</f>
        <v/>
      </c>
      <c r="I546" s="24" t="str">
        <f>IF(Registro!$H546="","",IFERROR(SUMPRODUCT(--("0"&amp;TRIM(RIGHT(SUBSTITUTE(TRIM(MID(SUBSTITUTE(SUBSTITUTE(Registro!$H546,";",CHAR(10)),CHAR(10),REPT(" ",LEN(Registro!$H546))),({1,2,3,4,5,6,7,8,9,10,11,12,13,14,15,16,17,18,19,20,21,22,23,24,25,26,27,28,29,30}-1)*LEN(Registro!$H546)+1,LEN(Registro!$H546)))," ",REPT(" ",50)),50)))),"Revisar formato"))</f>
        <v/>
      </c>
      <c r="J546" s="24" t="str">
        <f>IF(Registro!$I546="","",IFERROR(SUMPRODUCT(--("0"&amp;TRIM(RIGHT(SUBSTITUTE(TRIM(MID(SUBSTITUTE(SUBSTITUTE(Registro!$I546,";",CHAR(10)),CHAR(10),REPT(" ",LEN(Registro!$I546))),({1,2,3,4,5,6,7,8,9,10,11,12,13,14,15,16,17,18,19,20,21,22,23,24,25,26,27,28,29,30}-1)*LEN(Registro!$I546)+1,LEN(Registro!$I546)))," ",REPT(" ",50)),50)))),"Revisar formato"))</f>
        <v/>
      </c>
      <c r="K546" s="24" t="str">
        <f>IF(AND(Registro!$G546="",Registro!$H546=""),"",IF(AND(ISTEXT(I546),I546&lt;&gt;""),"Revisar formato",N(Registro!$G546)-N(I546)))</f>
        <v/>
      </c>
      <c r="L546" s="24" t="str">
        <f t="shared" si="17"/>
        <v/>
      </c>
      <c r="M546" s="36" t="str">
        <f>IF(AND(A546=Consulta!$B$3,C546=Consulta!$H$3),B546*10000+ROW(),"")</f>
        <v/>
      </c>
    </row>
    <row r="547" spans="1:13" x14ac:dyDescent="0.25">
      <c r="A547" s="21" t="str">
        <f>IF(Registro!$A547="","",Registro!$A547)</f>
        <v/>
      </c>
      <c r="B547" s="20" t="str">
        <f>IF(Registro!$B547="","",Registro!$B547)</f>
        <v/>
      </c>
      <c r="C547" s="35" t="str">
        <f t="shared" si="16"/>
        <v/>
      </c>
      <c r="D547" s="23" t="str">
        <f>IF(Registro!$E547="","",IF(ISERROR(FIND("x",LOWER(Registro!$E547))),"-",IFERROR(SUMPRODUCT(--("0"&amp;LEFT(TRIM(MID(SUBSTITUTE(SUBSTITUTE(SUBSTITUTE(SUBSTITUTE(SUBSTITUTE(LOWER(Registro!$E547),"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",LEN(Registro!$E547))),({1,2,3,4,5,6,7,8,9,10,11,12,13,14,15,16,17,18,19,20,21,22,23,24,25,26,27,28,29,30}-1)*LEN(Registro!$E547)+1,LEN(Registro!$E547))),FIND("x",TRIM(MID(SUBSTITUTE(SUBSTITUTE(SUBSTITUTE(SUBSTITUTE(SUBSTITUTE(LOWER(Registro!$E547),"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",LEN(Registro!$E547))),({1,2,3,4,5,6,7,8,9,10,11,12,13,14,15,16,17,18,19,20,21,22,23,24,25,26,27,28,29,30}-1)*LEN(Registro!$E547)+1,LEN(Registro!$E547)))&amp;"x")-1))),"Revisar formato")))</f>
        <v/>
      </c>
      <c r="E547" s="24" t="str">
        <f>IF(Registro!$E547="","",IF(ISERROR(FIND("x",LOWER(Registro!$E547))),"-",IFERROR(SUMPRODUCT(--("0"&amp;LEFT(TRIM(MID(SUBSTITUTE(SUBSTITUTE(SUBSTITUTE(SUBSTITUTE(SUBSTITUTE(LOWER(Registro!$E547),"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",LEN(Registro!$E547))),({1,2,3,4,5,6,7,8,9,10,11,12,13,14,15,16,17,18,19,20,21,22,23,24,25,26,27,28,29,30}-1)*LEN(Registro!$E547)+1,LEN(Registro!$E547))),FIND("x",TRIM(MID(SUBSTITUTE(SUBSTITUTE(SUBSTITUTE(SUBSTITUTE(SUBSTITUTE(LOWER(Registro!$E547),"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",LEN(Registro!$E547))),({1,2,3,4,5,6,7,8,9,10,11,12,13,14,15,16,17,18,19,20,21,22,23,24,25,26,27,28,29,30}-1)*LEN(Registro!$E547)+1,LEN(Registro!$E547)))&amp;"x")-1)),--("0"&amp;MID(TRIM(MID(SUBSTITUTE(SUBSTITUTE(SUBSTITUTE(SUBSTITUTE(SUBSTITUTE(LOWER(Registro!$E547),"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",LEN(Registro!$E547))),({1,2,3,4,5,6,7,8,9,10,11,12,13,14,15,16,17,18,19,20,21,22,23,24,25,26,27,28,29,30}-1)*LEN(Registro!$E547)+1,LEN(Registro!$E547))),FIND("x",TRIM(MID(SUBSTITUTE(SUBSTITUTE(SUBSTITUTE(SUBSTITUTE(SUBSTITUTE(LOWER(Registro!$E547),"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",LEN(Registro!$E547))),({1,2,3,4,5,6,7,8,9,10,11,12,13,14,15,16,17,18,19,20,21,22,23,24,25,26,27,28,29,30}-1)*LEN(Registro!$E547)+1,LEN(Registro!$E547)))&amp;"x")+1,20))),"Revisar formato")))</f>
        <v/>
      </c>
      <c r="F547" s="23" t="str">
        <f>IF(Registro!$F547="","",IF(ISERROR(FIND("x",LOWER(Registro!$F547))),"-",IFERROR(SUMPRODUCT(--("0"&amp;LEFT(TRIM(MID(SUBSTITUTE(SUBSTITUTE(SUBSTITUTE(SUBSTITUTE(SUBSTITUTE(LOWER(Registro!$F547)," ",""),CHAR(10),"|"),";","|"),"+","|"),"|",REPT(" ",LEN(Registro!$F547))),({1,2,3,4,5,6,7,8,9,10,11,12,13,14,15,16,17,18,19,20,21,22,23,24,25,26,27,28,29,30}-1)*LEN(Registro!$F547)+1,LEN(Registro!$F547))),FIND("x",TRIM(MID(SUBSTITUTE(SUBSTITUTE(SUBSTITUTE(SUBSTITUTE(SUBSTITUTE(LOWER(Registro!$F547)," ",""),CHAR(10),"|"),";","|"),"+","|"),"|",REPT(" ",LEN(Registro!$F547))),({1,2,3,4,5,6,7,8,9,10,11,12,13,14,15,16,17,18,19,20,21,22,23,24,25,26,27,28,29,30}-1)*LEN(Registro!$F547)+1,LEN(Registro!$F547)))&amp;"x")-1))),"Revisar formato")))</f>
        <v/>
      </c>
      <c r="G547" s="24" t="str">
        <f>IF(Registro!$F547="","",IF(ISERROR(FIND("x",LOWER(Registro!$F547))),N(Registro!$G547),IFERROR(SUMPRODUCT(--("0"&amp;LEFT(TRIM(MID(SUBSTITUTE(SUBSTITUTE(SUBSTITUTE(SUBSTITUTE(SUBSTITUTE(LOWER(Registro!$F547)," ",""),CHAR(10),"|"),";","|"),"+","|"),"|",REPT(" ",LEN(Registro!$F547))),({1,2,3,4,5,6,7,8,9,10,11,12,13,14,15,16,17,18,19,20,21,22,23,24,25,26,27,28,29,30}-1)*LEN(Registro!$F547)+1,LEN(Registro!$F547))),FIND("x",TRIM(MID(SUBSTITUTE(SUBSTITUTE(SUBSTITUTE(SUBSTITUTE(SUBSTITUTE(LOWER(Registro!$F547)," ",""),CHAR(10),"|"),";","|"),"+","|"),"|",REPT(" ",LEN(Registro!$F547))),({1,2,3,4,5,6,7,8,9,10,11,12,13,14,15,16,17,18,19,20,21,22,23,24,25,26,27,28,29,30}-1)*LEN(Registro!$F547)+1,LEN(Registro!$F547)))&amp;"x")-1)),--("0"&amp;MID(TRIM(MID(SUBSTITUTE(SUBSTITUTE(SUBSTITUTE(SUBSTITUTE(SUBSTITUTE(LOWER(Registro!$F547)," ",""),CHAR(10),"|"),";","|"),"+","|"),"|",REPT(" ",LEN(Registro!$F547))),({1,2,3,4,5,6,7,8,9,10,11,12,13,14,15,16,17,18,19,20,21,22,23,24,25,26,27,28,29,30}-1)*LEN(Registro!$F547)+1,LEN(Registro!$F547))),FIND("x",TRIM(MID(SUBSTITUTE(SUBSTITUTE(SUBSTITUTE(SUBSTITUTE(SUBSTITUTE(LOWER(Registro!$F547)," ",""),CHAR(10),"|"),";","|"),"+","|"),"|",REPT(" ",LEN(Registro!$F547))),({1,2,3,4,5,6,7,8,9,10,11,12,13,14,15,16,17,18,19,20,21,22,23,24,25,26,27,28,29,30}-1)*LEN(Registro!$F547)+1,LEN(Registro!$F547)))&amp;"x")+1,20))),"Revisar formato")))</f>
        <v/>
      </c>
      <c r="H547" s="21" t="str">
        <f>IF(AND(Registro!$E547="",Registro!$F547=""),"",IF(NOT(AND(ISNUMBER(G547),ISNUMBER(Registro!$G547))),"",IF(G547&lt;Registro!$G547,"FALTA BOLETOS",IF(G547=Registro!$G547,"CONFORME","DIFERENCIA"))))</f>
        <v/>
      </c>
      <c r="I547" s="24" t="str">
        <f>IF(Registro!$H547="","",IFERROR(SUMPRODUCT(--("0"&amp;TRIM(RIGHT(SUBSTITUTE(TRIM(MID(SUBSTITUTE(SUBSTITUTE(Registro!$H547,";",CHAR(10)),CHAR(10),REPT(" ",LEN(Registro!$H547))),({1,2,3,4,5,6,7,8,9,10,11,12,13,14,15,16,17,18,19,20,21,22,23,24,25,26,27,28,29,30}-1)*LEN(Registro!$H547)+1,LEN(Registro!$H547)))," ",REPT(" ",50)),50)))),"Revisar formato"))</f>
        <v/>
      </c>
      <c r="J547" s="24" t="str">
        <f>IF(Registro!$I547="","",IFERROR(SUMPRODUCT(--("0"&amp;TRIM(RIGHT(SUBSTITUTE(TRIM(MID(SUBSTITUTE(SUBSTITUTE(Registro!$I547,";",CHAR(10)),CHAR(10),REPT(" ",LEN(Registro!$I547))),({1,2,3,4,5,6,7,8,9,10,11,12,13,14,15,16,17,18,19,20,21,22,23,24,25,26,27,28,29,30}-1)*LEN(Registro!$I547)+1,LEN(Registro!$I547)))," ",REPT(" ",50)),50)))),"Revisar formato"))</f>
        <v/>
      </c>
      <c r="K547" s="24" t="str">
        <f>IF(AND(Registro!$G547="",Registro!$H547=""),"",IF(AND(ISTEXT(I547),I547&lt;&gt;""),"Revisar formato",N(Registro!$G547)-N(I547)))</f>
        <v/>
      </c>
      <c r="L547" s="24" t="str">
        <f t="shared" si="17"/>
        <v/>
      </c>
      <c r="M547" s="36" t="str">
        <f>IF(AND(A547=Consulta!$B$3,C547=Consulta!$H$3),B547*10000+ROW(),"")</f>
        <v/>
      </c>
    </row>
    <row r="548" spans="1:13" x14ac:dyDescent="0.25">
      <c r="A548" s="21" t="str">
        <f>IF(Registro!$A548="","",Registro!$A548)</f>
        <v/>
      </c>
      <c r="B548" s="20" t="str">
        <f>IF(Registro!$B548="","",Registro!$B548)</f>
        <v/>
      </c>
      <c r="C548" s="35" t="str">
        <f t="shared" si="16"/>
        <v/>
      </c>
      <c r="D548" s="23" t="str">
        <f>IF(Registro!$E548="","",IF(ISERROR(FIND("x",LOWER(Registro!$E548))),"-",IFERROR(SUMPRODUCT(--("0"&amp;LEFT(TRIM(MID(SUBSTITUTE(SUBSTITUTE(SUBSTITUTE(SUBSTITUTE(SUBSTITUTE(LOWER(Registro!$E548),"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",LEN(Registro!$E548))),({1,2,3,4,5,6,7,8,9,10,11,12,13,14,15,16,17,18,19,20,21,22,23,24,25,26,27,28,29,30}-1)*LEN(Registro!$E548)+1,LEN(Registro!$E548))),FIND("x",TRIM(MID(SUBSTITUTE(SUBSTITUTE(SUBSTITUTE(SUBSTITUTE(SUBSTITUTE(LOWER(Registro!$E548),"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",LEN(Registro!$E548))),({1,2,3,4,5,6,7,8,9,10,11,12,13,14,15,16,17,18,19,20,21,22,23,24,25,26,27,28,29,30}-1)*LEN(Registro!$E548)+1,LEN(Registro!$E548)))&amp;"x")-1))),"Revisar formato")))</f>
        <v/>
      </c>
      <c r="E548" s="24" t="str">
        <f>IF(Registro!$E548="","",IF(ISERROR(FIND("x",LOWER(Registro!$E548))),"-",IFERROR(SUMPRODUCT(--("0"&amp;LEFT(TRIM(MID(SUBSTITUTE(SUBSTITUTE(SUBSTITUTE(SUBSTITUTE(SUBSTITUTE(LOWER(Registro!$E548),"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",LEN(Registro!$E548))),({1,2,3,4,5,6,7,8,9,10,11,12,13,14,15,16,17,18,19,20,21,22,23,24,25,26,27,28,29,30}-1)*LEN(Registro!$E548)+1,LEN(Registro!$E548))),FIND("x",TRIM(MID(SUBSTITUTE(SUBSTITUTE(SUBSTITUTE(SUBSTITUTE(SUBSTITUTE(LOWER(Registro!$E548),"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",LEN(Registro!$E548))),({1,2,3,4,5,6,7,8,9,10,11,12,13,14,15,16,17,18,19,20,21,22,23,24,25,26,27,28,29,30}-1)*LEN(Registro!$E548)+1,LEN(Registro!$E548)))&amp;"x")-1)),--("0"&amp;MID(TRIM(MID(SUBSTITUTE(SUBSTITUTE(SUBSTITUTE(SUBSTITUTE(SUBSTITUTE(LOWER(Registro!$E548),"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",LEN(Registro!$E548))),({1,2,3,4,5,6,7,8,9,10,11,12,13,14,15,16,17,18,19,20,21,22,23,24,25,26,27,28,29,30}-1)*LEN(Registro!$E548)+1,LEN(Registro!$E548))),FIND("x",TRIM(MID(SUBSTITUTE(SUBSTITUTE(SUBSTITUTE(SUBSTITUTE(SUBSTITUTE(LOWER(Registro!$E548),"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",LEN(Registro!$E548))),({1,2,3,4,5,6,7,8,9,10,11,12,13,14,15,16,17,18,19,20,21,22,23,24,25,26,27,28,29,30}-1)*LEN(Registro!$E548)+1,LEN(Registro!$E548)))&amp;"x")+1,20))),"Revisar formato")))</f>
        <v/>
      </c>
      <c r="F548" s="23" t="str">
        <f>IF(Registro!$F548="","",IF(ISERROR(FIND("x",LOWER(Registro!$F548))),"-",IFERROR(SUMPRODUCT(--("0"&amp;LEFT(TRIM(MID(SUBSTITUTE(SUBSTITUTE(SUBSTITUTE(SUBSTITUTE(SUBSTITUTE(LOWER(Registro!$F548)," ",""),CHAR(10),"|"),";","|"),"+","|"),"|",REPT(" ",LEN(Registro!$F548))),({1,2,3,4,5,6,7,8,9,10,11,12,13,14,15,16,17,18,19,20,21,22,23,24,25,26,27,28,29,30}-1)*LEN(Registro!$F548)+1,LEN(Registro!$F548))),FIND("x",TRIM(MID(SUBSTITUTE(SUBSTITUTE(SUBSTITUTE(SUBSTITUTE(SUBSTITUTE(LOWER(Registro!$F548)," ",""),CHAR(10),"|"),";","|"),"+","|"),"|",REPT(" ",LEN(Registro!$F548))),({1,2,3,4,5,6,7,8,9,10,11,12,13,14,15,16,17,18,19,20,21,22,23,24,25,26,27,28,29,30}-1)*LEN(Registro!$F548)+1,LEN(Registro!$F548)))&amp;"x")-1))),"Revisar formato")))</f>
        <v/>
      </c>
      <c r="G548" s="24" t="str">
        <f>IF(Registro!$F548="","",IF(ISERROR(FIND("x",LOWER(Registro!$F548))),N(Registro!$G548),IFERROR(SUMPRODUCT(--("0"&amp;LEFT(TRIM(MID(SUBSTITUTE(SUBSTITUTE(SUBSTITUTE(SUBSTITUTE(SUBSTITUTE(LOWER(Registro!$F548)," ",""),CHAR(10),"|"),";","|"),"+","|"),"|",REPT(" ",LEN(Registro!$F548))),({1,2,3,4,5,6,7,8,9,10,11,12,13,14,15,16,17,18,19,20,21,22,23,24,25,26,27,28,29,30}-1)*LEN(Registro!$F548)+1,LEN(Registro!$F548))),FIND("x",TRIM(MID(SUBSTITUTE(SUBSTITUTE(SUBSTITUTE(SUBSTITUTE(SUBSTITUTE(LOWER(Registro!$F548)," ",""),CHAR(10),"|"),";","|"),"+","|"),"|",REPT(" ",LEN(Registro!$F548))),({1,2,3,4,5,6,7,8,9,10,11,12,13,14,15,16,17,18,19,20,21,22,23,24,25,26,27,28,29,30}-1)*LEN(Registro!$F548)+1,LEN(Registro!$F548)))&amp;"x")-1)),--("0"&amp;MID(TRIM(MID(SUBSTITUTE(SUBSTITUTE(SUBSTITUTE(SUBSTITUTE(SUBSTITUTE(LOWER(Registro!$F548)," ",""),CHAR(10),"|"),";","|"),"+","|"),"|",REPT(" ",LEN(Registro!$F548))),({1,2,3,4,5,6,7,8,9,10,11,12,13,14,15,16,17,18,19,20,21,22,23,24,25,26,27,28,29,30}-1)*LEN(Registro!$F548)+1,LEN(Registro!$F548))),FIND("x",TRIM(MID(SUBSTITUTE(SUBSTITUTE(SUBSTITUTE(SUBSTITUTE(SUBSTITUTE(LOWER(Registro!$F548)," ",""),CHAR(10),"|"),";","|"),"+","|"),"|",REPT(" ",LEN(Registro!$F548))),({1,2,3,4,5,6,7,8,9,10,11,12,13,14,15,16,17,18,19,20,21,22,23,24,25,26,27,28,29,30}-1)*LEN(Registro!$F548)+1,LEN(Registro!$F548)))&amp;"x")+1,20))),"Revisar formato")))</f>
        <v/>
      </c>
      <c r="H548" s="21" t="str">
        <f>IF(AND(Registro!$E548="",Registro!$F548=""),"",IF(NOT(AND(ISNUMBER(G548),ISNUMBER(Registro!$G548))),"",IF(G548&lt;Registro!$G548,"FALTA BOLETOS",IF(G548=Registro!$G548,"CONFORME","DIFERENCIA"))))</f>
        <v/>
      </c>
      <c r="I548" s="24" t="str">
        <f>IF(Registro!$H548="","",IFERROR(SUMPRODUCT(--("0"&amp;TRIM(RIGHT(SUBSTITUTE(TRIM(MID(SUBSTITUTE(SUBSTITUTE(Registro!$H548,";",CHAR(10)),CHAR(10),REPT(" ",LEN(Registro!$H548))),({1,2,3,4,5,6,7,8,9,10,11,12,13,14,15,16,17,18,19,20,21,22,23,24,25,26,27,28,29,30}-1)*LEN(Registro!$H548)+1,LEN(Registro!$H548)))," ",REPT(" ",50)),50)))),"Revisar formato"))</f>
        <v/>
      </c>
      <c r="J548" s="24" t="str">
        <f>IF(Registro!$I548="","",IFERROR(SUMPRODUCT(--("0"&amp;TRIM(RIGHT(SUBSTITUTE(TRIM(MID(SUBSTITUTE(SUBSTITUTE(Registro!$I548,";",CHAR(10)),CHAR(10),REPT(" ",LEN(Registro!$I548))),({1,2,3,4,5,6,7,8,9,10,11,12,13,14,15,16,17,18,19,20,21,22,23,24,25,26,27,28,29,30}-1)*LEN(Registro!$I548)+1,LEN(Registro!$I548)))," ",REPT(" ",50)),50)))),"Revisar formato"))</f>
        <v/>
      </c>
      <c r="K548" s="24" t="str">
        <f>IF(AND(Registro!$G548="",Registro!$H548=""),"",IF(AND(ISTEXT(I548),I548&lt;&gt;""),"Revisar formato",N(Registro!$G548)-N(I548)))</f>
        <v/>
      </c>
      <c r="L548" s="24" t="str">
        <f t="shared" si="17"/>
        <v/>
      </c>
      <c r="M548" s="36" t="str">
        <f>IF(AND(A548=Consulta!$B$3,C548=Consulta!$H$3),B548*10000+ROW(),"")</f>
        <v/>
      </c>
    </row>
    <row r="549" spans="1:13" x14ac:dyDescent="0.25">
      <c r="A549" s="21" t="str">
        <f>IF(Registro!$A549="","",Registro!$A549)</f>
        <v/>
      </c>
      <c r="B549" s="20" t="str">
        <f>IF(Registro!$B549="","",Registro!$B549)</f>
        <v/>
      </c>
      <c r="C549" s="35" t="str">
        <f t="shared" si="16"/>
        <v/>
      </c>
      <c r="D549" s="23" t="str">
        <f>IF(Registro!$E549="","",IF(ISERROR(FIND("x",LOWER(Registro!$E549))),"-",IFERROR(SUMPRODUCT(--("0"&amp;LEFT(TRIM(MID(SUBSTITUTE(SUBSTITUTE(SUBSTITUTE(SUBSTITUTE(SUBSTITUTE(LOWER(Registro!$E549),"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",LEN(Registro!$E549))),({1,2,3,4,5,6,7,8,9,10,11,12,13,14,15,16,17,18,19,20,21,22,23,24,25,26,27,28,29,30}-1)*LEN(Registro!$E549)+1,LEN(Registro!$E549))),FIND("x",TRIM(MID(SUBSTITUTE(SUBSTITUTE(SUBSTITUTE(SUBSTITUTE(SUBSTITUTE(LOWER(Registro!$E549),"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",LEN(Registro!$E549))),({1,2,3,4,5,6,7,8,9,10,11,12,13,14,15,16,17,18,19,20,21,22,23,24,25,26,27,28,29,30}-1)*LEN(Registro!$E549)+1,LEN(Registro!$E549)))&amp;"x")-1))),"Revisar formato")))</f>
        <v/>
      </c>
      <c r="E549" s="24" t="str">
        <f>IF(Registro!$E549="","",IF(ISERROR(FIND("x",LOWER(Registro!$E549))),"-",IFERROR(SUMPRODUCT(--("0"&amp;LEFT(TRIM(MID(SUBSTITUTE(SUBSTITUTE(SUBSTITUTE(SUBSTITUTE(SUBSTITUTE(LOWER(Registro!$E549),"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",LEN(Registro!$E549))),({1,2,3,4,5,6,7,8,9,10,11,12,13,14,15,16,17,18,19,20,21,22,23,24,25,26,27,28,29,30}-1)*LEN(Registro!$E549)+1,LEN(Registro!$E549))),FIND("x",TRIM(MID(SUBSTITUTE(SUBSTITUTE(SUBSTITUTE(SUBSTITUTE(SUBSTITUTE(LOWER(Registro!$E549),"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",LEN(Registro!$E549))),({1,2,3,4,5,6,7,8,9,10,11,12,13,14,15,16,17,18,19,20,21,22,23,24,25,26,27,28,29,30}-1)*LEN(Registro!$E549)+1,LEN(Registro!$E549)))&amp;"x")-1)),--("0"&amp;MID(TRIM(MID(SUBSTITUTE(SUBSTITUTE(SUBSTITUTE(SUBSTITUTE(SUBSTITUTE(LOWER(Registro!$E549),"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",LEN(Registro!$E549))),({1,2,3,4,5,6,7,8,9,10,11,12,13,14,15,16,17,18,19,20,21,22,23,24,25,26,27,28,29,30}-1)*LEN(Registro!$E549)+1,LEN(Registro!$E549))),FIND("x",TRIM(MID(SUBSTITUTE(SUBSTITUTE(SUBSTITUTE(SUBSTITUTE(SUBSTITUTE(LOWER(Registro!$E549),"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",LEN(Registro!$E549))),({1,2,3,4,5,6,7,8,9,10,11,12,13,14,15,16,17,18,19,20,21,22,23,24,25,26,27,28,29,30}-1)*LEN(Registro!$E549)+1,LEN(Registro!$E549)))&amp;"x")+1,20))),"Revisar formato")))</f>
        <v/>
      </c>
      <c r="F549" s="23" t="str">
        <f>IF(Registro!$F549="","",IF(ISERROR(FIND("x",LOWER(Registro!$F549))),"-",IFERROR(SUMPRODUCT(--("0"&amp;LEFT(TRIM(MID(SUBSTITUTE(SUBSTITUTE(SUBSTITUTE(SUBSTITUTE(SUBSTITUTE(LOWER(Registro!$F549)," ",""),CHAR(10),"|"),";","|"),"+","|"),"|",REPT(" ",LEN(Registro!$F549))),({1,2,3,4,5,6,7,8,9,10,11,12,13,14,15,16,17,18,19,20,21,22,23,24,25,26,27,28,29,30}-1)*LEN(Registro!$F549)+1,LEN(Registro!$F549))),FIND("x",TRIM(MID(SUBSTITUTE(SUBSTITUTE(SUBSTITUTE(SUBSTITUTE(SUBSTITUTE(LOWER(Registro!$F549)," ",""),CHAR(10),"|"),";","|"),"+","|"),"|",REPT(" ",LEN(Registro!$F549))),({1,2,3,4,5,6,7,8,9,10,11,12,13,14,15,16,17,18,19,20,21,22,23,24,25,26,27,28,29,30}-1)*LEN(Registro!$F549)+1,LEN(Registro!$F549)))&amp;"x")-1))),"Revisar formato")))</f>
        <v/>
      </c>
      <c r="G549" s="24" t="str">
        <f>IF(Registro!$F549="","",IF(ISERROR(FIND("x",LOWER(Registro!$F549))),N(Registro!$G549),IFERROR(SUMPRODUCT(--("0"&amp;LEFT(TRIM(MID(SUBSTITUTE(SUBSTITUTE(SUBSTITUTE(SUBSTITUTE(SUBSTITUTE(LOWER(Registro!$F549)," ",""),CHAR(10),"|"),";","|"),"+","|"),"|",REPT(" ",LEN(Registro!$F549))),({1,2,3,4,5,6,7,8,9,10,11,12,13,14,15,16,17,18,19,20,21,22,23,24,25,26,27,28,29,30}-1)*LEN(Registro!$F549)+1,LEN(Registro!$F549))),FIND("x",TRIM(MID(SUBSTITUTE(SUBSTITUTE(SUBSTITUTE(SUBSTITUTE(SUBSTITUTE(LOWER(Registro!$F549)," ",""),CHAR(10),"|"),";","|"),"+","|"),"|",REPT(" ",LEN(Registro!$F549))),({1,2,3,4,5,6,7,8,9,10,11,12,13,14,15,16,17,18,19,20,21,22,23,24,25,26,27,28,29,30}-1)*LEN(Registro!$F549)+1,LEN(Registro!$F549)))&amp;"x")-1)),--("0"&amp;MID(TRIM(MID(SUBSTITUTE(SUBSTITUTE(SUBSTITUTE(SUBSTITUTE(SUBSTITUTE(LOWER(Registro!$F549)," ",""),CHAR(10),"|"),";","|"),"+","|"),"|",REPT(" ",LEN(Registro!$F549))),({1,2,3,4,5,6,7,8,9,10,11,12,13,14,15,16,17,18,19,20,21,22,23,24,25,26,27,28,29,30}-1)*LEN(Registro!$F549)+1,LEN(Registro!$F549))),FIND("x",TRIM(MID(SUBSTITUTE(SUBSTITUTE(SUBSTITUTE(SUBSTITUTE(SUBSTITUTE(LOWER(Registro!$F549)," ",""),CHAR(10),"|"),";","|"),"+","|"),"|",REPT(" ",LEN(Registro!$F549))),({1,2,3,4,5,6,7,8,9,10,11,12,13,14,15,16,17,18,19,20,21,22,23,24,25,26,27,28,29,30}-1)*LEN(Registro!$F549)+1,LEN(Registro!$F549)))&amp;"x")+1,20))),"Revisar formato")))</f>
        <v/>
      </c>
      <c r="H549" s="21" t="str">
        <f>IF(AND(Registro!$E549="",Registro!$F549=""),"",IF(NOT(AND(ISNUMBER(G549),ISNUMBER(Registro!$G549))),"",IF(G549&lt;Registro!$G549,"FALTA BOLETOS",IF(G549=Registro!$G549,"CONFORME","DIFERENCIA"))))</f>
        <v/>
      </c>
      <c r="I549" s="24" t="str">
        <f>IF(Registro!$H549="","",IFERROR(SUMPRODUCT(--("0"&amp;TRIM(RIGHT(SUBSTITUTE(TRIM(MID(SUBSTITUTE(SUBSTITUTE(Registro!$H549,";",CHAR(10)),CHAR(10),REPT(" ",LEN(Registro!$H549))),({1,2,3,4,5,6,7,8,9,10,11,12,13,14,15,16,17,18,19,20,21,22,23,24,25,26,27,28,29,30}-1)*LEN(Registro!$H549)+1,LEN(Registro!$H549)))," ",REPT(" ",50)),50)))),"Revisar formato"))</f>
        <v/>
      </c>
      <c r="J549" s="24" t="str">
        <f>IF(Registro!$I549="","",IFERROR(SUMPRODUCT(--("0"&amp;TRIM(RIGHT(SUBSTITUTE(TRIM(MID(SUBSTITUTE(SUBSTITUTE(Registro!$I549,";",CHAR(10)),CHAR(10),REPT(" ",LEN(Registro!$I549))),({1,2,3,4,5,6,7,8,9,10,11,12,13,14,15,16,17,18,19,20,21,22,23,24,25,26,27,28,29,30}-1)*LEN(Registro!$I549)+1,LEN(Registro!$I549)))," ",REPT(" ",50)),50)))),"Revisar formato"))</f>
        <v/>
      </c>
      <c r="K549" s="24" t="str">
        <f>IF(AND(Registro!$G549="",Registro!$H549=""),"",IF(AND(ISTEXT(I549),I549&lt;&gt;""),"Revisar formato",N(Registro!$G549)-N(I549)))</f>
        <v/>
      </c>
      <c r="L549" s="24" t="str">
        <f t="shared" si="17"/>
        <v/>
      </c>
      <c r="M549" s="36" t="str">
        <f>IF(AND(A549=Consulta!$B$3,C549=Consulta!$H$3),B549*10000+ROW(),"")</f>
        <v/>
      </c>
    </row>
    <row r="550" spans="1:13" x14ac:dyDescent="0.25">
      <c r="A550" s="21" t="str">
        <f>IF(Registro!$A550="","",Registro!$A550)</f>
        <v/>
      </c>
      <c r="B550" s="20" t="str">
        <f>IF(Registro!$B550="","",Registro!$B550)</f>
        <v/>
      </c>
      <c r="C550" s="35" t="str">
        <f t="shared" si="16"/>
        <v/>
      </c>
      <c r="D550" s="23" t="str">
        <f>IF(Registro!$E550="","",IF(ISERROR(FIND("x",LOWER(Registro!$E550))),"-",IFERROR(SUMPRODUCT(--("0"&amp;LEFT(TRIM(MID(SUBSTITUTE(SUBSTITUTE(SUBSTITUTE(SUBSTITUTE(SUBSTITUTE(LOWER(Registro!$E550),"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",LEN(Registro!$E550))),({1,2,3,4,5,6,7,8,9,10,11,12,13,14,15,16,17,18,19,20,21,22,23,24,25,26,27,28,29,30}-1)*LEN(Registro!$E550)+1,LEN(Registro!$E550))),FIND("x",TRIM(MID(SUBSTITUTE(SUBSTITUTE(SUBSTITUTE(SUBSTITUTE(SUBSTITUTE(LOWER(Registro!$E550),"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",LEN(Registro!$E550))),({1,2,3,4,5,6,7,8,9,10,11,12,13,14,15,16,17,18,19,20,21,22,23,24,25,26,27,28,29,30}-1)*LEN(Registro!$E550)+1,LEN(Registro!$E550)))&amp;"x")-1))),"Revisar formato")))</f>
        <v/>
      </c>
      <c r="E550" s="24" t="str">
        <f>IF(Registro!$E550="","",IF(ISERROR(FIND("x",LOWER(Registro!$E550))),"-",IFERROR(SUMPRODUCT(--("0"&amp;LEFT(TRIM(MID(SUBSTITUTE(SUBSTITUTE(SUBSTITUTE(SUBSTITUTE(SUBSTITUTE(LOWER(Registro!$E550),"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",LEN(Registro!$E550))),({1,2,3,4,5,6,7,8,9,10,11,12,13,14,15,16,17,18,19,20,21,22,23,24,25,26,27,28,29,30}-1)*LEN(Registro!$E550)+1,LEN(Registro!$E550))),FIND("x",TRIM(MID(SUBSTITUTE(SUBSTITUTE(SUBSTITUTE(SUBSTITUTE(SUBSTITUTE(LOWER(Registro!$E550),"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",LEN(Registro!$E550))),({1,2,3,4,5,6,7,8,9,10,11,12,13,14,15,16,17,18,19,20,21,22,23,24,25,26,27,28,29,30}-1)*LEN(Registro!$E550)+1,LEN(Registro!$E550)))&amp;"x")-1)),--("0"&amp;MID(TRIM(MID(SUBSTITUTE(SUBSTITUTE(SUBSTITUTE(SUBSTITUTE(SUBSTITUTE(LOWER(Registro!$E550),"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",LEN(Registro!$E550))),({1,2,3,4,5,6,7,8,9,10,11,12,13,14,15,16,17,18,19,20,21,22,23,24,25,26,27,28,29,30}-1)*LEN(Registro!$E550)+1,LEN(Registro!$E550))),FIND("x",TRIM(MID(SUBSTITUTE(SUBSTITUTE(SUBSTITUTE(SUBSTITUTE(SUBSTITUTE(LOWER(Registro!$E550),"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",LEN(Registro!$E550))),({1,2,3,4,5,6,7,8,9,10,11,12,13,14,15,16,17,18,19,20,21,22,23,24,25,26,27,28,29,30}-1)*LEN(Registro!$E550)+1,LEN(Registro!$E550)))&amp;"x")+1,20))),"Revisar formato")))</f>
        <v/>
      </c>
      <c r="F550" s="23" t="str">
        <f>IF(Registro!$F550="","",IF(ISERROR(FIND("x",LOWER(Registro!$F550))),"-",IFERROR(SUMPRODUCT(--("0"&amp;LEFT(TRIM(MID(SUBSTITUTE(SUBSTITUTE(SUBSTITUTE(SUBSTITUTE(SUBSTITUTE(LOWER(Registro!$F550)," ",""),CHAR(10),"|"),";","|"),"+","|"),"|",REPT(" ",LEN(Registro!$F550))),({1,2,3,4,5,6,7,8,9,10,11,12,13,14,15,16,17,18,19,20,21,22,23,24,25,26,27,28,29,30}-1)*LEN(Registro!$F550)+1,LEN(Registro!$F550))),FIND("x",TRIM(MID(SUBSTITUTE(SUBSTITUTE(SUBSTITUTE(SUBSTITUTE(SUBSTITUTE(LOWER(Registro!$F550)," ",""),CHAR(10),"|"),";","|"),"+","|"),"|",REPT(" ",LEN(Registro!$F550))),({1,2,3,4,5,6,7,8,9,10,11,12,13,14,15,16,17,18,19,20,21,22,23,24,25,26,27,28,29,30}-1)*LEN(Registro!$F550)+1,LEN(Registro!$F550)))&amp;"x")-1))),"Revisar formato")))</f>
        <v/>
      </c>
      <c r="G550" s="24" t="str">
        <f>IF(Registro!$F550="","",IF(ISERROR(FIND("x",LOWER(Registro!$F550))),N(Registro!$G550),IFERROR(SUMPRODUCT(--("0"&amp;LEFT(TRIM(MID(SUBSTITUTE(SUBSTITUTE(SUBSTITUTE(SUBSTITUTE(SUBSTITUTE(LOWER(Registro!$F550)," ",""),CHAR(10),"|"),";","|"),"+","|"),"|",REPT(" ",LEN(Registro!$F550))),({1,2,3,4,5,6,7,8,9,10,11,12,13,14,15,16,17,18,19,20,21,22,23,24,25,26,27,28,29,30}-1)*LEN(Registro!$F550)+1,LEN(Registro!$F550))),FIND("x",TRIM(MID(SUBSTITUTE(SUBSTITUTE(SUBSTITUTE(SUBSTITUTE(SUBSTITUTE(LOWER(Registro!$F550)," ",""),CHAR(10),"|"),";","|"),"+","|"),"|",REPT(" ",LEN(Registro!$F550))),({1,2,3,4,5,6,7,8,9,10,11,12,13,14,15,16,17,18,19,20,21,22,23,24,25,26,27,28,29,30}-1)*LEN(Registro!$F550)+1,LEN(Registro!$F550)))&amp;"x")-1)),--("0"&amp;MID(TRIM(MID(SUBSTITUTE(SUBSTITUTE(SUBSTITUTE(SUBSTITUTE(SUBSTITUTE(LOWER(Registro!$F550)," ",""),CHAR(10),"|"),";","|"),"+","|"),"|",REPT(" ",LEN(Registro!$F550))),({1,2,3,4,5,6,7,8,9,10,11,12,13,14,15,16,17,18,19,20,21,22,23,24,25,26,27,28,29,30}-1)*LEN(Registro!$F550)+1,LEN(Registro!$F550))),FIND("x",TRIM(MID(SUBSTITUTE(SUBSTITUTE(SUBSTITUTE(SUBSTITUTE(SUBSTITUTE(LOWER(Registro!$F550)," ",""),CHAR(10),"|"),";","|"),"+","|"),"|",REPT(" ",LEN(Registro!$F550))),({1,2,3,4,5,6,7,8,9,10,11,12,13,14,15,16,17,18,19,20,21,22,23,24,25,26,27,28,29,30}-1)*LEN(Registro!$F550)+1,LEN(Registro!$F550)))&amp;"x")+1,20))),"Revisar formato")))</f>
        <v/>
      </c>
      <c r="H550" s="21" t="str">
        <f>IF(AND(Registro!$E550="",Registro!$F550=""),"",IF(NOT(AND(ISNUMBER(G550),ISNUMBER(Registro!$G550))),"",IF(G550&lt;Registro!$G550,"FALTA BOLETOS",IF(G550=Registro!$G550,"CONFORME","DIFERENCIA"))))</f>
        <v/>
      </c>
      <c r="I550" s="24" t="str">
        <f>IF(Registro!$H550="","",IFERROR(SUMPRODUCT(--("0"&amp;TRIM(RIGHT(SUBSTITUTE(TRIM(MID(SUBSTITUTE(SUBSTITUTE(Registro!$H550,";",CHAR(10)),CHAR(10),REPT(" ",LEN(Registro!$H550))),({1,2,3,4,5,6,7,8,9,10,11,12,13,14,15,16,17,18,19,20,21,22,23,24,25,26,27,28,29,30}-1)*LEN(Registro!$H550)+1,LEN(Registro!$H550)))," ",REPT(" ",50)),50)))),"Revisar formato"))</f>
        <v/>
      </c>
      <c r="J550" s="24" t="str">
        <f>IF(Registro!$I550="","",IFERROR(SUMPRODUCT(--("0"&amp;TRIM(RIGHT(SUBSTITUTE(TRIM(MID(SUBSTITUTE(SUBSTITUTE(Registro!$I550,";",CHAR(10)),CHAR(10),REPT(" ",LEN(Registro!$I550))),({1,2,3,4,5,6,7,8,9,10,11,12,13,14,15,16,17,18,19,20,21,22,23,24,25,26,27,28,29,30}-1)*LEN(Registro!$I550)+1,LEN(Registro!$I550)))," ",REPT(" ",50)),50)))),"Revisar formato"))</f>
        <v/>
      </c>
      <c r="K550" s="24" t="str">
        <f>IF(AND(Registro!$G550="",Registro!$H550=""),"",IF(AND(ISTEXT(I550),I550&lt;&gt;""),"Revisar formato",N(Registro!$G550)-N(I550)))</f>
        <v/>
      </c>
      <c r="L550" s="24" t="str">
        <f t="shared" si="17"/>
        <v/>
      </c>
      <c r="M550" s="36" t="str">
        <f>IF(AND(A550=Consulta!$B$3,C550=Consulta!$H$3),B550*10000+ROW(),"")</f>
        <v/>
      </c>
    </row>
    <row r="551" spans="1:13" x14ac:dyDescent="0.25">
      <c r="A551" s="21" t="str">
        <f>IF(Registro!$A551="","",Registro!$A551)</f>
        <v/>
      </c>
      <c r="B551" s="20" t="str">
        <f>IF(Registro!$B551="","",Registro!$B551)</f>
        <v/>
      </c>
      <c r="C551" s="35" t="str">
        <f t="shared" si="16"/>
        <v/>
      </c>
      <c r="D551" s="23" t="str">
        <f>IF(Registro!$E551="","",IF(ISERROR(FIND("x",LOWER(Registro!$E551))),"-",IFERROR(SUMPRODUCT(--("0"&amp;LEFT(TRIM(MID(SUBSTITUTE(SUBSTITUTE(SUBSTITUTE(SUBSTITUTE(SUBSTITUTE(LOWER(Registro!$E551),"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",LEN(Registro!$E551))),({1,2,3,4,5,6,7,8,9,10,11,12,13,14,15,16,17,18,19,20,21,22,23,24,25,26,27,28,29,30}-1)*LEN(Registro!$E551)+1,LEN(Registro!$E551))),FIND("x",TRIM(MID(SUBSTITUTE(SUBSTITUTE(SUBSTITUTE(SUBSTITUTE(SUBSTITUTE(LOWER(Registro!$E551),"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",LEN(Registro!$E551))),({1,2,3,4,5,6,7,8,9,10,11,12,13,14,15,16,17,18,19,20,21,22,23,24,25,26,27,28,29,30}-1)*LEN(Registro!$E551)+1,LEN(Registro!$E551)))&amp;"x")-1))),"Revisar formato")))</f>
        <v/>
      </c>
      <c r="E551" s="24" t="str">
        <f>IF(Registro!$E551="","",IF(ISERROR(FIND("x",LOWER(Registro!$E551))),"-",IFERROR(SUMPRODUCT(--("0"&amp;LEFT(TRIM(MID(SUBSTITUTE(SUBSTITUTE(SUBSTITUTE(SUBSTITUTE(SUBSTITUTE(LOWER(Registro!$E551),"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",LEN(Registro!$E551))),({1,2,3,4,5,6,7,8,9,10,11,12,13,14,15,16,17,18,19,20,21,22,23,24,25,26,27,28,29,30}-1)*LEN(Registro!$E551)+1,LEN(Registro!$E551))),FIND("x",TRIM(MID(SUBSTITUTE(SUBSTITUTE(SUBSTITUTE(SUBSTITUTE(SUBSTITUTE(LOWER(Registro!$E551),"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",LEN(Registro!$E551))),({1,2,3,4,5,6,7,8,9,10,11,12,13,14,15,16,17,18,19,20,21,22,23,24,25,26,27,28,29,30}-1)*LEN(Registro!$E551)+1,LEN(Registro!$E551)))&amp;"x")-1)),--("0"&amp;MID(TRIM(MID(SUBSTITUTE(SUBSTITUTE(SUBSTITUTE(SUBSTITUTE(SUBSTITUTE(LOWER(Registro!$E551),"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",LEN(Registro!$E551))),({1,2,3,4,5,6,7,8,9,10,11,12,13,14,15,16,17,18,19,20,21,22,23,24,25,26,27,28,29,30}-1)*LEN(Registro!$E551)+1,LEN(Registro!$E551))),FIND("x",TRIM(MID(SUBSTITUTE(SUBSTITUTE(SUBSTITUTE(SUBSTITUTE(SUBSTITUTE(LOWER(Registro!$E551),"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",LEN(Registro!$E551))),({1,2,3,4,5,6,7,8,9,10,11,12,13,14,15,16,17,18,19,20,21,22,23,24,25,26,27,28,29,30}-1)*LEN(Registro!$E551)+1,LEN(Registro!$E551)))&amp;"x")+1,20))),"Revisar formato")))</f>
        <v/>
      </c>
      <c r="F551" s="23" t="str">
        <f>IF(Registro!$F551="","",IF(ISERROR(FIND("x",LOWER(Registro!$F551))),"-",IFERROR(SUMPRODUCT(--("0"&amp;LEFT(TRIM(MID(SUBSTITUTE(SUBSTITUTE(SUBSTITUTE(SUBSTITUTE(SUBSTITUTE(LOWER(Registro!$F551)," ",""),CHAR(10),"|"),";","|"),"+","|"),"|",REPT(" ",LEN(Registro!$F551))),({1,2,3,4,5,6,7,8,9,10,11,12,13,14,15,16,17,18,19,20,21,22,23,24,25,26,27,28,29,30}-1)*LEN(Registro!$F551)+1,LEN(Registro!$F551))),FIND("x",TRIM(MID(SUBSTITUTE(SUBSTITUTE(SUBSTITUTE(SUBSTITUTE(SUBSTITUTE(LOWER(Registro!$F551)," ",""),CHAR(10),"|"),";","|"),"+","|"),"|",REPT(" ",LEN(Registro!$F551))),({1,2,3,4,5,6,7,8,9,10,11,12,13,14,15,16,17,18,19,20,21,22,23,24,25,26,27,28,29,30}-1)*LEN(Registro!$F551)+1,LEN(Registro!$F551)))&amp;"x")-1))),"Revisar formato")))</f>
        <v/>
      </c>
      <c r="G551" s="24" t="str">
        <f>IF(Registro!$F551="","",IF(ISERROR(FIND("x",LOWER(Registro!$F551))),N(Registro!$G551),IFERROR(SUMPRODUCT(--("0"&amp;LEFT(TRIM(MID(SUBSTITUTE(SUBSTITUTE(SUBSTITUTE(SUBSTITUTE(SUBSTITUTE(LOWER(Registro!$F551)," ",""),CHAR(10),"|"),";","|"),"+","|"),"|",REPT(" ",LEN(Registro!$F551))),({1,2,3,4,5,6,7,8,9,10,11,12,13,14,15,16,17,18,19,20,21,22,23,24,25,26,27,28,29,30}-1)*LEN(Registro!$F551)+1,LEN(Registro!$F551))),FIND("x",TRIM(MID(SUBSTITUTE(SUBSTITUTE(SUBSTITUTE(SUBSTITUTE(SUBSTITUTE(LOWER(Registro!$F551)," ",""),CHAR(10),"|"),";","|"),"+","|"),"|",REPT(" ",LEN(Registro!$F551))),({1,2,3,4,5,6,7,8,9,10,11,12,13,14,15,16,17,18,19,20,21,22,23,24,25,26,27,28,29,30}-1)*LEN(Registro!$F551)+1,LEN(Registro!$F551)))&amp;"x")-1)),--("0"&amp;MID(TRIM(MID(SUBSTITUTE(SUBSTITUTE(SUBSTITUTE(SUBSTITUTE(SUBSTITUTE(LOWER(Registro!$F551)," ",""),CHAR(10),"|"),";","|"),"+","|"),"|",REPT(" ",LEN(Registro!$F551))),({1,2,3,4,5,6,7,8,9,10,11,12,13,14,15,16,17,18,19,20,21,22,23,24,25,26,27,28,29,30}-1)*LEN(Registro!$F551)+1,LEN(Registro!$F551))),FIND("x",TRIM(MID(SUBSTITUTE(SUBSTITUTE(SUBSTITUTE(SUBSTITUTE(SUBSTITUTE(LOWER(Registro!$F551)," ",""),CHAR(10),"|"),";","|"),"+","|"),"|",REPT(" ",LEN(Registro!$F551))),({1,2,3,4,5,6,7,8,9,10,11,12,13,14,15,16,17,18,19,20,21,22,23,24,25,26,27,28,29,30}-1)*LEN(Registro!$F551)+1,LEN(Registro!$F551)))&amp;"x")+1,20))),"Revisar formato")))</f>
        <v/>
      </c>
      <c r="H551" s="21" t="str">
        <f>IF(AND(Registro!$E551="",Registro!$F551=""),"",IF(NOT(AND(ISNUMBER(G551),ISNUMBER(Registro!$G551))),"",IF(G551&lt;Registro!$G551,"FALTA BOLETOS",IF(G551=Registro!$G551,"CONFORME","DIFERENCIA"))))</f>
        <v/>
      </c>
      <c r="I551" s="24" t="str">
        <f>IF(Registro!$H551="","",IFERROR(SUMPRODUCT(--("0"&amp;TRIM(RIGHT(SUBSTITUTE(TRIM(MID(SUBSTITUTE(SUBSTITUTE(Registro!$H551,";",CHAR(10)),CHAR(10),REPT(" ",LEN(Registro!$H551))),({1,2,3,4,5,6,7,8,9,10,11,12,13,14,15,16,17,18,19,20,21,22,23,24,25,26,27,28,29,30}-1)*LEN(Registro!$H551)+1,LEN(Registro!$H551)))," ",REPT(" ",50)),50)))),"Revisar formato"))</f>
        <v/>
      </c>
      <c r="J551" s="24" t="str">
        <f>IF(Registro!$I551="","",IFERROR(SUMPRODUCT(--("0"&amp;TRIM(RIGHT(SUBSTITUTE(TRIM(MID(SUBSTITUTE(SUBSTITUTE(Registro!$I551,";",CHAR(10)),CHAR(10),REPT(" ",LEN(Registro!$I551))),({1,2,3,4,5,6,7,8,9,10,11,12,13,14,15,16,17,18,19,20,21,22,23,24,25,26,27,28,29,30}-1)*LEN(Registro!$I551)+1,LEN(Registro!$I551)))," ",REPT(" ",50)),50)))),"Revisar formato"))</f>
        <v/>
      </c>
      <c r="K551" s="24" t="str">
        <f>IF(AND(Registro!$G551="",Registro!$H551=""),"",IF(AND(ISTEXT(I551),I551&lt;&gt;""),"Revisar formato",N(Registro!$G551)-N(I551)))</f>
        <v/>
      </c>
      <c r="L551" s="24" t="str">
        <f t="shared" si="17"/>
        <v/>
      </c>
      <c r="M551" s="36" t="str">
        <f>IF(AND(A551=Consulta!$B$3,C551=Consulta!$H$3),B551*10000+ROW(),"")</f>
        <v/>
      </c>
    </row>
    <row r="552" spans="1:13" x14ac:dyDescent="0.25">
      <c r="A552" s="21" t="str">
        <f>IF(Registro!$A552="","",Registro!$A552)</f>
        <v/>
      </c>
      <c r="B552" s="20" t="str">
        <f>IF(Registro!$B552="","",Registro!$B552)</f>
        <v/>
      </c>
      <c r="C552" s="35" t="str">
        <f t="shared" si="16"/>
        <v/>
      </c>
      <c r="D552" s="23" t="str">
        <f>IF(Registro!$E552="","",IF(ISERROR(FIND("x",LOWER(Registro!$E552))),"-",IFERROR(SUMPRODUCT(--("0"&amp;LEFT(TRIM(MID(SUBSTITUTE(SUBSTITUTE(SUBSTITUTE(SUBSTITUTE(SUBSTITUTE(LOWER(Registro!$E552),"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",LEN(Registro!$E552))),({1,2,3,4,5,6,7,8,9,10,11,12,13,14,15,16,17,18,19,20,21,22,23,24,25,26,27,28,29,30}-1)*LEN(Registro!$E552)+1,LEN(Registro!$E552))),FIND("x",TRIM(MID(SUBSTITUTE(SUBSTITUTE(SUBSTITUTE(SUBSTITUTE(SUBSTITUTE(LOWER(Registro!$E552),"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",LEN(Registro!$E552))),({1,2,3,4,5,6,7,8,9,10,11,12,13,14,15,16,17,18,19,20,21,22,23,24,25,26,27,28,29,30}-1)*LEN(Registro!$E552)+1,LEN(Registro!$E552)))&amp;"x")-1))),"Revisar formato")))</f>
        <v/>
      </c>
      <c r="E552" s="24" t="str">
        <f>IF(Registro!$E552="","",IF(ISERROR(FIND("x",LOWER(Registro!$E552))),"-",IFERROR(SUMPRODUCT(--("0"&amp;LEFT(TRIM(MID(SUBSTITUTE(SUBSTITUTE(SUBSTITUTE(SUBSTITUTE(SUBSTITUTE(LOWER(Registro!$E552),"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",LEN(Registro!$E552))),({1,2,3,4,5,6,7,8,9,10,11,12,13,14,15,16,17,18,19,20,21,22,23,24,25,26,27,28,29,30}-1)*LEN(Registro!$E552)+1,LEN(Registro!$E552))),FIND("x",TRIM(MID(SUBSTITUTE(SUBSTITUTE(SUBSTITUTE(SUBSTITUTE(SUBSTITUTE(LOWER(Registro!$E552),"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",LEN(Registro!$E552))),({1,2,3,4,5,6,7,8,9,10,11,12,13,14,15,16,17,18,19,20,21,22,23,24,25,26,27,28,29,30}-1)*LEN(Registro!$E552)+1,LEN(Registro!$E552)))&amp;"x")-1)),--("0"&amp;MID(TRIM(MID(SUBSTITUTE(SUBSTITUTE(SUBSTITUTE(SUBSTITUTE(SUBSTITUTE(LOWER(Registro!$E552),"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",LEN(Registro!$E552))),({1,2,3,4,5,6,7,8,9,10,11,12,13,14,15,16,17,18,19,20,21,22,23,24,25,26,27,28,29,30}-1)*LEN(Registro!$E552)+1,LEN(Registro!$E552))),FIND("x",TRIM(MID(SUBSTITUTE(SUBSTITUTE(SUBSTITUTE(SUBSTITUTE(SUBSTITUTE(LOWER(Registro!$E552),"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",LEN(Registro!$E552))),({1,2,3,4,5,6,7,8,9,10,11,12,13,14,15,16,17,18,19,20,21,22,23,24,25,26,27,28,29,30}-1)*LEN(Registro!$E552)+1,LEN(Registro!$E552)))&amp;"x")+1,20))),"Revisar formato")))</f>
        <v/>
      </c>
      <c r="F552" s="23" t="str">
        <f>IF(Registro!$F552="","",IF(ISERROR(FIND("x",LOWER(Registro!$F552))),"-",IFERROR(SUMPRODUCT(--("0"&amp;LEFT(TRIM(MID(SUBSTITUTE(SUBSTITUTE(SUBSTITUTE(SUBSTITUTE(SUBSTITUTE(LOWER(Registro!$F552)," ",""),CHAR(10),"|"),";","|"),"+","|"),"|",REPT(" ",LEN(Registro!$F552))),({1,2,3,4,5,6,7,8,9,10,11,12,13,14,15,16,17,18,19,20,21,22,23,24,25,26,27,28,29,30}-1)*LEN(Registro!$F552)+1,LEN(Registro!$F552))),FIND("x",TRIM(MID(SUBSTITUTE(SUBSTITUTE(SUBSTITUTE(SUBSTITUTE(SUBSTITUTE(LOWER(Registro!$F552)," ",""),CHAR(10),"|"),";","|"),"+","|"),"|",REPT(" ",LEN(Registro!$F552))),({1,2,3,4,5,6,7,8,9,10,11,12,13,14,15,16,17,18,19,20,21,22,23,24,25,26,27,28,29,30}-1)*LEN(Registro!$F552)+1,LEN(Registro!$F552)))&amp;"x")-1))),"Revisar formato")))</f>
        <v/>
      </c>
      <c r="G552" s="24" t="str">
        <f>IF(Registro!$F552="","",IF(ISERROR(FIND("x",LOWER(Registro!$F552))),N(Registro!$G552),IFERROR(SUMPRODUCT(--("0"&amp;LEFT(TRIM(MID(SUBSTITUTE(SUBSTITUTE(SUBSTITUTE(SUBSTITUTE(SUBSTITUTE(LOWER(Registro!$F552)," ",""),CHAR(10),"|"),";","|"),"+","|"),"|",REPT(" ",LEN(Registro!$F552))),({1,2,3,4,5,6,7,8,9,10,11,12,13,14,15,16,17,18,19,20,21,22,23,24,25,26,27,28,29,30}-1)*LEN(Registro!$F552)+1,LEN(Registro!$F552))),FIND("x",TRIM(MID(SUBSTITUTE(SUBSTITUTE(SUBSTITUTE(SUBSTITUTE(SUBSTITUTE(LOWER(Registro!$F552)," ",""),CHAR(10),"|"),";","|"),"+","|"),"|",REPT(" ",LEN(Registro!$F552))),({1,2,3,4,5,6,7,8,9,10,11,12,13,14,15,16,17,18,19,20,21,22,23,24,25,26,27,28,29,30}-1)*LEN(Registro!$F552)+1,LEN(Registro!$F552)))&amp;"x")-1)),--("0"&amp;MID(TRIM(MID(SUBSTITUTE(SUBSTITUTE(SUBSTITUTE(SUBSTITUTE(SUBSTITUTE(LOWER(Registro!$F552)," ",""),CHAR(10),"|"),";","|"),"+","|"),"|",REPT(" ",LEN(Registro!$F552))),({1,2,3,4,5,6,7,8,9,10,11,12,13,14,15,16,17,18,19,20,21,22,23,24,25,26,27,28,29,30}-1)*LEN(Registro!$F552)+1,LEN(Registro!$F552))),FIND("x",TRIM(MID(SUBSTITUTE(SUBSTITUTE(SUBSTITUTE(SUBSTITUTE(SUBSTITUTE(LOWER(Registro!$F552)," ",""),CHAR(10),"|"),";","|"),"+","|"),"|",REPT(" ",LEN(Registro!$F552))),({1,2,3,4,5,6,7,8,9,10,11,12,13,14,15,16,17,18,19,20,21,22,23,24,25,26,27,28,29,30}-1)*LEN(Registro!$F552)+1,LEN(Registro!$F552)))&amp;"x")+1,20))),"Revisar formato")))</f>
        <v/>
      </c>
      <c r="H552" s="21" t="str">
        <f>IF(AND(Registro!$E552="",Registro!$F552=""),"",IF(NOT(AND(ISNUMBER(G552),ISNUMBER(Registro!$G552))),"",IF(G552&lt;Registro!$G552,"FALTA BOLETOS",IF(G552=Registro!$G552,"CONFORME","DIFERENCIA"))))</f>
        <v/>
      </c>
      <c r="I552" s="24" t="str">
        <f>IF(Registro!$H552="","",IFERROR(SUMPRODUCT(--("0"&amp;TRIM(RIGHT(SUBSTITUTE(TRIM(MID(SUBSTITUTE(SUBSTITUTE(Registro!$H552,";",CHAR(10)),CHAR(10),REPT(" ",LEN(Registro!$H552))),({1,2,3,4,5,6,7,8,9,10,11,12,13,14,15,16,17,18,19,20,21,22,23,24,25,26,27,28,29,30}-1)*LEN(Registro!$H552)+1,LEN(Registro!$H552)))," ",REPT(" ",50)),50)))),"Revisar formato"))</f>
        <v/>
      </c>
      <c r="J552" s="24" t="str">
        <f>IF(Registro!$I552="","",IFERROR(SUMPRODUCT(--("0"&amp;TRIM(RIGHT(SUBSTITUTE(TRIM(MID(SUBSTITUTE(SUBSTITUTE(Registro!$I552,";",CHAR(10)),CHAR(10),REPT(" ",LEN(Registro!$I552))),({1,2,3,4,5,6,7,8,9,10,11,12,13,14,15,16,17,18,19,20,21,22,23,24,25,26,27,28,29,30}-1)*LEN(Registro!$I552)+1,LEN(Registro!$I552)))," ",REPT(" ",50)),50)))),"Revisar formato"))</f>
        <v/>
      </c>
      <c r="K552" s="24" t="str">
        <f>IF(AND(Registro!$G552="",Registro!$H552=""),"",IF(AND(ISTEXT(I552),I552&lt;&gt;""),"Revisar formato",N(Registro!$G552)-N(I552)))</f>
        <v/>
      </c>
      <c r="L552" s="24" t="str">
        <f t="shared" si="17"/>
        <v/>
      </c>
      <c r="M552" s="36" t="str">
        <f>IF(AND(A552=Consulta!$B$3,C552=Consulta!$H$3),B552*10000+ROW(),"")</f>
        <v/>
      </c>
    </row>
    <row r="553" spans="1:13" x14ac:dyDescent="0.25">
      <c r="A553" s="21" t="str">
        <f>IF(Registro!$A553="","",Registro!$A553)</f>
        <v/>
      </c>
      <c r="B553" s="20" t="str">
        <f>IF(Registro!$B553="","",Registro!$B553)</f>
        <v/>
      </c>
      <c r="C553" s="35" t="str">
        <f t="shared" si="16"/>
        <v/>
      </c>
      <c r="D553" s="23" t="str">
        <f>IF(Registro!$E553="","",IF(ISERROR(FIND("x",LOWER(Registro!$E553))),"-",IFERROR(SUMPRODUCT(--("0"&amp;LEFT(TRIM(MID(SUBSTITUTE(SUBSTITUTE(SUBSTITUTE(SUBSTITUTE(SUBSTITUTE(LOWER(Registro!$E553),"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",LEN(Registro!$E553))),({1,2,3,4,5,6,7,8,9,10,11,12,13,14,15,16,17,18,19,20,21,22,23,24,25,26,27,28,29,30}-1)*LEN(Registro!$E553)+1,LEN(Registro!$E553))),FIND("x",TRIM(MID(SUBSTITUTE(SUBSTITUTE(SUBSTITUTE(SUBSTITUTE(SUBSTITUTE(LOWER(Registro!$E553),"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",LEN(Registro!$E553))),({1,2,3,4,5,6,7,8,9,10,11,12,13,14,15,16,17,18,19,20,21,22,23,24,25,26,27,28,29,30}-1)*LEN(Registro!$E553)+1,LEN(Registro!$E553)))&amp;"x")-1))),"Revisar formato")))</f>
        <v/>
      </c>
      <c r="E553" s="24" t="str">
        <f>IF(Registro!$E553="","",IF(ISERROR(FIND("x",LOWER(Registro!$E553))),"-",IFERROR(SUMPRODUCT(--("0"&amp;LEFT(TRIM(MID(SUBSTITUTE(SUBSTITUTE(SUBSTITUTE(SUBSTITUTE(SUBSTITUTE(LOWER(Registro!$E553),"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",LEN(Registro!$E553))),({1,2,3,4,5,6,7,8,9,10,11,12,13,14,15,16,17,18,19,20,21,22,23,24,25,26,27,28,29,30}-1)*LEN(Registro!$E553)+1,LEN(Registro!$E553))),FIND("x",TRIM(MID(SUBSTITUTE(SUBSTITUTE(SUBSTITUTE(SUBSTITUTE(SUBSTITUTE(LOWER(Registro!$E553),"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",LEN(Registro!$E553))),({1,2,3,4,5,6,7,8,9,10,11,12,13,14,15,16,17,18,19,20,21,22,23,24,25,26,27,28,29,30}-1)*LEN(Registro!$E553)+1,LEN(Registro!$E553)))&amp;"x")-1)),--("0"&amp;MID(TRIM(MID(SUBSTITUTE(SUBSTITUTE(SUBSTITUTE(SUBSTITUTE(SUBSTITUTE(LOWER(Registro!$E553),"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",LEN(Registro!$E553))),({1,2,3,4,5,6,7,8,9,10,11,12,13,14,15,16,17,18,19,20,21,22,23,24,25,26,27,28,29,30}-1)*LEN(Registro!$E553)+1,LEN(Registro!$E553))),FIND("x",TRIM(MID(SUBSTITUTE(SUBSTITUTE(SUBSTITUTE(SUBSTITUTE(SUBSTITUTE(LOWER(Registro!$E553),"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",LEN(Registro!$E553))),({1,2,3,4,5,6,7,8,9,10,11,12,13,14,15,16,17,18,19,20,21,22,23,24,25,26,27,28,29,30}-1)*LEN(Registro!$E553)+1,LEN(Registro!$E553)))&amp;"x")+1,20))),"Revisar formato")))</f>
        <v/>
      </c>
      <c r="F553" s="23" t="str">
        <f>IF(Registro!$F553="","",IF(ISERROR(FIND("x",LOWER(Registro!$F553))),"-",IFERROR(SUMPRODUCT(--("0"&amp;LEFT(TRIM(MID(SUBSTITUTE(SUBSTITUTE(SUBSTITUTE(SUBSTITUTE(SUBSTITUTE(LOWER(Registro!$F553)," ",""),CHAR(10),"|"),";","|"),"+","|"),"|",REPT(" ",LEN(Registro!$F553))),({1,2,3,4,5,6,7,8,9,10,11,12,13,14,15,16,17,18,19,20,21,22,23,24,25,26,27,28,29,30}-1)*LEN(Registro!$F553)+1,LEN(Registro!$F553))),FIND("x",TRIM(MID(SUBSTITUTE(SUBSTITUTE(SUBSTITUTE(SUBSTITUTE(SUBSTITUTE(LOWER(Registro!$F553)," ",""),CHAR(10),"|"),";","|"),"+","|"),"|",REPT(" ",LEN(Registro!$F553))),({1,2,3,4,5,6,7,8,9,10,11,12,13,14,15,16,17,18,19,20,21,22,23,24,25,26,27,28,29,30}-1)*LEN(Registro!$F553)+1,LEN(Registro!$F553)))&amp;"x")-1))),"Revisar formato")))</f>
        <v/>
      </c>
      <c r="G553" s="24" t="str">
        <f>IF(Registro!$F553="","",IF(ISERROR(FIND("x",LOWER(Registro!$F553))),N(Registro!$G553),IFERROR(SUMPRODUCT(--("0"&amp;LEFT(TRIM(MID(SUBSTITUTE(SUBSTITUTE(SUBSTITUTE(SUBSTITUTE(SUBSTITUTE(LOWER(Registro!$F553)," ",""),CHAR(10),"|"),";","|"),"+","|"),"|",REPT(" ",LEN(Registro!$F553))),({1,2,3,4,5,6,7,8,9,10,11,12,13,14,15,16,17,18,19,20,21,22,23,24,25,26,27,28,29,30}-1)*LEN(Registro!$F553)+1,LEN(Registro!$F553))),FIND("x",TRIM(MID(SUBSTITUTE(SUBSTITUTE(SUBSTITUTE(SUBSTITUTE(SUBSTITUTE(LOWER(Registro!$F553)," ",""),CHAR(10),"|"),";","|"),"+","|"),"|",REPT(" ",LEN(Registro!$F553))),({1,2,3,4,5,6,7,8,9,10,11,12,13,14,15,16,17,18,19,20,21,22,23,24,25,26,27,28,29,30}-1)*LEN(Registro!$F553)+1,LEN(Registro!$F553)))&amp;"x")-1)),--("0"&amp;MID(TRIM(MID(SUBSTITUTE(SUBSTITUTE(SUBSTITUTE(SUBSTITUTE(SUBSTITUTE(LOWER(Registro!$F553)," ",""),CHAR(10),"|"),";","|"),"+","|"),"|",REPT(" ",LEN(Registro!$F553))),({1,2,3,4,5,6,7,8,9,10,11,12,13,14,15,16,17,18,19,20,21,22,23,24,25,26,27,28,29,30}-1)*LEN(Registro!$F553)+1,LEN(Registro!$F553))),FIND("x",TRIM(MID(SUBSTITUTE(SUBSTITUTE(SUBSTITUTE(SUBSTITUTE(SUBSTITUTE(LOWER(Registro!$F553)," ",""),CHAR(10),"|"),";","|"),"+","|"),"|",REPT(" ",LEN(Registro!$F553))),({1,2,3,4,5,6,7,8,9,10,11,12,13,14,15,16,17,18,19,20,21,22,23,24,25,26,27,28,29,30}-1)*LEN(Registro!$F553)+1,LEN(Registro!$F553)))&amp;"x")+1,20))),"Revisar formato")))</f>
        <v/>
      </c>
      <c r="H553" s="21" t="str">
        <f>IF(AND(Registro!$E553="",Registro!$F553=""),"",IF(NOT(AND(ISNUMBER(G553),ISNUMBER(Registro!$G553))),"",IF(G553&lt;Registro!$G553,"FALTA BOLETOS",IF(G553=Registro!$G553,"CONFORME","DIFERENCIA"))))</f>
        <v/>
      </c>
      <c r="I553" s="24" t="str">
        <f>IF(Registro!$H553="","",IFERROR(SUMPRODUCT(--("0"&amp;TRIM(RIGHT(SUBSTITUTE(TRIM(MID(SUBSTITUTE(SUBSTITUTE(Registro!$H553,";",CHAR(10)),CHAR(10),REPT(" ",LEN(Registro!$H553))),({1,2,3,4,5,6,7,8,9,10,11,12,13,14,15,16,17,18,19,20,21,22,23,24,25,26,27,28,29,30}-1)*LEN(Registro!$H553)+1,LEN(Registro!$H553)))," ",REPT(" ",50)),50)))),"Revisar formato"))</f>
        <v/>
      </c>
      <c r="J553" s="24" t="str">
        <f>IF(Registro!$I553="","",IFERROR(SUMPRODUCT(--("0"&amp;TRIM(RIGHT(SUBSTITUTE(TRIM(MID(SUBSTITUTE(SUBSTITUTE(Registro!$I553,";",CHAR(10)),CHAR(10),REPT(" ",LEN(Registro!$I553))),({1,2,3,4,5,6,7,8,9,10,11,12,13,14,15,16,17,18,19,20,21,22,23,24,25,26,27,28,29,30}-1)*LEN(Registro!$I553)+1,LEN(Registro!$I553)))," ",REPT(" ",50)),50)))),"Revisar formato"))</f>
        <v/>
      </c>
      <c r="K553" s="24" t="str">
        <f>IF(AND(Registro!$G553="",Registro!$H553=""),"",IF(AND(ISTEXT(I553),I553&lt;&gt;""),"Revisar formato",N(Registro!$G553)-N(I553)))</f>
        <v/>
      </c>
      <c r="L553" s="24" t="str">
        <f t="shared" si="17"/>
        <v/>
      </c>
      <c r="M553" s="36" t="str">
        <f>IF(AND(A553=Consulta!$B$3,C553=Consulta!$H$3),B553*10000+ROW(),"")</f>
        <v/>
      </c>
    </row>
    <row r="554" spans="1:13" x14ac:dyDescent="0.25">
      <c r="A554" s="21" t="str">
        <f>IF(Registro!$A554="","",Registro!$A554)</f>
        <v/>
      </c>
      <c r="B554" s="20" t="str">
        <f>IF(Registro!$B554="","",Registro!$B554)</f>
        <v/>
      </c>
      <c r="C554" s="35" t="str">
        <f t="shared" si="16"/>
        <v/>
      </c>
      <c r="D554" s="23" t="str">
        <f>IF(Registro!$E554="","",IF(ISERROR(FIND("x",LOWER(Registro!$E554))),"-",IFERROR(SUMPRODUCT(--("0"&amp;LEFT(TRIM(MID(SUBSTITUTE(SUBSTITUTE(SUBSTITUTE(SUBSTITUTE(SUBSTITUTE(LOWER(Registro!$E554),"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",LEN(Registro!$E554))),({1,2,3,4,5,6,7,8,9,10,11,12,13,14,15,16,17,18,19,20,21,22,23,24,25,26,27,28,29,30}-1)*LEN(Registro!$E554)+1,LEN(Registro!$E554))),FIND("x",TRIM(MID(SUBSTITUTE(SUBSTITUTE(SUBSTITUTE(SUBSTITUTE(SUBSTITUTE(LOWER(Registro!$E554),"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",LEN(Registro!$E554))),({1,2,3,4,5,6,7,8,9,10,11,12,13,14,15,16,17,18,19,20,21,22,23,24,25,26,27,28,29,30}-1)*LEN(Registro!$E554)+1,LEN(Registro!$E554)))&amp;"x")-1))),"Revisar formato")))</f>
        <v/>
      </c>
      <c r="E554" s="24" t="str">
        <f>IF(Registro!$E554="","",IF(ISERROR(FIND("x",LOWER(Registro!$E554))),"-",IFERROR(SUMPRODUCT(--("0"&amp;LEFT(TRIM(MID(SUBSTITUTE(SUBSTITUTE(SUBSTITUTE(SUBSTITUTE(SUBSTITUTE(LOWER(Registro!$E554),"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",LEN(Registro!$E554))),({1,2,3,4,5,6,7,8,9,10,11,12,13,14,15,16,17,18,19,20,21,22,23,24,25,26,27,28,29,30}-1)*LEN(Registro!$E554)+1,LEN(Registro!$E554))),FIND("x",TRIM(MID(SUBSTITUTE(SUBSTITUTE(SUBSTITUTE(SUBSTITUTE(SUBSTITUTE(LOWER(Registro!$E554),"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",LEN(Registro!$E554))),({1,2,3,4,5,6,7,8,9,10,11,12,13,14,15,16,17,18,19,20,21,22,23,24,25,26,27,28,29,30}-1)*LEN(Registro!$E554)+1,LEN(Registro!$E554)))&amp;"x")-1)),--("0"&amp;MID(TRIM(MID(SUBSTITUTE(SUBSTITUTE(SUBSTITUTE(SUBSTITUTE(SUBSTITUTE(LOWER(Registro!$E554),"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",LEN(Registro!$E554))),({1,2,3,4,5,6,7,8,9,10,11,12,13,14,15,16,17,18,19,20,21,22,23,24,25,26,27,28,29,30}-1)*LEN(Registro!$E554)+1,LEN(Registro!$E554))),FIND("x",TRIM(MID(SUBSTITUTE(SUBSTITUTE(SUBSTITUTE(SUBSTITUTE(SUBSTITUTE(LOWER(Registro!$E554),"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",LEN(Registro!$E554))),({1,2,3,4,5,6,7,8,9,10,11,12,13,14,15,16,17,18,19,20,21,22,23,24,25,26,27,28,29,30}-1)*LEN(Registro!$E554)+1,LEN(Registro!$E554)))&amp;"x")+1,20))),"Revisar formato")))</f>
        <v/>
      </c>
      <c r="F554" s="23" t="str">
        <f>IF(Registro!$F554="","",IF(ISERROR(FIND("x",LOWER(Registro!$F554))),"-",IFERROR(SUMPRODUCT(--("0"&amp;LEFT(TRIM(MID(SUBSTITUTE(SUBSTITUTE(SUBSTITUTE(SUBSTITUTE(SUBSTITUTE(LOWER(Registro!$F554)," ",""),CHAR(10),"|"),";","|"),"+","|"),"|",REPT(" ",LEN(Registro!$F554))),({1,2,3,4,5,6,7,8,9,10,11,12,13,14,15,16,17,18,19,20,21,22,23,24,25,26,27,28,29,30}-1)*LEN(Registro!$F554)+1,LEN(Registro!$F554))),FIND("x",TRIM(MID(SUBSTITUTE(SUBSTITUTE(SUBSTITUTE(SUBSTITUTE(SUBSTITUTE(LOWER(Registro!$F554)," ",""),CHAR(10),"|"),";","|"),"+","|"),"|",REPT(" ",LEN(Registro!$F554))),({1,2,3,4,5,6,7,8,9,10,11,12,13,14,15,16,17,18,19,20,21,22,23,24,25,26,27,28,29,30}-1)*LEN(Registro!$F554)+1,LEN(Registro!$F554)))&amp;"x")-1))),"Revisar formato")))</f>
        <v/>
      </c>
      <c r="G554" s="24" t="str">
        <f>IF(Registro!$F554="","",IF(ISERROR(FIND("x",LOWER(Registro!$F554))),N(Registro!$G554),IFERROR(SUMPRODUCT(--("0"&amp;LEFT(TRIM(MID(SUBSTITUTE(SUBSTITUTE(SUBSTITUTE(SUBSTITUTE(SUBSTITUTE(LOWER(Registro!$F554)," ",""),CHAR(10),"|"),";","|"),"+","|"),"|",REPT(" ",LEN(Registro!$F554))),({1,2,3,4,5,6,7,8,9,10,11,12,13,14,15,16,17,18,19,20,21,22,23,24,25,26,27,28,29,30}-1)*LEN(Registro!$F554)+1,LEN(Registro!$F554))),FIND("x",TRIM(MID(SUBSTITUTE(SUBSTITUTE(SUBSTITUTE(SUBSTITUTE(SUBSTITUTE(LOWER(Registro!$F554)," ",""),CHAR(10),"|"),";","|"),"+","|"),"|",REPT(" ",LEN(Registro!$F554))),({1,2,3,4,5,6,7,8,9,10,11,12,13,14,15,16,17,18,19,20,21,22,23,24,25,26,27,28,29,30}-1)*LEN(Registro!$F554)+1,LEN(Registro!$F554)))&amp;"x")-1)),--("0"&amp;MID(TRIM(MID(SUBSTITUTE(SUBSTITUTE(SUBSTITUTE(SUBSTITUTE(SUBSTITUTE(LOWER(Registro!$F554)," ",""),CHAR(10),"|"),";","|"),"+","|"),"|",REPT(" ",LEN(Registro!$F554))),({1,2,3,4,5,6,7,8,9,10,11,12,13,14,15,16,17,18,19,20,21,22,23,24,25,26,27,28,29,30}-1)*LEN(Registro!$F554)+1,LEN(Registro!$F554))),FIND("x",TRIM(MID(SUBSTITUTE(SUBSTITUTE(SUBSTITUTE(SUBSTITUTE(SUBSTITUTE(LOWER(Registro!$F554)," ",""),CHAR(10),"|"),";","|"),"+","|"),"|",REPT(" ",LEN(Registro!$F554))),({1,2,3,4,5,6,7,8,9,10,11,12,13,14,15,16,17,18,19,20,21,22,23,24,25,26,27,28,29,30}-1)*LEN(Registro!$F554)+1,LEN(Registro!$F554)))&amp;"x")+1,20))),"Revisar formato")))</f>
        <v/>
      </c>
      <c r="H554" s="21" t="str">
        <f>IF(AND(Registro!$E554="",Registro!$F554=""),"",IF(NOT(AND(ISNUMBER(G554),ISNUMBER(Registro!$G554))),"",IF(G554&lt;Registro!$G554,"FALTA BOLETOS",IF(G554=Registro!$G554,"CONFORME","DIFERENCIA"))))</f>
        <v/>
      </c>
      <c r="I554" s="24" t="str">
        <f>IF(Registro!$H554="","",IFERROR(SUMPRODUCT(--("0"&amp;TRIM(RIGHT(SUBSTITUTE(TRIM(MID(SUBSTITUTE(SUBSTITUTE(Registro!$H554,";",CHAR(10)),CHAR(10),REPT(" ",LEN(Registro!$H554))),({1,2,3,4,5,6,7,8,9,10,11,12,13,14,15,16,17,18,19,20,21,22,23,24,25,26,27,28,29,30}-1)*LEN(Registro!$H554)+1,LEN(Registro!$H554)))," ",REPT(" ",50)),50)))),"Revisar formato"))</f>
        <v/>
      </c>
      <c r="J554" s="24" t="str">
        <f>IF(Registro!$I554="","",IFERROR(SUMPRODUCT(--("0"&amp;TRIM(RIGHT(SUBSTITUTE(TRIM(MID(SUBSTITUTE(SUBSTITUTE(Registro!$I554,";",CHAR(10)),CHAR(10),REPT(" ",LEN(Registro!$I554))),({1,2,3,4,5,6,7,8,9,10,11,12,13,14,15,16,17,18,19,20,21,22,23,24,25,26,27,28,29,30}-1)*LEN(Registro!$I554)+1,LEN(Registro!$I554)))," ",REPT(" ",50)),50)))),"Revisar formato"))</f>
        <v/>
      </c>
      <c r="K554" s="24" t="str">
        <f>IF(AND(Registro!$G554="",Registro!$H554=""),"",IF(AND(ISTEXT(I554),I554&lt;&gt;""),"Revisar formato",N(Registro!$G554)-N(I554)))</f>
        <v/>
      </c>
      <c r="L554" s="24" t="str">
        <f t="shared" si="17"/>
        <v/>
      </c>
      <c r="M554" s="36" t="str">
        <f>IF(AND(A554=Consulta!$B$3,C554=Consulta!$H$3),B554*10000+ROW(),"")</f>
        <v/>
      </c>
    </row>
    <row r="555" spans="1:13" x14ac:dyDescent="0.25">
      <c r="A555" s="21" t="str">
        <f>IF(Registro!$A555="","",Registro!$A555)</f>
        <v/>
      </c>
      <c r="B555" s="20" t="str">
        <f>IF(Registro!$B555="","",Registro!$B555)</f>
        <v/>
      </c>
      <c r="C555" s="35" t="str">
        <f t="shared" si="16"/>
        <v/>
      </c>
      <c r="D555" s="23" t="str">
        <f>IF(Registro!$E555="","",IF(ISERROR(FIND("x",LOWER(Registro!$E555))),"-",IFERROR(SUMPRODUCT(--("0"&amp;LEFT(TRIM(MID(SUBSTITUTE(SUBSTITUTE(SUBSTITUTE(SUBSTITUTE(SUBSTITUTE(LOWER(Registro!$E555),"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",LEN(Registro!$E555))),({1,2,3,4,5,6,7,8,9,10,11,12,13,14,15,16,17,18,19,20,21,22,23,24,25,26,27,28,29,30}-1)*LEN(Registro!$E555)+1,LEN(Registro!$E555))),FIND("x",TRIM(MID(SUBSTITUTE(SUBSTITUTE(SUBSTITUTE(SUBSTITUTE(SUBSTITUTE(LOWER(Registro!$E555),"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",LEN(Registro!$E555))),({1,2,3,4,5,6,7,8,9,10,11,12,13,14,15,16,17,18,19,20,21,22,23,24,25,26,27,28,29,30}-1)*LEN(Registro!$E555)+1,LEN(Registro!$E555)))&amp;"x")-1))),"Revisar formato")))</f>
        <v/>
      </c>
      <c r="E555" s="24" t="str">
        <f>IF(Registro!$E555="","",IF(ISERROR(FIND("x",LOWER(Registro!$E555))),"-",IFERROR(SUMPRODUCT(--("0"&amp;LEFT(TRIM(MID(SUBSTITUTE(SUBSTITUTE(SUBSTITUTE(SUBSTITUTE(SUBSTITUTE(LOWER(Registro!$E555),"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",LEN(Registro!$E555))),({1,2,3,4,5,6,7,8,9,10,11,12,13,14,15,16,17,18,19,20,21,22,23,24,25,26,27,28,29,30}-1)*LEN(Registro!$E555)+1,LEN(Registro!$E555))),FIND("x",TRIM(MID(SUBSTITUTE(SUBSTITUTE(SUBSTITUTE(SUBSTITUTE(SUBSTITUTE(LOWER(Registro!$E555),"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",LEN(Registro!$E555))),({1,2,3,4,5,6,7,8,9,10,11,12,13,14,15,16,17,18,19,20,21,22,23,24,25,26,27,28,29,30}-1)*LEN(Registro!$E555)+1,LEN(Registro!$E555)))&amp;"x")-1)),--("0"&amp;MID(TRIM(MID(SUBSTITUTE(SUBSTITUTE(SUBSTITUTE(SUBSTITUTE(SUBSTITUTE(LOWER(Registro!$E555),"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",LEN(Registro!$E555))),({1,2,3,4,5,6,7,8,9,10,11,12,13,14,15,16,17,18,19,20,21,22,23,24,25,26,27,28,29,30}-1)*LEN(Registro!$E555)+1,LEN(Registro!$E555))),FIND("x",TRIM(MID(SUBSTITUTE(SUBSTITUTE(SUBSTITUTE(SUBSTITUTE(SUBSTITUTE(LOWER(Registro!$E555),"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",LEN(Registro!$E555))),({1,2,3,4,5,6,7,8,9,10,11,12,13,14,15,16,17,18,19,20,21,22,23,24,25,26,27,28,29,30}-1)*LEN(Registro!$E555)+1,LEN(Registro!$E555)))&amp;"x")+1,20))),"Revisar formato")))</f>
        <v/>
      </c>
      <c r="F555" s="23" t="str">
        <f>IF(Registro!$F555="","",IF(ISERROR(FIND("x",LOWER(Registro!$F555))),"-",IFERROR(SUMPRODUCT(--("0"&amp;LEFT(TRIM(MID(SUBSTITUTE(SUBSTITUTE(SUBSTITUTE(SUBSTITUTE(SUBSTITUTE(LOWER(Registro!$F555)," ",""),CHAR(10),"|"),";","|"),"+","|"),"|",REPT(" ",LEN(Registro!$F555))),({1,2,3,4,5,6,7,8,9,10,11,12,13,14,15,16,17,18,19,20,21,22,23,24,25,26,27,28,29,30}-1)*LEN(Registro!$F555)+1,LEN(Registro!$F555))),FIND("x",TRIM(MID(SUBSTITUTE(SUBSTITUTE(SUBSTITUTE(SUBSTITUTE(SUBSTITUTE(LOWER(Registro!$F555)," ",""),CHAR(10),"|"),";","|"),"+","|"),"|",REPT(" ",LEN(Registro!$F555))),({1,2,3,4,5,6,7,8,9,10,11,12,13,14,15,16,17,18,19,20,21,22,23,24,25,26,27,28,29,30}-1)*LEN(Registro!$F555)+1,LEN(Registro!$F555)))&amp;"x")-1))),"Revisar formato")))</f>
        <v/>
      </c>
      <c r="G555" s="24" t="str">
        <f>IF(Registro!$F555="","",IF(ISERROR(FIND("x",LOWER(Registro!$F555))),N(Registro!$G555),IFERROR(SUMPRODUCT(--("0"&amp;LEFT(TRIM(MID(SUBSTITUTE(SUBSTITUTE(SUBSTITUTE(SUBSTITUTE(SUBSTITUTE(LOWER(Registro!$F555)," ",""),CHAR(10),"|"),";","|"),"+","|"),"|",REPT(" ",LEN(Registro!$F555))),({1,2,3,4,5,6,7,8,9,10,11,12,13,14,15,16,17,18,19,20,21,22,23,24,25,26,27,28,29,30}-1)*LEN(Registro!$F555)+1,LEN(Registro!$F555))),FIND("x",TRIM(MID(SUBSTITUTE(SUBSTITUTE(SUBSTITUTE(SUBSTITUTE(SUBSTITUTE(LOWER(Registro!$F555)," ",""),CHAR(10),"|"),";","|"),"+","|"),"|",REPT(" ",LEN(Registro!$F555))),({1,2,3,4,5,6,7,8,9,10,11,12,13,14,15,16,17,18,19,20,21,22,23,24,25,26,27,28,29,30}-1)*LEN(Registro!$F555)+1,LEN(Registro!$F555)))&amp;"x")-1)),--("0"&amp;MID(TRIM(MID(SUBSTITUTE(SUBSTITUTE(SUBSTITUTE(SUBSTITUTE(SUBSTITUTE(LOWER(Registro!$F555)," ",""),CHAR(10),"|"),";","|"),"+","|"),"|",REPT(" ",LEN(Registro!$F555))),({1,2,3,4,5,6,7,8,9,10,11,12,13,14,15,16,17,18,19,20,21,22,23,24,25,26,27,28,29,30}-1)*LEN(Registro!$F555)+1,LEN(Registro!$F555))),FIND("x",TRIM(MID(SUBSTITUTE(SUBSTITUTE(SUBSTITUTE(SUBSTITUTE(SUBSTITUTE(LOWER(Registro!$F555)," ",""),CHAR(10),"|"),";","|"),"+","|"),"|",REPT(" ",LEN(Registro!$F555))),({1,2,3,4,5,6,7,8,9,10,11,12,13,14,15,16,17,18,19,20,21,22,23,24,25,26,27,28,29,30}-1)*LEN(Registro!$F555)+1,LEN(Registro!$F555)))&amp;"x")+1,20))),"Revisar formato")))</f>
        <v/>
      </c>
      <c r="H555" s="21" t="str">
        <f>IF(AND(Registro!$E555="",Registro!$F555=""),"",IF(NOT(AND(ISNUMBER(G555),ISNUMBER(Registro!$G555))),"",IF(G555&lt;Registro!$G555,"FALTA BOLETOS",IF(G555=Registro!$G555,"CONFORME","DIFERENCIA"))))</f>
        <v/>
      </c>
      <c r="I555" s="24" t="str">
        <f>IF(Registro!$H555="","",IFERROR(SUMPRODUCT(--("0"&amp;TRIM(RIGHT(SUBSTITUTE(TRIM(MID(SUBSTITUTE(SUBSTITUTE(Registro!$H555,";",CHAR(10)),CHAR(10),REPT(" ",LEN(Registro!$H555))),({1,2,3,4,5,6,7,8,9,10,11,12,13,14,15,16,17,18,19,20,21,22,23,24,25,26,27,28,29,30}-1)*LEN(Registro!$H555)+1,LEN(Registro!$H555)))," ",REPT(" ",50)),50)))),"Revisar formato"))</f>
        <v/>
      </c>
      <c r="J555" s="24" t="str">
        <f>IF(Registro!$I555="","",IFERROR(SUMPRODUCT(--("0"&amp;TRIM(RIGHT(SUBSTITUTE(TRIM(MID(SUBSTITUTE(SUBSTITUTE(Registro!$I555,";",CHAR(10)),CHAR(10),REPT(" ",LEN(Registro!$I555))),({1,2,3,4,5,6,7,8,9,10,11,12,13,14,15,16,17,18,19,20,21,22,23,24,25,26,27,28,29,30}-1)*LEN(Registro!$I555)+1,LEN(Registro!$I555)))," ",REPT(" ",50)),50)))),"Revisar formato"))</f>
        <v/>
      </c>
      <c r="K555" s="24" t="str">
        <f>IF(AND(Registro!$G555="",Registro!$H555=""),"",IF(AND(ISTEXT(I555),I555&lt;&gt;""),"Revisar formato",N(Registro!$G555)-N(I555)))</f>
        <v/>
      </c>
      <c r="L555" s="24" t="str">
        <f t="shared" si="17"/>
        <v/>
      </c>
      <c r="M555" s="36" t="str">
        <f>IF(AND(A555=Consulta!$B$3,C555=Consulta!$H$3),B555*10000+ROW(),"")</f>
        <v/>
      </c>
    </row>
    <row r="556" spans="1:13" x14ac:dyDescent="0.25">
      <c r="A556" s="21" t="str">
        <f>IF(Registro!$A556="","",Registro!$A556)</f>
        <v/>
      </c>
      <c r="B556" s="20" t="str">
        <f>IF(Registro!$B556="","",Registro!$B556)</f>
        <v/>
      </c>
      <c r="C556" s="35" t="str">
        <f t="shared" si="16"/>
        <v/>
      </c>
      <c r="D556" s="23" t="str">
        <f>IF(Registro!$E556="","",IF(ISERROR(FIND("x",LOWER(Registro!$E556))),"-",IFERROR(SUMPRODUCT(--("0"&amp;LEFT(TRIM(MID(SUBSTITUTE(SUBSTITUTE(SUBSTITUTE(SUBSTITUTE(SUBSTITUTE(LOWER(Registro!$E556),"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",LEN(Registro!$E556))),({1,2,3,4,5,6,7,8,9,10,11,12,13,14,15,16,17,18,19,20,21,22,23,24,25,26,27,28,29,30}-1)*LEN(Registro!$E556)+1,LEN(Registro!$E556))),FIND("x",TRIM(MID(SUBSTITUTE(SUBSTITUTE(SUBSTITUTE(SUBSTITUTE(SUBSTITUTE(LOWER(Registro!$E556),"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",LEN(Registro!$E556))),({1,2,3,4,5,6,7,8,9,10,11,12,13,14,15,16,17,18,19,20,21,22,23,24,25,26,27,28,29,30}-1)*LEN(Registro!$E556)+1,LEN(Registro!$E556)))&amp;"x")-1))),"Revisar formato")))</f>
        <v/>
      </c>
      <c r="E556" s="24" t="str">
        <f>IF(Registro!$E556="","",IF(ISERROR(FIND("x",LOWER(Registro!$E556))),"-",IFERROR(SUMPRODUCT(--("0"&amp;LEFT(TRIM(MID(SUBSTITUTE(SUBSTITUTE(SUBSTITUTE(SUBSTITUTE(SUBSTITUTE(LOWER(Registro!$E556),"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",LEN(Registro!$E556))),({1,2,3,4,5,6,7,8,9,10,11,12,13,14,15,16,17,18,19,20,21,22,23,24,25,26,27,28,29,30}-1)*LEN(Registro!$E556)+1,LEN(Registro!$E556))),FIND("x",TRIM(MID(SUBSTITUTE(SUBSTITUTE(SUBSTITUTE(SUBSTITUTE(SUBSTITUTE(LOWER(Registro!$E556),"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",LEN(Registro!$E556))),({1,2,3,4,5,6,7,8,9,10,11,12,13,14,15,16,17,18,19,20,21,22,23,24,25,26,27,28,29,30}-1)*LEN(Registro!$E556)+1,LEN(Registro!$E556)))&amp;"x")-1)),--("0"&amp;MID(TRIM(MID(SUBSTITUTE(SUBSTITUTE(SUBSTITUTE(SUBSTITUTE(SUBSTITUTE(LOWER(Registro!$E556),"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",LEN(Registro!$E556))),({1,2,3,4,5,6,7,8,9,10,11,12,13,14,15,16,17,18,19,20,21,22,23,24,25,26,27,28,29,30}-1)*LEN(Registro!$E556)+1,LEN(Registro!$E556))),FIND("x",TRIM(MID(SUBSTITUTE(SUBSTITUTE(SUBSTITUTE(SUBSTITUTE(SUBSTITUTE(LOWER(Registro!$E556),"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",LEN(Registro!$E556))),({1,2,3,4,5,6,7,8,9,10,11,12,13,14,15,16,17,18,19,20,21,22,23,24,25,26,27,28,29,30}-1)*LEN(Registro!$E556)+1,LEN(Registro!$E556)))&amp;"x")+1,20))),"Revisar formato")))</f>
        <v/>
      </c>
      <c r="F556" s="23" t="str">
        <f>IF(Registro!$F556="","",IF(ISERROR(FIND("x",LOWER(Registro!$F556))),"-",IFERROR(SUMPRODUCT(--("0"&amp;LEFT(TRIM(MID(SUBSTITUTE(SUBSTITUTE(SUBSTITUTE(SUBSTITUTE(SUBSTITUTE(LOWER(Registro!$F556)," ",""),CHAR(10),"|"),";","|"),"+","|"),"|",REPT(" ",LEN(Registro!$F556))),({1,2,3,4,5,6,7,8,9,10,11,12,13,14,15,16,17,18,19,20,21,22,23,24,25,26,27,28,29,30}-1)*LEN(Registro!$F556)+1,LEN(Registro!$F556))),FIND("x",TRIM(MID(SUBSTITUTE(SUBSTITUTE(SUBSTITUTE(SUBSTITUTE(SUBSTITUTE(LOWER(Registro!$F556)," ",""),CHAR(10),"|"),";","|"),"+","|"),"|",REPT(" ",LEN(Registro!$F556))),({1,2,3,4,5,6,7,8,9,10,11,12,13,14,15,16,17,18,19,20,21,22,23,24,25,26,27,28,29,30}-1)*LEN(Registro!$F556)+1,LEN(Registro!$F556)))&amp;"x")-1))),"Revisar formato")))</f>
        <v/>
      </c>
      <c r="G556" s="24" t="str">
        <f>IF(Registro!$F556="","",IF(ISERROR(FIND("x",LOWER(Registro!$F556))),N(Registro!$G556),IFERROR(SUMPRODUCT(--("0"&amp;LEFT(TRIM(MID(SUBSTITUTE(SUBSTITUTE(SUBSTITUTE(SUBSTITUTE(SUBSTITUTE(LOWER(Registro!$F556)," ",""),CHAR(10),"|"),";","|"),"+","|"),"|",REPT(" ",LEN(Registro!$F556))),({1,2,3,4,5,6,7,8,9,10,11,12,13,14,15,16,17,18,19,20,21,22,23,24,25,26,27,28,29,30}-1)*LEN(Registro!$F556)+1,LEN(Registro!$F556))),FIND("x",TRIM(MID(SUBSTITUTE(SUBSTITUTE(SUBSTITUTE(SUBSTITUTE(SUBSTITUTE(LOWER(Registro!$F556)," ",""),CHAR(10),"|"),";","|"),"+","|"),"|",REPT(" ",LEN(Registro!$F556))),({1,2,3,4,5,6,7,8,9,10,11,12,13,14,15,16,17,18,19,20,21,22,23,24,25,26,27,28,29,30}-1)*LEN(Registro!$F556)+1,LEN(Registro!$F556)))&amp;"x")-1)),--("0"&amp;MID(TRIM(MID(SUBSTITUTE(SUBSTITUTE(SUBSTITUTE(SUBSTITUTE(SUBSTITUTE(LOWER(Registro!$F556)," ",""),CHAR(10),"|"),";","|"),"+","|"),"|",REPT(" ",LEN(Registro!$F556))),({1,2,3,4,5,6,7,8,9,10,11,12,13,14,15,16,17,18,19,20,21,22,23,24,25,26,27,28,29,30}-1)*LEN(Registro!$F556)+1,LEN(Registro!$F556))),FIND("x",TRIM(MID(SUBSTITUTE(SUBSTITUTE(SUBSTITUTE(SUBSTITUTE(SUBSTITUTE(LOWER(Registro!$F556)," ",""),CHAR(10),"|"),";","|"),"+","|"),"|",REPT(" ",LEN(Registro!$F556))),({1,2,3,4,5,6,7,8,9,10,11,12,13,14,15,16,17,18,19,20,21,22,23,24,25,26,27,28,29,30}-1)*LEN(Registro!$F556)+1,LEN(Registro!$F556)))&amp;"x")+1,20))),"Revisar formato")))</f>
        <v/>
      </c>
      <c r="H556" s="21" t="str">
        <f>IF(AND(Registro!$E556="",Registro!$F556=""),"",IF(NOT(AND(ISNUMBER(G556),ISNUMBER(Registro!$G556))),"",IF(G556&lt;Registro!$G556,"FALTA BOLETOS",IF(G556=Registro!$G556,"CONFORME","DIFERENCIA"))))</f>
        <v/>
      </c>
      <c r="I556" s="24" t="str">
        <f>IF(Registro!$H556="","",IFERROR(SUMPRODUCT(--("0"&amp;TRIM(RIGHT(SUBSTITUTE(TRIM(MID(SUBSTITUTE(SUBSTITUTE(Registro!$H556,";",CHAR(10)),CHAR(10),REPT(" ",LEN(Registro!$H556))),({1,2,3,4,5,6,7,8,9,10,11,12,13,14,15,16,17,18,19,20,21,22,23,24,25,26,27,28,29,30}-1)*LEN(Registro!$H556)+1,LEN(Registro!$H556)))," ",REPT(" ",50)),50)))),"Revisar formato"))</f>
        <v/>
      </c>
      <c r="J556" s="24" t="str">
        <f>IF(Registro!$I556="","",IFERROR(SUMPRODUCT(--("0"&amp;TRIM(RIGHT(SUBSTITUTE(TRIM(MID(SUBSTITUTE(SUBSTITUTE(Registro!$I556,";",CHAR(10)),CHAR(10),REPT(" ",LEN(Registro!$I556))),({1,2,3,4,5,6,7,8,9,10,11,12,13,14,15,16,17,18,19,20,21,22,23,24,25,26,27,28,29,30}-1)*LEN(Registro!$I556)+1,LEN(Registro!$I556)))," ",REPT(" ",50)),50)))),"Revisar formato"))</f>
        <v/>
      </c>
      <c r="K556" s="24" t="str">
        <f>IF(AND(Registro!$G556="",Registro!$H556=""),"",IF(AND(ISTEXT(I556),I556&lt;&gt;""),"Revisar formato",N(Registro!$G556)-N(I556)))</f>
        <v/>
      </c>
      <c r="L556" s="24" t="str">
        <f t="shared" si="17"/>
        <v/>
      </c>
      <c r="M556" s="36" t="str">
        <f>IF(AND(A556=Consulta!$B$3,C556=Consulta!$H$3),B556*10000+ROW(),"")</f>
        <v/>
      </c>
    </row>
    <row r="557" spans="1:13" x14ac:dyDescent="0.25">
      <c r="A557" s="21" t="str">
        <f>IF(Registro!$A557="","",Registro!$A557)</f>
        <v/>
      </c>
      <c r="B557" s="20" t="str">
        <f>IF(Registro!$B557="","",Registro!$B557)</f>
        <v/>
      </c>
      <c r="C557" s="35" t="str">
        <f t="shared" si="16"/>
        <v/>
      </c>
      <c r="D557" s="23" t="str">
        <f>IF(Registro!$E557="","",IF(ISERROR(FIND("x",LOWER(Registro!$E557))),"-",IFERROR(SUMPRODUCT(--("0"&amp;LEFT(TRIM(MID(SUBSTITUTE(SUBSTITUTE(SUBSTITUTE(SUBSTITUTE(SUBSTITUTE(LOWER(Registro!$E557),"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",LEN(Registro!$E557))),({1,2,3,4,5,6,7,8,9,10,11,12,13,14,15,16,17,18,19,20,21,22,23,24,25,26,27,28,29,30}-1)*LEN(Registro!$E557)+1,LEN(Registro!$E557))),FIND("x",TRIM(MID(SUBSTITUTE(SUBSTITUTE(SUBSTITUTE(SUBSTITUTE(SUBSTITUTE(LOWER(Registro!$E557),"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",LEN(Registro!$E557))),({1,2,3,4,5,6,7,8,9,10,11,12,13,14,15,16,17,18,19,20,21,22,23,24,25,26,27,28,29,30}-1)*LEN(Registro!$E557)+1,LEN(Registro!$E557)))&amp;"x")-1))),"Revisar formato")))</f>
        <v/>
      </c>
      <c r="E557" s="24" t="str">
        <f>IF(Registro!$E557="","",IF(ISERROR(FIND("x",LOWER(Registro!$E557))),"-",IFERROR(SUMPRODUCT(--("0"&amp;LEFT(TRIM(MID(SUBSTITUTE(SUBSTITUTE(SUBSTITUTE(SUBSTITUTE(SUBSTITUTE(LOWER(Registro!$E557),"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",LEN(Registro!$E557))),({1,2,3,4,5,6,7,8,9,10,11,12,13,14,15,16,17,18,19,20,21,22,23,24,25,26,27,28,29,30}-1)*LEN(Registro!$E557)+1,LEN(Registro!$E557))),FIND("x",TRIM(MID(SUBSTITUTE(SUBSTITUTE(SUBSTITUTE(SUBSTITUTE(SUBSTITUTE(LOWER(Registro!$E557),"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",LEN(Registro!$E557))),({1,2,3,4,5,6,7,8,9,10,11,12,13,14,15,16,17,18,19,20,21,22,23,24,25,26,27,28,29,30}-1)*LEN(Registro!$E557)+1,LEN(Registro!$E557)))&amp;"x")-1)),--("0"&amp;MID(TRIM(MID(SUBSTITUTE(SUBSTITUTE(SUBSTITUTE(SUBSTITUTE(SUBSTITUTE(LOWER(Registro!$E557),"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",LEN(Registro!$E557))),({1,2,3,4,5,6,7,8,9,10,11,12,13,14,15,16,17,18,19,20,21,22,23,24,25,26,27,28,29,30}-1)*LEN(Registro!$E557)+1,LEN(Registro!$E557))),FIND("x",TRIM(MID(SUBSTITUTE(SUBSTITUTE(SUBSTITUTE(SUBSTITUTE(SUBSTITUTE(LOWER(Registro!$E557),"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",LEN(Registro!$E557))),({1,2,3,4,5,6,7,8,9,10,11,12,13,14,15,16,17,18,19,20,21,22,23,24,25,26,27,28,29,30}-1)*LEN(Registro!$E557)+1,LEN(Registro!$E557)))&amp;"x")+1,20))),"Revisar formato")))</f>
        <v/>
      </c>
      <c r="F557" s="23" t="str">
        <f>IF(Registro!$F557="","",IF(ISERROR(FIND("x",LOWER(Registro!$F557))),"-",IFERROR(SUMPRODUCT(--("0"&amp;LEFT(TRIM(MID(SUBSTITUTE(SUBSTITUTE(SUBSTITUTE(SUBSTITUTE(SUBSTITUTE(LOWER(Registro!$F557)," ",""),CHAR(10),"|"),";","|"),"+","|"),"|",REPT(" ",LEN(Registro!$F557))),({1,2,3,4,5,6,7,8,9,10,11,12,13,14,15,16,17,18,19,20,21,22,23,24,25,26,27,28,29,30}-1)*LEN(Registro!$F557)+1,LEN(Registro!$F557))),FIND("x",TRIM(MID(SUBSTITUTE(SUBSTITUTE(SUBSTITUTE(SUBSTITUTE(SUBSTITUTE(LOWER(Registro!$F557)," ",""),CHAR(10),"|"),";","|"),"+","|"),"|",REPT(" ",LEN(Registro!$F557))),({1,2,3,4,5,6,7,8,9,10,11,12,13,14,15,16,17,18,19,20,21,22,23,24,25,26,27,28,29,30}-1)*LEN(Registro!$F557)+1,LEN(Registro!$F557)))&amp;"x")-1))),"Revisar formato")))</f>
        <v/>
      </c>
      <c r="G557" s="24" t="str">
        <f>IF(Registro!$F557="","",IF(ISERROR(FIND("x",LOWER(Registro!$F557))),N(Registro!$G557),IFERROR(SUMPRODUCT(--("0"&amp;LEFT(TRIM(MID(SUBSTITUTE(SUBSTITUTE(SUBSTITUTE(SUBSTITUTE(SUBSTITUTE(LOWER(Registro!$F557)," ",""),CHAR(10),"|"),";","|"),"+","|"),"|",REPT(" ",LEN(Registro!$F557))),({1,2,3,4,5,6,7,8,9,10,11,12,13,14,15,16,17,18,19,20,21,22,23,24,25,26,27,28,29,30}-1)*LEN(Registro!$F557)+1,LEN(Registro!$F557))),FIND("x",TRIM(MID(SUBSTITUTE(SUBSTITUTE(SUBSTITUTE(SUBSTITUTE(SUBSTITUTE(LOWER(Registro!$F557)," ",""),CHAR(10),"|"),";","|"),"+","|"),"|",REPT(" ",LEN(Registro!$F557))),({1,2,3,4,5,6,7,8,9,10,11,12,13,14,15,16,17,18,19,20,21,22,23,24,25,26,27,28,29,30}-1)*LEN(Registro!$F557)+1,LEN(Registro!$F557)))&amp;"x")-1)),--("0"&amp;MID(TRIM(MID(SUBSTITUTE(SUBSTITUTE(SUBSTITUTE(SUBSTITUTE(SUBSTITUTE(LOWER(Registro!$F557)," ",""),CHAR(10),"|"),";","|"),"+","|"),"|",REPT(" ",LEN(Registro!$F557))),({1,2,3,4,5,6,7,8,9,10,11,12,13,14,15,16,17,18,19,20,21,22,23,24,25,26,27,28,29,30}-1)*LEN(Registro!$F557)+1,LEN(Registro!$F557))),FIND("x",TRIM(MID(SUBSTITUTE(SUBSTITUTE(SUBSTITUTE(SUBSTITUTE(SUBSTITUTE(LOWER(Registro!$F557)," ",""),CHAR(10),"|"),";","|"),"+","|"),"|",REPT(" ",LEN(Registro!$F557))),({1,2,3,4,5,6,7,8,9,10,11,12,13,14,15,16,17,18,19,20,21,22,23,24,25,26,27,28,29,30}-1)*LEN(Registro!$F557)+1,LEN(Registro!$F557)))&amp;"x")+1,20))),"Revisar formato")))</f>
        <v/>
      </c>
      <c r="H557" s="21" t="str">
        <f>IF(AND(Registro!$E557="",Registro!$F557=""),"",IF(NOT(AND(ISNUMBER(G557),ISNUMBER(Registro!$G557))),"",IF(G557&lt;Registro!$G557,"FALTA BOLETOS",IF(G557=Registro!$G557,"CONFORME","DIFERENCIA"))))</f>
        <v/>
      </c>
      <c r="I557" s="24" t="str">
        <f>IF(Registro!$H557="","",IFERROR(SUMPRODUCT(--("0"&amp;TRIM(RIGHT(SUBSTITUTE(TRIM(MID(SUBSTITUTE(SUBSTITUTE(Registro!$H557,";",CHAR(10)),CHAR(10),REPT(" ",LEN(Registro!$H557))),({1,2,3,4,5,6,7,8,9,10,11,12,13,14,15,16,17,18,19,20,21,22,23,24,25,26,27,28,29,30}-1)*LEN(Registro!$H557)+1,LEN(Registro!$H557)))," ",REPT(" ",50)),50)))),"Revisar formato"))</f>
        <v/>
      </c>
      <c r="J557" s="24" t="str">
        <f>IF(Registro!$I557="","",IFERROR(SUMPRODUCT(--("0"&amp;TRIM(RIGHT(SUBSTITUTE(TRIM(MID(SUBSTITUTE(SUBSTITUTE(Registro!$I557,";",CHAR(10)),CHAR(10),REPT(" ",LEN(Registro!$I557))),({1,2,3,4,5,6,7,8,9,10,11,12,13,14,15,16,17,18,19,20,21,22,23,24,25,26,27,28,29,30}-1)*LEN(Registro!$I557)+1,LEN(Registro!$I557)))," ",REPT(" ",50)),50)))),"Revisar formato"))</f>
        <v/>
      </c>
      <c r="K557" s="24" t="str">
        <f>IF(AND(Registro!$G557="",Registro!$H557=""),"",IF(AND(ISTEXT(I557),I557&lt;&gt;""),"Revisar formato",N(Registro!$G557)-N(I557)))</f>
        <v/>
      </c>
      <c r="L557" s="24" t="str">
        <f t="shared" si="17"/>
        <v/>
      </c>
      <c r="M557" s="36" t="str">
        <f>IF(AND(A557=Consulta!$B$3,C557=Consulta!$H$3),B557*10000+ROW(),"")</f>
        <v/>
      </c>
    </row>
    <row r="558" spans="1:13" x14ac:dyDescent="0.25">
      <c r="A558" s="21" t="str">
        <f>IF(Registro!$A558="","",Registro!$A558)</f>
        <v/>
      </c>
      <c r="B558" s="20" t="str">
        <f>IF(Registro!$B558="","",Registro!$B558)</f>
        <v/>
      </c>
      <c r="C558" s="35" t="str">
        <f t="shared" si="16"/>
        <v/>
      </c>
      <c r="D558" s="23" t="str">
        <f>IF(Registro!$E558="","",IF(ISERROR(FIND("x",LOWER(Registro!$E558))),"-",IFERROR(SUMPRODUCT(--("0"&amp;LEFT(TRIM(MID(SUBSTITUTE(SUBSTITUTE(SUBSTITUTE(SUBSTITUTE(SUBSTITUTE(LOWER(Registro!$E558),"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",LEN(Registro!$E558))),({1,2,3,4,5,6,7,8,9,10,11,12,13,14,15,16,17,18,19,20,21,22,23,24,25,26,27,28,29,30}-1)*LEN(Registro!$E558)+1,LEN(Registro!$E558))),FIND("x",TRIM(MID(SUBSTITUTE(SUBSTITUTE(SUBSTITUTE(SUBSTITUTE(SUBSTITUTE(LOWER(Registro!$E558),"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",LEN(Registro!$E558))),({1,2,3,4,5,6,7,8,9,10,11,12,13,14,15,16,17,18,19,20,21,22,23,24,25,26,27,28,29,30}-1)*LEN(Registro!$E558)+1,LEN(Registro!$E558)))&amp;"x")-1))),"Revisar formato")))</f>
        <v/>
      </c>
      <c r="E558" s="24" t="str">
        <f>IF(Registro!$E558="","",IF(ISERROR(FIND("x",LOWER(Registro!$E558))),"-",IFERROR(SUMPRODUCT(--("0"&amp;LEFT(TRIM(MID(SUBSTITUTE(SUBSTITUTE(SUBSTITUTE(SUBSTITUTE(SUBSTITUTE(LOWER(Registro!$E558),"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",LEN(Registro!$E558))),({1,2,3,4,5,6,7,8,9,10,11,12,13,14,15,16,17,18,19,20,21,22,23,24,25,26,27,28,29,30}-1)*LEN(Registro!$E558)+1,LEN(Registro!$E558))),FIND("x",TRIM(MID(SUBSTITUTE(SUBSTITUTE(SUBSTITUTE(SUBSTITUTE(SUBSTITUTE(LOWER(Registro!$E558),"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",LEN(Registro!$E558))),({1,2,3,4,5,6,7,8,9,10,11,12,13,14,15,16,17,18,19,20,21,22,23,24,25,26,27,28,29,30}-1)*LEN(Registro!$E558)+1,LEN(Registro!$E558)))&amp;"x")-1)),--("0"&amp;MID(TRIM(MID(SUBSTITUTE(SUBSTITUTE(SUBSTITUTE(SUBSTITUTE(SUBSTITUTE(LOWER(Registro!$E558),"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",LEN(Registro!$E558))),({1,2,3,4,5,6,7,8,9,10,11,12,13,14,15,16,17,18,19,20,21,22,23,24,25,26,27,28,29,30}-1)*LEN(Registro!$E558)+1,LEN(Registro!$E558))),FIND("x",TRIM(MID(SUBSTITUTE(SUBSTITUTE(SUBSTITUTE(SUBSTITUTE(SUBSTITUTE(LOWER(Registro!$E558),"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",LEN(Registro!$E558))),({1,2,3,4,5,6,7,8,9,10,11,12,13,14,15,16,17,18,19,20,21,22,23,24,25,26,27,28,29,30}-1)*LEN(Registro!$E558)+1,LEN(Registro!$E558)))&amp;"x")+1,20))),"Revisar formato")))</f>
        <v/>
      </c>
      <c r="F558" s="23" t="str">
        <f>IF(Registro!$F558="","",IF(ISERROR(FIND("x",LOWER(Registro!$F558))),"-",IFERROR(SUMPRODUCT(--("0"&amp;LEFT(TRIM(MID(SUBSTITUTE(SUBSTITUTE(SUBSTITUTE(SUBSTITUTE(SUBSTITUTE(LOWER(Registro!$F558)," ",""),CHAR(10),"|"),";","|"),"+","|"),"|",REPT(" ",LEN(Registro!$F558))),({1,2,3,4,5,6,7,8,9,10,11,12,13,14,15,16,17,18,19,20,21,22,23,24,25,26,27,28,29,30}-1)*LEN(Registro!$F558)+1,LEN(Registro!$F558))),FIND("x",TRIM(MID(SUBSTITUTE(SUBSTITUTE(SUBSTITUTE(SUBSTITUTE(SUBSTITUTE(LOWER(Registro!$F558)," ",""),CHAR(10),"|"),";","|"),"+","|"),"|",REPT(" ",LEN(Registro!$F558))),({1,2,3,4,5,6,7,8,9,10,11,12,13,14,15,16,17,18,19,20,21,22,23,24,25,26,27,28,29,30}-1)*LEN(Registro!$F558)+1,LEN(Registro!$F558)))&amp;"x")-1))),"Revisar formato")))</f>
        <v/>
      </c>
      <c r="G558" s="24" t="str">
        <f>IF(Registro!$F558="","",IF(ISERROR(FIND("x",LOWER(Registro!$F558))),N(Registro!$G558),IFERROR(SUMPRODUCT(--("0"&amp;LEFT(TRIM(MID(SUBSTITUTE(SUBSTITUTE(SUBSTITUTE(SUBSTITUTE(SUBSTITUTE(LOWER(Registro!$F558)," ",""),CHAR(10),"|"),";","|"),"+","|"),"|",REPT(" ",LEN(Registro!$F558))),({1,2,3,4,5,6,7,8,9,10,11,12,13,14,15,16,17,18,19,20,21,22,23,24,25,26,27,28,29,30}-1)*LEN(Registro!$F558)+1,LEN(Registro!$F558))),FIND("x",TRIM(MID(SUBSTITUTE(SUBSTITUTE(SUBSTITUTE(SUBSTITUTE(SUBSTITUTE(LOWER(Registro!$F558)," ",""),CHAR(10),"|"),";","|"),"+","|"),"|",REPT(" ",LEN(Registro!$F558))),({1,2,3,4,5,6,7,8,9,10,11,12,13,14,15,16,17,18,19,20,21,22,23,24,25,26,27,28,29,30}-1)*LEN(Registro!$F558)+1,LEN(Registro!$F558)))&amp;"x")-1)),--("0"&amp;MID(TRIM(MID(SUBSTITUTE(SUBSTITUTE(SUBSTITUTE(SUBSTITUTE(SUBSTITUTE(LOWER(Registro!$F558)," ",""),CHAR(10),"|"),";","|"),"+","|"),"|",REPT(" ",LEN(Registro!$F558))),({1,2,3,4,5,6,7,8,9,10,11,12,13,14,15,16,17,18,19,20,21,22,23,24,25,26,27,28,29,30}-1)*LEN(Registro!$F558)+1,LEN(Registro!$F558))),FIND("x",TRIM(MID(SUBSTITUTE(SUBSTITUTE(SUBSTITUTE(SUBSTITUTE(SUBSTITUTE(LOWER(Registro!$F558)," ",""),CHAR(10),"|"),";","|"),"+","|"),"|",REPT(" ",LEN(Registro!$F558))),({1,2,3,4,5,6,7,8,9,10,11,12,13,14,15,16,17,18,19,20,21,22,23,24,25,26,27,28,29,30}-1)*LEN(Registro!$F558)+1,LEN(Registro!$F558)))&amp;"x")+1,20))),"Revisar formato")))</f>
        <v/>
      </c>
      <c r="H558" s="21" t="str">
        <f>IF(AND(Registro!$E558="",Registro!$F558=""),"",IF(NOT(AND(ISNUMBER(G558),ISNUMBER(Registro!$G558))),"",IF(G558&lt;Registro!$G558,"FALTA BOLETOS",IF(G558=Registro!$G558,"CONFORME","DIFERENCIA"))))</f>
        <v/>
      </c>
      <c r="I558" s="24" t="str">
        <f>IF(Registro!$H558="","",IFERROR(SUMPRODUCT(--("0"&amp;TRIM(RIGHT(SUBSTITUTE(TRIM(MID(SUBSTITUTE(SUBSTITUTE(Registro!$H558,";",CHAR(10)),CHAR(10),REPT(" ",LEN(Registro!$H558))),({1,2,3,4,5,6,7,8,9,10,11,12,13,14,15,16,17,18,19,20,21,22,23,24,25,26,27,28,29,30}-1)*LEN(Registro!$H558)+1,LEN(Registro!$H558)))," ",REPT(" ",50)),50)))),"Revisar formato"))</f>
        <v/>
      </c>
      <c r="J558" s="24" t="str">
        <f>IF(Registro!$I558="","",IFERROR(SUMPRODUCT(--("0"&amp;TRIM(RIGHT(SUBSTITUTE(TRIM(MID(SUBSTITUTE(SUBSTITUTE(Registro!$I558,";",CHAR(10)),CHAR(10),REPT(" ",LEN(Registro!$I558))),({1,2,3,4,5,6,7,8,9,10,11,12,13,14,15,16,17,18,19,20,21,22,23,24,25,26,27,28,29,30}-1)*LEN(Registro!$I558)+1,LEN(Registro!$I558)))," ",REPT(" ",50)),50)))),"Revisar formato"))</f>
        <v/>
      </c>
      <c r="K558" s="24" t="str">
        <f>IF(AND(Registro!$G558="",Registro!$H558=""),"",IF(AND(ISTEXT(I558),I558&lt;&gt;""),"Revisar formato",N(Registro!$G558)-N(I558)))</f>
        <v/>
      </c>
      <c r="L558" s="24" t="str">
        <f t="shared" si="17"/>
        <v/>
      </c>
      <c r="M558" s="36" t="str">
        <f>IF(AND(A558=Consulta!$B$3,C558=Consulta!$H$3),B558*10000+ROW(),"")</f>
        <v/>
      </c>
    </row>
    <row r="559" spans="1:13" x14ac:dyDescent="0.25">
      <c r="A559" s="21" t="str">
        <f>IF(Registro!$A559="","",Registro!$A559)</f>
        <v/>
      </c>
      <c r="B559" s="20" t="str">
        <f>IF(Registro!$B559="","",Registro!$B559)</f>
        <v/>
      </c>
      <c r="C559" s="35" t="str">
        <f t="shared" si="16"/>
        <v/>
      </c>
      <c r="D559" s="23" t="str">
        <f>IF(Registro!$E559="","",IF(ISERROR(FIND("x",LOWER(Registro!$E559))),"-",IFERROR(SUMPRODUCT(--("0"&amp;LEFT(TRIM(MID(SUBSTITUTE(SUBSTITUTE(SUBSTITUTE(SUBSTITUTE(SUBSTITUTE(LOWER(Registro!$E559),"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",LEN(Registro!$E559))),({1,2,3,4,5,6,7,8,9,10,11,12,13,14,15,16,17,18,19,20,21,22,23,24,25,26,27,28,29,30}-1)*LEN(Registro!$E559)+1,LEN(Registro!$E559))),FIND("x",TRIM(MID(SUBSTITUTE(SUBSTITUTE(SUBSTITUTE(SUBSTITUTE(SUBSTITUTE(LOWER(Registro!$E559),"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",LEN(Registro!$E559))),({1,2,3,4,5,6,7,8,9,10,11,12,13,14,15,16,17,18,19,20,21,22,23,24,25,26,27,28,29,30}-1)*LEN(Registro!$E559)+1,LEN(Registro!$E559)))&amp;"x")-1))),"Revisar formato")))</f>
        <v/>
      </c>
      <c r="E559" s="24" t="str">
        <f>IF(Registro!$E559="","",IF(ISERROR(FIND("x",LOWER(Registro!$E559))),"-",IFERROR(SUMPRODUCT(--("0"&amp;LEFT(TRIM(MID(SUBSTITUTE(SUBSTITUTE(SUBSTITUTE(SUBSTITUTE(SUBSTITUTE(LOWER(Registro!$E559),"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",LEN(Registro!$E559))),({1,2,3,4,5,6,7,8,9,10,11,12,13,14,15,16,17,18,19,20,21,22,23,24,25,26,27,28,29,30}-1)*LEN(Registro!$E559)+1,LEN(Registro!$E559))),FIND("x",TRIM(MID(SUBSTITUTE(SUBSTITUTE(SUBSTITUTE(SUBSTITUTE(SUBSTITUTE(LOWER(Registro!$E559),"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",LEN(Registro!$E559))),({1,2,3,4,5,6,7,8,9,10,11,12,13,14,15,16,17,18,19,20,21,22,23,24,25,26,27,28,29,30}-1)*LEN(Registro!$E559)+1,LEN(Registro!$E559)))&amp;"x")-1)),--("0"&amp;MID(TRIM(MID(SUBSTITUTE(SUBSTITUTE(SUBSTITUTE(SUBSTITUTE(SUBSTITUTE(LOWER(Registro!$E559),"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",LEN(Registro!$E559))),({1,2,3,4,5,6,7,8,9,10,11,12,13,14,15,16,17,18,19,20,21,22,23,24,25,26,27,28,29,30}-1)*LEN(Registro!$E559)+1,LEN(Registro!$E559))),FIND("x",TRIM(MID(SUBSTITUTE(SUBSTITUTE(SUBSTITUTE(SUBSTITUTE(SUBSTITUTE(LOWER(Registro!$E559),"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",LEN(Registro!$E559))),({1,2,3,4,5,6,7,8,9,10,11,12,13,14,15,16,17,18,19,20,21,22,23,24,25,26,27,28,29,30}-1)*LEN(Registro!$E559)+1,LEN(Registro!$E559)))&amp;"x")+1,20))),"Revisar formato")))</f>
        <v/>
      </c>
      <c r="F559" s="23" t="str">
        <f>IF(Registro!$F559="","",IF(ISERROR(FIND("x",LOWER(Registro!$F559))),"-",IFERROR(SUMPRODUCT(--("0"&amp;LEFT(TRIM(MID(SUBSTITUTE(SUBSTITUTE(SUBSTITUTE(SUBSTITUTE(SUBSTITUTE(LOWER(Registro!$F559)," ",""),CHAR(10),"|"),";","|"),"+","|"),"|",REPT(" ",LEN(Registro!$F559))),({1,2,3,4,5,6,7,8,9,10,11,12,13,14,15,16,17,18,19,20,21,22,23,24,25,26,27,28,29,30}-1)*LEN(Registro!$F559)+1,LEN(Registro!$F559))),FIND("x",TRIM(MID(SUBSTITUTE(SUBSTITUTE(SUBSTITUTE(SUBSTITUTE(SUBSTITUTE(LOWER(Registro!$F559)," ",""),CHAR(10),"|"),";","|"),"+","|"),"|",REPT(" ",LEN(Registro!$F559))),({1,2,3,4,5,6,7,8,9,10,11,12,13,14,15,16,17,18,19,20,21,22,23,24,25,26,27,28,29,30}-1)*LEN(Registro!$F559)+1,LEN(Registro!$F559)))&amp;"x")-1))),"Revisar formato")))</f>
        <v/>
      </c>
      <c r="G559" s="24" t="str">
        <f>IF(Registro!$F559="","",IF(ISERROR(FIND("x",LOWER(Registro!$F559))),N(Registro!$G559),IFERROR(SUMPRODUCT(--("0"&amp;LEFT(TRIM(MID(SUBSTITUTE(SUBSTITUTE(SUBSTITUTE(SUBSTITUTE(SUBSTITUTE(LOWER(Registro!$F559)," ",""),CHAR(10),"|"),";","|"),"+","|"),"|",REPT(" ",LEN(Registro!$F559))),({1,2,3,4,5,6,7,8,9,10,11,12,13,14,15,16,17,18,19,20,21,22,23,24,25,26,27,28,29,30}-1)*LEN(Registro!$F559)+1,LEN(Registro!$F559))),FIND("x",TRIM(MID(SUBSTITUTE(SUBSTITUTE(SUBSTITUTE(SUBSTITUTE(SUBSTITUTE(LOWER(Registro!$F559)," ",""),CHAR(10),"|"),";","|"),"+","|"),"|",REPT(" ",LEN(Registro!$F559))),({1,2,3,4,5,6,7,8,9,10,11,12,13,14,15,16,17,18,19,20,21,22,23,24,25,26,27,28,29,30}-1)*LEN(Registro!$F559)+1,LEN(Registro!$F559)))&amp;"x")-1)),--("0"&amp;MID(TRIM(MID(SUBSTITUTE(SUBSTITUTE(SUBSTITUTE(SUBSTITUTE(SUBSTITUTE(LOWER(Registro!$F559)," ",""),CHAR(10),"|"),";","|"),"+","|"),"|",REPT(" ",LEN(Registro!$F559))),({1,2,3,4,5,6,7,8,9,10,11,12,13,14,15,16,17,18,19,20,21,22,23,24,25,26,27,28,29,30}-1)*LEN(Registro!$F559)+1,LEN(Registro!$F559))),FIND("x",TRIM(MID(SUBSTITUTE(SUBSTITUTE(SUBSTITUTE(SUBSTITUTE(SUBSTITUTE(LOWER(Registro!$F559)," ",""),CHAR(10),"|"),";","|"),"+","|"),"|",REPT(" ",LEN(Registro!$F559))),({1,2,3,4,5,6,7,8,9,10,11,12,13,14,15,16,17,18,19,20,21,22,23,24,25,26,27,28,29,30}-1)*LEN(Registro!$F559)+1,LEN(Registro!$F559)))&amp;"x")+1,20))),"Revisar formato")))</f>
        <v/>
      </c>
      <c r="H559" s="21" t="str">
        <f>IF(AND(Registro!$E559="",Registro!$F559=""),"",IF(NOT(AND(ISNUMBER(G559),ISNUMBER(Registro!$G559))),"",IF(G559&lt;Registro!$G559,"FALTA BOLETOS",IF(G559=Registro!$G559,"CONFORME","DIFERENCIA"))))</f>
        <v/>
      </c>
      <c r="I559" s="24" t="str">
        <f>IF(Registro!$H559="","",IFERROR(SUMPRODUCT(--("0"&amp;TRIM(RIGHT(SUBSTITUTE(TRIM(MID(SUBSTITUTE(SUBSTITUTE(Registro!$H559,";",CHAR(10)),CHAR(10),REPT(" ",LEN(Registro!$H559))),({1,2,3,4,5,6,7,8,9,10,11,12,13,14,15,16,17,18,19,20,21,22,23,24,25,26,27,28,29,30}-1)*LEN(Registro!$H559)+1,LEN(Registro!$H559)))," ",REPT(" ",50)),50)))),"Revisar formato"))</f>
        <v/>
      </c>
      <c r="J559" s="24" t="str">
        <f>IF(Registro!$I559="","",IFERROR(SUMPRODUCT(--("0"&amp;TRIM(RIGHT(SUBSTITUTE(TRIM(MID(SUBSTITUTE(SUBSTITUTE(Registro!$I559,";",CHAR(10)),CHAR(10),REPT(" ",LEN(Registro!$I559))),({1,2,3,4,5,6,7,8,9,10,11,12,13,14,15,16,17,18,19,20,21,22,23,24,25,26,27,28,29,30}-1)*LEN(Registro!$I559)+1,LEN(Registro!$I559)))," ",REPT(" ",50)),50)))),"Revisar formato"))</f>
        <v/>
      </c>
      <c r="K559" s="24" t="str">
        <f>IF(AND(Registro!$G559="",Registro!$H559=""),"",IF(AND(ISTEXT(I559),I559&lt;&gt;""),"Revisar formato",N(Registro!$G559)-N(I559)))</f>
        <v/>
      </c>
      <c r="L559" s="24" t="str">
        <f t="shared" si="17"/>
        <v/>
      </c>
      <c r="M559" s="36" t="str">
        <f>IF(AND(A559=Consulta!$B$3,C559=Consulta!$H$3),B559*10000+ROW(),"")</f>
        <v/>
      </c>
    </row>
    <row r="560" spans="1:13" x14ac:dyDescent="0.25">
      <c r="A560" s="21" t="str">
        <f>IF(Registro!$A560="","",Registro!$A560)</f>
        <v/>
      </c>
      <c r="B560" s="20" t="str">
        <f>IF(Registro!$B560="","",Registro!$B560)</f>
        <v/>
      </c>
      <c r="C560" s="35" t="str">
        <f t="shared" si="16"/>
        <v/>
      </c>
      <c r="D560" s="23" t="str">
        <f>IF(Registro!$E560="","",IF(ISERROR(FIND("x",LOWER(Registro!$E560))),"-",IFERROR(SUMPRODUCT(--("0"&amp;LEFT(TRIM(MID(SUBSTITUTE(SUBSTITUTE(SUBSTITUTE(SUBSTITUTE(SUBSTITUTE(LOWER(Registro!$E560),"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",LEN(Registro!$E560))),({1,2,3,4,5,6,7,8,9,10,11,12,13,14,15,16,17,18,19,20,21,22,23,24,25,26,27,28,29,30}-1)*LEN(Registro!$E560)+1,LEN(Registro!$E560))),FIND("x",TRIM(MID(SUBSTITUTE(SUBSTITUTE(SUBSTITUTE(SUBSTITUTE(SUBSTITUTE(LOWER(Registro!$E560),"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",LEN(Registro!$E560))),({1,2,3,4,5,6,7,8,9,10,11,12,13,14,15,16,17,18,19,20,21,22,23,24,25,26,27,28,29,30}-1)*LEN(Registro!$E560)+1,LEN(Registro!$E560)))&amp;"x")-1))),"Revisar formato")))</f>
        <v/>
      </c>
      <c r="E560" s="24" t="str">
        <f>IF(Registro!$E560="","",IF(ISERROR(FIND("x",LOWER(Registro!$E560))),"-",IFERROR(SUMPRODUCT(--("0"&amp;LEFT(TRIM(MID(SUBSTITUTE(SUBSTITUTE(SUBSTITUTE(SUBSTITUTE(SUBSTITUTE(LOWER(Registro!$E560),"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",LEN(Registro!$E560))),({1,2,3,4,5,6,7,8,9,10,11,12,13,14,15,16,17,18,19,20,21,22,23,24,25,26,27,28,29,30}-1)*LEN(Registro!$E560)+1,LEN(Registro!$E560))),FIND("x",TRIM(MID(SUBSTITUTE(SUBSTITUTE(SUBSTITUTE(SUBSTITUTE(SUBSTITUTE(LOWER(Registro!$E560),"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",LEN(Registro!$E560))),({1,2,3,4,5,6,7,8,9,10,11,12,13,14,15,16,17,18,19,20,21,22,23,24,25,26,27,28,29,30}-1)*LEN(Registro!$E560)+1,LEN(Registro!$E560)))&amp;"x")-1)),--("0"&amp;MID(TRIM(MID(SUBSTITUTE(SUBSTITUTE(SUBSTITUTE(SUBSTITUTE(SUBSTITUTE(LOWER(Registro!$E560),"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",LEN(Registro!$E560))),({1,2,3,4,5,6,7,8,9,10,11,12,13,14,15,16,17,18,19,20,21,22,23,24,25,26,27,28,29,30}-1)*LEN(Registro!$E560)+1,LEN(Registro!$E560))),FIND("x",TRIM(MID(SUBSTITUTE(SUBSTITUTE(SUBSTITUTE(SUBSTITUTE(SUBSTITUTE(LOWER(Registro!$E560),"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",LEN(Registro!$E560))),({1,2,3,4,5,6,7,8,9,10,11,12,13,14,15,16,17,18,19,20,21,22,23,24,25,26,27,28,29,30}-1)*LEN(Registro!$E560)+1,LEN(Registro!$E560)))&amp;"x")+1,20))),"Revisar formato")))</f>
        <v/>
      </c>
      <c r="F560" s="23" t="str">
        <f>IF(Registro!$F560="","",IF(ISERROR(FIND("x",LOWER(Registro!$F560))),"-",IFERROR(SUMPRODUCT(--("0"&amp;LEFT(TRIM(MID(SUBSTITUTE(SUBSTITUTE(SUBSTITUTE(SUBSTITUTE(SUBSTITUTE(LOWER(Registro!$F560)," ",""),CHAR(10),"|"),";","|"),"+","|"),"|",REPT(" ",LEN(Registro!$F560))),({1,2,3,4,5,6,7,8,9,10,11,12,13,14,15,16,17,18,19,20,21,22,23,24,25,26,27,28,29,30}-1)*LEN(Registro!$F560)+1,LEN(Registro!$F560))),FIND("x",TRIM(MID(SUBSTITUTE(SUBSTITUTE(SUBSTITUTE(SUBSTITUTE(SUBSTITUTE(LOWER(Registro!$F560)," ",""),CHAR(10),"|"),";","|"),"+","|"),"|",REPT(" ",LEN(Registro!$F560))),({1,2,3,4,5,6,7,8,9,10,11,12,13,14,15,16,17,18,19,20,21,22,23,24,25,26,27,28,29,30}-1)*LEN(Registro!$F560)+1,LEN(Registro!$F560)))&amp;"x")-1))),"Revisar formato")))</f>
        <v/>
      </c>
      <c r="G560" s="24" t="str">
        <f>IF(Registro!$F560="","",IF(ISERROR(FIND("x",LOWER(Registro!$F560))),N(Registro!$G560),IFERROR(SUMPRODUCT(--("0"&amp;LEFT(TRIM(MID(SUBSTITUTE(SUBSTITUTE(SUBSTITUTE(SUBSTITUTE(SUBSTITUTE(LOWER(Registro!$F560)," ",""),CHAR(10),"|"),";","|"),"+","|"),"|",REPT(" ",LEN(Registro!$F560))),({1,2,3,4,5,6,7,8,9,10,11,12,13,14,15,16,17,18,19,20,21,22,23,24,25,26,27,28,29,30}-1)*LEN(Registro!$F560)+1,LEN(Registro!$F560))),FIND("x",TRIM(MID(SUBSTITUTE(SUBSTITUTE(SUBSTITUTE(SUBSTITUTE(SUBSTITUTE(LOWER(Registro!$F560)," ",""),CHAR(10),"|"),";","|"),"+","|"),"|",REPT(" ",LEN(Registro!$F560))),({1,2,3,4,5,6,7,8,9,10,11,12,13,14,15,16,17,18,19,20,21,22,23,24,25,26,27,28,29,30}-1)*LEN(Registro!$F560)+1,LEN(Registro!$F560)))&amp;"x")-1)),--("0"&amp;MID(TRIM(MID(SUBSTITUTE(SUBSTITUTE(SUBSTITUTE(SUBSTITUTE(SUBSTITUTE(LOWER(Registro!$F560)," ",""),CHAR(10),"|"),";","|"),"+","|"),"|",REPT(" ",LEN(Registro!$F560))),({1,2,3,4,5,6,7,8,9,10,11,12,13,14,15,16,17,18,19,20,21,22,23,24,25,26,27,28,29,30}-1)*LEN(Registro!$F560)+1,LEN(Registro!$F560))),FIND("x",TRIM(MID(SUBSTITUTE(SUBSTITUTE(SUBSTITUTE(SUBSTITUTE(SUBSTITUTE(LOWER(Registro!$F560)," ",""),CHAR(10),"|"),";","|"),"+","|"),"|",REPT(" ",LEN(Registro!$F560))),({1,2,3,4,5,6,7,8,9,10,11,12,13,14,15,16,17,18,19,20,21,22,23,24,25,26,27,28,29,30}-1)*LEN(Registro!$F560)+1,LEN(Registro!$F560)))&amp;"x")+1,20))),"Revisar formato")))</f>
        <v/>
      </c>
      <c r="H560" s="21" t="str">
        <f>IF(AND(Registro!$E560="",Registro!$F560=""),"",IF(NOT(AND(ISNUMBER(G560),ISNUMBER(Registro!$G560))),"",IF(G560&lt;Registro!$G560,"FALTA BOLETOS",IF(G560=Registro!$G560,"CONFORME","DIFERENCIA"))))</f>
        <v/>
      </c>
      <c r="I560" s="24" t="str">
        <f>IF(Registro!$H560="","",IFERROR(SUMPRODUCT(--("0"&amp;TRIM(RIGHT(SUBSTITUTE(TRIM(MID(SUBSTITUTE(SUBSTITUTE(Registro!$H560,";",CHAR(10)),CHAR(10),REPT(" ",LEN(Registro!$H560))),({1,2,3,4,5,6,7,8,9,10,11,12,13,14,15,16,17,18,19,20,21,22,23,24,25,26,27,28,29,30}-1)*LEN(Registro!$H560)+1,LEN(Registro!$H560)))," ",REPT(" ",50)),50)))),"Revisar formato"))</f>
        <v/>
      </c>
      <c r="J560" s="24" t="str">
        <f>IF(Registro!$I560="","",IFERROR(SUMPRODUCT(--("0"&amp;TRIM(RIGHT(SUBSTITUTE(TRIM(MID(SUBSTITUTE(SUBSTITUTE(Registro!$I560,";",CHAR(10)),CHAR(10),REPT(" ",LEN(Registro!$I560))),({1,2,3,4,5,6,7,8,9,10,11,12,13,14,15,16,17,18,19,20,21,22,23,24,25,26,27,28,29,30}-1)*LEN(Registro!$I560)+1,LEN(Registro!$I560)))," ",REPT(" ",50)),50)))),"Revisar formato"))</f>
        <v/>
      </c>
      <c r="K560" s="24" t="str">
        <f>IF(AND(Registro!$G560="",Registro!$H560=""),"",IF(AND(ISTEXT(I560),I560&lt;&gt;""),"Revisar formato",N(Registro!$G560)-N(I560)))</f>
        <v/>
      </c>
      <c r="L560" s="24" t="str">
        <f t="shared" si="17"/>
        <v/>
      </c>
      <c r="M560" s="36" t="str">
        <f>IF(AND(A560=Consulta!$B$3,C560=Consulta!$H$3),B560*10000+ROW(),"")</f>
        <v/>
      </c>
    </row>
    <row r="561" spans="1:13" x14ac:dyDescent="0.25">
      <c r="A561" s="21" t="str">
        <f>IF(Registro!$A561="","",Registro!$A561)</f>
        <v/>
      </c>
      <c r="B561" s="20" t="str">
        <f>IF(Registro!$B561="","",Registro!$B561)</f>
        <v/>
      </c>
      <c r="C561" s="35" t="str">
        <f t="shared" si="16"/>
        <v/>
      </c>
      <c r="D561" s="23" t="str">
        <f>IF(Registro!$E561="","",IF(ISERROR(FIND("x",LOWER(Registro!$E561))),"-",IFERROR(SUMPRODUCT(--("0"&amp;LEFT(TRIM(MID(SUBSTITUTE(SUBSTITUTE(SUBSTITUTE(SUBSTITUTE(SUBSTITUTE(LOWER(Registro!$E561),"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",LEN(Registro!$E561))),({1,2,3,4,5,6,7,8,9,10,11,12,13,14,15,16,17,18,19,20,21,22,23,24,25,26,27,28,29,30}-1)*LEN(Registro!$E561)+1,LEN(Registro!$E561))),FIND("x",TRIM(MID(SUBSTITUTE(SUBSTITUTE(SUBSTITUTE(SUBSTITUTE(SUBSTITUTE(LOWER(Registro!$E561),"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",LEN(Registro!$E561))),({1,2,3,4,5,6,7,8,9,10,11,12,13,14,15,16,17,18,19,20,21,22,23,24,25,26,27,28,29,30}-1)*LEN(Registro!$E561)+1,LEN(Registro!$E561)))&amp;"x")-1))),"Revisar formato")))</f>
        <v/>
      </c>
      <c r="E561" s="24" t="str">
        <f>IF(Registro!$E561="","",IF(ISERROR(FIND("x",LOWER(Registro!$E561))),"-",IFERROR(SUMPRODUCT(--("0"&amp;LEFT(TRIM(MID(SUBSTITUTE(SUBSTITUTE(SUBSTITUTE(SUBSTITUTE(SUBSTITUTE(LOWER(Registro!$E561),"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",LEN(Registro!$E561))),({1,2,3,4,5,6,7,8,9,10,11,12,13,14,15,16,17,18,19,20,21,22,23,24,25,26,27,28,29,30}-1)*LEN(Registro!$E561)+1,LEN(Registro!$E561))),FIND("x",TRIM(MID(SUBSTITUTE(SUBSTITUTE(SUBSTITUTE(SUBSTITUTE(SUBSTITUTE(LOWER(Registro!$E561),"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",LEN(Registro!$E561))),({1,2,3,4,5,6,7,8,9,10,11,12,13,14,15,16,17,18,19,20,21,22,23,24,25,26,27,28,29,30}-1)*LEN(Registro!$E561)+1,LEN(Registro!$E561)))&amp;"x")-1)),--("0"&amp;MID(TRIM(MID(SUBSTITUTE(SUBSTITUTE(SUBSTITUTE(SUBSTITUTE(SUBSTITUTE(LOWER(Registro!$E561),"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",LEN(Registro!$E561))),({1,2,3,4,5,6,7,8,9,10,11,12,13,14,15,16,17,18,19,20,21,22,23,24,25,26,27,28,29,30}-1)*LEN(Registro!$E561)+1,LEN(Registro!$E561))),FIND("x",TRIM(MID(SUBSTITUTE(SUBSTITUTE(SUBSTITUTE(SUBSTITUTE(SUBSTITUTE(LOWER(Registro!$E561),"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",LEN(Registro!$E561))),({1,2,3,4,5,6,7,8,9,10,11,12,13,14,15,16,17,18,19,20,21,22,23,24,25,26,27,28,29,30}-1)*LEN(Registro!$E561)+1,LEN(Registro!$E561)))&amp;"x")+1,20))),"Revisar formato")))</f>
        <v/>
      </c>
      <c r="F561" s="23" t="str">
        <f>IF(Registro!$F561="","",IF(ISERROR(FIND("x",LOWER(Registro!$F561))),"-",IFERROR(SUMPRODUCT(--("0"&amp;LEFT(TRIM(MID(SUBSTITUTE(SUBSTITUTE(SUBSTITUTE(SUBSTITUTE(SUBSTITUTE(LOWER(Registro!$F561)," ",""),CHAR(10),"|"),";","|"),"+","|"),"|",REPT(" ",LEN(Registro!$F561))),({1,2,3,4,5,6,7,8,9,10,11,12,13,14,15,16,17,18,19,20,21,22,23,24,25,26,27,28,29,30}-1)*LEN(Registro!$F561)+1,LEN(Registro!$F561))),FIND("x",TRIM(MID(SUBSTITUTE(SUBSTITUTE(SUBSTITUTE(SUBSTITUTE(SUBSTITUTE(LOWER(Registro!$F561)," ",""),CHAR(10),"|"),";","|"),"+","|"),"|",REPT(" ",LEN(Registro!$F561))),({1,2,3,4,5,6,7,8,9,10,11,12,13,14,15,16,17,18,19,20,21,22,23,24,25,26,27,28,29,30}-1)*LEN(Registro!$F561)+1,LEN(Registro!$F561)))&amp;"x")-1))),"Revisar formato")))</f>
        <v/>
      </c>
      <c r="G561" s="24" t="str">
        <f>IF(Registro!$F561="","",IF(ISERROR(FIND("x",LOWER(Registro!$F561))),N(Registro!$G561),IFERROR(SUMPRODUCT(--("0"&amp;LEFT(TRIM(MID(SUBSTITUTE(SUBSTITUTE(SUBSTITUTE(SUBSTITUTE(SUBSTITUTE(LOWER(Registro!$F561)," ",""),CHAR(10),"|"),";","|"),"+","|"),"|",REPT(" ",LEN(Registro!$F561))),({1,2,3,4,5,6,7,8,9,10,11,12,13,14,15,16,17,18,19,20,21,22,23,24,25,26,27,28,29,30}-1)*LEN(Registro!$F561)+1,LEN(Registro!$F561))),FIND("x",TRIM(MID(SUBSTITUTE(SUBSTITUTE(SUBSTITUTE(SUBSTITUTE(SUBSTITUTE(LOWER(Registro!$F561)," ",""),CHAR(10),"|"),";","|"),"+","|"),"|",REPT(" ",LEN(Registro!$F561))),({1,2,3,4,5,6,7,8,9,10,11,12,13,14,15,16,17,18,19,20,21,22,23,24,25,26,27,28,29,30}-1)*LEN(Registro!$F561)+1,LEN(Registro!$F561)))&amp;"x")-1)),--("0"&amp;MID(TRIM(MID(SUBSTITUTE(SUBSTITUTE(SUBSTITUTE(SUBSTITUTE(SUBSTITUTE(LOWER(Registro!$F561)," ",""),CHAR(10),"|"),";","|"),"+","|"),"|",REPT(" ",LEN(Registro!$F561))),({1,2,3,4,5,6,7,8,9,10,11,12,13,14,15,16,17,18,19,20,21,22,23,24,25,26,27,28,29,30}-1)*LEN(Registro!$F561)+1,LEN(Registro!$F561))),FIND("x",TRIM(MID(SUBSTITUTE(SUBSTITUTE(SUBSTITUTE(SUBSTITUTE(SUBSTITUTE(LOWER(Registro!$F561)," ",""),CHAR(10),"|"),";","|"),"+","|"),"|",REPT(" ",LEN(Registro!$F561))),({1,2,3,4,5,6,7,8,9,10,11,12,13,14,15,16,17,18,19,20,21,22,23,24,25,26,27,28,29,30}-1)*LEN(Registro!$F561)+1,LEN(Registro!$F561)))&amp;"x")+1,20))),"Revisar formato")))</f>
        <v/>
      </c>
      <c r="H561" s="21" t="str">
        <f>IF(AND(Registro!$E561="",Registro!$F561=""),"",IF(NOT(AND(ISNUMBER(G561),ISNUMBER(Registro!$G561))),"",IF(G561&lt;Registro!$G561,"FALTA BOLETOS",IF(G561=Registro!$G561,"CONFORME","DIFERENCIA"))))</f>
        <v/>
      </c>
      <c r="I561" s="24" t="str">
        <f>IF(Registro!$H561="","",IFERROR(SUMPRODUCT(--("0"&amp;TRIM(RIGHT(SUBSTITUTE(TRIM(MID(SUBSTITUTE(SUBSTITUTE(Registro!$H561,";",CHAR(10)),CHAR(10),REPT(" ",LEN(Registro!$H561))),({1,2,3,4,5,6,7,8,9,10,11,12,13,14,15,16,17,18,19,20,21,22,23,24,25,26,27,28,29,30}-1)*LEN(Registro!$H561)+1,LEN(Registro!$H561)))," ",REPT(" ",50)),50)))),"Revisar formato"))</f>
        <v/>
      </c>
      <c r="J561" s="24" t="str">
        <f>IF(Registro!$I561="","",IFERROR(SUMPRODUCT(--("0"&amp;TRIM(RIGHT(SUBSTITUTE(TRIM(MID(SUBSTITUTE(SUBSTITUTE(Registro!$I561,";",CHAR(10)),CHAR(10),REPT(" ",LEN(Registro!$I561))),({1,2,3,4,5,6,7,8,9,10,11,12,13,14,15,16,17,18,19,20,21,22,23,24,25,26,27,28,29,30}-1)*LEN(Registro!$I561)+1,LEN(Registro!$I561)))," ",REPT(" ",50)),50)))),"Revisar formato"))</f>
        <v/>
      </c>
      <c r="K561" s="24" t="str">
        <f>IF(AND(Registro!$G561="",Registro!$H561=""),"",IF(AND(ISTEXT(I561),I561&lt;&gt;""),"Revisar formato",N(Registro!$G561)-N(I561)))</f>
        <v/>
      </c>
      <c r="L561" s="24" t="str">
        <f t="shared" si="17"/>
        <v/>
      </c>
      <c r="M561" s="36" t="str">
        <f>IF(AND(A561=Consulta!$B$3,C561=Consulta!$H$3),B561*10000+ROW(),"")</f>
        <v/>
      </c>
    </row>
    <row r="562" spans="1:13" x14ac:dyDescent="0.25">
      <c r="A562" s="21" t="str">
        <f>IF(Registro!$A562="","",Registro!$A562)</f>
        <v/>
      </c>
      <c r="B562" s="20" t="str">
        <f>IF(Registro!$B562="","",Registro!$B562)</f>
        <v/>
      </c>
      <c r="C562" s="35" t="str">
        <f t="shared" si="16"/>
        <v/>
      </c>
      <c r="D562" s="23" t="str">
        <f>IF(Registro!$E562="","",IF(ISERROR(FIND("x",LOWER(Registro!$E562))),"-",IFERROR(SUMPRODUCT(--("0"&amp;LEFT(TRIM(MID(SUBSTITUTE(SUBSTITUTE(SUBSTITUTE(SUBSTITUTE(SUBSTITUTE(LOWER(Registro!$E562),"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",LEN(Registro!$E562))),({1,2,3,4,5,6,7,8,9,10,11,12,13,14,15,16,17,18,19,20,21,22,23,24,25,26,27,28,29,30}-1)*LEN(Registro!$E562)+1,LEN(Registro!$E562))),FIND("x",TRIM(MID(SUBSTITUTE(SUBSTITUTE(SUBSTITUTE(SUBSTITUTE(SUBSTITUTE(LOWER(Registro!$E562),"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",LEN(Registro!$E562))),({1,2,3,4,5,6,7,8,9,10,11,12,13,14,15,16,17,18,19,20,21,22,23,24,25,26,27,28,29,30}-1)*LEN(Registro!$E562)+1,LEN(Registro!$E562)))&amp;"x")-1))),"Revisar formato")))</f>
        <v/>
      </c>
      <c r="E562" s="24" t="str">
        <f>IF(Registro!$E562="","",IF(ISERROR(FIND("x",LOWER(Registro!$E562))),"-",IFERROR(SUMPRODUCT(--("0"&amp;LEFT(TRIM(MID(SUBSTITUTE(SUBSTITUTE(SUBSTITUTE(SUBSTITUTE(SUBSTITUTE(LOWER(Registro!$E562),"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",LEN(Registro!$E562))),({1,2,3,4,5,6,7,8,9,10,11,12,13,14,15,16,17,18,19,20,21,22,23,24,25,26,27,28,29,30}-1)*LEN(Registro!$E562)+1,LEN(Registro!$E562))),FIND("x",TRIM(MID(SUBSTITUTE(SUBSTITUTE(SUBSTITUTE(SUBSTITUTE(SUBSTITUTE(LOWER(Registro!$E562),"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",LEN(Registro!$E562))),({1,2,3,4,5,6,7,8,9,10,11,12,13,14,15,16,17,18,19,20,21,22,23,24,25,26,27,28,29,30}-1)*LEN(Registro!$E562)+1,LEN(Registro!$E562)))&amp;"x")-1)),--("0"&amp;MID(TRIM(MID(SUBSTITUTE(SUBSTITUTE(SUBSTITUTE(SUBSTITUTE(SUBSTITUTE(LOWER(Registro!$E562),"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",LEN(Registro!$E562))),({1,2,3,4,5,6,7,8,9,10,11,12,13,14,15,16,17,18,19,20,21,22,23,24,25,26,27,28,29,30}-1)*LEN(Registro!$E562)+1,LEN(Registro!$E562))),FIND("x",TRIM(MID(SUBSTITUTE(SUBSTITUTE(SUBSTITUTE(SUBSTITUTE(SUBSTITUTE(LOWER(Registro!$E562),"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",LEN(Registro!$E562))),({1,2,3,4,5,6,7,8,9,10,11,12,13,14,15,16,17,18,19,20,21,22,23,24,25,26,27,28,29,30}-1)*LEN(Registro!$E562)+1,LEN(Registro!$E562)))&amp;"x")+1,20))),"Revisar formato")))</f>
        <v/>
      </c>
      <c r="F562" s="23" t="str">
        <f>IF(Registro!$F562="","",IF(ISERROR(FIND("x",LOWER(Registro!$F562))),"-",IFERROR(SUMPRODUCT(--("0"&amp;LEFT(TRIM(MID(SUBSTITUTE(SUBSTITUTE(SUBSTITUTE(SUBSTITUTE(SUBSTITUTE(LOWER(Registro!$F562)," ",""),CHAR(10),"|"),";","|"),"+","|"),"|",REPT(" ",LEN(Registro!$F562))),({1,2,3,4,5,6,7,8,9,10,11,12,13,14,15,16,17,18,19,20,21,22,23,24,25,26,27,28,29,30}-1)*LEN(Registro!$F562)+1,LEN(Registro!$F562))),FIND("x",TRIM(MID(SUBSTITUTE(SUBSTITUTE(SUBSTITUTE(SUBSTITUTE(SUBSTITUTE(LOWER(Registro!$F562)," ",""),CHAR(10),"|"),";","|"),"+","|"),"|",REPT(" ",LEN(Registro!$F562))),({1,2,3,4,5,6,7,8,9,10,11,12,13,14,15,16,17,18,19,20,21,22,23,24,25,26,27,28,29,30}-1)*LEN(Registro!$F562)+1,LEN(Registro!$F562)))&amp;"x")-1))),"Revisar formato")))</f>
        <v/>
      </c>
      <c r="G562" s="24" t="str">
        <f>IF(Registro!$F562="","",IF(ISERROR(FIND("x",LOWER(Registro!$F562))),N(Registro!$G562),IFERROR(SUMPRODUCT(--("0"&amp;LEFT(TRIM(MID(SUBSTITUTE(SUBSTITUTE(SUBSTITUTE(SUBSTITUTE(SUBSTITUTE(LOWER(Registro!$F562)," ",""),CHAR(10),"|"),";","|"),"+","|"),"|",REPT(" ",LEN(Registro!$F562))),({1,2,3,4,5,6,7,8,9,10,11,12,13,14,15,16,17,18,19,20,21,22,23,24,25,26,27,28,29,30}-1)*LEN(Registro!$F562)+1,LEN(Registro!$F562))),FIND("x",TRIM(MID(SUBSTITUTE(SUBSTITUTE(SUBSTITUTE(SUBSTITUTE(SUBSTITUTE(LOWER(Registro!$F562)," ",""),CHAR(10),"|"),";","|"),"+","|"),"|",REPT(" ",LEN(Registro!$F562))),({1,2,3,4,5,6,7,8,9,10,11,12,13,14,15,16,17,18,19,20,21,22,23,24,25,26,27,28,29,30}-1)*LEN(Registro!$F562)+1,LEN(Registro!$F562)))&amp;"x")-1)),--("0"&amp;MID(TRIM(MID(SUBSTITUTE(SUBSTITUTE(SUBSTITUTE(SUBSTITUTE(SUBSTITUTE(LOWER(Registro!$F562)," ",""),CHAR(10),"|"),";","|"),"+","|"),"|",REPT(" ",LEN(Registro!$F562))),({1,2,3,4,5,6,7,8,9,10,11,12,13,14,15,16,17,18,19,20,21,22,23,24,25,26,27,28,29,30}-1)*LEN(Registro!$F562)+1,LEN(Registro!$F562))),FIND("x",TRIM(MID(SUBSTITUTE(SUBSTITUTE(SUBSTITUTE(SUBSTITUTE(SUBSTITUTE(LOWER(Registro!$F562)," ",""),CHAR(10),"|"),";","|"),"+","|"),"|",REPT(" ",LEN(Registro!$F562))),({1,2,3,4,5,6,7,8,9,10,11,12,13,14,15,16,17,18,19,20,21,22,23,24,25,26,27,28,29,30}-1)*LEN(Registro!$F562)+1,LEN(Registro!$F562)))&amp;"x")+1,20))),"Revisar formato")))</f>
        <v/>
      </c>
      <c r="H562" s="21" t="str">
        <f>IF(AND(Registro!$E562="",Registro!$F562=""),"",IF(NOT(AND(ISNUMBER(G562),ISNUMBER(Registro!$G562))),"",IF(G562&lt;Registro!$G562,"FALTA BOLETOS",IF(G562=Registro!$G562,"CONFORME","DIFERENCIA"))))</f>
        <v/>
      </c>
      <c r="I562" s="24" t="str">
        <f>IF(Registro!$H562="","",IFERROR(SUMPRODUCT(--("0"&amp;TRIM(RIGHT(SUBSTITUTE(TRIM(MID(SUBSTITUTE(SUBSTITUTE(Registro!$H562,";",CHAR(10)),CHAR(10),REPT(" ",LEN(Registro!$H562))),({1,2,3,4,5,6,7,8,9,10,11,12,13,14,15,16,17,18,19,20,21,22,23,24,25,26,27,28,29,30}-1)*LEN(Registro!$H562)+1,LEN(Registro!$H562)))," ",REPT(" ",50)),50)))),"Revisar formato"))</f>
        <v/>
      </c>
      <c r="J562" s="24" t="str">
        <f>IF(Registro!$I562="","",IFERROR(SUMPRODUCT(--("0"&amp;TRIM(RIGHT(SUBSTITUTE(TRIM(MID(SUBSTITUTE(SUBSTITUTE(Registro!$I562,";",CHAR(10)),CHAR(10),REPT(" ",LEN(Registro!$I562))),({1,2,3,4,5,6,7,8,9,10,11,12,13,14,15,16,17,18,19,20,21,22,23,24,25,26,27,28,29,30}-1)*LEN(Registro!$I562)+1,LEN(Registro!$I562)))," ",REPT(" ",50)),50)))),"Revisar formato"))</f>
        <v/>
      </c>
      <c r="K562" s="24" t="str">
        <f>IF(AND(Registro!$G562="",Registro!$H562=""),"",IF(AND(ISTEXT(I562),I562&lt;&gt;""),"Revisar formato",N(Registro!$G562)-N(I562)))</f>
        <v/>
      </c>
      <c r="L562" s="24" t="str">
        <f t="shared" si="17"/>
        <v/>
      </c>
      <c r="M562" s="36" t="str">
        <f>IF(AND(A562=Consulta!$B$3,C562=Consulta!$H$3),B562*10000+ROW(),"")</f>
        <v/>
      </c>
    </row>
    <row r="563" spans="1:13" x14ac:dyDescent="0.25">
      <c r="A563" s="21" t="str">
        <f>IF(Registro!$A563="","",Registro!$A563)</f>
        <v/>
      </c>
      <c r="B563" s="20" t="str">
        <f>IF(Registro!$B563="","",Registro!$B563)</f>
        <v/>
      </c>
      <c r="C563" s="35" t="str">
        <f t="shared" si="16"/>
        <v/>
      </c>
      <c r="D563" s="23" t="str">
        <f>IF(Registro!$E563="","",IF(ISERROR(FIND("x",LOWER(Registro!$E563))),"-",IFERROR(SUMPRODUCT(--("0"&amp;LEFT(TRIM(MID(SUBSTITUTE(SUBSTITUTE(SUBSTITUTE(SUBSTITUTE(SUBSTITUTE(LOWER(Registro!$E563),"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",LEN(Registro!$E563))),({1,2,3,4,5,6,7,8,9,10,11,12,13,14,15,16,17,18,19,20,21,22,23,24,25,26,27,28,29,30}-1)*LEN(Registro!$E563)+1,LEN(Registro!$E563))),FIND("x",TRIM(MID(SUBSTITUTE(SUBSTITUTE(SUBSTITUTE(SUBSTITUTE(SUBSTITUTE(LOWER(Registro!$E563),"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",LEN(Registro!$E563))),({1,2,3,4,5,6,7,8,9,10,11,12,13,14,15,16,17,18,19,20,21,22,23,24,25,26,27,28,29,30}-1)*LEN(Registro!$E563)+1,LEN(Registro!$E563)))&amp;"x")-1))),"Revisar formato")))</f>
        <v/>
      </c>
      <c r="E563" s="24" t="str">
        <f>IF(Registro!$E563="","",IF(ISERROR(FIND("x",LOWER(Registro!$E563))),"-",IFERROR(SUMPRODUCT(--("0"&amp;LEFT(TRIM(MID(SUBSTITUTE(SUBSTITUTE(SUBSTITUTE(SUBSTITUTE(SUBSTITUTE(LOWER(Registro!$E563),"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",LEN(Registro!$E563))),({1,2,3,4,5,6,7,8,9,10,11,12,13,14,15,16,17,18,19,20,21,22,23,24,25,26,27,28,29,30}-1)*LEN(Registro!$E563)+1,LEN(Registro!$E563))),FIND("x",TRIM(MID(SUBSTITUTE(SUBSTITUTE(SUBSTITUTE(SUBSTITUTE(SUBSTITUTE(LOWER(Registro!$E563),"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",LEN(Registro!$E563))),({1,2,3,4,5,6,7,8,9,10,11,12,13,14,15,16,17,18,19,20,21,22,23,24,25,26,27,28,29,30}-1)*LEN(Registro!$E563)+1,LEN(Registro!$E563)))&amp;"x")-1)),--("0"&amp;MID(TRIM(MID(SUBSTITUTE(SUBSTITUTE(SUBSTITUTE(SUBSTITUTE(SUBSTITUTE(LOWER(Registro!$E563),"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",LEN(Registro!$E563))),({1,2,3,4,5,6,7,8,9,10,11,12,13,14,15,16,17,18,19,20,21,22,23,24,25,26,27,28,29,30}-1)*LEN(Registro!$E563)+1,LEN(Registro!$E563))),FIND("x",TRIM(MID(SUBSTITUTE(SUBSTITUTE(SUBSTITUTE(SUBSTITUTE(SUBSTITUTE(LOWER(Registro!$E563),"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",LEN(Registro!$E563))),({1,2,3,4,5,6,7,8,9,10,11,12,13,14,15,16,17,18,19,20,21,22,23,24,25,26,27,28,29,30}-1)*LEN(Registro!$E563)+1,LEN(Registro!$E563)))&amp;"x")+1,20))),"Revisar formato")))</f>
        <v/>
      </c>
      <c r="F563" s="23" t="str">
        <f>IF(Registro!$F563="","",IF(ISERROR(FIND("x",LOWER(Registro!$F563))),"-",IFERROR(SUMPRODUCT(--("0"&amp;LEFT(TRIM(MID(SUBSTITUTE(SUBSTITUTE(SUBSTITUTE(SUBSTITUTE(SUBSTITUTE(LOWER(Registro!$F563)," ",""),CHAR(10),"|"),";","|"),"+","|"),"|",REPT(" ",LEN(Registro!$F563))),({1,2,3,4,5,6,7,8,9,10,11,12,13,14,15,16,17,18,19,20,21,22,23,24,25,26,27,28,29,30}-1)*LEN(Registro!$F563)+1,LEN(Registro!$F563))),FIND("x",TRIM(MID(SUBSTITUTE(SUBSTITUTE(SUBSTITUTE(SUBSTITUTE(SUBSTITUTE(LOWER(Registro!$F563)," ",""),CHAR(10),"|"),";","|"),"+","|"),"|",REPT(" ",LEN(Registro!$F563))),({1,2,3,4,5,6,7,8,9,10,11,12,13,14,15,16,17,18,19,20,21,22,23,24,25,26,27,28,29,30}-1)*LEN(Registro!$F563)+1,LEN(Registro!$F563)))&amp;"x")-1))),"Revisar formato")))</f>
        <v/>
      </c>
      <c r="G563" s="24" t="str">
        <f>IF(Registro!$F563="","",IF(ISERROR(FIND("x",LOWER(Registro!$F563))),N(Registro!$G563),IFERROR(SUMPRODUCT(--("0"&amp;LEFT(TRIM(MID(SUBSTITUTE(SUBSTITUTE(SUBSTITUTE(SUBSTITUTE(SUBSTITUTE(LOWER(Registro!$F563)," ",""),CHAR(10),"|"),";","|"),"+","|"),"|",REPT(" ",LEN(Registro!$F563))),({1,2,3,4,5,6,7,8,9,10,11,12,13,14,15,16,17,18,19,20,21,22,23,24,25,26,27,28,29,30}-1)*LEN(Registro!$F563)+1,LEN(Registro!$F563))),FIND("x",TRIM(MID(SUBSTITUTE(SUBSTITUTE(SUBSTITUTE(SUBSTITUTE(SUBSTITUTE(LOWER(Registro!$F563)," ",""),CHAR(10),"|"),";","|"),"+","|"),"|",REPT(" ",LEN(Registro!$F563))),({1,2,3,4,5,6,7,8,9,10,11,12,13,14,15,16,17,18,19,20,21,22,23,24,25,26,27,28,29,30}-1)*LEN(Registro!$F563)+1,LEN(Registro!$F563)))&amp;"x")-1)),--("0"&amp;MID(TRIM(MID(SUBSTITUTE(SUBSTITUTE(SUBSTITUTE(SUBSTITUTE(SUBSTITUTE(LOWER(Registro!$F563)," ",""),CHAR(10),"|"),";","|"),"+","|"),"|",REPT(" ",LEN(Registro!$F563))),({1,2,3,4,5,6,7,8,9,10,11,12,13,14,15,16,17,18,19,20,21,22,23,24,25,26,27,28,29,30}-1)*LEN(Registro!$F563)+1,LEN(Registro!$F563))),FIND("x",TRIM(MID(SUBSTITUTE(SUBSTITUTE(SUBSTITUTE(SUBSTITUTE(SUBSTITUTE(LOWER(Registro!$F563)," ",""),CHAR(10),"|"),";","|"),"+","|"),"|",REPT(" ",LEN(Registro!$F563))),({1,2,3,4,5,6,7,8,9,10,11,12,13,14,15,16,17,18,19,20,21,22,23,24,25,26,27,28,29,30}-1)*LEN(Registro!$F563)+1,LEN(Registro!$F563)))&amp;"x")+1,20))),"Revisar formato")))</f>
        <v/>
      </c>
      <c r="H563" s="21" t="str">
        <f>IF(AND(Registro!$E563="",Registro!$F563=""),"",IF(NOT(AND(ISNUMBER(G563),ISNUMBER(Registro!$G563))),"",IF(G563&lt;Registro!$G563,"FALTA BOLETOS",IF(G563=Registro!$G563,"CONFORME","DIFERENCIA"))))</f>
        <v/>
      </c>
      <c r="I563" s="24" t="str">
        <f>IF(Registro!$H563="","",IFERROR(SUMPRODUCT(--("0"&amp;TRIM(RIGHT(SUBSTITUTE(TRIM(MID(SUBSTITUTE(SUBSTITUTE(Registro!$H563,";",CHAR(10)),CHAR(10),REPT(" ",LEN(Registro!$H563))),({1,2,3,4,5,6,7,8,9,10,11,12,13,14,15,16,17,18,19,20,21,22,23,24,25,26,27,28,29,30}-1)*LEN(Registro!$H563)+1,LEN(Registro!$H563)))," ",REPT(" ",50)),50)))),"Revisar formato"))</f>
        <v/>
      </c>
      <c r="J563" s="24" t="str">
        <f>IF(Registro!$I563="","",IFERROR(SUMPRODUCT(--("0"&amp;TRIM(RIGHT(SUBSTITUTE(TRIM(MID(SUBSTITUTE(SUBSTITUTE(Registro!$I563,";",CHAR(10)),CHAR(10),REPT(" ",LEN(Registro!$I563))),({1,2,3,4,5,6,7,8,9,10,11,12,13,14,15,16,17,18,19,20,21,22,23,24,25,26,27,28,29,30}-1)*LEN(Registro!$I563)+1,LEN(Registro!$I563)))," ",REPT(" ",50)),50)))),"Revisar formato"))</f>
        <v/>
      </c>
      <c r="K563" s="24" t="str">
        <f>IF(AND(Registro!$G563="",Registro!$H563=""),"",IF(AND(ISTEXT(I563),I563&lt;&gt;""),"Revisar formato",N(Registro!$G563)-N(I563)))</f>
        <v/>
      </c>
      <c r="L563" s="24" t="str">
        <f t="shared" si="17"/>
        <v/>
      </c>
      <c r="M563" s="36" t="str">
        <f>IF(AND(A563=Consulta!$B$3,C563=Consulta!$H$3),B563*10000+ROW(),"")</f>
        <v/>
      </c>
    </row>
    <row r="564" spans="1:13" x14ac:dyDescent="0.25">
      <c r="A564" s="21" t="str">
        <f>IF(Registro!$A564="","",Registro!$A564)</f>
        <v/>
      </c>
      <c r="B564" s="20" t="str">
        <f>IF(Registro!$B564="","",Registro!$B564)</f>
        <v/>
      </c>
      <c r="C564" s="35" t="str">
        <f t="shared" si="16"/>
        <v/>
      </c>
      <c r="D564" s="23" t="str">
        <f>IF(Registro!$E564="","",IF(ISERROR(FIND("x",LOWER(Registro!$E564))),"-",IFERROR(SUMPRODUCT(--("0"&amp;LEFT(TRIM(MID(SUBSTITUTE(SUBSTITUTE(SUBSTITUTE(SUBSTITUTE(SUBSTITUTE(LOWER(Registro!$E564),"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",LEN(Registro!$E564))),({1,2,3,4,5,6,7,8,9,10,11,12,13,14,15,16,17,18,19,20,21,22,23,24,25,26,27,28,29,30}-1)*LEN(Registro!$E564)+1,LEN(Registro!$E564))),FIND("x",TRIM(MID(SUBSTITUTE(SUBSTITUTE(SUBSTITUTE(SUBSTITUTE(SUBSTITUTE(LOWER(Registro!$E564),"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",LEN(Registro!$E564))),({1,2,3,4,5,6,7,8,9,10,11,12,13,14,15,16,17,18,19,20,21,22,23,24,25,26,27,28,29,30}-1)*LEN(Registro!$E564)+1,LEN(Registro!$E564)))&amp;"x")-1))),"Revisar formato")))</f>
        <v/>
      </c>
      <c r="E564" s="24" t="str">
        <f>IF(Registro!$E564="","",IF(ISERROR(FIND("x",LOWER(Registro!$E564))),"-",IFERROR(SUMPRODUCT(--("0"&amp;LEFT(TRIM(MID(SUBSTITUTE(SUBSTITUTE(SUBSTITUTE(SUBSTITUTE(SUBSTITUTE(LOWER(Registro!$E564),"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",LEN(Registro!$E564))),({1,2,3,4,5,6,7,8,9,10,11,12,13,14,15,16,17,18,19,20,21,22,23,24,25,26,27,28,29,30}-1)*LEN(Registro!$E564)+1,LEN(Registro!$E564))),FIND("x",TRIM(MID(SUBSTITUTE(SUBSTITUTE(SUBSTITUTE(SUBSTITUTE(SUBSTITUTE(LOWER(Registro!$E564),"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",LEN(Registro!$E564))),({1,2,3,4,5,6,7,8,9,10,11,12,13,14,15,16,17,18,19,20,21,22,23,24,25,26,27,28,29,30}-1)*LEN(Registro!$E564)+1,LEN(Registro!$E564)))&amp;"x")-1)),--("0"&amp;MID(TRIM(MID(SUBSTITUTE(SUBSTITUTE(SUBSTITUTE(SUBSTITUTE(SUBSTITUTE(LOWER(Registro!$E564),"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",LEN(Registro!$E564))),({1,2,3,4,5,6,7,8,9,10,11,12,13,14,15,16,17,18,19,20,21,22,23,24,25,26,27,28,29,30}-1)*LEN(Registro!$E564)+1,LEN(Registro!$E564))),FIND("x",TRIM(MID(SUBSTITUTE(SUBSTITUTE(SUBSTITUTE(SUBSTITUTE(SUBSTITUTE(LOWER(Registro!$E564),"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",LEN(Registro!$E564))),({1,2,3,4,5,6,7,8,9,10,11,12,13,14,15,16,17,18,19,20,21,22,23,24,25,26,27,28,29,30}-1)*LEN(Registro!$E564)+1,LEN(Registro!$E564)))&amp;"x")+1,20))),"Revisar formato")))</f>
        <v/>
      </c>
      <c r="F564" s="23" t="str">
        <f>IF(Registro!$F564="","",IF(ISERROR(FIND("x",LOWER(Registro!$F564))),"-",IFERROR(SUMPRODUCT(--("0"&amp;LEFT(TRIM(MID(SUBSTITUTE(SUBSTITUTE(SUBSTITUTE(SUBSTITUTE(SUBSTITUTE(LOWER(Registro!$F564)," ",""),CHAR(10),"|"),";","|"),"+","|"),"|",REPT(" ",LEN(Registro!$F564))),({1,2,3,4,5,6,7,8,9,10,11,12,13,14,15,16,17,18,19,20,21,22,23,24,25,26,27,28,29,30}-1)*LEN(Registro!$F564)+1,LEN(Registro!$F564))),FIND("x",TRIM(MID(SUBSTITUTE(SUBSTITUTE(SUBSTITUTE(SUBSTITUTE(SUBSTITUTE(LOWER(Registro!$F564)," ",""),CHAR(10),"|"),";","|"),"+","|"),"|",REPT(" ",LEN(Registro!$F564))),({1,2,3,4,5,6,7,8,9,10,11,12,13,14,15,16,17,18,19,20,21,22,23,24,25,26,27,28,29,30}-1)*LEN(Registro!$F564)+1,LEN(Registro!$F564)))&amp;"x")-1))),"Revisar formato")))</f>
        <v/>
      </c>
      <c r="G564" s="24" t="str">
        <f>IF(Registro!$F564="","",IF(ISERROR(FIND("x",LOWER(Registro!$F564))),N(Registro!$G564),IFERROR(SUMPRODUCT(--("0"&amp;LEFT(TRIM(MID(SUBSTITUTE(SUBSTITUTE(SUBSTITUTE(SUBSTITUTE(SUBSTITUTE(LOWER(Registro!$F564)," ",""),CHAR(10),"|"),";","|"),"+","|"),"|",REPT(" ",LEN(Registro!$F564))),({1,2,3,4,5,6,7,8,9,10,11,12,13,14,15,16,17,18,19,20,21,22,23,24,25,26,27,28,29,30}-1)*LEN(Registro!$F564)+1,LEN(Registro!$F564))),FIND("x",TRIM(MID(SUBSTITUTE(SUBSTITUTE(SUBSTITUTE(SUBSTITUTE(SUBSTITUTE(LOWER(Registro!$F564)," ",""),CHAR(10),"|"),";","|"),"+","|"),"|",REPT(" ",LEN(Registro!$F564))),({1,2,3,4,5,6,7,8,9,10,11,12,13,14,15,16,17,18,19,20,21,22,23,24,25,26,27,28,29,30}-1)*LEN(Registro!$F564)+1,LEN(Registro!$F564)))&amp;"x")-1)),--("0"&amp;MID(TRIM(MID(SUBSTITUTE(SUBSTITUTE(SUBSTITUTE(SUBSTITUTE(SUBSTITUTE(LOWER(Registro!$F564)," ",""),CHAR(10),"|"),";","|"),"+","|"),"|",REPT(" ",LEN(Registro!$F564))),({1,2,3,4,5,6,7,8,9,10,11,12,13,14,15,16,17,18,19,20,21,22,23,24,25,26,27,28,29,30}-1)*LEN(Registro!$F564)+1,LEN(Registro!$F564))),FIND("x",TRIM(MID(SUBSTITUTE(SUBSTITUTE(SUBSTITUTE(SUBSTITUTE(SUBSTITUTE(LOWER(Registro!$F564)," ",""),CHAR(10),"|"),";","|"),"+","|"),"|",REPT(" ",LEN(Registro!$F564))),({1,2,3,4,5,6,7,8,9,10,11,12,13,14,15,16,17,18,19,20,21,22,23,24,25,26,27,28,29,30}-1)*LEN(Registro!$F564)+1,LEN(Registro!$F564)))&amp;"x")+1,20))),"Revisar formato")))</f>
        <v/>
      </c>
      <c r="H564" s="21" t="str">
        <f>IF(AND(Registro!$E564="",Registro!$F564=""),"",IF(NOT(AND(ISNUMBER(G564),ISNUMBER(Registro!$G564))),"",IF(G564&lt;Registro!$G564,"FALTA BOLETOS",IF(G564=Registro!$G564,"CONFORME","DIFERENCIA"))))</f>
        <v/>
      </c>
      <c r="I564" s="24" t="str">
        <f>IF(Registro!$H564="","",IFERROR(SUMPRODUCT(--("0"&amp;TRIM(RIGHT(SUBSTITUTE(TRIM(MID(SUBSTITUTE(SUBSTITUTE(Registro!$H564,";",CHAR(10)),CHAR(10),REPT(" ",LEN(Registro!$H564))),({1,2,3,4,5,6,7,8,9,10,11,12,13,14,15,16,17,18,19,20,21,22,23,24,25,26,27,28,29,30}-1)*LEN(Registro!$H564)+1,LEN(Registro!$H564)))," ",REPT(" ",50)),50)))),"Revisar formato"))</f>
        <v/>
      </c>
      <c r="J564" s="24" t="str">
        <f>IF(Registro!$I564="","",IFERROR(SUMPRODUCT(--("0"&amp;TRIM(RIGHT(SUBSTITUTE(TRIM(MID(SUBSTITUTE(SUBSTITUTE(Registro!$I564,";",CHAR(10)),CHAR(10),REPT(" ",LEN(Registro!$I564))),({1,2,3,4,5,6,7,8,9,10,11,12,13,14,15,16,17,18,19,20,21,22,23,24,25,26,27,28,29,30}-1)*LEN(Registro!$I564)+1,LEN(Registro!$I564)))," ",REPT(" ",50)),50)))),"Revisar formato"))</f>
        <v/>
      </c>
      <c r="K564" s="24" t="str">
        <f>IF(AND(Registro!$G564="",Registro!$H564=""),"",IF(AND(ISTEXT(I564),I564&lt;&gt;""),"Revisar formato",N(Registro!$G564)-N(I564)))</f>
        <v/>
      </c>
      <c r="L564" s="24" t="str">
        <f t="shared" si="17"/>
        <v/>
      </c>
      <c r="M564" s="36" t="str">
        <f>IF(AND(A564=Consulta!$B$3,C564=Consulta!$H$3),B564*10000+ROW(),"")</f>
        <v/>
      </c>
    </row>
    <row r="565" spans="1:13" x14ac:dyDescent="0.25">
      <c r="A565" s="21" t="str">
        <f>IF(Registro!$A565="","",Registro!$A565)</f>
        <v/>
      </c>
      <c r="B565" s="20" t="str">
        <f>IF(Registro!$B565="","",Registro!$B565)</f>
        <v/>
      </c>
      <c r="C565" s="35" t="str">
        <f t="shared" si="16"/>
        <v/>
      </c>
      <c r="D565" s="23" t="str">
        <f>IF(Registro!$E565="","",IF(ISERROR(FIND("x",LOWER(Registro!$E565))),"-",IFERROR(SUMPRODUCT(--("0"&amp;LEFT(TRIM(MID(SUBSTITUTE(SUBSTITUTE(SUBSTITUTE(SUBSTITUTE(SUBSTITUTE(LOWER(Registro!$E565),"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",LEN(Registro!$E565))),({1,2,3,4,5,6,7,8,9,10,11,12,13,14,15,16,17,18,19,20,21,22,23,24,25,26,27,28,29,30}-1)*LEN(Registro!$E565)+1,LEN(Registro!$E565))),FIND("x",TRIM(MID(SUBSTITUTE(SUBSTITUTE(SUBSTITUTE(SUBSTITUTE(SUBSTITUTE(LOWER(Registro!$E565),"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",LEN(Registro!$E565))),({1,2,3,4,5,6,7,8,9,10,11,12,13,14,15,16,17,18,19,20,21,22,23,24,25,26,27,28,29,30}-1)*LEN(Registro!$E565)+1,LEN(Registro!$E565)))&amp;"x")-1))),"Revisar formato")))</f>
        <v/>
      </c>
      <c r="E565" s="24" t="str">
        <f>IF(Registro!$E565="","",IF(ISERROR(FIND("x",LOWER(Registro!$E565))),"-",IFERROR(SUMPRODUCT(--("0"&amp;LEFT(TRIM(MID(SUBSTITUTE(SUBSTITUTE(SUBSTITUTE(SUBSTITUTE(SUBSTITUTE(LOWER(Registro!$E565),"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",LEN(Registro!$E565))),({1,2,3,4,5,6,7,8,9,10,11,12,13,14,15,16,17,18,19,20,21,22,23,24,25,26,27,28,29,30}-1)*LEN(Registro!$E565)+1,LEN(Registro!$E565))),FIND("x",TRIM(MID(SUBSTITUTE(SUBSTITUTE(SUBSTITUTE(SUBSTITUTE(SUBSTITUTE(LOWER(Registro!$E565),"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",LEN(Registro!$E565))),({1,2,3,4,5,6,7,8,9,10,11,12,13,14,15,16,17,18,19,20,21,22,23,24,25,26,27,28,29,30}-1)*LEN(Registro!$E565)+1,LEN(Registro!$E565)))&amp;"x")-1)),--("0"&amp;MID(TRIM(MID(SUBSTITUTE(SUBSTITUTE(SUBSTITUTE(SUBSTITUTE(SUBSTITUTE(LOWER(Registro!$E565),"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",LEN(Registro!$E565))),({1,2,3,4,5,6,7,8,9,10,11,12,13,14,15,16,17,18,19,20,21,22,23,24,25,26,27,28,29,30}-1)*LEN(Registro!$E565)+1,LEN(Registro!$E565))),FIND("x",TRIM(MID(SUBSTITUTE(SUBSTITUTE(SUBSTITUTE(SUBSTITUTE(SUBSTITUTE(LOWER(Registro!$E565),"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",LEN(Registro!$E565))),({1,2,3,4,5,6,7,8,9,10,11,12,13,14,15,16,17,18,19,20,21,22,23,24,25,26,27,28,29,30}-1)*LEN(Registro!$E565)+1,LEN(Registro!$E565)))&amp;"x")+1,20))),"Revisar formato")))</f>
        <v/>
      </c>
      <c r="F565" s="23" t="str">
        <f>IF(Registro!$F565="","",IF(ISERROR(FIND("x",LOWER(Registro!$F565))),"-",IFERROR(SUMPRODUCT(--("0"&amp;LEFT(TRIM(MID(SUBSTITUTE(SUBSTITUTE(SUBSTITUTE(SUBSTITUTE(SUBSTITUTE(LOWER(Registro!$F565)," ",""),CHAR(10),"|"),";","|"),"+","|"),"|",REPT(" ",LEN(Registro!$F565))),({1,2,3,4,5,6,7,8,9,10,11,12,13,14,15,16,17,18,19,20,21,22,23,24,25,26,27,28,29,30}-1)*LEN(Registro!$F565)+1,LEN(Registro!$F565))),FIND("x",TRIM(MID(SUBSTITUTE(SUBSTITUTE(SUBSTITUTE(SUBSTITUTE(SUBSTITUTE(LOWER(Registro!$F565)," ",""),CHAR(10),"|"),";","|"),"+","|"),"|",REPT(" ",LEN(Registro!$F565))),({1,2,3,4,5,6,7,8,9,10,11,12,13,14,15,16,17,18,19,20,21,22,23,24,25,26,27,28,29,30}-1)*LEN(Registro!$F565)+1,LEN(Registro!$F565)))&amp;"x")-1))),"Revisar formato")))</f>
        <v/>
      </c>
      <c r="G565" s="24" t="str">
        <f>IF(Registro!$F565="","",IF(ISERROR(FIND("x",LOWER(Registro!$F565))),N(Registro!$G565),IFERROR(SUMPRODUCT(--("0"&amp;LEFT(TRIM(MID(SUBSTITUTE(SUBSTITUTE(SUBSTITUTE(SUBSTITUTE(SUBSTITUTE(LOWER(Registro!$F565)," ",""),CHAR(10),"|"),";","|"),"+","|"),"|",REPT(" ",LEN(Registro!$F565))),({1,2,3,4,5,6,7,8,9,10,11,12,13,14,15,16,17,18,19,20,21,22,23,24,25,26,27,28,29,30}-1)*LEN(Registro!$F565)+1,LEN(Registro!$F565))),FIND("x",TRIM(MID(SUBSTITUTE(SUBSTITUTE(SUBSTITUTE(SUBSTITUTE(SUBSTITUTE(LOWER(Registro!$F565)," ",""),CHAR(10),"|"),";","|"),"+","|"),"|",REPT(" ",LEN(Registro!$F565))),({1,2,3,4,5,6,7,8,9,10,11,12,13,14,15,16,17,18,19,20,21,22,23,24,25,26,27,28,29,30}-1)*LEN(Registro!$F565)+1,LEN(Registro!$F565)))&amp;"x")-1)),--("0"&amp;MID(TRIM(MID(SUBSTITUTE(SUBSTITUTE(SUBSTITUTE(SUBSTITUTE(SUBSTITUTE(LOWER(Registro!$F565)," ",""),CHAR(10),"|"),";","|"),"+","|"),"|",REPT(" ",LEN(Registro!$F565))),({1,2,3,4,5,6,7,8,9,10,11,12,13,14,15,16,17,18,19,20,21,22,23,24,25,26,27,28,29,30}-1)*LEN(Registro!$F565)+1,LEN(Registro!$F565))),FIND("x",TRIM(MID(SUBSTITUTE(SUBSTITUTE(SUBSTITUTE(SUBSTITUTE(SUBSTITUTE(LOWER(Registro!$F565)," ",""),CHAR(10),"|"),";","|"),"+","|"),"|",REPT(" ",LEN(Registro!$F565))),({1,2,3,4,5,6,7,8,9,10,11,12,13,14,15,16,17,18,19,20,21,22,23,24,25,26,27,28,29,30}-1)*LEN(Registro!$F565)+1,LEN(Registro!$F565)))&amp;"x")+1,20))),"Revisar formato")))</f>
        <v/>
      </c>
      <c r="H565" s="21" t="str">
        <f>IF(AND(Registro!$E565="",Registro!$F565=""),"",IF(NOT(AND(ISNUMBER(G565),ISNUMBER(Registro!$G565))),"",IF(G565&lt;Registro!$G565,"FALTA BOLETOS",IF(G565=Registro!$G565,"CONFORME","DIFERENCIA"))))</f>
        <v/>
      </c>
      <c r="I565" s="24" t="str">
        <f>IF(Registro!$H565="","",IFERROR(SUMPRODUCT(--("0"&amp;TRIM(RIGHT(SUBSTITUTE(TRIM(MID(SUBSTITUTE(SUBSTITUTE(Registro!$H565,";",CHAR(10)),CHAR(10),REPT(" ",LEN(Registro!$H565))),({1,2,3,4,5,6,7,8,9,10,11,12,13,14,15,16,17,18,19,20,21,22,23,24,25,26,27,28,29,30}-1)*LEN(Registro!$H565)+1,LEN(Registro!$H565)))," ",REPT(" ",50)),50)))),"Revisar formato"))</f>
        <v/>
      </c>
      <c r="J565" s="24" t="str">
        <f>IF(Registro!$I565="","",IFERROR(SUMPRODUCT(--("0"&amp;TRIM(RIGHT(SUBSTITUTE(TRIM(MID(SUBSTITUTE(SUBSTITUTE(Registro!$I565,";",CHAR(10)),CHAR(10),REPT(" ",LEN(Registro!$I565))),({1,2,3,4,5,6,7,8,9,10,11,12,13,14,15,16,17,18,19,20,21,22,23,24,25,26,27,28,29,30}-1)*LEN(Registro!$I565)+1,LEN(Registro!$I565)))," ",REPT(" ",50)),50)))),"Revisar formato"))</f>
        <v/>
      </c>
      <c r="K565" s="24" t="str">
        <f>IF(AND(Registro!$G565="",Registro!$H565=""),"",IF(AND(ISTEXT(I565),I565&lt;&gt;""),"Revisar formato",N(Registro!$G565)-N(I565)))</f>
        <v/>
      </c>
      <c r="L565" s="24" t="str">
        <f t="shared" si="17"/>
        <v/>
      </c>
      <c r="M565" s="36" t="str">
        <f>IF(AND(A565=Consulta!$B$3,C565=Consulta!$H$3),B565*10000+ROW(),"")</f>
        <v/>
      </c>
    </row>
    <row r="566" spans="1:13" x14ac:dyDescent="0.25">
      <c r="A566" s="21" t="str">
        <f>IF(Registro!$A566="","",Registro!$A566)</f>
        <v/>
      </c>
      <c r="B566" s="20" t="str">
        <f>IF(Registro!$B566="","",Registro!$B566)</f>
        <v/>
      </c>
      <c r="C566" s="35" t="str">
        <f t="shared" si="16"/>
        <v/>
      </c>
      <c r="D566" s="23" t="str">
        <f>IF(Registro!$E566="","",IF(ISERROR(FIND("x",LOWER(Registro!$E566))),"-",IFERROR(SUMPRODUCT(--("0"&amp;LEFT(TRIM(MID(SUBSTITUTE(SUBSTITUTE(SUBSTITUTE(SUBSTITUTE(SUBSTITUTE(LOWER(Registro!$E566),"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",LEN(Registro!$E566))),({1,2,3,4,5,6,7,8,9,10,11,12,13,14,15,16,17,18,19,20,21,22,23,24,25,26,27,28,29,30}-1)*LEN(Registro!$E566)+1,LEN(Registro!$E566))),FIND("x",TRIM(MID(SUBSTITUTE(SUBSTITUTE(SUBSTITUTE(SUBSTITUTE(SUBSTITUTE(LOWER(Registro!$E566),"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",LEN(Registro!$E566))),({1,2,3,4,5,6,7,8,9,10,11,12,13,14,15,16,17,18,19,20,21,22,23,24,25,26,27,28,29,30}-1)*LEN(Registro!$E566)+1,LEN(Registro!$E566)))&amp;"x")-1))),"Revisar formato")))</f>
        <v/>
      </c>
      <c r="E566" s="24" t="str">
        <f>IF(Registro!$E566="","",IF(ISERROR(FIND("x",LOWER(Registro!$E566))),"-",IFERROR(SUMPRODUCT(--("0"&amp;LEFT(TRIM(MID(SUBSTITUTE(SUBSTITUTE(SUBSTITUTE(SUBSTITUTE(SUBSTITUTE(LOWER(Registro!$E566),"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",LEN(Registro!$E566))),({1,2,3,4,5,6,7,8,9,10,11,12,13,14,15,16,17,18,19,20,21,22,23,24,25,26,27,28,29,30}-1)*LEN(Registro!$E566)+1,LEN(Registro!$E566))),FIND("x",TRIM(MID(SUBSTITUTE(SUBSTITUTE(SUBSTITUTE(SUBSTITUTE(SUBSTITUTE(LOWER(Registro!$E566),"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",LEN(Registro!$E566))),({1,2,3,4,5,6,7,8,9,10,11,12,13,14,15,16,17,18,19,20,21,22,23,24,25,26,27,28,29,30}-1)*LEN(Registro!$E566)+1,LEN(Registro!$E566)))&amp;"x")-1)),--("0"&amp;MID(TRIM(MID(SUBSTITUTE(SUBSTITUTE(SUBSTITUTE(SUBSTITUTE(SUBSTITUTE(LOWER(Registro!$E566),"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",LEN(Registro!$E566))),({1,2,3,4,5,6,7,8,9,10,11,12,13,14,15,16,17,18,19,20,21,22,23,24,25,26,27,28,29,30}-1)*LEN(Registro!$E566)+1,LEN(Registro!$E566))),FIND("x",TRIM(MID(SUBSTITUTE(SUBSTITUTE(SUBSTITUTE(SUBSTITUTE(SUBSTITUTE(LOWER(Registro!$E566),"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",LEN(Registro!$E566))),({1,2,3,4,5,6,7,8,9,10,11,12,13,14,15,16,17,18,19,20,21,22,23,24,25,26,27,28,29,30}-1)*LEN(Registro!$E566)+1,LEN(Registro!$E566)))&amp;"x")+1,20))),"Revisar formato")))</f>
        <v/>
      </c>
      <c r="F566" s="23" t="str">
        <f>IF(Registro!$F566="","",IF(ISERROR(FIND("x",LOWER(Registro!$F566))),"-",IFERROR(SUMPRODUCT(--("0"&amp;LEFT(TRIM(MID(SUBSTITUTE(SUBSTITUTE(SUBSTITUTE(SUBSTITUTE(SUBSTITUTE(LOWER(Registro!$F566)," ",""),CHAR(10),"|"),";","|"),"+","|"),"|",REPT(" ",LEN(Registro!$F566))),({1,2,3,4,5,6,7,8,9,10,11,12,13,14,15,16,17,18,19,20,21,22,23,24,25,26,27,28,29,30}-1)*LEN(Registro!$F566)+1,LEN(Registro!$F566))),FIND("x",TRIM(MID(SUBSTITUTE(SUBSTITUTE(SUBSTITUTE(SUBSTITUTE(SUBSTITUTE(LOWER(Registro!$F566)," ",""),CHAR(10),"|"),";","|"),"+","|"),"|",REPT(" ",LEN(Registro!$F566))),({1,2,3,4,5,6,7,8,9,10,11,12,13,14,15,16,17,18,19,20,21,22,23,24,25,26,27,28,29,30}-1)*LEN(Registro!$F566)+1,LEN(Registro!$F566)))&amp;"x")-1))),"Revisar formato")))</f>
        <v/>
      </c>
      <c r="G566" s="24" t="str">
        <f>IF(Registro!$F566="","",IF(ISERROR(FIND("x",LOWER(Registro!$F566))),N(Registro!$G566),IFERROR(SUMPRODUCT(--("0"&amp;LEFT(TRIM(MID(SUBSTITUTE(SUBSTITUTE(SUBSTITUTE(SUBSTITUTE(SUBSTITUTE(LOWER(Registro!$F566)," ",""),CHAR(10),"|"),";","|"),"+","|"),"|",REPT(" ",LEN(Registro!$F566))),({1,2,3,4,5,6,7,8,9,10,11,12,13,14,15,16,17,18,19,20,21,22,23,24,25,26,27,28,29,30}-1)*LEN(Registro!$F566)+1,LEN(Registro!$F566))),FIND("x",TRIM(MID(SUBSTITUTE(SUBSTITUTE(SUBSTITUTE(SUBSTITUTE(SUBSTITUTE(LOWER(Registro!$F566)," ",""),CHAR(10),"|"),";","|"),"+","|"),"|",REPT(" ",LEN(Registro!$F566))),({1,2,3,4,5,6,7,8,9,10,11,12,13,14,15,16,17,18,19,20,21,22,23,24,25,26,27,28,29,30}-1)*LEN(Registro!$F566)+1,LEN(Registro!$F566)))&amp;"x")-1)),--("0"&amp;MID(TRIM(MID(SUBSTITUTE(SUBSTITUTE(SUBSTITUTE(SUBSTITUTE(SUBSTITUTE(LOWER(Registro!$F566)," ",""),CHAR(10),"|"),";","|"),"+","|"),"|",REPT(" ",LEN(Registro!$F566))),({1,2,3,4,5,6,7,8,9,10,11,12,13,14,15,16,17,18,19,20,21,22,23,24,25,26,27,28,29,30}-1)*LEN(Registro!$F566)+1,LEN(Registro!$F566))),FIND("x",TRIM(MID(SUBSTITUTE(SUBSTITUTE(SUBSTITUTE(SUBSTITUTE(SUBSTITUTE(LOWER(Registro!$F566)," ",""),CHAR(10),"|"),";","|"),"+","|"),"|",REPT(" ",LEN(Registro!$F566))),({1,2,3,4,5,6,7,8,9,10,11,12,13,14,15,16,17,18,19,20,21,22,23,24,25,26,27,28,29,30}-1)*LEN(Registro!$F566)+1,LEN(Registro!$F566)))&amp;"x")+1,20))),"Revisar formato")))</f>
        <v/>
      </c>
      <c r="H566" s="21" t="str">
        <f>IF(AND(Registro!$E566="",Registro!$F566=""),"",IF(NOT(AND(ISNUMBER(G566),ISNUMBER(Registro!$G566))),"",IF(G566&lt;Registro!$G566,"FALTA BOLETOS",IF(G566=Registro!$G566,"CONFORME","DIFERENCIA"))))</f>
        <v/>
      </c>
      <c r="I566" s="24" t="str">
        <f>IF(Registro!$H566="","",IFERROR(SUMPRODUCT(--("0"&amp;TRIM(RIGHT(SUBSTITUTE(TRIM(MID(SUBSTITUTE(SUBSTITUTE(Registro!$H566,";",CHAR(10)),CHAR(10),REPT(" ",LEN(Registro!$H566))),({1,2,3,4,5,6,7,8,9,10,11,12,13,14,15,16,17,18,19,20,21,22,23,24,25,26,27,28,29,30}-1)*LEN(Registro!$H566)+1,LEN(Registro!$H566)))," ",REPT(" ",50)),50)))),"Revisar formato"))</f>
        <v/>
      </c>
      <c r="J566" s="24" t="str">
        <f>IF(Registro!$I566="","",IFERROR(SUMPRODUCT(--("0"&amp;TRIM(RIGHT(SUBSTITUTE(TRIM(MID(SUBSTITUTE(SUBSTITUTE(Registro!$I566,";",CHAR(10)),CHAR(10),REPT(" ",LEN(Registro!$I566))),({1,2,3,4,5,6,7,8,9,10,11,12,13,14,15,16,17,18,19,20,21,22,23,24,25,26,27,28,29,30}-1)*LEN(Registro!$I566)+1,LEN(Registro!$I566)))," ",REPT(" ",50)),50)))),"Revisar formato"))</f>
        <v/>
      </c>
      <c r="K566" s="24" t="str">
        <f>IF(AND(Registro!$G566="",Registro!$H566=""),"",IF(AND(ISTEXT(I566),I566&lt;&gt;""),"Revisar formato",N(Registro!$G566)-N(I566)))</f>
        <v/>
      </c>
      <c r="L566" s="24" t="str">
        <f t="shared" si="17"/>
        <v/>
      </c>
      <c r="M566" s="36" t="str">
        <f>IF(AND(A566=Consulta!$B$3,C566=Consulta!$H$3),B566*10000+ROW(),"")</f>
        <v/>
      </c>
    </row>
    <row r="567" spans="1:13" x14ac:dyDescent="0.25">
      <c r="A567" s="21" t="str">
        <f>IF(Registro!$A567="","",Registro!$A567)</f>
        <v/>
      </c>
      <c r="B567" s="20" t="str">
        <f>IF(Registro!$B567="","",Registro!$B567)</f>
        <v/>
      </c>
      <c r="C567" s="35" t="str">
        <f t="shared" si="16"/>
        <v/>
      </c>
      <c r="D567" s="23" t="str">
        <f>IF(Registro!$E567="","",IF(ISERROR(FIND("x",LOWER(Registro!$E567))),"-",IFERROR(SUMPRODUCT(--("0"&amp;LEFT(TRIM(MID(SUBSTITUTE(SUBSTITUTE(SUBSTITUTE(SUBSTITUTE(SUBSTITUTE(LOWER(Registro!$E567),"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",LEN(Registro!$E567))),({1,2,3,4,5,6,7,8,9,10,11,12,13,14,15,16,17,18,19,20,21,22,23,24,25,26,27,28,29,30}-1)*LEN(Registro!$E567)+1,LEN(Registro!$E567))),FIND("x",TRIM(MID(SUBSTITUTE(SUBSTITUTE(SUBSTITUTE(SUBSTITUTE(SUBSTITUTE(LOWER(Registro!$E567),"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",LEN(Registro!$E567))),({1,2,3,4,5,6,7,8,9,10,11,12,13,14,15,16,17,18,19,20,21,22,23,24,25,26,27,28,29,30}-1)*LEN(Registro!$E567)+1,LEN(Registro!$E567)))&amp;"x")-1))),"Revisar formato")))</f>
        <v/>
      </c>
      <c r="E567" s="24" t="str">
        <f>IF(Registro!$E567="","",IF(ISERROR(FIND("x",LOWER(Registro!$E567))),"-",IFERROR(SUMPRODUCT(--("0"&amp;LEFT(TRIM(MID(SUBSTITUTE(SUBSTITUTE(SUBSTITUTE(SUBSTITUTE(SUBSTITUTE(LOWER(Registro!$E567),"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",LEN(Registro!$E567))),({1,2,3,4,5,6,7,8,9,10,11,12,13,14,15,16,17,18,19,20,21,22,23,24,25,26,27,28,29,30}-1)*LEN(Registro!$E567)+1,LEN(Registro!$E567))),FIND("x",TRIM(MID(SUBSTITUTE(SUBSTITUTE(SUBSTITUTE(SUBSTITUTE(SUBSTITUTE(LOWER(Registro!$E567),"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",LEN(Registro!$E567))),({1,2,3,4,5,6,7,8,9,10,11,12,13,14,15,16,17,18,19,20,21,22,23,24,25,26,27,28,29,30}-1)*LEN(Registro!$E567)+1,LEN(Registro!$E567)))&amp;"x")-1)),--("0"&amp;MID(TRIM(MID(SUBSTITUTE(SUBSTITUTE(SUBSTITUTE(SUBSTITUTE(SUBSTITUTE(LOWER(Registro!$E567),"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",LEN(Registro!$E567))),({1,2,3,4,5,6,7,8,9,10,11,12,13,14,15,16,17,18,19,20,21,22,23,24,25,26,27,28,29,30}-1)*LEN(Registro!$E567)+1,LEN(Registro!$E567))),FIND("x",TRIM(MID(SUBSTITUTE(SUBSTITUTE(SUBSTITUTE(SUBSTITUTE(SUBSTITUTE(LOWER(Registro!$E567),"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",LEN(Registro!$E567))),({1,2,3,4,5,6,7,8,9,10,11,12,13,14,15,16,17,18,19,20,21,22,23,24,25,26,27,28,29,30}-1)*LEN(Registro!$E567)+1,LEN(Registro!$E567)))&amp;"x")+1,20))),"Revisar formato")))</f>
        <v/>
      </c>
      <c r="F567" s="23" t="str">
        <f>IF(Registro!$F567="","",IF(ISERROR(FIND("x",LOWER(Registro!$F567))),"-",IFERROR(SUMPRODUCT(--("0"&amp;LEFT(TRIM(MID(SUBSTITUTE(SUBSTITUTE(SUBSTITUTE(SUBSTITUTE(SUBSTITUTE(LOWER(Registro!$F567)," ",""),CHAR(10),"|"),";","|"),"+","|"),"|",REPT(" ",LEN(Registro!$F567))),({1,2,3,4,5,6,7,8,9,10,11,12,13,14,15,16,17,18,19,20,21,22,23,24,25,26,27,28,29,30}-1)*LEN(Registro!$F567)+1,LEN(Registro!$F567))),FIND("x",TRIM(MID(SUBSTITUTE(SUBSTITUTE(SUBSTITUTE(SUBSTITUTE(SUBSTITUTE(LOWER(Registro!$F567)," ",""),CHAR(10),"|"),";","|"),"+","|"),"|",REPT(" ",LEN(Registro!$F567))),({1,2,3,4,5,6,7,8,9,10,11,12,13,14,15,16,17,18,19,20,21,22,23,24,25,26,27,28,29,30}-1)*LEN(Registro!$F567)+1,LEN(Registro!$F567)))&amp;"x")-1))),"Revisar formato")))</f>
        <v/>
      </c>
      <c r="G567" s="24" t="str">
        <f>IF(Registro!$F567="","",IF(ISERROR(FIND("x",LOWER(Registro!$F567))),N(Registro!$G567),IFERROR(SUMPRODUCT(--("0"&amp;LEFT(TRIM(MID(SUBSTITUTE(SUBSTITUTE(SUBSTITUTE(SUBSTITUTE(SUBSTITUTE(LOWER(Registro!$F567)," ",""),CHAR(10),"|"),";","|"),"+","|"),"|",REPT(" ",LEN(Registro!$F567))),({1,2,3,4,5,6,7,8,9,10,11,12,13,14,15,16,17,18,19,20,21,22,23,24,25,26,27,28,29,30}-1)*LEN(Registro!$F567)+1,LEN(Registro!$F567))),FIND("x",TRIM(MID(SUBSTITUTE(SUBSTITUTE(SUBSTITUTE(SUBSTITUTE(SUBSTITUTE(LOWER(Registro!$F567)," ",""),CHAR(10),"|"),";","|"),"+","|"),"|",REPT(" ",LEN(Registro!$F567))),({1,2,3,4,5,6,7,8,9,10,11,12,13,14,15,16,17,18,19,20,21,22,23,24,25,26,27,28,29,30}-1)*LEN(Registro!$F567)+1,LEN(Registro!$F567)))&amp;"x")-1)),--("0"&amp;MID(TRIM(MID(SUBSTITUTE(SUBSTITUTE(SUBSTITUTE(SUBSTITUTE(SUBSTITUTE(LOWER(Registro!$F567)," ",""),CHAR(10),"|"),";","|"),"+","|"),"|",REPT(" ",LEN(Registro!$F567))),({1,2,3,4,5,6,7,8,9,10,11,12,13,14,15,16,17,18,19,20,21,22,23,24,25,26,27,28,29,30}-1)*LEN(Registro!$F567)+1,LEN(Registro!$F567))),FIND("x",TRIM(MID(SUBSTITUTE(SUBSTITUTE(SUBSTITUTE(SUBSTITUTE(SUBSTITUTE(LOWER(Registro!$F567)," ",""),CHAR(10),"|"),";","|"),"+","|"),"|",REPT(" ",LEN(Registro!$F567))),({1,2,3,4,5,6,7,8,9,10,11,12,13,14,15,16,17,18,19,20,21,22,23,24,25,26,27,28,29,30}-1)*LEN(Registro!$F567)+1,LEN(Registro!$F567)))&amp;"x")+1,20))),"Revisar formato")))</f>
        <v/>
      </c>
      <c r="H567" s="21" t="str">
        <f>IF(AND(Registro!$E567="",Registro!$F567=""),"",IF(NOT(AND(ISNUMBER(G567),ISNUMBER(Registro!$G567))),"",IF(G567&lt;Registro!$G567,"FALTA BOLETOS",IF(G567=Registro!$G567,"CONFORME","DIFERENCIA"))))</f>
        <v/>
      </c>
      <c r="I567" s="24" t="str">
        <f>IF(Registro!$H567="","",IFERROR(SUMPRODUCT(--("0"&amp;TRIM(RIGHT(SUBSTITUTE(TRIM(MID(SUBSTITUTE(SUBSTITUTE(Registro!$H567,";",CHAR(10)),CHAR(10),REPT(" ",LEN(Registro!$H567))),({1,2,3,4,5,6,7,8,9,10,11,12,13,14,15,16,17,18,19,20,21,22,23,24,25,26,27,28,29,30}-1)*LEN(Registro!$H567)+1,LEN(Registro!$H567)))," ",REPT(" ",50)),50)))),"Revisar formato"))</f>
        <v/>
      </c>
      <c r="J567" s="24" t="str">
        <f>IF(Registro!$I567="","",IFERROR(SUMPRODUCT(--("0"&amp;TRIM(RIGHT(SUBSTITUTE(TRIM(MID(SUBSTITUTE(SUBSTITUTE(Registro!$I567,";",CHAR(10)),CHAR(10),REPT(" ",LEN(Registro!$I567))),({1,2,3,4,5,6,7,8,9,10,11,12,13,14,15,16,17,18,19,20,21,22,23,24,25,26,27,28,29,30}-1)*LEN(Registro!$I567)+1,LEN(Registro!$I567)))," ",REPT(" ",50)),50)))),"Revisar formato"))</f>
        <v/>
      </c>
      <c r="K567" s="24" t="str">
        <f>IF(AND(Registro!$G567="",Registro!$H567=""),"",IF(AND(ISTEXT(I567),I567&lt;&gt;""),"Revisar formato",N(Registro!$G567)-N(I567)))</f>
        <v/>
      </c>
      <c r="L567" s="24" t="str">
        <f t="shared" si="17"/>
        <v/>
      </c>
      <c r="M567" s="36" t="str">
        <f>IF(AND(A567=Consulta!$B$3,C567=Consulta!$H$3),B567*10000+ROW(),"")</f>
        <v/>
      </c>
    </row>
    <row r="568" spans="1:13" x14ac:dyDescent="0.25">
      <c r="A568" s="21" t="str">
        <f>IF(Registro!$A568="","",Registro!$A568)</f>
        <v/>
      </c>
      <c r="B568" s="20" t="str">
        <f>IF(Registro!$B568="","",Registro!$B568)</f>
        <v/>
      </c>
      <c r="C568" s="35" t="str">
        <f t="shared" si="16"/>
        <v/>
      </c>
      <c r="D568" s="23" t="str">
        <f>IF(Registro!$E568="","",IF(ISERROR(FIND("x",LOWER(Registro!$E568))),"-",IFERROR(SUMPRODUCT(--("0"&amp;LEFT(TRIM(MID(SUBSTITUTE(SUBSTITUTE(SUBSTITUTE(SUBSTITUTE(SUBSTITUTE(LOWER(Registro!$E568),"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",LEN(Registro!$E568))),({1,2,3,4,5,6,7,8,9,10,11,12,13,14,15,16,17,18,19,20,21,22,23,24,25,26,27,28,29,30}-1)*LEN(Registro!$E568)+1,LEN(Registro!$E568))),FIND("x",TRIM(MID(SUBSTITUTE(SUBSTITUTE(SUBSTITUTE(SUBSTITUTE(SUBSTITUTE(LOWER(Registro!$E568),"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",LEN(Registro!$E568))),({1,2,3,4,5,6,7,8,9,10,11,12,13,14,15,16,17,18,19,20,21,22,23,24,25,26,27,28,29,30}-1)*LEN(Registro!$E568)+1,LEN(Registro!$E568)))&amp;"x")-1))),"Revisar formato")))</f>
        <v/>
      </c>
      <c r="E568" s="24" t="str">
        <f>IF(Registro!$E568="","",IF(ISERROR(FIND("x",LOWER(Registro!$E568))),"-",IFERROR(SUMPRODUCT(--("0"&amp;LEFT(TRIM(MID(SUBSTITUTE(SUBSTITUTE(SUBSTITUTE(SUBSTITUTE(SUBSTITUTE(LOWER(Registro!$E568),"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",LEN(Registro!$E568))),({1,2,3,4,5,6,7,8,9,10,11,12,13,14,15,16,17,18,19,20,21,22,23,24,25,26,27,28,29,30}-1)*LEN(Registro!$E568)+1,LEN(Registro!$E568))),FIND("x",TRIM(MID(SUBSTITUTE(SUBSTITUTE(SUBSTITUTE(SUBSTITUTE(SUBSTITUTE(LOWER(Registro!$E568),"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",LEN(Registro!$E568))),({1,2,3,4,5,6,7,8,9,10,11,12,13,14,15,16,17,18,19,20,21,22,23,24,25,26,27,28,29,30}-1)*LEN(Registro!$E568)+1,LEN(Registro!$E568)))&amp;"x")-1)),--("0"&amp;MID(TRIM(MID(SUBSTITUTE(SUBSTITUTE(SUBSTITUTE(SUBSTITUTE(SUBSTITUTE(LOWER(Registro!$E568),"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",LEN(Registro!$E568))),({1,2,3,4,5,6,7,8,9,10,11,12,13,14,15,16,17,18,19,20,21,22,23,24,25,26,27,28,29,30}-1)*LEN(Registro!$E568)+1,LEN(Registro!$E568))),FIND("x",TRIM(MID(SUBSTITUTE(SUBSTITUTE(SUBSTITUTE(SUBSTITUTE(SUBSTITUTE(LOWER(Registro!$E568),"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",LEN(Registro!$E568))),({1,2,3,4,5,6,7,8,9,10,11,12,13,14,15,16,17,18,19,20,21,22,23,24,25,26,27,28,29,30}-1)*LEN(Registro!$E568)+1,LEN(Registro!$E568)))&amp;"x")+1,20))),"Revisar formato")))</f>
        <v/>
      </c>
      <c r="F568" s="23" t="str">
        <f>IF(Registro!$F568="","",IF(ISERROR(FIND("x",LOWER(Registro!$F568))),"-",IFERROR(SUMPRODUCT(--("0"&amp;LEFT(TRIM(MID(SUBSTITUTE(SUBSTITUTE(SUBSTITUTE(SUBSTITUTE(SUBSTITUTE(LOWER(Registro!$F568)," ",""),CHAR(10),"|"),";","|"),"+","|"),"|",REPT(" ",LEN(Registro!$F568))),({1,2,3,4,5,6,7,8,9,10,11,12,13,14,15,16,17,18,19,20,21,22,23,24,25,26,27,28,29,30}-1)*LEN(Registro!$F568)+1,LEN(Registro!$F568))),FIND("x",TRIM(MID(SUBSTITUTE(SUBSTITUTE(SUBSTITUTE(SUBSTITUTE(SUBSTITUTE(LOWER(Registro!$F568)," ",""),CHAR(10),"|"),";","|"),"+","|"),"|",REPT(" ",LEN(Registro!$F568))),({1,2,3,4,5,6,7,8,9,10,11,12,13,14,15,16,17,18,19,20,21,22,23,24,25,26,27,28,29,30}-1)*LEN(Registro!$F568)+1,LEN(Registro!$F568)))&amp;"x")-1))),"Revisar formato")))</f>
        <v/>
      </c>
      <c r="G568" s="24" t="str">
        <f>IF(Registro!$F568="","",IF(ISERROR(FIND("x",LOWER(Registro!$F568))),N(Registro!$G568),IFERROR(SUMPRODUCT(--("0"&amp;LEFT(TRIM(MID(SUBSTITUTE(SUBSTITUTE(SUBSTITUTE(SUBSTITUTE(SUBSTITUTE(LOWER(Registro!$F568)," ",""),CHAR(10),"|"),";","|"),"+","|"),"|",REPT(" ",LEN(Registro!$F568))),({1,2,3,4,5,6,7,8,9,10,11,12,13,14,15,16,17,18,19,20,21,22,23,24,25,26,27,28,29,30}-1)*LEN(Registro!$F568)+1,LEN(Registro!$F568))),FIND("x",TRIM(MID(SUBSTITUTE(SUBSTITUTE(SUBSTITUTE(SUBSTITUTE(SUBSTITUTE(LOWER(Registro!$F568)," ",""),CHAR(10),"|"),";","|"),"+","|"),"|",REPT(" ",LEN(Registro!$F568))),({1,2,3,4,5,6,7,8,9,10,11,12,13,14,15,16,17,18,19,20,21,22,23,24,25,26,27,28,29,30}-1)*LEN(Registro!$F568)+1,LEN(Registro!$F568)))&amp;"x")-1)),--("0"&amp;MID(TRIM(MID(SUBSTITUTE(SUBSTITUTE(SUBSTITUTE(SUBSTITUTE(SUBSTITUTE(LOWER(Registro!$F568)," ",""),CHAR(10),"|"),";","|"),"+","|"),"|",REPT(" ",LEN(Registro!$F568))),({1,2,3,4,5,6,7,8,9,10,11,12,13,14,15,16,17,18,19,20,21,22,23,24,25,26,27,28,29,30}-1)*LEN(Registro!$F568)+1,LEN(Registro!$F568))),FIND("x",TRIM(MID(SUBSTITUTE(SUBSTITUTE(SUBSTITUTE(SUBSTITUTE(SUBSTITUTE(LOWER(Registro!$F568)," ",""),CHAR(10),"|"),";","|"),"+","|"),"|",REPT(" ",LEN(Registro!$F568))),({1,2,3,4,5,6,7,8,9,10,11,12,13,14,15,16,17,18,19,20,21,22,23,24,25,26,27,28,29,30}-1)*LEN(Registro!$F568)+1,LEN(Registro!$F568)))&amp;"x")+1,20))),"Revisar formato")))</f>
        <v/>
      </c>
      <c r="H568" s="21" t="str">
        <f>IF(AND(Registro!$E568="",Registro!$F568=""),"",IF(NOT(AND(ISNUMBER(G568),ISNUMBER(Registro!$G568))),"",IF(G568&lt;Registro!$G568,"FALTA BOLETOS",IF(G568=Registro!$G568,"CONFORME","DIFERENCIA"))))</f>
        <v/>
      </c>
      <c r="I568" s="24" t="str">
        <f>IF(Registro!$H568="","",IFERROR(SUMPRODUCT(--("0"&amp;TRIM(RIGHT(SUBSTITUTE(TRIM(MID(SUBSTITUTE(SUBSTITUTE(Registro!$H568,";",CHAR(10)),CHAR(10),REPT(" ",LEN(Registro!$H568))),({1,2,3,4,5,6,7,8,9,10,11,12,13,14,15,16,17,18,19,20,21,22,23,24,25,26,27,28,29,30}-1)*LEN(Registro!$H568)+1,LEN(Registro!$H568)))," ",REPT(" ",50)),50)))),"Revisar formato"))</f>
        <v/>
      </c>
      <c r="J568" s="24" t="str">
        <f>IF(Registro!$I568="","",IFERROR(SUMPRODUCT(--("0"&amp;TRIM(RIGHT(SUBSTITUTE(TRIM(MID(SUBSTITUTE(SUBSTITUTE(Registro!$I568,";",CHAR(10)),CHAR(10),REPT(" ",LEN(Registro!$I568))),({1,2,3,4,5,6,7,8,9,10,11,12,13,14,15,16,17,18,19,20,21,22,23,24,25,26,27,28,29,30}-1)*LEN(Registro!$I568)+1,LEN(Registro!$I568)))," ",REPT(" ",50)),50)))),"Revisar formato"))</f>
        <v/>
      </c>
      <c r="K568" s="24" t="str">
        <f>IF(AND(Registro!$G568="",Registro!$H568=""),"",IF(AND(ISTEXT(I568),I568&lt;&gt;""),"Revisar formato",N(Registro!$G568)-N(I568)))</f>
        <v/>
      </c>
      <c r="L568" s="24" t="str">
        <f t="shared" si="17"/>
        <v/>
      </c>
      <c r="M568" s="36" t="str">
        <f>IF(AND(A568=Consulta!$B$3,C568=Consulta!$H$3),B568*10000+ROW(),"")</f>
        <v/>
      </c>
    </row>
    <row r="569" spans="1:13" x14ac:dyDescent="0.25">
      <c r="A569" s="21" t="str">
        <f>IF(Registro!$A569="","",Registro!$A569)</f>
        <v/>
      </c>
      <c r="B569" s="20" t="str">
        <f>IF(Registro!$B569="","",Registro!$B569)</f>
        <v/>
      </c>
      <c r="C569" s="35" t="str">
        <f t="shared" si="16"/>
        <v/>
      </c>
      <c r="D569" s="23" t="str">
        <f>IF(Registro!$E569="","",IF(ISERROR(FIND("x",LOWER(Registro!$E569))),"-",IFERROR(SUMPRODUCT(--("0"&amp;LEFT(TRIM(MID(SUBSTITUTE(SUBSTITUTE(SUBSTITUTE(SUBSTITUTE(SUBSTITUTE(LOWER(Registro!$E569),"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",LEN(Registro!$E569))),({1,2,3,4,5,6,7,8,9,10,11,12,13,14,15,16,17,18,19,20,21,22,23,24,25,26,27,28,29,30}-1)*LEN(Registro!$E569)+1,LEN(Registro!$E569))),FIND("x",TRIM(MID(SUBSTITUTE(SUBSTITUTE(SUBSTITUTE(SUBSTITUTE(SUBSTITUTE(LOWER(Registro!$E569),"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",LEN(Registro!$E569))),({1,2,3,4,5,6,7,8,9,10,11,12,13,14,15,16,17,18,19,20,21,22,23,24,25,26,27,28,29,30}-1)*LEN(Registro!$E569)+1,LEN(Registro!$E569)))&amp;"x")-1))),"Revisar formato")))</f>
        <v/>
      </c>
      <c r="E569" s="24" t="str">
        <f>IF(Registro!$E569="","",IF(ISERROR(FIND("x",LOWER(Registro!$E569))),"-",IFERROR(SUMPRODUCT(--("0"&amp;LEFT(TRIM(MID(SUBSTITUTE(SUBSTITUTE(SUBSTITUTE(SUBSTITUTE(SUBSTITUTE(LOWER(Registro!$E569),"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",LEN(Registro!$E569))),({1,2,3,4,5,6,7,8,9,10,11,12,13,14,15,16,17,18,19,20,21,22,23,24,25,26,27,28,29,30}-1)*LEN(Registro!$E569)+1,LEN(Registro!$E569))),FIND("x",TRIM(MID(SUBSTITUTE(SUBSTITUTE(SUBSTITUTE(SUBSTITUTE(SUBSTITUTE(LOWER(Registro!$E569),"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",LEN(Registro!$E569))),({1,2,3,4,5,6,7,8,9,10,11,12,13,14,15,16,17,18,19,20,21,22,23,24,25,26,27,28,29,30}-1)*LEN(Registro!$E569)+1,LEN(Registro!$E569)))&amp;"x")-1)),--("0"&amp;MID(TRIM(MID(SUBSTITUTE(SUBSTITUTE(SUBSTITUTE(SUBSTITUTE(SUBSTITUTE(LOWER(Registro!$E569),"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",LEN(Registro!$E569))),({1,2,3,4,5,6,7,8,9,10,11,12,13,14,15,16,17,18,19,20,21,22,23,24,25,26,27,28,29,30}-1)*LEN(Registro!$E569)+1,LEN(Registro!$E569))),FIND("x",TRIM(MID(SUBSTITUTE(SUBSTITUTE(SUBSTITUTE(SUBSTITUTE(SUBSTITUTE(LOWER(Registro!$E569),"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",LEN(Registro!$E569))),({1,2,3,4,5,6,7,8,9,10,11,12,13,14,15,16,17,18,19,20,21,22,23,24,25,26,27,28,29,30}-1)*LEN(Registro!$E569)+1,LEN(Registro!$E569)))&amp;"x")+1,20))),"Revisar formato")))</f>
        <v/>
      </c>
      <c r="F569" s="23" t="str">
        <f>IF(Registro!$F569="","",IF(ISERROR(FIND("x",LOWER(Registro!$F569))),"-",IFERROR(SUMPRODUCT(--("0"&amp;LEFT(TRIM(MID(SUBSTITUTE(SUBSTITUTE(SUBSTITUTE(SUBSTITUTE(SUBSTITUTE(LOWER(Registro!$F569)," ",""),CHAR(10),"|"),";","|"),"+","|"),"|",REPT(" ",LEN(Registro!$F569))),({1,2,3,4,5,6,7,8,9,10,11,12,13,14,15,16,17,18,19,20,21,22,23,24,25,26,27,28,29,30}-1)*LEN(Registro!$F569)+1,LEN(Registro!$F569))),FIND("x",TRIM(MID(SUBSTITUTE(SUBSTITUTE(SUBSTITUTE(SUBSTITUTE(SUBSTITUTE(LOWER(Registro!$F569)," ",""),CHAR(10),"|"),";","|"),"+","|"),"|",REPT(" ",LEN(Registro!$F569))),({1,2,3,4,5,6,7,8,9,10,11,12,13,14,15,16,17,18,19,20,21,22,23,24,25,26,27,28,29,30}-1)*LEN(Registro!$F569)+1,LEN(Registro!$F569)))&amp;"x")-1))),"Revisar formato")))</f>
        <v/>
      </c>
      <c r="G569" s="24" t="str">
        <f>IF(Registro!$F569="","",IF(ISERROR(FIND("x",LOWER(Registro!$F569))),N(Registro!$G569),IFERROR(SUMPRODUCT(--("0"&amp;LEFT(TRIM(MID(SUBSTITUTE(SUBSTITUTE(SUBSTITUTE(SUBSTITUTE(SUBSTITUTE(LOWER(Registro!$F569)," ",""),CHAR(10),"|"),";","|"),"+","|"),"|",REPT(" ",LEN(Registro!$F569))),({1,2,3,4,5,6,7,8,9,10,11,12,13,14,15,16,17,18,19,20,21,22,23,24,25,26,27,28,29,30}-1)*LEN(Registro!$F569)+1,LEN(Registro!$F569))),FIND("x",TRIM(MID(SUBSTITUTE(SUBSTITUTE(SUBSTITUTE(SUBSTITUTE(SUBSTITUTE(LOWER(Registro!$F569)," ",""),CHAR(10),"|"),";","|"),"+","|"),"|",REPT(" ",LEN(Registro!$F569))),({1,2,3,4,5,6,7,8,9,10,11,12,13,14,15,16,17,18,19,20,21,22,23,24,25,26,27,28,29,30}-1)*LEN(Registro!$F569)+1,LEN(Registro!$F569)))&amp;"x")-1)),--("0"&amp;MID(TRIM(MID(SUBSTITUTE(SUBSTITUTE(SUBSTITUTE(SUBSTITUTE(SUBSTITUTE(LOWER(Registro!$F569)," ",""),CHAR(10),"|"),";","|"),"+","|"),"|",REPT(" ",LEN(Registro!$F569))),({1,2,3,4,5,6,7,8,9,10,11,12,13,14,15,16,17,18,19,20,21,22,23,24,25,26,27,28,29,30}-1)*LEN(Registro!$F569)+1,LEN(Registro!$F569))),FIND("x",TRIM(MID(SUBSTITUTE(SUBSTITUTE(SUBSTITUTE(SUBSTITUTE(SUBSTITUTE(LOWER(Registro!$F569)," ",""),CHAR(10),"|"),";","|"),"+","|"),"|",REPT(" ",LEN(Registro!$F569))),({1,2,3,4,5,6,7,8,9,10,11,12,13,14,15,16,17,18,19,20,21,22,23,24,25,26,27,28,29,30}-1)*LEN(Registro!$F569)+1,LEN(Registro!$F569)))&amp;"x")+1,20))),"Revisar formato")))</f>
        <v/>
      </c>
      <c r="H569" s="21" t="str">
        <f>IF(AND(Registro!$E569="",Registro!$F569=""),"",IF(NOT(AND(ISNUMBER(G569),ISNUMBER(Registro!$G569))),"",IF(G569&lt;Registro!$G569,"FALTA BOLETOS",IF(G569=Registro!$G569,"CONFORME","DIFERENCIA"))))</f>
        <v/>
      </c>
      <c r="I569" s="24" t="str">
        <f>IF(Registro!$H569="","",IFERROR(SUMPRODUCT(--("0"&amp;TRIM(RIGHT(SUBSTITUTE(TRIM(MID(SUBSTITUTE(SUBSTITUTE(Registro!$H569,";",CHAR(10)),CHAR(10),REPT(" ",LEN(Registro!$H569))),({1,2,3,4,5,6,7,8,9,10,11,12,13,14,15,16,17,18,19,20,21,22,23,24,25,26,27,28,29,30}-1)*LEN(Registro!$H569)+1,LEN(Registro!$H569)))," ",REPT(" ",50)),50)))),"Revisar formato"))</f>
        <v/>
      </c>
      <c r="J569" s="24" t="str">
        <f>IF(Registro!$I569="","",IFERROR(SUMPRODUCT(--("0"&amp;TRIM(RIGHT(SUBSTITUTE(TRIM(MID(SUBSTITUTE(SUBSTITUTE(Registro!$I569,";",CHAR(10)),CHAR(10),REPT(" ",LEN(Registro!$I569))),({1,2,3,4,5,6,7,8,9,10,11,12,13,14,15,16,17,18,19,20,21,22,23,24,25,26,27,28,29,30}-1)*LEN(Registro!$I569)+1,LEN(Registro!$I569)))," ",REPT(" ",50)),50)))),"Revisar formato"))</f>
        <v/>
      </c>
      <c r="K569" s="24" t="str">
        <f>IF(AND(Registro!$G569="",Registro!$H569=""),"",IF(AND(ISTEXT(I569),I569&lt;&gt;""),"Revisar formato",N(Registro!$G569)-N(I569)))</f>
        <v/>
      </c>
      <c r="L569" s="24" t="str">
        <f t="shared" si="17"/>
        <v/>
      </c>
      <c r="M569" s="36" t="str">
        <f>IF(AND(A569=Consulta!$B$3,C569=Consulta!$H$3),B569*10000+ROW(),"")</f>
        <v/>
      </c>
    </row>
    <row r="570" spans="1:13" x14ac:dyDescent="0.25">
      <c r="A570" s="21" t="str">
        <f>IF(Registro!$A570="","",Registro!$A570)</f>
        <v/>
      </c>
      <c r="B570" s="20" t="str">
        <f>IF(Registro!$B570="","",Registro!$B570)</f>
        <v/>
      </c>
      <c r="C570" s="35" t="str">
        <f t="shared" si="16"/>
        <v/>
      </c>
      <c r="D570" s="23" t="str">
        <f>IF(Registro!$E570="","",IF(ISERROR(FIND("x",LOWER(Registro!$E570))),"-",IFERROR(SUMPRODUCT(--("0"&amp;LEFT(TRIM(MID(SUBSTITUTE(SUBSTITUTE(SUBSTITUTE(SUBSTITUTE(SUBSTITUTE(LOWER(Registro!$E570),"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",LEN(Registro!$E570))),({1,2,3,4,5,6,7,8,9,10,11,12,13,14,15,16,17,18,19,20,21,22,23,24,25,26,27,28,29,30}-1)*LEN(Registro!$E570)+1,LEN(Registro!$E570))),FIND("x",TRIM(MID(SUBSTITUTE(SUBSTITUTE(SUBSTITUTE(SUBSTITUTE(SUBSTITUTE(LOWER(Registro!$E570),"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",LEN(Registro!$E570))),({1,2,3,4,5,6,7,8,9,10,11,12,13,14,15,16,17,18,19,20,21,22,23,24,25,26,27,28,29,30}-1)*LEN(Registro!$E570)+1,LEN(Registro!$E570)))&amp;"x")-1))),"Revisar formato")))</f>
        <v/>
      </c>
      <c r="E570" s="24" t="str">
        <f>IF(Registro!$E570="","",IF(ISERROR(FIND("x",LOWER(Registro!$E570))),"-",IFERROR(SUMPRODUCT(--("0"&amp;LEFT(TRIM(MID(SUBSTITUTE(SUBSTITUTE(SUBSTITUTE(SUBSTITUTE(SUBSTITUTE(LOWER(Registro!$E570),"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",LEN(Registro!$E570))),({1,2,3,4,5,6,7,8,9,10,11,12,13,14,15,16,17,18,19,20,21,22,23,24,25,26,27,28,29,30}-1)*LEN(Registro!$E570)+1,LEN(Registro!$E570))),FIND("x",TRIM(MID(SUBSTITUTE(SUBSTITUTE(SUBSTITUTE(SUBSTITUTE(SUBSTITUTE(LOWER(Registro!$E570),"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",LEN(Registro!$E570))),({1,2,3,4,5,6,7,8,9,10,11,12,13,14,15,16,17,18,19,20,21,22,23,24,25,26,27,28,29,30}-1)*LEN(Registro!$E570)+1,LEN(Registro!$E570)))&amp;"x")-1)),--("0"&amp;MID(TRIM(MID(SUBSTITUTE(SUBSTITUTE(SUBSTITUTE(SUBSTITUTE(SUBSTITUTE(LOWER(Registro!$E570),"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",LEN(Registro!$E570))),({1,2,3,4,5,6,7,8,9,10,11,12,13,14,15,16,17,18,19,20,21,22,23,24,25,26,27,28,29,30}-1)*LEN(Registro!$E570)+1,LEN(Registro!$E570))),FIND("x",TRIM(MID(SUBSTITUTE(SUBSTITUTE(SUBSTITUTE(SUBSTITUTE(SUBSTITUTE(LOWER(Registro!$E570),"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",LEN(Registro!$E570))),({1,2,3,4,5,6,7,8,9,10,11,12,13,14,15,16,17,18,19,20,21,22,23,24,25,26,27,28,29,30}-1)*LEN(Registro!$E570)+1,LEN(Registro!$E570)))&amp;"x")+1,20))),"Revisar formato")))</f>
        <v/>
      </c>
      <c r="F570" s="23" t="str">
        <f>IF(Registro!$F570="","",IF(ISERROR(FIND("x",LOWER(Registro!$F570))),"-",IFERROR(SUMPRODUCT(--("0"&amp;LEFT(TRIM(MID(SUBSTITUTE(SUBSTITUTE(SUBSTITUTE(SUBSTITUTE(SUBSTITUTE(LOWER(Registro!$F570)," ",""),CHAR(10),"|"),";","|"),"+","|"),"|",REPT(" ",LEN(Registro!$F570))),({1,2,3,4,5,6,7,8,9,10,11,12,13,14,15,16,17,18,19,20,21,22,23,24,25,26,27,28,29,30}-1)*LEN(Registro!$F570)+1,LEN(Registro!$F570))),FIND("x",TRIM(MID(SUBSTITUTE(SUBSTITUTE(SUBSTITUTE(SUBSTITUTE(SUBSTITUTE(LOWER(Registro!$F570)," ",""),CHAR(10),"|"),";","|"),"+","|"),"|",REPT(" ",LEN(Registro!$F570))),({1,2,3,4,5,6,7,8,9,10,11,12,13,14,15,16,17,18,19,20,21,22,23,24,25,26,27,28,29,30}-1)*LEN(Registro!$F570)+1,LEN(Registro!$F570)))&amp;"x")-1))),"Revisar formato")))</f>
        <v/>
      </c>
      <c r="G570" s="24" t="str">
        <f>IF(Registro!$F570="","",IF(ISERROR(FIND("x",LOWER(Registro!$F570))),N(Registro!$G570),IFERROR(SUMPRODUCT(--("0"&amp;LEFT(TRIM(MID(SUBSTITUTE(SUBSTITUTE(SUBSTITUTE(SUBSTITUTE(SUBSTITUTE(LOWER(Registro!$F570)," ",""),CHAR(10),"|"),";","|"),"+","|"),"|",REPT(" ",LEN(Registro!$F570))),({1,2,3,4,5,6,7,8,9,10,11,12,13,14,15,16,17,18,19,20,21,22,23,24,25,26,27,28,29,30}-1)*LEN(Registro!$F570)+1,LEN(Registro!$F570))),FIND("x",TRIM(MID(SUBSTITUTE(SUBSTITUTE(SUBSTITUTE(SUBSTITUTE(SUBSTITUTE(LOWER(Registro!$F570)," ",""),CHAR(10),"|"),";","|"),"+","|"),"|",REPT(" ",LEN(Registro!$F570))),({1,2,3,4,5,6,7,8,9,10,11,12,13,14,15,16,17,18,19,20,21,22,23,24,25,26,27,28,29,30}-1)*LEN(Registro!$F570)+1,LEN(Registro!$F570)))&amp;"x")-1)),--("0"&amp;MID(TRIM(MID(SUBSTITUTE(SUBSTITUTE(SUBSTITUTE(SUBSTITUTE(SUBSTITUTE(LOWER(Registro!$F570)," ",""),CHAR(10),"|"),";","|"),"+","|"),"|",REPT(" ",LEN(Registro!$F570))),({1,2,3,4,5,6,7,8,9,10,11,12,13,14,15,16,17,18,19,20,21,22,23,24,25,26,27,28,29,30}-1)*LEN(Registro!$F570)+1,LEN(Registro!$F570))),FIND("x",TRIM(MID(SUBSTITUTE(SUBSTITUTE(SUBSTITUTE(SUBSTITUTE(SUBSTITUTE(LOWER(Registro!$F570)," ",""),CHAR(10),"|"),";","|"),"+","|"),"|",REPT(" ",LEN(Registro!$F570))),({1,2,3,4,5,6,7,8,9,10,11,12,13,14,15,16,17,18,19,20,21,22,23,24,25,26,27,28,29,30}-1)*LEN(Registro!$F570)+1,LEN(Registro!$F570)))&amp;"x")+1,20))),"Revisar formato")))</f>
        <v/>
      </c>
      <c r="H570" s="21" t="str">
        <f>IF(AND(Registro!$E570="",Registro!$F570=""),"",IF(NOT(AND(ISNUMBER(G570),ISNUMBER(Registro!$G570))),"",IF(G570&lt;Registro!$G570,"FALTA BOLETOS",IF(G570=Registro!$G570,"CONFORME","DIFERENCIA"))))</f>
        <v/>
      </c>
      <c r="I570" s="24" t="str">
        <f>IF(Registro!$H570="","",IFERROR(SUMPRODUCT(--("0"&amp;TRIM(RIGHT(SUBSTITUTE(TRIM(MID(SUBSTITUTE(SUBSTITUTE(Registro!$H570,";",CHAR(10)),CHAR(10),REPT(" ",LEN(Registro!$H570))),({1,2,3,4,5,6,7,8,9,10,11,12,13,14,15,16,17,18,19,20,21,22,23,24,25,26,27,28,29,30}-1)*LEN(Registro!$H570)+1,LEN(Registro!$H570)))," ",REPT(" ",50)),50)))),"Revisar formato"))</f>
        <v/>
      </c>
      <c r="J570" s="24" t="str">
        <f>IF(Registro!$I570="","",IFERROR(SUMPRODUCT(--("0"&amp;TRIM(RIGHT(SUBSTITUTE(TRIM(MID(SUBSTITUTE(SUBSTITUTE(Registro!$I570,";",CHAR(10)),CHAR(10),REPT(" ",LEN(Registro!$I570))),({1,2,3,4,5,6,7,8,9,10,11,12,13,14,15,16,17,18,19,20,21,22,23,24,25,26,27,28,29,30}-1)*LEN(Registro!$I570)+1,LEN(Registro!$I570)))," ",REPT(" ",50)),50)))),"Revisar formato"))</f>
        <v/>
      </c>
      <c r="K570" s="24" t="str">
        <f>IF(AND(Registro!$G570="",Registro!$H570=""),"",IF(AND(ISTEXT(I570),I570&lt;&gt;""),"Revisar formato",N(Registro!$G570)-N(I570)))</f>
        <v/>
      </c>
      <c r="L570" s="24" t="str">
        <f t="shared" si="17"/>
        <v/>
      </c>
      <c r="M570" s="36" t="str">
        <f>IF(AND(A570=Consulta!$B$3,C570=Consulta!$H$3),B570*10000+ROW(),"")</f>
        <v/>
      </c>
    </row>
    <row r="571" spans="1:13" x14ac:dyDescent="0.25">
      <c r="A571" s="21" t="str">
        <f>IF(Registro!$A571="","",Registro!$A571)</f>
        <v/>
      </c>
      <c r="B571" s="20" t="str">
        <f>IF(Registro!$B571="","",Registro!$B571)</f>
        <v/>
      </c>
      <c r="C571" s="35" t="str">
        <f t="shared" si="16"/>
        <v/>
      </c>
      <c r="D571" s="23" t="str">
        <f>IF(Registro!$E571="","",IF(ISERROR(FIND("x",LOWER(Registro!$E571))),"-",IFERROR(SUMPRODUCT(--("0"&amp;LEFT(TRIM(MID(SUBSTITUTE(SUBSTITUTE(SUBSTITUTE(SUBSTITUTE(SUBSTITUTE(LOWER(Registro!$E571),"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",LEN(Registro!$E571))),({1,2,3,4,5,6,7,8,9,10,11,12,13,14,15,16,17,18,19,20,21,22,23,24,25,26,27,28,29,30}-1)*LEN(Registro!$E571)+1,LEN(Registro!$E571))),FIND("x",TRIM(MID(SUBSTITUTE(SUBSTITUTE(SUBSTITUTE(SUBSTITUTE(SUBSTITUTE(LOWER(Registro!$E571),"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",LEN(Registro!$E571))),({1,2,3,4,5,6,7,8,9,10,11,12,13,14,15,16,17,18,19,20,21,22,23,24,25,26,27,28,29,30}-1)*LEN(Registro!$E571)+1,LEN(Registro!$E571)))&amp;"x")-1))),"Revisar formato")))</f>
        <v/>
      </c>
      <c r="E571" s="24" t="str">
        <f>IF(Registro!$E571="","",IF(ISERROR(FIND("x",LOWER(Registro!$E571))),"-",IFERROR(SUMPRODUCT(--("0"&amp;LEFT(TRIM(MID(SUBSTITUTE(SUBSTITUTE(SUBSTITUTE(SUBSTITUTE(SUBSTITUTE(LOWER(Registro!$E571),"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",LEN(Registro!$E571))),({1,2,3,4,5,6,7,8,9,10,11,12,13,14,15,16,17,18,19,20,21,22,23,24,25,26,27,28,29,30}-1)*LEN(Registro!$E571)+1,LEN(Registro!$E571))),FIND("x",TRIM(MID(SUBSTITUTE(SUBSTITUTE(SUBSTITUTE(SUBSTITUTE(SUBSTITUTE(LOWER(Registro!$E571),"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",LEN(Registro!$E571))),({1,2,3,4,5,6,7,8,9,10,11,12,13,14,15,16,17,18,19,20,21,22,23,24,25,26,27,28,29,30}-1)*LEN(Registro!$E571)+1,LEN(Registro!$E571)))&amp;"x")-1)),--("0"&amp;MID(TRIM(MID(SUBSTITUTE(SUBSTITUTE(SUBSTITUTE(SUBSTITUTE(SUBSTITUTE(LOWER(Registro!$E571),"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",LEN(Registro!$E571))),({1,2,3,4,5,6,7,8,9,10,11,12,13,14,15,16,17,18,19,20,21,22,23,24,25,26,27,28,29,30}-1)*LEN(Registro!$E571)+1,LEN(Registro!$E571))),FIND("x",TRIM(MID(SUBSTITUTE(SUBSTITUTE(SUBSTITUTE(SUBSTITUTE(SUBSTITUTE(LOWER(Registro!$E571),"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",LEN(Registro!$E571))),({1,2,3,4,5,6,7,8,9,10,11,12,13,14,15,16,17,18,19,20,21,22,23,24,25,26,27,28,29,30}-1)*LEN(Registro!$E571)+1,LEN(Registro!$E571)))&amp;"x")+1,20))),"Revisar formato")))</f>
        <v/>
      </c>
      <c r="F571" s="23" t="str">
        <f>IF(Registro!$F571="","",IF(ISERROR(FIND("x",LOWER(Registro!$F571))),"-",IFERROR(SUMPRODUCT(--("0"&amp;LEFT(TRIM(MID(SUBSTITUTE(SUBSTITUTE(SUBSTITUTE(SUBSTITUTE(SUBSTITUTE(LOWER(Registro!$F571)," ",""),CHAR(10),"|"),";","|"),"+","|"),"|",REPT(" ",LEN(Registro!$F571))),({1,2,3,4,5,6,7,8,9,10,11,12,13,14,15,16,17,18,19,20,21,22,23,24,25,26,27,28,29,30}-1)*LEN(Registro!$F571)+1,LEN(Registro!$F571))),FIND("x",TRIM(MID(SUBSTITUTE(SUBSTITUTE(SUBSTITUTE(SUBSTITUTE(SUBSTITUTE(LOWER(Registro!$F571)," ",""),CHAR(10),"|"),";","|"),"+","|"),"|",REPT(" ",LEN(Registro!$F571))),({1,2,3,4,5,6,7,8,9,10,11,12,13,14,15,16,17,18,19,20,21,22,23,24,25,26,27,28,29,30}-1)*LEN(Registro!$F571)+1,LEN(Registro!$F571)))&amp;"x")-1))),"Revisar formato")))</f>
        <v/>
      </c>
      <c r="G571" s="24" t="str">
        <f>IF(Registro!$F571="","",IF(ISERROR(FIND("x",LOWER(Registro!$F571))),N(Registro!$G571),IFERROR(SUMPRODUCT(--("0"&amp;LEFT(TRIM(MID(SUBSTITUTE(SUBSTITUTE(SUBSTITUTE(SUBSTITUTE(SUBSTITUTE(LOWER(Registro!$F571)," ",""),CHAR(10),"|"),";","|"),"+","|"),"|",REPT(" ",LEN(Registro!$F571))),({1,2,3,4,5,6,7,8,9,10,11,12,13,14,15,16,17,18,19,20,21,22,23,24,25,26,27,28,29,30}-1)*LEN(Registro!$F571)+1,LEN(Registro!$F571))),FIND("x",TRIM(MID(SUBSTITUTE(SUBSTITUTE(SUBSTITUTE(SUBSTITUTE(SUBSTITUTE(LOWER(Registro!$F571)," ",""),CHAR(10),"|"),";","|"),"+","|"),"|",REPT(" ",LEN(Registro!$F571))),({1,2,3,4,5,6,7,8,9,10,11,12,13,14,15,16,17,18,19,20,21,22,23,24,25,26,27,28,29,30}-1)*LEN(Registro!$F571)+1,LEN(Registro!$F571)))&amp;"x")-1)),--("0"&amp;MID(TRIM(MID(SUBSTITUTE(SUBSTITUTE(SUBSTITUTE(SUBSTITUTE(SUBSTITUTE(LOWER(Registro!$F571)," ",""),CHAR(10),"|"),";","|"),"+","|"),"|",REPT(" ",LEN(Registro!$F571))),({1,2,3,4,5,6,7,8,9,10,11,12,13,14,15,16,17,18,19,20,21,22,23,24,25,26,27,28,29,30}-1)*LEN(Registro!$F571)+1,LEN(Registro!$F571))),FIND("x",TRIM(MID(SUBSTITUTE(SUBSTITUTE(SUBSTITUTE(SUBSTITUTE(SUBSTITUTE(LOWER(Registro!$F571)," ",""),CHAR(10),"|"),";","|"),"+","|"),"|",REPT(" ",LEN(Registro!$F571))),({1,2,3,4,5,6,7,8,9,10,11,12,13,14,15,16,17,18,19,20,21,22,23,24,25,26,27,28,29,30}-1)*LEN(Registro!$F571)+1,LEN(Registro!$F571)))&amp;"x")+1,20))),"Revisar formato")))</f>
        <v/>
      </c>
      <c r="H571" s="21" t="str">
        <f>IF(AND(Registro!$E571="",Registro!$F571=""),"",IF(NOT(AND(ISNUMBER(G571),ISNUMBER(Registro!$G571))),"",IF(G571&lt;Registro!$G571,"FALTA BOLETOS",IF(G571=Registro!$G571,"CONFORME","DIFERENCIA"))))</f>
        <v/>
      </c>
      <c r="I571" s="24" t="str">
        <f>IF(Registro!$H571="","",IFERROR(SUMPRODUCT(--("0"&amp;TRIM(RIGHT(SUBSTITUTE(TRIM(MID(SUBSTITUTE(SUBSTITUTE(Registro!$H571,";",CHAR(10)),CHAR(10),REPT(" ",LEN(Registro!$H571))),({1,2,3,4,5,6,7,8,9,10,11,12,13,14,15,16,17,18,19,20,21,22,23,24,25,26,27,28,29,30}-1)*LEN(Registro!$H571)+1,LEN(Registro!$H571)))," ",REPT(" ",50)),50)))),"Revisar formato"))</f>
        <v/>
      </c>
      <c r="J571" s="24" t="str">
        <f>IF(Registro!$I571="","",IFERROR(SUMPRODUCT(--("0"&amp;TRIM(RIGHT(SUBSTITUTE(TRIM(MID(SUBSTITUTE(SUBSTITUTE(Registro!$I571,";",CHAR(10)),CHAR(10),REPT(" ",LEN(Registro!$I571))),({1,2,3,4,5,6,7,8,9,10,11,12,13,14,15,16,17,18,19,20,21,22,23,24,25,26,27,28,29,30}-1)*LEN(Registro!$I571)+1,LEN(Registro!$I571)))," ",REPT(" ",50)),50)))),"Revisar formato"))</f>
        <v/>
      </c>
      <c r="K571" s="24" t="str">
        <f>IF(AND(Registro!$G571="",Registro!$H571=""),"",IF(AND(ISTEXT(I571),I571&lt;&gt;""),"Revisar formato",N(Registro!$G571)-N(I571)))</f>
        <v/>
      </c>
      <c r="L571" s="24" t="str">
        <f t="shared" si="17"/>
        <v/>
      </c>
      <c r="M571" s="36" t="str">
        <f>IF(AND(A571=Consulta!$B$3,C571=Consulta!$H$3),B571*10000+ROW(),"")</f>
        <v/>
      </c>
    </row>
    <row r="572" spans="1:13" x14ac:dyDescent="0.25">
      <c r="A572" s="21" t="str">
        <f>IF(Registro!$A572="","",Registro!$A572)</f>
        <v/>
      </c>
      <c r="B572" s="20" t="str">
        <f>IF(Registro!$B572="","",Registro!$B572)</f>
        <v/>
      </c>
      <c r="C572" s="35" t="str">
        <f t="shared" si="16"/>
        <v/>
      </c>
      <c r="D572" s="23" t="str">
        <f>IF(Registro!$E572="","",IF(ISERROR(FIND("x",LOWER(Registro!$E572))),"-",IFERROR(SUMPRODUCT(--("0"&amp;LEFT(TRIM(MID(SUBSTITUTE(SUBSTITUTE(SUBSTITUTE(SUBSTITUTE(SUBSTITUTE(LOWER(Registro!$E572),"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",LEN(Registro!$E572))),({1,2,3,4,5,6,7,8,9,10,11,12,13,14,15,16,17,18,19,20,21,22,23,24,25,26,27,28,29,30}-1)*LEN(Registro!$E572)+1,LEN(Registro!$E572))),FIND("x",TRIM(MID(SUBSTITUTE(SUBSTITUTE(SUBSTITUTE(SUBSTITUTE(SUBSTITUTE(LOWER(Registro!$E572),"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",LEN(Registro!$E572))),({1,2,3,4,5,6,7,8,9,10,11,12,13,14,15,16,17,18,19,20,21,22,23,24,25,26,27,28,29,30}-1)*LEN(Registro!$E572)+1,LEN(Registro!$E572)))&amp;"x")-1))),"Revisar formato")))</f>
        <v/>
      </c>
      <c r="E572" s="24" t="str">
        <f>IF(Registro!$E572="","",IF(ISERROR(FIND("x",LOWER(Registro!$E572))),"-",IFERROR(SUMPRODUCT(--("0"&amp;LEFT(TRIM(MID(SUBSTITUTE(SUBSTITUTE(SUBSTITUTE(SUBSTITUTE(SUBSTITUTE(LOWER(Registro!$E572),"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",LEN(Registro!$E572))),({1,2,3,4,5,6,7,8,9,10,11,12,13,14,15,16,17,18,19,20,21,22,23,24,25,26,27,28,29,30}-1)*LEN(Registro!$E572)+1,LEN(Registro!$E572))),FIND("x",TRIM(MID(SUBSTITUTE(SUBSTITUTE(SUBSTITUTE(SUBSTITUTE(SUBSTITUTE(LOWER(Registro!$E572),"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",LEN(Registro!$E572))),({1,2,3,4,5,6,7,8,9,10,11,12,13,14,15,16,17,18,19,20,21,22,23,24,25,26,27,28,29,30}-1)*LEN(Registro!$E572)+1,LEN(Registro!$E572)))&amp;"x")-1)),--("0"&amp;MID(TRIM(MID(SUBSTITUTE(SUBSTITUTE(SUBSTITUTE(SUBSTITUTE(SUBSTITUTE(LOWER(Registro!$E572),"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",LEN(Registro!$E572))),({1,2,3,4,5,6,7,8,9,10,11,12,13,14,15,16,17,18,19,20,21,22,23,24,25,26,27,28,29,30}-1)*LEN(Registro!$E572)+1,LEN(Registro!$E572))),FIND("x",TRIM(MID(SUBSTITUTE(SUBSTITUTE(SUBSTITUTE(SUBSTITUTE(SUBSTITUTE(LOWER(Registro!$E572),"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",LEN(Registro!$E572))),({1,2,3,4,5,6,7,8,9,10,11,12,13,14,15,16,17,18,19,20,21,22,23,24,25,26,27,28,29,30}-1)*LEN(Registro!$E572)+1,LEN(Registro!$E572)))&amp;"x")+1,20))),"Revisar formato")))</f>
        <v/>
      </c>
      <c r="F572" s="23" t="str">
        <f>IF(Registro!$F572="","",IF(ISERROR(FIND("x",LOWER(Registro!$F572))),"-",IFERROR(SUMPRODUCT(--("0"&amp;LEFT(TRIM(MID(SUBSTITUTE(SUBSTITUTE(SUBSTITUTE(SUBSTITUTE(SUBSTITUTE(LOWER(Registro!$F572)," ",""),CHAR(10),"|"),";","|"),"+","|"),"|",REPT(" ",LEN(Registro!$F572))),({1,2,3,4,5,6,7,8,9,10,11,12,13,14,15,16,17,18,19,20,21,22,23,24,25,26,27,28,29,30}-1)*LEN(Registro!$F572)+1,LEN(Registro!$F572))),FIND("x",TRIM(MID(SUBSTITUTE(SUBSTITUTE(SUBSTITUTE(SUBSTITUTE(SUBSTITUTE(LOWER(Registro!$F572)," ",""),CHAR(10),"|"),";","|"),"+","|"),"|",REPT(" ",LEN(Registro!$F572))),({1,2,3,4,5,6,7,8,9,10,11,12,13,14,15,16,17,18,19,20,21,22,23,24,25,26,27,28,29,30}-1)*LEN(Registro!$F572)+1,LEN(Registro!$F572)))&amp;"x")-1))),"Revisar formato")))</f>
        <v/>
      </c>
      <c r="G572" s="24" t="str">
        <f>IF(Registro!$F572="","",IF(ISERROR(FIND("x",LOWER(Registro!$F572))),N(Registro!$G572),IFERROR(SUMPRODUCT(--("0"&amp;LEFT(TRIM(MID(SUBSTITUTE(SUBSTITUTE(SUBSTITUTE(SUBSTITUTE(SUBSTITUTE(LOWER(Registro!$F572)," ",""),CHAR(10),"|"),";","|"),"+","|"),"|",REPT(" ",LEN(Registro!$F572))),({1,2,3,4,5,6,7,8,9,10,11,12,13,14,15,16,17,18,19,20,21,22,23,24,25,26,27,28,29,30}-1)*LEN(Registro!$F572)+1,LEN(Registro!$F572))),FIND("x",TRIM(MID(SUBSTITUTE(SUBSTITUTE(SUBSTITUTE(SUBSTITUTE(SUBSTITUTE(LOWER(Registro!$F572)," ",""),CHAR(10),"|"),";","|"),"+","|"),"|",REPT(" ",LEN(Registro!$F572))),({1,2,3,4,5,6,7,8,9,10,11,12,13,14,15,16,17,18,19,20,21,22,23,24,25,26,27,28,29,30}-1)*LEN(Registro!$F572)+1,LEN(Registro!$F572)))&amp;"x")-1)),--("0"&amp;MID(TRIM(MID(SUBSTITUTE(SUBSTITUTE(SUBSTITUTE(SUBSTITUTE(SUBSTITUTE(LOWER(Registro!$F572)," ",""),CHAR(10),"|"),";","|"),"+","|"),"|",REPT(" ",LEN(Registro!$F572))),({1,2,3,4,5,6,7,8,9,10,11,12,13,14,15,16,17,18,19,20,21,22,23,24,25,26,27,28,29,30}-1)*LEN(Registro!$F572)+1,LEN(Registro!$F572))),FIND("x",TRIM(MID(SUBSTITUTE(SUBSTITUTE(SUBSTITUTE(SUBSTITUTE(SUBSTITUTE(LOWER(Registro!$F572)," ",""),CHAR(10),"|"),";","|"),"+","|"),"|",REPT(" ",LEN(Registro!$F572))),({1,2,3,4,5,6,7,8,9,10,11,12,13,14,15,16,17,18,19,20,21,22,23,24,25,26,27,28,29,30}-1)*LEN(Registro!$F572)+1,LEN(Registro!$F572)))&amp;"x")+1,20))),"Revisar formato")))</f>
        <v/>
      </c>
      <c r="H572" s="21" t="str">
        <f>IF(AND(Registro!$E572="",Registro!$F572=""),"",IF(NOT(AND(ISNUMBER(G572),ISNUMBER(Registro!$G572))),"",IF(G572&lt;Registro!$G572,"FALTA BOLETOS",IF(G572=Registro!$G572,"CONFORME","DIFERENCIA"))))</f>
        <v/>
      </c>
      <c r="I572" s="24" t="str">
        <f>IF(Registro!$H572="","",IFERROR(SUMPRODUCT(--("0"&amp;TRIM(RIGHT(SUBSTITUTE(TRIM(MID(SUBSTITUTE(SUBSTITUTE(Registro!$H572,";",CHAR(10)),CHAR(10),REPT(" ",LEN(Registro!$H572))),({1,2,3,4,5,6,7,8,9,10,11,12,13,14,15,16,17,18,19,20,21,22,23,24,25,26,27,28,29,30}-1)*LEN(Registro!$H572)+1,LEN(Registro!$H572)))," ",REPT(" ",50)),50)))),"Revisar formato"))</f>
        <v/>
      </c>
      <c r="J572" s="24" t="str">
        <f>IF(Registro!$I572="","",IFERROR(SUMPRODUCT(--("0"&amp;TRIM(RIGHT(SUBSTITUTE(TRIM(MID(SUBSTITUTE(SUBSTITUTE(Registro!$I572,";",CHAR(10)),CHAR(10),REPT(" ",LEN(Registro!$I572))),({1,2,3,4,5,6,7,8,9,10,11,12,13,14,15,16,17,18,19,20,21,22,23,24,25,26,27,28,29,30}-1)*LEN(Registro!$I572)+1,LEN(Registro!$I572)))," ",REPT(" ",50)),50)))),"Revisar formato"))</f>
        <v/>
      </c>
      <c r="K572" s="24" t="str">
        <f>IF(AND(Registro!$G572="",Registro!$H572=""),"",IF(AND(ISTEXT(I572),I572&lt;&gt;""),"Revisar formato",N(Registro!$G572)-N(I572)))</f>
        <v/>
      </c>
      <c r="L572" s="24" t="str">
        <f t="shared" si="17"/>
        <v/>
      </c>
      <c r="M572" s="36" t="str">
        <f>IF(AND(A572=Consulta!$B$3,C572=Consulta!$H$3),B572*10000+ROW(),"")</f>
        <v/>
      </c>
    </row>
    <row r="573" spans="1:13" x14ac:dyDescent="0.25">
      <c r="A573" s="21" t="str">
        <f>IF(Registro!$A573="","",Registro!$A573)</f>
        <v/>
      </c>
      <c r="B573" s="20" t="str">
        <f>IF(Registro!$B573="","",Registro!$B573)</f>
        <v/>
      </c>
      <c r="C573" s="35" t="str">
        <f t="shared" si="16"/>
        <v/>
      </c>
      <c r="D573" s="23" t="str">
        <f>IF(Registro!$E573="","",IF(ISERROR(FIND("x",LOWER(Registro!$E573))),"-",IFERROR(SUMPRODUCT(--("0"&amp;LEFT(TRIM(MID(SUBSTITUTE(SUBSTITUTE(SUBSTITUTE(SUBSTITUTE(SUBSTITUTE(LOWER(Registro!$E573),"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",LEN(Registro!$E573))),({1,2,3,4,5,6,7,8,9,10,11,12,13,14,15,16,17,18,19,20,21,22,23,24,25,26,27,28,29,30}-1)*LEN(Registro!$E573)+1,LEN(Registro!$E573))),FIND("x",TRIM(MID(SUBSTITUTE(SUBSTITUTE(SUBSTITUTE(SUBSTITUTE(SUBSTITUTE(LOWER(Registro!$E573),"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",LEN(Registro!$E573))),({1,2,3,4,5,6,7,8,9,10,11,12,13,14,15,16,17,18,19,20,21,22,23,24,25,26,27,28,29,30}-1)*LEN(Registro!$E573)+1,LEN(Registro!$E573)))&amp;"x")-1))),"Revisar formato")))</f>
        <v/>
      </c>
      <c r="E573" s="24" t="str">
        <f>IF(Registro!$E573="","",IF(ISERROR(FIND("x",LOWER(Registro!$E573))),"-",IFERROR(SUMPRODUCT(--("0"&amp;LEFT(TRIM(MID(SUBSTITUTE(SUBSTITUTE(SUBSTITUTE(SUBSTITUTE(SUBSTITUTE(LOWER(Registro!$E573),"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",LEN(Registro!$E573))),({1,2,3,4,5,6,7,8,9,10,11,12,13,14,15,16,17,18,19,20,21,22,23,24,25,26,27,28,29,30}-1)*LEN(Registro!$E573)+1,LEN(Registro!$E573))),FIND("x",TRIM(MID(SUBSTITUTE(SUBSTITUTE(SUBSTITUTE(SUBSTITUTE(SUBSTITUTE(LOWER(Registro!$E573),"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",LEN(Registro!$E573))),({1,2,3,4,5,6,7,8,9,10,11,12,13,14,15,16,17,18,19,20,21,22,23,24,25,26,27,28,29,30}-1)*LEN(Registro!$E573)+1,LEN(Registro!$E573)))&amp;"x")-1)),--("0"&amp;MID(TRIM(MID(SUBSTITUTE(SUBSTITUTE(SUBSTITUTE(SUBSTITUTE(SUBSTITUTE(LOWER(Registro!$E573),"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",LEN(Registro!$E573))),({1,2,3,4,5,6,7,8,9,10,11,12,13,14,15,16,17,18,19,20,21,22,23,24,25,26,27,28,29,30}-1)*LEN(Registro!$E573)+1,LEN(Registro!$E573))),FIND("x",TRIM(MID(SUBSTITUTE(SUBSTITUTE(SUBSTITUTE(SUBSTITUTE(SUBSTITUTE(LOWER(Registro!$E573),"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",LEN(Registro!$E573))),({1,2,3,4,5,6,7,8,9,10,11,12,13,14,15,16,17,18,19,20,21,22,23,24,25,26,27,28,29,30}-1)*LEN(Registro!$E573)+1,LEN(Registro!$E573)))&amp;"x")+1,20))),"Revisar formato")))</f>
        <v/>
      </c>
      <c r="F573" s="23" t="str">
        <f>IF(Registro!$F573="","",IF(ISERROR(FIND("x",LOWER(Registro!$F573))),"-",IFERROR(SUMPRODUCT(--("0"&amp;LEFT(TRIM(MID(SUBSTITUTE(SUBSTITUTE(SUBSTITUTE(SUBSTITUTE(SUBSTITUTE(LOWER(Registro!$F573)," ",""),CHAR(10),"|"),";","|"),"+","|"),"|",REPT(" ",LEN(Registro!$F573))),({1,2,3,4,5,6,7,8,9,10,11,12,13,14,15,16,17,18,19,20,21,22,23,24,25,26,27,28,29,30}-1)*LEN(Registro!$F573)+1,LEN(Registro!$F573))),FIND("x",TRIM(MID(SUBSTITUTE(SUBSTITUTE(SUBSTITUTE(SUBSTITUTE(SUBSTITUTE(LOWER(Registro!$F573)," ",""),CHAR(10),"|"),";","|"),"+","|"),"|",REPT(" ",LEN(Registro!$F573))),({1,2,3,4,5,6,7,8,9,10,11,12,13,14,15,16,17,18,19,20,21,22,23,24,25,26,27,28,29,30}-1)*LEN(Registro!$F573)+1,LEN(Registro!$F573)))&amp;"x")-1))),"Revisar formato")))</f>
        <v/>
      </c>
      <c r="G573" s="24" t="str">
        <f>IF(Registro!$F573="","",IF(ISERROR(FIND("x",LOWER(Registro!$F573))),N(Registro!$G573),IFERROR(SUMPRODUCT(--("0"&amp;LEFT(TRIM(MID(SUBSTITUTE(SUBSTITUTE(SUBSTITUTE(SUBSTITUTE(SUBSTITUTE(LOWER(Registro!$F573)," ",""),CHAR(10),"|"),";","|"),"+","|"),"|",REPT(" ",LEN(Registro!$F573))),({1,2,3,4,5,6,7,8,9,10,11,12,13,14,15,16,17,18,19,20,21,22,23,24,25,26,27,28,29,30}-1)*LEN(Registro!$F573)+1,LEN(Registro!$F573))),FIND("x",TRIM(MID(SUBSTITUTE(SUBSTITUTE(SUBSTITUTE(SUBSTITUTE(SUBSTITUTE(LOWER(Registro!$F573)," ",""),CHAR(10),"|"),";","|"),"+","|"),"|",REPT(" ",LEN(Registro!$F573))),({1,2,3,4,5,6,7,8,9,10,11,12,13,14,15,16,17,18,19,20,21,22,23,24,25,26,27,28,29,30}-1)*LEN(Registro!$F573)+1,LEN(Registro!$F573)))&amp;"x")-1)),--("0"&amp;MID(TRIM(MID(SUBSTITUTE(SUBSTITUTE(SUBSTITUTE(SUBSTITUTE(SUBSTITUTE(LOWER(Registro!$F573)," ",""),CHAR(10),"|"),";","|"),"+","|"),"|",REPT(" ",LEN(Registro!$F573))),({1,2,3,4,5,6,7,8,9,10,11,12,13,14,15,16,17,18,19,20,21,22,23,24,25,26,27,28,29,30}-1)*LEN(Registro!$F573)+1,LEN(Registro!$F573))),FIND("x",TRIM(MID(SUBSTITUTE(SUBSTITUTE(SUBSTITUTE(SUBSTITUTE(SUBSTITUTE(LOWER(Registro!$F573)," ",""),CHAR(10),"|"),";","|"),"+","|"),"|",REPT(" ",LEN(Registro!$F573))),({1,2,3,4,5,6,7,8,9,10,11,12,13,14,15,16,17,18,19,20,21,22,23,24,25,26,27,28,29,30}-1)*LEN(Registro!$F573)+1,LEN(Registro!$F573)))&amp;"x")+1,20))),"Revisar formato")))</f>
        <v/>
      </c>
      <c r="H573" s="21" t="str">
        <f>IF(AND(Registro!$E573="",Registro!$F573=""),"",IF(NOT(AND(ISNUMBER(G573),ISNUMBER(Registro!$G573))),"",IF(G573&lt;Registro!$G573,"FALTA BOLETOS",IF(G573=Registro!$G573,"CONFORME","DIFERENCIA"))))</f>
        <v/>
      </c>
      <c r="I573" s="24" t="str">
        <f>IF(Registro!$H573="","",IFERROR(SUMPRODUCT(--("0"&amp;TRIM(RIGHT(SUBSTITUTE(TRIM(MID(SUBSTITUTE(SUBSTITUTE(Registro!$H573,";",CHAR(10)),CHAR(10),REPT(" ",LEN(Registro!$H573))),({1,2,3,4,5,6,7,8,9,10,11,12,13,14,15,16,17,18,19,20,21,22,23,24,25,26,27,28,29,30}-1)*LEN(Registro!$H573)+1,LEN(Registro!$H573)))," ",REPT(" ",50)),50)))),"Revisar formato"))</f>
        <v/>
      </c>
      <c r="J573" s="24" t="str">
        <f>IF(Registro!$I573="","",IFERROR(SUMPRODUCT(--("0"&amp;TRIM(RIGHT(SUBSTITUTE(TRIM(MID(SUBSTITUTE(SUBSTITUTE(Registro!$I573,";",CHAR(10)),CHAR(10),REPT(" ",LEN(Registro!$I573))),({1,2,3,4,5,6,7,8,9,10,11,12,13,14,15,16,17,18,19,20,21,22,23,24,25,26,27,28,29,30}-1)*LEN(Registro!$I573)+1,LEN(Registro!$I573)))," ",REPT(" ",50)),50)))),"Revisar formato"))</f>
        <v/>
      </c>
      <c r="K573" s="24" t="str">
        <f>IF(AND(Registro!$G573="",Registro!$H573=""),"",IF(AND(ISTEXT(I573),I573&lt;&gt;""),"Revisar formato",N(Registro!$G573)-N(I573)))</f>
        <v/>
      </c>
      <c r="L573" s="24" t="str">
        <f t="shared" si="17"/>
        <v/>
      </c>
      <c r="M573" s="36" t="str">
        <f>IF(AND(A573=Consulta!$B$3,C573=Consulta!$H$3),B573*10000+ROW(),"")</f>
        <v/>
      </c>
    </row>
    <row r="574" spans="1:13" x14ac:dyDescent="0.25">
      <c r="A574" s="21" t="str">
        <f>IF(Registro!$A574="","",Registro!$A574)</f>
        <v/>
      </c>
      <c r="B574" s="20" t="str">
        <f>IF(Registro!$B574="","",Registro!$B574)</f>
        <v/>
      </c>
      <c r="C574" s="35" t="str">
        <f t="shared" si="16"/>
        <v/>
      </c>
      <c r="D574" s="23" t="str">
        <f>IF(Registro!$E574="","",IF(ISERROR(FIND("x",LOWER(Registro!$E574))),"-",IFERROR(SUMPRODUCT(--("0"&amp;LEFT(TRIM(MID(SUBSTITUTE(SUBSTITUTE(SUBSTITUTE(SUBSTITUTE(SUBSTITUTE(LOWER(Registro!$E574),"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",LEN(Registro!$E574))),({1,2,3,4,5,6,7,8,9,10,11,12,13,14,15,16,17,18,19,20,21,22,23,24,25,26,27,28,29,30}-1)*LEN(Registro!$E574)+1,LEN(Registro!$E574))),FIND("x",TRIM(MID(SUBSTITUTE(SUBSTITUTE(SUBSTITUTE(SUBSTITUTE(SUBSTITUTE(LOWER(Registro!$E574),"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",LEN(Registro!$E574))),({1,2,3,4,5,6,7,8,9,10,11,12,13,14,15,16,17,18,19,20,21,22,23,24,25,26,27,28,29,30}-1)*LEN(Registro!$E574)+1,LEN(Registro!$E574)))&amp;"x")-1))),"Revisar formato")))</f>
        <v/>
      </c>
      <c r="E574" s="24" t="str">
        <f>IF(Registro!$E574="","",IF(ISERROR(FIND("x",LOWER(Registro!$E574))),"-",IFERROR(SUMPRODUCT(--("0"&amp;LEFT(TRIM(MID(SUBSTITUTE(SUBSTITUTE(SUBSTITUTE(SUBSTITUTE(SUBSTITUTE(LOWER(Registro!$E574),"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",LEN(Registro!$E574))),({1,2,3,4,5,6,7,8,9,10,11,12,13,14,15,16,17,18,19,20,21,22,23,24,25,26,27,28,29,30}-1)*LEN(Registro!$E574)+1,LEN(Registro!$E574))),FIND("x",TRIM(MID(SUBSTITUTE(SUBSTITUTE(SUBSTITUTE(SUBSTITUTE(SUBSTITUTE(LOWER(Registro!$E574),"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",LEN(Registro!$E574))),({1,2,3,4,5,6,7,8,9,10,11,12,13,14,15,16,17,18,19,20,21,22,23,24,25,26,27,28,29,30}-1)*LEN(Registro!$E574)+1,LEN(Registro!$E574)))&amp;"x")-1)),--("0"&amp;MID(TRIM(MID(SUBSTITUTE(SUBSTITUTE(SUBSTITUTE(SUBSTITUTE(SUBSTITUTE(LOWER(Registro!$E574),"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",LEN(Registro!$E574))),({1,2,3,4,5,6,7,8,9,10,11,12,13,14,15,16,17,18,19,20,21,22,23,24,25,26,27,28,29,30}-1)*LEN(Registro!$E574)+1,LEN(Registro!$E574))),FIND("x",TRIM(MID(SUBSTITUTE(SUBSTITUTE(SUBSTITUTE(SUBSTITUTE(SUBSTITUTE(LOWER(Registro!$E574),"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",LEN(Registro!$E574))),({1,2,3,4,5,6,7,8,9,10,11,12,13,14,15,16,17,18,19,20,21,22,23,24,25,26,27,28,29,30}-1)*LEN(Registro!$E574)+1,LEN(Registro!$E574)))&amp;"x")+1,20))),"Revisar formato")))</f>
        <v/>
      </c>
      <c r="F574" s="23" t="str">
        <f>IF(Registro!$F574="","",IF(ISERROR(FIND("x",LOWER(Registro!$F574))),"-",IFERROR(SUMPRODUCT(--("0"&amp;LEFT(TRIM(MID(SUBSTITUTE(SUBSTITUTE(SUBSTITUTE(SUBSTITUTE(SUBSTITUTE(LOWER(Registro!$F574)," ",""),CHAR(10),"|"),";","|"),"+","|"),"|",REPT(" ",LEN(Registro!$F574))),({1,2,3,4,5,6,7,8,9,10,11,12,13,14,15,16,17,18,19,20,21,22,23,24,25,26,27,28,29,30}-1)*LEN(Registro!$F574)+1,LEN(Registro!$F574))),FIND("x",TRIM(MID(SUBSTITUTE(SUBSTITUTE(SUBSTITUTE(SUBSTITUTE(SUBSTITUTE(LOWER(Registro!$F574)," ",""),CHAR(10),"|"),";","|"),"+","|"),"|",REPT(" ",LEN(Registro!$F574))),({1,2,3,4,5,6,7,8,9,10,11,12,13,14,15,16,17,18,19,20,21,22,23,24,25,26,27,28,29,30}-1)*LEN(Registro!$F574)+1,LEN(Registro!$F574)))&amp;"x")-1))),"Revisar formato")))</f>
        <v/>
      </c>
      <c r="G574" s="24" t="str">
        <f>IF(Registro!$F574="","",IF(ISERROR(FIND("x",LOWER(Registro!$F574))),N(Registro!$G574),IFERROR(SUMPRODUCT(--("0"&amp;LEFT(TRIM(MID(SUBSTITUTE(SUBSTITUTE(SUBSTITUTE(SUBSTITUTE(SUBSTITUTE(LOWER(Registro!$F574)," ",""),CHAR(10),"|"),";","|"),"+","|"),"|",REPT(" ",LEN(Registro!$F574))),({1,2,3,4,5,6,7,8,9,10,11,12,13,14,15,16,17,18,19,20,21,22,23,24,25,26,27,28,29,30}-1)*LEN(Registro!$F574)+1,LEN(Registro!$F574))),FIND("x",TRIM(MID(SUBSTITUTE(SUBSTITUTE(SUBSTITUTE(SUBSTITUTE(SUBSTITUTE(LOWER(Registro!$F574)," ",""),CHAR(10),"|"),";","|"),"+","|"),"|",REPT(" ",LEN(Registro!$F574))),({1,2,3,4,5,6,7,8,9,10,11,12,13,14,15,16,17,18,19,20,21,22,23,24,25,26,27,28,29,30}-1)*LEN(Registro!$F574)+1,LEN(Registro!$F574)))&amp;"x")-1)),--("0"&amp;MID(TRIM(MID(SUBSTITUTE(SUBSTITUTE(SUBSTITUTE(SUBSTITUTE(SUBSTITUTE(LOWER(Registro!$F574)," ",""),CHAR(10),"|"),";","|"),"+","|"),"|",REPT(" ",LEN(Registro!$F574))),({1,2,3,4,5,6,7,8,9,10,11,12,13,14,15,16,17,18,19,20,21,22,23,24,25,26,27,28,29,30}-1)*LEN(Registro!$F574)+1,LEN(Registro!$F574))),FIND("x",TRIM(MID(SUBSTITUTE(SUBSTITUTE(SUBSTITUTE(SUBSTITUTE(SUBSTITUTE(LOWER(Registro!$F574)," ",""),CHAR(10),"|"),";","|"),"+","|"),"|",REPT(" ",LEN(Registro!$F574))),({1,2,3,4,5,6,7,8,9,10,11,12,13,14,15,16,17,18,19,20,21,22,23,24,25,26,27,28,29,30}-1)*LEN(Registro!$F574)+1,LEN(Registro!$F574)))&amp;"x")+1,20))),"Revisar formato")))</f>
        <v/>
      </c>
      <c r="H574" s="21" t="str">
        <f>IF(AND(Registro!$E574="",Registro!$F574=""),"",IF(NOT(AND(ISNUMBER(G574),ISNUMBER(Registro!$G574))),"",IF(G574&lt;Registro!$G574,"FALTA BOLETOS",IF(G574=Registro!$G574,"CONFORME","DIFERENCIA"))))</f>
        <v/>
      </c>
      <c r="I574" s="24" t="str">
        <f>IF(Registro!$H574="","",IFERROR(SUMPRODUCT(--("0"&amp;TRIM(RIGHT(SUBSTITUTE(TRIM(MID(SUBSTITUTE(SUBSTITUTE(Registro!$H574,";",CHAR(10)),CHAR(10),REPT(" ",LEN(Registro!$H574))),({1,2,3,4,5,6,7,8,9,10,11,12,13,14,15,16,17,18,19,20,21,22,23,24,25,26,27,28,29,30}-1)*LEN(Registro!$H574)+1,LEN(Registro!$H574)))," ",REPT(" ",50)),50)))),"Revisar formato"))</f>
        <v/>
      </c>
      <c r="J574" s="24" t="str">
        <f>IF(Registro!$I574="","",IFERROR(SUMPRODUCT(--("0"&amp;TRIM(RIGHT(SUBSTITUTE(TRIM(MID(SUBSTITUTE(SUBSTITUTE(Registro!$I574,";",CHAR(10)),CHAR(10),REPT(" ",LEN(Registro!$I574))),({1,2,3,4,5,6,7,8,9,10,11,12,13,14,15,16,17,18,19,20,21,22,23,24,25,26,27,28,29,30}-1)*LEN(Registro!$I574)+1,LEN(Registro!$I574)))," ",REPT(" ",50)),50)))),"Revisar formato"))</f>
        <v/>
      </c>
      <c r="K574" s="24" t="str">
        <f>IF(AND(Registro!$G574="",Registro!$H574=""),"",IF(AND(ISTEXT(I574),I574&lt;&gt;""),"Revisar formato",N(Registro!$G574)-N(I574)))</f>
        <v/>
      </c>
      <c r="L574" s="24" t="str">
        <f t="shared" si="17"/>
        <v/>
      </c>
      <c r="M574" s="36" t="str">
        <f>IF(AND(A574=Consulta!$B$3,C574=Consulta!$H$3),B574*10000+ROW(),"")</f>
        <v/>
      </c>
    </row>
    <row r="575" spans="1:13" x14ac:dyDescent="0.25">
      <c r="A575" s="21" t="str">
        <f>IF(Registro!$A575="","",Registro!$A575)</f>
        <v/>
      </c>
      <c r="B575" s="20" t="str">
        <f>IF(Registro!$B575="","",Registro!$B575)</f>
        <v/>
      </c>
      <c r="C575" s="35" t="str">
        <f t="shared" si="16"/>
        <v/>
      </c>
      <c r="D575" s="23" t="str">
        <f>IF(Registro!$E575="","",IF(ISERROR(FIND("x",LOWER(Registro!$E575))),"-",IFERROR(SUMPRODUCT(--("0"&amp;LEFT(TRIM(MID(SUBSTITUTE(SUBSTITUTE(SUBSTITUTE(SUBSTITUTE(SUBSTITUTE(LOWER(Registro!$E575),"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",LEN(Registro!$E575))),({1,2,3,4,5,6,7,8,9,10,11,12,13,14,15,16,17,18,19,20,21,22,23,24,25,26,27,28,29,30}-1)*LEN(Registro!$E575)+1,LEN(Registro!$E575))),FIND("x",TRIM(MID(SUBSTITUTE(SUBSTITUTE(SUBSTITUTE(SUBSTITUTE(SUBSTITUTE(LOWER(Registro!$E575),"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",LEN(Registro!$E575))),({1,2,3,4,5,6,7,8,9,10,11,12,13,14,15,16,17,18,19,20,21,22,23,24,25,26,27,28,29,30}-1)*LEN(Registro!$E575)+1,LEN(Registro!$E575)))&amp;"x")-1))),"Revisar formato")))</f>
        <v/>
      </c>
      <c r="E575" s="24" t="str">
        <f>IF(Registro!$E575="","",IF(ISERROR(FIND("x",LOWER(Registro!$E575))),"-",IFERROR(SUMPRODUCT(--("0"&amp;LEFT(TRIM(MID(SUBSTITUTE(SUBSTITUTE(SUBSTITUTE(SUBSTITUTE(SUBSTITUTE(LOWER(Registro!$E575),"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",LEN(Registro!$E575))),({1,2,3,4,5,6,7,8,9,10,11,12,13,14,15,16,17,18,19,20,21,22,23,24,25,26,27,28,29,30}-1)*LEN(Registro!$E575)+1,LEN(Registro!$E575))),FIND("x",TRIM(MID(SUBSTITUTE(SUBSTITUTE(SUBSTITUTE(SUBSTITUTE(SUBSTITUTE(LOWER(Registro!$E575),"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",LEN(Registro!$E575))),({1,2,3,4,5,6,7,8,9,10,11,12,13,14,15,16,17,18,19,20,21,22,23,24,25,26,27,28,29,30}-1)*LEN(Registro!$E575)+1,LEN(Registro!$E575)))&amp;"x")-1)),--("0"&amp;MID(TRIM(MID(SUBSTITUTE(SUBSTITUTE(SUBSTITUTE(SUBSTITUTE(SUBSTITUTE(LOWER(Registro!$E575),"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",LEN(Registro!$E575))),({1,2,3,4,5,6,7,8,9,10,11,12,13,14,15,16,17,18,19,20,21,22,23,24,25,26,27,28,29,30}-1)*LEN(Registro!$E575)+1,LEN(Registro!$E575))),FIND("x",TRIM(MID(SUBSTITUTE(SUBSTITUTE(SUBSTITUTE(SUBSTITUTE(SUBSTITUTE(LOWER(Registro!$E575),"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",LEN(Registro!$E575))),({1,2,3,4,5,6,7,8,9,10,11,12,13,14,15,16,17,18,19,20,21,22,23,24,25,26,27,28,29,30}-1)*LEN(Registro!$E575)+1,LEN(Registro!$E575)))&amp;"x")+1,20))),"Revisar formato")))</f>
        <v/>
      </c>
      <c r="F575" s="23" t="str">
        <f>IF(Registro!$F575="","",IF(ISERROR(FIND("x",LOWER(Registro!$F575))),"-",IFERROR(SUMPRODUCT(--("0"&amp;LEFT(TRIM(MID(SUBSTITUTE(SUBSTITUTE(SUBSTITUTE(SUBSTITUTE(SUBSTITUTE(LOWER(Registro!$F575)," ",""),CHAR(10),"|"),";","|"),"+","|"),"|",REPT(" ",LEN(Registro!$F575))),({1,2,3,4,5,6,7,8,9,10,11,12,13,14,15,16,17,18,19,20,21,22,23,24,25,26,27,28,29,30}-1)*LEN(Registro!$F575)+1,LEN(Registro!$F575))),FIND("x",TRIM(MID(SUBSTITUTE(SUBSTITUTE(SUBSTITUTE(SUBSTITUTE(SUBSTITUTE(LOWER(Registro!$F575)," ",""),CHAR(10),"|"),";","|"),"+","|"),"|",REPT(" ",LEN(Registro!$F575))),({1,2,3,4,5,6,7,8,9,10,11,12,13,14,15,16,17,18,19,20,21,22,23,24,25,26,27,28,29,30}-1)*LEN(Registro!$F575)+1,LEN(Registro!$F575)))&amp;"x")-1))),"Revisar formato")))</f>
        <v/>
      </c>
      <c r="G575" s="24" t="str">
        <f>IF(Registro!$F575="","",IF(ISERROR(FIND("x",LOWER(Registro!$F575))),N(Registro!$G575),IFERROR(SUMPRODUCT(--("0"&amp;LEFT(TRIM(MID(SUBSTITUTE(SUBSTITUTE(SUBSTITUTE(SUBSTITUTE(SUBSTITUTE(LOWER(Registro!$F575)," ",""),CHAR(10),"|"),";","|"),"+","|"),"|",REPT(" ",LEN(Registro!$F575))),({1,2,3,4,5,6,7,8,9,10,11,12,13,14,15,16,17,18,19,20,21,22,23,24,25,26,27,28,29,30}-1)*LEN(Registro!$F575)+1,LEN(Registro!$F575))),FIND("x",TRIM(MID(SUBSTITUTE(SUBSTITUTE(SUBSTITUTE(SUBSTITUTE(SUBSTITUTE(LOWER(Registro!$F575)," ",""),CHAR(10),"|"),";","|"),"+","|"),"|",REPT(" ",LEN(Registro!$F575))),({1,2,3,4,5,6,7,8,9,10,11,12,13,14,15,16,17,18,19,20,21,22,23,24,25,26,27,28,29,30}-1)*LEN(Registro!$F575)+1,LEN(Registro!$F575)))&amp;"x")-1)),--("0"&amp;MID(TRIM(MID(SUBSTITUTE(SUBSTITUTE(SUBSTITUTE(SUBSTITUTE(SUBSTITUTE(LOWER(Registro!$F575)," ",""),CHAR(10),"|"),";","|"),"+","|"),"|",REPT(" ",LEN(Registro!$F575))),({1,2,3,4,5,6,7,8,9,10,11,12,13,14,15,16,17,18,19,20,21,22,23,24,25,26,27,28,29,30}-1)*LEN(Registro!$F575)+1,LEN(Registro!$F575))),FIND("x",TRIM(MID(SUBSTITUTE(SUBSTITUTE(SUBSTITUTE(SUBSTITUTE(SUBSTITUTE(LOWER(Registro!$F575)," ",""),CHAR(10),"|"),";","|"),"+","|"),"|",REPT(" ",LEN(Registro!$F575))),({1,2,3,4,5,6,7,8,9,10,11,12,13,14,15,16,17,18,19,20,21,22,23,24,25,26,27,28,29,30}-1)*LEN(Registro!$F575)+1,LEN(Registro!$F575)))&amp;"x")+1,20))),"Revisar formato")))</f>
        <v/>
      </c>
      <c r="H575" s="21" t="str">
        <f>IF(AND(Registro!$E575="",Registro!$F575=""),"",IF(NOT(AND(ISNUMBER(G575),ISNUMBER(Registro!$G575))),"",IF(G575&lt;Registro!$G575,"FALTA BOLETOS",IF(G575=Registro!$G575,"CONFORME","DIFERENCIA"))))</f>
        <v/>
      </c>
      <c r="I575" s="24" t="str">
        <f>IF(Registro!$H575="","",IFERROR(SUMPRODUCT(--("0"&amp;TRIM(RIGHT(SUBSTITUTE(TRIM(MID(SUBSTITUTE(SUBSTITUTE(Registro!$H575,";",CHAR(10)),CHAR(10),REPT(" ",LEN(Registro!$H575))),({1,2,3,4,5,6,7,8,9,10,11,12,13,14,15,16,17,18,19,20,21,22,23,24,25,26,27,28,29,30}-1)*LEN(Registro!$H575)+1,LEN(Registro!$H575)))," ",REPT(" ",50)),50)))),"Revisar formato"))</f>
        <v/>
      </c>
      <c r="J575" s="24" t="str">
        <f>IF(Registro!$I575="","",IFERROR(SUMPRODUCT(--("0"&amp;TRIM(RIGHT(SUBSTITUTE(TRIM(MID(SUBSTITUTE(SUBSTITUTE(Registro!$I575,";",CHAR(10)),CHAR(10),REPT(" ",LEN(Registro!$I575))),({1,2,3,4,5,6,7,8,9,10,11,12,13,14,15,16,17,18,19,20,21,22,23,24,25,26,27,28,29,30}-1)*LEN(Registro!$I575)+1,LEN(Registro!$I575)))," ",REPT(" ",50)),50)))),"Revisar formato"))</f>
        <v/>
      </c>
      <c r="K575" s="24" t="str">
        <f>IF(AND(Registro!$G575="",Registro!$H575=""),"",IF(AND(ISTEXT(I575),I575&lt;&gt;""),"Revisar formato",N(Registro!$G575)-N(I575)))</f>
        <v/>
      </c>
      <c r="L575" s="24" t="str">
        <f t="shared" si="17"/>
        <v/>
      </c>
      <c r="M575" s="36" t="str">
        <f>IF(AND(A575=Consulta!$B$3,C575=Consulta!$H$3),B575*10000+ROW(),"")</f>
        <v/>
      </c>
    </row>
    <row r="576" spans="1:13" x14ac:dyDescent="0.25">
      <c r="A576" s="21" t="str">
        <f>IF(Registro!$A576="","",Registro!$A576)</f>
        <v/>
      </c>
      <c r="B576" s="20" t="str">
        <f>IF(Registro!$B576="","",Registro!$B576)</f>
        <v/>
      </c>
      <c r="C576" s="35" t="str">
        <f t="shared" si="16"/>
        <v/>
      </c>
      <c r="D576" s="23" t="str">
        <f>IF(Registro!$E576="","",IF(ISERROR(FIND("x",LOWER(Registro!$E576))),"-",IFERROR(SUMPRODUCT(--("0"&amp;LEFT(TRIM(MID(SUBSTITUTE(SUBSTITUTE(SUBSTITUTE(SUBSTITUTE(SUBSTITUTE(LOWER(Registro!$E576),"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",LEN(Registro!$E576))),({1,2,3,4,5,6,7,8,9,10,11,12,13,14,15,16,17,18,19,20,21,22,23,24,25,26,27,28,29,30}-1)*LEN(Registro!$E576)+1,LEN(Registro!$E576))),FIND("x",TRIM(MID(SUBSTITUTE(SUBSTITUTE(SUBSTITUTE(SUBSTITUTE(SUBSTITUTE(LOWER(Registro!$E576),"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",LEN(Registro!$E576))),({1,2,3,4,5,6,7,8,9,10,11,12,13,14,15,16,17,18,19,20,21,22,23,24,25,26,27,28,29,30}-1)*LEN(Registro!$E576)+1,LEN(Registro!$E576)))&amp;"x")-1))),"Revisar formato")))</f>
        <v/>
      </c>
      <c r="E576" s="24" t="str">
        <f>IF(Registro!$E576="","",IF(ISERROR(FIND("x",LOWER(Registro!$E576))),"-",IFERROR(SUMPRODUCT(--("0"&amp;LEFT(TRIM(MID(SUBSTITUTE(SUBSTITUTE(SUBSTITUTE(SUBSTITUTE(SUBSTITUTE(LOWER(Registro!$E576),"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",LEN(Registro!$E576))),({1,2,3,4,5,6,7,8,9,10,11,12,13,14,15,16,17,18,19,20,21,22,23,24,25,26,27,28,29,30}-1)*LEN(Registro!$E576)+1,LEN(Registro!$E576))),FIND("x",TRIM(MID(SUBSTITUTE(SUBSTITUTE(SUBSTITUTE(SUBSTITUTE(SUBSTITUTE(LOWER(Registro!$E576),"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",LEN(Registro!$E576))),({1,2,3,4,5,6,7,8,9,10,11,12,13,14,15,16,17,18,19,20,21,22,23,24,25,26,27,28,29,30}-1)*LEN(Registro!$E576)+1,LEN(Registro!$E576)))&amp;"x")-1)),--("0"&amp;MID(TRIM(MID(SUBSTITUTE(SUBSTITUTE(SUBSTITUTE(SUBSTITUTE(SUBSTITUTE(LOWER(Registro!$E576),"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",LEN(Registro!$E576))),({1,2,3,4,5,6,7,8,9,10,11,12,13,14,15,16,17,18,19,20,21,22,23,24,25,26,27,28,29,30}-1)*LEN(Registro!$E576)+1,LEN(Registro!$E576))),FIND("x",TRIM(MID(SUBSTITUTE(SUBSTITUTE(SUBSTITUTE(SUBSTITUTE(SUBSTITUTE(LOWER(Registro!$E576),"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",LEN(Registro!$E576))),({1,2,3,4,5,6,7,8,9,10,11,12,13,14,15,16,17,18,19,20,21,22,23,24,25,26,27,28,29,30}-1)*LEN(Registro!$E576)+1,LEN(Registro!$E576)))&amp;"x")+1,20))),"Revisar formato")))</f>
        <v/>
      </c>
      <c r="F576" s="23" t="str">
        <f>IF(Registro!$F576="","",IF(ISERROR(FIND("x",LOWER(Registro!$F576))),"-",IFERROR(SUMPRODUCT(--("0"&amp;LEFT(TRIM(MID(SUBSTITUTE(SUBSTITUTE(SUBSTITUTE(SUBSTITUTE(SUBSTITUTE(LOWER(Registro!$F576)," ",""),CHAR(10),"|"),";","|"),"+","|"),"|",REPT(" ",LEN(Registro!$F576))),({1,2,3,4,5,6,7,8,9,10,11,12,13,14,15,16,17,18,19,20,21,22,23,24,25,26,27,28,29,30}-1)*LEN(Registro!$F576)+1,LEN(Registro!$F576))),FIND("x",TRIM(MID(SUBSTITUTE(SUBSTITUTE(SUBSTITUTE(SUBSTITUTE(SUBSTITUTE(LOWER(Registro!$F576)," ",""),CHAR(10),"|"),";","|"),"+","|"),"|",REPT(" ",LEN(Registro!$F576))),({1,2,3,4,5,6,7,8,9,10,11,12,13,14,15,16,17,18,19,20,21,22,23,24,25,26,27,28,29,30}-1)*LEN(Registro!$F576)+1,LEN(Registro!$F576)))&amp;"x")-1))),"Revisar formato")))</f>
        <v/>
      </c>
      <c r="G576" s="24" t="str">
        <f>IF(Registro!$F576="","",IF(ISERROR(FIND("x",LOWER(Registro!$F576))),N(Registro!$G576),IFERROR(SUMPRODUCT(--("0"&amp;LEFT(TRIM(MID(SUBSTITUTE(SUBSTITUTE(SUBSTITUTE(SUBSTITUTE(SUBSTITUTE(LOWER(Registro!$F576)," ",""),CHAR(10),"|"),";","|"),"+","|"),"|",REPT(" ",LEN(Registro!$F576))),({1,2,3,4,5,6,7,8,9,10,11,12,13,14,15,16,17,18,19,20,21,22,23,24,25,26,27,28,29,30}-1)*LEN(Registro!$F576)+1,LEN(Registro!$F576))),FIND("x",TRIM(MID(SUBSTITUTE(SUBSTITUTE(SUBSTITUTE(SUBSTITUTE(SUBSTITUTE(LOWER(Registro!$F576)," ",""),CHAR(10),"|"),";","|"),"+","|"),"|",REPT(" ",LEN(Registro!$F576))),({1,2,3,4,5,6,7,8,9,10,11,12,13,14,15,16,17,18,19,20,21,22,23,24,25,26,27,28,29,30}-1)*LEN(Registro!$F576)+1,LEN(Registro!$F576)))&amp;"x")-1)),--("0"&amp;MID(TRIM(MID(SUBSTITUTE(SUBSTITUTE(SUBSTITUTE(SUBSTITUTE(SUBSTITUTE(LOWER(Registro!$F576)," ",""),CHAR(10),"|"),";","|"),"+","|"),"|",REPT(" ",LEN(Registro!$F576))),({1,2,3,4,5,6,7,8,9,10,11,12,13,14,15,16,17,18,19,20,21,22,23,24,25,26,27,28,29,30}-1)*LEN(Registro!$F576)+1,LEN(Registro!$F576))),FIND("x",TRIM(MID(SUBSTITUTE(SUBSTITUTE(SUBSTITUTE(SUBSTITUTE(SUBSTITUTE(LOWER(Registro!$F576)," ",""),CHAR(10),"|"),";","|"),"+","|"),"|",REPT(" ",LEN(Registro!$F576))),({1,2,3,4,5,6,7,8,9,10,11,12,13,14,15,16,17,18,19,20,21,22,23,24,25,26,27,28,29,30}-1)*LEN(Registro!$F576)+1,LEN(Registro!$F576)))&amp;"x")+1,20))),"Revisar formato")))</f>
        <v/>
      </c>
      <c r="H576" s="21" t="str">
        <f>IF(AND(Registro!$E576="",Registro!$F576=""),"",IF(NOT(AND(ISNUMBER(G576),ISNUMBER(Registro!$G576))),"",IF(G576&lt;Registro!$G576,"FALTA BOLETOS",IF(G576=Registro!$G576,"CONFORME","DIFERENCIA"))))</f>
        <v/>
      </c>
      <c r="I576" s="24" t="str">
        <f>IF(Registro!$H576="","",IFERROR(SUMPRODUCT(--("0"&amp;TRIM(RIGHT(SUBSTITUTE(TRIM(MID(SUBSTITUTE(SUBSTITUTE(Registro!$H576,";",CHAR(10)),CHAR(10),REPT(" ",LEN(Registro!$H576))),({1,2,3,4,5,6,7,8,9,10,11,12,13,14,15,16,17,18,19,20,21,22,23,24,25,26,27,28,29,30}-1)*LEN(Registro!$H576)+1,LEN(Registro!$H576)))," ",REPT(" ",50)),50)))),"Revisar formato"))</f>
        <v/>
      </c>
      <c r="J576" s="24" t="str">
        <f>IF(Registro!$I576="","",IFERROR(SUMPRODUCT(--("0"&amp;TRIM(RIGHT(SUBSTITUTE(TRIM(MID(SUBSTITUTE(SUBSTITUTE(Registro!$I576,";",CHAR(10)),CHAR(10),REPT(" ",LEN(Registro!$I576))),({1,2,3,4,5,6,7,8,9,10,11,12,13,14,15,16,17,18,19,20,21,22,23,24,25,26,27,28,29,30}-1)*LEN(Registro!$I576)+1,LEN(Registro!$I576)))," ",REPT(" ",50)),50)))),"Revisar formato"))</f>
        <v/>
      </c>
      <c r="K576" s="24" t="str">
        <f>IF(AND(Registro!$G576="",Registro!$H576=""),"",IF(AND(ISTEXT(I576),I576&lt;&gt;""),"Revisar formato",N(Registro!$G576)-N(I576)))</f>
        <v/>
      </c>
      <c r="L576" s="24" t="str">
        <f t="shared" si="17"/>
        <v/>
      </c>
      <c r="M576" s="36" t="str">
        <f>IF(AND(A576=Consulta!$B$3,C576=Consulta!$H$3),B576*10000+ROW(),"")</f>
        <v/>
      </c>
    </row>
    <row r="577" spans="1:13" x14ac:dyDescent="0.25">
      <c r="A577" s="21" t="str">
        <f>IF(Registro!$A577="","",Registro!$A577)</f>
        <v/>
      </c>
      <c r="B577" s="20" t="str">
        <f>IF(Registro!$B577="","",Registro!$B577)</f>
        <v/>
      </c>
      <c r="C577" s="35" t="str">
        <f t="shared" si="16"/>
        <v/>
      </c>
      <c r="D577" s="23" t="str">
        <f>IF(Registro!$E577="","",IF(ISERROR(FIND("x",LOWER(Registro!$E577))),"-",IFERROR(SUMPRODUCT(--("0"&amp;LEFT(TRIM(MID(SUBSTITUTE(SUBSTITUTE(SUBSTITUTE(SUBSTITUTE(SUBSTITUTE(LOWER(Registro!$E577),"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",LEN(Registro!$E577))),({1,2,3,4,5,6,7,8,9,10,11,12,13,14,15,16,17,18,19,20,21,22,23,24,25,26,27,28,29,30}-1)*LEN(Registro!$E577)+1,LEN(Registro!$E577))),FIND("x",TRIM(MID(SUBSTITUTE(SUBSTITUTE(SUBSTITUTE(SUBSTITUTE(SUBSTITUTE(LOWER(Registro!$E577),"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",LEN(Registro!$E577))),({1,2,3,4,5,6,7,8,9,10,11,12,13,14,15,16,17,18,19,20,21,22,23,24,25,26,27,28,29,30}-1)*LEN(Registro!$E577)+1,LEN(Registro!$E577)))&amp;"x")-1))),"Revisar formato")))</f>
        <v/>
      </c>
      <c r="E577" s="24" t="str">
        <f>IF(Registro!$E577="","",IF(ISERROR(FIND("x",LOWER(Registro!$E577))),"-",IFERROR(SUMPRODUCT(--("0"&amp;LEFT(TRIM(MID(SUBSTITUTE(SUBSTITUTE(SUBSTITUTE(SUBSTITUTE(SUBSTITUTE(LOWER(Registro!$E577),"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",LEN(Registro!$E577))),({1,2,3,4,5,6,7,8,9,10,11,12,13,14,15,16,17,18,19,20,21,22,23,24,25,26,27,28,29,30}-1)*LEN(Registro!$E577)+1,LEN(Registro!$E577))),FIND("x",TRIM(MID(SUBSTITUTE(SUBSTITUTE(SUBSTITUTE(SUBSTITUTE(SUBSTITUTE(LOWER(Registro!$E577),"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",LEN(Registro!$E577))),({1,2,3,4,5,6,7,8,9,10,11,12,13,14,15,16,17,18,19,20,21,22,23,24,25,26,27,28,29,30}-1)*LEN(Registro!$E577)+1,LEN(Registro!$E577)))&amp;"x")-1)),--("0"&amp;MID(TRIM(MID(SUBSTITUTE(SUBSTITUTE(SUBSTITUTE(SUBSTITUTE(SUBSTITUTE(LOWER(Registro!$E577),"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",LEN(Registro!$E577))),({1,2,3,4,5,6,7,8,9,10,11,12,13,14,15,16,17,18,19,20,21,22,23,24,25,26,27,28,29,30}-1)*LEN(Registro!$E577)+1,LEN(Registro!$E577))),FIND("x",TRIM(MID(SUBSTITUTE(SUBSTITUTE(SUBSTITUTE(SUBSTITUTE(SUBSTITUTE(LOWER(Registro!$E577),"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",LEN(Registro!$E577))),({1,2,3,4,5,6,7,8,9,10,11,12,13,14,15,16,17,18,19,20,21,22,23,24,25,26,27,28,29,30}-1)*LEN(Registro!$E577)+1,LEN(Registro!$E577)))&amp;"x")+1,20))),"Revisar formato")))</f>
        <v/>
      </c>
      <c r="F577" s="23" t="str">
        <f>IF(Registro!$F577="","",IF(ISERROR(FIND("x",LOWER(Registro!$F577))),"-",IFERROR(SUMPRODUCT(--("0"&amp;LEFT(TRIM(MID(SUBSTITUTE(SUBSTITUTE(SUBSTITUTE(SUBSTITUTE(SUBSTITUTE(LOWER(Registro!$F577)," ",""),CHAR(10),"|"),";","|"),"+","|"),"|",REPT(" ",LEN(Registro!$F577))),({1,2,3,4,5,6,7,8,9,10,11,12,13,14,15,16,17,18,19,20,21,22,23,24,25,26,27,28,29,30}-1)*LEN(Registro!$F577)+1,LEN(Registro!$F577))),FIND("x",TRIM(MID(SUBSTITUTE(SUBSTITUTE(SUBSTITUTE(SUBSTITUTE(SUBSTITUTE(LOWER(Registro!$F577)," ",""),CHAR(10),"|"),";","|"),"+","|"),"|",REPT(" ",LEN(Registro!$F577))),({1,2,3,4,5,6,7,8,9,10,11,12,13,14,15,16,17,18,19,20,21,22,23,24,25,26,27,28,29,30}-1)*LEN(Registro!$F577)+1,LEN(Registro!$F577)))&amp;"x")-1))),"Revisar formato")))</f>
        <v/>
      </c>
      <c r="G577" s="24" t="str">
        <f>IF(Registro!$F577="","",IF(ISERROR(FIND("x",LOWER(Registro!$F577))),N(Registro!$G577),IFERROR(SUMPRODUCT(--("0"&amp;LEFT(TRIM(MID(SUBSTITUTE(SUBSTITUTE(SUBSTITUTE(SUBSTITUTE(SUBSTITUTE(LOWER(Registro!$F577)," ",""),CHAR(10),"|"),";","|"),"+","|"),"|",REPT(" ",LEN(Registro!$F577))),({1,2,3,4,5,6,7,8,9,10,11,12,13,14,15,16,17,18,19,20,21,22,23,24,25,26,27,28,29,30}-1)*LEN(Registro!$F577)+1,LEN(Registro!$F577))),FIND("x",TRIM(MID(SUBSTITUTE(SUBSTITUTE(SUBSTITUTE(SUBSTITUTE(SUBSTITUTE(LOWER(Registro!$F577)," ",""),CHAR(10),"|"),";","|"),"+","|"),"|",REPT(" ",LEN(Registro!$F577))),({1,2,3,4,5,6,7,8,9,10,11,12,13,14,15,16,17,18,19,20,21,22,23,24,25,26,27,28,29,30}-1)*LEN(Registro!$F577)+1,LEN(Registro!$F577)))&amp;"x")-1)),--("0"&amp;MID(TRIM(MID(SUBSTITUTE(SUBSTITUTE(SUBSTITUTE(SUBSTITUTE(SUBSTITUTE(LOWER(Registro!$F577)," ",""),CHAR(10),"|"),";","|"),"+","|"),"|",REPT(" ",LEN(Registro!$F577))),({1,2,3,4,5,6,7,8,9,10,11,12,13,14,15,16,17,18,19,20,21,22,23,24,25,26,27,28,29,30}-1)*LEN(Registro!$F577)+1,LEN(Registro!$F577))),FIND("x",TRIM(MID(SUBSTITUTE(SUBSTITUTE(SUBSTITUTE(SUBSTITUTE(SUBSTITUTE(LOWER(Registro!$F577)," ",""),CHAR(10),"|"),";","|"),"+","|"),"|",REPT(" ",LEN(Registro!$F577))),({1,2,3,4,5,6,7,8,9,10,11,12,13,14,15,16,17,18,19,20,21,22,23,24,25,26,27,28,29,30}-1)*LEN(Registro!$F577)+1,LEN(Registro!$F577)))&amp;"x")+1,20))),"Revisar formato")))</f>
        <v/>
      </c>
      <c r="H577" s="21" t="str">
        <f>IF(AND(Registro!$E577="",Registro!$F577=""),"",IF(NOT(AND(ISNUMBER(G577),ISNUMBER(Registro!$G577))),"",IF(G577&lt;Registro!$G577,"FALTA BOLETOS",IF(G577=Registro!$G577,"CONFORME","DIFERENCIA"))))</f>
        <v/>
      </c>
      <c r="I577" s="24" t="str">
        <f>IF(Registro!$H577="","",IFERROR(SUMPRODUCT(--("0"&amp;TRIM(RIGHT(SUBSTITUTE(TRIM(MID(SUBSTITUTE(SUBSTITUTE(Registro!$H577,";",CHAR(10)),CHAR(10),REPT(" ",LEN(Registro!$H577))),({1,2,3,4,5,6,7,8,9,10,11,12,13,14,15,16,17,18,19,20,21,22,23,24,25,26,27,28,29,30}-1)*LEN(Registro!$H577)+1,LEN(Registro!$H577)))," ",REPT(" ",50)),50)))),"Revisar formato"))</f>
        <v/>
      </c>
      <c r="J577" s="24" t="str">
        <f>IF(Registro!$I577="","",IFERROR(SUMPRODUCT(--("0"&amp;TRIM(RIGHT(SUBSTITUTE(TRIM(MID(SUBSTITUTE(SUBSTITUTE(Registro!$I577,";",CHAR(10)),CHAR(10),REPT(" ",LEN(Registro!$I577))),({1,2,3,4,5,6,7,8,9,10,11,12,13,14,15,16,17,18,19,20,21,22,23,24,25,26,27,28,29,30}-1)*LEN(Registro!$I577)+1,LEN(Registro!$I577)))," ",REPT(" ",50)),50)))),"Revisar formato"))</f>
        <v/>
      </c>
      <c r="K577" s="24" t="str">
        <f>IF(AND(Registro!$G577="",Registro!$H577=""),"",IF(AND(ISTEXT(I577),I577&lt;&gt;""),"Revisar formato",N(Registro!$G577)-N(I577)))</f>
        <v/>
      </c>
      <c r="L577" s="24" t="str">
        <f t="shared" si="17"/>
        <v/>
      </c>
      <c r="M577" s="36" t="str">
        <f>IF(AND(A577=Consulta!$B$3,C577=Consulta!$H$3),B577*10000+ROW(),"")</f>
        <v/>
      </c>
    </row>
    <row r="578" spans="1:13" x14ac:dyDescent="0.25">
      <c r="A578" s="21" t="str">
        <f>IF(Registro!$A578="","",Registro!$A578)</f>
        <v/>
      </c>
      <c r="B578" s="20" t="str">
        <f>IF(Registro!$B578="","",Registro!$B578)</f>
        <v/>
      </c>
      <c r="C578" s="35" t="str">
        <f t="shared" ref="C578:C641" si="18">IF(ISNUMBER(B578),YEAR(B578)*100+MONTH(B578),"")</f>
        <v/>
      </c>
      <c r="D578" s="23" t="str">
        <f>IF(Registro!$E578="","",IF(ISERROR(FIND("x",LOWER(Registro!$E578))),"-",IFERROR(SUMPRODUCT(--("0"&amp;LEFT(TRIM(MID(SUBSTITUTE(SUBSTITUTE(SUBSTITUTE(SUBSTITUTE(SUBSTITUTE(LOWER(Registro!$E578),"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",LEN(Registro!$E578))),({1,2,3,4,5,6,7,8,9,10,11,12,13,14,15,16,17,18,19,20,21,22,23,24,25,26,27,28,29,30}-1)*LEN(Registro!$E578)+1,LEN(Registro!$E578))),FIND("x",TRIM(MID(SUBSTITUTE(SUBSTITUTE(SUBSTITUTE(SUBSTITUTE(SUBSTITUTE(LOWER(Registro!$E578),"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",LEN(Registro!$E578))),({1,2,3,4,5,6,7,8,9,10,11,12,13,14,15,16,17,18,19,20,21,22,23,24,25,26,27,28,29,30}-1)*LEN(Registro!$E578)+1,LEN(Registro!$E578)))&amp;"x")-1))),"Revisar formato")))</f>
        <v/>
      </c>
      <c r="E578" s="24" t="str">
        <f>IF(Registro!$E578="","",IF(ISERROR(FIND("x",LOWER(Registro!$E578))),"-",IFERROR(SUMPRODUCT(--("0"&amp;LEFT(TRIM(MID(SUBSTITUTE(SUBSTITUTE(SUBSTITUTE(SUBSTITUTE(SUBSTITUTE(LOWER(Registro!$E578),"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",LEN(Registro!$E578))),({1,2,3,4,5,6,7,8,9,10,11,12,13,14,15,16,17,18,19,20,21,22,23,24,25,26,27,28,29,30}-1)*LEN(Registro!$E578)+1,LEN(Registro!$E578))),FIND("x",TRIM(MID(SUBSTITUTE(SUBSTITUTE(SUBSTITUTE(SUBSTITUTE(SUBSTITUTE(LOWER(Registro!$E578),"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",LEN(Registro!$E578))),({1,2,3,4,5,6,7,8,9,10,11,12,13,14,15,16,17,18,19,20,21,22,23,24,25,26,27,28,29,30}-1)*LEN(Registro!$E578)+1,LEN(Registro!$E578)))&amp;"x")-1)),--("0"&amp;MID(TRIM(MID(SUBSTITUTE(SUBSTITUTE(SUBSTITUTE(SUBSTITUTE(SUBSTITUTE(LOWER(Registro!$E578),"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",LEN(Registro!$E578))),({1,2,3,4,5,6,7,8,9,10,11,12,13,14,15,16,17,18,19,20,21,22,23,24,25,26,27,28,29,30}-1)*LEN(Registro!$E578)+1,LEN(Registro!$E578))),FIND("x",TRIM(MID(SUBSTITUTE(SUBSTITUTE(SUBSTITUTE(SUBSTITUTE(SUBSTITUTE(LOWER(Registro!$E578),"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",LEN(Registro!$E578))),({1,2,3,4,5,6,7,8,9,10,11,12,13,14,15,16,17,18,19,20,21,22,23,24,25,26,27,28,29,30}-1)*LEN(Registro!$E578)+1,LEN(Registro!$E578)))&amp;"x")+1,20))),"Revisar formato")))</f>
        <v/>
      </c>
      <c r="F578" s="23" t="str">
        <f>IF(Registro!$F578="","",IF(ISERROR(FIND("x",LOWER(Registro!$F578))),"-",IFERROR(SUMPRODUCT(--("0"&amp;LEFT(TRIM(MID(SUBSTITUTE(SUBSTITUTE(SUBSTITUTE(SUBSTITUTE(SUBSTITUTE(LOWER(Registro!$F578)," ",""),CHAR(10),"|"),";","|"),"+","|"),"|",REPT(" ",LEN(Registro!$F578))),({1,2,3,4,5,6,7,8,9,10,11,12,13,14,15,16,17,18,19,20,21,22,23,24,25,26,27,28,29,30}-1)*LEN(Registro!$F578)+1,LEN(Registro!$F578))),FIND("x",TRIM(MID(SUBSTITUTE(SUBSTITUTE(SUBSTITUTE(SUBSTITUTE(SUBSTITUTE(LOWER(Registro!$F578)," ",""),CHAR(10),"|"),";","|"),"+","|"),"|",REPT(" ",LEN(Registro!$F578))),({1,2,3,4,5,6,7,8,9,10,11,12,13,14,15,16,17,18,19,20,21,22,23,24,25,26,27,28,29,30}-1)*LEN(Registro!$F578)+1,LEN(Registro!$F578)))&amp;"x")-1))),"Revisar formato")))</f>
        <v/>
      </c>
      <c r="G578" s="24" t="str">
        <f>IF(Registro!$F578="","",IF(ISERROR(FIND("x",LOWER(Registro!$F578))),N(Registro!$G578),IFERROR(SUMPRODUCT(--("0"&amp;LEFT(TRIM(MID(SUBSTITUTE(SUBSTITUTE(SUBSTITUTE(SUBSTITUTE(SUBSTITUTE(LOWER(Registro!$F578)," ",""),CHAR(10),"|"),";","|"),"+","|"),"|",REPT(" ",LEN(Registro!$F578))),({1,2,3,4,5,6,7,8,9,10,11,12,13,14,15,16,17,18,19,20,21,22,23,24,25,26,27,28,29,30}-1)*LEN(Registro!$F578)+1,LEN(Registro!$F578))),FIND("x",TRIM(MID(SUBSTITUTE(SUBSTITUTE(SUBSTITUTE(SUBSTITUTE(SUBSTITUTE(LOWER(Registro!$F578)," ",""),CHAR(10),"|"),";","|"),"+","|"),"|",REPT(" ",LEN(Registro!$F578))),({1,2,3,4,5,6,7,8,9,10,11,12,13,14,15,16,17,18,19,20,21,22,23,24,25,26,27,28,29,30}-1)*LEN(Registro!$F578)+1,LEN(Registro!$F578)))&amp;"x")-1)),--("0"&amp;MID(TRIM(MID(SUBSTITUTE(SUBSTITUTE(SUBSTITUTE(SUBSTITUTE(SUBSTITUTE(LOWER(Registro!$F578)," ",""),CHAR(10),"|"),";","|"),"+","|"),"|",REPT(" ",LEN(Registro!$F578))),({1,2,3,4,5,6,7,8,9,10,11,12,13,14,15,16,17,18,19,20,21,22,23,24,25,26,27,28,29,30}-1)*LEN(Registro!$F578)+1,LEN(Registro!$F578))),FIND("x",TRIM(MID(SUBSTITUTE(SUBSTITUTE(SUBSTITUTE(SUBSTITUTE(SUBSTITUTE(LOWER(Registro!$F578)," ",""),CHAR(10),"|"),";","|"),"+","|"),"|",REPT(" ",LEN(Registro!$F578))),({1,2,3,4,5,6,7,8,9,10,11,12,13,14,15,16,17,18,19,20,21,22,23,24,25,26,27,28,29,30}-1)*LEN(Registro!$F578)+1,LEN(Registro!$F578)))&amp;"x")+1,20))),"Revisar formato")))</f>
        <v/>
      </c>
      <c r="H578" s="21" t="str">
        <f>IF(AND(Registro!$E578="",Registro!$F578=""),"",IF(NOT(AND(ISNUMBER(G578),ISNUMBER(Registro!$G578))),"",IF(G578&lt;Registro!$G578,"FALTA BOLETOS",IF(G578=Registro!$G578,"CONFORME","DIFERENCIA"))))</f>
        <v/>
      </c>
      <c r="I578" s="24" t="str">
        <f>IF(Registro!$H578="","",IFERROR(SUMPRODUCT(--("0"&amp;TRIM(RIGHT(SUBSTITUTE(TRIM(MID(SUBSTITUTE(SUBSTITUTE(Registro!$H578,";",CHAR(10)),CHAR(10),REPT(" ",LEN(Registro!$H578))),({1,2,3,4,5,6,7,8,9,10,11,12,13,14,15,16,17,18,19,20,21,22,23,24,25,26,27,28,29,30}-1)*LEN(Registro!$H578)+1,LEN(Registro!$H578)))," ",REPT(" ",50)),50)))),"Revisar formato"))</f>
        <v/>
      </c>
      <c r="J578" s="24" t="str">
        <f>IF(Registro!$I578="","",IFERROR(SUMPRODUCT(--("0"&amp;TRIM(RIGHT(SUBSTITUTE(TRIM(MID(SUBSTITUTE(SUBSTITUTE(Registro!$I578,";",CHAR(10)),CHAR(10),REPT(" ",LEN(Registro!$I578))),({1,2,3,4,5,6,7,8,9,10,11,12,13,14,15,16,17,18,19,20,21,22,23,24,25,26,27,28,29,30}-1)*LEN(Registro!$I578)+1,LEN(Registro!$I578)))," ",REPT(" ",50)),50)))),"Revisar formato"))</f>
        <v/>
      </c>
      <c r="K578" s="24" t="str">
        <f>IF(AND(Registro!$G578="",Registro!$H578=""),"",IF(AND(ISTEXT(I578),I578&lt;&gt;""),"Revisar formato",N(Registro!$G578)-N(I578)))</f>
        <v/>
      </c>
      <c r="L578" s="24" t="str">
        <f t="shared" ref="L578:L641" si="19">IF(K578="","",IF(OR(K578="Revisar formato",AND(ISTEXT(J578),J578&lt;&gt;"")),"Revisar formato",K578-N(J578)))</f>
        <v/>
      </c>
      <c r="M578" s="36" t="str">
        <f>IF(AND(A578=Consulta!$B$3,C578=Consulta!$H$3),B578*10000+ROW(),"")</f>
        <v/>
      </c>
    </row>
    <row r="579" spans="1:13" x14ac:dyDescent="0.25">
      <c r="A579" s="21" t="str">
        <f>IF(Registro!$A579="","",Registro!$A579)</f>
        <v/>
      </c>
      <c r="B579" s="20" t="str">
        <f>IF(Registro!$B579="","",Registro!$B579)</f>
        <v/>
      </c>
      <c r="C579" s="35" t="str">
        <f t="shared" si="18"/>
        <v/>
      </c>
      <c r="D579" s="23" t="str">
        <f>IF(Registro!$E579="","",IF(ISERROR(FIND("x",LOWER(Registro!$E579))),"-",IFERROR(SUMPRODUCT(--("0"&amp;LEFT(TRIM(MID(SUBSTITUTE(SUBSTITUTE(SUBSTITUTE(SUBSTITUTE(SUBSTITUTE(LOWER(Registro!$E579),"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",LEN(Registro!$E579))),({1,2,3,4,5,6,7,8,9,10,11,12,13,14,15,16,17,18,19,20,21,22,23,24,25,26,27,28,29,30}-1)*LEN(Registro!$E579)+1,LEN(Registro!$E579))),FIND("x",TRIM(MID(SUBSTITUTE(SUBSTITUTE(SUBSTITUTE(SUBSTITUTE(SUBSTITUTE(LOWER(Registro!$E579),"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",LEN(Registro!$E579))),({1,2,3,4,5,6,7,8,9,10,11,12,13,14,15,16,17,18,19,20,21,22,23,24,25,26,27,28,29,30}-1)*LEN(Registro!$E579)+1,LEN(Registro!$E579)))&amp;"x")-1))),"Revisar formato")))</f>
        <v/>
      </c>
      <c r="E579" s="24" t="str">
        <f>IF(Registro!$E579="","",IF(ISERROR(FIND("x",LOWER(Registro!$E579))),"-",IFERROR(SUMPRODUCT(--("0"&amp;LEFT(TRIM(MID(SUBSTITUTE(SUBSTITUTE(SUBSTITUTE(SUBSTITUTE(SUBSTITUTE(LOWER(Registro!$E579),"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",LEN(Registro!$E579))),({1,2,3,4,5,6,7,8,9,10,11,12,13,14,15,16,17,18,19,20,21,22,23,24,25,26,27,28,29,30}-1)*LEN(Registro!$E579)+1,LEN(Registro!$E579))),FIND("x",TRIM(MID(SUBSTITUTE(SUBSTITUTE(SUBSTITUTE(SUBSTITUTE(SUBSTITUTE(LOWER(Registro!$E579),"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",LEN(Registro!$E579))),({1,2,3,4,5,6,7,8,9,10,11,12,13,14,15,16,17,18,19,20,21,22,23,24,25,26,27,28,29,30}-1)*LEN(Registro!$E579)+1,LEN(Registro!$E579)))&amp;"x")-1)),--("0"&amp;MID(TRIM(MID(SUBSTITUTE(SUBSTITUTE(SUBSTITUTE(SUBSTITUTE(SUBSTITUTE(LOWER(Registro!$E579),"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",LEN(Registro!$E579))),({1,2,3,4,5,6,7,8,9,10,11,12,13,14,15,16,17,18,19,20,21,22,23,24,25,26,27,28,29,30}-1)*LEN(Registro!$E579)+1,LEN(Registro!$E579))),FIND("x",TRIM(MID(SUBSTITUTE(SUBSTITUTE(SUBSTITUTE(SUBSTITUTE(SUBSTITUTE(LOWER(Registro!$E579),"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",LEN(Registro!$E579))),({1,2,3,4,5,6,7,8,9,10,11,12,13,14,15,16,17,18,19,20,21,22,23,24,25,26,27,28,29,30}-1)*LEN(Registro!$E579)+1,LEN(Registro!$E579)))&amp;"x")+1,20))),"Revisar formato")))</f>
        <v/>
      </c>
      <c r="F579" s="23" t="str">
        <f>IF(Registro!$F579="","",IF(ISERROR(FIND("x",LOWER(Registro!$F579))),"-",IFERROR(SUMPRODUCT(--("0"&amp;LEFT(TRIM(MID(SUBSTITUTE(SUBSTITUTE(SUBSTITUTE(SUBSTITUTE(SUBSTITUTE(LOWER(Registro!$F579)," ",""),CHAR(10),"|"),";","|"),"+","|"),"|",REPT(" ",LEN(Registro!$F579))),({1,2,3,4,5,6,7,8,9,10,11,12,13,14,15,16,17,18,19,20,21,22,23,24,25,26,27,28,29,30}-1)*LEN(Registro!$F579)+1,LEN(Registro!$F579))),FIND("x",TRIM(MID(SUBSTITUTE(SUBSTITUTE(SUBSTITUTE(SUBSTITUTE(SUBSTITUTE(LOWER(Registro!$F579)," ",""),CHAR(10),"|"),";","|"),"+","|"),"|",REPT(" ",LEN(Registro!$F579))),({1,2,3,4,5,6,7,8,9,10,11,12,13,14,15,16,17,18,19,20,21,22,23,24,25,26,27,28,29,30}-1)*LEN(Registro!$F579)+1,LEN(Registro!$F579)))&amp;"x")-1))),"Revisar formato")))</f>
        <v/>
      </c>
      <c r="G579" s="24" t="str">
        <f>IF(Registro!$F579="","",IF(ISERROR(FIND("x",LOWER(Registro!$F579))),N(Registro!$G579),IFERROR(SUMPRODUCT(--("0"&amp;LEFT(TRIM(MID(SUBSTITUTE(SUBSTITUTE(SUBSTITUTE(SUBSTITUTE(SUBSTITUTE(LOWER(Registro!$F579)," ",""),CHAR(10),"|"),";","|"),"+","|"),"|",REPT(" ",LEN(Registro!$F579))),({1,2,3,4,5,6,7,8,9,10,11,12,13,14,15,16,17,18,19,20,21,22,23,24,25,26,27,28,29,30}-1)*LEN(Registro!$F579)+1,LEN(Registro!$F579))),FIND("x",TRIM(MID(SUBSTITUTE(SUBSTITUTE(SUBSTITUTE(SUBSTITUTE(SUBSTITUTE(LOWER(Registro!$F579)," ",""),CHAR(10),"|"),";","|"),"+","|"),"|",REPT(" ",LEN(Registro!$F579))),({1,2,3,4,5,6,7,8,9,10,11,12,13,14,15,16,17,18,19,20,21,22,23,24,25,26,27,28,29,30}-1)*LEN(Registro!$F579)+1,LEN(Registro!$F579)))&amp;"x")-1)),--("0"&amp;MID(TRIM(MID(SUBSTITUTE(SUBSTITUTE(SUBSTITUTE(SUBSTITUTE(SUBSTITUTE(LOWER(Registro!$F579)," ",""),CHAR(10),"|"),";","|"),"+","|"),"|",REPT(" ",LEN(Registro!$F579))),({1,2,3,4,5,6,7,8,9,10,11,12,13,14,15,16,17,18,19,20,21,22,23,24,25,26,27,28,29,30}-1)*LEN(Registro!$F579)+1,LEN(Registro!$F579))),FIND("x",TRIM(MID(SUBSTITUTE(SUBSTITUTE(SUBSTITUTE(SUBSTITUTE(SUBSTITUTE(LOWER(Registro!$F579)," ",""),CHAR(10),"|"),";","|"),"+","|"),"|",REPT(" ",LEN(Registro!$F579))),({1,2,3,4,5,6,7,8,9,10,11,12,13,14,15,16,17,18,19,20,21,22,23,24,25,26,27,28,29,30}-1)*LEN(Registro!$F579)+1,LEN(Registro!$F579)))&amp;"x")+1,20))),"Revisar formato")))</f>
        <v/>
      </c>
      <c r="H579" s="21" t="str">
        <f>IF(AND(Registro!$E579="",Registro!$F579=""),"",IF(NOT(AND(ISNUMBER(G579),ISNUMBER(Registro!$G579))),"",IF(G579&lt;Registro!$G579,"FALTA BOLETOS",IF(G579=Registro!$G579,"CONFORME","DIFERENCIA"))))</f>
        <v/>
      </c>
      <c r="I579" s="24" t="str">
        <f>IF(Registro!$H579="","",IFERROR(SUMPRODUCT(--("0"&amp;TRIM(RIGHT(SUBSTITUTE(TRIM(MID(SUBSTITUTE(SUBSTITUTE(Registro!$H579,";",CHAR(10)),CHAR(10),REPT(" ",LEN(Registro!$H579))),({1,2,3,4,5,6,7,8,9,10,11,12,13,14,15,16,17,18,19,20,21,22,23,24,25,26,27,28,29,30}-1)*LEN(Registro!$H579)+1,LEN(Registro!$H579)))," ",REPT(" ",50)),50)))),"Revisar formato"))</f>
        <v/>
      </c>
      <c r="J579" s="24" t="str">
        <f>IF(Registro!$I579="","",IFERROR(SUMPRODUCT(--("0"&amp;TRIM(RIGHT(SUBSTITUTE(TRIM(MID(SUBSTITUTE(SUBSTITUTE(Registro!$I579,";",CHAR(10)),CHAR(10),REPT(" ",LEN(Registro!$I579))),({1,2,3,4,5,6,7,8,9,10,11,12,13,14,15,16,17,18,19,20,21,22,23,24,25,26,27,28,29,30}-1)*LEN(Registro!$I579)+1,LEN(Registro!$I579)))," ",REPT(" ",50)),50)))),"Revisar formato"))</f>
        <v/>
      </c>
      <c r="K579" s="24" t="str">
        <f>IF(AND(Registro!$G579="",Registro!$H579=""),"",IF(AND(ISTEXT(I579),I579&lt;&gt;""),"Revisar formato",N(Registro!$G579)-N(I579)))</f>
        <v/>
      </c>
      <c r="L579" s="24" t="str">
        <f t="shared" si="19"/>
        <v/>
      </c>
      <c r="M579" s="36" t="str">
        <f>IF(AND(A579=Consulta!$B$3,C579=Consulta!$H$3),B579*10000+ROW(),"")</f>
        <v/>
      </c>
    </row>
    <row r="580" spans="1:13" x14ac:dyDescent="0.25">
      <c r="A580" s="21" t="str">
        <f>IF(Registro!$A580="","",Registro!$A580)</f>
        <v/>
      </c>
      <c r="B580" s="20" t="str">
        <f>IF(Registro!$B580="","",Registro!$B580)</f>
        <v/>
      </c>
      <c r="C580" s="35" t="str">
        <f t="shared" si="18"/>
        <v/>
      </c>
      <c r="D580" s="23" t="str">
        <f>IF(Registro!$E580="","",IF(ISERROR(FIND("x",LOWER(Registro!$E580))),"-",IFERROR(SUMPRODUCT(--("0"&amp;LEFT(TRIM(MID(SUBSTITUTE(SUBSTITUTE(SUBSTITUTE(SUBSTITUTE(SUBSTITUTE(LOWER(Registro!$E580),"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",LEN(Registro!$E580))),({1,2,3,4,5,6,7,8,9,10,11,12,13,14,15,16,17,18,19,20,21,22,23,24,25,26,27,28,29,30}-1)*LEN(Registro!$E580)+1,LEN(Registro!$E580))),FIND("x",TRIM(MID(SUBSTITUTE(SUBSTITUTE(SUBSTITUTE(SUBSTITUTE(SUBSTITUTE(LOWER(Registro!$E580),"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",LEN(Registro!$E580))),({1,2,3,4,5,6,7,8,9,10,11,12,13,14,15,16,17,18,19,20,21,22,23,24,25,26,27,28,29,30}-1)*LEN(Registro!$E580)+1,LEN(Registro!$E580)))&amp;"x")-1))),"Revisar formato")))</f>
        <v/>
      </c>
      <c r="E580" s="24" t="str">
        <f>IF(Registro!$E580="","",IF(ISERROR(FIND("x",LOWER(Registro!$E580))),"-",IFERROR(SUMPRODUCT(--("0"&amp;LEFT(TRIM(MID(SUBSTITUTE(SUBSTITUTE(SUBSTITUTE(SUBSTITUTE(SUBSTITUTE(LOWER(Registro!$E580),"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",LEN(Registro!$E580))),({1,2,3,4,5,6,7,8,9,10,11,12,13,14,15,16,17,18,19,20,21,22,23,24,25,26,27,28,29,30}-1)*LEN(Registro!$E580)+1,LEN(Registro!$E580))),FIND("x",TRIM(MID(SUBSTITUTE(SUBSTITUTE(SUBSTITUTE(SUBSTITUTE(SUBSTITUTE(LOWER(Registro!$E580),"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",LEN(Registro!$E580))),({1,2,3,4,5,6,7,8,9,10,11,12,13,14,15,16,17,18,19,20,21,22,23,24,25,26,27,28,29,30}-1)*LEN(Registro!$E580)+1,LEN(Registro!$E580)))&amp;"x")-1)),--("0"&amp;MID(TRIM(MID(SUBSTITUTE(SUBSTITUTE(SUBSTITUTE(SUBSTITUTE(SUBSTITUTE(LOWER(Registro!$E580),"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",LEN(Registro!$E580))),({1,2,3,4,5,6,7,8,9,10,11,12,13,14,15,16,17,18,19,20,21,22,23,24,25,26,27,28,29,30}-1)*LEN(Registro!$E580)+1,LEN(Registro!$E580))),FIND("x",TRIM(MID(SUBSTITUTE(SUBSTITUTE(SUBSTITUTE(SUBSTITUTE(SUBSTITUTE(LOWER(Registro!$E580),"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",LEN(Registro!$E580))),({1,2,3,4,5,6,7,8,9,10,11,12,13,14,15,16,17,18,19,20,21,22,23,24,25,26,27,28,29,30}-1)*LEN(Registro!$E580)+1,LEN(Registro!$E580)))&amp;"x")+1,20))),"Revisar formato")))</f>
        <v/>
      </c>
      <c r="F580" s="23" t="str">
        <f>IF(Registro!$F580="","",IF(ISERROR(FIND("x",LOWER(Registro!$F580))),"-",IFERROR(SUMPRODUCT(--("0"&amp;LEFT(TRIM(MID(SUBSTITUTE(SUBSTITUTE(SUBSTITUTE(SUBSTITUTE(SUBSTITUTE(LOWER(Registro!$F580)," ",""),CHAR(10),"|"),";","|"),"+","|"),"|",REPT(" ",LEN(Registro!$F580))),({1,2,3,4,5,6,7,8,9,10,11,12,13,14,15,16,17,18,19,20,21,22,23,24,25,26,27,28,29,30}-1)*LEN(Registro!$F580)+1,LEN(Registro!$F580))),FIND("x",TRIM(MID(SUBSTITUTE(SUBSTITUTE(SUBSTITUTE(SUBSTITUTE(SUBSTITUTE(LOWER(Registro!$F580)," ",""),CHAR(10),"|"),";","|"),"+","|"),"|",REPT(" ",LEN(Registro!$F580))),({1,2,3,4,5,6,7,8,9,10,11,12,13,14,15,16,17,18,19,20,21,22,23,24,25,26,27,28,29,30}-1)*LEN(Registro!$F580)+1,LEN(Registro!$F580)))&amp;"x")-1))),"Revisar formato")))</f>
        <v/>
      </c>
      <c r="G580" s="24" t="str">
        <f>IF(Registro!$F580="","",IF(ISERROR(FIND("x",LOWER(Registro!$F580))),N(Registro!$G580),IFERROR(SUMPRODUCT(--("0"&amp;LEFT(TRIM(MID(SUBSTITUTE(SUBSTITUTE(SUBSTITUTE(SUBSTITUTE(SUBSTITUTE(LOWER(Registro!$F580)," ",""),CHAR(10),"|"),";","|"),"+","|"),"|",REPT(" ",LEN(Registro!$F580))),({1,2,3,4,5,6,7,8,9,10,11,12,13,14,15,16,17,18,19,20,21,22,23,24,25,26,27,28,29,30}-1)*LEN(Registro!$F580)+1,LEN(Registro!$F580))),FIND("x",TRIM(MID(SUBSTITUTE(SUBSTITUTE(SUBSTITUTE(SUBSTITUTE(SUBSTITUTE(LOWER(Registro!$F580)," ",""),CHAR(10),"|"),";","|"),"+","|"),"|",REPT(" ",LEN(Registro!$F580))),({1,2,3,4,5,6,7,8,9,10,11,12,13,14,15,16,17,18,19,20,21,22,23,24,25,26,27,28,29,30}-1)*LEN(Registro!$F580)+1,LEN(Registro!$F580)))&amp;"x")-1)),--("0"&amp;MID(TRIM(MID(SUBSTITUTE(SUBSTITUTE(SUBSTITUTE(SUBSTITUTE(SUBSTITUTE(LOWER(Registro!$F580)," ",""),CHAR(10),"|"),";","|"),"+","|"),"|",REPT(" ",LEN(Registro!$F580))),({1,2,3,4,5,6,7,8,9,10,11,12,13,14,15,16,17,18,19,20,21,22,23,24,25,26,27,28,29,30}-1)*LEN(Registro!$F580)+1,LEN(Registro!$F580))),FIND("x",TRIM(MID(SUBSTITUTE(SUBSTITUTE(SUBSTITUTE(SUBSTITUTE(SUBSTITUTE(LOWER(Registro!$F580)," ",""),CHAR(10),"|"),";","|"),"+","|"),"|",REPT(" ",LEN(Registro!$F580))),({1,2,3,4,5,6,7,8,9,10,11,12,13,14,15,16,17,18,19,20,21,22,23,24,25,26,27,28,29,30}-1)*LEN(Registro!$F580)+1,LEN(Registro!$F580)))&amp;"x")+1,20))),"Revisar formato")))</f>
        <v/>
      </c>
      <c r="H580" s="21" t="str">
        <f>IF(AND(Registro!$E580="",Registro!$F580=""),"",IF(NOT(AND(ISNUMBER(G580),ISNUMBER(Registro!$G580))),"",IF(G580&lt;Registro!$G580,"FALTA BOLETOS",IF(G580=Registro!$G580,"CONFORME","DIFERENCIA"))))</f>
        <v/>
      </c>
      <c r="I580" s="24" t="str">
        <f>IF(Registro!$H580="","",IFERROR(SUMPRODUCT(--("0"&amp;TRIM(RIGHT(SUBSTITUTE(TRIM(MID(SUBSTITUTE(SUBSTITUTE(Registro!$H580,";",CHAR(10)),CHAR(10),REPT(" ",LEN(Registro!$H580))),({1,2,3,4,5,6,7,8,9,10,11,12,13,14,15,16,17,18,19,20,21,22,23,24,25,26,27,28,29,30}-1)*LEN(Registro!$H580)+1,LEN(Registro!$H580)))," ",REPT(" ",50)),50)))),"Revisar formato"))</f>
        <v/>
      </c>
      <c r="J580" s="24" t="str">
        <f>IF(Registro!$I580="","",IFERROR(SUMPRODUCT(--("0"&amp;TRIM(RIGHT(SUBSTITUTE(TRIM(MID(SUBSTITUTE(SUBSTITUTE(Registro!$I580,";",CHAR(10)),CHAR(10),REPT(" ",LEN(Registro!$I580))),({1,2,3,4,5,6,7,8,9,10,11,12,13,14,15,16,17,18,19,20,21,22,23,24,25,26,27,28,29,30}-1)*LEN(Registro!$I580)+1,LEN(Registro!$I580)))," ",REPT(" ",50)),50)))),"Revisar formato"))</f>
        <v/>
      </c>
      <c r="K580" s="24" t="str">
        <f>IF(AND(Registro!$G580="",Registro!$H580=""),"",IF(AND(ISTEXT(I580),I580&lt;&gt;""),"Revisar formato",N(Registro!$G580)-N(I580)))</f>
        <v/>
      </c>
      <c r="L580" s="24" t="str">
        <f t="shared" si="19"/>
        <v/>
      </c>
      <c r="M580" s="36" t="str">
        <f>IF(AND(A580=Consulta!$B$3,C580=Consulta!$H$3),B580*10000+ROW(),"")</f>
        <v/>
      </c>
    </row>
    <row r="581" spans="1:13" x14ac:dyDescent="0.25">
      <c r="A581" s="21" t="str">
        <f>IF(Registro!$A581="","",Registro!$A581)</f>
        <v/>
      </c>
      <c r="B581" s="20" t="str">
        <f>IF(Registro!$B581="","",Registro!$B581)</f>
        <v/>
      </c>
      <c r="C581" s="35" t="str">
        <f t="shared" si="18"/>
        <v/>
      </c>
      <c r="D581" s="23" t="str">
        <f>IF(Registro!$E581="","",IF(ISERROR(FIND("x",LOWER(Registro!$E581))),"-",IFERROR(SUMPRODUCT(--("0"&amp;LEFT(TRIM(MID(SUBSTITUTE(SUBSTITUTE(SUBSTITUTE(SUBSTITUTE(SUBSTITUTE(LOWER(Registro!$E581),"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",LEN(Registro!$E581))),({1,2,3,4,5,6,7,8,9,10,11,12,13,14,15,16,17,18,19,20,21,22,23,24,25,26,27,28,29,30}-1)*LEN(Registro!$E581)+1,LEN(Registro!$E581))),FIND("x",TRIM(MID(SUBSTITUTE(SUBSTITUTE(SUBSTITUTE(SUBSTITUTE(SUBSTITUTE(LOWER(Registro!$E581),"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",LEN(Registro!$E581))),({1,2,3,4,5,6,7,8,9,10,11,12,13,14,15,16,17,18,19,20,21,22,23,24,25,26,27,28,29,30}-1)*LEN(Registro!$E581)+1,LEN(Registro!$E581)))&amp;"x")-1))),"Revisar formato")))</f>
        <v/>
      </c>
      <c r="E581" s="24" t="str">
        <f>IF(Registro!$E581="","",IF(ISERROR(FIND("x",LOWER(Registro!$E581))),"-",IFERROR(SUMPRODUCT(--("0"&amp;LEFT(TRIM(MID(SUBSTITUTE(SUBSTITUTE(SUBSTITUTE(SUBSTITUTE(SUBSTITUTE(LOWER(Registro!$E581),"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",LEN(Registro!$E581))),({1,2,3,4,5,6,7,8,9,10,11,12,13,14,15,16,17,18,19,20,21,22,23,24,25,26,27,28,29,30}-1)*LEN(Registro!$E581)+1,LEN(Registro!$E581))),FIND("x",TRIM(MID(SUBSTITUTE(SUBSTITUTE(SUBSTITUTE(SUBSTITUTE(SUBSTITUTE(LOWER(Registro!$E581),"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",LEN(Registro!$E581))),({1,2,3,4,5,6,7,8,9,10,11,12,13,14,15,16,17,18,19,20,21,22,23,24,25,26,27,28,29,30}-1)*LEN(Registro!$E581)+1,LEN(Registro!$E581)))&amp;"x")-1)),--("0"&amp;MID(TRIM(MID(SUBSTITUTE(SUBSTITUTE(SUBSTITUTE(SUBSTITUTE(SUBSTITUTE(LOWER(Registro!$E581),"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",LEN(Registro!$E581))),({1,2,3,4,5,6,7,8,9,10,11,12,13,14,15,16,17,18,19,20,21,22,23,24,25,26,27,28,29,30}-1)*LEN(Registro!$E581)+1,LEN(Registro!$E581))),FIND("x",TRIM(MID(SUBSTITUTE(SUBSTITUTE(SUBSTITUTE(SUBSTITUTE(SUBSTITUTE(LOWER(Registro!$E581),"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",LEN(Registro!$E581))),({1,2,3,4,5,6,7,8,9,10,11,12,13,14,15,16,17,18,19,20,21,22,23,24,25,26,27,28,29,30}-1)*LEN(Registro!$E581)+1,LEN(Registro!$E581)))&amp;"x")+1,20))),"Revisar formato")))</f>
        <v/>
      </c>
      <c r="F581" s="23" t="str">
        <f>IF(Registro!$F581="","",IF(ISERROR(FIND("x",LOWER(Registro!$F581))),"-",IFERROR(SUMPRODUCT(--("0"&amp;LEFT(TRIM(MID(SUBSTITUTE(SUBSTITUTE(SUBSTITUTE(SUBSTITUTE(SUBSTITUTE(LOWER(Registro!$F581)," ",""),CHAR(10),"|"),";","|"),"+","|"),"|",REPT(" ",LEN(Registro!$F581))),({1,2,3,4,5,6,7,8,9,10,11,12,13,14,15,16,17,18,19,20,21,22,23,24,25,26,27,28,29,30}-1)*LEN(Registro!$F581)+1,LEN(Registro!$F581))),FIND("x",TRIM(MID(SUBSTITUTE(SUBSTITUTE(SUBSTITUTE(SUBSTITUTE(SUBSTITUTE(LOWER(Registro!$F581)," ",""),CHAR(10),"|"),";","|"),"+","|"),"|",REPT(" ",LEN(Registro!$F581))),({1,2,3,4,5,6,7,8,9,10,11,12,13,14,15,16,17,18,19,20,21,22,23,24,25,26,27,28,29,30}-1)*LEN(Registro!$F581)+1,LEN(Registro!$F581)))&amp;"x")-1))),"Revisar formato")))</f>
        <v/>
      </c>
      <c r="G581" s="24" t="str">
        <f>IF(Registro!$F581="","",IF(ISERROR(FIND("x",LOWER(Registro!$F581))),N(Registro!$G581),IFERROR(SUMPRODUCT(--("0"&amp;LEFT(TRIM(MID(SUBSTITUTE(SUBSTITUTE(SUBSTITUTE(SUBSTITUTE(SUBSTITUTE(LOWER(Registro!$F581)," ",""),CHAR(10),"|"),";","|"),"+","|"),"|",REPT(" ",LEN(Registro!$F581))),({1,2,3,4,5,6,7,8,9,10,11,12,13,14,15,16,17,18,19,20,21,22,23,24,25,26,27,28,29,30}-1)*LEN(Registro!$F581)+1,LEN(Registro!$F581))),FIND("x",TRIM(MID(SUBSTITUTE(SUBSTITUTE(SUBSTITUTE(SUBSTITUTE(SUBSTITUTE(LOWER(Registro!$F581)," ",""),CHAR(10),"|"),";","|"),"+","|"),"|",REPT(" ",LEN(Registro!$F581))),({1,2,3,4,5,6,7,8,9,10,11,12,13,14,15,16,17,18,19,20,21,22,23,24,25,26,27,28,29,30}-1)*LEN(Registro!$F581)+1,LEN(Registro!$F581)))&amp;"x")-1)),--("0"&amp;MID(TRIM(MID(SUBSTITUTE(SUBSTITUTE(SUBSTITUTE(SUBSTITUTE(SUBSTITUTE(LOWER(Registro!$F581)," ",""),CHAR(10),"|"),";","|"),"+","|"),"|",REPT(" ",LEN(Registro!$F581))),({1,2,3,4,5,6,7,8,9,10,11,12,13,14,15,16,17,18,19,20,21,22,23,24,25,26,27,28,29,30}-1)*LEN(Registro!$F581)+1,LEN(Registro!$F581))),FIND("x",TRIM(MID(SUBSTITUTE(SUBSTITUTE(SUBSTITUTE(SUBSTITUTE(SUBSTITUTE(LOWER(Registro!$F581)," ",""),CHAR(10),"|"),";","|"),"+","|"),"|",REPT(" ",LEN(Registro!$F581))),({1,2,3,4,5,6,7,8,9,10,11,12,13,14,15,16,17,18,19,20,21,22,23,24,25,26,27,28,29,30}-1)*LEN(Registro!$F581)+1,LEN(Registro!$F581)))&amp;"x")+1,20))),"Revisar formato")))</f>
        <v/>
      </c>
      <c r="H581" s="21" t="str">
        <f>IF(AND(Registro!$E581="",Registro!$F581=""),"",IF(NOT(AND(ISNUMBER(G581),ISNUMBER(Registro!$G581))),"",IF(G581&lt;Registro!$G581,"FALTA BOLETOS",IF(G581=Registro!$G581,"CONFORME","DIFERENCIA"))))</f>
        <v/>
      </c>
      <c r="I581" s="24" t="str">
        <f>IF(Registro!$H581="","",IFERROR(SUMPRODUCT(--("0"&amp;TRIM(RIGHT(SUBSTITUTE(TRIM(MID(SUBSTITUTE(SUBSTITUTE(Registro!$H581,";",CHAR(10)),CHAR(10),REPT(" ",LEN(Registro!$H581))),({1,2,3,4,5,6,7,8,9,10,11,12,13,14,15,16,17,18,19,20,21,22,23,24,25,26,27,28,29,30}-1)*LEN(Registro!$H581)+1,LEN(Registro!$H581)))," ",REPT(" ",50)),50)))),"Revisar formato"))</f>
        <v/>
      </c>
      <c r="J581" s="24" t="str">
        <f>IF(Registro!$I581="","",IFERROR(SUMPRODUCT(--("0"&amp;TRIM(RIGHT(SUBSTITUTE(TRIM(MID(SUBSTITUTE(SUBSTITUTE(Registro!$I581,";",CHAR(10)),CHAR(10),REPT(" ",LEN(Registro!$I581))),({1,2,3,4,5,6,7,8,9,10,11,12,13,14,15,16,17,18,19,20,21,22,23,24,25,26,27,28,29,30}-1)*LEN(Registro!$I581)+1,LEN(Registro!$I581)))," ",REPT(" ",50)),50)))),"Revisar formato"))</f>
        <v/>
      </c>
      <c r="K581" s="24" t="str">
        <f>IF(AND(Registro!$G581="",Registro!$H581=""),"",IF(AND(ISTEXT(I581),I581&lt;&gt;""),"Revisar formato",N(Registro!$G581)-N(I581)))</f>
        <v/>
      </c>
      <c r="L581" s="24" t="str">
        <f t="shared" si="19"/>
        <v/>
      </c>
      <c r="M581" s="36" t="str">
        <f>IF(AND(A581=Consulta!$B$3,C581=Consulta!$H$3),B581*10000+ROW(),"")</f>
        <v/>
      </c>
    </row>
    <row r="582" spans="1:13" x14ac:dyDescent="0.25">
      <c r="A582" s="21" t="str">
        <f>IF(Registro!$A582="","",Registro!$A582)</f>
        <v/>
      </c>
      <c r="B582" s="20" t="str">
        <f>IF(Registro!$B582="","",Registro!$B582)</f>
        <v/>
      </c>
      <c r="C582" s="35" t="str">
        <f t="shared" si="18"/>
        <v/>
      </c>
      <c r="D582" s="23" t="str">
        <f>IF(Registro!$E582="","",IF(ISERROR(FIND("x",LOWER(Registro!$E582))),"-",IFERROR(SUMPRODUCT(--("0"&amp;LEFT(TRIM(MID(SUBSTITUTE(SUBSTITUTE(SUBSTITUTE(SUBSTITUTE(SUBSTITUTE(LOWER(Registro!$E582),"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",LEN(Registro!$E582))),({1,2,3,4,5,6,7,8,9,10,11,12,13,14,15,16,17,18,19,20,21,22,23,24,25,26,27,28,29,30}-1)*LEN(Registro!$E582)+1,LEN(Registro!$E582))),FIND("x",TRIM(MID(SUBSTITUTE(SUBSTITUTE(SUBSTITUTE(SUBSTITUTE(SUBSTITUTE(LOWER(Registro!$E582),"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",LEN(Registro!$E582))),({1,2,3,4,5,6,7,8,9,10,11,12,13,14,15,16,17,18,19,20,21,22,23,24,25,26,27,28,29,30}-1)*LEN(Registro!$E582)+1,LEN(Registro!$E582)))&amp;"x")-1))),"Revisar formato")))</f>
        <v/>
      </c>
      <c r="E582" s="24" t="str">
        <f>IF(Registro!$E582="","",IF(ISERROR(FIND("x",LOWER(Registro!$E582))),"-",IFERROR(SUMPRODUCT(--("0"&amp;LEFT(TRIM(MID(SUBSTITUTE(SUBSTITUTE(SUBSTITUTE(SUBSTITUTE(SUBSTITUTE(LOWER(Registro!$E582),"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",LEN(Registro!$E582))),({1,2,3,4,5,6,7,8,9,10,11,12,13,14,15,16,17,18,19,20,21,22,23,24,25,26,27,28,29,30}-1)*LEN(Registro!$E582)+1,LEN(Registro!$E582))),FIND("x",TRIM(MID(SUBSTITUTE(SUBSTITUTE(SUBSTITUTE(SUBSTITUTE(SUBSTITUTE(LOWER(Registro!$E582),"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",LEN(Registro!$E582))),({1,2,3,4,5,6,7,8,9,10,11,12,13,14,15,16,17,18,19,20,21,22,23,24,25,26,27,28,29,30}-1)*LEN(Registro!$E582)+1,LEN(Registro!$E582)))&amp;"x")-1)),--("0"&amp;MID(TRIM(MID(SUBSTITUTE(SUBSTITUTE(SUBSTITUTE(SUBSTITUTE(SUBSTITUTE(LOWER(Registro!$E582),"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",LEN(Registro!$E582))),({1,2,3,4,5,6,7,8,9,10,11,12,13,14,15,16,17,18,19,20,21,22,23,24,25,26,27,28,29,30}-1)*LEN(Registro!$E582)+1,LEN(Registro!$E582))),FIND("x",TRIM(MID(SUBSTITUTE(SUBSTITUTE(SUBSTITUTE(SUBSTITUTE(SUBSTITUTE(LOWER(Registro!$E582),"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",LEN(Registro!$E582))),({1,2,3,4,5,6,7,8,9,10,11,12,13,14,15,16,17,18,19,20,21,22,23,24,25,26,27,28,29,30}-1)*LEN(Registro!$E582)+1,LEN(Registro!$E582)))&amp;"x")+1,20))),"Revisar formato")))</f>
        <v/>
      </c>
      <c r="F582" s="23" t="str">
        <f>IF(Registro!$F582="","",IF(ISERROR(FIND("x",LOWER(Registro!$F582))),"-",IFERROR(SUMPRODUCT(--("0"&amp;LEFT(TRIM(MID(SUBSTITUTE(SUBSTITUTE(SUBSTITUTE(SUBSTITUTE(SUBSTITUTE(LOWER(Registro!$F582)," ",""),CHAR(10),"|"),";","|"),"+","|"),"|",REPT(" ",LEN(Registro!$F582))),({1,2,3,4,5,6,7,8,9,10,11,12,13,14,15,16,17,18,19,20,21,22,23,24,25,26,27,28,29,30}-1)*LEN(Registro!$F582)+1,LEN(Registro!$F582))),FIND("x",TRIM(MID(SUBSTITUTE(SUBSTITUTE(SUBSTITUTE(SUBSTITUTE(SUBSTITUTE(LOWER(Registro!$F582)," ",""),CHAR(10),"|"),";","|"),"+","|"),"|",REPT(" ",LEN(Registro!$F582))),({1,2,3,4,5,6,7,8,9,10,11,12,13,14,15,16,17,18,19,20,21,22,23,24,25,26,27,28,29,30}-1)*LEN(Registro!$F582)+1,LEN(Registro!$F582)))&amp;"x")-1))),"Revisar formato")))</f>
        <v/>
      </c>
      <c r="G582" s="24" t="str">
        <f>IF(Registro!$F582="","",IF(ISERROR(FIND("x",LOWER(Registro!$F582))),N(Registro!$G582),IFERROR(SUMPRODUCT(--("0"&amp;LEFT(TRIM(MID(SUBSTITUTE(SUBSTITUTE(SUBSTITUTE(SUBSTITUTE(SUBSTITUTE(LOWER(Registro!$F582)," ",""),CHAR(10),"|"),";","|"),"+","|"),"|",REPT(" ",LEN(Registro!$F582))),({1,2,3,4,5,6,7,8,9,10,11,12,13,14,15,16,17,18,19,20,21,22,23,24,25,26,27,28,29,30}-1)*LEN(Registro!$F582)+1,LEN(Registro!$F582))),FIND("x",TRIM(MID(SUBSTITUTE(SUBSTITUTE(SUBSTITUTE(SUBSTITUTE(SUBSTITUTE(LOWER(Registro!$F582)," ",""),CHAR(10),"|"),";","|"),"+","|"),"|",REPT(" ",LEN(Registro!$F582))),({1,2,3,4,5,6,7,8,9,10,11,12,13,14,15,16,17,18,19,20,21,22,23,24,25,26,27,28,29,30}-1)*LEN(Registro!$F582)+1,LEN(Registro!$F582)))&amp;"x")-1)),--("0"&amp;MID(TRIM(MID(SUBSTITUTE(SUBSTITUTE(SUBSTITUTE(SUBSTITUTE(SUBSTITUTE(LOWER(Registro!$F582)," ",""),CHAR(10),"|"),";","|"),"+","|"),"|",REPT(" ",LEN(Registro!$F582))),({1,2,3,4,5,6,7,8,9,10,11,12,13,14,15,16,17,18,19,20,21,22,23,24,25,26,27,28,29,30}-1)*LEN(Registro!$F582)+1,LEN(Registro!$F582))),FIND("x",TRIM(MID(SUBSTITUTE(SUBSTITUTE(SUBSTITUTE(SUBSTITUTE(SUBSTITUTE(LOWER(Registro!$F582)," ",""),CHAR(10),"|"),";","|"),"+","|"),"|",REPT(" ",LEN(Registro!$F582))),({1,2,3,4,5,6,7,8,9,10,11,12,13,14,15,16,17,18,19,20,21,22,23,24,25,26,27,28,29,30}-1)*LEN(Registro!$F582)+1,LEN(Registro!$F582)))&amp;"x")+1,20))),"Revisar formato")))</f>
        <v/>
      </c>
      <c r="H582" s="21" t="str">
        <f>IF(AND(Registro!$E582="",Registro!$F582=""),"",IF(NOT(AND(ISNUMBER(G582),ISNUMBER(Registro!$G582))),"",IF(G582&lt;Registro!$G582,"FALTA BOLETOS",IF(G582=Registro!$G582,"CONFORME","DIFERENCIA"))))</f>
        <v/>
      </c>
      <c r="I582" s="24" t="str">
        <f>IF(Registro!$H582="","",IFERROR(SUMPRODUCT(--("0"&amp;TRIM(RIGHT(SUBSTITUTE(TRIM(MID(SUBSTITUTE(SUBSTITUTE(Registro!$H582,";",CHAR(10)),CHAR(10),REPT(" ",LEN(Registro!$H582))),({1,2,3,4,5,6,7,8,9,10,11,12,13,14,15,16,17,18,19,20,21,22,23,24,25,26,27,28,29,30}-1)*LEN(Registro!$H582)+1,LEN(Registro!$H582)))," ",REPT(" ",50)),50)))),"Revisar formato"))</f>
        <v/>
      </c>
      <c r="J582" s="24" t="str">
        <f>IF(Registro!$I582="","",IFERROR(SUMPRODUCT(--("0"&amp;TRIM(RIGHT(SUBSTITUTE(TRIM(MID(SUBSTITUTE(SUBSTITUTE(Registro!$I582,";",CHAR(10)),CHAR(10),REPT(" ",LEN(Registro!$I582))),({1,2,3,4,5,6,7,8,9,10,11,12,13,14,15,16,17,18,19,20,21,22,23,24,25,26,27,28,29,30}-1)*LEN(Registro!$I582)+1,LEN(Registro!$I582)))," ",REPT(" ",50)),50)))),"Revisar formato"))</f>
        <v/>
      </c>
      <c r="K582" s="24" t="str">
        <f>IF(AND(Registro!$G582="",Registro!$H582=""),"",IF(AND(ISTEXT(I582),I582&lt;&gt;""),"Revisar formato",N(Registro!$G582)-N(I582)))</f>
        <v/>
      </c>
      <c r="L582" s="24" t="str">
        <f t="shared" si="19"/>
        <v/>
      </c>
      <c r="M582" s="36" t="str">
        <f>IF(AND(A582=Consulta!$B$3,C582=Consulta!$H$3),B582*10000+ROW(),"")</f>
        <v/>
      </c>
    </row>
    <row r="583" spans="1:13" x14ac:dyDescent="0.25">
      <c r="A583" s="21" t="str">
        <f>IF(Registro!$A583="","",Registro!$A583)</f>
        <v/>
      </c>
      <c r="B583" s="20" t="str">
        <f>IF(Registro!$B583="","",Registro!$B583)</f>
        <v/>
      </c>
      <c r="C583" s="35" t="str">
        <f t="shared" si="18"/>
        <v/>
      </c>
      <c r="D583" s="23" t="str">
        <f>IF(Registro!$E583="","",IF(ISERROR(FIND("x",LOWER(Registro!$E583))),"-",IFERROR(SUMPRODUCT(--("0"&amp;LEFT(TRIM(MID(SUBSTITUTE(SUBSTITUTE(SUBSTITUTE(SUBSTITUTE(SUBSTITUTE(LOWER(Registro!$E583),"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",LEN(Registro!$E583))),({1,2,3,4,5,6,7,8,9,10,11,12,13,14,15,16,17,18,19,20,21,22,23,24,25,26,27,28,29,30}-1)*LEN(Registro!$E583)+1,LEN(Registro!$E583))),FIND("x",TRIM(MID(SUBSTITUTE(SUBSTITUTE(SUBSTITUTE(SUBSTITUTE(SUBSTITUTE(LOWER(Registro!$E583),"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",LEN(Registro!$E583))),({1,2,3,4,5,6,7,8,9,10,11,12,13,14,15,16,17,18,19,20,21,22,23,24,25,26,27,28,29,30}-1)*LEN(Registro!$E583)+1,LEN(Registro!$E583)))&amp;"x")-1))),"Revisar formato")))</f>
        <v/>
      </c>
      <c r="E583" s="24" t="str">
        <f>IF(Registro!$E583="","",IF(ISERROR(FIND("x",LOWER(Registro!$E583))),"-",IFERROR(SUMPRODUCT(--("0"&amp;LEFT(TRIM(MID(SUBSTITUTE(SUBSTITUTE(SUBSTITUTE(SUBSTITUTE(SUBSTITUTE(LOWER(Registro!$E583),"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",LEN(Registro!$E583))),({1,2,3,4,5,6,7,8,9,10,11,12,13,14,15,16,17,18,19,20,21,22,23,24,25,26,27,28,29,30}-1)*LEN(Registro!$E583)+1,LEN(Registro!$E583))),FIND("x",TRIM(MID(SUBSTITUTE(SUBSTITUTE(SUBSTITUTE(SUBSTITUTE(SUBSTITUTE(LOWER(Registro!$E583),"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",LEN(Registro!$E583))),({1,2,3,4,5,6,7,8,9,10,11,12,13,14,15,16,17,18,19,20,21,22,23,24,25,26,27,28,29,30}-1)*LEN(Registro!$E583)+1,LEN(Registro!$E583)))&amp;"x")-1)),--("0"&amp;MID(TRIM(MID(SUBSTITUTE(SUBSTITUTE(SUBSTITUTE(SUBSTITUTE(SUBSTITUTE(LOWER(Registro!$E583),"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",LEN(Registro!$E583))),({1,2,3,4,5,6,7,8,9,10,11,12,13,14,15,16,17,18,19,20,21,22,23,24,25,26,27,28,29,30}-1)*LEN(Registro!$E583)+1,LEN(Registro!$E583))),FIND("x",TRIM(MID(SUBSTITUTE(SUBSTITUTE(SUBSTITUTE(SUBSTITUTE(SUBSTITUTE(LOWER(Registro!$E583),"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",LEN(Registro!$E583))),({1,2,3,4,5,6,7,8,9,10,11,12,13,14,15,16,17,18,19,20,21,22,23,24,25,26,27,28,29,30}-1)*LEN(Registro!$E583)+1,LEN(Registro!$E583)))&amp;"x")+1,20))),"Revisar formato")))</f>
        <v/>
      </c>
      <c r="F583" s="23" t="str">
        <f>IF(Registro!$F583="","",IF(ISERROR(FIND("x",LOWER(Registro!$F583))),"-",IFERROR(SUMPRODUCT(--("0"&amp;LEFT(TRIM(MID(SUBSTITUTE(SUBSTITUTE(SUBSTITUTE(SUBSTITUTE(SUBSTITUTE(LOWER(Registro!$F583)," ",""),CHAR(10),"|"),";","|"),"+","|"),"|",REPT(" ",LEN(Registro!$F583))),({1,2,3,4,5,6,7,8,9,10,11,12,13,14,15,16,17,18,19,20,21,22,23,24,25,26,27,28,29,30}-1)*LEN(Registro!$F583)+1,LEN(Registro!$F583))),FIND("x",TRIM(MID(SUBSTITUTE(SUBSTITUTE(SUBSTITUTE(SUBSTITUTE(SUBSTITUTE(LOWER(Registro!$F583)," ",""),CHAR(10),"|"),";","|"),"+","|"),"|",REPT(" ",LEN(Registro!$F583))),({1,2,3,4,5,6,7,8,9,10,11,12,13,14,15,16,17,18,19,20,21,22,23,24,25,26,27,28,29,30}-1)*LEN(Registro!$F583)+1,LEN(Registro!$F583)))&amp;"x")-1))),"Revisar formato")))</f>
        <v/>
      </c>
      <c r="G583" s="24" t="str">
        <f>IF(Registro!$F583="","",IF(ISERROR(FIND("x",LOWER(Registro!$F583))),N(Registro!$G583),IFERROR(SUMPRODUCT(--("0"&amp;LEFT(TRIM(MID(SUBSTITUTE(SUBSTITUTE(SUBSTITUTE(SUBSTITUTE(SUBSTITUTE(LOWER(Registro!$F583)," ",""),CHAR(10),"|"),";","|"),"+","|"),"|",REPT(" ",LEN(Registro!$F583))),({1,2,3,4,5,6,7,8,9,10,11,12,13,14,15,16,17,18,19,20,21,22,23,24,25,26,27,28,29,30}-1)*LEN(Registro!$F583)+1,LEN(Registro!$F583))),FIND("x",TRIM(MID(SUBSTITUTE(SUBSTITUTE(SUBSTITUTE(SUBSTITUTE(SUBSTITUTE(LOWER(Registro!$F583)," ",""),CHAR(10),"|"),";","|"),"+","|"),"|",REPT(" ",LEN(Registro!$F583))),({1,2,3,4,5,6,7,8,9,10,11,12,13,14,15,16,17,18,19,20,21,22,23,24,25,26,27,28,29,30}-1)*LEN(Registro!$F583)+1,LEN(Registro!$F583)))&amp;"x")-1)),--("0"&amp;MID(TRIM(MID(SUBSTITUTE(SUBSTITUTE(SUBSTITUTE(SUBSTITUTE(SUBSTITUTE(LOWER(Registro!$F583)," ",""),CHAR(10),"|"),";","|"),"+","|"),"|",REPT(" ",LEN(Registro!$F583))),({1,2,3,4,5,6,7,8,9,10,11,12,13,14,15,16,17,18,19,20,21,22,23,24,25,26,27,28,29,30}-1)*LEN(Registro!$F583)+1,LEN(Registro!$F583))),FIND("x",TRIM(MID(SUBSTITUTE(SUBSTITUTE(SUBSTITUTE(SUBSTITUTE(SUBSTITUTE(LOWER(Registro!$F583)," ",""),CHAR(10),"|"),";","|"),"+","|"),"|",REPT(" ",LEN(Registro!$F583))),({1,2,3,4,5,6,7,8,9,10,11,12,13,14,15,16,17,18,19,20,21,22,23,24,25,26,27,28,29,30}-1)*LEN(Registro!$F583)+1,LEN(Registro!$F583)))&amp;"x")+1,20))),"Revisar formato")))</f>
        <v/>
      </c>
      <c r="H583" s="21" t="str">
        <f>IF(AND(Registro!$E583="",Registro!$F583=""),"",IF(NOT(AND(ISNUMBER(G583),ISNUMBER(Registro!$G583))),"",IF(G583&lt;Registro!$G583,"FALTA BOLETOS",IF(G583=Registro!$G583,"CONFORME","DIFERENCIA"))))</f>
        <v/>
      </c>
      <c r="I583" s="24" t="str">
        <f>IF(Registro!$H583="","",IFERROR(SUMPRODUCT(--("0"&amp;TRIM(RIGHT(SUBSTITUTE(TRIM(MID(SUBSTITUTE(SUBSTITUTE(Registro!$H583,";",CHAR(10)),CHAR(10),REPT(" ",LEN(Registro!$H583))),({1,2,3,4,5,6,7,8,9,10,11,12,13,14,15,16,17,18,19,20,21,22,23,24,25,26,27,28,29,30}-1)*LEN(Registro!$H583)+1,LEN(Registro!$H583)))," ",REPT(" ",50)),50)))),"Revisar formato"))</f>
        <v/>
      </c>
      <c r="J583" s="24" t="str">
        <f>IF(Registro!$I583="","",IFERROR(SUMPRODUCT(--("0"&amp;TRIM(RIGHT(SUBSTITUTE(TRIM(MID(SUBSTITUTE(SUBSTITUTE(Registro!$I583,";",CHAR(10)),CHAR(10),REPT(" ",LEN(Registro!$I583))),({1,2,3,4,5,6,7,8,9,10,11,12,13,14,15,16,17,18,19,20,21,22,23,24,25,26,27,28,29,30}-1)*LEN(Registro!$I583)+1,LEN(Registro!$I583)))," ",REPT(" ",50)),50)))),"Revisar formato"))</f>
        <v/>
      </c>
      <c r="K583" s="24" t="str">
        <f>IF(AND(Registro!$G583="",Registro!$H583=""),"",IF(AND(ISTEXT(I583),I583&lt;&gt;""),"Revisar formato",N(Registro!$G583)-N(I583)))</f>
        <v/>
      </c>
      <c r="L583" s="24" t="str">
        <f t="shared" si="19"/>
        <v/>
      </c>
      <c r="M583" s="36" t="str">
        <f>IF(AND(A583=Consulta!$B$3,C583=Consulta!$H$3),B583*10000+ROW(),"")</f>
        <v/>
      </c>
    </row>
    <row r="584" spans="1:13" x14ac:dyDescent="0.25">
      <c r="A584" s="21" t="str">
        <f>IF(Registro!$A584="","",Registro!$A584)</f>
        <v/>
      </c>
      <c r="B584" s="20" t="str">
        <f>IF(Registro!$B584="","",Registro!$B584)</f>
        <v/>
      </c>
      <c r="C584" s="35" t="str">
        <f t="shared" si="18"/>
        <v/>
      </c>
      <c r="D584" s="23" t="str">
        <f>IF(Registro!$E584="","",IF(ISERROR(FIND("x",LOWER(Registro!$E584))),"-",IFERROR(SUMPRODUCT(--("0"&amp;LEFT(TRIM(MID(SUBSTITUTE(SUBSTITUTE(SUBSTITUTE(SUBSTITUTE(SUBSTITUTE(LOWER(Registro!$E584),"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",LEN(Registro!$E584))),({1,2,3,4,5,6,7,8,9,10,11,12,13,14,15,16,17,18,19,20,21,22,23,24,25,26,27,28,29,30}-1)*LEN(Registro!$E584)+1,LEN(Registro!$E584))),FIND("x",TRIM(MID(SUBSTITUTE(SUBSTITUTE(SUBSTITUTE(SUBSTITUTE(SUBSTITUTE(LOWER(Registro!$E584),"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",LEN(Registro!$E584))),({1,2,3,4,5,6,7,8,9,10,11,12,13,14,15,16,17,18,19,20,21,22,23,24,25,26,27,28,29,30}-1)*LEN(Registro!$E584)+1,LEN(Registro!$E584)))&amp;"x")-1))),"Revisar formato")))</f>
        <v/>
      </c>
      <c r="E584" s="24" t="str">
        <f>IF(Registro!$E584="","",IF(ISERROR(FIND("x",LOWER(Registro!$E584))),"-",IFERROR(SUMPRODUCT(--("0"&amp;LEFT(TRIM(MID(SUBSTITUTE(SUBSTITUTE(SUBSTITUTE(SUBSTITUTE(SUBSTITUTE(LOWER(Registro!$E584),"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",LEN(Registro!$E584))),({1,2,3,4,5,6,7,8,9,10,11,12,13,14,15,16,17,18,19,20,21,22,23,24,25,26,27,28,29,30}-1)*LEN(Registro!$E584)+1,LEN(Registro!$E584))),FIND("x",TRIM(MID(SUBSTITUTE(SUBSTITUTE(SUBSTITUTE(SUBSTITUTE(SUBSTITUTE(LOWER(Registro!$E584),"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",LEN(Registro!$E584))),({1,2,3,4,5,6,7,8,9,10,11,12,13,14,15,16,17,18,19,20,21,22,23,24,25,26,27,28,29,30}-1)*LEN(Registro!$E584)+1,LEN(Registro!$E584)))&amp;"x")-1)),--("0"&amp;MID(TRIM(MID(SUBSTITUTE(SUBSTITUTE(SUBSTITUTE(SUBSTITUTE(SUBSTITUTE(LOWER(Registro!$E584),"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",LEN(Registro!$E584))),({1,2,3,4,5,6,7,8,9,10,11,12,13,14,15,16,17,18,19,20,21,22,23,24,25,26,27,28,29,30}-1)*LEN(Registro!$E584)+1,LEN(Registro!$E584))),FIND("x",TRIM(MID(SUBSTITUTE(SUBSTITUTE(SUBSTITUTE(SUBSTITUTE(SUBSTITUTE(LOWER(Registro!$E584),"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",LEN(Registro!$E584))),({1,2,3,4,5,6,7,8,9,10,11,12,13,14,15,16,17,18,19,20,21,22,23,24,25,26,27,28,29,30}-1)*LEN(Registro!$E584)+1,LEN(Registro!$E584)))&amp;"x")+1,20))),"Revisar formato")))</f>
        <v/>
      </c>
      <c r="F584" s="23" t="str">
        <f>IF(Registro!$F584="","",IF(ISERROR(FIND("x",LOWER(Registro!$F584))),"-",IFERROR(SUMPRODUCT(--("0"&amp;LEFT(TRIM(MID(SUBSTITUTE(SUBSTITUTE(SUBSTITUTE(SUBSTITUTE(SUBSTITUTE(LOWER(Registro!$F584)," ",""),CHAR(10),"|"),";","|"),"+","|"),"|",REPT(" ",LEN(Registro!$F584))),({1,2,3,4,5,6,7,8,9,10,11,12,13,14,15,16,17,18,19,20,21,22,23,24,25,26,27,28,29,30}-1)*LEN(Registro!$F584)+1,LEN(Registro!$F584))),FIND("x",TRIM(MID(SUBSTITUTE(SUBSTITUTE(SUBSTITUTE(SUBSTITUTE(SUBSTITUTE(LOWER(Registro!$F584)," ",""),CHAR(10),"|"),";","|"),"+","|"),"|",REPT(" ",LEN(Registro!$F584))),({1,2,3,4,5,6,7,8,9,10,11,12,13,14,15,16,17,18,19,20,21,22,23,24,25,26,27,28,29,30}-1)*LEN(Registro!$F584)+1,LEN(Registro!$F584)))&amp;"x")-1))),"Revisar formato")))</f>
        <v/>
      </c>
      <c r="G584" s="24" t="str">
        <f>IF(Registro!$F584="","",IF(ISERROR(FIND("x",LOWER(Registro!$F584))),N(Registro!$G584),IFERROR(SUMPRODUCT(--("0"&amp;LEFT(TRIM(MID(SUBSTITUTE(SUBSTITUTE(SUBSTITUTE(SUBSTITUTE(SUBSTITUTE(LOWER(Registro!$F584)," ",""),CHAR(10),"|"),";","|"),"+","|"),"|",REPT(" ",LEN(Registro!$F584))),({1,2,3,4,5,6,7,8,9,10,11,12,13,14,15,16,17,18,19,20,21,22,23,24,25,26,27,28,29,30}-1)*LEN(Registro!$F584)+1,LEN(Registro!$F584))),FIND("x",TRIM(MID(SUBSTITUTE(SUBSTITUTE(SUBSTITUTE(SUBSTITUTE(SUBSTITUTE(LOWER(Registro!$F584)," ",""),CHAR(10),"|"),";","|"),"+","|"),"|",REPT(" ",LEN(Registro!$F584))),({1,2,3,4,5,6,7,8,9,10,11,12,13,14,15,16,17,18,19,20,21,22,23,24,25,26,27,28,29,30}-1)*LEN(Registro!$F584)+1,LEN(Registro!$F584)))&amp;"x")-1)),--("0"&amp;MID(TRIM(MID(SUBSTITUTE(SUBSTITUTE(SUBSTITUTE(SUBSTITUTE(SUBSTITUTE(LOWER(Registro!$F584)," ",""),CHAR(10),"|"),";","|"),"+","|"),"|",REPT(" ",LEN(Registro!$F584))),({1,2,3,4,5,6,7,8,9,10,11,12,13,14,15,16,17,18,19,20,21,22,23,24,25,26,27,28,29,30}-1)*LEN(Registro!$F584)+1,LEN(Registro!$F584))),FIND("x",TRIM(MID(SUBSTITUTE(SUBSTITUTE(SUBSTITUTE(SUBSTITUTE(SUBSTITUTE(LOWER(Registro!$F584)," ",""),CHAR(10),"|"),";","|"),"+","|"),"|",REPT(" ",LEN(Registro!$F584))),({1,2,3,4,5,6,7,8,9,10,11,12,13,14,15,16,17,18,19,20,21,22,23,24,25,26,27,28,29,30}-1)*LEN(Registro!$F584)+1,LEN(Registro!$F584)))&amp;"x")+1,20))),"Revisar formato")))</f>
        <v/>
      </c>
      <c r="H584" s="21" t="str">
        <f>IF(AND(Registro!$E584="",Registro!$F584=""),"",IF(NOT(AND(ISNUMBER(G584),ISNUMBER(Registro!$G584))),"",IF(G584&lt;Registro!$G584,"FALTA BOLETOS",IF(G584=Registro!$G584,"CONFORME","DIFERENCIA"))))</f>
        <v/>
      </c>
      <c r="I584" s="24" t="str">
        <f>IF(Registro!$H584="","",IFERROR(SUMPRODUCT(--("0"&amp;TRIM(RIGHT(SUBSTITUTE(TRIM(MID(SUBSTITUTE(SUBSTITUTE(Registro!$H584,";",CHAR(10)),CHAR(10),REPT(" ",LEN(Registro!$H584))),({1,2,3,4,5,6,7,8,9,10,11,12,13,14,15,16,17,18,19,20,21,22,23,24,25,26,27,28,29,30}-1)*LEN(Registro!$H584)+1,LEN(Registro!$H584)))," ",REPT(" ",50)),50)))),"Revisar formato"))</f>
        <v/>
      </c>
      <c r="J584" s="24" t="str">
        <f>IF(Registro!$I584="","",IFERROR(SUMPRODUCT(--("0"&amp;TRIM(RIGHT(SUBSTITUTE(TRIM(MID(SUBSTITUTE(SUBSTITUTE(Registro!$I584,";",CHAR(10)),CHAR(10),REPT(" ",LEN(Registro!$I584))),({1,2,3,4,5,6,7,8,9,10,11,12,13,14,15,16,17,18,19,20,21,22,23,24,25,26,27,28,29,30}-1)*LEN(Registro!$I584)+1,LEN(Registro!$I584)))," ",REPT(" ",50)),50)))),"Revisar formato"))</f>
        <v/>
      </c>
      <c r="K584" s="24" t="str">
        <f>IF(AND(Registro!$G584="",Registro!$H584=""),"",IF(AND(ISTEXT(I584),I584&lt;&gt;""),"Revisar formato",N(Registro!$G584)-N(I584)))</f>
        <v/>
      </c>
      <c r="L584" s="24" t="str">
        <f t="shared" si="19"/>
        <v/>
      </c>
      <c r="M584" s="36" t="str">
        <f>IF(AND(A584=Consulta!$B$3,C584=Consulta!$H$3),B584*10000+ROW(),"")</f>
        <v/>
      </c>
    </row>
    <row r="585" spans="1:13" x14ac:dyDescent="0.25">
      <c r="A585" s="21" t="str">
        <f>IF(Registro!$A585="","",Registro!$A585)</f>
        <v/>
      </c>
      <c r="B585" s="20" t="str">
        <f>IF(Registro!$B585="","",Registro!$B585)</f>
        <v/>
      </c>
      <c r="C585" s="35" t="str">
        <f t="shared" si="18"/>
        <v/>
      </c>
      <c r="D585" s="23" t="str">
        <f>IF(Registro!$E585="","",IF(ISERROR(FIND("x",LOWER(Registro!$E585))),"-",IFERROR(SUMPRODUCT(--("0"&amp;LEFT(TRIM(MID(SUBSTITUTE(SUBSTITUTE(SUBSTITUTE(SUBSTITUTE(SUBSTITUTE(LOWER(Registro!$E585),"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",LEN(Registro!$E585))),({1,2,3,4,5,6,7,8,9,10,11,12,13,14,15,16,17,18,19,20,21,22,23,24,25,26,27,28,29,30}-1)*LEN(Registro!$E585)+1,LEN(Registro!$E585))),FIND("x",TRIM(MID(SUBSTITUTE(SUBSTITUTE(SUBSTITUTE(SUBSTITUTE(SUBSTITUTE(LOWER(Registro!$E585),"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",LEN(Registro!$E585))),({1,2,3,4,5,6,7,8,9,10,11,12,13,14,15,16,17,18,19,20,21,22,23,24,25,26,27,28,29,30}-1)*LEN(Registro!$E585)+1,LEN(Registro!$E585)))&amp;"x")-1))),"Revisar formato")))</f>
        <v/>
      </c>
      <c r="E585" s="24" t="str">
        <f>IF(Registro!$E585="","",IF(ISERROR(FIND("x",LOWER(Registro!$E585))),"-",IFERROR(SUMPRODUCT(--("0"&amp;LEFT(TRIM(MID(SUBSTITUTE(SUBSTITUTE(SUBSTITUTE(SUBSTITUTE(SUBSTITUTE(LOWER(Registro!$E585),"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",LEN(Registro!$E585))),({1,2,3,4,5,6,7,8,9,10,11,12,13,14,15,16,17,18,19,20,21,22,23,24,25,26,27,28,29,30}-1)*LEN(Registro!$E585)+1,LEN(Registro!$E585))),FIND("x",TRIM(MID(SUBSTITUTE(SUBSTITUTE(SUBSTITUTE(SUBSTITUTE(SUBSTITUTE(LOWER(Registro!$E585),"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",LEN(Registro!$E585))),({1,2,3,4,5,6,7,8,9,10,11,12,13,14,15,16,17,18,19,20,21,22,23,24,25,26,27,28,29,30}-1)*LEN(Registro!$E585)+1,LEN(Registro!$E585)))&amp;"x")-1)),--("0"&amp;MID(TRIM(MID(SUBSTITUTE(SUBSTITUTE(SUBSTITUTE(SUBSTITUTE(SUBSTITUTE(LOWER(Registro!$E585),"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",LEN(Registro!$E585))),({1,2,3,4,5,6,7,8,9,10,11,12,13,14,15,16,17,18,19,20,21,22,23,24,25,26,27,28,29,30}-1)*LEN(Registro!$E585)+1,LEN(Registro!$E585))),FIND("x",TRIM(MID(SUBSTITUTE(SUBSTITUTE(SUBSTITUTE(SUBSTITUTE(SUBSTITUTE(LOWER(Registro!$E585),"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",LEN(Registro!$E585))),({1,2,3,4,5,6,7,8,9,10,11,12,13,14,15,16,17,18,19,20,21,22,23,24,25,26,27,28,29,30}-1)*LEN(Registro!$E585)+1,LEN(Registro!$E585)))&amp;"x")+1,20))),"Revisar formato")))</f>
        <v/>
      </c>
      <c r="F585" s="23" t="str">
        <f>IF(Registro!$F585="","",IF(ISERROR(FIND("x",LOWER(Registro!$F585))),"-",IFERROR(SUMPRODUCT(--("0"&amp;LEFT(TRIM(MID(SUBSTITUTE(SUBSTITUTE(SUBSTITUTE(SUBSTITUTE(SUBSTITUTE(LOWER(Registro!$F585)," ",""),CHAR(10),"|"),";","|"),"+","|"),"|",REPT(" ",LEN(Registro!$F585))),({1,2,3,4,5,6,7,8,9,10,11,12,13,14,15,16,17,18,19,20,21,22,23,24,25,26,27,28,29,30}-1)*LEN(Registro!$F585)+1,LEN(Registro!$F585))),FIND("x",TRIM(MID(SUBSTITUTE(SUBSTITUTE(SUBSTITUTE(SUBSTITUTE(SUBSTITUTE(LOWER(Registro!$F585)," ",""),CHAR(10),"|"),";","|"),"+","|"),"|",REPT(" ",LEN(Registro!$F585))),({1,2,3,4,5,6,7,8,9,10,11,12,13,14,15,16,17,18,19,20,21,22,23,24,25,26,27,28,29,30}-1)*LEN(Registro!$F585)+1,LEN(Registro!$F585)))&amp;"x")-1))),"Revisar formato")))</f>
        <v/>
      </c>
      <c r="G585" s="24" t="str">
        <f>IF(Registro!$F585="","",IF(ISERROR(FIND("x",LOWER(Registro!$F585))),N(Registro!$G585),IFERROR(SUMPRODUCT(--("0"&amp;LEFT(TRIM(MID(SUBSTITUTE(SUBSTITUTE(SUBSTITUTE(SUBSTITUTE(SUBSTITUTE(LOWER(Registro!$F585)," ",""),CHAR(10),"|"),";","|"),"+","|"),"|",REPT(" ",LEN(Registro!$F585))),({1,2,3,4,5,6,7,8,9,10,11,12,13,14,15,16,17,18,19,20,21,22,23,24,25,26,27,28,29,30}-1)*LEN(Registro!$F585)+1,LEN(Registro!$F585))),FIND("x",TRIM(MID(SUBSTITUTE(SUBSTITUTE(SUBSTITUTE(SUBSTITUTE(SUBSTITUTE(LOWER(Registro!$F585)," ",""),CHAR(10),"|"),";","|"),"+","|"),"|",REPT(" ",LEN(Registro!$F585))),({1,2,3,4,5,6,7,8,9,10,11,12,13,14,15,16,17,18,19,20,21,22,23,24,25,26,27,28,29,30}-1)*LEN(Registro!$F585)+1,LEN(Registro!$F585)))&amp;"x")-1)),--("0"&amp;MID(TRIM(MID(SUBSTITUTE(SUBSTITUTE(SUBSTITUTE(SUBSTITUTE(SUBSTITUTE(LOWER(Registro!$F585)," ",""),CHAR(10),"|"),";","|"),"+","|"),"|",REPT(" ",LEN(Registro!$F585))),({1,2,3,4,5,6,7,8,9,10,11,12,13,14,15,16,17,18,19,20,21,22,23,24,25,26,27,28,29,30}-1)*LEN(Registro!$F585)+1,LEN(Registro!$F585))),FIND("x",TRIM(MID(SUBSTITUTE(SUBSTITUTE(SUBSTITUTE(SUBSTITUTE(SUBSTITUTE(LOWER(Registro!$F585)," ",""),CHAR(10),"|"),";","|"),"+","|"),"|",REPT(" ",LEN(Registro!$F585))),({1,2,3,4,5,6,7,8,9,10,11,12,13,14,15,16,17,18,19,20,21,22,23,24,25,26,27,28,29,30}-1)*LEN(Registro!$F585)+1,LEN(Registro!$F585)))&amp;"x")+1,20))),"Revisar formato")))</f>
        <v/>
      </c>
      <c r="H585" s="21" t="str">
        <f>IF(AND(Registro!$E585="",Registro!$F585=""),"",IF(NOT(AND(ISNUMBER(G585),ISNUMBER(Registro!$G585))),"",IF(G585&lt;Registro!$G585,"FALTA BOLETOS",IF(G585=Registro!$G585,"CONFORME","DIFERENCIA"))))</f>
        <v/>
      </c>
      <c r="I585" s="24" t="str">
        <f>IF(Registro!$H585="","",IFERROR(SUMPRODUCT(--("0"&amp;TRIM(RIGHT(SUBSTITUTE(TRIM(MID(SUBSTITUTE(SUBSTITUTE(Registro!$H585,";",CHAR(10)),CHAR(10),REPT(" ",LEN(Registro!$H585))),({1,2,3,4,5,6,7,8,9,10,11,12,13,14,15,16,17,18,19,20,21,22,23,24,25,26,27,28,29,30}-1)*LEN(Registro!$H585)+1,LEN(Registro!$H585)))," ",REPT(" ",50)),50)))),"Revisar formato"))</f>
        <v/>
      </c>
      <c r="J585" s="24" t="str">
        <f>IF(Registro!$I585="","",IFERROR(SUMPRODUCT(--("0"&amp;TRIM(RIGHT(SUBSTITUTE(TRIM(MID(SUBSTITUTE(SUBSTITUTE(Registro!$I585,";",CHAR(10)),CHAR(10),REPT(" ",LEN(Registro!$I585))),({1,2,3,4,5,6,7,8,9,10,11,12,13,14,15,16,17,18,19,20,21,22,23,24,25,26,27,28,29,30}-1)*LEN(Registro!$I585)+1,LEN(Registro!$I585)))," ",REPT(" ",50)),50)))),"Revisar formato"))</f>
        <v/>
      </c>
      <c r="K585" s="24" t="str">
        <f>IF(AND(Registro!$G585="",Registro!$H585=""),"",IF(AND(ISTEXT(I585),I585&lt;&gt;""),"Revisar formato",N(Registro!$G585)-N(I585)))</f>
        <v/>
      </c>
      <c r="L585" s="24" t="str">
        <f t="shared" si="19"/>
        <v/>
      </c>
      <c r="M585" s="36" t="str">
        <f>IF(AND(A585=Consulta!$B$3,C585=Consulta!$H$3),B585*10000+ROW(),"")</f>
        <v/>
      </c>
    </row>
    <row r="586" spans="1:13" x14ac:dyDescent="0.25">
      <c r="A586" s="21" t="str">
        <f>IF(Registro!$A586="","",Registro!$A586)</f>
        <v/>
      </c>
      <c r="B586" s="20" t="str">
        <f>IF(Registro!$B586="","",Registro!$B586)</f>
        <v/>
      </c>
      <c r="C586" s="35" t="str">
        <f t="shared" si="18"/>
        <v/>
      </c>
      <c r="D586" s="23" t="str">
        <f>IF(Registro!$E586="","",IF(ISERROR(FIND("x",LOWER(Registro!$E586))),"-",IFERROR(SUMPRODUCT(--("0"&amp;LEFT(TRIM(MID(SUBSTITUTE(SUBSTITUTE(SUBSTITUTE(SUBSTITUTE(SUBSTITUTE(LOWER(Registro!$E586),"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",LEN(Registro!$E586))),({1,2,3,4,5,6,7,8,9,10,11,12,13,14,15,16,17,18,19,20,21,22,23,24,25,26,27,28,29,30}-1)*LEN(Registro!$E586)+1,LEN(Registro!$E586))),FIND("x",TRIM(MID(SUBSTITUTE(SUBSTITUTE(SUBSTITUTE(SUBSTITUTE(SUBSTITUTE(LOWER(Registro!$E586),"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",LEN(Registro!$E586))),({1,2,3,4,5,6,7,8,9,10,11,12,13,14,15,16,17,18,19,20,21,22,23,24,25,26,27,28,29,30}-1)*LEN(Registro!$E586)+1,LEN(Registro!$E586)))&amp;"x")-1))),"Revisar formato")))</f>
        <v/>
      </c>
      <c r="E586" s="24" t="str">
        <f>IF(Registro!$E586="","",IF(ISERROR(FIND("x",LOWER(Registro!$E586))),"-",IFERROR(SUMPRODUCT(--("0"&amp;LEFT(TRIM(MID(SUBSTITUTE(SUBSTITUTE(SUBSTITUTE(SUBSTITUTE(SUBSTITUTE(LOWER(Registro!$E586),"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",LEN(Registro!$E586))),({1,2,3,4,5,6,7,8,9,10,11,12,13,14,15,16,17,18,19,20,21,22,23,24,25,26,27,28,29,30}-1)*LEN(Registro!$E586)+1,LEN(Registro!$E586))),FIND("x",TRIM(MID(SUBSTITUTE(SUBSTITUTE(SUBSTITUTE(SUBSTITUTE(SUBSTITUTE(LOWER(Registro!$E586),"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",LEN(Registro!$E586))),({1,2,3,4,5,6,7,8,9,10,11,12,13,14,15,16,17,18,19,20,21,22,23,24,25,26,27,28,29,30}-1)*LEN(Registro!$E586)+1,LEN(Registro!$E586)))&amp;"x")-1)),--("0"&amp;MID(TRIM(MID(SUBSTITUTE(SUBSTITUTE(SUBSTITUTE(SUBSTITUTE(SUBSTITUTE(LOWER(Registro!$E586),"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",LEN(Registro!$E586))),({1,2,3,4,5,6,7,8,9,10,11,12,13,14,15,16,17,18,19,20,21,22,23,24,25,26,27,28,29,30}-1)*LEN(Registro!$E586)+1,LEN(Registro!$E586))),FIND("x",TRIM(MID(SUBSTITUTE(SUBSTITUTE(SUBSTITUTE(SUBSTITUTE(SUBSTITUTE(LOWER(Registro!$E586),"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",LEN(Registro!$E586))),({1,2,3,4,5,6,7,8,9,10,11,12,13,14,15,16,17,18,19,20,21,22,23,24,25,26,27,28,29,30}-1)*LEN(Registro!$E586)+1,LEN(Registro!$E586)))&amp;"x")+1,20))),"Revisar formato")))</f>
        <v/>
      </c>
      <c r="F586" s="23" t="str">
        <f>IF(Registro!$F586="","",IF(ISERROR(FIND("x",LOWER(Registro!$F586))),"-",IFERROR(SUMPRODUCT(--("0"&amp;LEFT(TRIM(MID(SUBSTITUTE(SUBSTITUTE(SUBSTITUTE(SUBSTITUTE(SUBSTITUTE(LOWER(Registro!$F586)," ",""),CHAR(10),"|"),";","|"),"+","|"),"|",REPT(" ",LEN(Registro!$F586))),({1,2,3,4,5,6,7,8,9,10,11,12,13,14,15,16,17,18,19,20,21,22,23,24,25,26,27,28,29,30}-1)*LEN(Registro!$F586)+1,LEN(Registro!$F586))),FIND("x",TRIM(MID(SUBSTITUTE(SUBSTITUTE(SUBSTITUTE(SUBSTITUTE(SUBSTITUTE(LOWER(Registro!$F586)," ",""),CHAR(10),"|"),";","|"),"+","|"),"|",REPT(" ",LEN(Registro!$F586))),({1,2,3,4,5,6,7,8,9,10,11,12,13,14,15,16,17,18,19,20,21,22,23,24,25,26,27,28,29,30}-1)*LEN(Registro!$F586)+1,LEN(Registro!$F586)))&amp;"x")-1))),"Revisar formato")))</f>
        <v/>
      </c>
      <c r="G586" s="24" t="str">
        <f>IF(Registro!$F586="","",IF(ISERROR(FIND("x",LOWER(Registro!$F586))),N(Registro!$G586),IFERROR(SUMPRODUCT(--("0"&amp;LEFT(TRIM(MID(SUBSTITUTE(SUBSTITUTE(SUBSTITUTE(SUBSTITUTE(SUBSTITUTE(LOWER(Registro!$F586)," ",""),CHAR(10),"|"),";","|"),"+","|"),"|",REPT(" ",LEN(Registro!$F586))),({1,2,3,4,5,6,7,8,9,10,11,12,13,14,15,16,17,18,19,20,21,22,23,24,25,26,27,28,29,30}-1)*LEN(Registro!$F586)+1,LEN(Registro!$F586))),FIND("x",TRIM(MID(SUBSTITUTE(SUBSTITUTE(SUBSTITUTE(SUBSTITUTE(SUBSTITUTE(LOWER(Registro!$F586)," ",""),CHAR(10),"|"),";","|"),"+","|"),"|",REPT(" ",LEN(Registro!$F586))),({1,2,3,4,5,6,7,8,9,10,11,12,13,14,15,16,17,18,19,20,21,22,23,24,25,26,27,28,29,30}-1)*LEN(Registro!$F586)+1,LEN(Registro!$F586)))&amp;"x")-1)),--("0"&amp;MID(TRIM(MID(SUBSTITUTE(SUBSTITUTE(SUBSTITUTE(SUBSTITUTE(SUBSTITUTE(LOWER(Registro!$F586)," ",""),CHAR(10),"|"),";","|"),"+","|"),"|",REPT(" ",LEN(Registro!$F586))),({1,2,3,4,5,6,7,8,9,10,11,12,13,14,15,16,17,18,19,20,21,22,23,24,25,26,27,28,29,30}-1)*LEN(Registro!$F586)+1,LEN(Registro!$F586))),FIND("x",TRIM(MID(SUBSTITUTE(SUBSTITUTE(SUBSTITUTE(SUBSTITUTE(SUBSTITUTE(LOWER(Registro!$F586)," ",""),CHAR(10),"|"),";","|"),"+","|"),"|",REPT(" ",LEN(Registro!$F586))),({1,2,3,4,5,6,7,8,9,10,11,12,13,14,15,16,17,18,19,20,21,22,23,24,25,26,27,28,29,30}-1)*LEN(Registro!$F586)+1,LEN(Registro!$F586)))&amp;"x")+1,20))),"Revisar formato")))</f>
        <v/>
      </c>
      <c r="H586" s="21" t="str">
        <f>IF(AND(Registro!$E586="",Registro!$F586=""),"",IF(NOT(AND(ISNUMBER(G586),ISNUMBER(Registro!$G586))),"",IF(G586&lt;Registro!$G586,"FALTA BOLETOS",IF(G586=Registro!$G586,"CONFORME","DIFERENCIA"))))</f>
        <v/>
      </c>
      <c r="I586" s="24" t="str">
        <f>IF(Registro!$H586="","",IFERROR(SUMPRODUCT(--("0"&amp;TRIM(RIGHT(SUBSTITUTE(TRIM(MID(SUBSTITUTE(SUBSTITUTE(Registro!$H586,";",CHAR(10)),CHAR(10),REPT(" ",LEN(Registro!$H586))),({1,2,3,4,5,6,7,8,9,10,11,12,13,14,15,16,17,18,19,20,21,22,23,24,25,26,27,28,29,30}-1)*LEN(Registro!$H586)+1,LEN(Registro!$H586)))," ",REPT(" ",50)),50)))),"Revisar formato"))</f>
        <v/>
      </c>
      <c r="J586" s="24" t="str">
        <f>IF(Registro!$I586="","",IFERROR(SUMPRODUCT(--("0"&amp;TRIM(RIGHT(SUBSTITUTE(TRIM(MID(SUBSTITUTE(SUBSTITUTE(Registro!$I586,";",CHAR(10)),CHAR(10),REPT(" ",LEN(Registro!$I586))),({1,2,3,4,5,6,7,8,9,10,11,12,13,14,15,16,17,18,19,20,21,22,23,24,25,26,27,28,29,30}-1)*LEN(Registro!$I586)+1,LEN(Registro!$I586)))," ",REPT(" ",50)),50)))),"Revisar formato"))</f>
        <v/>
      </c>
      <c r="K586" s="24" t="str">
        <f>IF(AND(Registro!$G586="",Registro!$H586=""),"",IF(AND(ISTEXT(I586),I586&lt;&gt;""),"Revisar formato",N(Registro!$G586)-N(I586)))</f>
        <v/>
      </c>
      <c r="L586" s="24" t="str">
        <f t="shared" si="19"/>
        <v/>
      </c>
      <c r="M586" s="36" t="str">
        <f>IF(AND(A586=Consulta!$B$3,C586=Consulta!$H$3),B586*10000+ROW(),"")</f>
        <v/>
      </c>
    </row>
    <row r="587" spans="1:13" x14ac:dyDescent="0.25">
      <c r="A587" s="21" t="str">
        <f>IF(Registro!$A587="","",Registro!$A587)</f>
        <v/>
      </c>
      <c r="B587" s="20" t="str">
        <f>IF(Registro!$B587="","",Registro!$B587)</f>
        <v/>
      </c>
      <c r="C587" s="35" t="str">
        <f t="shared" si="18"/>
        <v/>
      </c>
      <c r="D587" s="23" t="str">
        <f>IF(Registro!$E587="","",IF(ISERROR(FIND("x",LOWER(Registro!$E587))),"-",IFERROR(SUMPRODUCT(--("0"&amp;LEFT(TRIM(MID(SUBSTITUTE(SUBSTITUTE(SUBSTITUTE(SUBSTITUTE(SUBSTITUTE(LOWER(Registro!$E587),"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",LEN(Registro!$E587))),({1,2,3,4,5,6,7,8,9,10,11,12,13,14,15,16,17,18,19,20,21,22,23,24,25,26,27,28,29,30}-1)*LEN(Registro!$E587)+1,LEN(Registro!$E587))),FIND("x",TRIM(MID(SUBSTITUTE(SUBSTITUTE(SUBSTITUTE(SUBSTITUTE(SUBSTITUTE(LOWER(Registro!$E587),"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",LEN(Registro!$E587))),({1,2,3,4,5,6,7,8,9,10,11,12,13,14,15,16,17,18,19,20,21,22,23,24,25,26,27,28,29,30}-1)*LEN(Registro!$E587)+1,LEN(Registro!$E587)))&amp;"x")-1))),"Revisar formato")))</f>
        <v/>
      </c>
      <c r="E587" s="24" t="str">
        <f>IF(Registro!$E587="","",IF(ISERROR(FIND("x",LOWER(Registro!$E587))),"-",IFERROR(SUMPRODUCT(--("0"&amp;LEFT(TRIM(MID(SUBSTITUTE(SUBSTITUTE(SUBSTITUTE(SUBSTITUTE(SUBSTITUTE(LOWER(Registro!$E587),"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",LEN(Registro!$E587))),({1,2,3,4,5,6,7,8,9,10,11,12,13,14,15,16,17,18,19,20,21,22,23,24,25,26,27,28,29,30}-1)*LEN(Registro!$E587)+1,LEN(Registro!$E587))),FIND("x",TRIM(MID(SUBSTITUTE(SUBSTITUTE(SUBSTITUTE(SUBSTITUTE(SUBSTITUTE(LOWER(Registro!$E587),"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",LEN(Registro!$E587))),({1,2,3,4,5,6,7,8,9,10,11,12,13,14,15,16,17,18,19,20,21,22,23,24,25,26,27,28,29,30}-1)*LEN(Registro!$E587)+1,LEN(Registro!$E587)))&amp;"x")-1)),--("0"&amp;MID(TRIM(MID(SUBSTITUTE(SUBSTITUTE(SUBSTITUTE(SUBSTITUTE(SUBSTITUTE(LOWER(Registro!$E587),"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",LEN(Registro!$E587))),({1,2,3,4,5,6,7,8,9,10,11,12,13,14,15,16,17,18,19,20,21,22,23,24,25,26,27,28,29,30}-1)*LEN(Registro!$E587)+1,LEN(Registro!$E587))),FIND("x",TRIM(MID(SUBSTITUTE(SUBSTITUTE(SUBSTITUTE(SUBSTITUTE(SUBSTITUTE(LOWER(Registro!$E587),"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",LEN(Registro!$E587))),({1,2,3,4,5,6,7,8,9,10,11,12,13,14,15,16,17,18,19,20,21,22,23,24,25,26,27,28,29,30}-1)*LEN(Registro!$E587)+1,LEN(Registro!$E587)))&amp;"x")+1,20))),"Revisar formato")))</f>
        <v/>
      </c>
      <c r="F587" s="23" t="str">
        <f>IF(Registro!$F587="","",IF(ISERROR(FIND("x",LOWER(Registro!$F587))),"-",IFERROR(SUMPRODUCT(--("0"&amp;LEFT(TRIM(MID(SUBSTITUTE(SUBSTITUTE(SUBSTITUTE(SUBSTITUTE(SUBSTITUTE(LOWER(Registro!$F587)," ",""),CHAR(10),"|"),";","|"),"+","|"),"|",REPT(" ",LEN(Registro!$F587))),({1,2,3,4,5,6,7,8,9,10,11,12,13,14,15,16,17,18,19,20,21,22,23,24,25,26,27,28,29,30}-1)*LEN(Registro!$F587)+1,LEN(Registro!$F587))),FIND("x",TRIM(MID(SUBSTITUTE(SUBSTITUTE(SUBSTITUTE(SUBSTITUTE(SUBSTITUTE(LOWER(Registro!$F587)," ",""),CHAR(10),"|"),";","|"),"+","|"),"|",REPT(" ",LEN(Registro!$F587))),({1,2,3,4,5,6,7,8,9,10,11,12,13,14,15,16,17,18,19,20,21,22,23,24,25,26,27,28,29,30}-1)*LEN(Registro!$F587)+1,LEN(Registro!$F587)))&amp;"x")-1))),"Revisar formato")))</f>
        <v/>
      </c>
      <c r="G587" s="24" t="str">
        <f>IF(Registro!$F587="","",IF(ISERROR(FIND("x",LOWER(Registro!$F587))),N(Registro!$G587),IFERROR(SUMPRODUCT(--("0"&amp;LEFT(TRIM(MID(SUBSTITUTE(SUBSTITUTE(SUBSTITUTE(SUBSTITUTE(SUBSTITUTE(LOWER(Registro!$F587)," ",""),CHAR(10),"|"),";","|"),"+","|"),"|",REPT(" ",LEN(Registro!$F587))),({1,2,3,4,5,6,7,8,9,10,11,12,13,14,15,16,17,18,19,20,21,22,23,24,25,26,27,28,29,30}-1)*LEN(Registro!$F587)+1,LEN(Registro!$F587))),FIND("x",TRIM(MID(SUBSTITUTE(SUBSTITUTE(SUBSTITUTE(SUBSTITUTE(SUBSTITUTE(LOWER(Registro!$F587)," ",""),CHAR(10),"|"),";","|"),"+","|"),"|",REPT(" ",LEN(Registro!$F587))),({1,2,3,4,5,6,7,8,9,10,11,12,13,14,15,16,17,18,19,20,21,22,23,24,25,26,27,28,29,30}-1)*LEN(Registro!$F587)+1,LEN(Registro!$F587)))&amp;"x")-1)),--("0"&amp;MID(TRIM(MID(SUBSTITUTE(SUBSTITUTE(SUBSTITUTE(SUBSTITUTE(SUBSTITUTE(LOWER(Registro!$F587)," ",""),CHAR(10),"|"),";","|"),"+","|"),"|",REPT(" ",LEN(Registro!$F587))),({1,2,3,4,5,6,7,8,9,10,11,12,13,14,15,16,17,18,19,20,21,22,23,24,25,26,27,28,29,30}-1)*LEN(Registro!$F587)+1,LEN(Registro!$F587))),FIND("x",TRIM(MID(SUBSTITUTE(SUBSTITUTE(SUBSTITUTE(SUBSTITUTE(SUBSTITUTE(LOWER(Registro!$F587)," ",""),CHAR(10),"|"),";","|"),"+","|"),"|",REPT(" ",LEN(Registro!$F587))),({1,2,3,4,5,6,7,8,9,10,11,12,13,14,15,16,17,18,19,20,21,22,23,24,25,26,27,28,29,30}-1)*LEN(Registro!$F587)+1,LEN(Registro!$F587)))&amp;"x")+1,20))),"Revisar formato")))</f>
        <v/>
      </c>
      <c r="H587" s="21" t="str">
        <f>IF(AND(Registro!$E587="",Registro!$F587=""),"",IF(NOT(AND(ISNUMBER(G587),ISNUMBER(Registro!$G587))),"",IF(G587&lt;Registro!$G587,"FALTA BOLETOS",IF(G587=Registro!$G587,"CONFORME","DIFERENCIA"))))</f>
        <v/>
      </c>
      <c r="I587" s="24" t="str">
        <f>IF(Registro!$H587="","",IFERROR(SUMPRODUCT(--("0"&amp;TRIM(RIGHT(SUBSTITUTE(TRIM(MID(SUBSTITUTE(SUBSTITUTE(Registro!$H587,";",CHAR(10)),CHAR(10),REPT(" ",LEN(Registro!$H587))),({1,2,3,4,5,6,7,8,9,10,11,12,13,14,15,16,17,18,19,20,21,22,23,24,25,26,27,28,29,30}-1)*LEN(Registro!$H587)+1,LEN(Registro!$H587)))," ",REPT(" ",50)),50)))),"Revisar formato"))</f>
        <v/>
      </c>
      <c r="J587" s="24" t="str">
        <f>IF(Registro!$I587="","",IFERROR(SUMPRODUCT(--("0"&amp;TRIM(RIGHT(SUBSTITUTE(TRIM(MID(SUBSTITUTE(SUBSTITUTE(Registro!$I587,";",CHAR(10)),CHAR(10),REPT(" ",LEN(Registro!$I587))),({1,2,3,4,5,6,7,8,9,10,11,12,13,14,15,16,17,18,19,20,21,22,23,24,25,26,27,28,29,30}-1)*LEN(Registro!$I587)+1,LEN(Registro!$I587)))," ",REPT(" ",50)),50)))),"Revisar formato"))</f>
        <v/>
      </c>
      <c r="K587" s="24" t="str">
        <f>IF(AND(Registro!$G587="",Registro!$H587=""),"",IF(AND(ISTEXT(I587),I587&lt;&gt;""),"Revisar formato",N(Registro!$G587)-N(I587)))</f>
        <v/>
      </c>
      <c r="L587" s="24" t="str">
        <f t="shared" si="19"/>
        <v/>
      </c>
      <c r="M587" s="36" t="str">
        <f>IF(AND(A587=Consulta!$B$3,C587=Consulta!$H$3),B587*10000+ROW(),"")</f>
        <v/>
      </c>
    </row>
    <row r="588" spans="1:13" x14ac:dyDescent="0.25">
      <c r="A588" s="21" t="str">
        <f>IF(Registro!$A588="","",Registro!$A588)</f>
        <v/>
      </c>
      <c r="B588" s="20" t="str">
        <f>IF(Registro!$B588="","",Registro!$B588)</f>
        <v/>
      </c>
      <c r="C588" s="35" t="str">
        <f t="shared" si="18"/>
        <v/>
      </c>
      <c r="D588" s="23" t="str">
        <f>IF(Registro!$E588="","",IF(ISERROR(FIND("x",LOWER(Registro!$E588))),"-",IFERROR(SUMPRODUCT(--("0"&amp;LEFT(TRIM(MID(SUBSTITUTE(SUBSTITUTE(SUBSTITUTE(SUBSTITUTE(SUBSTITUTE(LOWER(Registro!$E588),"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",LEN(Registro!$E588))),({1,2,3,4,5,6,7,8,9,10,11,12,13,14,15,16,17,18,19,20,21,22,23,24,25,26,27,28,29,30}-1)*LEN(Registro!$E588)+1,LEN(Registro!$E588))),FIND("x",TRIM(MID(SUBSTITUTE(SUBSTITUTE(SUBSTITUTE(SUBSTITUTE(SUBSTITUTE(LOWER(Registro!$E588),"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",LEN(Registro!$E588))),({1,2,3,4,5,6,7,8,9,10,11,12,13,14,15,16,17,18,19,20,21,22,23,24,25,26,27,28,29,30}-1)*LEN(Registro!$E588)+1,LEN(Registro!$E588)))&amp;"x")-1))),"Revisar formato")))</f>
        <v/>
      </c>
      <c r="E588" s="24" t="str">
        <f>IF(Registro!$E588="","",IF(ISERROR(FIND("x",LOWER(Registro!$E588))),"-",IFERROR(SUMPRODUCT(--("0"&amp;LEFT(TRIM(MID(SUBSTITUTE(SUBSTITUTE(SUBSTITUTE(SUBSTITUTE(SUBSTITUTE(LOWER(Registro!$E588),"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",LEN(Registro!$E588))),({1,2,3,4,5,6,7,8,9,10,11,12,13,14,15,16,17,18,19,20,21,22,23,24,25,26,27,28,29,30}-1)*LEN(Registro!$E588)+1,LEN(Registro!$E588))),FIND("x",TRIM(MID(SUBSTITUTE(SUBSTITUTE(SUBSTITUTE(SUBSTITUTE(SUBSTITUTE(LOWER(Registro!$E588),"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",LEN(Registro!$E588))),({1,2,3,4,5,6,7,8,9,10,11,12,13,14,15,16,17,18,19,20,21,22,23,24,25,26,27,28,29,30}-1)*LEN(Registro!$E588)+1,LEN(Registro!$E588)))&amp;"x")-1)),--("0"&amp;MID(TRIM(MID(SUBSTITUTE(SUBSTITUTE(SUBSTITUTE(SUBSTITUTE(SUBSTITUTE(LOWER(Registro!$E588),"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",LEN(Registro!$E588))),({1,2,3,4,5,6,7,8,9,10,11,12,13,14,15,16,17,18,19,20,21,22,23,24,25,26,27,28,29,30}-1)*LEN(Registro!$E588)+1,LEN(Registro!$E588))),FIND("x",TRIM(MID(SUBSTITUTE(SUBSTITUTE(SUBSTITUTE(SUBSTITUTE(SUBSTITUTE(LOWER(Registro!$E588),"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",LEN(Registro!$E588))),({1,2,3,4,5,6,7,8,9,10,11,12,13,14,15,16,17,18,19,20,21,22,23,24,25,26,27,28,29,30}-1)*LEN(Registro!$E588)+1,LEN(Registro!$E588)))&amp;"x")+1,20))),"Revisar formato")))</f>
        <v/>
      </c>
      <c r="F588" s="23" t="str">
        <f>IF(Registro!$F588="","",IF(ISERROR(FIND("x",LOWER(Registro!$F588))),"-",IFERROR(SUMPRODUCT(--("0"&amp;LEFT(TRIM(MID(SUBSTITUTE(SUBSTITUTE(SUBSTITUTE(SUBSTITUTE(SUBSTITUTE(LOWER(Registro!$F588)," ",""),CHAR(10),"|"),";","|"),"+","|"),"|",REPT(" ",LEN(Registro!$F588))),({1,2,3,4,5,6,7,8,9,10,11,12,13,14,15,16,17,18,19,20,21,22,23,24,25,26,27,28,29,30}-1)*LEN(Registro!$F588)+1,LEN(Registro!$F588))),FIND("x",TRIM(MID(SUBSTITUTE(SUBSTITUTE(SUBSTITUTE(SUBSTITUTE(SUBSTITUTE(LOWER(Registro!$F588)," ",""),CHAR(10),"|"),";","|"),"+","|"),"|",REPT(" ",LEN(Registro!$F588))),({1,2,3,4,5,6,7,8,9,10,11,12,13,14,15,16,17,18,19,20,21,22,23,24,25,26,27,28,29,30}-1)*LEN(Registro!$F588)+1,LEN(Registro!$F588)))&amp;"x")-1))),"Revisar formato")))</f>
        <v/>
      </c>
      <c r="G588" s="24" t="str">
        <f>IF(Registro!$F588="","",IF(ISERROR(FIND("x",LOWER(Registro!$F588))),N(Registro!$G588),IFERROR(SUMPRODUCT(--("0"&amp;LEFT(TRIM(MID(SUBSTITUTE(SUBSTITUTE(SUBSTITUTE(SUBSTITUTE(SUBSTITUTE(LOWER(Registro!$F588)," ",""),CHAR(10),"|"),";","|"),"+","|"),"|",REPT(" ",LEN(Registro!$F588))),({1,2,3,4,5,6,7,8,9,10,11,12,13,14,15,16,17,18,19,20,21,22,23,24,25,26,27,28,29,30}-1)*LEN(Registro!$F588)+1,LEN(Registro!$F588))),FIND("x",TRIM(MID(SUBSTITUTE(SUBSTITUTE(SUBSTITUTE(SUBSTITUTE(SUBSTITUTE(LOWER(Registro!$F588)," ",""),CHAR(10),"|"),";","|"),"+","|"),"|",REPT(" ",LEN(Registro!$F588))),({1,2,3,4,5,6,7,8,9,10,11,12,13,14,15,16,17,18,19,20,21,22,23,24,25,26,27,28,29,30}-1)*LEN(Registro!$F588)+1,LEN(Registro!$F588)))&amp;"x")-1)),--("0"&amp;MID(TRIM(MID(SUBSTITUTE(SUBSTITUTE(SUBSTITUTE(SUBSTITUTE(SUBSTITUTE(LOWER(Registro!$F588)," ",""),CHAR(10),"|"),";","|"),"+","|"),"|",REPT(" ",LEN(Registro!$F588))),({1,2,3,4,5,6,7,8,9,10,11,12,13,14,15,16,17,18,19,20,21,22,23,24,25,26,27,28,29,30}-1)*LEN(Registro!$F588)+1,LEN(Registro!$F588))),FIND("x",TRIM(MID(SUBSTITUTE(SUBSTITUTE(SUBSTITUTE(SUBSTITUTE(SUBSTITUTE(LOWER(Registro!$F588)," ",""),CHAR(10),"|"),";","|"),"+","|"),"|",REPT(" ",LEN(Registro!$F588))),({1,2,3,4,5,6,7,8,9,10,11,12,13,14,15,16,17,18,19,20,21,22,23,24,25,26,27,28,29,30}-1)*LEN(Registro!$F588)+1,LEN(Registro!$F588)))&amp;"x")+1,20))),"Revisar formato")))</f>
        <v/>
      </c>
      <c r="H588" s="21" t="str">
        <f>IF(AND(Registro!$E588="",Registro!$F588=""),"",IF(NOT(AND(ISNUMBER(G588),ISNUMBER(Registro!$G588))),"",IF(G588&lt;Registro!$G588,"FALTA BOLETOS",IF(G588=Registro!$G588,"CONFORME","DIFERENCIA"))))</f>
        <v/>
      </c>
      <c r="I588" s="24" t="str">
        <f>IF(Registro!$H588="","",IFERROR(SUMPRODUCT(--("0"&amp;TRIM(RIGHT(SUBSTITUTE(TRIM(MID(SUBSTITUTE(SUBSTITUTE(Registro!$H588,";",CHAR(10)),CHAR(10),REPT(" ",LEN(Registro!$H588))),({1,2,3,4,5,6,7,8,9,10,11,12,13,14,15,16,17,18,19,20,21,22,23,24,25,26,27,28,29,30}-1)*LEN(Registro!$H588)+1,LEN(Registro!$H588)))," ",REPT(" ",50)),50)))),"Revisar formato"))</f>
        <v/>
      </c>
      <c r="J588" s="24" t="str">
        <f>IF(Registro!$I588="","",IFERROR(SUMPRODUCT(--("0"&amp;TRIM(RIGHT(SUBSTITUTE(TRIM(MID(SUBSTITUTE(SUBSTITUTE(Registro!$I588,";",CHAR(10)),CHAR(10),REPT(" ",LEN(Registro!$I588))),({1,2,3,4,5,6,7,8,9,10,11,12,13,14,15,16,17,18,19,20,21,22,23,24,25,26,27,28,29,30}-1)*LEN(Registro!$I588)+1,LEN(Registro!$I588)))," ",REPT(" ",50)),50)))),"Revisar formato"))</f>
        <v/>
      </c>
      <c r="K588" s="24" t="str">
        <f>IF(AND(Registro!$G588="",Registro!$H588=""),"",IF(AND(ISTEXT(I588),I588&lt;&gt;""),"Revisar formato",N(Registro!$G588)-N(I588)))</f>
        <v/>
      </c>
      <c r="L588" s="24" t="str">
        <f t="shared" si="19"/>
        <v/>
      </c>
      <c r="M588" s="36" t="str">
        <f>IF(AND(A588=Consulta!$B$3,C588=Consulta!$H$3),B588*10000+ROW(),"")</f>
        <v/>
      </c>
    </row>
    <row r="589" spans="1:13" x14ac:dyDescent="0.25">
      <c r="A589" s="21" t="str">
        <f>IF(Registro!$A589="","",Registro!$A589)</f>
        <v/>
      </c>
      <c r="B589" s="20" t="str">
        <f>IF(Registro!$B589="","",Registro!$B589)</f>
        <v/>
      </c>
      <c r="C589" s="35" t="str">
        <f t="shared" si="18"/>
        <v/>
      </c>
      <c r="D589" s="23" t="str">
        <f>IF(Registro!$E589="","",IF(ISERROR(FIND("x",LOWER(Registro!$E589))),"-",IFERROR(SUMPRODUCT(--("0"&amp;LEFT(TRIM(MID(SUBSTITUTE(SUBSTITUTE(SUBSTITUTE(SUBSTITUTE(SUBSTITUTE(LOWER(Registro!$E589),"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",LEN(Registro!$E589))),({1,2,3,4,5,6,7,8,9,10,11,12,13,14,15,16,17,18,19,20,21,22,23,24,25,26,27,28,29,30}-1)*LEN(Registro!$E589)+1,LEN(Registro!$E589))),FIND("x",TRIM(MID(SUBSTITUTE(SUBSTITUTE(SUBSTITUTE(SUBSTITUTE(SUBSTITUTE(LOWER(Registro!$E589),"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",LEN(Registro!$E589))),({1,2,3,4,5,6,7,8,9,10,11,12,13,14,15,16,17,18,19,20,21,22,23,24,25,26,27,28,29,30}-1)*LEN(Registro!$E589)+1,LEN(Registro!$E589)))&amp;"x")-1))),"Revisar formato")))</f>
        <v/>
      </c>
      <c r="E589" s="24" t="str">
        <f>IF(Registro!$E589="","",IF(ISERROR(FIND("x",LOWER(Registro!$E589))),"-",IFERROR(SUMPRODUCT(--("0"&amp;LEFT(TRIM(MID(SUBSTITUTE(SUBSTITUTE(SUBSTITUTE(SUBSTITUTE(SUBSTITUTE(LOWER(Registro!$E589),"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",LEN(Registro!$E589))),({1,2,3,4,5,6,7,8,9,10,11,12,13,14,15,16,17,18,19,20,21,22,23,24,25,26,27,28,29,30}-1)*LEN(Registro!$E589)+1,LEN(Registro!$E589))),FIND("x",TRIM(MID(SUBSTITUTE(SUBSTITUTE(SUBSTITUTE(SUBSTITUTE(SUBSTITUTE(LOWER(Registro!$E589),"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",LEN(Registro!$E589))),({1,2,3,4,5,6,7,8,9,10,11,12,13,14,15,16,17,18,19,20,21,22,23,24,25,26,27,28,29,30}-1)*LEN(Registro!$E589)+1,LEN(Registro!$E589)))&amp;"x")-1)),--("0"&amp;MID(TRIM(MID(SUBSTITUTE(SUBSTITUTE(SUBSTITUTE(SUBSTITUTE(SUBSTITUTE(LOWER(Registro!$E589),"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",LEN(Registro!$E589))),({1,2,3,4,5,6,7,8,9,10,11,12,13,14,15,16,17,18,19,20,21,22,23,24,25,26,27,28,29,30}-1)*LEN(Registro!$E589)+1,LEN(Registro!$E589))),FIND("x",TRIM(MID(SUBSTITUTE(SUBSTITUTE(SUBSTITUTE(SUBSTITUTE(SUBSTITUTE(LOWER(Registro!$E589),"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",LEN(Registro!$E589))),({1,2,3,4,5,6,7,8,9,10,11,12,13,14,15,16,17,18,19,20,21,22,23,24,25,26,27,28,29,30}-1)*LEN(Registro!$E589)+1,LEN(Registro!$E589)))&amp;"x")+1,20))),"Revisar formato")))</f>
        <v/>
      </c>
      <c r="F589" s="23" t="str">
        <f>IF(Registro!$F589="","",IF(ISERROR(FIND("x",LOWER(Registro!$F589))),"-",IFERROR(SUMPRODUCT(--("0"&amp;LEFT(TRIM(MID(SUBSTITUTE(SUBSTITUTE(SUBSTITUTE(SUBSTITUTE(SUBSTITUTE(LOWER(Registro!$F589)," ",""),CHAR(10),"|"),";","|"),"+","|"),"|",REPT(" ",LEN(Registro!$F589))),({1,2,3,4,5,6,7,8,9,10,11,12,13,14,15,16,17,18,19,20,21,22,23,24,25,26,27,28,29,30}-1)*LEN(Registro!$F589)+1,LEN(Registro!$F589))),FIND("x",TRIM(MID(SUBSTITUTE(SUBSTITUTE(SUBSTITUTE(SUBSTITUTE(SUBSTITUTE(LOWER(Registro!$F589)," ",""),CHAR(10),"|"),";","|"),"+","|"),"|",REPT(" ",LEN(Registro!$F589))),({1,2,3,4,5,6,7,8,9,10,11,12,13,14,15,16,17,18,19,20,21,22,23,24,25,26,27,28,29,30}-1)*LEN(Registro!$F589)+1,LEN(Registro!$F589)))&amp;"x")-1))),"Revisar formato")))</f>
        <v/>
      </c>
      <c r="G589" s="24" t="str">
        <f>IF(Registro!$F589="","",IF(ISERROR(FIND("x",LOWER(Registro!$F589))),N(Registro!$G589),IFERROR(SUMPRODUCT(--("0"&amp;LEFT(TRIM(MID(SUBSTITUTE(SUBSTITUTE(SUBSTITUTE(SUBSTITUTE(SUBSTITUTE(LOWER(Registro!$F589)," ",""),CHAR(10),"|"),";","|"),"+","|"),"|",REPT(" ",LEN(Registro!$F589))),({1,2,3,4,5,6,7,8,9,10,11,12,13,14,15,16,17,18,19,20,21,22,23,24,25,26,27,28,29,30}-1)*LEN(Registro!$F589)+1,LEN(Registro!$F589))),FIND("x",TRIM(MID(SUBSTITUTE(SUBSTITUTE(SUBSTITUTE(SUBSTITUTE(SUBSTITUTE(LOWER(Registro!$F589)," ",""),CHAR(10),"|"),";","|"),"+","|"),"|",REPT(" ",LEN(Registro!$F589))),({1,2,3,4,5,6,7,8,9,10,11,12,13,14,15,16,17,18,19,20,21,22,23,24,25,26,27,28,29,30}-1)*LEN(Registro!$F589)+1,LEN(Registro!$F589)))&amp;"x")-1)),--("0"&amp;MID(TRIM(MID(SUBSTITUTE(SUBSTITUTE(SUBSTITUTE(SUBSTITUTE(SUBSTITUTE(LOWER(Registro!$F589)," ",""),CHAR(10),"|"),";","|"),"+","|"),"|",REPT(" ",LEN(Registro!$F589))),({1,2,3,4,5,6,7,8,9,10,11,12,13,14,15,16,17,18,19,20,21,22,23,24,25,26,27,28,29,30}-1)*LEN(Registro!$F589)+1,LEN(Registro!$F589))),FIND("x",TRIM(MID(SUBSTITUTE(SUBSTITUTE(SUBSTITUTE(SUBSTITUTE(SUBSTITUTE(LOWER(Registro!$F589)," ",""),CHAR(10),"|"),";","|"),"+","|"),"|",REPT(" ",LEN(Registro!$F589))),({1,2,3,4,5,6,7,8,9,10,11,12,13,14,15,16,17,18,19,20,21,22,23,24,25,26,27,28,29,30}-1)*LEN(Registro!$F589)+1,LEN(Registro!$F589)))&amp;"x")+1,20))),"Revisar formato")))</f>
        <v/>
      </c>
      <c r="H589" s="21" t="str">
        <f>IF(AND(Registro!$E589="",Registro!$F589=""),"",IF(NOT(AND(ISNUMBER(G589),ISNUMBER(Registro!$G589))),"",IF(G589&lt;Registro!$G589,"FALTA BOLETOS",IF(G589=Registro!$G589,"CONFORME","DIFERENCIA"))))</f>
        <v/>
      </c>
      <c r="I589" s="24" t="str">
        <f>IF(Registro!$H589="","",IFERROR(SUMPRODUCT(--("0"&amp;TRIM(RIGHT(SUBSTITUTE(TRIM(MID(SUBSTITUTE(SUBSTITUTE(Registro!$H589,";",CHAR(10)),CHAR(10),REPT(" ",LEN(Registro!$H589))),({1,2,3,4,5,6,7,8,9,10,11,12,13,14,15,16,17,18,19,20,21,22,23,24,25,26,27,28,29,30}-1)*LEN(Registro!$H589)+1,LEN(Registro!$H589)))," ",REPT(" ",50)),50)))),"Revisar formato"))</f>
        <v/>
      </c>
      <c r="J589" s="24" t="str">
        <f>IF(Registro!$I589="","",IFERROR(SUMPRODUCT(--("0"&amp;TRIM(RIGHT(SUBSTITUTE(TRIM(MID(SUBSTITUTE(SUBSTITUTE(Registro!$I589,";",CHAR(10)),CHAR(10),REPT(" ",LEN(Registro!$I589))),({1,2,3,4,5,6,7,8,9,10,11,12,13,14,15,16,17,18,19,20,21,22,23,24,25,26,27,28,29,30}-1)*LEN(Registro!$I589)+1,LEN(Registro!$I589)))," ",REPT(" ",50)),50)))),"Revisar formato"))</f>
        <v/>
      </c>
      <c r="K589" s="24" t="str">
        <f>IF(AND(Registro!$G589="",Registro!$H589=""),"",IF(AND(ISTEXT(I589),I589&lt;&gt;""),"Revisar formato",N(Registro!$G589)-N(I589)))</f>
        <v/>
      </c>
      <c r="L589" s="24" t="str">
        <f t="shared" si="19"/>
        <v/>
      </c>
      <c r="M589" s="36" t="str">
        <f>IF(AND(A589=Consulta!$B$3,C589=Consulta!$H$3),B589*10000+ROW(),"")</f>
        <v/>
      </c>
    </row>
    <row r="590" spans="1:13" x14ac:dyDescent="0.25">
      <c r="A590" s="21" t="str">
        <f>IF(Registro!$A590="","",Registro!$A590)</f>
        <v/>
      </c>
      <c r="B590" s="20" t="str">
        <f>IF(Registro!$B590="","",Registro!$B590)</f>
        <v/>
      </c>
      <c r="C590" s="35" t="str">
        <f t="shared" si="18"/>
        <v/>
      </c>
      <c r="D590" s="23" t="str">
        <f>IF(Registro!$E590="","",IF(ISERROR(FIND("x",LOWER(Registro!$E590))),"-",IFERROR(SUMPRODUCT(--("0"&amp;LEFT(TRIM(MID(SUBSTITUTE(SUBSTITUTE(SUBSTITUTE(SUBSTITUTE(SUBSTITUTE(LOWER(Registro!$E590),"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",LEN(Registro!$E590))),({1,2,3,4,5,6,7,8,9,10,11,12,13,14,15,16,17,18,19,20,21,22,23,24,25,26,27,28,29,30}-1)*LEN(Registro!$E590)+1,LEN(Registro!$E590))),FIND("x",TRIM(MID(SUBSTITUTE(SUBSTITUTE(SUBSTITUTE(SUBSTITUTE(SUBSTITUTE(LOWER(Registro!$E590),"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",LEN(Registro!$E590))),({1,2,3,4,5,6,7,8,9,10,11,12,13,14,15,16,17,18,19,20,21,22,23,24,25,26,27,28,29,30}-1)*LEN(Registro!$E590)+1,LEN(Registro!$E590)))&amp;"x")-1))),"Revisar formato")))</f>
        <v/>
      </c>
      <c r="E590" s="24" t="str">
        <f>IF(Registro!$E590="","",IF(ISERROR(FIND("x",LOWER(Registro!$E590))),"-",IFERROR(SUMPRODUCT(--("0"&amp;LEFT(TRIM(MID(SUBSTITUTE(SUBSTITUTE(SUBSTITUTE(SUBSTITUTE(SUBSTITUTE(LOWER(Registro!$E590),"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",LEN(Registro!$E590))),({1,2,3,4,5,6,7,8,9,10,11,12,13,14,15,16,17,18,19,20,21,22,23,24,25,26,27,28,29,30}-1)*LEN(Registro!$E590)+1,LEN(Registro!$E590))),FIND("x",TRIM(MID(SUBSTITUTE(SUBSTITUTE(SUBSTITUTE(SUBSTITUTE(SUBSTITUTE(LOWER(Registro!$E590),"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",LEN(Registro!$E590))),({1,2,3,4,5,6,7,8,9,10,11,12,13,14,15,16,17,18,19,20,21,22,23,24,25,26,27,28,29,30}-1)*LEN(Registro!$E590)+1,LEN(Registro!$E590)))&amp;"x")-1)),--("0"&amp;MID(TRIM(MID(SUBSTITUTE(SUBSTITUTE(SUBSTITUTE(SUBSTITUTE(SUBSTITUTE(LOWER(Registro!$E590),"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",LEN(Registro!$E590))),({1,2,3,4,5,6,7,8,9,10,11,12,13,14,15,16,17,18,19,20,21,22,23,24,25,26,27,28,29,30}-1)*LEN(Registro!$E590)+1,LEN(Registro!$E590))),FIND("x",TRIM(MID(SUBSTITUTE(SUBSTITUTE(SUBSTITUTE(SUBSTITUTE(SUBSTITUTE(LOWER(Registro!$E590),"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",LEN(Registro!$E590))),({1,2,3,4,5,6,7,8,9,10,11,12,13,14,15,16,17,18,19,20,21,22,23,24,25,26,27,28,29,30}-1)*LEN(Registro!$E590)+1,LEN(Registro!$E590)))&amp;"x")+1,20))),"Revisar formato")))</f>
        <v/>
      </c>
      <c r="F590" s="23" t="str">
        <f>IF(Registro!$F590="","",IF(ISERROR(FIND("x",LOWER(Registro!$F590))),"-",IFERROR(SUMPRODUCT(--("0"&amp;LEFT(TRIM(MID(SUBSTITUTE(SUBSTITUTE(SUBSTITUTE(SUBSTITUTE(SUBSTITUTE(LOWER(Registro!$F590)," ",""),CHAR(10),"|"),";","|"),"+","|"),"|",REPT(" ",LEN(Registro!$F590))),({1,2,3,4,5,6,7,8,9,10,11,12,13,14,15,16,17,18,19,20,21,22,23,24,25,26,27,28,29,30}-1)*LEN(Registro!$F590)+1,LEN(Registro!$F590))),FIND("x",TRIM(MID(SUBSTITUTE(SUBSTITUTE(SUBSTITUTE(SUBSTITUTE(SUBSTITUTE(LOWER(Registro!$F590)," ",""),CHAR(10),"|"),";","|"),"+","|"),"|",REPT(" ",LEN(Registro!$F590))),({1,2,3,4,5,6,7,8,9,10,11,12,13,14,15,16,17,18,19,20,21,22,23,24,25,26,27,28,29,30}-1)*LEN(Registro!$F590)+1,LEN(Registro!$F590)))&amp;"x")-1))),"Revisar formato")))</f>
        <v/>
      </c>
      <c r="G590" s="24" t="str">
        <f>IF(Registro!$F590="","",IF(ISERROR(FIND("x",LOWER(Registro!$F590))),N(Registro!$G590),IFERROR(SUMPRODUCT(--("0"&amp;LEFT(TRIM(MID(SUBSTITUTE(SUBSTITUTE(SUBSTITUTE(SUBSTITUTE(SUBSTITUTE(LOWER(Registro!$F590)," ",""),CHAR(10),"|"),";","|"),"+","|"),"|",REPT(" ",LEN(Registro!$F590))),({1,2,3,4,5,6,7,8,9,10,11,12,13,14,15,16,17,18,19,20,21,22,23,24,25,26,27,28,29,30}-1)*LEN(Registro!$F590)+1,LEN(Registro!$F590))),FIND("x",TRIM(MID(SUBSTITUTE(SUBSTITUTE(SUBSTITUTE(SUBSTITUTE(SUBSTITUTE(LOWER(Registro!$F590)," ",""),CHAR(10),"|"),";","|"),"+","|"),"|",REPT(" ",LEN(Registro!$F590))),({1,2,3,4,5,6,7,8,9,10,11,12,13,14,15,16,17,18,19,20,21,22,23,24,25,26,27,28,29,30}-1)*LEN(Registro!$F590)+1,LEN(Registro!$F590)))&amp;"x")-1)),--("0"&amp;MID(TRIM(MID(SUBSTITUTE(SUBSTITUTE(SUBSTITUTE(SUBSTITUTE(SUBSTITUTE(LOWER(Registro!$F590)," ",""),CHAR(10),"|"),";","|"),"+","|"),"|",REPT(" ",LEN(Registro!$F590))),({1,2,3,4,5,6,7,8,9,10,11,12,13,14,15,16,17,18,19,20,21,22,23,24,25,26,27,28,29,30}-1)*LEN(Registro!$F590)+1,LEN(Registro!$F590))),FIND("x",TRIM(MID(SUBSTITUTE(SUBSTITUTE(SUBSTITUTE(SUBSTITUTE(SUBSTITUTE(LOWER(Registro!$F590)," ",""),CHAR(10),"|"),";","|"),"+","|"),"|",REPT(" ",LEN(Registro!$F590))),({1,2,3,4,5,6,7,8,9,10,11,12,13,14,15,16,17,18,19,20,21,22,23,24,25,26,27,28,29,30}-1)*LEN(Registro!$F590)+1,LEN(Registro!$F590)))&amp;"x")+1,20))),"Revisar formato")))</f>
        <v/>
      </c>
      <c r="H590" s="21" t="str">
        <f>IF(AND(Registro!$E590="",Registro!$F590=""),"",IF(NOT(AND(ISNUMBER(G590),ISNUMBER(Registro!$G590))),"",IF(G590&lt;Registro!$G590,"FALTA BOLETOS",IF(G590=Registro!$G590,"CONFORME","DIFERENCIA"))))</f>
        <v/>
      </c>
      <c r="I590" s="24" t="str">
        <f>IF(Registro!$H590="","",IFERROR(SUMPRODUCT(--("0"&amp;TRIM(RIGHT(SUBSTITUTE(TRIM(MID(SUBSTITUTE(SUBSTITUTE(Registro!$H590,";",CHAR(10)),CHAR(10),REPT(" ",LEN(Registro!$H590))),({1,2,3,4,5,6,7,8,9,10,11,12,13,14,15,16,17,18,19,20,21,22,23,24,25,26,27,28,29,30}-1)*LEN(Registro!$H590)+1,LEN(Registro!$H590)))," ",REPT(" ",50)),50)))),"Revisar formato"))</f>
        <v/>
      </c>
      <c r="J590" s="24" t="str">
        <f>IF(Registro!$I590="","",IFERROR(SUMPRODUCT(--("0"&amp;TRIM(RIGHT(SUBSTITUTE(TRIM(MID(SUBSTITUTE(SUBSTITUTE(Registro!$I590,";",CHAR(10)),CHAR(10),REPT(" ",LEN(Registro!$I590))),({1,2,3,4,5,6,7,8,9,10,11,12,13,14,15,16,17,18,19,20,21,22,23,24,25,26,27,28,29,30}-1)*LEN(Registro!$I590)+1,LEN(Registro!$I590)))," ",REPT(" ",50)),50)))),"Revisar formato"))</f>
        <v/>
      </c>
      <c r="K590" s="24" t="str">
        <f>IF(AND(Registro!$G590="",Registro!$H590=""),"",IF(AND(ISTEXT(I590),I590&lt;&gt;""),"Revisar formato",N(Registro!$G590)-N(I590)))</f>
        <v/>
      </c>
      <c r="L590" s="24" t="str">
        <f t="shared" si="19"/>
        <v/>
      </c>
      <c r="M590" s="36" t="str">
        <f>IF(AND(A590=Consulta!$B$3,C590=Consulta!$H$3),B590*10000+ROW(),"")</f>
        <v/>
      </c>
    </row>
    <row r="591" spans="1:13" x14ac:dyDescent="0.25">
      <c r="A591" s="21" t="str">
        <f>IF(Registro!$A591="","",Registro!$A591)</f>
        <v/>
      </c>
      <c r="B591" s="20" t="str">
        <f>IF(Registro!$B591="","",Registro!$B591)</f>
        <v/>
      </c>
      <c r="C591" s="35" t="str">
        <f t="shared" si="18"/>
        <v/>
      </c>
      <c r="D591" s="23" t="str">
        <f>IF(Registro!$E591="","",IF(ISERROR(FIND("x",LOWER(Registro!$E591))),"-",IFERROR(SUMPRODUCT(--("0"&amp;LEFT(TRIM(MID(SUBSTITUTE(SUBSTITUTE(SUBSTITUTE(SUBSTITUTE(SUBSTITUTE(LOWER(Registro!$E591),"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",LEN(Registro!$E591))),({1,2,3,4,5,6,7,8,9,10,11,12,13,14,15,16,17,18,19,20,21,22,23,24,25,26,27,28,29,30}-1)*LEN(Registro!$E591)+1,LEN(Registro!$E591))),FIND("x",TRIM(MID(SUBSTITUTE(SUBSTITUTE(SUBSTITUTE(SUBSTITUTE(SUBSTITUTE(LOWER(Registro!$E591),"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",LEN(Registro!$E591))),({1,2,3,4,5,6,7,8,9,10,11,12,13,14,15,16,17,18,19,20,21,22,23,24,25,26,27,28,29,30}-1)*LEN(Registro!$E591)+1,LEN(Registro!$E591)))&amp;"x")-1))),"Revisar formato")))</f>
        <v/>
      </c>
      <c r="E591" s="24" t="str">
        <f>IF(Registro!$E591="","",IF(ISERROR(FIND("x",LOWER(Registro!$E591))),"-",IFERROR(SUMPRODUCT(--("0"&amp;LEFT(TRIM(MID(SUBSTITUTE(SUBSTITUTE(SUBSTITUTE(SUBSTITUTE(SUBSTITUTE(LOWER(Registro!$E591),"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",LEN(Registro!$E591))),({1,2,3,4,5,6,7,8,9,10,11,12,13,14,15,16,17,18,19,20,21,22,23,24,25,26,27,28,29,30}-1)*LEN(Registro!$E591)+1,LEN(Registro!$E591))),FIND("x",TRIM(MID(SUBSTITUTE(SUBSTITUTE(SUBSTITUTE(SUBSTITUTE(SUBSTITUTE(LOWER(Registro!$E591),"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",LEN(Registro!$E591))),({1,2,3,4,5,6,7,8,9,10,11,12,13,14,15,16,17,18,19,20,21,22,23,24,25,26,27,28,29,30}-1)*LEN(Registro!$E591)+1,LEN(Registro!$E591)))&amp;"x")-1)),--("0"&amp;MID(TRIM(MID(SUBSTITUTE(SUBSTITUTE(SUBSTITUTE(SUBSTITUTE(SUBSTITUTE(LOWER(Registro!$E591),"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",LEN(Registro!$E591))),({1,2,3,4,5,6,7,8,9,10,11,12,13,14,15,16,17,18,19,20,21,22,23,24,25,26,27,28,29,30}-1)*LEN(Registro!$E591)+1,LEN(Registro!$E591))),FIND("x",TRIM(MID(SUBSTITUTE(SUBSTITUTE(SUBSTITUTE(SUBSTITUTE(SUBSTITUTE(LOWER(Registro!$E591),"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",LEN(Registro!$E591))),({1,2,3,4,5,6,7,8,9,10,11,12,13,14,15,16,17,18,19,20,21,22,23,24,25,26,27,28,29,30}-1)*LEN(Registro!$E591)+1,LEN(Registro!$E591)))&amp;"x")+1,20))),"Revisar formato")))</f>
        <v/>
      </c>
      <c r="F591" s="23" t="str">
        <f>IF(Registro!$F591="","",IF(ISERROR(FIND("x",LOWER(Registro!$F591))),"-",IFERROR(SUMPRODUCT(--("0"&amp;LEFT(TRIM(MID(SUBSTITUTE(SUBSTITUTE(SUBSTITUTE(SUBSTITUTE(SUBSTITUTE(LOWER(Registro!$F591)," ",""),CHAR(10),"|"),";","|"),"+","|"),"|",REPT(" ",LEN(Registro!$F591))),({1,2,3,4,5,6,7,8,9,10,11,12,13,14,15,16,17,18,19,20,21,22,23,24,25,26,27,28,29,30}-1)*LEN(Registro!$F591)+1,LEN(Registro!$F591))),FIND("x",TRIM(MID(SUBSTITUTE(SUBSTITUTE(SUBSTITUTE(SUBSTITUTE(SUBSTITUTE(LOWER(Registro!$F591)," ",""),CHAR(10),"|"),";","|"),"+","|"),"|",REPT(" ",LEN(Registro!$F591))),({1,2,3,4,5,6,7,8,9,10,11,12,13,14,15,16,17,18,19,20,21,22,23,24,25,26,27,28,29,30}-1)*LEN(Registro!$F591)+1,LEN(Registro!$F591)))&amp;"x")-1))),"Revisar formato")))</f>
        <v/>
      </c>
      <c r="G591" s="24" t="str">
        <f>IF(Registro!$F591="","",IF(ISERROR(FIND("x",LOWER(Registro!$F591))),N(Registro!$G591),IFERROR(SUMPRODUCT(--("0"&amp;LEFT(TRIM(MID(SUBSTITUTE(SUBSTITUTE(SUBSTITUTE(SUBSTITUTE(SUBSTITUTE(LOWER(Registro!$F591)," ",""),CHAR(10),"|"),";","|"),"+","|"),"|",REPT(" ",LEN(Registro!$F591))),({1,2,3,4,5,6,7,8,9,10,11,12,13,14,15,16,17,18,19,20,21,22,23,24,25,26,27,28,29,30}-1)*LEN(Registro!$F591)+1,LEN(Registro!$F591))),FIND("x",TRIM(MID(SUBSTITUTE(SUBSTITUTE(SUBSTITUTE(SUBSTITUTE(SUBSTITUTE(LOWER(Registro!$F591)," ",""),CHAR(10),"|"),";","|"),"+","|"),"|",REPT(" ",LEN(Registro!$F591))),({1,2,3,4,5,6,7,8,9,10,11,12,13,14,15,16,17,18,19,20,21,22,23,24,25,26,27,28,29,30}-1)*LEN(Registro!$F591)+1,LEN(Registro!$F591)))&amp;"x")-1)),--("0"&amp;MID(TRIM(MID(SUBSTITUTE(SUBSTITUTE(SUBSTITUTE(SUBSTITUTE(SUBSTITUTE(LOWER(Registro!$F591)," ",""),CHAR(10),"|"),";","|"),"+","|"),"|",REPT(" ",LEN(Registro!$F591))),({1,2,3,4,5,6,7,8,9,10,11,12,13,14,15,16,17,18,19,20,21,22,23,24,25,26,27,28,29,30}-1)*LEN(Registro!$F591)+1,LEN(Registro!$F591))),FIND("x",TRIM(MID(SUBSTITUTE(SUBSTITUTE(SUBSTITUTE(SUBSTITUTE(SUBSTITUTE(LOWER(Registro!$F591)," ",""),CHAR(10),"|"),";","|"),"+","|"),"|",REPT(" ",LEN(Registro!$F591))),({1,2,3,4,5,6,7,8,9,10,11,12,13,14,15,16,17,18,19,20,21,22,23,24,25,26,27,28,29,30}-1)*LEN(Registro!$F591)+1,LEN(Registro!$F591)))&amp;"x")+1,20))),"Revisar formato")))</f>
        <v/>
      </c>
      <c r="H591" s="21" t="str">
        <f>IF(AND(Registro!$E591="",Registro!$F591=""),"",IF(NOT(AND(ISNUMBER(G591),ISNUMBER(Registro!$G591))),"",IF(G591&lt;Registro!$G591,"FALTA BOLETOS",IF(G591=Registro!$G591,"CONFORME","DIFERENCIA"))))</f>
        <v/>
      </c>
      <c r="I591" s="24" t="str">
        <f>IF(Registro!$H591="","",IFERROR(SUMPRODUCT(--("0"&amp;TRIM(RIGHT(SUBSTITUTE(TRIM(MID(SUBSTITUTE(SUBSTITUTE(Registro!$H591,";",CHAR(10)),CHAR(10),REPT(" ",LEN(Registro!$H591))),({1,2,3,4,5,6,7,8,9,10,11,12,13,14,15,16,17,18,19,20,21,22,23,24,25,26,27,28,29,30}-1)*LEN(Registro!$H591)+1,LEN(Registro!$H591)))," ",REPT(" ",50)),50)))),"Revisar formato"))</f>
        <v/>
      </c>
      <c r="J591" s="24" t="str">
        <f>IF(Registro!$I591="","",IFERROR(SUMPRODUCT(--("0"&amp;TRIM(RIGHT(SUBSTITUTE(TRIM(MID(SUBSTITUTE(SUBSTITUTE(Registro!$I591,";",CHAR(10)),CHAR(10),REPT(" ",LEN(Registro!$I591))),({1,2,3,4,5,6,7,8,9,10,11,12,13,14,15,16,17,18,19,20,21,22,23,24,25,26,27,28,29,30}-1)*LEN(Registro!$I591)+1,LEN(Registro!$I591)))," ",REPT(" ",50)),50)))),"Revisar formato"))</f>
        <v/>
      </c>
      <c r="K591" s="24" t="str">
        <f>IF(AND(Registro!$G591="",Registro!$H591=""),"",IF(AND(ISTEXT(I591),I591&lt;&gt;""),"Revisar formato",N(Registro!$G591)-N(I591)))</f>
        <v/>
      </c>
      <c r="L591" s="24" t="str">
        <f t="shared" si="19"/>
        <v/>
      </c>
      <c r="M591" s="36" t="str">
        <f>IF(AND(A591=Consulta!$B$3,C591=Consulta!$H$3),B591*10000+ROW(),"")</f>
        <v/>
      </c>
    </row>
    <row r="592" spans="1:13" x14ac:dyDescent="0.25">
      <c r="A592" s="21" t="str">
        <f>IF(Registro!$A592="","",Registro!$A592)</f>
        <v/>
      </c>
      <c r="B592" s="20" t="str">
        <f>IF(Registro!$B592="","",Registro!$B592)</f>
        <v/>
      </c>
      <c r="C592" s="35" t="str">
        <f t="shared" si="18"/>
        <v/>
      </c>
      <c r="D592" s="23" t="str">
        <f>IF(Registro!$E592="","",IF(ISERROR(FIND("x",LOWER(Registro!$E592))),"-",IFERROR(SUMPRODUCT(--("0"&amp;LEFT(TRIM(MID(SUBSTITUTE(SUBSTITUTE(SUBSTITUTE(SUBSTITUTE(SUBSTITUTE(LOWER(Registro!$E592),"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",LEN(Registro!$E592))),({1,2,3,4,5,6,7,8,9,10,11,12,13,14,15,16,17,18,19,20,21,22,23,24,25,26,27,28,29,30}-1)*LEN(Registro!$E592)+1,LEN(Registro!$E592))),FIND("x",TRIM(MID(SUBSTITUTE(SUBSTITUTE(SUBSTITUTE(SUBSTITUTE(SUBSTITUTE(LOWER(Registro!$E592),"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",LEN(Registro!$E592))),({1,2,3,4,5,6,7,8,9,10,11,12,13,14,15,16,17,18,19,20,21,22,23,24,25,26,27,28,29,30}-1)*LEN(Registro!$E592)+1,LEN(Registro!$E592)))&amp;"x")-1))),"Revisar formato")))</f>
        <v/>
      </c>
      <c r="E592" s="24" t="str">
        <f>IF(Registro!$E592="","",IF(ISERROR(FIND("x",LOWER(Registro!$E592))),"-",IFERROR(SUMPRODUCT(--("0"&amp;LEFT(TRIM(MID(SUBSTITUTE(SUBSTITUTE(SUBSTITUTE(SUBSTITUTE(SUBSTITUTE(LOWER(Registro!$E592),"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",LEN(Registro!$E592))),({1,2,3,4,5,6,7,8,9,10,11,12,13,14,15,16,17,18,19,20,21,22,23,24,25,26,27,28,29,30}-1)*LEN(Registro!$E592)+1,LEN(Registro!$E592))),FIND("x",TRIM(MID(SUBSTITUTE(SUBSTITUTE(SUBSTITUTE(SUBSTITUTE(SUBSTITUTE(LOWER(Registro!$E592),"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",LEN(Registro!$E592))),({1,2,3,4,5,6,7,8,9,10,11,12,13,14,15,16,17,18,19,20,21,22,23,24,25,26,27,28,29,30}-1)*LEN(Registro!$E592)+1,LEN(Registro!$E592)))&amp;"x")-1)),--("0"&amp;MID(TRIM(MID(SUBSTITUTE(SUBSTITUTE(SUBSTITUTE(SUBSTITUTE(SUBSTITUTE(LOWER(Registro!$E592),"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",LEN(Registro!$E592))),({1,2,3,4,5,6,7,8,9,10,11,12,13,14,15,16,17,18,19,20,21,22,23,24,25,26,27,28,29,30}-1)*LEN(Registro!$E592)+1,LEN(Registro!$E592))),FIND("x",TRIM(MID(SUBSTITUTE(SUBSTITUTE(SUBSTITUTE(SUBSTITUTE(SUBSTITUTE(LOWER(Registro!$E592),"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",LEN(Registro!$E592))),({1,2,3,4,5,6,7,8,9,10,11,12,13,14,15,16,17,18,19,20,21,22,23,24,25,26,27,28,29,30}-1)*LEN(Registro!$E592)+1,LEN(Registro!$E592)))&amp;"x")+1,20))),"Revisar formato")))</f>
        <v/>
      </c>
      <c r="F592" s="23" t="str">
        <f>IF(Registro!$F592="","",IF(ISERROR(FIND("x",LOWER(Registro!$F592))),"-",IFERROR(SUMPRODUCT(--("0"&amp;LEFT(TRIM(MID(SUBSTITUTE(SUBSTITUTE(SUBSTITUTE(SUBSTITUTE(SUBSTITUTE(LOWER(Registro!$F592)," ",""),CHAR(10),"|"),";","|"),"+","|"),"|",REPT(" ",LEN(Registro!$F592))),({1,2,3,4,5,6,7,8,9,10,11,12,13,14,15,16,17,18,19,20,21,22,23,24,25,26,27,28,29,30}-1)*LEN(Registro!$F592)+1,LEN(Registro!$F592))),FIND("x",TRIM(MID(SUBSTITUTE(SUBSTITUTE(SUBSTITUTE(SUBSTITUTE(SUBSTITUTE(LOWER(Registro!$F592)," ",""),CHAR(10),"|"),";","|"),"+","|"),"|",REPT(" ",LEN(Registro!$F592))),({1,2,3,4,5,6,7,8,9,10,11,12,13,14,15,16,17,18,19,20,21,22,23,24,25,26,27,28,29,30}-1)*LEN(Registro!$F592)+1,LEN(Registro!$F592)))&amp;"x")-1))),"Revisar formato")))</f>
        <v/>
      </c>
      <c r="G592" s="24" t="str">
        <f>IF(Registro!$F592="","",IF(ISERROR(FIND("x",LOWER(Registro!$F592))),N(Registro!$G592),IFERROR(SUMPRODUCT(--("0"&amp;LEFT(TRIM(MID(SUBSTITUTE(SUBSTITUTE(SUBSTITUTE(SUBSTITUTE(SUBSTITUTE(LOWER(Registro!$F592)," ",""),CHAR(10),"|"),";","|"),"+","|"),"|",REPT(" ",LEN(Registro!$F592))),({1,2,3,4,5,6,7,8,9,10,11,12,13,14,15,16,17,18,19,20,21,22,23,24,25,26,27,28,29,30}-1)*LEN(Registro!$F592)+1,LEN(Registro!$F592))),FIND("x",TRIM(MID(SUBSTITUTE(SUBSTITUTE(SUBSTITUTE(SUBSTITUTE(SUBSTITUTE(LOWER(Registro!$F592)," ",""),CHAR(10),"|"),";","|"),"+","|"),"|",REPT(" ",LEN(Registro!$F592))),({1,2,3,4,5,6,7,8,9,10,11,12,13,14,15,16,17,18,19,20,21,22,23,24,25,26,27,28,29,30}-1)*LEN(Registro!$F592)+1,LEN(Registro!$F592)))&amp;"x")-1)),--("0"&amp;MID(TRIM(MID(SUBSTITUTE(SUBSTITUTE(SUBSTITUTE(SUBSTITUTE(SUBSTITUTE(LOWER(Registro!$F592)," ",""),CHAR(10),"|"),";","|"),"+","|"),"|",REPT(" ",LEN(Registro!$F592))),({1,2,3,4,5,6,7,8,9,10,11,12,13,14,15,16,17,18,19,20,21,22,23,24,25,26,27,28,29,30}-1)*LEN(Registro!$F592)+1,LEN(Registro!$F592))),FIND("x",TRIM(MID(SUBSTITUTE(SUBSTITUTE(SUBSTITUTE(SUBSTITUTE(SUBSTITUTE(LOWER(Registro!$F592)," ",""),CHAR(10),"|"),";","|"),"+","|"),"|",REPT(" ",LEN(Registro!$F592))),({1,2,3,4,5,6,7,8,9,10,11,12,13,14,15,16,17,18,19,20,21,22,23,24,25,26,27,28,29,30}-1)*LEN(Registro!$F592)+1,LEN(Registro!$F592)))&amp;"x")+1,20))),"Revisar formato")))</f>
        <v/>
      </c>
      <c r="H592" s="21" t="str">
        <f>IF(AND(Registro!$E592="",Registro!$F592=""),"",IF(NOT(AND(ISNUMBER(G592),ISNUMBER(Registro!$G592))),"",IF(G592&lt;Registro!$G592,"FALTA BOLETOS",IF(G592=Registro!$G592,"CONFORME","DIFERENCIA"))))</f>
        <v/>
      </c>
      <c r="I592" s="24" t="str">
        <f>IF(Registro!$H592="","",IFERROR(SUMPRODUCT(--("0"&amp;TRIM(RIGHT(SUBSTITUTE(TRIM(MID(SUBSTITUTE(SUBSTITUTE(Registro!$H592,";",CHAR(10)),CHAR(10),REPT(" ",LEN(Registro!$H592))),({1,2,3,4,5,6,7,8,9,10,11,12,13,14,15,16,17,18,19,20,21,22,23,24,25,26,27,28,29,30}-1)*LEN(Registro!$H592)+1,LEN(Registro!$H592)))," ",REPT(" ",50)),50)))),"Revisar formato"))</f>
        <v/>
      </c>
      <c r="J592" s="24" t="str">
        <f>IF(Registro!$I592="","",IFERROR(SUMPRODUCT(--("0"&amp;TRIM(RIGHT(SUBSTITUTE(TRIM(MID(SUBSTITUTE(SUBSTITUTE(Registro!$I592,";",CHAR(10)),CHAR(10),REPT(" ",LEN(Registro!$I592))),({1,2,3,4,5,6,7,8,9,10,11,12,13,14,15,16,17,18,19,20,21,22,23,24,25,26,27,28,29,30}-1)*LEN(Registro!$I592)+1,LEN(Registro!$I592)))," ",REPT(" ",50)),50)))),"Revisar formato"))</f>
        <v/>
      </c>
      <c r="K592" s="24" t="str">
        <f>IF(AND(Registro!$G592="",Registro!$H592=""),"",IF(AND(ISTEXT(I592),I592&lt;&gt;""),"Revisar formato",N(Registro!$G592)-N(I592)))</f>
        <v/>
      </c>
      <c r="L592" s="24" t="str">
        <f t="shared" si="19"/>
        <v/>
      </c>
      <c r="M592" s="36" t="str">
        <f>IF(AND(A592=Consulta!$B$3,C592=Consulta!$H$3),B592*10000+ROW(),"")</f>
        <v/>
      </c>
    </row>
    <row r="593" spans="1:13" x14ac:dyDescent="0.25">
      <c r="A593" s="21" t="str">
        <f>IF(Registro!$A593="","",Registro!$A593)</f>
        <v/>
      </c>
      <c r="B593" s="20" t="str">
        <f>IF(Registro!$B593="","",Registro!$B593)</f>
        <v/>
      </c>
      <c r="C593" s="35" t="str">
        <f t="shared" si="18"/>
        <v/>
      </c>
      <c r="D593" s="23" t="str">
        <f>IF(Registro!$E593="","",IF(ISERROR(FIND("x",LOWER(Registro!$E593))),"-",IFERROR(SUMPRODUCT(--("0"&amp;LEFT(TRIM(MID(SUBSTITUTE(SUBSTITUTE(SUBSTITUTE(SUBSTITUTE(SUBSTITUTE(LOWER(Registro!$E593),"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",LEN(Registro!$E593))),({1,2,3,4,5,6,7,8,9,10,11,12,13,14,15,16,17,18,19,20,21,22,23,24,25,26,27,28,29,30}-1)*LEN(Registro!$E593)+1,LEN(Registro!$E593))),FIND("x",TRIM(MID(SUBSTITUTE(SUBSTITUTE(SUBSTITUTE(SUBSTITUTE(SUBSTITUTE(LOWER(Registro!$E593),"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",LEN(Registro!$E593))),({1,2,3,4,5,6,7,8,9,10,11,12,13,14,15,16,17,18,19,20,21,22,23,24,25,26,27,28,29,30}-1)*LEN(Registro!$E593)+1,LEN(Registro!$E593)))&amp;"x")-1))),"Revisar formato")))</f>
        <v/>
      </c>
      <c r="E593" s="24" t="str">
        <f>IF(Registro!$E593="","",IF(ISERROR(FIND("x",LOWER(Registro!$E593))),"-",IFERROR(SUMPRODUCT(--("0"&amp;LEFT(TRIM(MID(SUBSTITUTE(SUBSTITUTE(SUBSTITUTE(SUBSTITUTE(SUBSTITUTE(LOWER(Registro!$E593),"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",LEN(Registro!$E593))),({1,2,3,4,5,6,7,8,9,10,11,12,13,14,15,16,17,18,19,20,21,22,23,24,25,26,27,28,29,30}-1)*LEN(Registro!$E593)+1,LEN(Registro!$E593))),FIND("x",TRIM(MID(SUBSTITUTE(SUBSTITUTE(SUBSTITUTE(SUBSTITUTE(SUBSTITUTE(LOWER(Registro!$E593),"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",LEN(Registro!$E593))),({1,2,3,4,5,6,7,8,9,10,11,12,13,14,15,16,17,18,19,20,21,22,23,24,25,26,27,28,29,30}-1)*LEN(Registro!$E593)+1,LEN(Registro!$E593)))&amp;"x")-1)),--("0"&amp;MID(TRIM(MID(SUBSTITUTE(SUBSTITUTE(SUBSTITUTE(SUBSTITUTE(SUBSTITUTE(LOWER(Registro!$E593),"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",LEN(Registro!$E593))),({1,2,3,4,5,6,7,8,9,10,11,12,13,14,15,16,17,18,19,20,21,22,23,24,25,26,27,28,29,30}-1)*LEN(Registro!$E593)+1,LEN(Registro!$E593))),FIND("x",TRIM(MID(SUBSTITUTE(SUBSTITUTE(SUBSTITUTE(SUBSTITUTE(SUBSTITUTE(LOWER(Registro!$E593),"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",LEN(Registro!$E593))),({1,2,3,4,5,6,7,8,9,10,11,12,13,14,15,16,17,18,19,20,21,22,23,24,25,26,27,28,29,30}-1)*LEN(Registro!$E593)+1,LEN(Registro!$E593)))&amp;"x")+1,20))),"Revisar formato")))</f>
        <v/>
      </c>
      <c r="F593" s="23" t="str">
        <f>IF(Registro!$F593="","",IF(ISERROR(FIND("x",LOWER(Registro!$F593))),"-",IFERROR(SUMPRODUCT(--("0"&amp;LEFT(TRIM(MID(SUBSTITUTE(SUBSTITUTE(SUBSTITUTE(SUBSTITUTE(SUBSTITUTE(LOWER(Registro!$F593)," ",""),CHAR(10),"|"),";","|"),"+","|"),"|",REPT(" ",LEN(Registro!$F593))),({1,2,3,4,5,6,7,8,9,10,11,12,13,14,15,16,17,18,19,20,21,22,23,24,25,26,27,28,29,30}-1)*LEN(Registro!$F593)+1,LEN(Registro!$F593))),FIND("x",TRIM(MID(SUBSTITUTE(SUBSTITUTE(SUBSTITUTE(SUBSTITUTE(SUBSTITUTE(LOWER(Registro!$F593)," ",""),CHAR(10),"|"),";","|"),"+","|"),"|",REPT(" ",LEN(Registro!$F593))),({1,2,3,4,5,6,7,8,9,10,11,12,13,14,15,16,17,18,19,20,21,22,23,24,25,26,27,28,29,30}-1)*LEN(Registro!$F593)+1,LEN(Registro!$F593)))&amp;"x")-1))),"Revisar formato")))</f>
        <v/>
      </c>
      <c r="G593" s="24" t="str">
        <f>IF(Registro!$F593="","",IF(ISERROR(FIND("x",LOWER(Registro!$F593))),N(Registro!$G593),IFERROR(SUMPRODUCT(--("0"&amp;LEFT(TRIM(MID(SUBSTITUTE(SUBSTITUTE(SUBSTITUTE(SUBSTITUTE(SUBSTITUTE(LOWER(Registro!$F593)," ",""),CHAR(10),"|"),";","|"),"+","|"),"|",REPT(" ",LEN(Registro!$F593))),({1,2,3,4,5,6,7,8,9,10,11,12,13,14,15,16,17,18,19,20,21,22,23,24,25,26,27,28,29,30}-1)*LEN(Registro!$F593)+1,LEN(Registro!$F593))),FIND("x",TRIM(MID(SUBSTITUTE(SUBSTITUTE(SUBSTITUTE(SUBSTITUTE(SUBSTITUTE(LOWER(Registro!$F593)," ",""),CHAR(10),"|"),";","|"),"+","|"),"|",REPT(" ",LEN(Registro!$F593))),({1,2,3,4,5,6,7,8,9,10,11,12,13,14,15,16,17,18,19,20,21,22,23,24,25,26,27,28,29,30}-1)*LEN(Registro!$F593)+1,LEN(Registro!$F593)))&amp;"x")-1)),--("0"&amp;MID(TRIM(MID(SUBSTITUTE(SUBSTITUTE(SUBSTITUTE(SUBSTITUTE(SUBSTITUTE(LOWER(Registro!$F593)," ",""),CHAR(10),"|"),";","|"),"+","|"),"|",REPT(" ",LEN(Registro!$F593))),({1,2,3,4,5,6,7,8,9,10,11,12,13,14,15,16,17,18,19,20,21,22,23,24,25,26,27,28,29,30}-1)*LEN(Registro!$F593)+1,LEN(Registro!$F593))),FIND("x",TRIM(MID(SUBSTITUTE(SUBSTITUTE(SUBSTITUTE(SUBSTITUTE(SUBSTITUTE(LOWER(Registro!$F593)," ",""),CHAR(10),"|"),";","|"),"+","|"),"|",REPT(" ",LEN(Registro!$F593))),({1,2,3,4,5,6,7,8,9,10,11,12,13,14,15,16,17,18,19,20,21,22,23,24,25,26,27,28,29,30}-1)*LEN(Registro!$F593)+1,LEN(Registro!$F593)))&amp;"x")+1,20))),"Revisar formato")))</f>
        <v/>
      </c>
      <c r="H593" s="21" t="str">
        <f>IF(AND(Registro!$E593="",Registro!$F593=""),"",IF(NOT(AND(ISNUMBER(G593),ISNUMBER(Registro!$G593))),"",IF(G593&lt;Registro!$G593,"FALTA BOLETOS",IF(G593=Registro!$G593,"CONFORME","DIFERENCIA"))))</f>
        <v/>
      </c>
      <c r="I593" s="24" t="str">
        <f>IF(Registro!$H593="","",IFERROR(SUMPRODUCT(--("0"&amp;TRIM(RIGHT(SUBSTITUTE(TRIM(MID(SUBSTITUTE(SUBSTITUTE(Registro!$H593,";",CHAR(10)),CHAR(10),REPT(" ",LEN(Registro!$H593))),({1,2,3,4,5,6,7,8,9,10,11,12,13,14,15,16,17,18,19,20,21,22,23,24,25,26,27,28,29,30}-1)*LEN(Registro!$H593)+1,LEN(Registro!$H593)))," ",REPT(" ",50)),50)))),"Revisar formato"))</f>
        <v/>
      </c>
      <c r="J593" s="24" t="str">
        <f>IF(Registro!$I593="","",IFERROR(SUMPRODUCT(--("0"&amp;TRIM(RIGHT(SUBSTITUTE(TRIM(MID(SUBSTITUTE(SUBSTITUTE(Registro!$I593,";",CHAR(10)),CHAR(10),REPT(" ",LEN(Registro!$I593))),({1,2,3,4,5,6,7,8,9,10,11,12,13,14,15,16,17,18,19,20,21,22,23,24,25,26,27,28,29,30}-1)*LEN(Registro!$I593)+1,LEN(Registro!$I593)))," ",REPT(" ",50)),50)))),"Revisar formato"))</f>
        <v/>
      </c>
      <c r="K593" s="24" t="str">
        <f>IF(AND(Registro!$G593="",Registro!$H593=""),"",IF(AND(ISTEXT(I593),I593&lt;&gt;""),"Revisar formato",N(Registro!$G593)-N(I593)))</f>
        <v/>
      </c>
      <c r="L593" s="24" t="str">
        <f t="shared" si="19"/>
        <v/>
      </c>
      <c r="M593" s="36" t="str">
        <f>IF(AND(A593=Consulta!$B$3,C593=Consulta!$H$3),B593*10000+ROW(),"")</f>
        <v/>
      </c>
    </row>
    <row r="594" spans="1:13" x14ac:dyDescent="0.25">
      <c r="A594" s="21" t="str">
        <f>IF(Registro!$A594="","",Registro!$A594)</f>
        <v/>
      </c>
      <c r="B594" s="20" t="str">
        <f>IF(Registro!$B594="","",Registro!$B594)</f>
        <v/>
      </c>
      <c r="C594" s="35" t="str">
        <f t="shared" si="18"/>
        <v/>
      </c>
      <c r="D594" s="23" t="str">
        <f>IF(Registro!$E594="","",IF(ISERROR(FIND("x",LOWER(Registro!$E594))),"-",IFERROR(SUMPRODUCT(--("0"&amp;LEFT(TRIM(MID(SUBSTITUTE(SUBSTITUTE(SUBSTITUTE(SUBSTITUTE(SUBSTITUTE(LOWER(Registro!$E594),"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",LEN(Registro!$E594))),({1,2,3,4,5,6,7,8,9,10,11,12,13,14,15,16,17,18,19,20,21,22,23,24,25,26,27,28,29,30}-1)*LEN(Registro!$E594)+1,LEN(Registro!$E594))),FIND("x",TRIM(MID(SUBSTITUTE(SUBSTITUTE(SUBSTITUTE(SUBSTITUTE(SUBSTITUTE(LOWER(Registro!$E594),"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",LEN(Registro!$E594))),({1,2,3,4,5,6,7,8,9,10,11,12,13,14,15,16,17,18,19,20,21,22,23,24,25,26,27,28,29,30}-1)*LEN(Registro!$E594)+1,LEN(Registro!$E594)))&amp;"x")-1))),"Revisar formato")))</f>
        <v/>
      </c>
      <c r="E594" s="24" t="str">
        <f>IF(Registro!$E594="","",IF(ISERROR(FIND("x",LOWER(Registro!$E594))),"-",IFERROR(SUMPRODUCT(--("0"&amp;LEFT(TRIM(MID(SUBSTITUTE(SUBSTITUTE(SUBSTITUTE(SUBSTITUTE(SUBSTITUTE(LOWER(Registro!$E594),"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",LEN(Registro!$E594))),({1,2,3,4,5,6,7,8,9,10,11,12,13,14,15,16,17,18,19,20,21,22,23,24,25,26,27,28,29,30}-1)*LEN(Registro!$E594)+1,LEN(Registro!$E594))),FIND("x",TRIM(MID(SUBSTITUTE(SUBSTITUTE(SUBSTITUTE(SUBSTITUTE(SUBSTITUTE(LOWER(Registro!$E594),"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",LEN(Registro!$E594))),({1,2,3,4,5,6,7,8,9,10,11,12,13,14,15,16,17,18,19,20,21,22,23,24,25,26,27,28,29,30}-1)*LEN(Registro!$E594)+1,LEN(Registro!$E594)))&amp;"x")-1)),--("0"&amp;MID(TRIM(MID(SUBSTITUTE(SUBSTITUTE(SUBSTITUTE(SUBSTITUTE(SUBSTITUTE(LOWER(Registro!$E594),"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",LEN(Registro!$E594))),({1,2,3,4,5,6,7,8,9,10,11,12,13,14,15,16,17,18,19,20,21,22,23,24,25,26,27,28,29,30}-1)*LEN(Registro!$E594)+1,LEN(Registro!$E594))),FIND("x",TRIM(MID(SUBSTITUTE(SUBSTITUTE(SUBSTITUTE(SUBSTITUTE(SUBSTITUTE(LOWER(Registro!$E594),"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",LEN(Registro!$E594))),({1,2,3,4,5,6,7,8,9,10,11,12,13,14,15,16,17,18,19,20,21,22,23,24,25,26,27,28,29,30}-1)*LEN(Registro!$E594)+1,LEN(Registro!$E594)))&amp;"x")+1,20))),"Revisar formato")))</f>
        <v/>
      </c>
      <c r="F594" s="23" t="str">
        <f>IF(Registro!$F594="","",IF(ISERROR(FIND("x",LOWER(Registro!$F594))),"-",IFERROR(SUMPRODUCT(--("0"&amp;LEFT(TRIM(MID(SUBSTITUTE(SUBSTITUTE(SUBSTITUTE(SUBSTITUTE(SUBSTITUTE(LOWER(Registro!$F594)," ",""),CHAR(10),"|"),";","|"),"+","|"),"|",REPT(" ",LEN(Registro!$F594))),({1,2,3,4,5,6,7,8,9,10,11,12,13,14,15,16,17,18,19,20,21,22,23,24,25,26,27,28,29,30}-1)*LEN(Registro!$F594)+1,LEN(Registro!$F594))),FIND("x",TRIM(MID(SUBSTITUTE(SUBSTITUTE(SUBSTITUTE(SUBSTITUTE(SUBSTITUTE(LOWER(Registro!$F594)," ",""),CHAR(10),"|"),";","|"),"+","|"),"|",REPT(" ",LEN(Registro!$F594))),({1,2,3,4,5,6,7,8,9,10,11,12,13,14,15,16,17,18,19,20,21,22,23,24,25,26,27,28,29,30}-1)*LEN(Registro!$F594)+1,LEN(Registro!$F594)))&amp;"x")-1))),"Revisar formato")))</f>
        <v/>
      </c>
      <c r="G594" s="24" t="str">
        <f>IF(Registro!$F594="","",IF(ISERROR(FIND("x",LOWER(Registro!$F594))),N(Registro!$G594),IFERROR(SUMPRODUCT(--("0"&amp;LEFT(TRIM(MID(SUBSTITUTE(SUBSTITUTE(SUBSTITUTE(SUBSTITUTE(SUBSTITUTE(LOWER(Registro!$F594)," ",""),CHAR(10),"|"),";","|"),"+","|"),"|",REPT(" ",LEN(Registro!$F594))),({1,2,3,4,5,6,7,8,9,10,11,12,13,14,15,16,17,18,19,20,21,22,23,24,25,26,27,28,29,30}-1)*LEN(Registro!$F594)+1,LEN(Registro!$F594))),FIND("x",TRIM(MID(SUBSTITUTE(SUBSTITUTE(SUBSTITUTE(SUBSTITUTE(SUBSTITUTE(LOWER(Registro!$F594)," ",""),CHAR(10),"|"),";","|"),"+","|"),"|",REPT(" ",LEN(Registro!$F594))),({1,2,3,4,5,6,7,8,9,10,11,12,13,14,15,16,17,18,19,20,21,22,23,24,25,26,27,28,29,30}-1)*LEN(Registro!$F594)+1,LEN(Registro!$F594)))&amp;"x")-1)),--("0"&amp;MID(TRIM(MID(SUBSTITUTE(SUBSTITUTE(SUBSTITUTE(SUBSTITUTE(SUBSTITUTE(LOWER(Registro!$F594)," ",""),CHAR(10),"|"),";","|"),"+","|"),"|",REPT(" ",LEN(Registro!$F594))),({1,2,3,4,5,6,7,8,9,10,11,12,13,14,15,16,17,18,19,20,21,22,23,24,25,26,27,28,29,30}-1)*LEN(Registro!$F594)+1,LEN(Registro!$F594))),FIND("x",TRIM(MID(SUBSTITUTE(SUBSTITUTE(SUBSTITUTE(SUBSTITUTE(SUBSTITUTE(LOWER(Registro!$F594)," ",""),CHAR(10),"|"),";","|"),"+","|"),"|",REPT(" ",LEN(Registro!$F594))),({1,2,3,4,5,6,7,8,9,10,11,12,13,14,15,16,17,18,19,20,21,22,23,24,25,26,27,28,29,30}-1)*LEN(Registro!$F594)+1,LEN(Registro!$F594)))&amp;"x")+1,20))),"Revisar formato")))</f>
        <v/>
      </c>
      <c r="H594" s="21" t="str">
        <f>IF(AND(Registro!$E594="",Registro!$F594=""),"",IF(NOT(AND(ISNUMBER(G594),ISNUMBER(Registro!$G594))),"",IF(G594&lt;Registro!$G594,"FALTA BOLETOS",IF(G594=Registro!$G594,"CONFORME","DIFERENCIA"))))</f>
        <v/>
      </c>
      <c r="I594" s="24" t="str">
        <f>IF(Registro!$H594="","",IFERROR(SUMPRODUCT(--("0"&amp;TRIM(RIGHT(SUBSTITUTE(TRIM(MID(SUBSTITUTE(SUBSTITUTE(Registro!$H594,";",CHAR(10)),CHAR(10),REPT(" ",LEN(Registro!$H594))),({1,2,3,4,5,6,7,8,9,10,11,12,13,14,15,16,17,18,19,20,21,22,23,24,25,26,27,28,29,30}-1)*LEN(Registro!$H594)+1,LEN(Registro!$H594)))," ",REPT(" ",50)),50)))),"Revisar formato"))</f>
        <v/>
      </c>
      <c r="J594" s="24" t="str">
        <f>IF(Registro!$I594="","",IFERROR(SUMPRODUCT(--("0"&amp;TRIM(RIGHT(SUBSTITUTE(TRIM(MID(SUBSTITUTE(SUBSTITUTE(Registro!$I594,";",CHAR(10)),CHAR(10),REPT(" ",LEN(Registro!$I594))),({1,2,3,4,5,6,7,8,9,10,11,12,13,14,15,16,17,18,19,20,21,22,23,24,25,26,27,28,29,30}-1)*LEN(Registro!$I594)+1,LEN(Registro!$I594)))," ",REPT(" ",50)),50)))),"Revisar formato"))</f>
        <v/>
      </c>
      <c r="K594" s="24" t="str">
        <f>IF(AND(Registro!$G594="",Registro!$H594=""),"",IF(AND(ISTEXT(I594),I594&lt;&gt;""),"Revisar formato",N(Registro!$G594)-N(I594)))</f>
        <v/>
      </c>
      <c r="L594" s="24" t="str">
        <f t="shared" si="19"/>
        <v/>
      </c>
      <c r="M594" s="36" t="str">
        <f>IF(AND(A594=Consulta!$B$3,C594=Consulta!$H$3),B594*10000+ROW(),"")</f>
        <v/>
      </c>
    </row>
    <row r="595" spans="1:13" x14ac:dyDescent="0.25">
      <c r="A595" s="21" t="str">
        <f>IF(Registro!$A595="","",Registro!$A595)</f>
        <v/>
      </c>
      <c r="B595" s="20" t="str">
        <f>IF(Registro!$B595="","",Registro!$B595)</f>
        <v/>
      </c>
      <c r="C595" s="35" t="str">
        <f t="shared" si="18"/>
        <v/>
      </c>
      <c r="D595" s="23" t="str">
        <f>IF(Registro!$E595="","",IF(ISERROR(FIND("x",LOWER(Registro!$E595))),"-",IFERROR(SUMPRODUCT(--("0"&amp;LEFT(TRIM(MID(SUBSTITUTE(SUBSTITUTE(SUBSTITUTE(SUBSTITUTE(SUBSTITUTE(LOWER(Registro!$E595),"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",LEN(Registro!$E595))),({1,2,3,4,5,6,7,8,9,10,11,12,13,14,15,16,17,18,19,20,21,22,23,24,25,26,27,28,29,30}-1)*LEN(Registro!$E595)+1,LEN(Registro!$E595))),FIND("x",TRIM(MID(SUBSTITUTE(SUBSTITUTE(SUBSTITUTE(SUBSTITUTE(SUBSTITUTE(LOWER(Registro!$E595),"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",LEN(Registro!$E595))),({1,2,3,4,5,6,7,8,9,10,11,12,13,14,15,16,17,18,19,20,21,22,23,24,25,26,27,28,29,30}-1)*LEN(Registro!$E595)+1,LEN(Registro!$E595)))&amp;"x")-1))),"Revisar formato")))</f>
        <v/>
      </c>
      <c r="E595" s="24" t="str">
        <f>IF(Registro!$E595="","",IF(ISERROR(FIND("x",LOWER(Registro!$E595))),"-",IFERROR(SUMPRODUCT(--("0"&amp;LEFT(TRIM(MID(SUBSTITUTE(SUBSTITUTE(SUBSTITUTE(SUBSTITUTE(SUBSTITUTE(LOWER(Registro!$E595),"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",LEN(Registro!$E595))),({1,2,3,4,5,6,7,8,9,10,11,12,13,14,15,16,17,18,19,20,21,22,23,24,25,26,27,28,29,30}-1)*LEN(Registro!$E595)+1,LEN(Registro!$E595))),FIND("x",TRIM(MID(SUBSTITUTE(SUBSTITUTE(SUBSTITUTE(SUBSTITUTE(SUBSTITUTE(LOWER(Registro!$E595),"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",LEN(Registro!$E595))),({1,2,3,4,5,6,7,8,9,10,11,12,13,14,15,16,17,18,19,20,21,22,23,24,25,26,27,28,29,30}-1)*LEN(Registro!$E595)+1,LEN(Registro!$E595)))&amp;"x")-1)),--("0"&amp;MID(TRIM(MID(SUBSTITUTE(SUBSTITUTE(SUBSTITUTE(SUBSTITUTE(SUBSTITUTE(LOWER(Registro!$E595),"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",LEN(Registro!$E595))),({1,2,3,4,5,6,7,8,9,10,11,12,13,14,15,16,17,18,19,20,21,22,23,24,25,26,27,28,29,30}-1)*LEN(Registro!$E595)+1,LEN(Registro!$E595))),FIND("x",TRIM(MID(SUBSTITUTE(SUBSTITUTE(SUBSTITUTE(SUBSTITUTE(SUBSTITUTE(LOWER(Registro!$E595),"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",LEN(Registro!$E595))),({1,2,3,4,5,6,7,8,9,10,11,12,13,14,15,16,17,18,19,20,21,22,23,24,25,26,27,28,29,30}-1)*LEN(Registro!$E595)+1,LEN(Registro!$E595)))&amp;"x")+1,20))),"Revisar formato")))</f>
        <v/>
      </c>
      <c r="F595" s="23" t="str">
        <f>IF(Registro!$F595="","",IF(ISERROR(FIND("x",LOWER(Registro!$F595))),"-",IFERROR(SUMPRODUCT(--("0"&amp;LEFT(TRIM(MID(SUBSTITUTE(SUBSTITUTE(SUBSTITUTE(SUBSTITUTE(SUBSTITUTE(LOWER(Registro!$F595)," ",""),CHAR(10),"|"),";","|"),"+","|"),"|",REPT(" ",LEN(Registro!$F595))),({1,2,3,4,5,6,7,8,9,10,11,12,13,14,15,16,17,18,19,20,21,22,23,24,25,26,27,28,29,30}-1)*LEN(Registro!$F595)+1,LEN(Registro!$F595))),FIND("x",TRIM(MID(SUBSTITUTE(SUBSTITUTE(SUBSTITUTE(SUBSTITUTE(SUBSTITUTE(LOWER(Registro!$F595)," ",""),CHAR(10),"|"),";","|"),"+","|"),"|",REPT(" ",LEN(Registro!$F595))),({1,2,3,4,5,6,7,8,9,10,11,12,13,14,15,16,17,18,19,20,21,22,23,24,25,26,27,28,29,30}-1)*LEN(Registro!$F595)+1,LEN(Registro!$F595)))&amp;"x")-1))),"Revisar formato")))</f>
        <v/>
      </c>
      <c r="G595" s="24" t="str">
        <f>IF(Registro!$F595="","",IF(ISERROR(FIND("x",LOWER(Registro!$F595))),N(Registro!$G595),IFERROR(SUMPRODUCT(--("0"&amp;LEFT(TRIM(MID(SUBSTITUTE(SUBSTITUTE(SUBSTITUTE(SUBSTITUTE(SUBSTITUTE(LOWER(Registro!$F595)," ",""),CHAR(10),"|"),";","|"),"+","|"),"|",REPT(" ",LEN(Registro!$F595))),({1,2,3,4,5,6,7,8,9,10,11,12,13,14,15,16,17,18,19,20,21,22,23,24,25,26,27,28,29,30}-1)*LEN(Registro!$F595)+1,LEN(Registro!$F595))),FIND("x",TRIM(MID(SUBSTITUTE(SUBSTITUTE(SUBSTITUTE(SUBSTITUTE(SUBSTITUTE(LOWER(Registro!$F595)," ",""),CHAR(10),"|"),";","|"),"+","|"),"|",REPT(" ",LEN(Registro!$F595))),({1,2,3,4,5,6,7,8,9,10,11,12,13,14,15,16,17,18,19,20,21,22,23,24,25,26,27,28,29,30}-1)*LEN(Registro!$F595)+1,LEN(Registro!$F595)))&amp;"x")-1)),--("0"&amp;MID(TRIM(MID(SUBSTITUTE(SUBSTITUTE(SUBSTITUTE(SUBSTITUTE(SUBSTITUTE(LOWER(Registro!$F595)," ",""),CHAR(10),"|"),";","|"),"+","|"),"|",REPT(" ",LEN(Registro!$F595))),({1,2,3,4,5,6,7,8,9,10,11,12,13,14,15,16,17,18,19,20,21,22,23,24,25,26,27,28,29,30}-1)*LEN(Registro!$F595)+1,LEN(Registro!$F595))),FIND("x",TRIM(MID(SUBSTITUTE(SUBSTITUTE(SUBSTITUTE(SUBSTITUTE(SUBSTITUTE(LOWER(Registro!$F595)," ",""),CHAR(10),"|"),";","|"),"+","|"),"|",REPT(" ",LEN(Registro!$F595))),({1,2,3,4,5,6,7,8,9,10,11,12,13,14,15,16,17,18,19,20,21,22,23,24,25,26,27,28,29,30}-1)*LEN(Registro!$F595)+1,LEN(Registro!$F595)))&amp;"x")+1,20))),"Revisar formato")))</f>
        <v/>
      </c>
      <c r="H595" s="21" t="str">
        <f>IF(AND(Registro!$E595="",Registro!$F595=""),"",IF(NOT(AND(ISNUMBER(G595),ISNUMBER(Registro!$G595))),"",IF(G595&lt;Registro!$G595,"FALTA BOLETOS",IF(G595=Registro!$G595,"CONFORME","DIFERENCIA"))))</f>
        <v/>
      </c>
      <c r="I595" s="24" t="str">
        <f>IF(Registro!$H595="","",IFERROR(SUMPRODUCT(--("0"&amp;TRIM(RIGHT(SUBSTITUTE(TRIM(MID(SUBSTITUTE(SUBSTITUTE(Registro!$H595,";",CHAR(10)),CHAR(10),REPT(" ",LEN(Registro!$H595))),({1,2,3,4,5,6,7,8,9,10,11,12,13,14,15,16,17,18,19,20,21,22,23,24,25,26,27,28,29,30}-1)*LEN(Registro!$H595)+1,LEN(Registro!$H595)))," ",REPT(" ",50)),50)))),"Revisar formato"))</f>
        <v/>
      </c>
      <c r="J595" s="24" t="str">
        <f>IF(Registro!$I595="","",IFERROR(SUMPRODUCT(--("0"&amp;TRIM(RIGHT(SUBSTITUTE(TRIM(MID(SUBSTITUTE(SUBSTITUTE(Registro!$I595,";",CHAR(10)),CHAR(10),REPT(" ",LEN(Registro!$I595))),({1,2,3,4,5,6,7,8,9,10,11,12,13,14,15,16,17,18,19,20,21,22,23,24,25,26,27,28,29,30}-1)*LEN(Registro!$I595)+1,LEN(Registro!$I595)))," ",REPT(" ",50)),50)))),"Revisar formato"))</f>
        <v/>
      </c>
      <c r="K595" s="24" t="str">
        <f>IF(AND(Registro!$G595="",Registro!$H595=""),"",IF(AND(ISTEXT(I595),I595&lt;&gt;""),"Revisar formato",N(Registro!$G595)-N(I595)))</f>
        <v/>
      </c>
      <c r="L595" s="24" t="str">
        <f t="shared" si="19"/>
        <v/>
      </c>
      <c r="M595" s="36" t="str">
        <f>IF(AND(A595=Consulta!$B$3,C595=Consulta!$H$3),B595*10000+ROW(),"")</f>
        <v/>
      </c>
    </row>
    <row r="596" spans="1:13" x14ac:dyDescent="0.25">
      <c r="A596" s="21" t="str">
        <f>IF(Registro!$A596="","",Registro!$A596)</f>
        <v/>
      </c>
      <c r="B596" s="20" t="str">
        <f>IF(Registro!$B596="","",Registro!$B596)</f>
        <v/>
      </c>
      <c r="C596" s="35" t="str">
        <f t="shared" si="18"/>
        <v/>
      </c>
      <c r="D596" s="23" t="str">
        <f>IF(Registro!$E596="","",IF(ISERROR(FIND("x",LOWER(Registro!$E596))),"-",IFERROR(SUMPRODUCT(--("0"&amp;LEFT(TRIM(MID(SUBSTITUTE(SUBSTITUTE(SUBSTITUTE(SUBSTITUTE(SUBSTITUTE(LOWER(Registro!$E596),"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",LEN(Registro!$E596))),({1,2,3,4,5,6,7,8,9,10,11,12,13,14,15,16,17,18,19,20,21,22,23,24,25,26,27,28,29,30}-1)*LEN(Registro!$E596)+1,LEN(Registro!$E596))),FIND("x",TRIM(MID(SUBSTITUTE(SUBSTITUTE(SUBSTITUTE(SUBSTITUTE(SUBSTITUTE(LOWER(Registro!$E596),"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",LEN(Registro!$E596))),({1,2,3,4,5,6,7,8,9,10,11,12,13,14,15,16,17,18,19,20,21,22,23,24,25,26,27,28,29,30}-1)*LEN(Registro!$E596)+1,LEN(Registro!$E596)))&amp;"x")-1))),"Revisar formato")))</f>
        <v/>
      </c>
      <c r="E596" s="24" t="str">
        <f>IF(Registro!$E596="","",IF(ISERROR(FIND("x",LOWER(Registro!$E596))),"-",IFERROR(SUMPRODUCT(--("0"&amp;LEFT(TRIM(MID(SUBSTITUTE(SUBSTITUTE(SUBSTITUTE(SUBSTITUTE(SUBSTITUTE(LOWER(Registro!$E596),"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",LEN(Registro!$E596))),({1,2,3,4,5,6,7,8,9,10,11,12,13,14,15,16,17,18,19,20,21,22,23,24,25,26,27,28,29,30}-1)*LEN(Registro!$E596)+1,LEN(Registro!$E596))),FIND("x",TRIM(MID(SUBSTITUTE(SUBSTITUTE(SUBSTITUTE(SUBSTITUTE(SUBSTITUTE(LOWER(Registro!$E596),"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",LEN(Registro!$E596))),({1,2,3,4,5,6,7,8,9,10,11,12,13,14,15,16,17,18,19,20,21,22,23,24,25,26,27,28,29,30}-1)*LEN(Registro!$E596)+1,LEN(Registro!$E596)))&amp;"x")-1)),--("0"&amp;MID(TRIM(MID(SUBSTITUTE(SUBSTITUTE(SUBSTITUTE(SUBSTITUTE(SUBSTITUTE(LOWER(Registro!$E596),"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",LEN(Registro!$E596))),({1,2,3,4,5,6,7,8,9,10,11,12,13,14,15,16,17,18,19,20,21,22,23,24,25,26,27,28,29,30}-1)*LEN(Registro!$E596)+1,LEN(Registro!$E596))),FIND("x",TRIM(MID(SUBSTITUTE(SUBSTITUTE(SUBSTITUTE(SUBSTITUTE(SUBSTITUTE(LOWER(Registro!$E596),"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",LEN(Registro!$E596))),({1,2,3,4,5,6,7,8,9,10,11,12,13,14,15,16,17,18,19,20,21,22,23,24,25,26,27,28,29,30}-1)*LEN(Registro!$E596)+1,LEN(Registro!$E596)))&amp;"x")+1,20))),"Revisar formato")))</f>
        <v/>
      </c>
      <c r="F596" s="23" t="str">
        <f>IF(Registro!$F596="","",IF(ISERROR(FIND("x",LOWER(Registro!$F596))),"-",IFERROR(SUMPRODUCT(--("0"&amp;LEFT(TRIM(MID(SUBSTITUTE(SUBSTITUTE(SUBSTITUTE(SUBSTITUTE(SUBSTITUTE(LOWER(Registro!$F596)," ",""),CHAR(10),"|"),";","|"),"+","|"),"|",REPT(" ",LEN(Registro!$F596))),({1,2,3,4,5,6,7,8,9,10,11,12,13,14,15,16,17,18,19,20,21,22,23,24,25,26,27,28,29,30}-1)*LEN(Registro!$F596)+1,LEN(Registro!$F596))),FIND("x",TRIM(MID(SUBSTITUTE(SUBSTITUTE(SUBSTITUTE(SUBSTITUTE(SUBSTITUTE(LOWER(Registro!$F596)," ",""),CHAR(10),"|"),";","|"),"+","|"),"|",REPT(" ",LEN(Registro!$F596))),({1,2,3,4,5,6,7,8,9,10,11,12,13,14,15,16,17,18,19,20,21,22,23,24,25,26,27,28,29,30}-1)*LEN(Registro!$F596)+1,LEN(Registro!$F596)))&amp;"x")-1))),"Revisar formato")))</f>
        <v/>
      </c>
      <c r="G596" s="24" t="str">
        <f>IF(Registro!$F596="","",IF(ISERROR(FIND("x",LOWER(Registro!$F596))),N(Registro!$G596),IFERROR(SUMPRODUCT(--("0"&amp;LEFT(TRIM(MID(SUBSTITUTE(SUBSTITUTE(SUBSTITUTE(SUBSTITUTE(SUBSTITUTE(LOWER(Registro!$F596)," ",""),CHAR(10),"|"),";","|"),"+","|"),"|",REPT(" ",LEN(Registro!$F596))),({1,2,3,4,5,6,7,8,9,10,11,12,13,14,15,16,17,18,19,20,21,22,23,24,25,26,27,28,29,30}-1)*LEN(Registro!$F596)+1,LEN(Registro!$F596))),FIND("x",TRIM(MID(SUBSTITUTE(SUBSTITUTE(SUBSTITUTE(SUBSTITUTE(SUBSTITUTE(LOWER(Registro!$F596)," ",""),CHAR(10),"|"),";","|"),"+","|"),"|",REPT(" ",LEN(Registro!$F596))),({1,2,3,4,5,6,7,8,9,10,11,12,13,14,15,16,17,18,19,20,21,22,23,24,25,26,27,28,29,30}-1)*LEN(Registro!$F596)+1,LEN(Registro!$F596)))&amp;"x")-1)),--("0"&amp;MID(TRIM(MID(SUBSTITUTE(SUBSTITUTE(SUBSTITUTE(SUBSTITUTE(SUBSTITUTE(LOWER(Registro!$F596)," ",""),CHAR(10),"|"),";","|"),"+","|"),"|",REPT(" ",LEN(Registro!$F596))),({1,2,3,4,5,6,7,8,9,10,11,12,13,14,15,16,17,18,19,20,21,22,23,24,25,26,27,28,29,30}-1)*LEN(Registro!$F596)+1,LEN(Registro!$F596))),FIND("x",TRIM(MID(SUBSTITUTE(SUBSTITUTE(SUBSTITUTE(SUBSTITUTE(SUBSTITUTE(LOWER(Registro!$F596)," ",""),CHAR(10),"|"),";","|"),"+","|"),"|",REPT(" ",LEN(Registro!$F596))),({1,2,3,4,5,6,7,8,9,10,11,12,13,14,15,16,17,18,19,20,21,22,23,24,25,26,27,28,29,30}-1)*LEN(Registro!$F596)+1,LEN(Registro!$F596)))&amp;"x")+1,20))),"Revisar formato")))</f>
        <v/>
      </c>
      <c r="H596" s="21" t="str">
        <f>IF(AND(Registro!$E596="",Registro!$F596=""),"",IF(NOT(AND(ISNUMBER(G596),ISNUMBER(Registro!$G596))),"",IF(G596&lt;Registro!$G596,"FALTA BOLETOS",IF(G596=Registro!$G596,"CONFORME","DIFERENCIA"))))</f>
        <v/>
      </c>
      <c r="I596" s="24" t="str">
        <f>IF(Registro!$H596="","",IFERROR(SUMPRODUCT(--("0"&amp;TRIM(RIGHT(SUBSTITUTE(TRIM(MID(SUBSTITUTE(SUBSTITUTE(Registro!$H596,";",CHAR(10)),CHAR(10),REPT(" ",LEN(Registro!$H596))),({1,2,3,4,5,6,7,8,9,10,11,12,13,14,15,16,17,18,19,20,21,22,23,24,25,26,27,28,29,30}-1)*LEN(Registro!$H596)+1,LEN(Registro!$H596)))," ",REPT(" ",50)),50)))),"Revisar formato"))</f>
        <v/>
      </c>
      <c r="J596" s="24" t="str">
        <f>IF(Registro!$I596="","",IFERROR(SUMPRODUCT(--("0"&amp;TRIM(RIGHT(SUBSTITUTE(TRIM(MID(SUBSTITUTE(SUBSTITUTE(Registro!$I596,";",CHAR(10)),CHAR(10),REPT(" ",LEN(Registro!$I596))),({1,2,3,4,5,6,7,8,9,10,11,12,13,14,15,16,17,18,19,20,21,22,23,24,25,26,27,28,29,30}-1)*LEN(Registro!$I596)+1,LEN(Registro!$I596)))," ",REPT(" ",50)),50)))),"Revisar formato"))</f>
        <v/>
      </c>
      <c r="K596" s="24" t="str">
        <f>IF(AND(Registro!$G596="",Registro!$H596=""),"",IF(AND(ISTEXT(I596),I596&lt;&gt;""),"Revisar formato",N(Registro!$G596)-N(I596)))</f>
        <v/>
      </c>
      <c r="L596" s="24" t="str">
        <f t="shared" si="19"/>
        <v/>
      </c>
      <c r="M596" s="36" t="str">
        <f>IF(AND(A596=Consulta!$B$3,C596=Consulta!$H$3),B596*10000+ROW(),"")</f>
        <v/>
      </c>
    </row>
    <row r="597" spans="1:13" x14ac:dyDescent="0.25">
      <c r="A597" s="21" t="str">
        <f>IF(Registro!$A597="","",Registro!$A597)</f>
        <v/>
      </c>
      <c r="B597" s="20" t="str">
        <f>IF(Registro!$B597="","",Registro!$B597)</f>
        <v/>
      </c>
      <c r="C597" s="35" t="str">
        <f t="shared" si="18"/>
        <v/>
      </c>
      <c r="D597" s="23" t="str">
        <f>IF(Registro!$E597="","",IF(ISERROR(FIND("x",LOWER(Registro!$E597))),"-",IFERROR(SUMPRODUCT(--("0"&amp;LEFT(TRIM(MID(SUBSTITUTE(SUBSTITUTE(SUBSTITUTE(SUBSTITUTE(SUBSTITUTE(LOWER(Registro!$E597),"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",LEN(Registro!$E597))),({1,2,3,4,5,6,7,8,9,10,11,12,13,14,15,16,17,18,19,20,21,22,23,24,25,26,27,28,29,30}-1)*LEN(Registro!$E597)+1,LEN(Registro!$E597))),FIND("x",TRIM(MID(SUBSTITUTE(SUBSTITUTE(SUBSTITUTE(SUBSTITUTE(SUBSTITUTE(LOWER(Registro!$E597),"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",LEN(Registro!$E597))),({1,2,3,4,5,6,7,8,9,10,11,12,13,14,15,16,17,18,19,20,21,22,23,24,25,26,27,28,29,30}-1)*LEN(Registro!$E597)+1,LEN(Registro!$E597)))&amp;"x")-1))),"Revisar formato")))</f>
        <v/>
      </c>
      <c r="E597" s="24" t="str">
        <f>IF(Registro!$E597="","",IF(ISERROR(FIND("x",LOWER(Registro!$E597))),"-",IFERROR(SUMPRODUCT(--("0"&amp;LEFT(TRIM(MID(SUBSTITUTE(SUBSTITUTE(SUBSTITUTE(SUBSTITUTE(SUBSTITUTE(LOWER(Registro!$E597),"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",LEN(Registro!$E597))),({1,2,3,4,5,6,7,8,9,10,11,12,13,14,15,16,17,18,19,20,21,22,23,24,25,26,27,28,29,30}-1)*LEN(Registro!$E597)+1,LEN(Registro!$E597))),FIND("x",TRIM(MID(SUBSTITUTE(SUBSTITUTE(SUBSTITUTE(SUBSTITUTE(SUBSTITUTE(LOWER(Registro!$E597),"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",LEN(Registro!$E597))),({1,2,3,4,5,6,7,8,9,10,11,12,13,14,15,16,17,18,19,20,21,22,23,24,25,26,27,28,29,30}-1)*LEN(Registro!$E597)+1,LEN(Registro!$E597)))&amp;"x")-1)),--("0"&amp;MID(TRIM(MID(SUBSTITUTE(SUBSTITUTE(SUBSTITUTE(SUBSTITUTE(SUBSTITUTE(LOWER(Registro!$E597),"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",LEN(Registro!$E597))),({1,2,3,4,5,6,7,8,9,10,11,12,13,14,15,16,17,18,19,20,21,22,23,24,25,26,27,28,29,30}-1)*LEN(Registro!$E597)+1,LEN(Registro!$E597))),FIND("x",TRIM(MID(SUBSTITUTE(SUBSTITUTE(SUBSTITUTE(SUBSTITUTE(SUBSTITUTE(LOWER(Registro!$E597),"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",LEN(Registro!$E597))),({1,2,3,4,5,6,7,8,9,10,11,12,13,14,15,16,17,18,19,20,21,22,23,24,25,26,27,28,29,30}-1)*LEN(Registro!$E597)+1,LEN(Registro!$E597)))&amp;"x")+1,20))),"Revisar formato")))</f>
        <v/>
      </c>
      <c r="F597" s="23" t="str">
        <f>IF(Registro!$F597="","",IF(ISERROR(FIND("x",LOWER(Registro!$F597))),"-",IFERROR(SUMPRODUCT(--("0"&amp;LEFT(TRIM(MID(SUBSTITUTE(SUBSTITUTE(SUBSTITUTE(SUBSTITUTE(SUBSTITUTE(LOWER(Registro!$F597)," ",""),CHAR(10),"|"),";","|"),"+","|"),"|",REPT(" ",LEN(Registro!$F597))),({1,2,3,4,5,6,7,8,9,10,11,12,13,14,15,16,17,18,19,20,21,22,23,24,25,26,27,28,29,30}-1)*LEN(Registro!$F597)+1,LEN(Registro!$F597))),FIND("x",TRIM(MID(SUBSTITUTE(SUBSTITUTE(SUBSTITUTE(SUBSTITUTE(SUBSTITUTE(LOWER(Registro!$F597)," ",""),CHAR(10),"|"),";","|"),"+","|"),"|",REPT(" ",LEN(Registro!$F597))),({1,2,3,4,5,6,7,8,9,10,11,12,13,14,15,16,17,18,19,20,21,22,23,24,25,26,27,28,29,30}-1)*LEN(Registro!$F597)+1,LEN(Registro!$F597)))&amp;"x")-1))),"Revisar formato")))</f>
        <v/>
      </c>
      <c r="G597" s="24" t="str">
        <f>IF(Registro!$F597="","",IF(ISERROR(FIND("x",LOWER(Registro!$F597))),N(Registro!$G597),IFERROR(SUMPRODUCT(--("0"&amp;LEFT(TRIM(MID(SUBSTITUTE(SUBSTITUTE(SUBSTITUTE(SUBSTITUTE(SUBSTITUTE(LOWER(Registro!$F597)," ",""),CHAR(10),"|"),";","|"),"+","|"),"|",REPT(" ",LEN(Registro!$F597))),({1,2,3,4,5,6,7,8,9,10,11,12,13,14,15,16,17,18,19,20,21,22,23,24,25,26,27,28,29,30}-1)*LEN(Registro!$F597)+1,LEN(Registro!$F597))),FIND("x",TRIM(MID(SUBSTITUTE(SUBSTITUTE(SUBSTITUTE(SUBSTITUTE(SUBSTITUTE(LOWER(Registro!$F597)," ",""),CHAR(10),"|"),";","|"),"+","|"),"|",REPT(" ",LEN(Registro!$F597))),({1,2,3,4,5,6,7,8,9,10,11,12,13,14,15,16,17,18,19,20,21,22,23,24,25,26,27,28,29,30}-1)*LEN(Registro!$F597)+1,LEN(Registro!$F597)))&amp;"x")-1)),--("0"&amp;MID(TRIM(MID(SUBSTITUTE(SUBSTITUTE(SUBSTITUTE(SUBSTITUTE(SUBSTITUTE(LOWER(Registro!$F597)," ",""),CHAR(10),"|"),";","|"),"+","|"),"|",REPT(" ",LEN(Registro!$F597))),({1,2,3,4,5,6,7,8,9,10,11,12,13,14,15,16,17,18,19,20,21,22,23,24,25,26,27,28,29,30}-1)*LEN(Registro!$F597)+1,LEN(Registro!$F597))),FIND("x",TRIM(MID(SUBSTITUTE(SUBSTITUTE(SUBSTITUTE(SUBSTITUTE(SUBSTITUTE(LOWER(Registro!$F597)," ",""),CHAR(10),"|"),";","|"),"+","|"),"|",REPT(" ",LEN(Registro!$F597))),({1,2,3,4,5,6,7,8,9,10,11,12,13,14,15,16,17,18,19,20,21,22,23,24,25,26,27,28,29,30}-1)*LEN(Registro!$F597)+1,LEN(Registro!$F597)))&amp;"x")+1,20))),"Revisar formato")))</f>
        <v/>
      </c>
      <c r="H597" s="21" t="str">
        <f>IF(AND(Registro!$E597="",Registro!$F597=""),"",IF(NOT(AND(ISNUMBER(G597),ISNUMBER(Registro!$G597))),"",IF(G597&lt;Registro!$G597,"FALTA BOLETOS",IF(G597=Registro!$G597,"CONFORME","DIFERENCIA"))))</f>
        <v/>
      </c>
      <c r="I597" s="24" t="str">
        <f>IF(Registro!$H597="","",IFERROR(SUMPRODUCT(--("0"&amp;TRIM(RIGHT(SUBSTITUTE(TRIM(MID(SUBSTITUTE(SUBSTITUTE(Registro!$H597,";",CHAR(10)),CHAR(10),REPT(" ",LEN(Registro!$H597))),({1,2,3,4,5,6,7,8,9,10,11,12,13,14,15,16,17,18,19,20,21,22,23,24,25,26,27,28,29,30}-1)*LEN(Registro!$H597)+1,LEN(Registro!$H597)))," ",REPT(" ",50)),50)))),"Revisar formato"))</f>
        <v/>
      </c>
      <c r="J597" s="24" t="str">
        <f>IF(Registro!$I597="","",IFERROR(SUMPRODUCT(--("0"&amp;TRIM(RIGHT(SUBSTITUTE(TRIM(MID(SUBSTITUTE(SUBSTITUTE(Registro!$I597,";",CHAR(10)),CHAR(10),REPT(" ",LEN(Registro!$I597))),({1,2,3,4,5,6,7,8,9,10,11,12,13,14,15,16,17,18,19,20,21,22,23,24,25,26,27,28,29,30}-1)*LEN(Registro!$I597)+1,LEN(Registro!$I597)))," ",REPT(" ",50)),50)))),"Revisar formato"))</f>
        <v/>
      </c>
      <c r="K597" s="24" t="str">
        <f>IF(AND(Registro!$G597="",Registro!$H597=""),"",IF(AND(ISTEXT(I597),I597&lt;&gt;""),"Revisar formato",N(Registro!$G597)-N(I597)))</f>
        <v/>
      </c>
      <c r="L597" s="24" t="str">
        <f t="shared" si="19"/>
        <v/>
      </c>
      <c r="M597" s="36" t="str">
        <f>IF(AND(A597=Consulta!$B$3,C597=Consulta!$H$3),B597*10000+ROW(),"")</f>
        <v/>
      </c>
    </row>
    <row r="598" spans="1:13" x14ac:dyDescent="0.25">
      <c r="A598" s="21" t="str">
        <f>IF(Registro!$A598="","",Registro!$A598)</f>
        <v/>
      </c>
      <c r="B598" s="20" t="str">
        <f>IF(Registro!$B598="","",Registro!$B598)</f>
        <v/>
      </c>
      <c r="C598" s="35" t="str">
        <f t="shared" si="18"/>
        <v/>
      </c>
      <c r="D598" s="23" t="str">
        <f>IF(Registro!$E598="","",IF(ISERROR(FIND("x",LOWER(Registro!$E598))),"-",IFERROR(SUMPRODUCT(--("0"&amp;LEFT(TRIM(MID(SUBSTITUTE(SUBSTITUTE(SUBSTITUTE(SUBSTITUTE(SUBSTITUTE(LOWER(Registro!$E598),"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",LEN(Registro!$E598))),({1,2,3,4,5,6,7,8,9,10,11,12,13,14,15,16,17,18,19,20,21,22,23,24,25,26,27,28,29,30}-1)*LEN(Registro!$E598)+1,LEN(Registro!$E598))),FIND("x",TRIM(MID(SUBSTITUTE(SUBSTITUTE(SUBSTITUTE(SUBSTITUTE(SUBSTITUTE(LOWER(Registro!$E598),"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",LEN(Registro!$E598))),({1,2,3,4,5,6,7,8,9,10,11,12,13,14,15,16,17,18,19,20,21,22,23,24,25,26,27,28,29,30}-1)*LEN(Registro!$E598)+1,LEN(Registro!$E598)))&amp;"x")-1))),"Revisar formato")))</f>
        <v/>
      </c>
      <c r="E598" s="24" t="str">
        <f>IF(Registro!$E598="","",IF(ISERROR(FIND("x",LOWER(Registro!$E598))),"-",IFERROR(SUMPRODUCT(--("0"&amp;LEFT(TRIM(MID(SUBSTITUTE(SUBSTITUTE(SUBSTITUTE(SUBSTITUTE(SUBSTITUTE(LOWER(Registro!$E598),"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",LEN(Registro!$E598))),({1,2,3,4,5,6,7,8,9,10,11,12,13,14,15,16,17,18,19,20,21,22,23,24,25,26,27,28,29,30}-1)*LEN(Registro!$E598)+1,LEN(Registro!$E598))),FIND("x",TRIM(MID(SUBSTITUTE(SUBSTITUTE(SUBSTITUTE(SUBSTITUTE(SUBSTITUTE(LOWER(Registro!$E598),"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",LEN(Registro!$E598))),({1,2,3,4,5,6,7,8,9,10,11,12,13,14,15,16,17,18,19,20,21,22,23,24,25,26,27,28,29,30}-1)*LEN(Registro!$E598)+1,LEN(Registro!$E598)))&amp;"x")-1)),--("0"&amp;MID(TRIM(MID(SUBSTITUTE(SUBSTITUTE(SUBSTITUTE(SUBSTITUTE(SUBSTITUTE(LOWER(Registro!$E598),"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",LEN(Registro!$E598))),({1,2,3,4,5,6,7,8,9,10,11,12,13,14,15,16,17,18,19,20,21,22,23,24,25,26,27,28,29,30}-1)*LEN(Registro!$E598)+1,LEN(Registro!$E598))),FIND("x",TRIM(MID(SUBSTITUTE(SUBSTITUTE(SUBSTITUTE(SUBSTITUTE(SUBSTITUTE(LOWER(Registro!$E598),"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",LEN(Registro!$E598))),({1,2,3,4,5,6,7,8,9,10,11,12,13,14,15,16,17,18,19,20,21,22,23,24,25,26,27,28,29,30}-1)*LEN(Registro!$E598)+1,LEN(Registro!$E598)))&amp;"x")+1,20))),"Revisar formato")))</f>
        <v/>
      </c>
      <c r="F598" s="23" t="str">
        <f>IF(Registro!$F598="","",IF(ISERROR(FIND("x",LOWER(Registro!$F598))),"-",IFERROR(SUMPRODUCT(--("0"&amp;LEFT(TRIM(MID(SUBSTITUTE(SUBSTITUTE(SUBSTITUTE(SUBSTITUTE(SUBSTITUTE(LOWER(Registro!$F598)," ",""),CHAR(10),"|"),";","|"),"+","|"),"|",REPT(" ",LEN(Registro!$F598))),({1,2,3,4,5,6,7,8,9,10,11,12,13,14,15,16,17,18,19,20,21,22,23,24,25,26,27,28,29,30}-1)*LEN(Registro!$F598)+1,LEN(Registro!$F598))),FIND("x",TRIM(MID(SUBSTITUTE(SUBSTITUTE(SUBSTITUTE(SUBSTITUTE(SUBSTITUTE(LOWER(Registro!$F598)," ",""),CHAR(10),"|"),";","|"),"+","|"),"|",REPT(" ",LEN(Registro!$F598))),({1,2,3,4,5,6,7,8,9,10,11,12,13,14,15,16,17,18,19,20,21,22,23,24,25,26,27,28,29,30}-1)*LEN(Registro!$F598)+1,LEN(Registro!$F598)))&amp;"x")-1))),"Revisar formato")))</f>
        <v/>
      </c>
      <c r="G598" s="24" t="str">
        <f>IF(Registro!$F598="","",IF(ISERROR(FIND("x",LOWER(Registro!$F598))),N(Registro!$G598),IFERROR(SUMPRODUCT(--("0"&amp;LEFT(TRIM(MID(SUBSTITUTE(SUBSTITUTE(SUBSTITUTE(SUBSTITUTE(SUBSTITUTE(LOWER(Registro!$F598)," ",""),CHAR(10),"|"),";","|"),"+","|"),"|",REPT(" ",LEN(Registro!$F598))),({1,2,3,4,5,6,7,8,9,10,11,12,13,14,15,16,17,18,19,20,21,22,23,24,25,26,27,28,29,30}-1)*LEN(Registro!$F598)+1,LEN(Registro!$F598))),FIND("x",TRIM(MID(SUBSTITUTE(SUBSTITUTE(SUBSTITUTE(SUBSTITUTE(SUBSTITUTE(LOWER(Registro!$F598)," ",""),CHAR(10),"|"),";","|"),"+","|"),"|",REPT(" ",LEN(Registro!$F598))),({1,2,3,4,5,6,7,8,9,10,11,12,13,14,15,16,17,18,19,20,21,22,23,24,25,26,27,28,29,30}-1)*LEN(Registro!$F598)+1,LEN(Registro!$F598)))&amp;"x")-1)),--("0"&amp;MID(TRIM(MID(SUBSTITUTE(SUBSTITUTE(SUBSTITUTE(SUBSTITUTE(SUBSTITUTE(LOWER(Registro!$F598)," ",""),CHAR(10),"|"),";","|"),"+","|"),"|",REPT(" ",LEN(Registro!$F598))),({1,2,3,4,5,6,7,8,9,10,11,12,13,14,15,16,17,18,19,20,21,22,23,24,25,26,27,28,29,30}-1)*LEN(Registro!$F598)+1,LEN(Registro!$F598))),FIND("x",TRIM(MID(SUBSTITUTE(SUBSTITUTE(SUBSTITUTE(SUBSTITUTE(SUBSTITUTE(LOWER(Registro!$F598)," ",""),CHAR(10),"|"),";","|"),"+","|"),"|",REPT(" ",LEN(Registro!$F598))),({1,2,3,4,5,6,7,8,9,10,11,12,13,14,15,16,17,18,19,20,21,22,23,24,25,26,27,28,29,30}-1)*LEN(Registro!$F598)+1,LEN(Registro!$F598)))&amp;"x")+1,20))),"Revisar formato")))</f>
        <v/>
      </c>
      <c r="H598" s="21" t="str">
        <f>IF(AND(Registro!$E598="",Registro!$F598=""),"",IF(NOT(AND(ISNUMBER(G598),ISNUMBER(Registro!$G598))),"",IF(G598&lt;Registro!$G598,"FALTA BOLETOS",IF(G598=Registro!$G598,"CONFORME","DIFERENCIA"))))</f>
        <v/>
      </c>
      <c r="I598" s="24" t="str">
        <f>IF(Registro!$H598="","",IFERROR(SUMPRODUCT(--("0"&amp;TRIM(RIGHT(SUBSTITUTE(TRIM(MID(SUBSTITUTE(SUBSTITUTE(Registro!$H598,";",CHAR(10)),CHAR(10),REPT(" ",LEN(Registro!$H598))),({1,2,3,4,5,6,7,8,9,10,11,12,13,14,15,16,17,18,19,20,21,22,23,24,25,26,27,28,29,30}-1)*LEN(Registro!$H598)+1,LEN(Registro!$H598)))," ",REPT(" ",50)),50)))),"Revisar formato"))</f>
        <v/>
      </c>
      <c r="J598" s="24" t="str">
        <f>IF(Registro!$I598="","",IFERROR(SUMPRODUCT(--("0"&amp;TRIM(RIGHT(SUBSTITUTE(TRIM(MID(SUBSTITUTE(SUBSTITUTE(Registro!$I598,";",CHAR(10)),CHAR(10),REPT(" ",LEN(Registro!$I598))),({1,2,3,4,5,6,7,8,9,10,11,12,13,14,15,16,17,18,19,20,21,22,23,24,25,26,27,28,29,30}-1)*LEN(Registro!$I598)+1,LEN(Registro!$I598)))," ",REPT(" ",50)),50)))),"Revisar formato"))</f>
        <v/>
      </c>
      <c r="K598" s="24" t="str">
        <f>IF(AND(Registro!$G598="",Registro!$H598=""),"",IF(AND(ISTEXT(I598),I598&lt;&gt;""),"Revisar formato",N(Registro!$G598)-N(I598)))</f>
        <v/>
      </c>
      <c r="L598" s="24" t="str">
        <f t="shared" si="19"/>
        <v/>
      </c>
      <c r="M598" s="36" t="str">
        <f>IF(AND(A598=Consulta!$B$3,C598=Consulta!$H$3),B598*10000+ROW(),"")</f>
        <v/>
      </c>
    </row>
    <row r="599" spans="1:13" x14ac:dyDescent="0.25">
      <c r="A599" s="21" t="str">
        <f>IF(Registro!$A599="","",Registro!$A599)</f>
        <v/>
      </c>
      <c r="B599" s="20" t="str">
        <f>IF(Registro!$B599="","",Registro!$B599)</f>
        <v/>
      </c>
      <c r="C599" s="35" t="str">
        <f t="shared" si="18"/>
        <v/>
      </c>
      <c r="D599" s="23" t="str">
        <f>IF(Registro!$E599="","",IF(ISERROR(FIND("x",LOWER(Registro!$E599))),"-",IFERROR(SUMPRODUCT(--("0"&amp;LEFT(TRIM(MID(SUBSTITUTE(SUBSTITUTE(SUBSTITUTE(SUBSTITUTE(SUBSTITUTE(LOWER(Registro!$E599),"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",LEN(Registro!$E599))),({1,2,3,4,5,6,7,8,9,10,11,12,13,14,15,16,17,18,19,20,21,22,23,24,25,26,27,28,29,30}-1)*LEN(Registro!$E599)+1,LEN(Registro!$E599))),FIND("x",TRIM(MID(SUBSTITUTE(SUBSTITUTE(SUBSTITUTE(SUBSTITUTE(SUBSTITUTE(LOWER(Registro!$E599),"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",LEN(Registro!$E599))),({1,2,3,4,5,6,7,8,9,10,11,12,13,14,15,16,17,18,19,20,21,22,23,24,25,26,27,28,29,30}-1)*LEN(Registro!$E599)+1,LEN(Registro!$E599)))&amp;"x")-1))),"Revisar formato")))</f>
        <v/>
      </c>
      <c r="E599" s="24" t="str">
        <f>IF(Registro!$E599="","",IF(ISERROR(FIND("x",LOWER(Registro!$E599))),"-",IFERROR(SUMPRODUCT(--("0"&amp;LEFT(TRIM(MID(SUBSTITUTE(SUBSTITUTE(SUBSTITUTE(SUBSTITUTE(SUBSTITUTE(LOWER(Registro!$E599),"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",LEN(Registro!$E599))),({1,2,3,4,5,6,7,8,9,10,11,12,13,14,15,16,17,18,19,20,21,22,23,24,25,26,27,28,29,30}-1)*LEN(Registro!$E599)+1,LEN(Registro!$E599))),FIND("x",TRIM(MID(SUBSTITUTE(SUBSTITUTE(SUBSTITUTE(SUBSTITUTE(SUBSTITUTE(LOWER(Registro!$E599),"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",LEN(Registro!$E599))),({1,2,3,4,5,6,7,8,9,10,11,12,13,14,15,16,17,18,19,20,21,22,23,24,25,26,27,28,29,30}-1)*LEN(Registro!$E599)+1,LEN(Registro!$E599)))&amp;"x")-1)),--("0"&amp;MID(TRIM(MID(SUBSTITUTE(SUBSTITUTE(SUBSTITUTE(SUBSTITUTE(SUBSTITUTE(LOWER(Registro!$E599),"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",LEN(Registro!$E599))),({1,2,3,4,5,6,7,8,9,10,11,12,13,14,15,16,17,18,19,20,21,22,23,24,25,26,27,28,29,30}-1)*LEN(Registro!$E599)+1,LEN(Registro!$E599))),FIND("x",TRIM(MID(SUBSTITUTE(SUBSTITUTE(SUBSTITUTE(SUBSTITUTE(SUBSTITUTE(LOWER(Registro!$E599),"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",LEN(Registro!$E599))),({1,2,3,4,5,6,7,8,9,10,11,12,13,14,15,16,17,18,19,20,21,22,23,24,25,26,27,28,29,30}-1)*LEN(Registro!$E599)+1,LEN(Registro!$E599)))&amp;"x")+1,20))),"Revisar formato")))</f>
        <v/>
      </c>
      <c r="F599" s="23" t="str">
        <f>IF(Registro!$F599="","",IF(ISERROR(FIND("x",LOWER(Registro!$F599))),"-",IFERROR(SUMPRODUCT(--("0"&amp;LEFT(TRIM(MID(SUBSTITUTE(SUBSTITUTE(SUBSTITUTE(SUBSTITUTE(SUBSTITUTE(LOWER(Registro!$F599)," ",""),CHAR(10),"|"),";","|"),"+","|"),"|",REPT(" ",LEN(Registro!$F599))),({1,2,3,4,5,6,7,8,9,10,11,12,13,14,15,16,17,18,19,20,21,22,23,24,25,26,27,28,29,30}-1)*LEN(Registro!$F599)+1,LEN(Registro!$F599))),FIND("x",TRIM(MID(SUBSTITUTE(SUBSTITUTE(SUBSTITUTE(SUBSTITUTE(SUBSTITUTE(LOWER(Registro!$F599)," ",""),CHAR(10),"|"),";","|"),"+","|"),"|",REPT(" ",LEN(Registro!$F599))),({1,2,3,4,5,6,7,8,9,10,11,12,13,14,15,16,17,18,19,20,21,22,23,24,25,26,27,28,29,30}-1)*LEN(Registro!$F599)+1,LEN(Registro!$F599)))&amp;"x")-1))),"Revisar formato")))</f>
        <v/>
      </c>
      <c r="G599" s="24" t="str">
        <f>IF(Registro!$F599="","",IF(ISERROR(FIND("x",LOWER(Registro!$F599))),N(Registro!$G599),IFERROR(SUMPRODUCT(--("0"&amp;LEFT(TRIM(MID(SUBSTITUTE(SUBSTITUTE(SUBSTITUTE(SUBSTITUTE(SUBSTITUTE(LOWER(Registro!$F599)," ",""),CHAR(10),"|"),";","|"),"+","|"),"|",REPT(" ",LEN(Registro!$F599))),({1,2,3,4,5,6,7,8,9,10,11,12,13,14,15,16,17,18,19,20,21,22,23,24,25,26,27,28,29,30}-1)*LEN(Registro!$F599)+1,LEN(Registro!$F599))),FIND("x",TRIM(MID(SUBSTITUTE(SUBSTITUTE(SUBSTITUTE(SUBSTITUTE(SUBSTITUTE(LOWER(Registro!$F599)," ",""),CHAR(10),"|"),";","|"),"+","|"),"|",REPT(" ",LEN(Registro!$F599))),({1,2,3,4,5,6,7,8,9,10,11,12,13,14,15,16,17,18,19,20,21,22,23,24,25,26,27,28,29,30}-1)*LEN(Registro!$F599)+1,LEN(Registro!$F599)))&amp;"x")-1)),--("0"&amp;MID(TRIM(MID(SUBSTITUTE(SUBSTITUTE(SUBSTITUTE(SUBSTITUTE(SUBSTITUTE(LOWER(Registro!$F599)," ",""),CHAR(10),"|"),";","|"),"+","|"),"|",REPT(" ",LEN(Registro!$F599))),({1,2,3,4,5,6,7,8,9,10,11,12,13,14,15,16,17,18,19,20,21,22,23,24,25,26,27,28,29,30}-1)*LEN(Registro!$F599)+1,LEN(Registro!$F599))),FIND("x",TRIM(MID(SUBSTITUTE(SUBSTITUTE(SUBSTITUTE(SUBSTITUTE(SUBSTITUTE(LOWER(Registro!$F599)," ",""),CHAR(10),"|"),";","|"),"+","|"),"|",REPT(" ",LEN(Registro!$F599))),({1,2,3,4,5,6,7,8,9,10,11,12,13,14,15,16,17,18,19,20,21,22,23,24,25,26,27,28,29,30}-1)*LEN(Registro!$F599)+1,LEN(Registro!$F599)))&amp;"x")+1,20))),"Revisar formato")))</f>
        <v/>
      </c>
      <c r="H599" s="21" t="str">
        <f>IF(AND(Registro!$E599="",Registro!$F599=""),"",IF(NOT(AND(ISNUMBER(G599),ISNUMBER(Registro!$G599))),"",IF(G599&lt;Registro!$G599,"FALTA BOLETOS",IF(G599=Registro!$G599,"CONFORME","DIFERENCIA"))))</f>
        <v/>
      </c>
      <c r="I599" s="24" t="str">
        <f>IF(Registro!$H599="","",IFERROR(SUMPRODUCT(--("0"&amp;TRIM(RIGHT(SUBSTITUTE(TRIM(MID(SUBSTITUTE(SUBSTITUTE(Registro!$H599,";",CHAR(10)),CHAR(10),REPT(" ",LEN(Registro!$H599))),({1,2,3,4,5,6,7,8,9,10,11,12,13,14,15,16,17,18,19,20,21,22,23,24,25,26,27,28,29,30}-1)*LEN(Registro!$H599)+1,LEN(Registro!$H599)))," ",REPT(" ",50)),50)))),"Revisar formato"))</f>
        <v/>
      </c>
      <c r="J599" s="24" t="str">
        <f>IF(Registro!$I599="","",IFERROR(SUMPRODUCT(--("0"&amp;TRIM(RIGHT(SUBSTITUTE(TRIM(MID(SUBSTITUTE(SUBSTITUTE(Registro!$I599,";",CHAR(10)),CHAR(10),REPT(" ",LEN(Registro!$I599))),({1,2,3,4,5,6,7,8,9,10,11,12,13,14,15,16,17,18,19,20,21,22,23,24,25,26,27,28,29,30}-1)*LEN(Registro!$I599)+1,LEN(Registro!$I599)))," ",REPT(" ",50)),50)))),"Revisar formato"))</f>
        <v/>
      </c>
      <c r="K599" s="24" t="str">
        <f>IF(AND(Registro!$G599="",Registro!$H599=""),"",IF(AND(ISTEXT(I599),I599&lt;&gt;""),"Revisar formato",N(Registro!$G599)-N(I599)))</f>
        <v/>
      </c>
      <c r="L599" s="24" t="str">
        <f t="shared" si="19"/>
        <v/>
      </c>
      <c r="M599" s="36" t="str">
        <f>IF(AND(A599=Consulta!$B$3,C599=Consulta!$H$3),B599*10000+ROW(),"")</f>
        <v/>
      </c>
    </row>
    <row r="600" spans="1:13" x14ac:dyDescent="0.25">
      <c r="A600" s="21" t="str">
        <f>IF(Registro!$A600="","",Registro!$A600)</f>
        <v/>
      </c>
      <c r="B600" s="20" t="str">
        <f>IF(Registro!$B600="","",Registro!$B600)</f>
        <v/>
      </c>
      <c r="C600" s="35" t="str">
        <f t="shared" si="18"/>
        <v/>
      </c>
      <c r="D600" s="23" t="str">
        <f>IF(Registro!$E600="","",IF(ISERROR(FIND("x",LOWER(Registro!$E600))),"-",IFERROR(SUMPRODUCT(--("0"&amp;LEFT(TRIM(MID(SUBSTITUTE(SUBSTITUTE(SUBSTITUTE(SUBSTITUTE(SUBSTITUTE(LOWER(Registro!$E600),"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",LEN(Registro!$E600))),({1,2,3,4,5,6,7,8,9,10,11,12,13,14,15,16,17,18,19,20,21,22,23,24,25,26,27,28,29,30}-1)*LEN(Registro!$E600)+1,LEN(Registro!$E600))),FIND("x",TRIM(MID(SUBSTITUTE(SUBSTITUTE(SUBSTITUTE(SUBSTITUTE(SUBSTITUTE(LOWER(Registro!$E600),"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",LEN(Registro!$E600))),({1,2,3,4,5,6,7,8,9,10,11,12,13,14,15,16,17,18,19,20,21,22,23,24,25,26,27,28,29,30}-1)*LEN(Registro!$E600)+1,LEN(Registro!$E600)))&amp;"x")-1))),"Revisar formato")))</f>
        <v/>
      </c>
      <c r="E600" s="24" t="str">
        <f>IF(Registro!$E600="","",IF(ISERROR(FIND("x",LOWER(Registro!$E600))),"-",IFERROR(SUMPRODUCT(--("0"&amp;LEFT(TRIM(MID(SUBSTITUTE(SUBSTITUTE(SUBSTITUTE(SUBSTITUTE(SUBSTITUTE(LOWER(Registro!$E600),"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",LEN(Registro!$E600))),({1,2,3,4,5,6,7,8,9,10,11,12,13,14,15,16,17,18,19,20,21,22,23,24,25,26,27,28,29,30}-1)*LEN(Registro!$E600)+1,LEN(Registro!$E600))),FIND("x",TRIM(MID(SUBSTITUTE(SUBSTITUTE(SUBSTITUTE(SUBSTITUTE(SUBSTITUTE(LOWER(Registro!$E600),"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",LEN(Registro!$E600))),({1,2,3,4,5,6,7,8,9,10,11,12,13,14,15,16,17,18,19,20,21,22,23,24,25,26,27,28,29,30}-1)*LEN(Registro!$E600)+1,LEN(Registro!$E600)))&amp;"x")-1)),--("0"&amp;MID(TRIM(MID(SUBSTITUTE(SUBSTITUTE(SUBSTITUTE(SUBSTITUTE(SUBSTITUTE(LOWER(Registro!$E600),"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",LEN(Registro!$E600))),({1,2,3,4,5,6,7,8,9,10,11,12,13,14,15,16,17,18,19,20,21,22,23,24,25,26,27,28,29,30}-1)*LEN(Registro!$E600)+1,LEN(Registro!$E600))),FIND("x",TRIM(MID(SUBSTITUTE(SUBSTITUTE(SUBSTITUTE(SUBSTITUTE(SUBSTITUTE(LOWER(Registro!$E600),"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",LEN(Registro!$E600))),({1,2,3,4,5,6,7,8,9,10,11,12,13,14,15,16,17,18,19,20,21,22,23,24,25,26,27,28,29,30}-1)*LEN(Registro!$E600)+1,LEN(Registro!$E600)))&amp;"x")+1,20))),"Revisar formato")))</f>
        <v/>
      </c>
      <c r="F600" s="23" t="str">
        <f>IF(Registro!$F600="","",IF(ISERROR(FIND("x",LOWER(Registro!$F600))),"-",IFERROR(SUMPRODUCT(--("0"&amp;LEFT(TRIM(MID(SUBSTITUTE(SUBSTITUTE(SUBSTITUTE(SUBSTITUTE(SUBSTITUTE(LOWER(Registro!$F600)," ",""),CHAR(10),"|"),";","|"),"+","|"),"|",REPT(" ",LEN(Registro!$F600))),({1,2,3,4,5,6,7,8,9,10,11,12,13,14,15,16,17,18,19,20,21,22,23,24,25,26,27,28,29,30}-1)*LEN(Registro!$F600)+1,LEN(Registro!$F600))),FIND("x",TRIM(MID(SUBSTITUTE(SUBSTITUTE(SUBSTITUTE(SUBSTITUTE(SUBSTITUTE(LOWER(Registro!$F600)," ",""),CHAR(10),"|"),";","|"),"+","|"),"|",REPT(" ",LEN(Registro!$F600))),({1,2,3,4,5,6,7,8,9,10,11,12,13,14,15,16,17,18,19,20,21,22,23,24,25,26,27,28,29,30}-1)*LEN(Registro!$F600)+1,LEN(Registro!$F600)))&amp;"x")-1))),"Revisar formato")))</f>
        <v/>
      </c>
      <c r="G600" s="24" t="str">
        <f>IF(Registro!$F600="","",IF(ISERROR(FIND("x",LOWER(Registro!$F600))),N(Registro!$G600),IFERROR(SUMPRODUCT(--("0"&amp;LEFT(TRIM(MID(SUBSTITUTE(SUBSTITUTE(SUBSTITUTE(SUBSTITUTE(SUBSTITUTE(LOWER(Registro!$F600)," ",""),CHAR(10),"|"),";","|"),"+","|"),"|",REPT(" ",LEN(Registro!$F600))),({1,2,3,4,5,6,7,8,9,10,11,12,13,14,15,16,17,18,19,20,21,22,23,24,25,26,27,28,29,30}-1)*LEN(Registro!$F600)+1,LEN(Registro!$F600))),FIND("x",TRIM(MID(SUBSTITUTE(SUBSTITUTE(SUBSTITUTE(SUBSTITUTE(SUBSTITUTE(LOWER(Registro!$F600)," ",""),CHAR(10),"|"),";","|"),"+","|"),"|",REPT(" ",LEN(Registro!$F600))),({1,2,3,4,5,6,7,8,9,10,11,12,13,14,15,16,17,18,19,20,21,22,23,24,25,26,27,28,29,30}-1)*LEN(Registro!$F600)+1,LEN(Registro!$F600)))&amp;"x")-1)),--("0"&amp;MID(TRIM(MID(SUBSTITUTE(SUBSTITUTE(SUBSTITUTE(SUBSTITUTE(SUBSTITUTE(LOWER(Registro!$F600)," ",""),CHAR(10),"|"),";","|"),"+","|"),"|",REPT(" ",LEN(Registro!$F600))),({1,2,3,4,5,6,7,8,9,10,11,12,13,14,15,16,17,18,19,20,21,22,23,24,25,26,27,28,29,30}-1)*LEN(Registro!$F600)+1,LEN(Registro!$F600))),FIND("x",TRIM(MID(SUBSTITUTE(SUBSTITUTE(SUBSTITUTE(SUBSTITUTE(SUBSTITUTE(LOWER(Registro!$F600)," ",""),CHAR(10),"|"),";","|"),"+","|"),"|",REPT(" ",LEN(Registro!$F600))),({1,2,3,4,5,6,7,8,9,10,11,12,13,14,15,16,17,18,19,20,21,22,23,24,25,26,27,28,29,30}-1)*LEN(Registro!$F600)+1,LEN(Registro!$F600)))&amp;"x")+1,20))),"Revisar formato")))</f>
        <v/>
      </c>
      <c r="H600" s="21" t="str">
        <f>IF(AND(Registro!$E600="",Registro!$F600=""),"",IF(NOT(AND(ISNUMBER(G600),ISNUMBER(Registro!$G600))),"",IF(G600&lt;Registro!$G600,"FALTA BOLETOS",IF(G600=Registro!$G600,"CONFORME","DIFERENCIA"))))</f>
        <v/>
      </c>
      <c r="I600" s="24" t="str">
        <f>IF(Registro!$H600="","",IFERROR(SUMPRODUCT(--("0"&amp;TRIM(RIGHT(SUBSTITUTE(TRIM(MID(SUBSTITUTE(SUBSTITUTE(Registro!$H600,";",CHAR(10)),CHAR(10),REPT(" ",LEN(Registro!$H600))),({1,2,3,4,5,6,7,8,9,10,11,12,13,14,15,16,17,18,19,20,21,22,23,24,25,26,27,28,29,30}-1)*LEN(Registro!$H600)+1,LEN(Registro!$H600)))," ",REPT(" ",50)),50)))),"Revisar formato"))</f>
        <v/>
      </c>
      <c r="J600" s="24" t="str">
        <f>IF(Registro!$I600="","",IFERROR(SUMPRODUCT(--("0"&amp;TRIM(RIGHT(SUBSTITUTE(TRIM(MID(SUBSTITUTE(SUBSTITUTE(Registro!$I600,";",CHAR(10)),CHAR(10),REPT(" ",LEN(Registro!$I600))),({1,2,3,4,5,6,7,8,9,10,11,12,13,14,15,16,17,18,19,20,21,22,23,24,25,26,27,28,29,30}-1)*LEN(Registro!$I600)+1,LEN(Registro!$I600)))," ",REPT(" ",50)),50)))),"Revisar formato"))</f>
        <v/>
      </c>
      <c r="K600" s="24" t="str">
        <f>IF(AND(Registro!$G600="",Registro!$H600=""),"",IF(AND(ISTEXT(I600),I600&lt;&gt;""),"Revisar formato",N(Registro!$G600)-N(I600)))</f>
        <v/>
      </c>
      <c r="L600" s="24" t="str">
        <f t="shared" si="19"/>
        <v/>
      </c>
      <c r="M600" s="36" t="str">
        <f>IF(AND(A600=Consulta!$B$3,C600=Consulta!$H$3),B600*10000+ROW(),"")</f>
        <v/>
      </c>
    </row>
    <row r="601" spans="1:13" x14ac:dyDescent="0.25">
      <c r="A601" s="21" t="str">
        <f>IF(Registro!$A601="","",Registro!$A601)</f>
        <v/>
      </c>
      <c r="B601" s="20" t="str">
        <f>IF(Registro!$B601="","",Registro!$B601)</f>
        <v/>
      </c>
      <c r="C601" s="35" t="str">
        <f t="shared" si="18"/>
        <v/>
      </c>
      <c r="D601" s="23" t="str">
        <f>IF(Registro!$E601="","",IF(ISERROR(FIND("x",LOWER(Registro!$E601))),"-",IFERROR(SUMPRODUCT(--("0"&amp;LEFT(TRIM(MID(SUBSTITUTE(SUBSTITUTE(SUBSTITUTE(SUBSTITUTE(SUBSTITUTE(LOWER(Registro!$E601),"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",LEN(Registro!$E601))),({1,2,3,4,5,6,7,8,9,10,11,12,13,14,15,16,17,18,19,20,21,22,23,24,25,26,27,28,29,30}-1)*LEN(Registro!$E601)+1,LEN(Registro!$E601))),FIND("x",TRIM(MID(SUBSTITUTE(SUBSTITUTE(SUBSTITUTE(SUBSTITUTE(SUBSTITUTE(LOWER(Registro!$E601),"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",LEN(Registro!$E601))),({1,2,3,4,5,6,7,8,9,10,11,12,13,14,15,16,17,18,19,20,21,22,23,24,25,26,27,28,29,30}-1)*LEN(Registro!$E601)+1,LEN(Registro!$E601)))&amp;"x")-1))),"Revisar formato")))</f>
        <v/>
      </c>
      <c r="E601" s="24" t="str">
        <f>IF(Registro!$E601="","",IF(ISERROR(FIND("x",LOWER(Registro!$E601))),"-",IFERROR(SUMPRODUCT(--("0"&amp;LEFT(TRIM(MID(SUBSTITUTE(SUBSTITUTE(SUBSTITUTE(SUBSTITUTE(SUBSTITUTE(LOWER(Registro!$E601),"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",LEN(Registro!$E601))),({1,2,3,4,5,6,7,8,9,10,11,12,13,14,15,16,17,18,19,20,21,22,23,24,25,26,27,28,29,30}-1)*LEN(Registro!$E601)+1,LEN(Registro!$E601))),FIND("x",TRIM(MID(SUBSTITUTE(SUBSTITUTE(SUBSTITUTE(SUBSTITUTE(SUBSTITUTE(LOWER(Registro!$E601),"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",LEN(Registro!$E601))),({1,2,3,4,5,6,7,8,9,10,11,12,13,14,15,16,17,18,19,20,21,22,23,24,25,26,27,28,29,30}-1)*LEN(Registro!$E601)+1,LEN(Registro!$E601)))&amp;"x")-1)),--("0"&amp;MID(TRIM(MID(SUBSTITUTE(SUBSTITUTE(SUBSTITUTE(SUBSTITUTE(SUBSTITUTE(LOWER(Registro!$E601),"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",LEN(Registro!$E601))),({1,2,3,4,5,6,7,8,9,10,11,12,13,14,15,16,17,18,19,20,21,22,23,24,25,26,27,28,29,30}-1)*LEN(Registro!$E601)+1,LEN(Registro!$E601))),FIND("x",TRIM(MID(SUBSTITUTE(SUBSTITUTE(SUBSTITUTE(SUBSTITUTE(SUBSTITUTE(LOWER(Registro!$E601),"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",LEN(Registro!$E601))),({1,2,3,4,5,6,7,8,9,10,11,12,13,14,15,16,17,18,19,20,21,22,23,24,25,26,27,28,29,30}-1)*LEN(Registro!$E601)+1,LEN(Registro!$E601)))&amp;"x")+1,20))),"Revisar formato")))</f>
        <v/>
      </c>
      <c r="F601" s="23" t="str">
        <f>IF(Registro!$F601="","",IF(ISERROR(FIND("x",LOWER(Registro!$F601))),"-",IFERROR(SUMPRODUCT(--("0"&amp;LEFT(TRIM(MID(SUBSTITUTE(SUBSTITUTE(SUBSTITUTE(SUBSTITUTE(SUBSTITUTE(LOWER(Registro!$F601)," ",""),CHAR(10),"|"),";","|"),"+","|"),"|",REPT(" ",LEN(Registro!$F601))),({1,2,3,4,5,6,7,8,9,10,11,12,13,14,15,16,17,18,19,20,21,22,23,24,25,26,27,28,29,30}-1)*LEN(Registro!$F601)+1,LEN(Registro!$F601))),FIND("x",TRIM(MID(SUBSTITUTE(SUBSTITUTE(SUBSTITUTE(SUBSTITUTE(SUBSTITUTE(LOWER(Registro!$F601)," ",""),CHAR(10),"|"),";","|"),"+","|"),"|",REPT(" ",LEN(Registro!$F601))),({1,2,3,4,5,6,7,8,9,10,11,12,13,14,15,16,17,18,19,20,21,22,23,24,25,26,27,28,29,30}-1)*LEN(Registro!$F601)+1,LEN(Registro!$F601)))&amp;"x")-1))),"Revisar formato")))</f>
        <v/>
      </c>
      <c r="G601" s="24" t="str">
        <f>IF(Registro!$F601="","",IF(ISERROR(FIND("x",LOWER(Registro!$F601))),N(Registro!$G601),IFERROR(SUMPRODUCT(--("0"&amp;LEFT(TRIM(MID(SUBSTITUTE(SUBSTITUTE(SUBSTITUTE(SUBSTITUTE(SUBSTITUTE(LOWER(Registro!$F601)," ",""),CHAR(10),"|"),";","|"),"+","|"),"|",REPT(" ",LEN(Registro!$F601))),({1,2,3,4,5,6,7,8,9,10,11,12,13,14,15,16,17,18,19,20,21,22,23,24,25,26,27,28,29,30}-1)*LEN(Registro!$F601)+1,LEN(Registro!$F601))),FIND("x",TRIM(MID(SUBSTITUTE(SUBSTITUTE(SUBSTITUTE(SUBSTITUTE(SUBSTITUTE(LOWER(Registro!$F601)," ",""),CHAR(10),"|"),";","|"),"+","|"),"|",REPT(" ",LEN(Registro!$F601))),({1,2,3,4,5,6,7,8,9,10,11,12,13,14,15,16,17,18,19,20,21,22,23,24,25,26,27,28,29,30}-1)*LEN(Registro!$F601)+1,LEN(Registro!$F601)))&amp;"x")-1)),--("0"&amp;MID(TRIM(MID(SUBSTITUTE(SUBSTITUTE(SUBSTITUTE(SUBSTITUTE(SUBSTITUTE(LOWER(Registro!$F601)," ",""),CHAR(10),"|"),";","|"),"+","|"),"|",REPT(" ",LEN(Registro!$F601))),({1,2,3,4,5,6,7,8,9,10,11,12,13,14,15,16,17,18,19,20,21,22,23,24,25,26,27,28,29,30}-1)*LEN(Registro!$F601)+1,LEN(Registro!$F601))),FIND("x",TRIM(MID(SUBSTITUTE(SUBSTITUTE(SUBSTITUTE(SUBSTITUTE(SUBSTITUTE(LOWER(Registro!$F601)," ",""),CHAR(10),"|"),";","|"),"+","|"),"|",REPT(" ",LEN(Registro!$F601))),({1,2,3,4,5,6,7,8,9,10,11,12,13,14,15,16,17,18,19,20,21,22,23,24,25,26,27,28,29,30}-1)*LEN(Registro!$F601)+1,LEN(Registro!$F601)))&amp;"x")+1,20))),"Revisar formato")))</f>
        <v/>
      </c>
      <c r="H601" s="21" t="str">
        <f>IF(AND(Registro!$E601="",Registro!$F601=""),"",IF(NOT(AND(ISNUMBER(G601),ISNUMBER(Registro!$G601))),"",IF(G601&lt;Registro!$G601,"FALTA BOLETOS",IF(G601=Registro!$G601,"CONFORME","DIFERENCIA"))))</f>
        <v/>
      </c>
      <c r="I601" s="24" t="str">
        <f>IF(Registro!$H601="","",IFERROR(SUMPRODUCT(--("0"&amp;TRIM(RIGHT(SUBSTITUTE(TRIM(MID(SUBSTITUTE(SUBSTITUTE(Registro!$H601,";",CHAR(10)),CHAR(10),REPT(" ",LEN(Registro!$H601))),({1,2,3,4,5,6,7,8,9,10,11,12,13,14,15,16,17,18,19,20,21,22,23,24,25,26,27,28,29,30}-1)*LEN(Registro!$H601)+1,LEN(Registro!$H601)))," ",REPT(" ",50)),50)))),"Revisar formato"))</f>
        <v/>
      </c>
      <c r="J601" s="24" t="str">
        <f>IF(Registro!$I601="","",IFERROR(SUMPRODUCT(--("0"&amp;TRIM(RIGHT(SUBSTITUTE(TRIM(MID(SUBSTITUTE(SUBSTITUTE(Registro!$I601,";",CHAR(10)),CHAR(10),REPT(" ",LEN(Registro!$I601))),({1,2,3,4,5,6,7,8,9,10,11,12,13,14,15,16,17,18,19,20,21,22,23,24,25,26,27,28,29,30}-1)*LEN(Registro!$I601)+1,LEN(Registro!$I601)))," ",REPT(" ",50)),50)))),"Revisar formato"))</f>
        <v/>
      </c>
      <c r="K601" s="24" t="str">
        <f>IF(AND(Registro!$G601="",Registro!$H601=""),"",IF(AND(ISTEXT(I601),I601&lt;&gt;""),"Revisar formato",N(Registro!$G601)-N(I601)))</f>
        <v/>
      </c>
      <c r="L601" s="24" t="str">
        <f t="shared" si="19"/>
        <v/>
      </c>
      <c r="M601" s="36" t="str">
        <f>IF(AND(A601=Consulta!$B$3,C601=Consulta!$H$3),B601*10000+ROW(),"")</f>
        <v/>
      </c>
    </row>
    <row r="602" spans="1:13" x14ac:dyDescent="0.25">
      <c r="A602" s="21" t="str">
        <f>IF(Registro!$A602="","",Registro!$A602)</f>
        <v/>
      </c>
      <c r="B602" s="20" t="str">
        <f>IF(Registro!$B602="","",Registro!$B602)</f>
        <v/>
      </c>
      <c r="C602" s="35" t="str">
        <f t="shared" si="18"/>
        <v/>
      </c>
      <c r="D602" s="23" t="str">
        <f>IF(Registro!$E602="","",IF(ISERROR(FIND("x",LOWER(Registro!$E602))),"-",IFERROR(SUMPRODUCT(--("0"&amp;LEFT(TRIM(MID(SUBSTITUTE(SUBSTITUTE(SUBSTITUTE(SUBSTITUTE(SUBSTITUTE(LOWER(Registro!$E602),"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",LEN(Registro!$E602))),({1,2,3,4,5,6,7,8,9,10,11,12,13,14,15,16,17,18,19,20,21,22,23,24,25,26,27,28,29,30}-1)*LEN(Registro!$E602)+1,LEN(Registro!$E602))),FIND("x",TRIM(MID(SUBSTITUTE(SUBSTITUTE(SUBSTITUTE(SUBSTITUTE(SUBSTITUTE(LOWER(Registro!$E602),"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",LEN(Registro!$E602))),({1,2,3,4,5,6,7,8,9,10,11,12,13,14,15,16,17,18,19,20,21,22,23,24,25,26,27,28,29,30}-1)*LEN(Registro!$E602)+1,LEN(Registro!$E602)))&amp;"x")-1))),"Revisar formato")))</f>
        <v/>
      </c>
      <c r="E602" s="24" t="str">
        <f>IF(Registro!$E602="","",IF(ISERROR(FIND("x",LOWER(Registro!$E602))),"-",IFERROR(SUMPRODUCT(--("0"&amp;LEFT(TRIM(MID(SUBSTITUTE(SUBSTITUTE(SUBSTITUTE(SUBSTITUTE(SUBSTITUTE(LOWER(Registro!$E602),"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",LEN(Registro!$E602))),({1,2,3,4,5,6,7,8,9,10,11,12,13,14,15,16,17,18,19,20,21,22,23,24,25,26,27,28,29,30}-1)*LEN(Registro!$E602)+1,LEN(Registro!$E602))),FIND("x",TRIM(MID(SUBSTITUTE(SUBSTITUTE(SUBSTITUTE(SUBSTITUTE(SUBSTITUTE(LOWER(Registro!$E602),"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",LEN(Registro!$E602))),({1,2,3,4,5,6,7,8,9,10,11,12,13,14,15,16,17,18,19,20,21,22,23,24,25,26,27,28,29,30}-1)*LEN(Registro!$E602)+1,LEN(Registro!$E602)))&amp;"x")-1)),--("0"&amp;MID(TRIM(MID(SUBSTITUTE(SUBSTITUTE(SUBSTITUTE(SUBSTITUTE(SUBSTITUTE(LOWER(Registro!$E602),"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",LEN(Registro!$E602))),({1,2,3,4,5,6,7,8,9,10,11,12,13,14,15,16,17,18,19,20,21,22,23,24,25,26,27,28,29,30}-1)*LEN(Registro!$E602)+1,LEN(Registro!$E602))),FIND("x",TRIM(MID(SUBSTITUTE(SUBSTITUTE(SUBSTITUTE(SUBSTITUTE(SUBSTITUTE(LOWER(Registro!$E602),"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",LEN(Registro!$E602))),({1,2,3,4,5,6,7,8,9,10,11,12,13,14,15,16,17,18,19,20,21,22,23,24,25,26,27,28,29,30}-1)*LEN(Registro!$E602)+1,LEN(Registro!$E602)))&amp;"x")+1,20))),"Revisar formato")))</f>
        <v/>
      </c>
      <c r="F602" s="23" t="str">
        <f>IF(Registro!$F602="","",IF(ISERROR(FIND("x",LOWER(Registro!$F602))),"-",IFERROR(SUMPRODUCT(--("0"&amp;LEFT(TRIM(MID(SUBSTITUTE(SUBSTITUTE(SUBSTITUTE(SUBSTITUTE(SUBSTITUTE(LOWER(Registro!$F602)," ",""),CHAR(10),"|"),";","|"),"+","|"),"|",REPT(" ",LEN(Registro!$F602))),({1,2,3,4,5,6,7,8,9,10,11,12,13,14,15,16,17,18,19,20,21,22,23,24,25,26,27,28,29,30}-1)*LEN(Registro!$F602)+1,LEN(Registro!$F602))),FIND("x",TRIM(MID(SUBSTITUTE(SUBSTITUTE(SUBSTITUTE(SUBSTITUTE(SUBSTITUTE(LOWER(Registro!$F602)," ",""),CHAR(10),"|"),";","|"),"+","|"),"|",REPT(" ",LEN(Registro!$F602))),({1,2,3,4,5,6,7,8,9,10,11,12,13,14,15,16,17,18,19,20,21,22,23,24,25,26,27,28,29,30}-1)*LEN(Registro!$F602)+1,LEN(Registro!$F602)))&amp;"x")-1))),"Revisar formato")))</f>
        <v/>
      </c>
      <c r="G602" s="24" t="str">
        <f>IF(Registro!$F602="","",IF(ISERROR(FIND("x",LOWER(Registro!$F602))),N(Registro!$G602),IFERROR(SUMPRODUCT(--("0"&amp;LEFT(TRIM(MID(SUBSTITUTE(SUBSTITUTE(SUBSTITUTE(SUBSTITUTE(SUBSTITUTE(LOWER(Registro!$F602)," ",""),CHAR(10),"|"),";","|"),"+","|"),"|",REPT(" ",LEN(Registro!$F602))),({1,2,3,4,5,6,7,8,9,10,11,12,13,14,15,16,17,18,19,20,21,22,23,24,25,26,27,28,29,30}-1)*LEN(Registro!$F602)+1,LEN(Registro!$F602))),FIND("x",TRIM(MID(SUBSTITUTE(SUBSTITUTE(SUBSTITUTE(SUBSTITUTE(SUBSTITUTE(LOWER(Registro!$F602)," ",""),CHAR(10),"|"),";","|"),"+","|"),"|",REPT(" ",LEN(Registro!$F602))),({1,2,3,4,5,6,7,8,9,10,11,12,13,14,15,16,17,18,19,20,21,22,23,24,25,26,27,28,29,30}-1)*LEN(Registro!$F602)+1,LEN(Registro!$F602)))&amp;"x")-1)),--("0"&amp;MID(TRIM(MID(SUBSTITUTE(SUBSTITUTE(SUBSTITUTE(SUBSTITUTE(SUBSTITUTE(LOWER(Registro!$F602)," ",""),CHAR(10),"|"),";","|"),"+","|"),"|",REPT(" ",LEN(Registro!$F602))),({1,2,3,4,5,6,7,8,9,10,11,12,13,14,15,16,17,18,19,20,21,22,23,24,25,26,27,28,29,30}-1)*LEN(Registro!$F602)+1,LEN(Registro!$F602))),FIND("x",TRIM(MID(SUBSTITUTE(SUBSTITUTE(SUBSTITUTE(SUBSTITUTE(SUBSTITUTE(LOWER(Registro!$F602)," ",""),CHAR(10),"|"),";","|"),"+","|"),"|",REPT(" ",LEN(Registro!$F602))),({1,2,3,4,5,6,7,8,9,10,11,12,13,14,15,16,17,18,19,20,21,22,23,24,25,26,27,28,29,30}-1)*LEN(Registro!$F602)+1,LEN(Registro!$F602)))&amp;"x")+1,20))),"Revisar formato")))</f>
        <v/>
      </c>
      <c r="H602" s="21" t="str">
        <f>IF(AND(Registro!$E602="",Registro!$F602=""),"",IF(NOT(AND(ISNUMBER(G602),ISNUMBER(Registro!$G602))),"",IF(G602&lt;Registro!$G602,"FALTA BOLETOS",IF(G602=Registro!$G602,"CONFORME","DIFERENCIA"))))</f>
        <v/>
      </c>
      <c r="I602" s="24" t="str">
        <f>IF(Registro!$H602="","",IFERROR(SUMPRODUCT(--("0"&amp;TRIM(RIGHT(SUBSTITUTE(TRIM(MID(SUBSTITUTE(SUBSTITUTE(Registro!$H602,";",CHAR(10)),CHAR(10),REPT(" ",LEN(Registro!$H602))),({1,2,3,4,5,6,7,8,9,10,11,12,13,14,15,16,17,18,19,20,21,22,23,24,25,26,27,28,29,30}-1)*LEN(Registro!$H602)+1,LEN(Registro!$H602)))," ",REPT(" ",50)),50)))),"Revisar formato"))</f>
        <v/>
      </c>
      <c r="J602" s="24" t="str">
        <f>IF(Registro!$I602="","",IFERROR(SUMPRODUCT(--("0"&amp;TRIM(RIGHT(SUBSTITUTE(TRIM(MID(SUBSTITUTE(SUBSTITUTE(Registro!$I602,";",CHAR(10)),CHAR(10),REPT(" ",LEN(Registro!$I602))),({1,2,3,4,5,6,7,8,9,10,11,12,13,14,15,16,17,18,19,20,21,22,23,24,25,26,27,28,29,30}-1)*LEN(Registro!$I602)+1,LEN(Registro!$I602)))," ",REPT(" ",50)),50)))),"Revisar formato"))</f>
        <v/>
      </c>
      <c r="K602" s="24" t="str">
        <f>IF(AND(Registro!$G602="",Registro!$H602=""),"",IF(AND(ISTEXT(I602),I602&lt;&gt;""),"Revisar formato",N(Registro!$G602)-N(I602)))</f>
        <v/>
      </c>
      <c r="L602" s="24" t="str">
        <f t="shared" si="19"/>
        <v/>
      </c>
      <c r="M602" s="36" t="str">
        <f>IF(AND(A602=Consulta!$B$3,C602=Consulta!$H$3),B602*10000+ROW(),"")</f>
        <v/>
      </c>
    </row>
    <row r="603" spans="1:13" x14ac:dyDescent="0.25">
      <c r="A603" s="21" t="str">
        <f>IF(Registro!$A603="","",Registro!$A603)</f>
        <v/>
      </c>
      <c r="B603" s="20" t="str">
        <f>IF(Registro!$B603="","",Registro!$B603)</f>
        <v/>
      </c>
      <c r="C603" s="35" t="str">
        <f t="shared" si="18"/>
        <v/>
      </c>
      <c r="D603" s="23" t="str">
        <f>IF(Registro!$E603="","",IF(ISERROR(FIND("x",LOWER(Registro!$E603))),"-",IFERROR(SUMPRODUCT(--("0"&amp;LEFT(TRIM(MID(SUBSTITUTE(SUBSTITUTE(SUBSTITUTE(SUBSTITUTE(SUBSTITUTE(LOWER(Registro!$E603),"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",LEN(Registro!$E603))),({1,2,3,4,5,6,7,8,9,10,11,12,13,14,15,16,17,18,19,20,21,22,23,24,25,26,27,28,29,30}-1)*LEN(Registro!$E603)+1,LEN(Registro!$E603))),FIND("x",TRIM(MID(SUBSTITUTE(SUBSTITUTE(SUBSTITUTE(SUBSTITUTE(SUBSTITUTE(LOWER(Registro!$E603),"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",LEN(Registro!$E603))),({1,2,3,4,5,6,7,8,9,10,11,12,13,14,15,16,17,18,19,20,21,22,23,24,25,26,27,28,29,30}-1)*LEN(Registro!$E603)+1,LEN(Registro!$E603)))&amp;"x")-1))),"Revisar formato")))</f>
        <v/>
      </c>
      <c r="E603" s="24" t="str">
        <f>IF(Registro!$E603="","",IF(ISERROR(FIND("x",LOWER(Registro!$E603))),"-",IFERROR(SUMPRODUCT(--("0"&amp;LEFT(TRIM(MID(SUBSTITUTE(SUBSTITUTE(SUBSTITUTE(SUBSTITUTE(SUBSTITUTE(LOWER(Registro!$E603),"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",LEN(Registro!$E603))),({1,2,3,4,5,6,7,8,9,10,11,12,13,14,15,16,17,18,19,20,21,22,23,24,25,26,27,28,29,30}-1)*LEN(Registro!$E603)+1,LEN(Registro!$E603))),FIND("x",TRIM(MID(SUBSTITUTE(SUBSTITUTE(SUBSTITUTE(SUBSTITUTE(SUBSTITUTE(LOWER(Registro!$E603),"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",LEN(Registro!$E603))),({1,2,3,4,5,6,7,8,9,10,11,12,13,14,15,16,17,18,19,20,21,22,23,24,25,26,27,28,29,30}-1)*LEN(Registro!$E603)+1,LEN(Registro!$E603)))&amp;"x")-1)),--("0"&amp;MID(TRIM(MID(SUBSTITUTE(SUBSTITUTE(SUBSTITUTE(SUBSTITUTE(SUBSTITUTE(LOWER(Registro!$E603),"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",LEN(Registro!$E603))),({1,2,3,4,5,6,7,8,9,10,11,12,13,14,15,16,17,18,19,20,21,22,23,24,25,26,27,28,29,30}-1)*LEN(Registro!$E603)+1,LEN(Registro!$E603))),FIND("x",TRIM(MID(SUBSTITUTE(SUBSTITUTE(SUBSTITUTE(SUBSTITUTE(SUBSTITUTE(LOWER(Registro!$E603),"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",LEN(Registro!$E603))),({1,2,3,4,5,6,7,8,9,10,11,12,13,14,15,16,17,18,19,20,21,22,23,24,25,26,27,28,29,30}-1)*LEN(Registro!$E603)+1,LEN(Registro!$E603)))&amp;"x")+1,20))),"Revisar formato")))</f>
        <v/>
      </c>
      <c r="F603" s="23" t="str">
        <f>IF(Registro!$F603="","",IF(ISERROR(FIND("x",LOWER(Registro!$F603))),"-",IFERROR(SUMPRODUCT(--("0"&amp;LEFT(TRIM(MID(SUBSTITUTE(SUBSTITUTE(SUBSTITUTE(SUBSTITUTE(SUBSTITUTE(LOWER(Registro!$F603)," ",""),CHAR(10),"|"),";","|"),"+","|"),"|",REPT(" ",LEN(Registro!$F603))),({1,2,3,4,5,6,7,8,9,10,11,12,13,14,15,16,17,18,19,20,21,22,23,24,25,26,27,28,29,30}-1)*LEN(Registro!$F603)+1,LEN(Registro!$F603))),FIND("x",TRIM(MID(SUBSTITUTE(SUBSTITUTE(SUBSTITUTE(SUBSTITUTE(SUBSTITUTE(LOWER(Registro!$F603)," ",""),CHAR(10),"|"),";","|"),"+","|"),"|",REPT(" ",LEN(Registro!$F603))),({1,2,3,4,5,6,7,8,9,10,11,12,13,14,15,16,17,18,19,20,21,22,23,24,25,26,27,28,29,30}-1)*LEN(Registro!$F603)+1,LEN(Registro!$F603)))&amp;"x")-1))),"Revisar formato")))</f>
        <v/>
      </c>
      <c r="G603" s="24" t="str">
        <f>IF(Registro!$F603="","",IF(ISERROR(FIND("x",LOWER(Registro!$F603))),N(Registro!$G603),IFERROR(SUMPRODUCT(--("0"&amp;LEFT(TRIM(MID(SUBSTITUTE(SUBSTITUTE(SUBSTITUTE(SUBSTITUTE(SUBSTITUTE(LOWER(Registro!$F603)," ",""),CHAR(10),"|"),";","|"),"+","|"),"|",REPT(" ",LEN(Registro!$F603))),({1,2,3,4,5,6,7,8,9,10,11,12,13,14,15,16,17,18,19,20,21,22,23,24,25,26,27,28,29,30}-1)*LEN(Registro!$F603)+1,LEN(Registro!$F603))),FIND("x",TRIM(MID(SUBSTITUTE(SUBSTITUTE(SUBSTITUTE(SUBSTITUTE(SUBSTITUTE(LOWER(Registro!$F603)," ",""),CHAR(10),"|"),";","|"),"+","|"),"|",REPT(" ",LEN(Registro!$F603))),({1,2,3,4,5,6,7,8,9,10,11,12,13,14,15,16,17,18,19,20,21,22,23,24,25,26,27,28,29,30}-1)*LEN(Registro!$F603)+1,LEN(Registro!$F603)))&amp;"x")-1)),--("0"&amp;MID(TRIM(MID(SUBSTITUTE(SUBSTITUTE(SUBSTITUTE(SUBSTITUTE(SUBSTITUTE(LOWER(Registro!$F603)," ",""),CHAR(10),"|"),";","|"),"+","|"),"|",REPT(" ",LEN(Registro!$F603))),({1,2,3,4,5,6,7,8,9,10,11,12,13,14,15,16,17,18,19,20,21,22,23,24,25,26,27,28,29,30}-1)*LEN(Registro!$F603)+1,LEN(Registro!$F603))),FIND("x",TRIM(MID(SUBSTITUTE(SUBSTITUTE(SUBSTITUTE(SUBSTITUTE(SUBSTITUTE(LOWER(Registro!$F603)," ",""),CHAR(10),"|"),";","|"),"+","|"),"|",REPT(" ",LEN(Registro!$F603))),({1,2,3,4,5,6,7,8,9,10,11,12,13,14,15,16,17,18,19,20,21,22,23,24,25,26,27,28,29,30}-1)*LEN(Registro!$F603)+1,LEN(Registro!$F603)))&amp;"x")+1,20))),"Revisar formato")))</f>
        <v/>
      </c>
      <c r="H603" s="21" t="str">
        <f>IF(AND(Registro!$E603="",Registro!$F603=""),"",IF(NOT(AND(ISNUMBER(G603),ISNUMBER(Registro!$G603))),"",IF(G603&lt;Registro!$G603,"FALTA BOLETOS",IF(G603=Registro!$G603,"CONFORME","DIFERENCIA"))))</f>
        <v/>
      </c>
      <c r="I603" s="24" t="str">
        <f>IF(Registro!$H603="","",IFERROR(SUMPRODUCT(--("0"&amp;TRIM(RIGHT(SUBSTITUTE(TRIM(MID(SUBSTITUTE(SUBSTITUTE(Registro!$H603,";",CHAR(10)),CHAR(10),REPT(" ",LEN(Registro!$H603))),({1,2,3,4,5,6,7,8,9,10,11,12,13,14,15,16,17,18,19,20,21,22,23,24,25,26,27,28,29,30}-1)*LEN(Registro!$H603)+1,LEN(Registro!$H603)))," ",REPT(" ",50)),50)))),"Revisar formato"))</f>
        <v/>
      </c>
      <c r="J603" s="24" t="str">
        <f>IF(Registro!$I603="","",IFERROR(SUMPRODUCT(--("0"&amp;TRIM(RIGHT(SUBSTITUTE(TRIM(MID(SUBSTITUTE(SUBSTITUTE(Registro!$I603,";",CHAR(10)),CHAR(10),REPT(" ",LEN(Registro!$I603))),({1,2,3,4,5,6,7,8,9,10,11,12,13,14,15,16,17,18,19,20,21,22,23,24,25,26,27,28,29,30}-1)*LEN(Registro!$I603)+1,LEN(Registro!$I603)))," ",REPT(" ",50)),50)))),"Revisar formato"))</f>
        <v/>
      </c>
      <c r="K603" s="24" t="str">
        <f>IF(AND(Registro!$G603="",Registro!$H603=""),"",IF(AND(ISTEXT(I603),I603&lt;&gt;""),"Revisar formato",N(Registro!$G603)-N(I603)))</f>
        <v/>
      </c>
      <c r="L603" s="24" t="str">
        <f t="shared" si="19"/>
        <v/>
      </c>
      <c r="M603" s="36" t="str">
        <f>IF(AND(A603=Consulta!$B$3,C603=Consulta!$H$3),B603*10000+ROW(),"")</f>
        <v/>
      </c>
    </row>
    <row r="604" spans="1:13" x14ac:dyDescent="0.25">
      <c r="A604" s="21" t="str">
        <f>IF(Registro!$A604="","",Registro!$A604)</f>
        <v/>
      </c>
      <c r="B604" s="20" t="str">
        <f>IF(Registro!$B604="","",Registro!$B604)</f>
        <v/>
      </c>
      <c r="C604" s="35" t="str">
        <f t="shared" si="18"/>
        <v/>
      </c>
      <c r="D604" s="23" t="str">
        <f>IF(Registro!$E604="","",IF(ISERROR(FIND("x",LOWER(Registro!$E604))),"-",IFERROR(SUMPRODUCT(--("0"&amp;LEFT(TRIM(MID(SUBSTITUTE(SUBSTITUTE(SUBSTITUTE(SUBSTITUTE(SUBSTITUTE(LOWER(Registro!$E604),"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",LEN(Registro!$E604))),({1,2,3,4,5,6,7,8,9,10,11,12,13,14,15,16,17,18,19,20,21,22,23,24,25,26,27,28,29,30}-1)*LEN(Registro!$E604)+1,LEN(Registro!$E604))),FIND("x",TRIM(MID(SUBSTITUTE(SUBSTITUTE(SUBSTITUTE(SUBSTITUTE(SUBSTITUTE(LOWER(Registro!$E604),"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",LEN(Registro!$E604))),({1,2,3,4,5,6,7,8,9,10,11,12,13,14,15,16,17,18,19,20,21,22,23,24,25,26,27,28,29,30}-1)*LEN(Registro!$E604)+1,LEN(Registro!$E604)))&amp;"x")-1))),"Revisar formato")))</f>
        <v/>
      </c>
      <c r="E604" s="24" t="str">
        <f>IF(Registro!$E604="","",IF(ISERROR(FIND("x",LOWER(Registro!$E604))),"-",IFERROR(SUMPRODUCT(--("0"&amp;LEFT(TRIM(MID(SUBSTITUTE(SUBSTITUTE(SUBSTITUTE(SUBSTITUTE(SUBSTITUTE(LOWER(Registro!$E604),"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",LEN(Registro!$E604))),({1,2,3,4,5,6,7,8,9,10,11,12,13,14,15,16,17,18,19,20,21,22,23,24,25,26,27,28,29,30}-1)*LEN(Registro!$E604)+1,LEN(Registro!$E604))),FIND("x",TRIM(MID(SUBSTITUTE(SUBSTITUTE(SUBSTITUTE(SUBSTITUTE(SUBSTITUTE(LOWER(Registro!$E604),"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",LEN(Registro!$E604))),({1,2,3,4,5,6,7,8,9,10,11,12,13,14,15,16,17,18,19,20,21,22,23,24,25,26,27,28,29,30}-1)*LEN(Registro!$E604)+1,LEN(Registro!$E604)))&amp;"x")-1)),--("0"&amp;MID(TRIM(MID(SUBSTITUTE(SUBSTITUTE(SUBSTITUTE(SUBSTITUTE(SUBSTITUTE(LOWER(Registro!$E604),"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",LEN(Registro!$E604))),({1,2,3,4,5,6,7,8,9,10,11,12,13,14,15,16,17,18,19,20,21,22,23,24,25,26,27,28,29,30}-1)*LEN(Registro!$E604)+1,LEN(Registro!$E604))),FIND("x",TRIM(MID(SUBSTITUTE(SUBSTITUTE(SUBSTITUTE(SUBSTITUTE(SUBSTITUTE(LOWER(Registro!$E604),"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",LEN(Registro!$E604))),({1,2,3,4,5,6,7,8,9,10,11,12,13,14,15,16,17,18,19,20,21,22,23,24,25,26,27,28,29,30}-1)*LEN(Registro!$E604)+1,LEN(Registro!$E604)))&amp;"x")+1,20))),"Revisar formato")))</f>
        <v/>
      </c>
      <c r="F604" s="23" t="str">
        <f>IF(Registro!$F604="","",IF(ISERROR(FIND("x",LOWER(Registro!$F604))),"-",IFERROR(SUMPRODUCT(--("0"&amp;LEFT(TRIM(MID(SUBSTITUTE(SUBSTITUTE(SUBSTITUTE(SUBSTITUTE(SUBSTITUTE(LOWER(Registro!$F604)," ",""),CHAR(10),"|"),";","|"),"+","|"),"|",REPT(" ",LEN(Registro!$F604))),({1,2,3,4,5,6,7,8,9,10,11,12,13,14,15,16,17,18,19,20,21,22,23,24,25,26,27,28,29,30}-1)*LEN(Registro!$F604)+1,LEN(Registro!$F604))),FIND("x",TRIM(MID(SUBSTITUTE(SUBSTITUTE(SUBSTITUTE(SUBSTITUTE(SUBSTITUTE(LOWER(Registro!$F604)," ",""),CHAR(10),"|"),";","|"),"+","|"),"|",REPT(" ",LEN(Registro!$F604))),({1,2,3,4,5,6,7,8,9,10,11,12,13,14,15,16,17,18,19,20,21,22,23,24,25,26,27,28,29,30}-1)*LEN(Registro!$F604)+1,LEN(Registro!$F604)))&amp;"x")-1))),"Revisar formato")))</f>
        <v/>
      </c>
      <c r="G604" s="24" t="str">
        <f>IF(Registro!$F604="","",IF(ISERROR(FIND("x",LOWER(Registro!$F604))),N(Registro!$G604),IFERROR(SUMPRODUCT(--("0"&amp;LEFT(TRIM(MID(SUBSTITUTE(SUBSTITUTE(SUBSTITUTE(SUBSTITUTE(SUBSTITUTE(LOWER(Registro!$F604)," ",""),CHAR(10),"|"),";","|"),"+","|"),"|",REPT(" ",LEN(Registro!$F604))),({1,2,3,4,5,6,7,8,9,10,11,12,13,14,15,16,17,18,19,20,21,22,23,24,25,26,27,28,29,30}-1)*LEN(Registro!$F604)+1,LEN(Registro!$F604))),FIND("x",TRIM(MID(SUBSTITUTE(SUBSTITUTE(SUBSTITUTE(SUBSTITUTE(SUBSTITUTE(LOWER(Registro!$F604)," ",""),CHAR(10),"|"),";","|"),"+","|"),"|",REPT(" ",LEN(Registro!$F604))),({1,2,3,4,5,6,7,8,9,10,11,12,13,14,15,16,17,18,19,20,21,22,23,24,25,26,27,28,29,30}-1)*LEN(Registro!$F604)+1,LEN(Registro!$F604)))&amp;"x")-1)),--("0"&amp;MID(TRIM(MID(SUBSTITUTE(SUBSTITUTE(SUBSTITUTE(SUBSTITUTE(SUBSTITUTE(LOWER(Registro!$F604)," ",""),CHAR(10),"|"),";","|"),"+","|"),"|",REPT(" ",LEN(Registro!$F604))),({1,2,3,4,5,6,7,8,9,10,11,12,13,14,15,16,17,18,19,20,21,22,23,24,25,26,27,28,29,30}-1)*LEN(Registro!$F604)+1,LEN(Registro!$F604))),FIND("x",TRIM(MID(SUBSTITUTE(SUBSTITUTE(SUBSTITUTE(SUBSTITUTE(SUBSTITUTE(LOWER(Registro!$F604)," ",""),CHAR(10),"|"),";","|"),"+","|"),"|",REPT(" ",LEN(Registro!$F604))),({1,2,3,4,5,6,7,8,9,10,11,12,13,14,15,16,17,18,19,20,21,22,23,24,25,26,27,28,29,30}-1)*LEN(Registro!$F604)+1,LEN(Registro!$F604)))&amp;"x")+1,20))),"Revisar formato")))</f>
        <v/>
      </c>
      <c r="H604" s="21" t="str">
        <f>IF(AND(Registro!$E604="",Registro!$F604=""),"",IF(NOT(AND(ISNUMBER(G604),ISNUMBER(Registro!$G604))),"",IF(G604&lt;Registro!$G604,"FALTA BOLETOS",IF(G604=Registro!$G604,"CONFORME","DIFERENCIA"))))</f>
        <v/>
      </c>
      <c r="I604" s="24" t="str">
        <f>IF(Registro!$H604="","",IFERROR(SUMPRODUCT(--("0"&amp;TRIM(RIGHT(SUBSTITUTE(TRIM(MID(SUBSTITUTE(SUBSTITUTE(Registro!$H604,";",CHAR(10)),CHAR(10),REPT(" ",LEN(Registro!$H604))),({1,2,3,4,5,6,7,8,9,10,11,12,13,14,15,16,17,18,19,20,21,22,23,24,25,26,27,28,29,30}-1)*LEN(Registro!$H604)+1,LEN(Registro!$H604)))," ",REPT(" ",50)),50)))),"Revisar formato"))</f>
        <v/>
      </c>
      <c r="J604" s="24" t="str">
        <f>IF(Registro!$I604="","",IFERROR(SUMPRODUCT(--("0"&amp;TRIM(RIGHT(SUBSTITUTE(TRIM(MID(SUBSTITUTE(SUBSTITUTE(Registro!$I604,";",CHAR(10)),CHAR(10),REPT(" ",LEN(Registro!$I604))),({1,2,3,4,5,6,7,8,9,10,11,12,13,14,15,16,17,18,19,20,21,22,23,24,25,26,27,28,29,30}-1)*LEN(Registro!$I604)+1,LEN(Registro!$I604)))," ",REPT(" ",50)),50)))),"Revisar formato"))</f>
        <v/>
      </c>
      <c r="K604" s="24" t="str">
        <f>IF(AND(Registro!$G604="",Registro!$H604=""),"",IF(AND(ISTEXT(I604),I604&lt;&gt;""),"Revisar formato",N(Registro!$G604)-N(I604)))</f>
        <v/>
      </c>
      <c r="L604" s="24" t="str">
        <f t="shared" si="19"/>
        <v/>
      </c>
      <c r="M604" s="36" t="str">
        <f>IF(AND(A604=Consulta!$B$3,C604=Consulta!$H$3),B604*10000+ROW(),"")</f>
        <v/>
      </c>
    </row>
    <row r="605" spans="1:13" x14ac:dyDescent="0.25">
      <c r="A605" s="21" t="str">
        <f>IF(Registro!$A605="","",Registro!$A605)</f>
        <v/>
      </c>
      <c r="B605" s="20" t="str">
        <f>IF(Registro!$B605="","",Registro!$B605)</f>
        <v/>
      </c>
      <c r="C605" s="35" t="str">
        <f t="shared" si="18"/>
        <v/>
      </c>
      <c r="D605" s="23" t="str">
        <f>IF(Registro!$E605="","",IF(ISERROR(FIND("x",LOWER(Registro!$E605))),"-",IFERROR(SUMPRODUCT(--("0"&amp;LEFT(TRIM(MID(SUBSTITUTE(SUBSTITUTE(SUBSTITUTE(SUBSTITUTE(SUBSTITUTE(LOWER(Registro!$E605),"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",LEN(Registro!$E605))),({1,2,3,4,5,6,7,8,9,10,11,12,13,14,15,16,17,18,19,20,21,22,23,24,25,26,27,28,29,30}-1)*LEN(Registro!$E605)+1,LEN(Registro!$E605))),FIND("x",TRIM(MID(SUBSTITUTE(SUBSTITUTE(SUBSTITUTE(SUBSTITUTE(SUBSTITUTE(LOWER(Registro!$E605),"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",LEN(Registro!$E605))),({1,2,3,4,5,6,7,8,9,10,11,12,13,14,15,16,17,18,19,20,21,22,23,24,25,26,27,28,29,30}-1)*LEN(Registro!$E605)+1,LEN(Registro!$E605)))&amp;"x")-1))),"Revisar formato")))</f>
        <v/>
      </c>
      <c r="E605" s="24" t="str">
        <f>IF(Registro!$E605="","",IF(ISERROR(FIND("x",LOWER(Registro!$E605))),"-",IFERROR(SUMPRODUCT(--("0"&amp;LEFT(TRIM(MID(SUBSTITUTE(SUBSTITUTE(SUBSTITUTE(SUBSTITUTE(SUBSTITUTE(LOWER(Registro!$E605),"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",LEN(Registro!$E605))),({1,2,3,4,5,6,7,8,9,10,11,12,13,14,15,16,17,18,19,20,21,22,23,24,25,26,27,28,29,30}-1)*LEN(Registro!$E605)+1,LEN(Registro!$E605))),FIND("x",TRIM(MID(SUBSTITUTE(SUBSTITUTE(SUBSTITUTE(SUBSTITUTE(SUBSTITUTE(LOWER(Registro!$E605),"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",LEN(Registro!$E605))),({1,2,3,4,5,6,7,8,9,10,11,12,13,14,15,16,17,18,19,20,21,22,23,24,25,26,27,28,29,30}-1)*LEN(Registro!$E605)+1,LEN(Registro!$E605)))&amp;"x")-1)),--("0"&amp;MID(TRIM(MID(SUBSTITUTE(SUBSTITUTE(SUBSTITUTE(SUBSTITUTE(SUBSTITUTE(LOWER(Registro!$E605),"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",LEN(Registro!$E605))),({1,2,3,4,5,6,7,8,9,10,11,12,13,14,15,16,17,18,19,20,21,22,23,24,25,26,27,28,29,30}-1)*LEN(Registro!$E605)+1,LEN(Registro!$E605))),FIND("x",TRIM(MID(SUBSTITUTE(SUBSTITUTE(SUBSTITUTE(SUBSTITUTE(SUBSTITUTE(LOWER(Registro!$E605),"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",LEN(Registro!$E605))),({1,2,3,4,5,6,7,8,9,10,11,12,13,14,15,16,17,18,19,20,21,22,23,24,25,26,27,28,29,30}-1)*LEN(Registro!$E605)+1,LEN(Registro!$E605)))&amp;"x")+1,20))),"Revisar formato")))</f>
        <v/>
      </c>
      <c r="F605" s="23" t="str">
        <f>IF(Registro!$F605="","",IF(ISERROR(FIND("x",LOWER(Registro!$F605))),"-",IFERROR(SUMPRODUCT(--("0"&amp;LEFT(TRIM(MID(SUBSTITUTE(SUBSTITUTE(SUBSTITUTE(SUBSTITUTE(SUBSTITUTE(LOWER(Registro!$F605)," ",""),CHAR(10),"|"),";","|"),"+","|"),"|",REPT(" ",LEN(Registro!$F605))),({1,2,3,4,5,6,7,8,9,10,11,12,13,14,15,16,17,18,19,20,21,22,23,24,25,26,27,28,29,30}-1)*LEN(Registro!$F605)+1,LEN(Registro!$F605))),FIND("x",TRIM(MID(SUBSTITUTE(SUBSTITUTE(SUBSTITUTE(SUBSTITUTE(SUBSTITUTE(LOWER(Registro!$F605)," ",""),CHAR(10),"|"),";","|"),"+","|"),"|",REPT(" ",LEN(Registro!$F605))),({1,2,3,4,5,6,7,8,9,10,11,12,13,14,15,16,17,18,19,20,21,22,23,24,25,26,27,28,29,30}-1)*LEN(Registro!$F605)+1,LEN(Registro!$F605)))&amp;"x")-1))),"Revisar formato")))</f>
        <v/>
      </c>
      <c r="G605" s="24" t="str">
        <f>IF(Registro!$F605="","",IF(ISERROR(FIND("x",LOWER(Registro!$F605))),N(Registro!$G605),IFERROR(SUMPRODUCT(--("0"&amp;LEFT(TRIM(MID(SUBSTITUTE(SUBSTITUTE(SUBSTITUTE(SUBSTITUTE(SUBSTITUTE(LOWER(Registro!$F605)," ",""),CHAR(10),"|"),";","|"),"+","|"),"|",REPT(" ",LEN(Registro!$F605))),({1,2,3,4,5,6,7,8,9,10,11,12,13,14,15,16,17,18,19,20,21,22,23,24,25,26,27,28,29,30}-1)*LEN(Registro!$F605)+1,LEN(Registro!$F605))),FIND("x",TRIM(MID(SUBSTITUTE(SUBSTITUTE(SUBSTITUTE(SUBSTITUTE(SUBSTITUTE(LOWER(Registro!$F605)," ",""),CHAR(10),"|"),";","|"),"+","|"),"|",REPT(" ",LEN(Registro!$F605))),({1,2,3,4,5,6,7,8,9,10,11,12,13,14,15,16,17,18,19,20,21,22,23,24,25,26,27,28,29,30}-1)*LEN(Registro!$F605)+1,LEN(Registro!$F605)))&amp;"x")-1)),--("0"&amp;MID(TRIM(MID(SUBSTITUTE(SUBSTITUTE(SUBSTITUTE(SUBSTITUTE(SUBSTITUTE(LOWER(Registro!$F605)," ",""),CHAR(10),"|"),";","|"),"+","|"),"|",REPT(" ",LEN(Registro!$F605))),({1,2,3,4,5,6,7,8,9,10,11,12,13,14,15,16,17,18,19,20,21,22,23,24,25,26,27,28,29,30}-1)*LEN(Registro!$F605)+1,LEN(Registro!$F605))),FIND("x",TRIM(MID(SUBSTITUTE(SUBSTITUTE(SUBSTITUTE(SUBSTITUTE(SUBSTITUTE(LOWER(Registro!$F605)," ",""),CHAR(10),"|"),";","|"),"+","|"),"|",REPT(" ",LEN(Registro!$F605))),({1,2,3,4,5,6,7,8,9,10,11,12,13,14,15,16,17,18,19,20,21,22,23,24,25,26,27,28,29,30}-1)*LEN(Registro!$F605)+1,LEN(Registro!$F605)))&amp;"x")+1,20))),"Revisar formato")))</f>
        <v/>
      </c>
      <c r="H605" s="21" t="str">
        <f>IF(AND(Registro!$E605="",Registro!$F605=""),"",IF(NOT(AND(ISNUMBER(G605),ISNUMBER(Registro!$G605))),"",IF(G605&lt;Registro!$G605,"FALTA BOLETOS",IF(G605=Registro!$G605,"CONFORME","DIFERENCIA"))))</f>
        <v/>
      </c>
      <c r="I605" s="24" t="str">
        <f>IF(Registro!$H605="","",IFERROR(SUMPRODUCT(--("0"&amp;TRIM(RIGHT(SUBSTITUTE(TRIM(MID(SUBSTITUTE(SUBSTITUTE(Registro!$H605,";",CHAR(10)),CHAR(10),REPT(" ",LEN(Registro!$H605))),({1,2,3,4,5,6,7,8,9,10,11,12,13,14,15,16,17,18,19,20,21,22,23,24,25,26,27,28,29,30}-1)*LEN(Registro!$H605)+1,LEN(Registro!$H605)))," ",REPT(" ",50)),50)))),"Revisar formato"))</f>
        <v/>
      </c>
      <c r="J605" s="24" t="str">
        <f>IF(Registro!$I605="","",IFERROR(SUMPRODUCT(--("0"&amp;TRIM(RIGHT(SUBSTITUTE(TRIM(MID(SUBSTITUTE(SUBSTITUTE(Registro!$I605,";",CHAR(10)),CHAR(10),REPT(" ",LEN(Registro!$I605))),({1,2,3,4,5,6,7,8,9,10,11,12,13,14,15,16,17,18,19,20,21,22,23,24,25,26,27,28,29,30}-1)*LEN(Registro!$I605)+1,LEN(Registro!$I605)))," ",REPT(" ",50)),50)))),"Revisar formato"))</f>
        <v/>
      </c>
      <c r="K605" s="24" t="str">
        <f>IF(AND(Registro!$G605="",Registro!$H605=""),"",IF(AND(ISTEXT(I605),I605&lt;&gt;""),"Revisar formato",N(Registro!$G605)-N(I605)))</f>
        <v/>
      </c>
      <c r="L605" s="24" t="str">
        <f t="shared" si="19"/>
        <v/>
      </c>
      <c r="M605" s="36" t="str">
        <f>IF(AND(A605=Consulta!$B$3,C605=Consulta!$H$3),B605*10000+ROW(),"")</f>
        <v/>
      </c>
    </row>
    <row r="606" spans="1:13" x14ac:dyDescent="0.25">
      <c r="A606" s="21" t="str">
        <f>IF(Registro!$A606="","",Registro!$A606)</f>
        <v/>
      </c>
      <c r="B606" s="20" t="str">
        <f>IF(Registro!$B606="","",Registro!$B606)</f>
        <v/>
      </c>
      <c r="C606" s="35" t="str">
        <f t="shared" si="18"/>
        <v/>
      </c>
      <c r="D606" s="23" t="str">
        <f>IF(Registro!$E606="","",IF(ISERROR(FIND("x",LOWER(Registro!$E606))),"-",IFERROR(SUMPRODUCT(--("0"&amp;LEFT(TRIM(MID(SUBSTITUTE(SUBSTITUTE(SUBSTITUTE(SUBSTITUTE(SUBSTITUTE(LOWER(Registro!$E606),"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",LEN(Registro!$E606))),({1,2,3,4,5,6,7,8,9,10,11,12,13,14,15,16,17,18,19,20,21,22,23,24,25,26,27,28,29,30}-1)*LEN(Registro!$E606)+1,LEN(Registro!$E606))),FIND("x",TRIM(MID(SUBSTITUTE(SUBSTITUTE(SUBSTITUTE(SUBSTITUTE(SUBSTITUTE(LOWER(Registro!$E606),"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",LEN(Registro!$E606))),({1,2,3,4,5,6,7,8,9,10,11,12,13,14,15,16,17,18,19,20,21,22,23,24,25,26,27,28,29,30}-1)*LEN(Registro!$E606)+1,LEN(Registro!$E606)))&amp;"x")-1))),"Revisar formato")))</f>
        <v/>
      </c>
      <c r="E606" s="24" t="str">
        <f>IF(Registro!$E606="","",IF(ISERROR(FIND("x",LOWER(Registro!$E606))),"-",IFERROR(SUMPRODUCT(--("0"&amp;LEFT(TRIM(MID(SUBSTITUTE(SUBSTITUTE(SUBSTITUTE(SUBSTITUTE(SUBSTITUTE(LOWER(Registro!$E606),"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",LEN(Registro!$E606))),({1,2,3,4,5,6,7,8,9,10,11,12,13,14,15,16,17,18,19,20,21,22,23,24,25,26,27,28,29,30}-1)*LEN(Registro!$E606)+1,LEN(Registro!$E606))),FIND("x",TRIM(MID(SUBSTITUTE(SUBSTITUTE(SUBSTITUTE(SUBSTITUTE(SUBSTITUTE(LOWER(Registro!$E606),"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",LEN(Registro!$E606))),({1,2,3,4,5,6,7,8,9,10,11,12,13,14,15,16,17,18,19,20,21,22,23,24,25,26,27,28,29,30}-1)*LEN(Registro!$E606)+1,LEN(Registro!$E606)))&amp;"x")-1)),--("0"&amp;MID(TRIM(MID(SUBSTITUTE(SUBSTITUTE(SUBSTITUTE(SUBSTITUTE(SUBSTITUTE(LOWER(Registro!$E606),"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",LEN(Registro!$E606))),({1,2,3,4,5,6,7,8,9,10,11,12,13,14,15,16,17,18,19,20,21,22,23,24,25,26,27,28,29,30}-1)*LEN(Registro!$E606)+1,LEN(Registro!$E606))),FIND("x",TRIM(MID(SUBSTITUTE(SUBSTITUTE(SUBSTITUTE(SUBSTITUTE(SUBSTITUTE(LOWER(Registro!$E606),"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",LEN(Registro!$E606))),({1,2,3,4,5,6,7,8,9,10,11,12,13,14,15,16,17,18,19,20,21,22,23,24,25,26,27,28,29,30}-1)*LEN(Registro!$E606)+1,LEN(Registro!$E606)))&amp;"x")+1,20))),"Revisar formato")))</f>
        <v/>
      </c>
      <c r="F606" s="23" t="str">
        <f>IF(Registro!$F606="","",IF(ISERROR(FIND("x",LOWER(Registro!$F606))),"-",IFERROR(SUMPRODUCT(--("0"&amp;LEFT(TRIM(MID(SUBSTITUTE(SUBSTITUTE(SUBSTITUTE(SUBSTITUTE(SUBSTITUTE(LOWER(Registro!$F606)," ",""),CHAR(10),"|"),";","|"),"+","|"),"|",REPT(" ",LEN(Registro!$F606))),({1,2,3,4,5,6,7,8,9,10,11,12,13,14,15,16,17,18,19,20,21,22,23,24,25,26,27,28,29,30}-1)*LEN(Registro!$F606)+1,LEN(Registro!$F606))),FIND("x",TRIM(MID(SUBSTITUTE(SUBSTITUTE(SUBSTITUTE(SUBSTITUTE(SUBSTITUTE(LOWER(Registro!$F606)," ",""),CHAR(10),"|"),";","|"),"+","|"),"|",REPT(" ",LEN(Registro!$F606))),({1,2,3,4,5,6,7,8,9,10,11,12,13,14,15,16,17,18,19,20,21,22,23,24,25,26,27,28,29,30}-1)*LEN(Registro!$F606)+1,LEN(Registro!$F606)))&amp;"x")-1))),"Revisar formato")))</f>
        <v/>
      </c>
      <c r="G606" s="24" t="str">
        <f>IF(Registro!$F606="","",IF(ISERROR(FIND("x",LOWER(Registro!$F606))),N(Registro!$G606),IFERROR(SUMPRODUCT(--("0"&amp;LEFT(TRIM(MID(SUBSTITUTE(SUBSTITUTE(SUBSTITUTE(SUBSTITUTE(SUBSTITUTE(LOWER(Registro!$F606)," ",""),CHAR(10),"|"),";","|"),"+","|"),"|",REPT(" ",LEN(Registro!$F606))),({1,2,3,4,5,6,7,8,9,10,11,12,13,14,15,16,17,18,19,20,21,22,23,24,25,26,27,28,29,30}-1)*LEN(Registro!$F606)+1,LEN(Registro!$F606))),FIND("x",TRIM(MID(SUBSTITUTE(SUBSTITUTE(SUBSTITUTE(SUBSTITUTE(SUBSTITUTE(LOWER(Registro!$F606)," ",""),CHAR(10),"|"),";","|"),"+","|"),"|",REPT(" ",LEN(Registro!$F606))),({1,2,3,4,5,6,7,8,9,10,11,12,13,14,15,16,17,18,19,20,21,22,23,24,25,26,27,28,29,30}-1)*LEN(Registro!$F606)+1,LEN(Registro!$F606)))&amp;"x")-1)),--("0"&amp;MID(TRIM(MID(SUBSTITUTE(SUBSTITUTE(SUBSTITUTE(SUBSTITUTE(SUBSTITUTE(LOWER(Registro!$F606)," ",""),CHAR(10),"|"),";","|"),"+","|"),"|",REPT(" ",LEN(Registro!$F606))),({1,2,3,4,5,6,7,8,9,10,11,12,13,14,15,16,17,18,19,20,21,22,23,24,25,26,27,28,29,30}-1)*LEN(Registro!$F606)+1,LEN(Registro!$F606))),FIND("x",TRIM(MID(SUBSTITUTE(SUBSTITUTE(SUBSTITUTE(SUBSTITUTE(SUBSTITUTE(LOWER(Registro!$F606)," ",""),CHAR(10),"|"),";","|"),"+","|"),"|",REPT(" ",LEN(Registro!$F606))),({1,2,3,4,5,6,7,8,9,10,11,12,13,14,15,16,17,18,19,20,21,22,23,24,25,26,27,28,29,30}-1)*LEN(Registro!$F606)+1,LEN(Registro!$F606)))&amp;"x")+1,20))),"Revisar formato")))</f>
        <v/>
      </c>
      <c r="H606" s="21" t="str">
        <f>IF(AND(Registro!$E606="",Registro!$F606=""),"",IF(NOT(AND(ISNUMBER(G606),ISNUMBER(Registro!$G606))),"",IF(G606&lt;Registro!$G606,"FALTA BOLETOS",IF(G606=Registro!$G606,"CONFORME","DIFERENCIA"))))</f>
        <v/>
      </c>
      <c r="I606" s="24" t="str">
        <f>IF(Registro!$H606="","",IFERROR(SUMPRODUCT(--("0"&amp;TRIM(RIGHT(SUBSTITUTE(TRIM(MID(SUBSTITUTE(SUBSTITUTE(Registro!$H606,";",CHAR(10)),CHAR(10),REPT(" ",LEN(Registro!$H606))),({1,2,3,4,5,6,7,8,9,10,11,12,13,14,15,16,17,18,19,20,21,22,23,24,25,26,27,28,29,30}-1)*LEN(Registro!$H606)+1,LEN(Registro!$H606)))," ",REPT(" ",50)),50)))),"Revisar formato"))</f>
        <v/>
      </c>
      <c r="J606" s="24" t="str">
        <f>IF(Registro!$I606="","",IFERROR(SUMPRODUCT(--("0"&amp;TRIM(RIGHT(SUBSTITUTE(TRIM(MID(SUBSTITUTE(SUBSTITUTE(Registro!$I606,";",CHAR(10)),CHAR(10),REPT(" ",LEN(Registro!$I606))),({1,2,3,4,5,6,7,8,9,10,11,12,13,14,15,16,17,18,19,20,21,22,23,24,25,26,27,28,29,30}-1)*LEN(Registro!$I606)+1,LEN(Registro!$I606)))," ",REPT(" ",50)),50)))),"Revisar formato"))</f>
        <v/>
      </c>
      <c r="K606" s="24" t="str">
        <f>IF(AND(Registro!$G606="",Registro!$H606=""),"",IF(AND(ISTEXT(I606),I606&lt;&gt;""),"Revisar formato",N(Registro!$G606)-N(I606)))</f>
        <v/>
      </c>
      <c r="L606" s="24" t="str">
        <f t="shared" si="19"/>
        <v/>
      </c>
      <c r="M606" s="36" t="str">
        <f>IF(AND(A606=Consulta!$B$3,C606=Consulta!$H$3),B606*10000+ROW(),"")</f>
        <v/>
      </c>
    </row>
    <row r="607" spans="1:13" x14ac:dyDescent="0.25">
      <c r="A607" s="21" t="str">
        <f>IF(Registro!$A607="","",Registro!$A607)</f>
        <v/>
      </c>
      <c r="B607" s="20" t="str">
        <f>IF(Registro!$B607="","",Registro!$B607)</f>
        <v/>
      </c>
      <c r="C607" s="35" t="str">
        <f t="shared" si="18"/>
        <v/>
      </c>
      <c r="D607" s="23" t="str">
        <f>IF(Registro!$E607="","",IF(ISERROR(FIND("x",LOWER(Registro!$E607))),"-",IFERROR(SUMPRODUCT(--("0"&amp;LEFT(TRIM(MID(SUBSTITUTE(SUBSTITUTE(SUBSTITUTE(SUBSTITUTE(SUBSTITUTE(LOWER(Registro!$E607),"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",LEN(Registro!$E607))),({1,2,3,4,5,6,7,8,9,10,11,12,13,14,15,16,17,18,19,20,21,22,23,24,25,26,27,28,29,30}-1)*LEN(Registro!$E607)+1,LEN(Registro!$E607))),FIND("x",TRIM(MID(SUBSTITUTE(SUBSTITUTE(SUBSTITUTE(SUBSTITUTE(SUBSTITUTE(LOWER(Registro!$E607),"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",LEN(Registro!$E607))),({1,2,3,4,5,6,7,8,9,10,11,12,13,14,15,16,17,18,19,20,21,22,23,24,25,26,27,28,29,30}-1)*LEN(Registro!$E607)+1,LEN(Registro!$E607)))&amp;"x")-1))),"Revisar formato")))</f>
        <v/>
      </c>
      <c r="E607" s="24" t="str">
        <f>IF(Registro!$E607="","",IF(ISERROR(FIND("x",LOWER(Registro!$E607))),"-",IFERROR(SUMPRODUCT(--("0"&amp;LEFT(TRIM(MID(SUBSTITUTE(SUBSTITUTE(SUBSTITUTE(SUBSTITUTE(SUBSTITUTE(LOWER(Registro!$E607),"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",LEN(Registro!$E607))),({1,2,3,4,5,6,7,8,9,10,11,12,13,14,15,16,17,18,19,20,21,22,23,24,25,26,27,28,29,30}-1)*LEN(Registro!$E607)+1,LEN(Registro!$E607))),FIND("x",TRIM(MID(SUBSTITUTE(SUBSTITUTE(SUBSTITUTE(SUBSTITUTE(SUBSTITUTE(LOWER(Registro!$E607),"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",LEN(Registro!$E607))),({1,2,3,4,5,6,7,8,9,10,11,12,13,14,15,16,17,18,19,20,21,22,23,24,25,26,27,28,29,30}-1)*LEN(Registro!$E607)+1,LEN(Registro!$E607)))&amp;"x")-1)),--("0"&amp;MID(TRIM(MID(SUBSTITUTE(SUBSTITUTE(SUBSTITUTE(SUBSTITUTE(SUBSTITUTE(LOWER(Registro!$E607),"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",LEN(Registro!$E607))),({1,2,3,4,5,6,7,8,9,10,11,12,13,14,15,16,17,18,19,20,21,22,23,24,25,26,27,28,29,30}-1)*LEN(Registro!$E607)+1,LEN(Registro!$E607))),FIND("x",TRIM(MID(SUBSTITUTE(SUBSTITUTE(SUBSTITUTE(SUBSTITUTE(SUBSTITUTE(LOWER(Registro!$E607),"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",LEN(Registro!$E607))),({1,2,3,4,5,6,7,8,9,10,11,12,13,14,15,16,17,18,19,20,21,22,23,24,25,26,27,28,29,30}-1)*LEN(Registro!$E607)+1,LEN(Registro!$E607)))&amp;"x")+1,20))),"Revisar formato")))</f>
        <v/>
      </c>
      <c r="F607" s="23" t="str">
        <f>IF(Registro!$F607="","",IF(ISERROR(FIND("x",LOWER(Registro!$F607))),"-",IFERROR(SUMPRODUCT(--("0"&amp;LEFT(TRIM(MID(SUBSTITUTE(SUBSTITUTE(SUBSTITUTE(SUBSTITUTE(SUBSTITUTE(LOWER(Registro!$F607)," ",""),CHAR(10),"|"),";","|"),"+","|"),"|",REPT(" ",LEN(Registro!$F607))),({1,2,3,4,5,6,7,8,9,10,11,12,13,14,15,16,17,18,19,20,21,22,23,24,25,26,27,28,29,30}-1)*LEN(Registro!$F607)+1,LEN(Registro!$F607))),FIND("x",TRIM(MID(SUBSTITUTE(SUBSTITUTE(SUBSTITUTE(SUBSTITUTE(SUBSTITUTE(LOWER(Registro!$F607)," ",""),CHAR(10),"|"),";","|"),"+","|"),"|",REPT(" ",LEN(Registro!$F607))),({1,2,3,4,5,6,7,8,9,10,11,12,13,14,15,16,17,18,19,20,21,22,23,24,25,26,27,28,29,30}-1)*LEN(Registro!$F607)+1,LEN(Registro!$F607)))&amp;"x")-1))),"Revisar formato")))</f>
        <v/>
      </c>
      <c r="G607" s="24" t="str">
        <f>IF(Registro!$F607="","",IF(ISERROR(FIND("x",LOWER(Registro!$F607))),N(Registro!$G607),IFERROR(SUMPRODUCT(--("0"&amp;LEFT(TRIM(MID(SUBSTITUTE(SUBSTITUTE(SUBSTITUTE(SUBSTITUTE(SUBSTITUTE(LOWER(Registro!$F607)," ",""),CHAR(10),"|"),";","|"),"+","|"),"|",REPT(" ",LEN(Registro!$F607))),({1,2,3,4,5,6,7,8,9,10,11,12,13,14,15,16,17,18,19,20,21,22,23,24,25,26,27,28,29,30}-1)*LEN(Registro!$F607)+1,LEN(Registro!$F607))),FIND("x",TRIM(MID(SUBSTITUTE(SUBSTITUTE(SUBSTITUTE(SUBSTITUTE(SUBSTITUTE(LOWER(Registro!$F607)," ",""),CHAR(10),"|"),";","|"),"+","|"),"|",REPT(" ",LEN(Registro!$F607))),({1,2,3,4,5,6,7,8,9,10,11,12,13,14,15,16,17,18,19,20,21,22,23,24,25,26,27,28,29,30}-1)*LEN(Registro!$F607)+1,LEN(Registro!$F607)))&amp;"x")-1)),--("0"&amp;MID(TRIM(MID(SUBSTITUTE(SUBSTITUTE(SUBSTITUTE(SUBSTITUTE(SUBSTITUTE(LOWER(Registro!$F607)," ",""),CHAR(10),"|"),";","|"),"+","|"),"|",REPT(" ",LEN(Registro!$F607))),({1,2,3,4,5,6,7,8,9,10,11,12,13,14,15,16,17,18,19,20,21,22,23,24,25,26,27,28,29,30}-1)*LEN(Registro!$F607)+1,LEN(Registro!$F607))),FIND("x",TRIM(MID(SUBSTITUTE(SUBSTITUTE(SUBSTITUTE(SUBSTITUTE(SUBSTITUTE(LOWER(Registro!$F607)," ",""),CHAR(10),"|"),";","|"),"+","|"),"|",REPT(" ",LEN(Registro!$F607))),({1,2,3,4,5,6,7,8,9,10,11,12,13,14,15,16,17,18,19,20,21,22,23,24,25,26,27,28,29,30}-1)*LEN(Registro!$F607)+1,LEN(Registro!$F607)))&amp;"x")+1,20))),"Revisar formato")))</f>
        <v/>
      </c>
      <c r="H607" s="21" t="str">
        <f>IF(AND(Registro!$E607="",Registro!$F607=""),"",IF(NOT(AND(ISNUMBER(G607),ISNUMBER(Registro!$G607))),"",IF(G607&lt;Registro!$G607,"FALTA BOLETOS",IF(G607=Registro!$G607,"CONFORME","DIFERENCIA"))))</f>
        <v/>
      </c>
      <c r="I607" s="24" t="str">
        <f>IF(Registro!$H607="","",IFERROR(SUMPRODUCT(--("0"&amp;TRIM(RIGHT(SUBSTITUTE(TRIM(MID(SUBSTITUTE(SUBSTITUTE(Registro!$H607,";",CHAR(10)),CHAR(10),REPT(" ",LEN(Registro!$H607))),({1,2,3,4,5,6,7,8,9,10,11,12,13,14,15,16,17,18,19,20,21,22,23,24,25,26,27,28,29,30}-1)*LEN(Registro!$H607)+1,LEN(Registro!$H607)))," ",REPT(" ",50)),50)))),"Revisar formato"))</f>
        <v/>
      </c>
      <c r="J607" s="24" t="str">
        <f>IF(Registro!$I607="","",IFERROR(SUMPRODUCT(--("0"&amp;TRIM(RIGHT(SUBSTITUTE(TRIM(MID(SUBSTITUTE(SUBSTITUTE(Registro!$I607,";",CHAR(10)),CHAR(10),REPT(" ",LEN(Registro!$I607))),({1,2,3,4,5,6,7,8,9,10,11,12,13,14,15,16,17,18,19,20,21,22,23,24,25,26,27,28,29,30}-1)*LEN(Registro!$I607)+1,LEN(Registro!$I607)))," ",REPT(" ",50)),50)))),"Revisar formato"))</f>
        <v/>
      </c>
      <c r="K607" s="24" t="str">
        <f>IF(AND(Registro!$G607="",Registro!$H607=""),"",IF(AND(ISTEXT(I607),I607&lt;&gt;""),"Revisar formato",N(Registro!$G607)-N(I607)))</f>
        <v/>
      </c>
      <c r="L607" s="24" t="str">
        <f t="shared" si="19"/>
        <v/>
      </c>
      <c r="M607" s="36" t="str">
        <f>IF(AND(A607=Consulta!$B$3,C607=Consulta!$H$3),B607*10000+ROW(),"")</f>
        <v/>
      </c>
    </row>
    <row r="608" spans="1:13" x14ac:dyDescent="0.25">
      <c r="A608" s="21" t="str">
        <f>IF(Registro!$A608="","",Registro!$A608)</f>
        <v/>
      </c>
      <c r="B608" s="20" t="str">
        <f>IF(Registro!$B608="","",Registro!$B608)</f>
        <v/>
      </c>
      <c r="C608" s="35" t="str">
        <f t="shared" si="18"/>
        <v/>
      </c>
      <c r="D608" s="23" t="str">
        <f>IF(Registro!$E608="","",IF(ISERROR(FIND("x",LOWER(Registro!$E608))),"-",IFERROR(SUMPRODUCT(--("0"&amp;LEFT(TRIM(MID(SUBSTITUTE(SUBSTITUTE(SUBSTITUTE(SUBSTITUTE(SUBSTITUTE(LOWER(Registro!$E608),"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",LEN(Registro!$E608))),({1,2,3,4,5,6,7,8,9,10,11,12,13,14,15,16,17,18,19,20,21,22,23,24,25,26,27,28,29,30}-1)*LEN(Registro!$E608)+1,LEN(Registro!$E608))),FIND("x",TRIM(MID(SUBSTITUTE(SUBSTITUTE(SUBSTITUTE(SUBSTITUTE(SUBSTITUTE(LOWER(Registro!$E608),"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",LEN(Registro!$E608))),({1,2,3,4,5,6,7,8,9,10,11,12,13,14,15,16,17,18,19,20,21,22,23,24,25,26,27,28,29,30}-1)*LEN(Registro!$E608)+1,LEN(Registro!$E608)))&amp;"x")-1))),"Revisar formato")))</f>
        <v/>
      </c>
      <c r="E608" s="24" t="str">
        <f>IF(Registro!$E608="","",IF(ISERROR(FIND("x",LOWER(Registro!$E608))),"-",IFERROR(SUMPRODUCT(--("0"&amp;LEFT(TRIM(MID(SUBSTITUTE(SUBSTITUTE(SUBSTITUTE(SUBSTITUTE(SUBSTITUTE(LOWER(Registro!$E608),"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",LEN(Registro!$E608))),({1,2,3,4,5,6,7,8,9,10,11,12,13,14,15,16,17,18,19,20,21,22,23,24,25,26,27,28,29,30}-1)*LEN(Registro!$E608)+1,LEN(Registro!$E608))),FIND("x",TRIM(MID(SUBSTITUTE(SUBSTITUTE(SUBSTITUTE(SUBSTITUTE(SUBSTITUTE(LOWER(Registro!$E608),"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",LEN(Registro!$E608))),({1,2,3,4,5,6,7,8,9,10,11,12,13,14,15,16,17,18,19,20,21,22,23,24,25,26,27,28,29,30}-1)*LEN(Registro!$E608)+1,LEN(Registro!$E608)))&amp;"x")-1)),--("0"&amp;MID(TRIM(MID(SUBSTITUTE(SUBSTITUTE(SUBSTITUTE(SUBSTITUTE(SUBSTITUTE(LOWER(Registro!$E608),"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",LEN(Registro!$E608))),({1,2,3,4,5,6,7,8,9,10,11,12,13,14,15,16,17,18,19,20,21,22,23,24,25,26,27,28,29,30}-1)*LEN(Registro!$E608)+1,LEN(Registro!$E608))),FIND("x",TRIM(MID(SUBSTITUTE(SUBSTITUTE(SUBSTITUTE(SUBSTITUTE(SUBSTITUTE(LOWER(Registro!$E608),"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",LEN(Registro!$E608))),({1,2,3,4,5,6,7,8,9,10,11,12,13,14,15,16,17,18,19,20,21,22,23,24,25,26,27,28,29,30}-1)*LEN(Registro!$E608)+1,LEN(Registro!$E608)))&amp;"x")+1,20))),"Revisar formato")))</f>
        <v/>
      </c>
      <c r="F608" s="23" t="str">
        <f>IF(Registro!$F608="","",IF(ISERROR(FIND("x",LOWER(Registro!$F608))),"-",IFERROR(SUMPRODUCT(--("0"&amp;LEFT(TRIM(MID(SUBSTITUTE(SUBSTITUTE(SUBSTITUTE(SUBSTITUTE(SUBSTITUTE(LOWER(Registro!$F608)," ",""),CHAR(10),"|"),";","|"),"+","|"),"|",REPT(" ",LEN(Registro!$F608))),({1,2,3,4,5,6,7,8,9,10,11,12,13,14,15,16,17,18,19,20,21,22,23,24,25,26,27,28,29,30}-1)*LEN(Registro!$F608)+1,LEN(Registro!$F608))),FIND("x",TRIM(MID(SUBSTITUTE(SUBSTITUTE(SUBSTITUTE(SUBSTITUTE(SUBSTITUTE(LOWER(Registro!$F608)," ",""),CHAR(10),"|"),";","|"),"+","|"),"|",REPT(" ",LEN(Registro!$F608))),({1,2,3,4,5,6,7,8,9,10,11,12,13,14,15,16,17,18,19,20,21,22,23,24,25,26,27,28,29,30}-1)*LEN(Registro!$F608)+1,LEN(Registro!$F608)))&amp;"x")-1))),"Revisar formato")))</f>
        <v/>
      </c>
      <c r="G608" s="24" t="str">
        <f>IF(Registro!$F608="","",IF(ISERROR(FIND("x",LOWER(Registro!$F608))),N(Registro!$G608),IFERROR(SUMPRODUCT(--("0"&amp;LEFT(TRIM(MID(SUBSTITUTE(SUBSTITUTE(SUBSTITUTE(SUBSTITUTE(SUBSTITUTE(LOWER(Registro!$F608)," ",""),CHAR(10),"|"),";","|"),"+","|"),"|",REPT(" ",LEN(Registro!$F608))),({1,2,3,4,5,6,7,8,9,10,11,12,13,14,15,16,17,18,19,20,21,22,23,24,25,26,27,28,29,30}-1)*LEN(Registro!$F608)+1,LEN(Registro!$F608))),FIND("x",TRIM(MID(SUBSTITUTE(SUBSTITUTE(SUBSTITUTE(SUBSTITUTE(SUBSTITUTE(LOWER(Registro!$F608)," ",""),CHAR(10),"|"),";","|"),"+","|"),"|",REPT(" ",LEN(Registro!$F608))),({1,2,3,4,5,6,7,8,9,10,11,12,13,14,15,16,17,18,19,20,21,22,23,24,25,26,27,28,29,30}-1)*LEN(Registro!$F608)+1,LEN(Registro!$F608)))&amp;"x")-1)),--("0"&amp;MID(TRIM(MID(SUBSTITUTE(SUBSTITUTE(SUBSTITUTE(SUBSTITUTE(SUBSTITUTE(LOWER(Registro!$F608)," ",""),CHAR(10),"|"),";","|"),"+","|"),"|",REPT(" ",LEN(Registro!$F608))),({1,2,3,4,5,6,7,8,9,10,11,12,13,14,15,16,17,18,19,20,21,22,23,24,25,26,27,28,29,30}-1)*LEN(Registro!$F608)+1,LEN(Registro!$F608))),FIND("x",TRIM(MID(SUBSTITUTE(SUBSTITUTE(SUBSTITUTE(SUBSTITUTE(SUBSTITUTE(LOWER(Registro!$F608)," ",""),CHAR(10),"|"),";","|"),"+","|"),"|",REPT(" ",LEN(Registro!$F608))),({1,2,3,4,5,6,7,8,9,10,11,12,13,14,15,16,17,18,19,20,21,22,23,24,25,26,27,28,29,30}-1)*LEN(Registro!$F608)+1,LEN(Registro!$F608)))&amp;"x")+1,20))),"Revisar formato")))</f>
        <v/>
      </c>
      <c r="H608" s="21" t="str">
        <f>IF(AND(Registro!$E608="",Registro!$F608=""),"",IF(NOT(AND(ISNUMBER(G608),ISNUMBER(Registro!$G608))),"",IF(G608&lt;Registro!$G608,"FALTA BOLETOS",IF(G608=Registro!$G608,"CONFORME","DIFERENCIA"))))</f>
        <v/>
      </c>
      <c r="I608" s="24" t="str">
        <f>IF(Registro!$H608="","",IFERROR(SUMPRODUCT(--("0"&amp;TRIM(RIGHT(SUBSTITUTE(TRIM(MID(SUBSTITUTE(SUBSTITUTE(Registro!$H608,";",CHAR(10)),CHAR(10),REPT(" ",LEN(Registro!$H608))),({1,2,3,4,5,6,7,8,9,10,11,12,13,14,15,16,17,18,19,20,21,22,23,24,25,26,27,28,29,30}-1)*LEN(Registro!$H608)+1,LEN(Registro!$H608)))," ",REPT(" ",50)),50)))),"Revisar formato"))</f>
        <v/>
      </c>
      <c r="J608" s="24" t="str">
        <f>IF(Registro!$I608="","",IFERROR(SUMPRODUCT(--("0"&amp;TRIM(RIGHT(SUBSTITUTE(TRIM(MID(SUBSTITUTE(SUBSTITUTE(Registro!$I608,";",CHAR(10)),CHAR(10),REPT(" ",LEN(Registro!$I608))),({1,2,3,4,5,6,7,8,9,10,11,12,13,14,15,16,17,18,19,20,21,22,23,24,25,26,27,28,29,30}-1)*LEN(Registro!$I608)+1,LEN(Registro!$I608)))," ",REPT(" ",50)),50)))),"Revisar formato"))</f>
        <v/>
      </c>
      <c r="K608" s="24" t="str">
        <f>IF(AND(Registro!$G608="",Registro!$H608=""),"",IF(AND(ISTEXT(I608),I608&lt;&gt;""),"Revisar formato",N(Registro!$G608)-N(I608)))</f>
        <v/>
      </c>
      <c r="L608" s="24" t="str">
        <f t="shared" si="19"/>
        <v/>
      </c>
      <c r="M608" s="36" t="str">
        <f>IF(AND(A608=Consulta!$B$3,C608=Consulta!$H$3),B608*10000+ROW(),"")</f>
        <v/>
      </c>
    </row>
    <row r="609" spans="1:13" x14ac:dyDescent="0.25">
      <c r="A609" s="21" t="str">
        <f>IF(Registro!$A609="","",Registro!$A609)</f>
        <v/>
      </c>
      <c r="B609" s="20" t="str">
        <f>IF(Registro!$B609="","",Registro!$B609)</f>
        <v/>
      </c>
      <c r="C609" s="35" t="str">
        <f t="shared" si="18"/>
        <v/>
      </c>
      <c r="D609" s="23" t="str">
        <f>IF(Registro!$E609="","",IF(ISERROR(FIND("x",LOWER(Registro!$E609))),"-",IFERROR(SUMPRODUCT(--("0"&amp;LEFT(TRIM(MID(SUBSTITUTE(SUBSTITUTE(SUBSTITUTE(SUBSTITUTE(SUBSTITUTE(LOWER(Registro!$E609),"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",LEN(Registro!$E609))),({1,2,3,4,5,6,7,8,9,10,11,12,13,14,15,16,17,18,19,20,21,22,23,24,25,26,27,28,29,30}-1)*LEN(Registro!$E609)+1,LEN(Registro!$E609))),FIND("x",TRIM(MID(SUBSTITUTE(SUBSTITUTE(SUBSTITUTE(SUBSTITUTE(SUBSTITUTE(LOWER(Registro!$E609),"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",LEN(Registro!$E609))),({1,2,3,4,5,6,7,8,9,10,11,12,13,14,15,16,17,18,19,20,21,22,23,24,25,26,27,28,29,30}-1)*LEN(Registro!$E609)+1,LEN(Registro!$E609)))&amp;"x")-1))),"Revisar formato")))</f>
        <v/>
      </c>
      <c r="E609" s="24" t="str">
        <f>IF(Registro!$E609="","",IF(ISERROR(FIND("x",LOWER(Registro!$E609))),"-",IFERROR(SUMPRODUCT(--("0"&amp;LEFT(TRIM(MID(SUBSTITUTE(SUBSTITUTE(SUBSTITUTE(SUBSTITUTE(SUBSTITUTE(LOWER(Registro!$E609),"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",LEN(Registro!$E609))),({1,2,3,4,5,6,7,8,9,10,11,12,13,14,15,16,17,18,19,20,21,22,23,24,25,26,27,28,29,30}-1)*LEN(Registro!$E609)+1,LEN(Registro!$E609))),FIND("x",TRIM(MID(SUBSTITUTE(SUBSTITUTE(SUBSTITUTE(SUBSTITUTE(SUBSTITUTE(LOWER(Registro!$E609),"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",LEN(Registro!$E609))),({1,2,3,4,5,6,7,8,9,10,11,12,13,14,15,16,17,18,19,20,21,22,23,24,25,26,27,28,29,30}-1)*LEN(Registro!$E609)+1,LEN(Registro!$E609)))&amp;"x")-1)),--("0"&amp;MID(TRIM(MID(SUBSTITUTE(SUBSTITUTE(SUBSTITUTE(SUBSTITUTE(SUBSTITUTE(LOWER(Registro!$E609),"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",LEN(Registro!$E609))),({1,2,3,4,5,6,7,8,9,10,11,12,13,14,15,16,17,18,19,20,21,22,23,24,25,26,27,28,29,30}-1)*LEN(Registro!$E609)+1,LEN(Registro!$E609))),FIND("x",TRIM(MID(SUBSTITUTE(SUBSTITUTE(SUBSTITUTE(SUBSTITUTE(SUBSTITUTE(LOWER(Registro!$E609),"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",LEN(Registro!$E609))),({1,2,3,4,5,6,7,8,9,10,11,12,13,14,15,16,17,18,19,20,21,22,23,24,25,26,27,28,29,30}-1)*LEN(Registro!$E609)+1,LEN(Registro!$E609)))&amp;"x")+1,20))),"Revisar formato")))</f>
        <v/>
      </c>
      <c r="F609" s="23" t="str">
        <f>IF(Registro!$F609="","",IF(ISERROR(FIND("x",LOWER(Registro!$F609))),"-",IFERROR(SUMPRODUCT(--("0"&amp;LEFT(TRIM(MID(SUBSTITUTE(SUBSTITUTE(SUBSTITUTE(SUBSTITUTE(SUBSTITUTE(LOWER(Registro!$F609)," ",""),CHAR(10),"|"),";","|"),"+","|"),"|",REPT(" ",LEN(Registro!$F609))),({1,2,3,4,5,6,7,8,9,10,11,12,13,14,15,16,17,18,19,20,21,22,23,24,25,26,27,28,29,30}-1)*LEN(Registro!$F609)+1,LEN(Registro!$F609))),FIND("x",TRIM(MID(SUBSTITUTE(SUBSTITUTE(SUBSTITUTE(SUBSTITUTE(SUBSTITUTE(LOWER(Registro!$F609)," ",""),CHAR(10),"|"),";","|"),"+","|"),"|",REPT(" ",LEN(Registro!$F609))),({1,2,3,4,5,6,7,8,9,10,11,12,13,14,15,16,17,18,19,20,21,22,23,24,25,26,27,28,29,30}-1)*LEN(Registro!$F609)+1,LEN(Registro!$F609)))&amp;"x")-1))),"Revisar formato")))</f>
        <v/>
      </c>
      <c r="G609" s="24" t="str">
        <f>IF(Registro!$F609="","",IF(ISERROR(FIND("x",LOWER(Registro!$F609))),N(Registro!$G609),IFERROR(SUMPRODUCT(--("0"&amp;LEFT(TRIM(MID(SUBSTITUTE(SUBSTITUTE(SUBSTITUTE(SUBSTITUTE(SUBSTITUTE(LOWER(Registro!$F609)," ",""),CHAR(10),"|"),";","|"),"+","|"),"|",REPT(" ",LEN(Registro!$F609))),({1,2,3,4,5,6,7,8,9,10,11,12,13,14,15,16,17,18,19,20,21,22,23,24,25,26,27,28,29,30}-1)*LEN(Registro!$F609)+1,LEN(Registro!$F609))),FIND("x",TRIM(MID(SUBSTITUTE(SUBSTITUTE(SUBSTITUTE(SUBSTITUTE(SUBSTITUTE(LOWER(Registro!$F609)," ",""),CHAR(10),"|"),";","|"),"+","|"),"|",REPT(" ",LEN(Registro!$F609))),({1,2,3,4,5,6,7,8,9,10,11,12,13,14,15,16,17,18,19,20,21,22,23,24,25,26,27,28,29,30}-1)*LEN(Registro!$F609)+1,LEN(Registro!$F609)))&amp;"x")-1)),--("0"&amp;MID(TRIM(MID(SUBSTITUTE(SUBSTITUTE(SUBSTITUTE(SUBSTITUTE(SUBSTITUTE(LOWER(Registro!$F609)," ",""),CHAR(10),"|"),";","|"),"+","|"),"|",REPT(" ",LEN(Registro!$F609))),({1,2,3,4,5,6,7,8,9,10,11,12,13,14,15,16,17,18,19,20,21,22,23,24,25,26,27,28,29,30}-1)*LEN(Registro!$F609)+1,LEN(Registro!$F609))),FIND("x",TRIM(MID(SUBSTITUTE(SUBSTITUTE(SUBSTITUTE(SUBSTITUTE(SUBSTITUTE(LOWER(Registro!$F609)," ",""),CHAR(10),"|"),";","|"),"+","|"),"|",REPT(" ",LEN(Registro!$F609))),({1,2,3,4,5,6,7,8,9,10,11,12,13,14,15,16,17,18,19,20,21,22,23,24,25,26,27,28,29,30}-1)*LEN(Registro!$F609)+1,LEN(Registro!$F609)))&amp;"x")+1,20))),"Revisar formato")))</f>
        <v/>
      </c>
      <c r="H609" s="21" t="str">
        <f>IF(AND(Registro!$E609="",Registro!$F609=""),"",IF(NOT(AND(ISNUMBER(G609),ISNUMBER(Registro!$G609))),"",IF(G609&lt;Registro!$G609,"FALTA BOLETOS",IF(G609=Registro!$G609,"CONFORME","DIFERENCIA"))))</f>
        <v/>
      </c>
      <c r="I609" s="24" t="str">
        <f>IF(Registro!$H609="","",IFERROR(SUMPRODUCT(--("0"&amp;TRIM(RIGHT(SUBSTITUTE(TRIM(MID(SUBSTITUTE(SUBSTITUTE(Registro!$H609,";",CHAR(10)),CHAR(10),REPT(" ",LEN(Registro!$H609))),({1,2,3,4,5,6,7,8,9,10,11,12,13,14,15,16,17,18,19,20,21,22,23,24,25,26,27,28,29,30}-1)*LEN(Registro!$H609)+1,LEN(Registro!$H609)))," ",REPT(" ",50)),50)))),"Revisar formato"))</f>
        <v/>
      </c>
      <c r="J609" s="24" t="str">
        <f>IF(Registro!$I609="","",IFERROR(SUMPRODUCT(--("0"&amp;TRIM(RIGHT(SUBSTITUTE(TRIM(MID(SUBSTITUTE(SUBSTITUTE(Registro!$I609,";",CHAR(10)),CHAR(10),REPT(" ",LEN(Registro!$I609))),({1,2,3,4,5,6,7,8,9,10,11,12,13,14,15,16,17,18,19,20,21,22,23,24,25,26,27,28,29,30}-1)*LEN(Registro!$I609)+1,LEN(Registro!$I609)))," ",REPT(" ",50)),50)))),"Revisar formato"))</f>
        <v/>
      </c>
      <c r="K609" s="24" t="str">
        <f>IF(AND(Registro!$G609="",Registro!$H609=""),"",IF(AND(ISTEXT(I609),I609&lt;&gt;""),"Revisar formato",N(Registro!$G609)-N(I609)))</f>
        <v/>
      </c>
      <c r="L609" s="24" t="str">
        <f t="shared" si="19"/>
        <v/>
      </c>
      <c r="M609" s="36" t="str">
        <f>IF(AND(A609=Consulta!$B$3,C609=Consulta!$H$3),B609*10000+ROW(),"")</f>
        <v/>
      </c>
    </row>
    <row r="610" spans="1:13" x14ac:dyDescent="0.25">
      <c r="A610" s="21" t="str">
        <f>IF(Registro!$A610="","",Registro!$A610)</f>
        <v/>
      </c>
      <c r="B610" s="20" t="str">
        <f>IF(Registro!$B610="","",Registro!$B610)</f>
        <v/>
      </c>
      <c r="C610" s="35" t="str">
        <f t="shared" si="18"/>
        <v/>
      </c>
      <c r="D610" s="23" t="str">
        <f>IF(Registro!$E610="","",IF(ISERROR(FIND("x",LOWER(Registro!$E610))),"-",IFERROR(SUMPRODUCT(--("0"&amp;LEFT(TRIM(MID(SUBSTITUTE(SUBSTITUTE(SUBSTITUTE(SUBSTITUTE(SUBSTITUTE(LOWER(Registro!$E610),"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",LEN(Registro!$E610))),({1,2,3,4,5,6,7,8,9,10,11,12,13,14,15,16,17,18,19,20,21,22,23,24,25,26,27,28,29,30}-1)*LEN(Registro!$E610)+1,LEN(Registro!$E610))),FIND("x",TRIM(MID(SUBSTITUTE(SUBSTITUTE(SUBSTITUTE(SUBSTITUTE(SUBSTITUTE(LOWER(Registro!$E610),"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",LEN(Registro!$E610))),({1,2,3,4,5,6,7,8,9,10,11,12,13,14,15,16,17,18,19,20,21,22,23,24,25,26,27,28,29,30}-1)*LEN(Registro!$E610)+1,LEN(Registro!$E610)))&amp;"x")-1))),"Revisar formato")))</f>
        <v/>
      </c>
      <c r="E610" s="24" t="str">
        <f>IF(Registro!$E610="","",IF(ISERROR(FIND("x",LOWER(Registro!$E610))),"-",IFERROR(SUMPRODUCT(--("0"&amp;LEFT(TRIM(MID(SUBSTITUTE(SUBSTITUTE(SUBSTITUTE(SUBSTITUTE(SUBSTITUTE(LOWER(Registro!$E610),"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",LEN(Registro!$E610))),({1,2,3,4,5,6,7,8,9,10,11,12,13,14,15,16,17,18,19,20,21,22,23,24,25,26,27,28,29,30}-1)*LEN(Registro!$E610)+1,LEN(Registro!$E610))),FIND("x",TRIM(MID(SUBSTITUTE(SUBSTITUTE(SUBSTITUTE(SUBSTITUTE(SUBSTITUTE(LOWER(Registro!$E610),"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",LEN(Registro!$E610))),({1,2,3,4,5,6,7,8,9,10,11,12,13,14,15,16,17,18,19,20,21,22,23,24,25,26,27,28,29,30}-1)*LEN(Registro!$E610)+1,LEN(Registro!$E610)))&amp;"x")-1)),--("0"&amp;MID(TRIM(MID(SUBSTITUTE(SUBSTITUTE(SUBSTITUTE(SUBSTITUTE(SUBSTITUTE(LOWER(Registro!$E610),"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",LEN(Registro!$E610))),({1,2,3,4,5,6,7,8,9,10,11,12,13,14,15,16,17,18,19,20,21,22,23,24,25,26,27,28,29,30}-1)*LEN(Registro!$E610)+1,LEN(Registro!$E610))),FIND("x",TRIM(MID(SUBSTITUTE(SUBSTITUTE(SUBSTITUTE(SUBSTITUTE(SUBSTITUTE(LOWER(Registro!$E610),"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",LEN(Registro!$E610))),({1,2,3,4,5,6,7,8,9,10,11,12,13,14,15,16,17,18,19,20,21,22,23,24,25,26,27,28,29,30}-1)*LEN(Registro!$E610)+1,LEN(Registro!$E610)))&amp;"x")+1,20))),"Revisar formato")))</f>
        <v/>
      </c>
      <c r="F610" s="23" t="str">
        <f>IF(Registro!$F610="","",IF(ISERROR(FIND("x",LOWER(Registro!$F610))),"-",IFERROR(SUMPRODUCT(--("0"&amp;LEFT(TRIM(MID(SUBSTITUTE(SUBSTITUTE(SUBSTITUTE(SUBSTITUTE(SUBSTITUTE(LOWER(Registro!$F610)," ",""),CHAR(10),"|"),";","|"),"+","|"),"|",REPT(" ",LEN(Registro!$F610))),({1,2,3,4,5,6,7,8,9,10,11,12,13,14,15,16,17,18,19,20,21,22,23,24,25,26,27,28,29,30}-1)*LEN(Registro!$F610)+1,LEN(Registro!$F610))),FIND("x",TRIM(MID(SUBSTITUTE(SUBSTITUTE(SUBSTITUTE(SUBSTITUTE(SUBSTITUTE(LOWER(Registro!$F610)," ",""),CHAR(10),"|"),";","|"),"+","|"),"|",REPT(" ",LEN(Registro!$F610))),({1,2,3,4,5,6,7,8,9,10,11,12,13,14,15,16,17,18,19,20,21,22,23,24,25,26,27,28,29,30}-1)*LEN(Registro!$F610)+1,LEN(Registro!$F610)))&amp;"x")-1))),"Revisar formato")))</f>
        <v/>
      </c>
      <c r="G610" s="24" t="str">
        <f>IF(Registro!$F610="","",IF(ISERROR(FIND("x",LOWER(Registro!$F610))),N(Registro!$G610),IFERROR(SUMPRODUCT(--("0"&amp;LEFT(TRIM(MID(SUBSTITUTE(SUBSTITUTE(SUBSTITUTE(SUBSTITUTE(SUBSTITUTE(LOWER(Registro!$F610)," ",""),CHAR(10),"|"),";","|"),"+","|"),"|",REPT(" ",LEN(Registro!$F610))),({1,2,3,4,5,6,7,8,9,10,11,12,13,14,15,16,17,18,19,20,21,22,23,24,25,26,27,28,29,30}-1)*LEN(Registro!$F610)+1,LEN(Registro!$F610))),FIND("x",TRIM(MID(SUBSTITUTE(SUBSTITUTE(SUBSTITUTE(SUBSTITUTE(SUBSTITUTE(LOWER(Registro!$F610)," ",""),CHAR(10),"|"),";","|"),"+","|"),"|",REPT(" ",LEN(Registro!$F610))),({1,2,3,4,5,6,7,8,9,10,11,12,13,14,15,16,17,18,19,20,21,22,23,24,25,26,27,28,29,30}-1)*LEN(Registro!$F610)+1,LEN(Registro!$F610)))&amp;"x")-1)),--("0"&amp;MID(TRIM(MID(SUBSTITUTE(SUBSTITUTE(SUBSTITUTE(SUBSTITUTE(SUBSTITUTE(LOWER(Registro!$F610)," ",""),CHAR(10),"|"),";","|"),"+","|"),"|",REPT(" ",LEN(Registro!$F610))),({1,2,3,4,5,6,7,8,9,10,11,12,13,14,15,16,17,18,19,20,21,22,23,24,25,26,27,28,29,30}-1)*LEN(Registro!$F610)+1,LEN(Registro!$F610))),FIND("x",TRIM(MID(SUBSTITUTE(SUBSTITUTE(SUBSTITUTE(SUBSTITUTE(SUBSTITUTE(LOWER(Registro!$F610)," ",""),CHAR(10),"|"),";","|"),"+","|"),"|",REPT(" ",LEN(Registro!$F610))),({1,2,3,4,5,6,7,8,9,10,11,12,13,14,15,16,17,18,19,20,21,22,23,24,25,26,27,28,29,30}-1)*LEN(Registro!$F610)+1,LEN(Registro!$F610)))&amp;"x")+1,20))),"Revisar formato")))</f>
        <v/>
      </c>
      <c r="H610" s="21" t="str">
        <f>IF(AND(Registro!$E610="",Registro!$F610=""),"",IF(NOT(AND(ISNUMBER(G610),ISNUMBER(Registro!$G610))),"",IF(G610&lt;Registro!$G610,"FALTA BOLETOS",IF(G610=Registro!$G610,"CONFORME","DIFERENCIA"))))</f>
        <v/>
      </c>
      <c r="I610" s="24" t="str">
        <f>IF(Registro!$H610="","",IFERROR(SUMPRODUCT(--("0"&amp;TRIM(RIGHT(SUBSTITUTE(TRIM(MID(SUBSTITUTE(SUBSTITUTE(Registro!$H610,";",CHAR(10)),CHAR(10),REPT(" ",LEN(Registro!$H610))),({1,2,3,4,5,6,7,8,9,10,11,12,13,14,15,16,17,18,19,20,21,22,23,24,25,26,27,28,29,30}-1)*LEN(Registro!$H610)+1,LEN(Registro!$H610)))," ",REPT(" ",50)),50)))),"Revisar formato"))</f>
        <v/>
      </c>
      <c r="J610" s="24" t="str">
        <f>IF(Registro!$I610="","",IFERROR(SUMPRODUCT(--("0"&amp;TRIM(RIGHT(SUBSTITUTE(TRIM(MID(SUBSTITUTE(SUBSTITUTE(Registro!$I610,";",CHAR(10)),CHAR(10),REPT(" ",LEN(Registro!$I610))),({1,2,3,4,5,6,7,8,9,10,11,12,13,14,15,16,17,18,19,20,21,22,23,24,25,26,27,28,29,30}-1)*LEN(Registro!$I610)+1,LEN(Registro!$I610)))," ",REPT(" ",50)),50)))),"Revisar formato"))</f>
        <v/>
      </c>
      <c r="K610" s="24" t="str">
        <f>IF(AND(Registro!$G610="",Registro!$H610=""),"",IF(AND(ISTEXT(I610),I610&lt;&gt;""),"Revisar formato",N(Registro!$G610)-N(I610)))</f>
        <v/>
      </c>
      <c r="L610" s="24" t="str">
        <f t="shared" si="19"/>
        <v/>
      </c>
      <c r="M610" s="36" t="str">
        <f>IF(AND(A610=Consulta!$B$3,C610=Consulta!$H$3),B610*10000+ROW(),"")</f>
        <v/>
      </c>
    </row>
    <row r="611" spans="1:13" x14ac:dyDescent="0.25">
      <c r="A611" s="21" t="str">
        <f>IF(Registro!$A611="","",Registro!$A611)</f>
        <v/>
      </c>
      <c r="B611" s="20" t="str">
        <f>IF(Registro!$B611="","",Registro!$B611)</f>
        <v/>
      </c>
      <c r="C611" s="35" t="str">
        <f t="shared" si="18"/>
        <v/>
      </c>
      <c r="D611" s="23" t="str">
        <f>IF(Registro!$E611="","",IF(ISERROR(FIND("x",LOWER(Registro!$E611))),"-",IFERROR(SUMPRODUCT(--("0"&amp;LEFT(TRIM(MID(SUBSTITUTE(SUBSTITUTE(SUBSTITUTE(SUBSTITUTE(SUBSTITUTE(LOWER(Registro!$E611),"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",LEN(Registro!$E611))),({1,2,3,4,5,6,7,8,9,10,11,12,13,14,15,16,17,18,19,20,21,22,23,24,25,26,27,28,29,30}-1)*LEN(Registro!$E611)+1,LEN(Registro!$E611))),FIND("x",TRIM(MID(SUBSTITUTE(SUBSTITUTE(SUBSTITUTE(SUBSTITUTE(SUBSTITUTE(LOWER(Registro!$E611),"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",LEN(Registro!$E611))),({1,2,3,4,5,6,7,8,9,10,11,12,13,14,15,16,17,18,19,20,21,22,23,24,25,26,27,28,29,30}-1)*LEN(Registro!$E611)+1,LEN(Registro!$E611)))&amp;"x")-1))),"Revisar formato")))</f>
        <v/>
      </c>
      <c r="E611" s="24" t="str">
        <f>IF(Registro!$E611="","",IF(ISERROR(FIND("x",LOWER(Registro!$E611))),"-",IFERROR(SUMPRODUCT(--("0"&amp;LEFT(TRIM(MID(SUBSTITUTE(SUBSTITUTE(SUBSTITUTE(SUBSTITUTE(SUBSTITUTE(LOWER(Registro!$E611),"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",LEN(Registro!$E611))),({1,2,3,4,5,6,7,8,9,10,11,12,13,14,15,16,17,18,19,20,21,22,23,24,25,26,27,28,29,30}-1)*LEN(Registro!$E611)+1,LEN(Registro!$E611))),FIND("x",TRIM(MID(SUBSTITUTE(SUBSTITUTE(SUBSTITUTE(SUBSTITUTE(SUBSTITUTE(LOWER(Registro!$E611),"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",LEN(Registro!$E611))),({1,2,3,4,5,6,7,8,9,10,11,12,13,14,15,16,17,18,19,20,21,22,23,24,25,26,27,28,29,30}-1)*LEN(Registro!$E611)+1,LEN(Registro!$E611)))&amp;"x")-1)),--("0"&amp;MID(TRIM(MID(SUBSTITUTE(SUBSTITUTE(SUBSTITUTE(SUBSTITUTE(SUBSTITUTE(LOWER(Registro!$E611),"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",LEN(Registro!$E611))),({1,2,3,4,5,6,7,8,9,10,11,12,13,14,15,16,17,18,19,20,21,22,23,24,25,26,27,28,29,30}-1)*LEN(Registro!$E611)+1,LEN(Registro!$E611))),FIND("x",TRIM(MID(SUBSTITUTE(SUBSTITUTE(SUBSTITUTE(SUBSTITUTE(SUBSTITUTE(LOWER(Registro!$E611),"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",LEN(Registro!$E611))),({1,2,3,4,5,6,7,8,9,10,11,12,13,14,15,16,17,18,19,20,21,22,23,24,25,26,27,28,29,30}-1)*LEN(Registro!$E611)+1,LEN(Registro!$E611)))&amp;"x")+1,20))),"Revisar formato")))</f>
        <v/>
      </c>
      <c r="F611" s="23" t="str">
        <f>IF(Registro!$F611="","",IF(ISERROR(FIND("x",LOWER(Registro!$F611))),"-",IFERROR(SUMPRODUCT(--("0"&amp;LEFT(TRIM(MID(SUBSTITUTE(SUBSTITUTE(SUBSTITUTE(SUBSTITUTE(SUBSTITUTE(LOWER(Registro!$F611)," ",""),CHAR(10),"|"),";","|"),"+","|"),"|",REPT(" ",LEN(Registro!$F611))),({1,2,3,4,5,6,7,8,9,10,11,12,13,14,15,16,17,18,19,20,21,22,23,24,25,26,27,28,29,30}-1)*LEN(Registro!$F611)+1,LEN(Registro!$F611))),FIND("x",TRIM(MID(SUBSTITUTE(SUBSTITUTE(SUBSTITUTE(SUBSTITUTE(SUBSTITUTE(LOWER(Registro!$F611)," ",""),CHAR(10),"|"),";","|"),"+","|"),"|",REPT(" ",LEN(Registro!$F611))),({1,2,3,4,5,6,7,8,9,10,11,12,13,14,15,16,17,18,19,20,21,22,23,24,25,26,27,28,29,30}-1)*LEN(Registro!$F611)+1,LEN(Registro!$F611)))&amp;"x")-1))),"Revisar formato")))</f>
        <v/>
      </c>
      <c r="G611" s="24" t="str">
        <f>IF(Registro!$F611="","",IF(ISERROR(FIND("x",LOWER(Registro!$F611))),N(Registro!$G611),IFERROR(SUMPRODUCT(--("0"&amp;LEFT(TRIM(MID(SUBSTITUTE(SUBSTITUTE(SUBSTITUTE(SUBSTITUTE(SUBSTITUTE(LOWER(Registro!$F611)," ",""),CHAR(10),"|"),";","|"),"+","|"),"|",REPT(" ",LEN(Registro!$F611))),({1,2,3,4,5,6,7,8,9,10,11,12,13,14,15,16,17,18,19,20,21,22,23,24,25,26,27,28,29,30}-1)*LEN(Registro!$F611)+1,LEN(Registro!$F611))),FIND("x",TRIM(MID(SUBSTITUTE(SUBSTITUTE(SUBSTITUTE(SUBSTITUTE(SUBSTITUTE(LOWER(Registro!$F611)," ",""),CHAR(10),"|"),";","|"),"+","|"),"|",REPT(" ",LEN(Registro!$F611))),({1,2,3,4,5,6,7,8,9,10,11,12,13,14,15,16,17,18,19,20,21,22,23,24,25,26,27,28,29,30}-1)*LEN(Registro!$F611)+1,LEN(Registro!$F611)))&amp;"x")-1)),--("0"&amp;MID(TRIM(MID(SUBSTITUTE(SUBSTITUTE(SUBSTITUTE(SUBSTITUTE(SUBSTITUTE(LOWER(Registro!$F611)," ",""),CHAR(10),"|"),";","|"),"+","|"),"|",REPT(" ",LEN(Registro!$F611))),({1,2,3,4,5,6,7,8,9,10,11,12,13,14,15,16,17,18,19,20,21,22,23,24,25,26,27,28,29,30}-1)*LEN(Registro!$F611)+1,LEN(Registro!$F611))),FIND("x",TRIM(MID(SUBSTITUTE(SUBSTITUTE(SUBSTITUTE(SUBSTITUTE(SUBSTITUTE(LOWER(Registro!$F611)," ",""),CHAR(10),"|"),";","|"),"+","|"),"|",REPT(" ",LEN(Registro!$F611))),({1,2,3,4,5,6,7,8,9,10,11,12,13,14,15,16,17,18,19,20,21,22,23,24,25,26,27,28,29,30}-1)*LEN(Registro!$F611)+1,LEN(Registro!$F611)))&amp;"x")+1,20))),"Revisar formato")))</f>
        <v/>
      </c>
      <c r="H611" s="21" t="str">
        <f>IF(AND(Registro!$E611="",Registro!$F611=""),"",IF(NOT(AND(ISNUMBER(G611),ISNUMBER(Registro!$G611))),"",IF(G611&lt;Registro!$G611,"FALTA BOLETOS",IF(G611=Registro!$G611,"CONFORME","DIFERENCIA"))))</f>
        <v/>
      </c>
      <c r="I611" s="24" t="str">
        <f>IF(Registro!$H611="","",IFERROR(SUMPRODUCT(--("0"&amp;TRIM(RIGHT(SUBSTITUTE(TRIM(MID(SUBSTITUTE(SUBSTITUTE(Registro!$H611,";",CHAR(10)),CHAR(10),REPT(" ",LEN(Registro!$H611))),({1,2,3,4,5,6,7,8,9,10,11,12,13,14,15,16,17,18,19,20,21,22,23,24,25,26,27,28,29,30}-1)*LEN(Registro!$H611)+1,LEN(Registro!$H611)))," ",REPT(" ",50)),50)))),"Revisar formato"))</f>
        <v/>
      </c>
      <c r="J611" s="24" t="str">
        <f>IF(Registro!$I611="","",IFERROR(SUMPRODUCT(--("0"&amp;TRIM(RIGHT(SUBSTITUTE(TRIM(MID(SUBSTITUTE(SUBSTITUTE(Registro!$I611,";",CHAR(10)),CHAR(10),REPT(" ",LEN(Registro!$I611))),({1,2,3,4,5,6,7,8,9,10,11,12,13,14,15,16,17,18,19,20,21,22,23,24,25,26,27,28,29,30}-1)*LEN(Registro!$I611)+1,LEN(Registro!$I611)))," ",REPT(" ",50)),50)))),"Revisar formato"))</f>
        <v/>
      </c>
      <c r="K611" s="24" t="str">
        <f>IF(AND(Registro!$G611="",Registro!$H611=""),"",IF(AND(ISTEXT(I611),I611&lt;&gt;""),"Revisar formato",N(Registro!$G611)-N(I611)))</f>
        <v/>
      </c>
      <c r="L611" s="24" t="str">
        <f t="shared" si="19"/>
        <v/>
      </c>
      <c r="M611" s="36" t="str">
        <f>IF(AND(A611=Consulta!$B$3,C611=Consulta!$H$3),B611*10000+ROW(),"")</f>
        <v/>
      </c>
    </row>
    <row r="612" spans="1:13" x14ac:dyDescent="0.25">
      <c r="A612" s="21" t="str">
        <f>IF(Registro!$A612="","",Registro!$A612)</f>
        <v/>
      </c>
      <c r="B612" s="20" t="str">
        <f>IF(Registro!$B612="","",Registro!$B612)</f>
        <v/>
      </c>
      <c r="C612" s="35" t="str">
        <f t="shared" si="18"/>
        <v/>
      </c>
      <c r="D612" s="23" t="str">
        <f>IF(Registro!$E612="","",IF(ISERROR(FIND("x",LOWER(Registro!$E612))),"-",IFERROR(SUMPRODUCT(--("0"&amp;LEFT(TRIM(MID(SUBSTITUTE(SUBSTITUTE(SUBSTITUTE(SUBSTITUTE(SUBSTITUTE(LOWER(Registro!$E612),"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",LEN(Registro!$E612))),({1,2,3,4,5,6,7,8,9,10,11,12,13,14,15,16,17,18,19,20,21,22,23,24,25,26,27,28,29,30}-1)*LEN(Registro!$E612)+1,LEN(Registro!$E612))),FIND("x",TRIM(MID(SUBSTITUTE(SUBSTITUTE(SUBSTITUTE(SUBSTITUTE(SUBSTITUTE(LOWER(Registro!$E612),"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",LEN(Registro!$E612))),({1,2,3,4,5,6,7,8,9,10,11,12,13,14,15,16,17,18,19,20,21,22,23,24,25,26,27,28,29,30}-1)*LEN(Registro!$E612)+1,LEN(Registro!$E612)))&amp;"x")-1))),"Revisar formato")))</f>
        <v/>
      </c>
      <c r="E612" s="24" t="str">
        <f>IF(Registro!$E612="","",IF(ISERROR(FIND("x",LOWER(Registro!$E612))),"-",IFERROR(SUMPRODUCT(--("0"&amp;LEFT(TRIM(MID(SUBSTITUTE(SUBSTITUTE(SUBSTITUTE(SUBSTITUTE(SUBSTITUTE(LOWER(Registro!$E612),"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",LEN(Registro!$E612))),({1,2,3,4,5,6,7,8,9,10,11,12,13,14,15,16,17,18,19,20,21,22,23,24,25,26,27,28,29,30}-1)*LEN(Registro!$E612)+1,LEN(Registro!$E612))),FIND("x",TRIM(MID(SUBSTITUTE(SUBSTITUTE(SUBSTITUTE(SUBSTITUTE(SUBSTITUTE(LOWER(Registro!$E612),"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",LEN(Registro!$E612))),({1,2,3,4,5,6,7,8,9,10,11,12,13,14,15,16,17,18,19,20,21,22,23,24,25,26,27,28,29,30}-1)*LEN(Registro!$E612)+1,LEN(Registro!$E612)))&amp;"x")-1)),--("0"&amp;MID(TRIM(MID(SUBSTITUTE(SUBSTITUTE(SUBSTITUTE(SUBSTITUTE(SUBSTITUTE(LOWER(Registro!$E612),"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",LEN(Registro!$E612))),({1,2,3,4,5,6,7,8,9,10,11,12,13,14,15,16,17,18,19,20,21,22,23,24,25,26,27,28,29,30}-1)*LEN(Registro!$E612)+1,LEN(Registro!$E612))),FIND("x",TRIM(MID(SUBSTITUTE(SUBSTITUTE(SUBSTITUTE(SUBSTITUTE(SUBSTITUTE(LOWER(Registro!$E612),"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",LEN(Registro!$E612))),({1,2,3,4,5,6,7,8,9,10,11,12,13,14,15,16,17,18,19,20,21,22,23,24,25,26,27,28,29,30}-1)*LEN(Registro!$E612)+1,LEN(Registro!$E612)))&amp;"x")+1,20))),"Revisar formato")))</f>
        <v/>
      </c>
      <c r="F612" s="23" t="str">
        <f>IF(Registro!$F612="","",IF(ISERROR(FIND("x",LOWER(Registro!$F612))),"-",IFERROR(SUMPRODUCT(--("0"&amp;LEFT(TRIM(MID(SUBSTITUTE(SUBSTITUTE(SUBSTITUTE(SUBSTITUTE(SUBSTITUTE(LOWER(Registro!$F612)," ",""),CHAR(10),"|"),";","|"),"+","|"),"|",REPT(" ",LEN(Registro!$F612))),({1,2,3,4,5,6,7,8,9,10,11,12,13,14,15,16,17,18,19,20,21,22,23,24,25,26,27,28,29,30}-1)*LEN(Registro!$F612)+1,LEN(Registro!$F612))),FIND("x",TRIM(MID(SUBSTITUTE(SUBSTITUTE(SUBSTITUTE(SUBSTITUTE(SUBSTITUTE(LOWER(Registro!$F612)," ",""),CHAR(10),"|"),";","|"),"+","|"),"|",REPT(" ",LEN(Registro!$F612))),({1,2,3,4,5,6,7,8,9,10,11,12,13,14,15,16,17,18,19,20,21,22,23,24,25,26,27,28,29,30}-1)*LEN(Registro!$F612)+1,LEN(Registro!$F612)))&amp;"x")-1))),"Revisar formato")))</f>
        <v/>
      </c>
      <c r="G612" s="24" t="str">
        <f>IF(Registro!$F612="","",IF(ISERROR(FIND("x",LOWER(Registro!$F612))),N(Registro!$G612),IFERROR(SUMPRODUCT(--("0"&amp;LEFT(TRIM(MID(SUBSTITUTE(SUBSTITUTE(SUBSTITUTE(SUBSTITUTE(SUBSTITUTE(LOWER(Registro!$F612)," ",""),CHAR(10),"|"),";","|"),"+","|"),"|",REPT(" ",LEN(Registro!$F612))),({1,2,3,4,5,6,7,8,9,10,11,12,13,14,15,16,17,18,19,20,21,22,23,24,25,26,27,28,29,30}-1)*LEN(Registro!$F612)+1,LEN(Registro!$F612))),FIND("x",TRIM(MID(SUBSTITUTE(SUBSTITUTE(SUBSTITUTE(SUBSTITUTE(SUBSTITUTE(LOWER(Registro!$F612)," ",""),CHAR(10),"|"),";","|"),"+","|"),"|",REPT(" ",LEN(Registro!$F612))),({1,2,3,4,5,6,7,8,9,10,11,12,13,14,15,16,17,18,19,20,21,22,23,24,25,26,27,28,29,30}-1)*LEN(Registro!$F612)+1,LEN(Registro!$F612)))&amp;"x")-1)),--("0"&amp;MID(TRIM(MID(SUBSTITUTE(SUBSTITUTE(SUBSTITUTE(SUBSTITUTE(SUBSTITUTE(LOWER(Registro!$F612)," ",""),CHAR(10),"|"),";","|"),"+","|"),"|",REPT(" ",LEN(Registro!$F612))),({1,2,3,4,5,6,7,8,9,10,11,12,13,14,15,16,17,18,19,20,21,22,23,24,25,26,27,28,29,30}-1)*LEN(Registro!$F612)+1,LEN(Registro!$F612))),FIND("x",TRIM(MID(SUBSTITUTE(SUBSTITUTE(SUBSTITUTE(SUBSTITUTE(SUBSTITUTE(LOWER(Registro!$F612)," ",""),CHAR(10),"|"),";","|"),"+","|"),"|",REPT(" ",LEN(Registro!$F612))),({1,2,3,4,5,6,7,8,9,10,11,12,13,14,15,16,17,18,19,20,21,22,23,24,25,26,27,28,29,30}-1)*LEN(Registro!$F612)+1,LEN(Registro!$F612)))&amp;"x")+1,20))),"Revisar formato")))</f>
        <v/>
      </c>
      <c r="H612" s="21" t="str">
        <f>IF(AND(Registro!$E612="",Registro!$F612=""),"",IF(NOT(AND(ISNUMBER(G612),ISNUMBER(Registro!$G612))),"",IF(G612&lt;Registro!$G612,"FALTA BOLETOS",IF(G612=Registro!$G612,"CONFORME","DIFERENCIA"))))</f>
        <v/>
      </c>
      <c r="I612" s="24" t="str">
        <f>IF(Registro!$H612="","",IFERROR(SUMPRODUCT(--("0"&amp;TRIM(RIGHT(SUBSTITUTE(TRIM(MID(SUBSTITUTE(SUBSTITUTE(Registro!$H612,";",CHAR(10)),CHAR(10),REPT(" ",LEN(Registro!$H612))),({1,2,3,4,5,6,7,8,9,10,11,12,13,14,15,16,17,18,19,20,21,22,23,24,25,26,27,28,29,30}-1)*LEN(Registro!$H612)+1,LEN(Registro!$H612)))," ",REPT(" ",50)),50)))),"Revisar formato"))</f>
        <v/>
      </c>
      <c r="J612" s="24" t="str">
        <f>IF(Registro!$I612="","",IFERROR(SUMPRODUCT(--("0"&amp;TRIM(RIGHT(SUBSTITUTE(TRIM(MID(SUBSTITUTE(SUBSTITUTE(Registro!$I612,";",CHAR(10)),CHAR(10),REPT(" ",LEN(Registro!$I612))),({1,2,3,4,5,6,7,8,9,10,11,12,13,14,15,16,17,18,19,20,21,22,23,24,25,26,27,28,29,30}-1)*LEN(Registro!$I612)+1,LEN(Registro!$I612)))," ",REPT(" ",50)),50)))),"Revisar formato"))</f>
        <v/>
      </c>
      <c r="K612" s="24" t="str">
        <f>IF(AND(Registro!$G612="",Registro!$H612=""),"",IF(AND(ISTEXT(I612),I612&lt;&gt;""),"Revisar formato",N(Registro!$G612)-N(I612)))</f>
        <v/>
      </c>
      <c r="L612" s="24" t="str">
        <f t="shared" si="19"/>
        <v/>
      </c>
      <c r="M612" s="36" t="str">
        <f>IF(AND(A612=Consulta!$B$3,C612=Consulta!$H$3),B612*10000+ROW(),"")</f>
        <v/>
      </c>
    </row>
    <row r="613" spans="1:13" x14ac:dyDescent="0.25">
      <c r="A613" s="21" t="str">
        <f>IF(Registro!$A613="","",Registro!$A613)</f>
        <v/>
      </c>
      <c r="B613" s="20" t="str">
        <f>IF(Registro!$B613="","",Registro!$B613)</f>
        <v/>
      </c>
      <c r="C613" s="35" t="str">
        <f t="shared" si="18"/>
        <v/>
      </c>
      <c r="D613" s="23" t="str">
        <f>IF(Registro!$E613="","",IF(ISERROR(FIND("x",LOWER(Registro!$E613))),"-",IFERROR(SUMPRODUCT(--("0"&amp;LEFT(TRIM(MID(SUBSTITUTE(SUBSTITUTE(SUBSTITUTE(SUBSTITUTE(SUBSTITUTE(LOWER(Registro!$E613),"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",LEN(Registro!$E613))),({1,2,3,4,5,6,7,8,9,10,11,12,13,14,15,16,17,18,19,20,21,22,23,24,25,26,27,28,29,30}-1)*LEN(Registro!$E613)+1,LEN(Registro!$E613))),FIND("x",TRIM(MID(SUBSTITUTE(SUBSTITUTE(SUBSTITUTE(SUBSTITUTE(SUBSTITUTE(LOWER(Registro!$E613),"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",LEN(Registro!$E613))),({1,2,3,4,5,6,7,8,9,10,11,12,13,14,15,16,17,18,19,20,21,22,23,24,25,26,27,28,29,30}-1)*LEN(Registro!$E613)+1,LEN(Registro!$E613)))&amp;"x")-1))),"Revisar formato")))</f>
        <v/>
      </c>
      <c r="E613" s="24" t="str">
        <f>IF(Registro!$E613="","",IF(ISERROR(FIND("x",LOWER(Registro!$E613))),"-",IFERROR(SUMPRODUCT(--("0"&amp;LEFT(TRIM(MID(SUBSTITUTE(SUBSTITUTE(SUBSTITUTE(SUBSTITUTE(SUBSTITUTE(LOWER(Registro!$E613),"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",LEN(Registro!$E613))),({1,2,3,4,5,6,7,8,9,10,11,12,13,14,15,16,17,18,19,20,21,22,23,24,25,26,27,28,29,30}-1)*LEN(Registro!$E613)+1,LEN(Registro!$E613))),FIND("x",TRIM(MID(SUBSTITUTE(SUBSTITUTE(SUBSTITUTE(SUBSTITUTE(SUBSTITUTE(LOWER(Registro!$E613),"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",LEN(Registro!$E613))),({1,2,3,4,5,6,7,8,9,10,11,12,13,14,15,16,17,18,19,20,21,22,23,24,25,26,27,28,29,30}-1)*LEN(Registro!$E613)+1,LEN(Registro!$E613)))&amp;"x")-1)),--("0"&amp;MID(TRIM(MID(SUBSTITUTE(SUBSTITUTE(SUBSTITUTE(SUBSTITUTE(SUBSTITUTE(LOWER(Registro!$E613),"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",LEN(Registro!$E613))),({1,2,3,4,5,6,7,8,9,10,11,12,13,14,15,16,17,18,19,20,21,22,23,24,25,26,27,28,29,30}-1)*LEN(Registro!$E613)+1,LEN(Registro!$E613))),FIND("x",TRIM(MID(SUBSTITUTE(SUBSTITUTE(SUBSTITUTE(SUBSTITUTE(SUBSTITUTE(LOWER(Registro!$E613),"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",LEN(Registro!$E613))),({1,2,3,4,5,6,7,8,9,10,11,12,13,14,15,16,17,18,19,20,21,22,23,24,25,26,27,28,29,30}-1)*LEN(Registro!$E613)+1,LEN(Registro!$E613)))&amp;"x")+1,20))),"Revisar formato")))</f>
        <v/>
      </c>
      <c r="F613" s="23" t="str">
        <f>IF(Registro!$F613="","",IF(ISERROR(FIND("x",LOWER(Registro!$F613))),"-",IFERROR(SUMPRODUCT(--("0"&amp;LEFT(TRIM(MID(SUBSTITUTE(SUBSTITUTE(SUBSTITUTE(SUBSTITUTE(SUBSTITUTE(LOWER(Registro!$F613)," ",""),CHAR(10),"|"),";","|"),"+","|"),"|",REPT(" ",LEN(Registro!$F613))),({1,2,3,4,5,6,7,8,9,10,11,12,13,14,15,16,17,18,19,20,21,22,23,24,25,26,27,28,29,30}-1)*LEN(Registro!$F613)+1,LEN(Registro!$F613))),FIND("x",TRIM(MID(SUBSTITUTE(SUBSTITUTE(SUBSTITUTE(SUBSTITUTE(SUBSTITUTE(LOWER(Registro!$F613)," ",""),CHAR(10),"|"),";","|"),"+","|"),"|",REPT(" ",LEN(Registro!$F613))),({1,2,3,4,5,6,7,8,9,10,11,12,13,14,15,16,17,18,19,20,21,22,23,24,25,26,27,28,29,30}-1)*LEN(Registro!$F613)+1,LEN(Registro!$F613)))&amp;"x")-1))),"Revisar formato")))</f>
        <v/>
      </c>
      <c r="G613" s="24" t="str">
        <f>IF(Registro!$F613="","",IF(ISERROR(FIND("x",LOWER(Registro!$F613))),N(Registro!$G613),IFERROR(SUMPRODUCT(--("0"&amp;LEFT(TRIM(MID(SUBSTITUTE(SUBSTITUTE(SUBSTITUTE(SUBSTITUTE(SUBSTITUTE(LOWER(Registro!$F613)," ",""),CHAR(10),"|"),";","|"),"+","|"),"|",REPT(" ",LEN(Registro!$F613))),({1,2,3,4,5,6,7,8,9,10,11,12,13,14,15,16,17,18,19,20,21,22,23,24,25,26,27,28,29,30}-1)*LEN(Registro!$F613)+1,LEN(Registro!$F613))),FIND("x",TRIM(MID(SUBSTITUTE(SUBSTITUTE(SUBSTITUTE(SUBSTITUTE(SUBSTITUTE(LOWER(Registro!$F613)," ",""),CHAR(10),"|"),";","|"),"+","|"),"|",REPT(" ",LEN(Registro!$F613))),({1,2,3,4,5,6,7,8,9,10,11,12,13,14,15,16,17,18,19,20,21,22,23,24,25,26,27,28,29,30}-1)*LEN(Registro!$F613)+1,LEN(Registro!$F613)))&amp;"x")-1)),--("0"&amp;MID(TRIM(MID(SUBSTITUTE(SUBSTITUTE(SUBSTITUTE(SUBSTITUTE(SUBSTITUTE(LOWER(Registro!$F613)," ",""),CHAR(10),"|"),";","|"),"+","|"),"|",REPT(" ",LEN(Registro!$F613))),({1,2,3,4,5,6,7,8,9,10,11,12,13,14,15,16,17,18,19,20,21,22,23,24,25,26,27,28,29,30}-1)*LEN(Registro!$F613)+1,LEN(Registro!$F613))),FIND("x",TRIM(MID(SUBSTITUTE(SUBSTITUTE(SUBSTITUTE(SUBSTITUTE(SUBSTITUTE(LOWER(Registro!$F613)," ",""),CHAR(10),"|"),";","|"),"+","|"),"|",REPT(" ",LEN(Registro!$F613))),({1,2,3,4,5,6,7,8,9,10,11,12,13,14,15,16,17,18,19,20,21,22,23,24,25,26,27,28,29,30}-1)*LEN(Registro!$F613)+1,LEN(Registro!$F613)))&amp;"x")+1,20))),"Revisar formato")))</f>
        <v/>
      </c>
      <c r="H613" s="21" t="str">
        <f>IF(AND(Registro!$E613="",Registro!$F613=""),"",IF(NOT(AND(ISNUMBER(G613),ISNUMBER(Registro!$G613))),"",IF(G613&lt;Registro!$G613,"FALTA BOLETOS",IF(G613=Registro!$G613,"CONFORME","DIFERENCIA"))))</f>
        <v/>
      </c>
      <c r="I613" s="24" t="str">
        <f>IF(Registro!$H613="","",IFERROR(SUMPRODUCT(--("0"&amp;TRIM(RIGHT(SUBSTITUTE(TRIM(MID(SUBSTITUTE(SUBSTITUTE(Registro!$H613,";",CHAR(10)),CHAR(10),REPT(" ",LEN(Registro!$H613))),({1,2,3,4,5,6,7,8,9,10,11,12,13,14,15,16,17,18,19,20,21,22,23,24,25,26,27,28,29,30}-1)*LEN(Registro!$H613)+1,LEN(Registro!$H613)))," ",REPT(" ",50)),50)))),"Revisar formato"))</f>
        <v/>
      </c>
      <c r="J613" s="24" t="str">
        <f>IF(Registro!$I613="","",IFERROR(SUMPRODUCT(--("0"&amp;TRIM(RIGHT(SUBSTITUTE(TRIM(MID(SUBSTITUTE(SUBSTITUTE(Registro!$I613,";",CHAR(10)),CHAR(10),REPT(" ",LEN(Registro!$I613))),({1,2,3,4,5,6,7,8,9,10,11,12,13,14,15,16,17,18,19,20,21,22,23,24,25,26,27,28,29,30}-1)*LEN(Registro!$I613)+1,LEN(Registro!$I613)))," ",REPT(" ",50)),50)))),"Revisar formato"))</f>
        <v/>
      </c>
      <c r="K613" s="24" t="str">
        <f>IF(AND(Registro!$G613="",Registro!$H613=""),"",IF(AND(ISTEXT(I613),I613&lt;&gt;""),"Revisar formato",N(Registro!$G613)-N(I613)))</f>
        <v/>
      </c>
      <c r="L613" s="24" t="str">
        <f t="shared" si="19"/>
        <v/>
      </c>
      <c r="M613" s="36" t="str">
        <f>IF(AND(A613=Consulta!$B$3,C613=Consulta!$H$3),B613*10000+ROW(),"")</f>
        <v/>
      </c>
    </row>
    <row r="614" spans="1:13" x14ac:dyDescent="0.25">
      <c r="A614" s="21" t="str">
        <f>IF(Registro!$A614="","",Registro!$A614)</f>
        <v/>
      </c>
      <c r="B614" s="20" t="str">
        <f>IF(Registro!$B614="","",Registro!$B614)</f>
        <v/>
      </c>
      <c r="C614" s="35" t="str">
        <f t="shared" si="18"/>
        <v/>
      </c>
      <c r="D614" s="23" t="str">
        <f>IF(Registro!$E614="","",IF(ISERROR(FIND("x",LOWER(Registro!$E614))),"-",IFERROR(SUMPRODUCT(--("0"&amp;LEFT(TRIM(MID(SUBSTITUTE(SUBSTITUTE(SUBSTITUTE(SUBSTITUTE(SUBSTITUTE(LOWER(Registro!$E614),"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",LEN(Registro!$E614))),({1,2,3,4,5,6,7,8,9,10,11,12,13,14,15,16,17,18,19,20,21,22,23,24,25,26,27,28,29,30}-1)*LEN(Registro!$E614)+1,LEN(Registro!$E614))),FIND("x",TRIM(MID(SUBSTITUTE(SUBSTITUTE(SUBSTITUTE(SUBSTITUTE(SUBSTITUTE(LOWER(Registro!$E614),"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",LEN(Registro!$E614))),({1,2,3,4,5,6,7,8,9,10,11,12,13,14,15,16,17,18,19,20,21,22,23,24,25,26,27,28,29,30}-1)*LEN(Registro!$E614)+1,LEN(Registro!$E614)))&amp;"x")-1))),"Revisar formato")))</f>
        <v/>
      </c>
      <c r="E614" s="24" t="str">
        <f>IF(Registro!$E614="","",IF(ISERROR(FIND("x",LOWER(Registro!$E614))),"-",IFERROR(SUMPRODUCT(--("0"&amp;LEFT(TRIM(MID(SUBSTITUTE(SUBSTITUTE(SUBSTITUTE(SUBSTITUTE(SUBSTITUTE(LOWER(Registro!$E614),"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",LEN(Registro!$E614))),({1,2,3,4,5,6,7,8,9,10,11,12,13,14,15,16,17,18,19,20,21,22,23,24,25,26,27,28,29,30}-1)*LEN(Registro!$E614)+1,LEN(Registro!$E614))),FIND("x",TRIM(MID(SUBSTITUTE(SUBSTITUTE(SUBSTITUTE(SUBSTITUTE(SUBSTITUTE(LOWER(Registro!$E614),"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",LEN(Registro!$E614))),({1,2,3,4,5,6,7,8,9,10,11,12,13,14,15,16,17,18,19,20,21,22,23,24,25,26,27,28,29,30}-1)*LEN(Registro!$E614)+1,LEN(Registro!$E614)))&amp;"x")-1)),--("0"&amp;MID(TRIM(MID(SUBSTITUTE(SUBSTITUTE(SUBSTITUTE(SUBSTITUTE(SUBSTITUTE(LOWER(Registro!$E614),"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",LEN(Registro!$E614))),({1,2,3,4,5,6,7,8,9,10,11,12,13,14,15,16,17,18,19,20,21,22,23,24,25,26,27,28,29,30}-1)*LEN(Registro!$E614)+1,LEN(Registro!$E614))),FIND("x",TRIM(MID(SUBSTITUTE(SUBSTITUTE(SUBSTITUTE(SUBSTITUTE(SUBSTITUTE(LOWER(Registro!$E614),"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",LEN(Registro!$E614))),({1,2,3,4,5,6,7,8,9,10,11,12,13,14,15,16,17,18,19,20,21,22,23,24,25,26,27,28,29,30}-1)*LEN(Registro!$E614)+1,LEN(Registro!$E614)))&amp;"x")+1,20))),"Revisar formato")))</f>
        <v/>
      </c>
      <c r="F614" s="23" t="str">
        <f>IF(Registro!$F614="","",IF(ISERROR(FIND("x",LOWER(Registro!$F614))),"-",IFERROR(SUMPRODUCT(--("0"&amp;LEFT(TRIM(MID(SUBSTITUTE(SUBSTITUTE(SUBSTITUTE(SUBSTITUTE(SUBSTITUTE(LOWER(Registro!$F614)," ",""),CHAR(10),"|"),";","|"),"+","|"),"|",REPT(" ",LEN(Registro!$F614))),({1,2,3,4,5,6,7,8,9,10,11,12,13,14,15,16,17,18,19,20,21,22,23,24,25,26,27,28,29,30}-1)*LEN(Registro!$F614)+1,LEN(Registro!$F614))),FIND("x",TRIM(MID(SUBSTITUTE(SUBSTITUTE(SUBSTITUTE(SUBSTITUTE(SUBSTITUTE(LOWER(Registro!$F614)," ",""),CHAR(10),"|"),";","|"),"+","|"),"|",REPT(" ",LEN(Registro!$F614))),({1,2,3,4,5,6,7,8,9,10,11,12,13,14,15,16,17,18,19,20,21,22,23,24,25,26,27,28,29,30}-1)*LEN(Registro!$F614)+1,LEN(Registro!$F614)))&amp;"x")-1))),"Revisar formato")))</f>
        <v/>
      </c>
      <c r="G614" s="24" t="str">
        <f>IF(Registro!$F614="","",IF(ISERROR(FIND("x",LOWER(Registro!$F614))),N(Registro!$G614),IFERROR(SUMPRODUCT(--("0"&amp;LEFT(TRIM(MID(SUBSTITUTE(SUBSTITUTE(SUBSTITUTE(SUBSTITUTE(SUBSTITUTE(LOWER(Registro!$F614)," ",""),CHAR(10),"|"),";","|"),"+","|"),"|",REPT(" ",LEN(Registro!$F614))),({1,2,3,4,5,6,7,8,9,10,11,12,13,14,15,16,17,18,19,20,21,22,23,24,25,26,27,28,29,30}-1)*LEN(Registro!$F614)+1,LEN(Registro!$F614))),FIND("x",TRIM(MID(SUBSTITUTE(SUBSTITUTE(SUBSTITUTE(SUBSTITUTE(SUBSTITUTE(LOWER(Registro!$F614)," ",""),CHAR(10),"|"),";","|"),"+","|"),"|",REPT(" ",LEN(Registro!$F614))),({1,2,3,4,5,6,7,8,9,10,11,12,13,14,15,16,17,18,19,20,21,22,23,24,25,26,27,28,29,30}-1)*LEN(Registro!$F614)+1,LEN(Registro!$F614)))&amp;"x")-1)),--("0"&amp;MID(TRIM(MID(SUBSTITUTE(SUBSTITUTE(SUBSTITUTE(SUBSTITUTE(SUBSTITUTE(LOWER(Registro!$F614)," ",""),CHAR(10),"|"),";","|"),"+","|"),"|",REPT(" ",LEN(Registro!$F614))),({1,2,3,4,5,6,7,8,9,10,11,12,13,14,15,16,17,18,19,20,21,22,23,24,25,26,27,28,29,30}-1)*LEN(Registro!$F614)+1,LEN(Registro!$F614))),FIND("x",TRIM(MID(SUBSTITUTE(SUBSTITUTE(SUBSTITUTE(SUBSTITUTE(SUBSTITUTE(LOWER(Registro!$F614)," ",""),CHAR(10),"|"),";","|"),"+","|"),"|",REPT(" ",LEN(Registro!$F614))),({1,2,3,4,5,6,7,8,9,10,11,12,13,14,15,16,17,18,19,20,21,22,23,24,25,26,27,28,29,30}-1)*LEN(Registro!$F614)+1,LEN(Registro!$F614)))&amp;"x")+1,20))),"Revisar formato")))</f>
        <v/>
      </c>
      <c r="H614" s="21" t="str">
        <f>IF(AND(Registro!$E614="",Registro!$F614=""),"",IF(NOT(AND(ISNUMBER(G614),ISNUMBER(Registro!$G614))),"",IF(G614&lt;Registro!$G614,"FALTA BOLETOS",IF(G614=Registro!$G614,"CONFORME","DIFERENCIA"))))</f>
        <v/>
      </c>
      <c r="I614" s="24" t="str">
        <f>IF(Registro!$H614="","",IFERROR(SUMPRODUCT(--("0"&amp;TRIM(RIGHT(SUBSTITUTE(TRIM(MID(SUBSTITUTE(SUBSTITUTE(Registro!$H614,";",CHAR(10)),CHAR(10),REPT(" ",LEN(Registro!$H614))),({1,2,3,4,5,6,7,8,9,10,11,12,13,14,15,16,17,18,19,20,21,22,23,24,25,26,27,28,29,30}-1)*LEN(Registro!$H614)+1,LEN(Registro!$H614)))," ",REPT(" ",50)),50)))),"Revisar formato"))</f>
        <v/>
      </c>
      <c r="J614" s="24" t="str">
        <f>IF(Registro!$I614="","",IFERROR(SUMPRODUCT(--("0"&amp;TRIM(RIGHT(SUBSTITUTE(TRIM(MID(SUBSTITUTE(SUBSTITUTE(Registro!$I614,";",CHAR(10)),CHAR(10),REPT(" ",LEN(Registro!$I614))),({1,2,3,4,5,6,7,8,9,10,11,12,13,14,15,16,17,18,19,20,21,22,23,24,25,26,27,28,29,30}-1)*LEN(Registro!$I614)+1,LEN(Registro!$I614)))," ",REPT(" ",50)),50)))),"Revisar formato"))</f>
        <v/>
      </c>
      <c r="K614" s="24" t="str">
        <f>IF(AND(Registro!$G614="",Registro!$H614=""),"",IF(AND(ISTEXT(I614),I614&lt;&gt;""),"Revisar formato",N(Registro!$G614)-N(I614)))</f>
        <v/>
      </c>
      <c r="L614" s="24" t="str">
        <f t="shared" si="19"/>
        <v/>
      </c>
      <c r="M614" s="36" t="str">
        <f>IF(AND(A614=Consulta!$B$3,C614=Consulta!$H$3),B614*10000+ROW(),"")</f>
        <v/>
      </c>
    </row>
    <row r="615" spans="1:13" x14ac:dyDescent="0.25">
      <c r="A615" s="21" t="str">
        <f>IF(Registro!$A615="","",Registro!$A615)</f>
        <v/>
      </c>
      <c r="B615" s="20" t="str">
        <f>IF(Registro!$B615="","",Registro!$B615)</f>
        <v/>
      </c>
      <c r="C615" s="35" t="str">
        <f t="shared" si="18"/>
        <v/>
      </c>
      <c r="D615" s="23" t="str">
        <f>IF(Registro!$E615="","",IF(ISERROR(FIND("x",LOWER(Registro!$E615))),"-",IFERROR(SUMPRODUCT(--("0"&amp;LEFT(TRIM(MID(SUBSTITUTE(SUBSTITUTE(SUBSTITUTE(SUBSTITUTE(SUBSTITUTE(LOWER(Registro!$E615),"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",LEN(Registro!$E615))),({1,2,3,4,5,6,7,8,9,10,11,12,13,14,15,16,17,18,19,20,21,22,23,24,25,26,27,28,29,30}-1)*LEN(Registro!$E615)+1,LEN(Registro!$E615))),FIND("x",TRIM(MID(SUBSTITUTE(SUBSTITUTE(SUBSTITUTE(SUBSTITUTE(SUBSTITUTE(LOWER(Registro!$E615),"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",LEN(Registro!$E615))),({1,2,3,4,5,6,7,8,9,10,11,12,13,14,15,16,17,18,19,20,21,22,23,24,25,26,27,28,29,30}-1)*LEN(Registro!$E615)+1,LEN(Registro!$E615)))&amp;"x")-1))),"Revisar formato")))</f>
        <v/>
      </c>
      <c r="E615" s="24" t="str">
        <f>IF(Registro!$E615="","",IF(ISERROR(FIND("x",LOWER(Registro!$E615))),"-",IFERROR(SUMPRODUCT(--("0"&amp;LEFT(TRIM(MID(SUBSTITUTE(SUBSTITUTE(SUBSTITUTE(SUBSTITUTE(SUBSTITUTE(LOWER(Registro!$E615),"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",LEN(Registro!$E615))),({1,2,3,4,5,6,7,8,9,10,11,12,13,14,15,16,17,18,19,20,21,22,23,24,25,26,27,28,29,30}-1)*LEN(Registro!$E615)+1,LEN(Registro!$E615))),FIND("x",TRIM(MID(SUBSTITUTE(SUBSTITUTE(SUBSTITUTE(SUBSTITUTE(SUBSTITUTE(LOWER(Registro!$E615),"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",LEN(Registro!$E615))),({1,2,3,4,5,6,7,8,9,10,11,12,13,14,15,16,17,18,19,20,21,22,23,24,25,26,27,28,29,30}-1)*LEN(Registro!$E615)+1,LEN(Registro!$E615)))&amp;"x")-1)),--("0"&amp;MID(TRIM(MID(SUBSTITUTE(SUBSTITUTE(SUBSTITUTE(SUBSTITUTE(SUBSTITUTE(LOWER(Registro!$E615),"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",LEN(Registro!$E615))),({1,2,3,4,5,6,7,8,9,10,11,12,13,14,15,16,17,18,19,20,21,22,23,24,25,26,27,28,29,30}-1)*LEN(Registro!$E615)+1,LEN(Registro!$E615))),FIND("x",TRIM(MID(SUBSTITUTE(SUBSTITUTE(SUBSTITUTE(SUBSTITUTE(SUBSTITUTE(LOWER(Registro!$E615),"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",LEN(Registro!$E615))),({1,2,3,4,5,6,7,8,9,10,11,12,13,14,15,16,17,18,19,20,21,22,23,24,25,26,27,28,29,30}-1)*LEN(Registro!$E615)+1,LEN(Registro!$E615)))&amp;"x")+1,20))),"Revisar formato")))</f>
        <v/>
      </c>
      <c r="F615" s="23" t="str">
        <f>IF(Registro!$F615="","",IF(ISERROR(FIND("x",LOWER(Registro!$F615))),"-",IFERROR(SUMPRODUCT(--("0"&amp;LEFT(TRIM(MID(SUBSTITUTE(SUBSTITUTE(SUBSTITUTE(SUBSTITUTE(SUBSTITUTE(LOWER(Registro!$F615)," ",""),CHAR(10),"|"),";","|"),"+","|"),"|",REPT(" ",LEN(Registro!$F615))),({1,2,3,4,5,6,7,8,9,10,11,12,13,14,15,16,17,18,19,20,21,22,23,24,25,26,27,28,29,30}-1)*LEN(Registro!$F615)+1,LEN(Registro!$F615))),FIND("x",TRIM(MID(SUBSTITUTE(SUBSTITUTE(SUBSTITUTE(SUBSTITUTE(SUBSTITUTE(LOWER(Registro!$F615)," ",""),CHAR(10),"|"),";","|"),"+","|"),"|",REPT(" ",LEN(Registro!$F615))),({1,2,3,4,5,6,7,8,9,10,11,12,13,14,15,16,17,18,19,20,21,22,23,24,25,26,27,28,29,30}-1)*LEN(Registro!$F615)+1,LEN(Registro!$F615)))&amp;"x")-1))),"Revisar formato")))</f>
        <v/>
      </c>
      <c r="G615" s="24" t="str">
        <f>IF(Registro!$F615="","",IF(ISERROR(FIND("x",LOWER(Registro!$F615))),N(Registro!$G615),IFERROR(SUMPRODUCT(--("0"&amp;LEFT(TRIM(MID(SUBSTITUTE(SUBSTITUTE(SUBSTITUTE(SUBSTITUTE(SUBSTITUTE(LOWER(Registro!$F615)," ",""),CHAR(10),"|"),";","|"),"+","|"),"|",REPT(" ",LEN(Registro!$F615))),({1,2,3,4,5,6,7,8,9,10,11,12,13,14,15,16,17,18,19,20,21,22,23,24,25,26,27,28,29,30}-1)*LEN(Registro!$F615)+1,LEN(Registro!$F615))),FIND("x",TRIM(MID(SUBSTITUTE(SUBSTITUTE(SUBSTITUTE(SUBSTITUTE(SUBSTITUTE(LOWER(Registro!$F615)," ",""),CHAR(10),"|"),";","|"),"+","|"),"|",REPT(" ",LEN(Registro!$F615))),({1,2,3,4,5,6,7,8,9,10,11,12,13,14,15,16,17,18,19,20,21,22,23,24,25,26,27,28,29,30}-1)*LEN(Registro!$F615)+1,LEN(Registro!$F615)))&amp;"x")-1)),--("0"&amp;MID(TRIM(MID(SUBSTITUTE(SUBSTITUTE(SUBSTITUTE(SUBSTITUTE(SUBSTITUTE(LOWER(Registro!$F615)," ",""),CHAR(10),"|"),";","|"),"+","|"),"|",REPT(" ",LEN(Registro!$F615))),({1,2,3,4,5,6,7,8,9,10,11,12,13,14,15,16,17,18,19,20,21,22,23,24,25,26,27,28,29,30}-1)*LEN(Registro!$F615)+1,LEN(Registro!$F615))),FIND("x",TRIM(MID(SUBSTITUTE(SUBSTITUTE(SUBSTITUTE(SUBSTITUTE(SUBSTITUTE(LOWER(Registro!$F615)," ",""),CHAR(10),"|"),";","|"),"+","|"),"|",REPT(" ",LEN(Registro!$F615))),({1,2,3,4,5,6,7,8,9,10,11,12,13,14,15,16,17,18,19,20,21,22,23,24,25,26,27,28,29,30}-1)*LEN(Registro!$F615)+1,LEN(Registro!$F615)))&amp;"x")+1,20))),"Revisar formato")))</f>
        <v/>
      </c>
      <c r="H615" s="21" t="str">
        <f>IF(AND(Registro!$E615="",Registro!$F615=""),"",IF(NOT(AND(ISNUMBER(G615),ISNUMBER(Registro!$G615))),"",IF(G615&lt;Registro!$G615,"FALTA BOLETOS",IF(G615=Registro!$G615,"CONFORME","DIFERENCIA"))))</f>
        <v/>
      </c>
      <c r="I615" s="24" t="str">
        <f>IF(Registro!$H615="","",IFERROR(SUMPRODUCT(--("0"&amp;TRIM(RIGHT(SUBSTITUTE(TRIM(MID(SUBSTITUTE(SUBSTITUTE(Registro!$H615,";",CHAR(10)),CHAR(10),REPT(" ",LEN(Registro!$H615))),({1,2,3,4,5,6,7,8,9,10,11,12,13,14,15,16,17,18,19,20,21,22,23,24,25,26,27,28,29,30}-1)*LEN(Registro!$H615)+1,LEN(Registro!$H615)))," ",REPT(" ",50)),50)))),"Revisar formato"))</f>
        <v/>
      </c>
      <c r="J615" s="24" t="str">
        <f>IF(Registro!$I615="","",IFERROR(SUMPRODUCT(--("0"&amp;TRIM(RIGHT(SUBSTITUTE(TRIM(MID(SUBSTITUTE(SUBSTITUTE(Registro!$I615,";",CHAR(10)),CHAR(10),REPT(" ",LEN(Registro!$I615))),({1,2,3,4,5,6,7,8,9,10,11,12,13,14,15,16,17,18,19,20,21,22,23,24,25,26,27,28,29,30}-1)*LEN(Registro!$I615)+1,LEN(Registro!$I615)))," ",REPT(" ",50)),50)))),"Revisar formato"))</f>
        <v/>
      </c>
      <c r="K615" s="24" t="str">
        <f>IF(AND(Registro!$G615="",Registro!$H615=""),"",IF(AND(ISTEXT(I615),I615&lt;&gt;""),"Revisar formato",N(Registro!$G615)-N(I615)))</f>
        <v/>
      </c>
      <c r="L615" s="24" t="str">
        <f t="shared" si="19"/>
        <v/>
      </c>
      <c r="M615" s="36" t="str">
        <f>IF(AND(A615=Consulta!$B$3,C615=Consulta!$H$3),B615*10000+ROW(),"")</f>
        <v/>
      </c>
    </row>
    <row r="616" spans="1:13" x14ac:dyDescent="0.25">
      <c r="A616" s="21" t="str">
        <f>IF(Registro!$A616="","",Registro!$A616)</f>
        <v/>
      </c>
      <c r="B616" s="20" t="str">
        <f>IF(Registro!$B616="","",Registro!$B616)</f>
        <v/>
      </c>
      <c r="C616" s="35" t="str">
        <f t="shared" si="18"/>
        <v/>
      </c>
      <c r="D616" s="23" t="str">
        <f>IF(Registro!$E616="","",IF(ISERROR(FIND("x",LOWER(Registro!$E616))),"-",IFERROR(SUMPRODUCT(--("0"&amp;LEFT(TRIM(MID(SUBSTITUTE(SUBSTITUTE(SUBSTITUTE(SUBSTITUTE(SUBSTITUTE(LOWER(Registro!$E616),"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",LEN(Registro!$E616))),({1,2,3,4,5,6,7,8,9,10,11,12,13,14,15,16,17,18,19,20,21,22,23,24,25,26,27,28,29,30}-1)*LEN(Registro!$E616)+1,LEN(Registro!$E616))),FIND("x",TRIM(MID(SUBSTITUTE(SUBSTITUTE(SUBSTITUTE(SUBSTITUTE(SUBSTITUTE(LOWER(Registro!$E616),"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",LEN(Registro!$E616))),({1,2,3,4,5,6,7,8,9,10,11,12,13,14,15,16,17,18,19,20,21,22,23,24,25,26,27,28,29,30}-1)*LEN(Registro!$E616)+1,LEN(Registro!$E616)))&amp;"x")-1))),"Revisar formato")))</f>
        <v/>
      </c>
      <c r="E616" s="24" t="str">
        <f>IF(Registro!$E616="","",IF(ISERROR(FIND("x",LOWER(Registro!$E616))),"-",IFERROR(SUMPRODUCT(--("0"&amp;LEFT(TRIM(MID(SUBSTITUTE(SUBSTITUTE(SUBSTITUTE(SUBSTITUTE(SUBSTITUTE(LOWER(Registro!$E616),"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",LEN(Registro!$E616))),({1,2,3,4,5,6,7,8,9,10,11,12,13,14,15,16,17,18,19,20,21,22,23,24,25,26,27,28,29,30}-1)*LEN(Registro!$E616)+1,LEN(Registro!$E616))),FIND("x",TRIM(MID(SUBSTITUTE(SUBSTITUTE(SUBSTITUTE(SUBSTITUTE(SUBSTITUTE(LOWER(Registro!$E616),"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",LEN(Registro!$E616))),({1,2,3,4,5,6,7,8,9,10,11,12,13,14,15,16,17,18,19,20,21,22,23,24,25,26,27,28,29,30}-1)*LEN(Registro!$E616)+1,LEN(Registro!$E616)))&amp;"x")-1)),--("0"&amp;MID(TRIM(MID(SUBSTITUTE(SUBSTITUTE(SUBSTITUTE(SUBSTITUTE(SUBSTITUTE(LOWER(Registro!$E616),"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",LEN(Registro!$E616))),({1,2,3,4,5,6,7,8,9,10,11,12,13,14,15,16,17,18,19,20,21,22,23,24,25,26,27,28,29,30}-1)*LEN(Registro!$E616)+1,LEN(Registro!$E616))),FIND("x",TRIM(MID(SUBSTITUTE(SUBSTITUTE(SUBSTITUTE(SUBSTITUTE(SUBSTITUTE(LOWER(Registro!$E616),"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",LEN(Registro!$E616))),({1,2,3,4,5,6,7,8,9,10,11,12,13,14,15,16,17,18,19,20,21,22,23,24,25,26,27,28,29,30}-1)*LEN(Registro!$E616)+1,LEN(Registro!$E616)))&amp;"x")+1,20))),"Revisar formato")))</f>
        <v/>
      </c>
      <c r="F616" s="23" t="str">
        <f>IF(Registro!$F616="","",IF(ISERROR(FIND("x",LOWER(Registro!$F616))),"-",IFERROR(SUMPRODUCT(--("0"&amp;LEFT(TRIM(MID(SUBSTITUTE(SUBSTITUTE(SUBSTITUTE(SUBSTITUTE(SUBSTITUTE(LOWER(Registro!$F616)," ",""),CHAR(10),"|"),";","|"),"+","|"),"|",REPT(" ",LEN(Registro!$F616))),({1,2,3,4,5,6,7,8,9,10,11,12,13,14,15,16,17,18,19,20,21,22,23,24,25,26,27,28,29,30}-1)*LEN(Registro!$F616)+1,LEN(Registro!$F616))),FIND("x",TRIM(MID(SUBSTITUTE(SUBSTITUTE(SUBSTITUTE(SUBSTITUTE(SUBSTITUTE(LOWER(Registro!$F616)," ",""),CHAR(10),"|"),";","|"),"+","|"),"|",REPT(" ",LEN(Registro!$F616))),({1,2,3,4,5,6,7,8,9,10,11,12,13,14,15,16,17,18,19,20,21,22,23,24,25,26,27,28,29,30}-1)*LEN(Registro!$F616)+1,LEN(Registro!$F616)))&amp;"x")-1))),"Revisar formato")))</f>
        <v/>
      </c>
      <c r="G616" s="24" t="str">
        <f>IF(Registro!$F616="","",IF(ISERROR(FIND("x",LOWER(Registro!$F616))),N(Registro!$G616),IFERROR(SUMPRODUCT(--("0"&amp;LEFT(TRIM(MID(SUBSTITUTE(SUBSTITUTE(SUBSTITUTE(SUBSTITUTE(SUBSTITUTE(LOWER(Registro!$F616)," ",""),CHAR(10),"|"),";","|"),"+","|"),"|",REPT(" ",LEN(Registro!$F616))),({1,2,3,4,5,6,7,8,9,10,11,12,13,14,15,16,17,18,19,20,21,22,23,24,25,26,27,28,29,30}-1)*LEN(Registro!$F616)+1,LEN(Registro!$F616))),FIND("x",TRIM(MID(SUBSTITUTE(SUBSTITUTE(SUBSTITUTE(SUBSTITUTE(SUBSTITUTE(LOWER(Registro!$F616)," ",""),CHAR(10),"|"),";","|"),"+","|"),"|",REPT(" ",LEN(Registro!$F616))),({1,2,3,4,5,6,7,8,9,10,11,12,13,14,15,16,17,18,19,20,21,22,23,24,25,26,27,28,29,30}-1)*LEN(Registro!$F616)+1,LEN(Registro!$F616)))&amp;"x")-1)),--("0"&amp;MID(TRIM(MID(SUBSTITUTE(SUBSTITUTE(SUBSTITUTE(SUBSTITUTE(SUBSTITUTE(LOWER(Registro!$F616)," ",""),CHAR(10),"|"),";","|"),"+","|"),"|",REPT(" ",LEN(Registro!$F616))),({1,2,3,4,5,6,7,8,9,10,11,12,13,14,15,16,17,18,19,20,21,22,23,24,25,26,27,28,29,30}-1)*LEN(Registro!$F616)+1,LEN(Registro!$F616))),FIND("x",TRIM(MID(SUBSTITUTE(SUBSTITUTE(SUBSTITUTE(SUBSTITUTE(SUBSTITUTE(LOWER(Registro!$F616)," ",""),CHAR(10),"|"),";","|"),"+","|"),"|",REPT(" ",LEN(Registro!$F616))),({1,2,3,4,5,6,7,8,9,10,11,12,13,14,15,16,17,18,19,20,21,22,23,24,25,26,27,28,29,30}-1)*LEN(Registro!$F616)+1,LEN(Registro!$F616)))&amp;"x")+1,20))),"Revisar formato")))</f>
        <v/>
      </c>
      <c r="H616" s="21" t="str">
        <f>IF(AND(Registro!$E616="",Registro!$F616=""),"",IF(NOT(AND(ISNUMBER(G616),ISNUMBER(Registro!$G616))),"",IF(G616&lt;Registro!$G616,"FALTA BOLETOS",IF(G616=Registro!$G616,"CONFORME","DIFERENCIA"))))</f>
        <v/>
      </c>
      <c r="I616" s="24" t="str">
        <f>IF(Registro!$H616="","",IFERROR(SUMPRODUCT(--("0"&amp;TRIM(RIGHT(SUBSTITUTE(TRIM(MID(SUBSTITUTE(SUBSTITUTE(Registro!$H616,";",CHAR(10)),CHAR(10),REPT(" ",LEN(Registro!$H616))),({1,2,3,4,5,6,7,8,9,10,11,12,13,14,15,16,17,18,19,20,21,22,23,24,25,26,27,28,29,30}-1)*LEN(Registro!$H616)+1,LEN(Registro!$H616)))," ",REPT(" ",50)),50)))),"Revisar formato"))</f>
        <v/>
      </c>
      <c r="J616" s="24" t="str">
        <f>IF(Registro!$I616="","",IFERROR(SUMPRODUCT(--("0"&amp;TRIM(RIGHT(SUBSTITUTE(TRIM(MID(SUBSTITUTE(SUBSTITUTE(Registro!$I616,";",CHAR(10)),CHAR(10),REPT(" ",LEN(Registro!$I616))),({1,2,3,4,5,6,7,8,9,10,11,12,13,14,15,16,17,18,19,20,21,22,23,24,25,26,27,28,29,30}-1)*LEN(Registro!$I616)+1,LEN(Registro!$I616)))," ",REPT(" ",50)),50)))),"Revisar formato"))</f>
        <v/>
      </c>
      <c r="K616" s="24" t="str">
        <f>IF(AND(Registro!$G616="",Registro!$H616=""),"",IF(AND(ISTEXT(I616),I616&lt;&gt;""),"Revisar formato",N(Registro!$G616)-N(I616)))</f>
        <v/>
      </c>
      <c r="L616" s="24" t="str">
        <f t="shared" si="19"/>
        <v/>
      </c>
      <c r="M616" s="36" t="str">
        <f>IF(AND(A616=Consulta!$B$3,C616=Consulta!$H$3),B616*10000+ROW(),"")</f>
        <v/>
      </c>
    </row>
    <row r="617" spans="1:13" x14ac:dyDescent="0.25">
      <c r="A617" s="21" t="str">
        <f>IF(Registro!$A617="","",Registro!$A617)</f>
        <v/>
      </c>
      <c r="B617" s="20" t="str">
        <f>IF(Registro!$B617="","",Registro!$B617)</f>
        <v/>
      </c>
      <c r="C617" s="35" t="str">
        <f t="shared" si="18"/>
        <v/>
      </c>
      <c r="D617" s="23" t="str">
        <f>IF(Registro!$E617="","",IF(ISERROR(FIND("x",LOWER(Registro!$E617))),"-",IFERROR(SUMPRODUCT(--("0"&amp;LEFT(TRIM(MID(SUBSTITUTE(SUBSTITUTE(SUBSTITUTE(SUBSTITUTE(SUBSTITUTE(LOWER(Registro!$E617),"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",LEN(Registro!$E617))),({1,2,3,4,5,6,7,8,9,10,11,12,13,14,15,16,17,18,19,20,21,22,23,24,25,26,27,28,29,30}-1)*LEN(Registro!$E617)+1,LEN(Registro!$E617))),FIND("x",TRIM(MID(SUBSTITUTE(SUBSTITUTE(SUBSTITUTE(SUBSTITUTE(SUBSTITUTE(LOWER(Registro!$E617),"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",LEN(Registro!$E617))),({1,2,3,4,5,6,7,8,9,10,11,12,13,14,15,16,17,18,19,20,21,22,23,24,25,26,27,28,29,30}-1)*LEN(Registro!$E617)+1,LEN(Registro!$E617)))&amp;"x")-1))),"Revisar formato")))</f>
        <v/>
      </c>
      <c r="E617" s="24" t="str">
        <f>IF(Registro!$E617="","",IF(ISERROR(FIND("x",LOWER(Registro!$E617))),"-",IFERROR(SUMPRODUCT(--("0"&amp;LEFT(TRIM(MID(SUBSTITUTE(SUBSTITUTE(SUBSTITUTE(SUBSTITUTE(SUBSTITUTE(LOWER(Registro!$E617),"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",LEN(Registro!$E617))),({1,2,3,4,5,6,7,8,9,10,11,12,13,14,15,16,17,18,19,20,21,22,23,24,25,26,27,28,29,30}-1)*LEN(Registro!$E617)+1,LEN(Registro!$E617))),FIND("x",TRIM(MID(SUBSTITUTE(SUBSTITUTE(SUBSTITUTE(SUBSTITUTE(SUBSTITUTE(LOWER(Registro!$E617),"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",LEN(Registro!$E617))),({1,2,3,4,5,6,7,8,9,10,11,12,13,14,15,16,17,18,19,20,21,22,23,24,25,26,27,28,29,30}-1)*LEN(Registro!$E617)+1,LEN(Registro!$E617)))&amp;"x")-1)),--("0"&amp;MID(TRIM(MID(SUBSTITUTE(SUBSTITUTE(SUBSTITUTE(SUBSTITUTE(SUBSTITUTE(LOWER(Registro!$E617),"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",LEN(Registro!$E617))),({1,2,3,4,5,6,7,8,9,10,11,12,13,14,15,16,17,18,19,20,21,22,23,24,25,26,27,28,29,30}-1)*LEN(Registro!$E617)+1,LEN(Registro!$E617))),FIND("x",TRIM(MID(SUBSTITUTE(SUBSTITUTE(SUBSTITUTE(SUBSTITUTE(SUBSTITUTE(LOWER(Registro!$E617),"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",LEN(Registro!$E617))),({1,2,3,4,5,6,7,8,9,10,11,12,13,14,15,16,17,18,19,20,21,22,23,24,25,26,27,28,29,30}-1)*LEN(Registro!$E617)+1,LEN(Registro!$E617)))&amp;"x")+1,20))),"Revisar formato")))</f>
        <v/>
      </c>
      <c r="F617" s="23" t="str">
        <f>IF(Registro!$F617="","",IF(ISERROR(FIND("x",LOWER(Registro!$F617))),"-",IFERROR(SUMPRODUCT(--("0"&amp;LEFT(TRIM(MID(SUBSTITUTE(SUBSTITUTE(SUBSTITUTE(SUBSTITUTE(SUBSTITUTE(LOWER(Registro!$F617)," ",""),CHAR(10),"|"),";","|"),"+","|"),"|",REPT(" ",LEN(Registro!$F617))),({1,2,3,4,5,6,7,8,9,10,11,12,13,14,15,16,17,18,19,20,21,22,23,24,25,26,27,28,29,30}-1)*LEN(Registro!$F617)+1,LEN(Registro!$F617))),FIND("x",TRIM(MID(SUBSTITUTE(SUBSTITUTE(SUBSTITUTE(SUBSTITUTE(SUBSTITUTE(LOWER(Registro!$F617)," ",""),CHAR(10),"|"),";","|"),"+","|"),"|",REPT(" ",LEN(Registro!$F617))),({1,2,3,4,5,6,7,8,9,10,11,12,13,14,15,16,17,18,19,20,21,22,23,24,25,26,27,28,29,30}-1)*LEN(Registro!$F617)+1,LEN(Registro!$F617)))&amp;"x")-1))),"Revisar formato")))</f>
        <v/>
      </c>
      <c r="G617" s="24" t="str">
        <f>IF(Registro!$F617="","",IF(ISERROR(FIND("x",LOWER(Registro!$F617))),N(Registro!$G617),IFERROR(SUMPRODUCT(--("0"&amp;LEFT(TRIM(MID(SUBSTITUTE(SUBSTITUTE(SUBSTITUTE(SUBSTITUTE(SUBSTITUTE(LOWER(Registro!$F617)," ",""),CHAR(10),"|"),";","|"),"+","|"),"|",REPT(" ",LEN(Registro!$F617))),({1,2,3,4,5,6,7,8,9,10,11,12,13,14,15,16,17,18,19,20,21,22,23,24,25,26,27,28,29,30}-1)*LEN(Registro!$F617)+1,LEN(Registro!$F617))),FIND("x",TRIM(MID(SUBSTITUTE(SUBSTITUTE(SUBSTITUTE(SUBSTITUTE(SUBSTITUTE(LOWER(Registro!$F617)," ",""),CHAR(10),"|"),";","|"),"+","|"),"|",REPT(" ",LEN(Registro!$F617))),({1,2,3,4,5,6,7,8,9,10,11,12,13,14,15,16,17,18,19,20,21,22,23,24,25,26,27,28,29,30}-1)*LEN(Registro!$F617)+1,LEN(Registro!$F617)))&amp;"x")-1)),--("0"&amp;MID(TRIM(MID(SUBSTITUTE(SUBSTITUTE(SUBSTITUTE(SUBSTITUTE(SUBSTITUTE(LOWER(Registro!$F617)," ",""),CHAR(10),"|"),";","|"),"+","|"),"|",REPT(" ",LEN(Registro!$F617))),({1,2,3,4,5,6,7,8,9,10,11,12,13,14,15,16,17,18,19,20,21,22,23,24,25,26,27,28,29,30}-1)*LEN(Registro!$F617)+1,LEN(Registro!$F617))),FIND("x",TRIM(MID(SUBSTITUTE(SUBSTITUTE(SUBSTITUTE(SUBSTITUTE(SUBSTITUTE(LOWER(Registro!$F617)," ",""),CHAR(10),"|"),";","|"),"+","|"),"|",REPT(" ",LEN(Registro!$F617))),({1,2,3,4,5,6,7,8,9,10,11,12,13,14,15,16,17,18,19,20,21,22,23,24,25,26,27,28,29,30}-1)*LEN(Registro!$F617)+1,LEN(Registro!$F617)))&amp;"x")+1,20))),"Revisar formato")))</f>
        <v/>
      </c>
      <c r="H617" s="21" t="str">
        <f>IF(AND(Registro!$E617="",Registro!$F617=""),"",IF(NOT(AND(ISNUMBER(G617),ISNUMBER(Registro!$G617))),"",IF(G617&lt;Registro!$G617,"FALTA BOLETOS",IF(G617=Registro!$G617,"CONFORME","DIFERENCIA"))))</f>
        <v/>
      </c>
      <c r="I617" s="24" t="str">
        <f>IF(Registro!$H617="","",IFERROR(SUMPRODUCT(--("0"&amp;TRIM(RIGHT(SUBSTITUTE(TRIM(MID(SUBSTITUTE(SUBSTITUTE(Registro!$H617,";",CHAR(10)),CHAR(10),REPT(" ",LEN(Registro!$H617))),({1,2,3,4,5,6,7,8,9,10,11,12,13,14,15,16,17,18,19,20,21,22,23,24,25,26,27,28,29,30}-1)*LEN(Registro!$H617)+1,LEN(Registro!$H617)))," ",REPT(" ",50)),50)))),"Revisar formato"))</f>
        <v/>
      </c>
      <c r="J617" s="24" t="str">
        <f>IF(Registro!$I617="","",IFERROR(SUMPRODUCT(--("0"&amp;TRIM(RIGHT(SUBSTITUTE(TRIM(MID(SUBSTITUTE(SUBSTITUTE(Registro!$I617,";",CHAR(10)),CHAR(10),REPT(" ",LEN(Registro!$I617))),({1,2,3,4,5,6,7,8,9,10,11,12,13,14,15,16,17,18,19,20,21,22,23,24,25,26,27,28,29,30}-1)*LEN(Registro!$I617)+1,LEN(Registro!$I617)))," ",REPT(" ",50)),50)))),"Revisar formato"))</f>
        <v/>
      </c>
      <c r="K617" s="24" t="str">
        <f>IF(AND(Registro!$G617="",Registro!$H617=""),"",IF(AND(ISTEXT(I617),I617&lt;&gt;""),"Revisar formato",N(Registro!$G617)-N(I617)))</f>
        <v/>
      </c>
      <c r="L617" s="24" t="str">
        <f t="shared" si="19"/>
        <v/>
      </c>
      <c r="M617" s="36" t="str">
        <f>IF(AND(A617=Consulta!$B$3,C617=Consulta!$H$3),B617*10000+ROW(),"")</f>
        <v/>
      </c>
    </row>
    <row r="618" spans="1:13" x14ac:dyDescent="0.25">
      <c r="A618" s="21" t="str">
        <f>IF(Registro!$A618="","",Registro!$A618)</f>
        <v/>
      </c>
      <c r="B618" s="20" t="str">
        <f>IF(Registro!$B618="","",Registro!$B618)</f>
        <v/>
      </c>
      <c r="C618" s="35" t="str">
        <f t="shared" si="18"/>
        <v/>
      </c>
      <c r="D618" s="23" t="str">
        <f>IF(Registro!$E618="","",IF(ISERROR(FIND("x",LOWER(Registro!$E618))),"-",IFERROR(SUMPRODUCT(--("0"&amp;LEFT(TRIM(MID(SUBSTITUTE(SUBSTITUTE(SUBSTITUTE(SUBSTITUTE(SUBSTITUTE(LOWER(Registro!$E618),"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",LEN(Registro!$E618))),({1,2,3,4,5,6,7,8,9,10,11,12,13,14,15,16,17,18,19,20,21,22,23,24,25,26,27,28,29,30}-1)*LEN(Registro!$E618)+1,LEN(Registro!$E618))),FIND("x",TRIM(MID(SUBSTITUTE(SUBSTITUTE(SUBSTITUTE(SUBSTITUTE(SUBSTITUTE(LOWER(Registro!$E618),"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",LEN(Registro!$E618))),({1,2,3,4,5,6,7,8,9,10,11,12,13,14,15,16,17,18,19,20,21,22,23,24,25,26,27,28,29,30}-1)*LEN(Registro!$E618)+1,LEN(Registro!$E618)))&amp;"x")-1))),"Revisar formato")))</f>
        <v/>
      </c>
      <c r="E618" s="24" t="str">
        <f>IF(Registro!$E618="","",IF(ISERROR(FIND("x",LOWER(Registro!$E618))),"-",IFERROR(SUMPRODUCT(--("0"&amp;LEFT(TRIM(MID(SUBSTITUTE(SUBSTITUTE(SUBSTITUTE(SUBSTITUTE(SUBSTITUTE(LOWER(Registro!$E618),"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",LEN(Registro!$E618))),({1,2,3,4,5,6,7,8,9,10,11,12,13,14,15,16,17,18,19,20,21,22,23,24,25,26,27,28,29,30}-1)*LEN(Registro!$E618)+1,LEN(Registro!$E618))),FIND("x",TRIM(MID(SUBSTITUTE(SUBSTITUTE(SUBSTITUTE(SUBSTITUTE(SUBSTITUTE(LOWER(Registro!$E618),"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",LEN(Registro!$E618))),({1,2,3,4,5,6,7,8,9,10,11,12,13,14,15,16,17,18,19,20,21,22,23,24,25,26,27,28,29,30}-1)*LEN(Registro!$E618)+1,LEN(Registro!$E618)))&amp;"x")-1)),--("0"&amp;MID(TRIM(MID(SUBSTITUTE(SUBSTITUTE(SUBSTITUTE(SUBSTITUTE(SUBSTITUTE(LOWER(Registro!$E618),"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",LEN(Registro!$E618))),({1,2,3,4,5,6,7,8,9,10,11,12,13,14,15,16,17,18,19,20,21,22,23,24,25,26,27,28,29,30}-1)*LEN(Registro!$E618)+1,LEN(Registro!$E618))),FIND("x",TRIM(MID(SUBSTITUTE(SUBSTITUTE(SUBSTITUTE(SUBSTITUTE(SUBSTITUTE(LOWER(Registro!$E618),"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",LEN(Registro!$E618))),({1,2,3,4,5,6,7,8,9,10,11,12,13,14,15,16,17,18,19,20,21,22,23,24,25,26,27,28,29,30}-1)*LEN(Registro!$E618)+1,LEN(Registro!$E618)))&amp;"x")+1,20))),"Revisar formato")))</f>
        <v/>
      </c>
      <c r="F618" s="23" t="str">
        <f>IF(Registro!$F618="","",IF(ISERROR(FIND("x",LOWER(Registro!$F618))),"-",IFERROR(SUMPRODUCT(--("0"&amp;LEFT(TRIM(MID(SUBSTITUTE(SUBSTITUTE(SUBSTITUTE(SUBSTITUTE(SUBSTITUTE(LOWER(Registro!$F618)," ",""),CHAR(10),"|"),";","|"),"+","|"),"|",REPT(" ",LEN(Registro!$F618))),({1,2,3,4,5,6,7,8,9,10,11,12,13,14,15,16,17,18,19,20,21,22,23,24,25,26,27,28,29,30}-1)*LEN(Registro!$F618)+1,LEN(Registro!$F618))),FIND("x",TRIM(MID(SUBSTITUTE(SUBSTITUTE(SUBSTITUTE(SUBSTITUTE(SUBSTITUTE(LOWER(Registro!$F618)," ",""),CHAR(10),"|"),";","|"),"+","|"),"|",REPT(" ",LEN(Registro!$F618))),({1,2,3,4,5,6,7,8,9,10,11,12,13,14,15,16,17,18,19,20,21,22,23,24,25,26,27,28,29,30}-1)*LEN(Registro!$F618)+1,LEN(Registro!$F618)))&amp;"x")-1))),"Revisar formato")))</f>
        <v/>
      </c>
      <c r="G618" s="24" t="str">
        <f>IF(Registro!$F618="","",IF(ISERROR(FIND("x",LOWER(Registro!$F618))),N(Registro!$G618),IFERROR(SUMPRODUCT(--("0"&amp;LEFT(TRIM(MID(SUBSTITUTE(SUBSTITUTE(SUBSTITUTE(SUBSTITUTE(SUBSTITUTE(LOWER(Registro!$F618)," ",""),CHAR(10),"|"),";","|"),"+","|"),"|",REPT(" ",LEN(Registro!$F618))),({1,2,3,4,5,6,7,8,9,10,11,12,13,14,15,16,17,18,19,20,21,22,23,24,25,26,27,28,29,30}-1)*LEN(Registro!$F618)+1,LEN(Registro!$F618))),FIND("x",TRIM(MID(SUBSTITUTE(SUBSTITUTE(SUBSTITUTE(SUBSTITUTE(SUBSTITUTE(LOWER(Registro!$F618)," ",""),CHAR(10),"|"),";","|"),"+","|"),"|",REPT(" ",LEN(Registro!$F618))),({1,2,3,4,5,6,7,8,9,10,11,12,13,14,15,16,17,18,19,20,21,22,23,24,25,26,27,28,29,30}-1)*LEN(Registro!$F618)+1,LEN(Registro!$F618)))&amp;"x")-1)),--("0"&amp;MID(TRIM(MID(SUBSTITUTE(SUBSTITUTE(SUBSTITUTE(SUBSTITUTE(SUBSTITUTE(LOWER(Registro!$F618)," ",""),CHAR(10),"|"),";","|"),"+","|"),"|",REPT(" ",LEN(Registro!$F618))),({1,2,3,4,5,6,7,8,9,10,11,12,13,14,15,16,17,18,19,20,21,22,23,24,25,26,27,28,29,30}-1)*LEN(Registro!$F618)+1,LEN(Registro!$F618))),FIND("x",TRIM(MID(SUBSTITUTE(SUBSTITUTE(SUBSTITUTE(SUBSTITUTE(SUBSTITUTE(LOWER(Registro!$F618)," ",""),CHAR(10),"|"),";","|"),"+","|"),"|",REPT(" ",LEN(Registro!$F618))),({1,2,3,4,5,6,7,8,9,10,11,12,13,14,15,16,17,18,19,20,21,22,23,24,25,26,27,28,29,30}-1)*LEN(Registro!$F618)+1,LEN(Registro!$F618)))&amp;"x")+1,20))),"Revisar formato")))</f>
        <v/>
      </c>
      <c r="H618" s="21" t="str">
        <f>IF(AND(Registro!$E618="",Registro!$F618=""),"",IF(NOT(AND(ISNUMBER(G618),ISNUMBER(Registro!$G618))),"",IF(G618&lt;Registro!$G618,"FALTA BOLETOS",IF(G618=Registro!$G618,"CONFORME","DIFERENCIA"))))</f>
        <v/>
      </c>
      <c r="I618" s="24" t="str">
        <f>IF(Registro!$H618="","",IFERROR(SUMPRODUCT(--("0"&amp;TRIM(RIGHT(SUBSTITUTE(TRIM(MID(SUBSTITUTE(SUBSTITUTE(Registro!$H618,";",CHAR(10)),CHAR(10),REPT(" ",LEN(Registro!$H618))),({1,2,3,4,5,6,7,8,9,10,11,12,13,14,15,16,17,18,19,20,21,22,23,24,25,26,27,28,29,30}-1)*LEN(Registro!$H618)+1,LEN(Registro!$H618)))," ",REPT(" ",50)),50)))),"Revisar formato"))</f>
        <v/>
      </c>
      <c r="J618" s="24" t="str">
        <f>IF(Registro!$I618="","",IFERROR(SUMPRODUCT(--("0"&amp;TRIM(RIGHT(SUBSTITUTE(TRIM(MID(SUBSTITUTE(SUBSTITUTE(Registro!$I618,";",CHAR(10)),CHAR(10),REPT(" ",LEN(Registro!$I618))),({1,2,3,4,5,6,7,8,9,10,11,12,13,14,15,16,17,18,19,20,21,22,23,24,25,26,27,28,29,30}-1)*LEN(Registro!$I618)+1,LEN(Registro!$I618)))," ",REPT(" ",50)),50)))),"Revisar formato"))</f>
        <v/>
      </c>
      <c r="K618" s="24" t="str">
        <f>IF(AND(Registro!$G618="",Registro!$H618=""),"",IF(AND(ISTEXT(I618),I618&lt;&gt;""),"Revisar formato",N(Registro!$G618)-N(I618)))</f>
        <v/>
      </c>
      <c r="L618" s="24" t="str">
        <f t="shared" si="19"/>
        <v/>
      </c>
      <c r="M618" s="36" t="str">
        <f>IF(AND(A618=Consulta!$B$3,C618=Consulta!$H$3),B618*10000+ROW(),"")</f>
        <v/>
      </c>
    </row>
    <row r="619" spans="1:13" x14ac:dyDescent="0.25">
      <c r="A619" s="21" t="str">
        <f>IF(Registro!$A619="","",Registro!$A619)</f>
        <v/>
      </c>
      <c r="B619" s="20" t="str">
        <f>IF(Registro!$B619="","",Registro!$B619)</f>
        <v/>
      </c>
      <c r="C619" s="35" t="str">
        <f t="shared" si="18"/>
        <v/>
      </c>
      <c r="D619" s="23" t="str">
        <f>IF(Registro!$E619="","",IF(ISERROR(FIND("x",LOWER(Registro!$E619))),"-",IFERROR(SUMPRODUCT(--("0"&amp;LEFT(TRIM(MID(SUBSTITUTE(SUBSTITUTE(SUBSTITUTE(SUBSTITUTE(SUBSTITUTE(LOWER(Registro!$E619),"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",LEN(Registro!$E619))),({1,2,3,4,5,6,7,8,9,10,11,12,13,14,15,16,17,18,19,20,21,22,23,24,25,26,27,28,29,30}-1)*LEN(Registro!$E619)+1,LEN(Registro!$E619))),FIND("x",TRIM(MID(SUBSTITUTE(SUBSTITUTE(SUBSTITUTE(SUBSTITUTE(SUBSTITUTE(LOWER(Registro!$E619),"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",LEN(Registro!$E619))),({1,2,3,4,5,6,7,8,9,10,11,12,13,14,15,16,17,18,19,20,21,22,23,24,25,26,27,28,29,30}-1)*LEN(Registro!$E619)+1,LEN(Registro!$E619)))&amp;"x")-1))),"Revisar formato")))</f>
        <v/>
      </c>
      <c r="E619" s="24" t="str">
        <f>IF(Registro!$E619="","",IF(ISERROR(FIND("x",LOWER(Registro!$E619))),"-",IFERROR(SUMPRODUCT(--("0"&amp;LEFT(TRIM(MID(SUBSTITUTE(SUBSTITUTE(SUBSTITUTE(SUBSTITUTE(SUBSTITUTE(LOWER(Registro!$E619),"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",LEN(Registro!$E619))),({1,2,3,4,5,6,7,8,9,10,11,12,13,14,15,16,17,18,19,20,21,22,23,24,25,26,27,28,29,30}-1)*LEN(Registro!$E619)+1,LEN(Registro!$E619))),FIND("x",TRIM(MID(SUBSTITUTE(SUBSTITUTE(SUBSTITUTE(SUBSTITUTE(SUBSTITUTE(LOWER(Registro!$E619),"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",LEN(Registro!$E619))),({1,2,3,4,5,6,7,8,9,10,11,12,13,14,15,16,17,18,19,20,21,22,23,24,25,26,27,28,29,30}-1)*LEN(Registro!$E619)+1,LEN(Registro!$E619)))&amp;"x")-1)),--("0"&amp;MID(TRIM(MID(SUBSTITUTE(SUBSTITUTE(SUBSTITUTE(SUBSTITUTE(SUBSTITUTE(LOWER(Registro!$E619),"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",LEN(Registro!$E619))),({1,2,3,4,5,6,7,8,9,10,11,12,13,14,15,16,17,18,19,20,21,22,23,24,25,26,27,28,29,30}-1)*LEN(Registro!$E619)+1,LEN(Registro!$E619))),FIND("x",TRIM(MID(SUBSTITUTE(SUBSTITUTE(SUBSTITUTE(SUBSTITUTE(SUBSTITUTE(LOWER(Registro!$E619),"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",LEN(Registro!$E619))),({1,2,3,4,5,6,7,8,9,10,11,12,13,14,15,16,17,18,19,20,21,22,23,24,25,26,27,28,29,30}-1)*LEN(Registro!$E619)+1,LEN(Registro!$E619)))&amp;"x")+1,20))),"Revisar formato")))</f>
        <v/>
      </c>
      <c r="F619" s="23" t="str">
        <f>IF(Registro!$F619="","",IF(ISERROR(FIND("x",LOWER(Registro!$F619))),"-",IFERROR(SUMPRODUCT(--("0"&amp;LEFT(TRIM(MID(SUBSTITUTE(SUBSTITUTE(SUBSTITUTE(SUBSTITUTE(SUBSTITUTE(LOWER(Registro!$F619)," ",""),CHAR(10),"|"),";","|"),"+","|"),"|",REPT(" ",LEN(Registro!$F619))),({1,2,3,4,5,6,7,8,9,10,11,12,13,14,15,16,17,18,19,20,21,22,23,24,25,26,27,28,29,30}-1)*LEN(Registro!$F619)+1,LEN(Registro!$F619))),FIND("x",TRIM(MID(SUBSTITUTE(SUBSTITUTE(SUBSTITUTE(SUBSTITUTE(SUBSTITUTE(LOWER(Registro!$F619)," ",""),CHAR(10),"|"),";","|"),"+","|"),"|",REPT(" ",LEN(Registro!$F619))),({1,2,3,4,5,6,7,8,9,10,11,12,13,14,15,16,17,18,19,20,21,22,23,24,25,26,27,28,29,30}-1)*LEN(Registro!$F619)+1,LEN(Registro!$F619)))&amp;"x")-1))),"Revisar formato")))</f>
        <v/>
      </c>
      <c r="G619" s="24" t="str">
        <f>IF(Registro!$F619="","",IF(ISERROR(FIND("x",LOWER(Registro!$F619))),N(Registro!$G619),IFERROR(SUMPRODUCT(--("0"&amp;LEFT(TRIM(MID(SUBSTITUTE(SUBSTITUTE(SUBSTITUTE(SUBSTITUTE(SUBSTITUTE(LOWER(Registro!$F619)," ",""),CHAR(10),"|"),";","|"),"+","|"),"|",REPT(" ",LEN(Registro!$F619))),({1,2,3,4,5,6,7,8,9,10,11,12,13,14,15,16,17,18,19,20,21,22,23,24,25,26,27,28,29,30}-1)*LEN(Registro!$F619)+1,LEN(Registro!$F619))),FIND("x",TRIM(MID(SUBSTITUTE(SUBSTITUTE(SUBSTITUTE(SUBSTITUTE(SUBSTITUTE(LOWER(Registro!$F619)," ",""),CHAR(10),"|"),";","|"),"+","|"),"|",REPT(" ",LEN(Registro!$F619))),({1,2,3,4,5,6,7,8,9,10,11,12,13,14,15,16,17,18,19,20,21,22,23,24,25,26,27,28,29,30}-1)*LEN(Registro!$F619)+1,LEN(Registro!$F619)))&amp;"x")-1)),--("0"&amp;MID(TRIM(MID(SUBSTITUTE(SUBSTITUTE(SUBSTITUTE(SUBSTITUTE(SUBSTITUTE(LOWER(Registro!$F619)," ",""),CHAR(10),"|"),";","|"),"+","|"),"|",REPT(" ",LEN(Registro!$F619))),({1,2,3,4,5,6,7,8,9,10,11,12,13,14,15,16,17,18,19,20,21,22,23,24,25,26,27,28,29,30}-1)*LEN(Registro!$F619)+1,LEN(Registro!$F619))),FIND("x",TRIM(MID(SUBSTITUTE(SUBSTITUTE(SUBSTITUTE(SUBSTITUTE(SUBSTITUTE(LOWER(Registro!$F619)," ",""),CHAR(10),"|"),";","|"),"+","|"),"|",REPT(" ",LEN(Registro!$F619))),({1,2,3,4,5,6,7,8,9,10,11,12,13,14,15,16,17,18,19,20,21,22,23,24,25,26,27,28,29,30}-1)*LEN(Registro!$F619)+1,LEN(Registro!$F619)))&amp;"x")+1,20))),"Revisar formato")))</f>
        <v/>
      </c>
      <c r="H619" s="21" t="str">
        <f>IF(AND(Registro!$E619="",Registro!$F619=""),"",IF(NOT(AND(ISNUMBER(G619),ISNUMBER(Registro!$G619))),"",IF(G619&lt;Registro!$G619,"FALTA BOLETOS",IF(G619=Registro!$G619,"CONFORME","DIFERENCIA"))))</f>
        <v/>
      </c>
      <c r="I619" s="24" t="str">
        <f>IF(Registro!$H619="","",IFERROR(SUMPRODUCT(--("0"&amp;TRIM(RIGHT(SUBSTITUTE(TRIM(MID(SUBSTITUTE(SUBSTITUTE(Registro!$H619,";",CHAR(10)),CHAR(10),REPT(" ",LEN(Registro!$H619))),({1,2,3,4,5,6,7,8,9,10,11,12,13,14,15,16,17,18,19,20,21,22,23,24,25,26,27,28,29,30}-1)*LEN(Registro!$H619)+1,LEN(Registro!$H619)))," ",REPT(" ",50)),50)))),"Revisar formato"))</f>
        <v/>
      </c>
      <c r="J619" s="24" t="str">
        <f>IF(Registro!$I619="","",IFERROR(SUMPRODUCT(--("0"&amp;TRIM(RIGHT(SUBSTITUTE(TRIM(MID(SUBSTITUTE(SUBSTITUTE(Registro!$I619,";",CHAR(10)),CHAR(10),REPT(" ",LEN(Registro!$I619))),({1,2,3,4,5,6,7,8,9,10,11,12,13,14,15,16,17,18,19,20,21,22,23,24,25,26,27,28,29,30}-1)*LEN(Registro!$I619)+1,LEN(Registro!$I619)))," ",REPT(" ",50)),50)))),"Revisar formato"))</f>
        <v/>
      </c>
      <c r="K619" s="24" t="str">
        <f>IF(AND(Registro!$G619="",Registro!$H619=""),"",IF(AND(ISTEXT(I619),I619&lt;&gt;""),"Revisar formato",N(Registro!$G619)-N(I619)))</f>
        <v/>
      </c>
      <c r="L619" s="24" t="str">
        <f t="shared" si="19"/>
        <v/>
      </c>
      <c r="M619" s="36" t="str">
        <f>IF(AND(A619=Consulta!$B$3,C619=Consulta!$H$3),B619*10000+ROW(),"")</f>
        <v/>
      </c>
    </row>
    <row r="620" spans="1:13" x14ac:dyDescent="0.25">
      <c r="A620" s="21" t="str">
        <f>IF(Registro!$A620="","",Registro!$A620)</f>
        <v/>
      </c>
      <c r="B620" s="20" t="str">
        <f>IF(Registro!$B620="","",Registro!$B620)</f>
        <v/>
      </c>
      <c r="C620" s="35" t="str">
        <f t="shared" si="18"/>
        <v/>
      </c>
      <c r="D620" s="23" t="str">
        <f>IF(Registro!$E620="","",IF(ISERROR(FIND("x",LOWER(Registro!$E620))),"-",IFERROR(SUMPRODUCT(--("0"&amp;LEFT(TRIM(MID(SUBSTITUTE(SUBSTITUTE(SUBSTITUTE(SUBSTITUTE(SUBSTITUTE(LOWER(Registro!$E620),"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",LEN(Registro!$E620))),({1,2,3,4,5,6,7,8,9,10,11,12,13,14,15,16,17,18,19,20,21,22,23,24,25,26,27,28,29,30}-1)*LEN(Registro!$E620)+1,LEN(Registro!$E620))),FIND("x",TRIM(MID(SUBSTITUTE(SUBSTITUTE(SUBSTITUTE(SUBSTITUTE(SUBSTITUTE(LOWER(Registro!$E620),"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",LEN(Registro!$E620))),({1,2,3,4,5,6,7,8,9,10,11,12,13,14,15,16,17,18,19,20,21,22,23,24,25,26,27,28,29,30}-1)*LEN(Registro!$E620)+1,LEN(Registro!$E620)))&amp;"x")-1))),"Revisar formato")))</f>
        <v/>
      </c>
      <c r="E620" s="24" t="str">
        <f>IF(Registro!$E620="","",IF(ISERROR(FIND("x",LOWER(Registro!$E620))),"-",IFERROR(SUMPRODUCT(--("0"&amp;LEFT(TRIM(MID(SUBSTITUTE(SUBSTITUTE(SUBSTITUTE(SUBSTITUTE(SUBSTITUTE(LOWER(Registro!$E620),"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",LEN(Registro!$E620))),({1,2,3,4,5,6,7,8,9,10,11,12,13,14,15,16,17,18,19,20,21,22,23,24,25,26,27,28,29,30}-1)*LEN(Registro!$E620)+1,LEN(Registro!$E620))),FIND("x",TRIM(MID(SUBSTITUTE(SUBSTITUTE(SUBSTITUTE(SUBSTITUTE(SUBSTITUTE(LOWER(Registro!$E620),"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",LEN(Registro!$E620))),({1,2,3,4,5,6,7,8,9,10,11,12,13,14,15,16,17,18,19,20,21,22,23,24,25,26,27,28,29,30}-1)*LEN(Registro!$E620)+1,LEN(Registro!$E620)))&amp;"x")-1)),--("0"&amp;MID(TRIM(MID(SUBSTITUTE(SUBSTITUTE(SUBSTITUTE(SUBSTITUTE(SUBSTITUTE(LOWER(Registro!$E620),"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",LEN(Registro!$E620))),({1,2,3,4,5,6,7,8,9,10,11,12,13,14,15,16,17,18,19,20,21,22,23,24,25,26,27,28,29,30}-1)*LEN(Registro!$E620)+1,LEN(Registro!$E620))),FIND("x",TRIM(MID(SUBSTITUTE(SUBSTITUTE(SUBSTITUTE(SUBSTITUTE(SUBSTITUTE(LOWER(Registro!$E620),"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",LEN(Registro!$E620))),({1,2,3,4,5,6,7,8,9,10,11,12,13,14,15,16,17,18,19,20,21,22,23,24,25,26,27,28,29,30}-1)*LEN(Registro!$E620)+1,LEN(Registro!$E620)))&amp;"x")+1,20))),"Revisar formato")))</f>
        <v/>
      </c>
      <c r="F620" s="23" t="str">
        <f>IF(Registro!$F620="","",IF(ISERROR(FIND("x",LOWER(Registro!$F620))),"-",IFERROR(SUMPRODUCT(--("0"&amp;LEFT(TRIM(MID(SUBSTITUTE(SUBSTITUTE(SUBSTITUTE(SUBSTITUTE(SUBSTITUTE(LOWER(Registro!$F620)," ",""),CHAR(10),"|"),";","|"),"+","|"),"|",REPT(" ",LEN(Registro!$F620))),({1,2,3,4,5,6,7,8,9,10,11,12,13,14,15,16,17,18,19,20,21,22,23,24,25,26,27,28,29,30}-1)*LEN(Registro!$F620)+1,LEN(Registro!$F620))),FIND("x",TRIM(MID(SUBSTITUTE(SUBSTITUTE(SUBSTITUTE(SUBSTITUTE(SUBSTITUTE(LOWER(Registro!$F620)," ",""),CHAR(10),"|"),";","|"),"+","|"),"|",REPT(" ",LEN(Registro!$F620))),({1,2,3,4,5,6,7,8,9,10,11,12,13,14,15,16,17,18,19,20,21,22,23,24,25,26,27,28,29,30}-1)*LEN(Registro!$F620)+1,LEN(Registro!$F620)))&amp;"x")-1))),"Revisar formato")))</f>
        <v/>
      </c>
      <c r="G620" s="24" t="str">
        <f>IF(Registro!$F620="","",IF(ISERROR(FIND("x",LOWER(Registro!$F620))),N(Registro!$G620),IFERROR(SUMPRODUCT(--("0"&amp;LEFT(TRIM(MID(SUBSTITUTE(SUBSTITUTE(SUBSTITUTE(SUBSTITUTE(SUBSTITUTE(LOWER(Registro!$F620)," ",""),CHAR(10),"|"),";","|"),"+","|"),"|",REPT(" ",LEN(Registro!$F620))),({1,2,3,4,5,6,7,8,9,10,11,12,13,14,15,16,17,18,19,20,21,22,23,24,25,26,27,28,29,30}-1)*LEN(Registro!$F620)+1,LEN(Registro!$F620))),FIND("x",TRIM(MID(SUBSTITUTE(SUBSTITUTE(SUBSTITUTE(SUBSTITUTE(SUBSTITUTE(LOWER(Registro!$F620)," ",""),CHAR(10),"|"),";","|"),"+","|"),"|",REPT(" ",LEN(Registro!$F620))),({1,2,3,4,5,6,7,8,9,10,11,12,13,14,15,16,17,18,19,20,21,22,23,24,25,26,27,28,29,30}-1)*LEN(Registro!$F620)+1,LEN(Registro!$F620)))&amp;"x")-1)),--("0"&amp;MID(TRIM(MID(SUBSTITUTE(SUBSTITUTE(SUBSTITUTE(SUBSTITUTE(SUBSTITUTE(LOWER(Registro!$F620)," ",""),CHAR(10),"|"),";","|"),"+","|"),"|",REPT(" ",LEN(Registro!$F620))),({1,2,3,4,5,6,7,8,9,10,11,12,13,14,15,16,17,18,19,20,21,22,23,24,25,26,27,28,29,30}-1)*LEN(Registro!$F620)+1,LEN(Registro!$F620))),FIND("x",TRIM(MID(SUBSTITUTE(SUBSTITUTE(SUBSTITUTE(SUBSTITUTE(SUBSTITUTE(LOWER(Registro!$F620)," ",""),CHAR(10),"|"),";","|"),"+","|"),"|",REPT(" ",LEN(Registro!$F620))),({1,2,3,4,5,6,7,8,9,10,11,12,13,14,15,16,17,18,19,20,21,22,23,24,25,26,27,28,29,30}-1)*LEN(Registro!$F620)+1,LEN(Registro!$F620)))&amp;"x")+1,20))),"Revisar formato")))</f>
        <v/>
      </c>
      <c r="H620" s="21" t="str">
        <f>IF(AND(Registro!$E620="",Registro!$F620=""),"",IF(NOT(AND(ISNUMBER(G620),ISNUMBER(Registro!$G620))),"",IF(G620&lt;Registro!$G620,"FALTA BOLETOS",IF(G620=Registro!$G620,"CONFORME","DIFERENCIA"))))</f>
        <v/>
      </c>
      <c r="I620" s="24" t="str">
        <f>IF(Registro!$H620="","",IFERROR(SUMPRODUCT(--("0"&amp;TRIM(RIGHT(SUBSTITUTE(TRIM(MID(SUBSTITUTE(SUBSTITUTE(Registro!$H620,";",CHAR(10)),CHAR(10),REPT(" ",LEN(Registro!$H620))),({1,2,3,4,5,6,7,8,9,10,11,12,13,14,15,16,17,18,19,20,21,22,23,24,25,26,27,28,29,30}-1)*LEN(Registro!$H620)+1,LEN(Registro!$H620)))," ",REPT(" ",50)),50)))),"Revisar formato"))</f>
        <v/>
      </c>
      <c r="J620" s="24" t="str">
        <f>IF(Registro!$I620="","",IFERROR(SUMPRODUCT(--("0"&amp;TRIM(RIGHT(SUBSTITUTE(TRIM(MID(SUBSTITUTE(SUBSTITUTE(Registro!$I620,";",CHAR(10)),CHAR(10),REPT(" ",LEN(Registro!$I620))),({1,2,3,4,5,6,7,8,9,10,11,12,13,14,15,16,17,18,19,20,21,22,23,24,25,26,27,28,29,30}-1)*LEN(Registro!$I620)+1,LEN(Registro!$I620)))," ",REPT(" ",50)),50)))),"Revisar formato"))</f>
        <v/>
      </c>
      <c r="K620" s="24" t="str">
        <f>IF(AND(Registro!$G620="",Registro!$H620=""),"",IF(AND(ISTEXT(I620),I620&lt;&gt;""),"Revisar formato",N(Registro!$G620)-N(I620)))</f>
        <v/>
      </c>
      <c r="L620" s="24" t="str">
        <f t="shared" si="19"/>
        <v/>
      </c>
      <c r="M620" s="36" t="str">
        <f>IF(AND(A620=Consulta!$B$3,C620=Consulta!$H$3),B620*10000+ROW(),"")</f>
        <v/>
      </c>
    </row>
    <row r="621" spans="1:13" x14ac:dyDescent="0.25">
      <c r="A621" s="21" t="str">
        <f>IF(Registro!$A621="","",Registro!$A621)</f>
        <v/>
      </c>
      <c r="B621" s="20" t="str">
        <f>IF(Registro!$B621="","",Registro!$B621)</f>
        <v/>
      </c>
      <c r="C621" s="35" t="str">
        <f t="shared" si="18"/>
        <v/>
      </c>
      <c r="D621" s="23" t="str">
        <f>IF(Registro!$E621="","",IF(ISERROR(FIND("x",LOWER(Registro!$E621))),"-",IFERROR(SUMPRODUCT(--("0"&amp;LEFT(TRIM(MID(SUBSTITUTE(SUBSTITUTE(SUBSTITUTE(SUBSTITUTE(SUBSTITUTE(LOWER(Registro!$E621),"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",LEN(Registro!$E621))),({1,2,3,4,5,6,7,8,9,10,11,12,13,14,15,16,17,18,19,20,21,22,23,24,25,26,27,28,29,30}-1)*LEN(Registro!$E621)+1,LEN(Registro!$E621))),FIND("x",TRIM(MID(SUBSTITUTE(SUBSTITUTE(SUBSTITUTE(SUBSTITUTE(SUBSTITUTE(LOWER(Registro!$E621),"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",LEN(Registro!$E621))),({1,2,3,4,5,6,7,8,9,10,11,12,13,14,15,16,17,18,19,20,21,22,23,24,25,26,27,28,29,30}-1)*LEN(Registro!$E621)+1,LEN(Registro!$E621)))&amp;"x")-1))),"Revisar formato")))</f>
        <v/>
      </c>
      <c r="E621" s="24" t="str">
        <f>IF(Registro!$E621="","",IF(ISERROR(FIND("x",LOWER(Registro!$E621))),"-",IFERROR(SUMPRODUCT(--("0"&amp;LEFT(TRIM(MID(SUBSTITUTE(SUBSTITUTE(SUBSTITUTE(SUBSTITUTE(SUBSTITUTE(LOWER(Registro!$E621),"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",LEN(Registro!$E621))),({1,2,3,4,5,6,7,8,9,10,11,12,13,14,15,16,17,18,19,20,21,22,23,24,25,26,27,28,29,30}-1)*LEN(Registro!$E621)+1,LEN(Registro!$E621))),FIND("x",TRIM(MID(SUBSTITUTE(SUBSTITUTE(SUBSTITUTE(SUBSTITUTE(SUBSTITUTE(LOWER(Registro!$E621),"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",LEN(Registro!$E621))),({1,2,3,4,5,6,7,8,9,10,11,12,13,14,15,16,17,18,19,20,21,22,23,24,25,26,27,28,29,30}-1)*LEN(Registro!$E621)+1,LEN(Registro!$E621)))&amp;"x")-1)),--("0"&amp;MID(TRIM(MID(SUBSTITUTE(SUBSTITUTE(SUBSTITUTE(SUBSTITUTE(SUBSTITUTE(LOWER(Registro!$E621),"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",LEN(Registro!$E621))),({1,2,3,4,5,6,7,8,9,10,11,12,13,14,15,16,17,18,19,20,21,22,23,24,25,26,27,28,29,30}-1)*LEN(Registro!$E621)+1,LEN(Registro!$E621))),FIND("x",TRIM(MID(SUBSTITUTE(SUBSTITUTE(SUBSTITUTE(SUBSTITUTE(SUBSTITUTE(LOWER(Registro!$E621),"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",LEN(Registro!$E621))),({1,2,3,4,5,6,7,8,9,10,11,12,13,14,15,16,17,18,19,20,21,22,23,24,25,26,27,28,29,30}-1)*LEN(Registro!$E621)+1,LEN(Registro!$E621)))&amp;"x")+1,20))),"Revisar formato")))</f>
        <v/>
      </c>
      <c r="F621" s="23" t="str">
        <f>IF(Registro!$F621="","",IF(ISERROR(FIND("x",LOWER(Registro!$F621))),"-",IFERROR(SUMPRODUCT(--("0"&amp;LEFT(TRIM(MID(SUBSTITUTE(SUBSTITUTE(SUBSTITUTE(SUBSTITUTE(SUBSTITUTE(LOWER(Registro!$F621)," ",""),CHAR(10),"|"),";","|"),"+","|"),"|",REPT(" ",LEN(Registro!$F621))),({1,2,3,4,5,6,7,8,9,10,11,12,13,14,15,16,17,18,19,20,21,22,23,24,25,26,27,28,29,30}-1)*LEN(Registro!$F621)+1,LEN(Registro!$F621))),FIND("x",TRIM(MID(SUBSTITUTE(SUBSTITUTE(SUBSTITUTE(SUBSTITUTE(SUBSTITUTE(LOWER(Registro!$F621)," ",""),CHAR(10),"|"),";","|"),"+","|"),"|",REPT(" ",LEN(Registro!$F621))),({1,2,3,4,5,6,7,8,9,10,11,12,13,14,15,16,17,18,19,20,21,22,23,24,25,26,27,28,29,30}-1)*LEN(Registro!$F621)+1,LEN(Registro!$F621)))&amp;"x")-1))),"Revisar formato")))</f>
        <v/>
      </c>
      <c r="G621" s="24" t="str">
        <f>IF(Registro!$F621="","",IF(ISERROR(FIND("x",LOWER(Registro!$F621))),N(Registro!$G621),IFERROR(SUMPRODUCT(--("0"&amp;LEFT(TRIM(MID(SUBSTITUTE(SUBSTITUTE(SUBSTITUTE(SUBSTITUTE(SUBSTITUTE(LOWER(Registro!$F621)," ",""),CHAR(10),"|"),";","|"),"+","|"),"|",REPT(" ",LEN(Registro!$F621))),({1,2,3,4,5,6,7,8,9,10,11,12,13,14,15,16,17,18,19,20,21,22,23,24,25,26,27,28,29,30}-1)*LEN(Registro!$F621)+1,LEN(Registro!$F621))),FIND("x",TRIM(MID(SUBSTITUTE(SUBSTITUTE(SUBSTITUTE(SUBSTITUTE(SUBSTITUTE(LOWER(Registro!$F621)," ",""),CHAR(10),"|"),";","|"),"+","|"),"|",REPT(" ",LEN(Registro!$F621))),({1,2,3,4,5,6,7,8,9,10,11,12,13,14,15,16,17,18,19,20,21,22,23,24,25,26,27,28,29,30}-1)*LEN(Registro!$F621)+1,LEN(Registro!$F621)))&amp;"x")-1)),--("0"&amp;MID(TRIM(MID(SUBSTITUTE(SUBSTITUTE(SUBSTITUTE(SUBSTITUTE(SUBSTITUTE(LOWER(Registro!$F621)," ",""),CHAR(10),"|"),";","|"),"+","|"),"|",REPT(" ",LEN(Registro!$F621))),({1,2,3,4,5,6,7,8,9,10,11,12,13,14,15,16,17,18,19,20,21,22,23,24,25,26,27,28,29,30}-1)*LEN(Registro!$F621)+1,LEN(Registro!$F621))),FIND("x",TRIM(MID(SUBSTITUTE(SUBSTITUTE(SUBSTITUTE(SUBSTITUTE(SUBSTITUTE(LOWER(Registro!$F621)," ",""),CHAR(10),"|"),";","|"),"+","|"),"|",REPT(" ",LEN(Registro!$F621))),({1,2,3,4,5,6,7,8,9,10,11,12,13,14,15,16,17,18,19,20,21,22,23,24,25,26,27,28,29,30}-1)*LEN(Registro!$F621)+1,LEN(Registro!$F621)))&amp;"x")+1,20))),"Revisar formato")))</f>
        <v/>
      </c>
      <c r="H621" s="21" t="str">
        <f>IF(AND(Registro!$E621="",Registro!$F621=""),"",IF(NOT(AND(ISNUMBER(G621),ISNUMBER(Registro!$G621))),"",IF(G621&lt;Registro!$G621,"FALTA BOLETOS",IF(G621=Registro!$G621,"CONFORME","DIFERENCIA"))))</f>
        <v/>
      </c>
      <c r="I621" s="24" t="str">
        <f>IF(Registro!$H621="","",IFERROR(SUMPRODUCT(--("0"&amp;TRIM(RIGHT(SUBSTITUTE(TRIM(MID(SUBSTITUTE(SUBSTITUTE(Registro!$H621,";",CHAR(10)),CHAR(10),REPT(" ",LEN(Registro!$H621))),({1,2,3,4,5,6,7,8,9,10,11,12,13,14,15,16,17,18,19,20,21,22,23,24,25,26,27,28,29,30}-1)*LEN(Registro!$H621)+1,LEN(Registro!$H621)))," ",REPT(" ",50)),50)))),"Revisar formato"))</f>
        <v/>
      </c>
      <c r="J621" s="24" t="str">
        <f>IF(Registro!$I621="","",IFERROR(SUMPRODUCT(--("0"&amp;TRIM(RIGHT(SUBSTITUTE(TRIM(MID(SUBSTITUTE(SUBSTITUTE(Registro!$I621,";",CHAR(10)),CHAR(10),REPT(" ",LEN(Registro!$I621))),({1,2,3,4,5,6,7,8,9,10,11,12,13,14,15,16,17,18,19,20,21,22,23,24,25,26,27,28,29,30}-1)*LEN(Registro!$I621)+1,LEN(Registro!$I621)))," ",REPT(" ",50)),50)))),"Revisar formato"))</f>
        <v/>
      </c>
      <c r="K621" s="24" t="str">
        <f>IF(AND(Registro!$G621="",Registro!$H621=""),"",IF(AND(ISTEXT(I621),I621&lt;&gt;""),"Revisar formato",N(Registro!$G621)-N(I621)))</f>
        <v/>
      </c>
      <c r="L621" s="24" t="str">
        <f t="shared" si="19"/>
        <v/>
      </c>
      <c r="M621" s="36" t="str">
        <f>IF(AND(A621=Consulta!$B$3,C621=Consulta!$H$3),B621*10000+ROW(),"")</f>
        <v/>
      </c>
    </row>
    <row r="622" spans="1:13" x14ac:dyDescent="0.25">
      <c r="A622" s="21" t="str">
        <f>IF(Registro!$A622="","",Registro!$A622)</f>
        <v/>
      </c>
      <c r="B622" s="20" t="str">
        <f>IF(Registro!$B622="","",Registro!$B622)</f>
        <v/>
      </c>
      <c r="C622" s="35" t="str">
        <f t="shared" si="18"/>
        <v/>
      </c>
      <c r="D622" s="23" t="str">
        <f>IF(Registro!$E622="","",IF(ISERROR(FIND("x",LOWER(Registro!$E622))),"-",IFERROR(SUMPRODUCT(--("0"&amp;LEFT(TRIM(MID(SUBSTITUTE(SUBSTITUTE(SUBSTITUTE(SUBSTITUTE(SUBSTITUTE(LOWER(Registro!$E622),"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",LEN(Registro!$E622))),({1,2,3,4,5,6,7,8,9,10,11,12,13,14,15,16,17,18,19,20,21,22,23,24,25,26,27,28,29,30}-1)*LEN(Registro!$E622)+1,LEN(Registro!$E622))),FIND("x",TRIM(MID(SUBSTITUTE(SUBSTITUTE(SUBSTITUTE(SUBSTITUTE(SUBSTITUTE(LOWER(Registro!$E622),"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",LEN(Registro!$E622))),({1,2,3,4,5,6,7,8,9,10,11,12,13,14,15,16,17,18,19,20,21,22,23,24,25,26,27,28,29,30}-1)*LEN(Registro!$E622)+1,LEN(Registro!$E622)))&amp;"x")-1))),"Revisar formato")))</f>
        <v/>
      </c>
      <c r="E622" s="24" t="str">
        <f>IF(Registro!$E622="","",IF(ISERROR(FIND("x",LOWER(Registro!$E622))),"-",IFERROR(SUMPRODUCT(--("0"&amp;LEFT(TRIM(MID(SUBSTITUTE(SUBSTITUTE(SUBSTITUTE(SUBSTITUTE(SUBSTITUTE(LOWER(Registro!$E622),"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",LEN(Registro!$E622))),({1,2,3,4,5,6,7,8,9,10,11,12,13,14,15,16,17,18,19,20,21,22,23,24,25,26,27,28,29,30}-1)*LEN(Registro!$E622)+1,LEN(Registro!$E622))),FIND("x",TRIM(MID(SUBSTITUTE(SUBSTITUTE(SUBSTITUTE(SUBSTITUTE(SUBSTITUTE(LOWER(Registro!$E622),"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",LEN(Registro!$E622))),({1,2,3,4,5,6,7,8,9,10,11,12,13,14,15,16,17,18,19,20,21,22,23,24,25,26,27,28,29,30}-1)*LEN(Registro!$E622)+1,LEN(Registro!$E622)))&amp;"x")-1)),--("0"&amp;MID(TRIM(MID(SUBSTITUTE(SUBSTITUTE(SUBSTITUTE(SUBSTITUTE(SUBSTITUTE(LOWER(Registro!$E622),"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",LEN(Registro!$E622))),({1,2,3,4,5,6,7,8,9,10,11,12,13,14,15,16,17,18,19,20,21,22,23,24,25,26,27,28,29,30}-1)*LEN(Registro!$E622)+1,LEN(Registro!$E622))),FIND("x",TRIM(MID(SUBSTITUTE(SUBSTITUTE(SUBSTITUTE(SUBSTITUTE(SUBSTITUTE(LOWER(Registro!$E622),"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",LEN(Registro!$E622))),({1,2,3,4,5,6,7,8,9,10,11,12,13,14,15,16,17,18,19,20,21,22,23,24,25,26,27,28,29,30}-1)*LEN(Registro!$E622)+1,LEN(Registro!$E622)))&amp;"x")+1,20))),"Revisar formato")))</f>
        <v/>
      </c>
      <c r="F622" s="23" t="str">
        <f>IF(Registro!$F622="","",IF(ISERROR(FIND("x",LOWER(Registro!$F622))),"-",IFERROR(SUMPRODUCT(--("0"&amp;LEFT(TRIM(MID(SUBSTITUTE(SUBSTITUTE(SUBSTITUTE(SUBSTITUTE(SUBSTITUTE(LOWER(Registro!$F622)," ",""),CHAR(10),"|"),";","|"),"+","|"),"|",REPT(" ",LEN(Registro!$F622))),({1,2,3,4,5,6,7,8,9,10,11,12,13,14,15,16,17,18,19,20,21,22,23,24,25,26,27,28,29,30}-1)*LEN(Registro!$F622)+1,LEN(Registro!$F622))),FIND("x",TRIM(MID(SUBSTITUTE(SUBSTITUTE(SUBSTITUTE(SUBSTITUTE(SUBSTITUTE(LOWER(Registro!$F622)," ",""),CHAR(10),"|"),";","|"),"+","|"),"|",REPT(" ",LEN(Registro!$F622))),({1,2,3,4,5,6,7,8,9,10,11,12,13,14,15,16,17,18,19,20,21,22,23,24,25,26,27,28,29,30}-1)*LEN(Registro!$F622)+1,LEN(Registro!$F622)))&amp;"x")-1))),"Revisar formato")))</f>
        <v/>
      </c>
      <c r="G622" s="24" t="str">
        <f>IF(Registro!$F622="","",IF(ISERROR(FIND("x",LOWER(Registro!$F622))),N(Registro!$G622),IFERROR(SUMPRODUCT(--("0"&amp;LEFT(TRIM(MID(SUBSTITUTE(SUBSTITUTE(SUBSTITUTE(SUBSTITUTE(SUBSTITUTE(LOWER(Registro!$F622)," ",""),CHAR(10),"|"),";","|"),"+","|"),"|",REPT(" ",LEN(Registro!$F622))),({1,2,3,4,5,6,7,8,9,10,11,12,13,14,15,16,17,18,19,20,21,22,23,24,25,26,27,28,29,30}-1)*LEN(Registro!$F622)+1,LEN(Registro!$F622))),FIND("x",TRIM(MID(SUBSTITUTE(SUBSTITUTE(SUBSTITUTE(SUBSTITUTE(SUBSTITUTE(LOWER(Registro!$F622)," ",""),CHAR(10),"|"),";","|"),"+","|"),"|",REPT(" ",LEN(Registro!$F622))),({1,2,3,4,5,6,7,8,9,10,11,12,13,14,15,16,17,18,19,20,21,22,23,24,25,26,27,28,29,30}-1)*LEN(Registro!$F622)+1,LEN(Registro!$F622)))&amp;"x")-1)),--("0"&amp;MID(TRIM(MID(SUBSTITUTE(SUBSTITUTE(SUBSTITUTE(SUBSTITUTE(SUBSTITUTE(LOWER(Registro!$F622)," ",""),CHAR(10),"|"),";","|"),"+","|"),"|",REPT(" ",LEN(Registro!$F622))),({1,2,3,4,5,6,7,8,9,10,11,12,13,14,15,16,17,18,19,20,21,22,23,24,25,26,27,28,29,30}-1)*LEN(Registro!$F622)+1,LEN(Registro!$F622))),FIND("x",TRIM(MID(SUBSTITUTE(SUBSTITUTE(SUBSTITUTE(SUBSTITUTE(SUBSTITUTE(LOWER(Registro!$F622)," ",""),CHAR(10),"|"),";","|"),"+","|"),"|",REPT(" ",LEN(Registro!$F622))),({1,2,3,4,5,6,7,8,9,10,11,12,13,14,15,16,17,18,19,20,21,22,23,24,25,26,27,28,29,30}-1)*LEN(Registro!$F622)+1,LEN(Registro!$F622)))&amp;"x")+1,20))),"Revisar formato")))</f>
        <v/>
      </c>
      <c r="H622" s="21" t="str">
        <f>IF(AND(Registro!$E622="",Registro!$F622=""),"",IF(NOT(AND(ISNUMBER(G622),ISNUMBER(Registro!$G622))),"",IF(G622&lt;Registro!$G622,"FALTA BOLETOS",IF(G622=Registro!$G622,"CONFORME","DIFERENCIA"))))</f>
        <v/>
      </c>
      <c r="I622" s="24" t="str">
        <f>IF(Registro!$H622="","",IFERROR(SUMPRODUCT(--("0"&amp;TRIM(RIGHT(SUBSTITUTE(TRIM(MID(SUBSTITUTE(SUBSTITUTE(Registro!$H622,";",CHAR(10)),CHAR(10),REPT(" ",LEN(Registro!$H622))),({1,2,3,4,5,6,7,8,9,10,11,12,13,14,15,16,17,18,19,20,21,22,23,24,25,26,27,28,29,30}-1)*LEN(Registro!$H622)+1,LEN(Registro!$H622)))," ",REPT(" ",50)),50)))),"Revisar formato"))</f>
        <v/>
      </c>
      <c r="J622" s="24" t="str">
        <f>IF(Registro!$I622="","",IFERROR(SUMPRODUCT(--("0"&amp;TRIM(RIGHT(SUBSTITUTE(TRIM(MID(SUBSTITUTE(SUBSTITUTE(Registro!$I622,";",CHAR(10)),CHAR(10),REPT(" ",LEN(Registro!$I622))),({1,2,3,4,5,6,7,8,9,10,11,12,13,14,15,16,17,18,19,20,21,22,23,24,25,26,27,28,29,30}-1)*LEN(Registro!$I622)+1,LEN(Registro!$I622)))," ",REPT(" ",50)),50)))),"Revisar formato"))</f>
        <v/>
      </c>
      <c r="K622" s="24" t="str">
        <f>IF(AND(Registro!$G622="",Registro!$H622=""),"",IF(AND(ISTEXT(I622),I622&lt;&gt;""),"Revisar formato",N(Registro!$G622)-N(I622)))</f>
        <v/>
      </c>
      <c r="L622" s="24" t="str">
        <f t="shared" si="19"/>
        <v/>
      </c>
      <c r="M622" s="36" t="str">
        <f>IF(AND(A622=Consulta!$B$3,C622=Consulta!$H$3),B622*10000+ROW(),"")</f>
        <v/>
      </c>
    </row>
    <row r="623" spans="1:13" x14ac:dyDescent="0.25">
      <c r="A623" s="21" t="str">
        <f>IF(Registro!$A623="","",Registro!$A623)</f>
        <v/>
      </c>
      <c r="B623" s="20" t="str">
        <f>IF(Registro!$B623="","",Registro!$B623)</f>
        <v/>
      </c>
      <c r="C623" s="35" t="str">
        <f t="shared" si="18"/>
        <v/>
      </c>
      <c r="D623" s="23" t="str">
        <f>IF(Registro!$E623="","",IF(ISERROR(FIND("x",LOWER(Registro!$E623))),"-",IFERROR(SUMPRODUCT(--("0"&amp;LEFT(TRIM(MID(SUBSTITUTE(SUBSTITUTE(SUBSTITUTE(SUBSTITUTE(SUBSTITUTE(LOWER(Registro!$E623),"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",LEN(Registro!$E623))),({1,2,3,4,5,6,7,8,9,10,11,12,13,14,15,16,17,18,19,20,21,22,23,24,25,26,27,28,29,30}-1)*LEN(Registro!$E623)+1,LEN(Registro!$E623))),FIND("x",TRIM(MID(SUBSTITUTE(SUBSTITUTE(SUBSTITUTE(SUBSTITUTE(SUBSTITUTE(LOWER(Registro!$E623),"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",LEN(Registro!$E623))),({1,2,3,4,5,6,7,8,9,10,11,12,13,14,15,16,17,18,19,20,21,22,23,24,25,26,27,28,29,30}-1)*LEN(Registro!$E623)+1,LEN(Registro!$E623)))&amp;"x")-1))),"Revisar formato")))</f>
        <v/>
      </c>
      <c r="E623" s="24" t="str">
        <f>IF(Registro!$E623="","",IF(ISERROR(FIND("x",LOWER(Registro!$E623))),"-",IFERROR(SUMPRODUCT(--("0"&amp;LEFT(TRIM(MID(SUBSTITUTE(SUBSTITUTE(SUBSTITUTE(SUBSTITUTE(SUBSTITUTE(LOWER(Registro!$E623),"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",LEN(Registro!$E623))),({1,2,3,4,5,6,7,8,9,10,11,12,13,14,15,16,17,18,19,20,21,22,23,24,25,26,27,28,29,30}-1)*LEN(Registro!$E623)+1,LEN(Registro!$E623))),FIND("x",TRIM(MID(SUBSTITUTE(SUBSTITUTE(SUBSTITUTE(SUBSTITUTE(SUBSTITUTE(LOWER(Registro!$E623),"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",LEN(Registro!$E623))),({1,2,3,4,5,6,7,8,9,10,11,12,13,14,15,16,17,18,19,20,21,22,23,24,25,26,27,28,29,30}-1)*LEN(Registro!$E623)+1,LEN(Registro!$E623)))&amp;"x")-1)),--("0"&amp;MID(TRIM(MID(SUBSTITUTE(SUBSTITUTE(SUBSTITUTE(SUBSTITUTE(SUBSTITUTE(LOWER(Registro!$E623),"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",LEN(Registro!$E623))),({1,2,3,4,5,6,7,8,9,10,11,12,13,14,15,16,17,18,19,20,21,22,23,24,25,26,27,28,29,30}-1)*LEN(Registro!$E623)+1,LEN(Registro!$E623))),FIND("x",TRIM(MID(SUBSTITUTE(SUBSTITUTE(SUBSTITUTE(SUBSTITUTE(SUBSTITUTE(LOWER(Registro!$E623),"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",LEN(Registro!$E623))),({1,2,3,4,5,6,7,8,9,10,11,12,13,14,15,16,17,18,19,20,21,22,23,24,25,26,27,28,29,30}-1)*LEN(Registro!$E623)+1,LEN(Registro!$E623)))&amp;"x")+1,20))),"Revisar formato")))</f>
        <v/>
      </c>
      <c r="F623" s="23" t="str">
        <f>IF(Registro!$F623="","",IF(ISERROR(FIND("x",LOWER(Registro!$F623))),"-",IFERROR(SUMPRODUCT(--("0"&amp;LEFT(TRIM(MID(SUBSTITUTE(SUBSTITUTE(SUBSTITUTE(SUBSTITUTE(SUBSTITUTE(LOWER(Registro!$F623)," ",""),CHAR(10),"|"),";","|"),"+","|"),"|",REPT(" ",LEN(Registro!$F623))),({1,2,3,4,5,6,7,8,9,10,11,12,13,14,15,16,17,18,19,20,21,22,23,24,25,26,27,28,29,30}-1)*LEN(Registro!$F623)+1,LEN(Registro!$F623))),FIND("x",TRIM(MID(SUBSTITUTE(SUBSTITUTE(SUBSTITUTE(SUBSTITUTE(SUBSTITUTE(LOWER(Registro!$F623)," ",""),CHAR(10),"|"),";","|"),"+","|"),"|",REPT(" ",LEN(Registro!$F623))),({1,2,3,4,5,6,7,8,9,10,11,12,13,14,15,16,17,18,19,20,21,22,23,24,25,26,27,28,29,30}-1)*LEN(Registro!$F623)+1,LEN(Registro!$F623)))&amp;"x")-1))),"Revisar formato")))</f>
        <v/>
      </c>
      <c r="G623" s="24" t="str">
        <f>IF(Registro!$F623="","",IF(ISERROR(FIND("x",LOWER(Registro!$F623))),N(Registro!$G623),IFERROR(SUMPRODUCT(--("0"&amp;LEFT(TRIM(MID(SUBSTITUTE(SUBSTITUTE(SUBSTITUTE(SUBSTITUTE(SUBSTITUTE(LOWER(Registro!$F623)," ",""),CHAR(10),"|"),";","|"),"+","|"),"|",REPT(" ",LEN(Registro!$F623))),({1,2,3,4,5,6,7,8,9,10,11,12,13,14,15,16,17,18,19,20,21,22,23,24,25,26,27,28,29,30}-1)*LEN(Registro!$F623)+1,LEN(Registro!$F623))),FIND("x",TRIM(MID(SUBSTITUTE(SUBSTITUTE(SUBSTITUTE(SUBSTITUTE(SUBSTITUTE(LOWER(Registro!$F623)," ",""),CHAR(10),"|"),";","|"),"+","|"),"|",REPT(" ",LEN(Registro!$F623))),({1,2,3,4,5,6,7,8,9,10,11,12,13,14,15,16,17,18,19,20,21,22,23,24,25,26,27,28,29,30}-1)*LEN(Registro!$F623)+1,LEN(Registro!$F623)))&amp;"x")-1)),--("0"&amp;MID(TRIM(MID(SUBSTITUTE(SUBSTITUTE(SUBSTITUTE(SUBSTITUTE(SUBSTITUTE(LOWER(Registro!$F623)," ",""),CHAR(10),"|"),";","|"),"+","|"),"|",REPT(" ",LEN(Registro!$F623))),({1,2,3,4,5,6,7,8,9,10,11,12,13,14,15,16,17,18,19,20,21,22,23,24,25,26,27,28,29,30}-1)*LEN(Registro!$F623)+1,LEN(Registro!$F623))),FIND("x",TRIM(MID(SUBSTITUTE(SUBSTITUTE(SUBSTITUTE(SUBSTITUTE(SUBSTITUTE(LOWER(Registro!$F623)," ",""),CHAR(10),"|"),";","|"),"+","|"),"|",REPT(" ",LEN(Registro!$F623))),({1,2,3,4,5,6,7,8,9,10,11,12,13,14,15,16,17,18,19,20,21,22,23,24,25,26,27,28,29,30}-1)*LEN(Registro!$F623)+1,LEN(Registro!$F623)))&amp;"x")+1,20))),"Revisar formato")))</f>
        <v/>
      </c>
      <c r="H623" s="21" t="str">
        <f>IF(AND(Registro!$E623="",Registro!$F623=""),"",IF(NOT(AND(ISNUMBER(G623),ISNUMBER(Registro!$G623))),"",IF(G623&lt;Registro!$G623,"FALTA BOLETOS",IF(G623=Registro!$G623,"CONFORME","DIFERENCIA"))))</f>
        <v/>
      </c>
      <c r="I623" s="24" t="str">
        <f>IF(Registro!$H623="","",IFERROR(SUMPRODUCT(--("0"&amp;TRIM(RIGHT(SUBSTITUTE(TRIM(MID(SUBSTITUTE(SUBSTITUTE(Registro!$H623,";",CHAR(10)),CHAR(10),REPT(" ",LEN(Registro!$H623))),({1,2,3,4,5,6,7,8,9,10,11,12,13,14,15,16,17,18,19,20,21,22,23,24,25,26,27,28,29,30}-1)*LEN(Registro!$H623)+1,LEN(Registro!$H623)))," ",REPT(" ",50)),50)))),"Revisar formato"))</f>
        <v/>
      </c>
      <c r="J623" s="24" t="str">
        <f>IF(Registro!$I623="","",IFERROR(SUMPRODUCT(--("0"&amp;TRIM(RIGHT(SUBSTITUTE(TRIM(MID(SUBSTITUTE(SUBSTITUTE(Registro!$I623,";",CHAR(10)),CHAR(10),REPT(" ",LEN(Registro!$I623))),({1,2,3,4,5,6,7,8,9,10,11,12,13,14,15,16,17,18,19,20,21,22,23,24,25,26,27,28,29,30}-1)*LEN(Registro!$I623)+1,LEN(Registro!$I623)))," ",REPT(" ",50)),50)))),"Revisar formato"))</f>
        <v/>
      </c>
      <c r="K623" s="24" t="str">
        <f>IF(AND(Registro!$G623="",Registro!$H623=""),"",IF(AND(ISTEXT(I623),I623&lt;&gt;""),"Revisar formato",N(Registro!$G623)-N(I623)))</f>
        <v/>
      </c>
      <c r="L623" s="24" t="str">
        <f t="shared" si="19"/>
        <v/>
      </c>
      <c r="M623" s="36" t="str">
        <f>IF(AND(A623=Consulta!$B$3,C623=Consulta!$H$3),B623*10000+ROW(),"")</f>
        <v/>
      </c>
    </row>
    <row r="624" spans="1:13" x14ac:dyDescent="0.25">
      <c r="A624" s="21" t="str">
        <f>IF(Registro!$A624="","",Registro!$A624)</f>
        <v/>
      </c>
      <c r="B624" s="20" t="str">
        <f>IF(Registro!$B624="","",Registro!$B624)</f>
        <v/>
      </c>
      <c r="C624" s="35" t="str">
        <f t="shared" si="18"/>
        <v/>
      </c>
      <c r="D624" s="23" t="str">
        <f>IF(Registro!$E624="","",IF(ISERROR(FIND("x",LOWER(Registro!$E624))),"-",IFERROR(SUMPRODUCT(--("0"&amp;LEFT(TRIM(MID(SUBSTITUTE(SUBSTITUTE(SUBSTITUTE(SUBSTITUTE(SUBSTITUTE(LOWER(Registro!$E624),"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",LEN(Registro!$E624))),({1,2,3,4,5,6,7,8,9,10,11,12,13,14,15,16,17,18,19,20,21,22,23,24,25,26,27,28,29,30}-1)*LEN(Registro!$E624)+1,LEN(Registro!$E624))),FIND("x",TRIM(MID(SUBSTITUTE(SUBSTITUTE(SUBSTITUTE(SUBSTITUTE(SUBSTITUTE(LOWER(Registro!$E624),"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",LEN(Registro!$E624))),({1,2,3,4,5,6,7,8,9,10,11,12,13,14,15,16,17,18,19,20,21,22,23,24,25,26,27,28,29,30}-1)*LEN(Registro!$E624)+1,LEN(Registro!$E624)))&amp;"x")-1))),"Revisar formato")))</f>
        <v/>
      </c>
      <c r="E624" s="24" t="str">
        <f>IF(Registro!$E624="","",IF(ISERROR(FIND("x",LOWER(Registro!$E624))),"-",IFERROR(SUMPRODUCT(--("0"&amp;LEFT(TRIM(MID(SUBSTITUTE(SUBSTITUTE(SUBSTITUTE(SUBSTITUTE(SUBSTITUTE(LOWER(Registro!$E624),"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",LEN(Registro!$E624))),({1,2,3,4,5,6,7,8,9,10,11,12,13,14,15,16,17,18,19,20,21,22,23,24,25,26,27,28,29,30}-1)*LEN(Registro!$E624)+1,LEN(Registro!$E624))),FIND("x",TRIM(MID(SUBSTITUTE(SUBSTITUTE(SUBSTITUTE(SUBSTITUTE(SUBSTITUTE(LOWER(Registro!$E624),"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",LEN(Registro!$E624))),({1,2,3,4,5,6,7,8,9,10,11,12,13,14,15,16,17,18,19,20,21,22,23,24,25,26,27,28,29,30}-1)*LEN(Registro!$E624)+1,LEN(Registro!$E624)))&amp;"x")-1)),--("0"&amp;MID(TRIM(MID(SUBSTITUTE(SUBSTITUTE(SUBSTITUTE(SUBSTITUTE(SUBSTITUTE(LOWER(Registro!$E624),"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",LEN(Registro!$E624))),({1,2,3,4,5,6,7,8,9,10,11,12,13,14,15,16,17,18,19,20,21,22,23,24,25,26,27,28,29,30}-1)*LEN(Registro!$E624)+1,LEN(Registro!$E624))),FIND("x",TRIM(MID(SUBSTITUTE(SUBSTITUTE(SUBSTITUTE(SUBSTITUTE(SUBSTITUTE(LOWER(Registro!$E624),"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",LEN(Registro!$E624))),({1,2,3,4,5,6,7,8,9,10,11,12,13,14,15,16,17,18,19,20,21,22,23,24,25,26,27,28,29,30}-1)*LEN(Registro!$E624)+1,LEN(Registro!$E624)))&amp;"x")+1,20))),"Revisar formato")))</f>
        <v/>
      </c>
      <c r="F624" s="23" t="str">
        <f>IF(Registro!$F624="","",IF(ISERROR(FIND("x",LOWER(Registro!$F624))),"-",IFERROR(SUMPRODUCT(--("0"&amp;LEFT(TRIM(MID(SUBSTITUTE(SUBSTITUTE(SUBSTITUTE(SUBSTITUTE(SUBSTITUTE(LOWER(Registro!$F624)," ",""),CHAR(10),"|"),";","|"),"+","|"),"|",REPT(" ",LEN(Registro!$F624))),({1,2,3,4,5,6,7,8,9,10,11,12,13,14,15,16,17,18,19,20,21,22,23,24,25,26,27,28,29,30}-1)*LEN(Registro!$F624)+1,LEN(Registro!$F624))),FIND("x",TRIM(MID(SUBSTITUTE(SUBSTITUTE(SUBSTITUTE(SUBSTITUTE(SUBSTITUTE(LOWER(Registro!$F624)," ",""),CHAR(10),"|"),";","|"),"+","|"),"|",REPT(" ",LEN(Registro!$F624))),({1,2,3,4,5,6,7,8,9,10,11,12,13,14,15,16,17,18,19,20,21,22,23,24,25,26,27,28,29,30}-1)*LEN(Registro!$F624)+1,LEN(Registro!$F624)))&amp;"x")-1))),"Revisar formato")))</f>
        <v/>
      </c>
      <c r="G624" s="24" t="str">
        <f>IF(Registro!$F624="","",IF(ISERROR(FIND("x",LOWER(Registro!$F624))),N(Registro!$G624),IFERROR(SUMPRODUCT(--("0"&amp;LEFT(TRIM(MID(SUBSTITUTE(SUBSTITUTE(SUBSTITUTE(SUBSTITUTE(SUBSTITUTE(LOWER(Registro!$F624)," ",""),CHAR(10),"|"),";","|"),"+","|"),"|",REPT(" ",LEN(Registro!$F624))),({1,2,3,4,5,6,7,8,9,10,11,12,13,14,15,16,17,18,19,20,21,22,23,24,25,26,27,28,29,30}-1)*LEN(Registro!$F624)+1,LEN(Registro!$F624))),FIND("x",TRIM(MID(SUBSTITUTE(SUBSTITUTE(SUBSTITUTE(SUBSTITUTE(SUBSTITUTE(LOWER(Registro!$F624)," ",""),CHAR(10),"|"),";","|"),"+","|"),"|",REPT(" ",LEN(Registro!$F624))),({1,2,3,4,5,6,7,8,9,10,11,12,13,14,15,16,17,18,19,20,21,22,23,24,25,26,27,28,29,30}-1)*LEN(Registro!$F624)+1,LEN(Registro!$F624)))&amp;"x")-1)),--("0"&amp;MID(TRIM(MID(SUBSTITUTE(SUBSTITUTE(SUBSTITUTE(SUBSTITUTE(SUBSTITUTE(LOWER(Registro!$F624)," ",""),CHAR(10),"|"),";","|"),"+","|"),"|",REPT(" ",LEN(Registro!$F624))),({1,2,3,4,5,6,7,8,9,10,11,12,13,14,15,16,17,18,19,20,21,22,23,24,25,26,27,28,29,30}-1)*LEN(Registro!$F624)+1,LEN(Registro!$F624))),FIND("x",TRIM(MID(SUBSTITUTE(SUBSTITUTE(SUBSTITUTE(SUBSTITUTE(SUBSTITUTE(LOWER(Registro!$F624)," ",""),CHAR(10),"|"),";","|"),"+","|"),"|",REPT(" ",LEN(Registro!$F624))),({1,2,3,4,5,6,7,8,9,10,11,12,13,14,15,16,17,18,19,20,21,22,23,24,25,26,27,28,29,30}-1)*LEN(Registro!$F624)+1,LEN(Registro!$F624)))&amp;"x")+1,20))),"Revisar formato")))</f>
        <v/>
      </c>
      <c r="H624" s="21" t="str">
        <f>IF(AND(Registro!$E624="",Registro!$F624=""),"",IF(NOT(AND(ISNUMBER(G624),ISNUMBER(Registro!$G624))),"",IF(G624&lt;Registro!$G624,"FALTA BOLETOS",IF(G624=Registro!$G624,"CONFORME","DIFERENCIA"))))</f>
        <v/>
      </c>
      <c r="I624" s="24" t="str">
        <f>IF(Registro!$H624="","",IFERROR(SUMPRODUCT(--("0"&amp;TRIM(RIGHT(SUBSTITUTE(TRIM(MID(SUBSTITUTE(SUBSTITUTE(Registro!$H624,";",CHAR(10)),CHAR(10),REPT(" ",LEN(Registro!$H624))),({1,2,3,4,5,6,7,8,9,10,11,12,13,14,15,16,17,18,19,20,21,22,23,24,25,26,27,28,29,30}-1)*LEN(Registro!$H624)+1,LEN(Registro!$H624)))," ",REPT(" ",50)),50)))),"Revisar formato"))</f>
        <v/>
      </c>
      <c r="J624" s="24" t="str">
        <f>IF(Registro!$I624="","",IFERROR(SUMPRODUCT(--("0"&amp;TRIM(RIGHT(SUBSTITUTE(TRIM(MID(SUBSTITUTE(SUBSTITUTE(Registro!$I624,";",CHAR(10)),CHAR(10),REPT(" ",LEN(Registro!$I624))),({1,2,3,4,5,6,7,8,9,10,11,12,13,14,15,16,17,18,19,20,21,22,23,24,25,26,27,28,29,30}-1)*LEN(Registro!$I624)+1,LEN(Registro!$I624)))," ",REPT(" ",50)),50)))),"Revisar formato"))</f>
        <v/>
      </c>
      <c r="K624" s="24" t="str">
        <f>IF(AND(Registro!$G624="",Registro!$H624=""),"",IF(AND(ISTEXT(I624),I624&lt;&gt;""),"Revisar formato",N(Registro!$G624)-N(I624)))</f>
        <v/>
      </c>
      <c r="L624" s="24" t="str">
        <f t="shared" si="19"/>
        <v/>
      </c>
      <c r="M624" s="36" t="str">
        <f>IF(AND(A624=Consulta!$B$3,C624=Consulta!$H$3),B624*10000+ROW(),"")</f>
        <v/>
      </c>
    </row>
    <row r="625" spans="1:13" x14ac:dyDescent="0.25">
      <c r="A625" s="21" t="str">
        <f>IF(Registro!$A625="","",Registro!$A625)</f>
        <v/>
      </c>
      <c r="B625" s="20" t="str">
        <f>IF(Registro!$B625="","",Registro!$B625)</f>
        <v/>
      </c>
      <c r="C625" s="35" t="str">
        <f t="shared" si="18"/>
        <v/>
      </c>
      <c r="D625" s="23" t="str">
        <f>IF(Registro!$E625="","",IF(ISERROR(FIND("x",LOWER(Registro!$E625))),"-",IFERROR(SUMPRODUCT(--("0"&amp;LEFT(TRIM(MID(SUBSTITUTE(SUBSTITUTE(SUBSTITUTE(SUBSTITUTE(SUBSTITUTE(LOWER(Registro!$E625),"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",LEN(Registro!$E625))),({1,2,3,4,5,6,7,8,9,10,11,12,13,14,15,16,17,18,19,20,21,22,23,24,25,26,27,28,29,30}-1)*LEN(Registro!$E625)+1,LEN(Registro!$E625))),FIND("x",TRIM(MID(SUBSTITUTE(SUBSTITUTE(SUBSTITUTE(SUBSTITUTE(SUBSTITUTE(LOWER(Registro!$E625),"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",LEN(Registro!$E625))),({1,2,3,4,5,6,7,8,9,10,11,12,13,14,15,16,17,18,19,20,21,22,23,24,25,26,27,28,29,30}-1)*LEN(Registro!$E625)+1,LEN(Registro!$E625)))&amp;"x")-1))),"Revisar formato")))</f>
        <v/>
      </c>
      <c r="E625" s="24" t="str">
        <f>IF(Registro!$E625="","",IF(ISERROR(FIND("x",LOWER(Registro!$E625))),"-",IFERROR(SUMPRODUCT(--("0"&amp;LEFT(TRIM(MID(SUBSTITUTE(SUBSTITUTE(SUBSTITUTE(SUBSTITUTE(SUBSTITUTE(LOWER(Registro!$E625),"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",LEN(Registro!$E625))),({1,2,3,4,5,6,7,8,9,10,11,12,13,14,15,16,17,18,19,20,21,22,23,24,25,26,27,28,29,30}-1)*LEN(Registro!$E625)+1,LEN(Registro!$E625))),FIND("x",TRIM(MID(SUBSTITUTE(SUBSTITUTE(SUBSTITUTE(SUBSTITUTE(SUBSTITUTE(LOWER(Registro!$E625),"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",LEN(Registro!$E625))),({1,2,3,4,5,6,7,8,9,10,11,12,13,14,15,16,17,18,19,20,21,22,23,24,25,26,27,28,29,30}-1)*LEN(Registro!$E625)+1,LEN(Registro!$E625)))&amp;"x")-1)),--("0"&amp;MID(TRIM(MID(SUBSTITUTE(SUBSTITUTE(SUBSTITUTE(SUBSTITUTE(SUBSTITUTE(LOWER(Registro!$E625),"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",LEN(Registro!$E625))),({1,2,3,4,5,6,7,8,9,10,11,12,13,14,15,16,17,18,19,20,21,22,23,24,25,26,27,28,29,30}-1)*LEN(Registro!$E625)+1,LEN(Registro!$E625))),FIND("x",TRIM(MID(SUBSTITUTE(SUBSTITUTE(SUBSTITUTE(SUBSTITUTE(SUBSTITUTE(LOWER(Registro!$E625),"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",LEN(Registro!$E625))),({1,2,3,4,5,6,7,8,9,10,11,12,13,14,15,16,17,18,19,20,21,22,23,24,25,26,27,28,29,30}-1)*LEN(Registro!$E625)+1,LEN(Registro!$E625)))&amp;"x")+1,20))),"Revisar formato")))</f>
        <v/>
      </c>
      <c r="F625" s="23" t="str">
        <f>IF(Registro!$F625="","",IF(ISERROR(FIND("x",LOWER(Registro!$F625))),"-",IFERROR(SUMPRODUCT(--("0"&amp;LEFT(TRIM(MID(SUBSTITUTE(SUBSTITUTE(SUBSTITUTE(SUBSTITUTE(SUBSTITUTE(LOWER(Registro!$F625)," ",""),CHAR(10),"|"),";","|"),"+","|"),"|",REPT(" ",LEN(Registro!$F625))),({1,2,3,4,5,6,7,8,9,10,11,12,13,14,15,16,17,18,19,20,21,22,23,24,25,26,27,28,29,30}-1)*LEN(Registro!$F625)+1,LEN(Registro!$F625))),FIND("x",TRIM(MID(SUBSTITUTE(SUBSTITUTE(SUBSTITUTE(SUBSTITUTE(SUBSTITUTE(LOWER(Registro!$F625)," ",""),CHAR(10),"|"),";","|"),"+","|"),"|",REPT(" ",LEN(Registro!$F625))),({1,2,3,4,5,6,7,8,9,10,11,12,13,14,15,16,17,18,19,20,21,22,23,24,25,26,27,28,29,30}-1)*LEN(Registro!$F625)+1,LEN(Registro!$F625)))&amp;"x")-1))),"Revisar formato")))</f>
        <v/>
      </c>
      <c r="G625" s="24" t="str">
        <f>IF(Registro!$F625="","",IF(ISERROR(FIND("x",LOWER(Registro!$F625))),N(Registro!$G625),IFERROR(SUMPRODUCT(--("0"&amp;LEFT(TRIM(MID(SUBSTITUTE(SUBSTITUTE(SUBSTITUTE(SUBSTITUTE(SUBSTITUTE(LOWER(Registro!$F625)," ",""),CHAR(10),"|"),";","|"),"+","|"),"|",REPT(" ",LEN(Registro!$F625))),({1,2,3,4,5,6,7,8,9,10,11,12,13,14,15,16,17,18,19,20,21,22,23,24,25,26,27,28,29,30}-1)*LEN(Registro!$F625)+1,LEN(Registro!$F625))),FIND("x",TRIM(MID(SUBSTITUTE(SUBSTITUTE(SUBSTITUTE(SUBSTITUTE(SUBSTITUTE(LOWER(Registro!$F625)," ",""),CHAR(10),"|"),";","|"),"+","|"),"|",REPT(" ",LEN(Registro!$F625))),({1,2,3,4,5,6,7,8,9,10,11,12,13,14,15,16,17,18,19,20,21,22,23,24,25,26,27,28,29,30}-1)*LEN(Registro!$F625)+1,LEN(Registro!$F625)))&amp;"x")-1)),--("0"&amp;MID(TRIM(MID(SUBSTITUTE(SUBSTITUTE(SUBSTITUTE(SUBSTITUTE(SUBSTITUTE(LOWER(Registro!$F625)," ",""),CHAR(10),"|"),";","|"),"+","|"),"|",REPT(" ",LEN(Registro!$F625))),({1,2,3,4,5,6,7,8,9,10,11,12,13,14,15,16,17,18,19,20,21,22,23,24,25,26,27,28,29,30}-1)*LEN(Registro!$F625)+1,LEN(Registro!$F625))),FIND("x",TRIM(MID(SUBSTITUTE(SUBSTITUTE(SUBSTITUTE(SUBSTITUTE(SUBSTITUTE(LOWER(Registro!$F625)," ",""),CHAR(10),"|"),";","|"),"+","|"),"|",REPT(" ",LEN(Registro!$F625))),({1,2,3,4,5,6,7,8,9,10,11,12,13,14,15,16,17,18,19,20,21,22,23,24,25,26,27,28,29,30}-1)*LEN(Registro!$F625)+1,LEN(Registro!$F625)))&amp;"x")+1,20))),"Revisar formato")))</f>
        <v/>
      </c>
      <c r="H625" s="21" t="str">
        <f>IF(AND(Registro!$E625="",Registro!$F625=""),"",IF(NOT(AND(ISNUMBER(G625),ISNUMBER(Registro!$G625))),"",IF(G625&lt;Registro!$G625,"FALTA BOLETOS",IF(G625=Registro!$G625,"CONFORME","DIFERENCIA"))))</f>
        <v/>
      </c>
      <c r="I625" s="24" t="str">
        <f>IF(Registro!$H625="","",IFERROR(SUMPRODUCT(--("0"&amp;TRIM(RIGHT(SUBSTITUTE(TRIM(MID(SUBSTITUTE(SUBSTITUTE(Registro!$H625,";",CHAR(10)),CHAR(10),REPT(" ",LEN(Registro!$H625))),({1,2,3,4,5,6,7,8,9,10,11,12,13,14,15,16,17,18,19,20,21,22,23,24,25,26,27,28,29,30}-1)*LEN(Registro!$H625)+1,LEN(Registro!$H625)))," ",REPT(" ",50)),50)))),"Revisar formato"))</f>
        <v/>
      </c>
      <c r="J625" s="24" t="str">
        <f>IF(Registro!$I625="","",IFERROR(SUMPRODUCT(--("0"&amp;TRIM(RIGHT(SUBSTITUTE(TRIM(MID(SUBSTITUTE(SUBSTITUTE(Registro!$I625,";",CHAR(10)),CHAR(10),REPT(" ",LEN(Registro!$I625))),({1,2,3,4,5,6,7,8,9,10,11,12,13,14,15,16,17,18,19,20,21,22,23,24,25,26,27,28,29,30}-1)*LEN(Registro!$I625)+1,LEN(Registro!$I625)))," ",REPT(" ",50)),50)))),"Revisar formato"))</f>
        <v/>
      </c>
      <c r="K625" s="24" t="str">
        <f>IF(AND(Registro!$G625="",Registro!$H625=""),"",IF(AND(ISTEXT(I625),I625&lt;&gt;""),"Revisar formato",N(Registro!$G625)-N(I625)))</f>
        <v/>
      </c>
      <c r="L625" s="24" t="str">
        <f t="shared" si="19"/>
        <v/>
      </c>
      <c r="M625" s="36" t="str">
        <f>IF(AND(A625=Consulta!$B$3,C625=Consulta!$H$3),B625*10000+ROW(),"")</f>
        <v/>
      </c>
    </row>
    <row r="626" spans="1:13" x14ac:dyDescent="0.25">
      <c r="A626" s="21" t="str">
        <f>IF(Registro!$A626="","",Registro!$A626)</f>
        <v/>
      </c>
      <c r="B626" s="20" t="str">
        <f>IF(Registro!$B626="","",Registro!$B626)</f>
        <v/>
      </c>
      <c r="C626" s="35" t="str">
        <f t="shared" si="18"/>
        <v/>
      </c>
      <c r="D626" s="23" t="str">
        <f>IF(Registro!$E626="","",IF(ISERROR(FIND("x",LOWER(Registro!$E626))),"-",IFERROR(SUMPRODUCT(--("0"&amp;LEFT(TRIM(MID(SUBSTITUTE(SUBSTITUTE(SUBSTITUTE(SUBSTITUTE(SUBSTITUTE(LOWER(Registro!$E626),"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",LEN(Registro!$E626))),({1,2,3,4,5,6,7,8,9,10,11,12,13,14,15,16,17,18,19,20,21,22,23,24,25,26,27,28,29,30}-1)*LEN(Registro!$E626)+1,LEN(Registro!$E626))),FIND("x",TRIM(MID(SUBSTITUTE(SUBSTITUTE(SUBSTITUTE(SUBSTITUTE(SUBSTITUTE(LOWER(Registro!$E626),"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",LEN(Registro!$E626))),({1,2,3,4,5,6,7,8,9,10,11,12,13,14,15,16,17,18,19,20,21,22,23,24,25,26,27,28,29,30}-1)*LEN(Registro!$E626)+1,LEN(Registro!$E626)))&amp;"x")-1))),"Revisar formato")))</f>
        <v/>
      </c>
      <c r="E626" s="24" t="str">
        <f>IF(Registro!$E626="","",IF(ISERROR(FIND("x",LOWER(Registro!$E626))),"-",IFERROR(SUMPRODUCT(--("0"&amp;LEFT(TRIM(MID(SUBSTITUTE(SUBSTITUTE(SUBSTITUTE(SUBSTITUTE(SUBSTITUTE(LOWER(Registro!$E626),"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",LEN(Registro!$E626))),({1,2,3,4,5,6,7,8,9,10,11,12,13,14,15,16,17,18,19,20,21,22,23,24,25,26,27,28,29,30}-1)*LEN(Registro!$E626)+1,LEN(Registro!$E626))),FIND("x",TRIM(MID(SUBSTITUTE(SUBSTITUTE(SUBSTITUTE(SUBSTITUTE(SUBSTITUTE(LOWER(Registro!$E626),"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",LEN(Registro!$E626))),({1,2,3,4,5,6,7,8,9,10,11,12,13,14,15,16,17,18,19,20,21,22,23,24,25,26,27,28,29,30}-1)*LEN(Registro!$E626)+1,LEN(Registro!$E626)))&amp;"x")-1)),--("0"&amp;MID(TRIM(MID(SUBSTITUTE(SUBSTITUTE(SUBSTITUTE(SUBSTITUTE(SUBSTITUTE(LOWER(Registro!$E626),"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",LEN(Registro!$E626))),({1,2,3,4,5,6,7,8,9,10,11,12,13,14,15,16,17,18,19,20,21,22,23,24,25,26,27,28,29,30}-1)*LEN(Registro!$E626)+1,LEN(Registro!$E626))),FIND("x",TRIM(MID(SUBSTITUTE(SUBSTITUTE(SUBSTITUTE(SUBSTITUTE(SUBSTITUTE(LOWER(Registro!$E626),"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",LEN(Registro!$E626))),({1,2,3,4,5,6,7,8,9,10,11,12,13,14,15,16,17,18,19,20,21,22,23,24,25,26,27,28,29,30}-1)*LEN(Registro!$E626)+1,LEN(Registro!$E626)))&amp;"x")+1,20))),"Revisar formato")))</f>
        <v/>
      </c>
      <c r="F626" s="23" t="str">
        <f>IF(Registro!$F626="","",IF(ISERROR(FIND("x",LOWER(Registro!$F626))),"-",IFERROR(SUMPRODUCT(--("0"&amp;LEFT(TRIM(MID(SUBSTITUTE(SUBSTITUTE(SUBSTITUTE(SUBSTITUTE(SUBSTITUTE(LOWER(Registro!$F626)," ",""),CHAR(10),"|"),";","|"),"+","|"),"|",REPT(" ",LEN(Registro!$F626))),({1,2,3,4,5,6,7,8,9,10,11,12,13,14,15,16,17,18,19,20,21,22,23,24,25,26,27,28,29,30}-1)*LEN(Registro!$F626)+1,LEN(Registro!$F626))),FIND("x",TRIM(MID(SUBSTITUTE(SUBSTITUTE(SUBSTITUTE(SUBSTITUTE(SUBSTITUTE(LOWER(Registro!$F626)," ",""),CHAR(10),"|"),";","|"),"+","|"),"|",REPT(" ",LEN(Registro!$F626))),({1,2,3,4,5,6,7,8,9,10,11,12,13,14,15,16,17,18,19,20,21,22,23,24,25,26,27,28,29,30}-1)*LEN(Registro!$F626)+1,LEN(Registro!$F626)))&amp;"x")-1))),"Revisar formato")))</f>
        <v/>
      </c>
      <c r="G626" s="24" t="str">
        <f>IF(Registro!$F626="","",IF(ISERROR(FIND("x",LOWER(Registro!$F626))),N(Registro!$G626),IFERROR(SUMPRODUCT(--("0"&amp;LEFT(TRIM(MID(SUBSTITUTE(SUBSTITUTE(SUBSTITUTE(SUBSTITUTE(SUBSTITUTE(LOWER(Registro!$F626)," ",""),CHAR(10),"|"),";","|"),"+","|"),"|",REPT(" ",LEN(Registro!$F626))),({1,2,3,4,5,6,7,8,9,10,11,12,13,14,15,16,17,18,19,20,21,22,23,24,25,26,27,28,29,30}-1)*LEN(Registro!$F626)+1,LEN(Registro!$F626))),FIND("x",TRIM(MID(SUBSTITUTE(SUBSTITUTE(SUBSTITUTE(SUBSTITUTE(SUBSTITUTE(LOWER(Registro!$F626)," ",""),CHAR(10),"|"),";","|"),"+","|"),"|",REPT(" ",LEN(Registro!$F626))),({1,2,3,4,5,6,7,8,9,10,11,12,13,14,15,16,17,18,19,20,21,22,23,24,25,26,27,28,29,30}-1)*LEN(Registro!$F626)+1,LEN(Registro!$F626)))&amp;"x")-1)),--("0"&amp;MID(TRIM(MID(SUBSTITUTE(SUBSTITUTE(SUBSTITUTE(SUBSTITUTE(SUBSTITUTE(LOWER(Registro!$F626)," ",""),CHAR(10),"|"),";","|"),"+","|"),"|",REPT(" ",LEN(Registro!$F626))),({1,2,3,4,5,6,7,8,9,10,11,12,13,14,15,16,17,18,19,20,21,22,23,24,25,26,27,28,29,30}-1)*LEN(Registro!$F626)+1,LEN(Registro!$F626))),FIND("x",TRIM(MID(SUBSTITUTE(SUBSTITUTE(SUBSTITUTE(SUBSTITUTE(SUBSTITUTE(LOWER(Registro!$F626)," ",""),CHAR(10),"|"),";","|"),"+","|"),"|",REPT(" ",LEN(Registro!$F626))),({1,2,3,4,5,6,7,8,9,10,11,12,13,14,15,16,17,18,19,20,21,22,23,24,25,26,27,28,29,30}-1)*LEN(Registro!$F626)+1,LEN(Registro!$F626)))&amp;"x")+1,20))),"Revisar formato")))</f>
        <v/>
      </c>
      <c r="H626" s="21" t="str">
        <f>IF(AND(Registro!$E626="",Registro!$F626=""),"",IF(NOT(AND(ISNUMBER(G626),ISNUMBER(Registro!$G626))),"",IF(G626&lt;Registro!$G626,"FALTA BOLETOS",IF(G626=Registro!$G626,"CONFORME","DIFERENCIA"))))</f>
        <v/>
      </c>
      <c r="I626" s="24" t="str">
        <f>IF(Registro!$H626="","",IFERROR(SUMPRODUCT(--("0"&amp;TRIM(RIGHT(SUBSTITUTE(TRIM(MID(SUBSTITUTE(SUBSTITUTE(Registro!$H626,";",CHAR(10)),CHAR(10),REPT(" ",LEN(Registro!$H626))),({1,2,3,4,5,6,7,8,9,10,11,12,13,14,15,16,17,18,19,20,21,22,23,24,25,26,27,28,29,30}-1)*LEN(Registro!$H626)+1,LEN(Registro!$H626)))," ",REPT(" ",50)),50)))),"Revisar formato"))</f>
        <v/>
      </c>
      <c r="J626" s="24" t="str">
        <f>IF(Registro!$I626="","",IFERROR(SUMPRODUCT(--("0"&amp;TRIM(RIGHT(SUBSTITUTE(TRIM(MID(SUBSTITUTE(SUBSTITUTE(Registro!$I626,";",CHAR(10)),CHAR(10),REPT(" ",LEN(Registro!$I626))),({1,2,3,4,5,6,7,8,9,10,11,12,13,14,15,16,17,18,19,20,21,22,23,24,25,26,27,28,29,30}-1)*LEN(Registro!$I626)+1,LEN(Registro!$I626)))," ",REPT(" ",50)),50)))),"Revisar formato"))</f>
        <v/>
      </c>
      <c r="K626" s="24" t="str">
        <f>IF(AND(Registro!$G626="",Registro!$H626=""),"",IF(AND(ISTEXT(I626),I626&lt;&gt;""),"Revisar formato",N(Registro!$G626)-N(I626)))</f>
        <v/>
      </c>
      <c r="L626" s="24" t="str">
        <f t="shared" si="19"/>
        <v/>
      </c>
      <c r="M626" s="36" t="str">
        <f>IF(AND(A626=Consulta!$B$3,C626=Consulta!$H$3),B626*10000+ROW(),"")</f>
        <v/>
      </c>
    </row>
    <row r="627" spans="1:13" x14ac:dyDescent="0.25">
      <c r="A627" s="21" t="str">
        <f>IF(Registro!$A627="","",Registro!$A627)</f>
        <v/>
      </c>
      <c r="B627" s="20" t="str">
        <f>IF(Registro!$B627="","",Registro!$B627)</f>
        <v/>
      </c>
      <c r="C627" s="35" t="str">
        <f t="shared" si="18"/>
        <v/>
      </c>
      <c r="D627" s="23" t="str">
        <f>IF(Registro!$E627="","",IF(ISERROR(FIND("x",LOWER(Registro!$E627))),"-",IFERROR(SUMPRODUCT(--("0"&amp;LEFT(TRIM(MID(SUBSTITUTE(SUBSTITUTE(SUBSTITUTE(SUBSTITUTE(SUBSTITUTE(LOWER(Registro!$E627),"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",LEN(Registro!$E627))),({1,2,3,4,5,6,7,8,9,10,11,12,13,14,15,16,17,18,19,20,21,22,23,24,25,26,27,28,29,30}-1)*LEN(Registro!$E627)+1,LEN(Registro!$E627))),FIND("x",TRIM(MID(SUBSTITUTE(SUBSTITUTE(SUBSTITUTE(SUBSTITUTE(SUBSTITUTE(LOWER(Registro!$E627),"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",LEN(Registro!$E627))),({1,2,3,4,5,6,7,8,9,10,11,12,13,14,15,16,17,18,19,20,21,22,23,24,25,26,27,28,29,30}-1)*LEN(Registro!$E627)+1,LEN(Registro!$E627)))&amp;"x")-1))),"Revisar formato")))</f>
        <v/>
      </c>
      <c r="E627" s="24" t="str">
        <f>IF(Registro!$E627="","",IF(ISERROR(FIND("x",LOWER(Registro!$E627))),"-",IFERROR(SUMPRODUCT(--("0"&amp;LEFT(TRIM(MID(SUBSTITUTE(SUBSTITUTE(SUBSTITUTE(SUBSTITUTE(SUBSTITUTE(LOWER(Registro!$E627),"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",LEN(Registro!$E627))),({1,2,3,4,5,6,7,8,9,10,11,12,13,14,15,16,17,18,19,20,21,22,23,24,25,26,27,28,29,30}-1)*LEN(Registro!$E627)+1,LEN(Registro!$E627))),FIND("x",TRIM(MID(SUBSTITUTE(SUBSTITUTE(SUBSTITUTE(SUBSTITUTE(SUBSTITUTE(LOWER(Registro!$E627),"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",LEN(Registro!$E627))),({1,2,3,4,5,6,7,8,9,10,11,12,13,14,15,16,17,18,19,20,21,22,23,24,25,26,27,28,29,30}-1)*LEN(Registro!$E627)+1,LEN(Registro!$E627)))&amp;"x")-1)),--("0"&amp;MID(TRIM(MID(SUBSTITUTE(SUBSTITUTE(SUBSTITUTE(SUBSTITUTE(SUBSTITUTE(LOWER(Registro!$E627),"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",LEN(Registro!$E627))),({1,2,3,4,5,6,7,8,9,10,11,12,13,14,15,16,17,18,19,20,21,22,23,24,25,26,27,28,29,30}-1)*LEN(Registro!$E627)+1,LEN(Registro!$E627))),FIND("x",TRIM(MID(SUBSTITUTE(SUBSTITUTE(SUBSTITUTE(SUBSTITUTE(SUBSTITUTE(LOWER(Registro!$E627),"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",LEN(Registro!$E627))),({1,2,3,4,5,6,7,8,9,10,11,12,13,14,15,16,17,18,19,20,21,22,23,24,25,26,27,28,29,30}-1)*LEN(Registro!$E627)+1,LEN(Registro!$E627)))&amp;"x")+1,20))),"Revisar formato")))</f>
        <v/>
      </c>
      <c r="F627" s="23" t="str">
        <f>IF(Registro!$F627="","",IF(ISERROR(FIND("x",LOWER(Registro!$F627))),"-",IFERROR(SUMPRODUCT(--("0"&amp;LEFT(TRIM(MID(SUBSTITUTE(SUBSTITUTE(SUBSTITUTE(SUBSTITUTE(SUBSTITUTE(LOWER(Registro!$F627)," ",""),CHAR(10),"|"),";","|"),"+","|"),"|",REPT(" ",LEN(Registro!$F627))),({1,2,3,4,5,6,7,8,9,10,11,12,13,14,15,16,17,18,19,20,21,22,23,24,25,26,27,28,29,30}-1)*LEN(Registro!$F627)+1,LEN(Registro!$F627))),FIND("x",TRIM(MID(SUBSTITUTE(SUBSTITUTE(SUBSTITUTE(SUBSTITUTE(SUBSTITUTE(LOWER(Registro!$F627)," ",""),CHAR(10),"|"),";","|"),"+","|"),"|",REPT(" ",LEN(Registro!$F627))),({1,2,3,4,5,6,7,8,9,10,11,12,13,14,15,16,17,18,19,20,21,22,23,24,25,26,27,28,29,30}-1)*LEN(Registro!$F627)+1,LEN(Registro!$F627)))&amp;"x")-1))),"Revisar formato")))</f>
        <v/>
      </c>
      <c r="G627" s="24" t="str">
        <f>IF(Registro!$F627="","",IF(ISERROR(FIND("x",LOWER(Registro!$F627))),N(Registro!$G627),IFERROR(SUMPRODUCT(--("0"&amp;LEFT(TRIM(MID(SUBSTITUTE(SUBSTITUTE(SUBSTITUTE(SUBSTITUTE(SUBSTITUTE(LOWER(Registro!$F627)," ",""),CHAR(10),"|"),";","|"),"+","|"),"|",REPT(" ",LEN(Registro!$F627))),({1,2,3,4,5,6,7,8,9,10,11,12,13,14,15,16,17,18,19,20,21,22,23,24,25,26,27,28,29,30}-1)*LEN(Registro!$F627)+1,LEN(Registro!$F627))),FIND("x",TRIM(MID(SUBSTITUTE(SUBSTITUTE(SUBSTITUTE(SUBSTITUTE(SUBSTITUTE(LOWER(Registro!$F627)," ",""),CHAR(10),"|"),";","|"),"+","|"),"|",REPT(" ",LEN(Registro!$F627))),({1,2,3,4,5,6,7,8,9,10,11,12,13,14,15,16,17,18,19,20,21,22,23,24,25,26,27,28,29,30}-1)*LEN(Registro!$F627)+1,LEN(Registro!$F627)))&amp;"x")-1)),--("0"&amp;MID(TRIM(MID(SUBSTITUTE(SUBSTITUTE(SUBSTITUTE(SUBSTITUTE(SUBSTITUTE(LOWER(Registro!$F627)," ",""),CHAR(10),"|"),";","|"),"+","|"),"|",REPT(" ",LEN(Registro!$F627))),({1,2,3,4,5,6,7,8,9,10,11,12,13,14,15,16,17,18,19,20,21,22,23,24,25,26,27,28,29,30}-1)*LEN(Registro!$F627)+1,LEN(Registro!$F627))),FIND("x",TRIM(MID(SUBSTITUTE(SUBSTITUTE(SUBSTITUTE(SUBSTITUTE(SUBSTITUTE(LOWER(Registro!$F627)," ",""),CHAR(10),"|"),";","|"),"+","|"),"|",REPT(" ",LEN(Registro!$F627))),({1,2,3,4,5,6,7,8,9,10,11,12,13,14,15,16,17,18,19,20,21,22,23,24,25,26,27,28,29,30}-1)*LEN(Registro!$F627)+1,LEN(Registro!$F627)))&amp;"x")+1,20))),"Revisar formato")))</f>
        <v/>
      </c>
      <c r="H627" s="21" t="str">
        <f>IF(AND(Registro!$E627="",Registro!$F627=""),"",IF(NOT(AND(ISNUMBER(G627),ISNUMBER(Registro!$G627))),"",IF(G627&lt;Registro!$G627,"FALTA BOLETOS",IF(G627=Registro!$G627,"CONFORME","DIFERENCIA"))))</f>
        <v/>
      </c>
      <c r="I627" s="24" t="str">
        <f>IF(Registro!$H627="","",IFERROR(SUMPRODUCT(--("0"&amp;TRIM(RIGHT(SUBSTITUTE(TRIM(MID(SUBSTITUTE(SUBSTITUTE(Registro!$H627,";",CHAR(10)),CHAR(10),REPT(" ",LEN(Registro!$H627))),({1,2,3,4,5,6,7,8,9,10,11,12,13,14,15,16,17,18,19,20,21,22,23,24,25,26,27,28,29,30}-1)*LEN(Registro!$H627)+1,LEN(Registro!$H627)))," ",REPT(" ",50)),50)))),"Revisar formato"))</f>
        <v/>
      </c>
      <c r="J627" s="24" t="str">
        <f>IF(Registro!$I627="","",IFERROR(SUMPRODUCT(--("0"&amp;TRIM(RIGHT(SUBSTITUTE(TRIM(MID(SUBSTITUTE(SUBSTITUTE(Registro!$I627,";",CHAR(10)),CHAR(10),REPT(" ",LEN(Registro!$I627))),({1,2,3,4,5,6,7,8,9,10,11,12,13,14,15,16,17,18,19,20,21,22,23,24,25,26,27,28,29,30}-1)*LEN(Registro!$I627)+1,LEN(Registro!$I627)))," ",REPT(" ",50)),50)))),"Revisar formato"))</f>
        <v/>
      </c>
      <c r="K627" s="24" t="str">
        <f>IF(AND(Registro!$G627="",Registro!$H627=""),"",IF(AND(ISTEXT(I627),I627&lt;&gt;""),"Revisar formato",N(Registro!$G627)-N(I627)))</f>
        <v/>
      </c>
      <c r="L627" s="24" t="str">
        <f t="shared" si="19"/>
        <v/>
      </c>
      <c r="M627" s="36" t="str">
        <f>IF(AND(A627=Consulta!$B$3,C627=Consulta!$H$3),B627*10000+ROW(),"")</f>
        <v/>
      </c>
    </row>
    <row r="628" spans="1:13" x14ac:dyDescent="0.25">
      <c r="A628" s="21" t="str">
        <f>IF(Registro!$A628="","",Registro!$A628)</f>
        <v/>
      </c>
      <c r="B628" s="20" t="str">
        <f>IF(Registro!$B628="","",Registro!$B628)</f>
        <v/>
      </c>
      <c r="C628" s="35" t="str">
        <f t="shared" si="18"/>
        <v/>
      </c>
      <c r="D628" s="23" t="str">
        <f>IF(Registro!$E628="","",IF(ISERROR(FIND("x",LOWER(Registro!$E628))),"-",IFERROR(SUMPRODUCT(--("0"&amp;LEFT(TRIM(MID(SUBSTITUTE(SUBSTITUTE(SUBSTITUTE(SUBSTITUTE(SUBSTITUTE(LOWER(Registro!$E628),"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",LEN(Registro!$E628))),({1,2,3,4,5,6,7,8,9,10,11,12,13,14,15,16,17,18,19,20,21,22,23,24,25,26,27,28,29,30}-1)*LEN(Registro!$E628)+1,LEN(Registro!$E628))),FIND("x",TRIM(MID(SUBSTITUTE(SUBSTITUTE(SUBSTITUTE(SUBSTITUTE(SUBSTITUTE(LOWER(Registro!$E628),"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",LEN(Registro!$E628))),({1,2,3,4,5,6,7,8,9,10,11,12,13,14,15,16,17,18,19,20,21,22,23,24,25,26,27,28,29,30}-1)*LEN(Registro!$E628)+1,LEN(Registro!$E628)))&amp;"x")-1))),"Revisar formato")))</f>
        <v/>
      </c>
      <c r="E628" s="24" t="str">
        <f>IF(Registro!$E628="","",IF(ISERROR(FIND("x",LOWER(Registro!$E628))),"-",IFERROR(SUMPRODUCT(--("0"&amp;LEFT(TRIM(MID(SUBSTITUTE(SUBSTITUTE(SUBSTITUTE(SUBSTITUTE(SUBSTITUTE(LOWER(Registro!$E628),"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",LEN(Registro!$E628))),({1,2,3,4,5,6,7,8,9,10,11,12,13,14,15,16,17,18,19,20,21,22,23,24,25,26,27,28,29,30}-1)*LEN(Registro!$E628)+1,LEN(Registro!$E628))),FIND("x",TRIM(MID(SUBSTITUTE(SUBSTITUTE(SUBSTITUTE(SUBSTITUTE(SUBSTITUTE(LOWER(Registro!$E628),"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",LEN(Registro!$E628))),({1,2,3,4,5,6,7,8,9,10,11,12,13,14,15,16,17,18,19,20,21,22,23,24,25,26,27,28,29,30}-1)*LEN(Registro!$E628)+1,LEN(Registro!$E628)))&amp;"x")-1)),--("0"&amp;MID(TRIM(MID(SUBSTITUTE(SUBSTITUTE(SUBSTITUTE(SUBSTITUTE(SUBSTITUTE(LOWER(Registro!$E628),"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",LEN(Registro!$E628))),({1,2,3,4,5,6,7,8,9,10,11,12,13,14,15,16,17,18,19,20,21,22,23,24,25,26,27,28,29,30}-1)*LEN(Registro!$E628)+1,LEN(Registro!$E628))),FIND("x",TRIM(MID(SUBSTITUTE(SUBSTITUTE(SUBSTITUTE(SUBSTITUTE(SUBSTITUTE(LOWER(Registro!$E628),"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",LEN(Registro!$E628))),({1,2,3,4,5,6,7,8,9,10,11,12,13,14,15,16,17,18,19,20,21,22,23,24,25,26,27,28,29,30}-1)*LEN(Registro!$E628)+1,LEN(Registro!$E628)))&amp;"x")+1,20))),"Revisar formato")))</f>
        <v/>
      </c>
      <c r="F628" s="23" t="str">
        <f>IF(Registro!$F628="","",IF(ISERROR(FIND("x",LOWER(Registro!$F628))),"-",IFERROR(SUMPRODUCT(--("0"&amp;LEFT(TRIM(MID(SUBSTITUTE(SUBSTITUTE(SUBSTITUTE(SUBSTITUTE(SUBSTITUTE(LOWER(Registro!$F628)," ",""),CHAR(10),"|"),";","|"),"+","|"),"|",REPT(" ",LEN(Registro!$F628))),({1,2,3,4,5,6,7,8,9,10,11,12,13,14,15,16,17,18,19,20,21,22,23,24,25,26,27,28,29,30}-1)*LEN(Registro!$F628)+1,LEN(Registro!$F628))),FIND("x",TRIM(MID(SUBSTITUTE(SUBSTITUTE(SUBSTITUTE(SUBSTITUTE(SUBSTITUTE(LOWER(Registro!$F628)," ",""),CHAR(10),"|"),";","|"),"+","|"),"|",REPT(" ",LEN(Registro!$F628))),({1,2,3,4,5,6,7,8,9,10,11,12,13,14,15,16,17,18,19,20,21,22,23,24,25,26,27,28,29,30}-1)*LEN(Registro!$F628)+1,LEN(Registro!$F628)))&amp;"x")-1))),"Revisar formato")))</f>
        <v/>
      </c>
      <c r="G628" s="24" t="str">
        <f>IF(Registro!$F628="","",IF(ISERROR(FIND("x",LOWER(Registro!$F628))),N(Registro!$G628),IFERROR(SUMPRODUCT(--("0"&amp;LEFT(TRIM(MID(SUBSTITUTE(SUBSTITUTE(SUBSTITUTE(SUBSTITUTE(SUBSTITUTE(LOWER(Registro!$F628)," ",""),CHAR(10),"|"),";","|"),"+","|"),"|",REPT(" ",LEN(Registro!$F628))),({1,2,3,4,5,6,7,8,9,10,11,12,13,14,15,16,17,18,19,20,21,22,23,24,25,26,27,28,29,30}-1)*LEN(Registro!$F628)+1,LEN(Registro!$F628))),FIND("x",TRIM(MID(SUBSTITUTE(SUBSTITUTE(SUBSTITUTE(SUBSTITUTE(SUBSTITUTE(LOWER(Registro!$F628)," ",""),CHAR(10),"|"),";","|"),"+","|"),"|",REPT(" ",LEN(Registro!$F628))),({1,2,3,4,5,6,7,8,9,10,11,12,13,14,15,16,17,18,19,20,21,22,23,24,25,26,27,28,29,30}-1)*LEN(Registro!$F628)+1,LEN(Registro!$F628)))&amp;"x")-1)),--("0"&amp;MID(TRIM(MID(SUBSTITUTE(SUBSTITUTE(SUBSTITUTE(SUBSTITUTE(SUBSTITUTE(LOWER(Registro!$F628)," ",""),CHAR(10),"|"),";","|"),"+","|"),"|",REPT(" ",LEN(Registro!$F628))),({1,2,3,4,5,6,7,8,9,10,11,12,13,14,15,16,17,18,19,20,21,22,23,24,25,26,27,28,29,30}-1)*LEN(Registro!$F628)+1,LEN(Registro!$F628))),FIND("x",TRIM(MID(SUBSTITUTE(SUBSTITUTE(SUBSTITUTE(SUBSTITUTE(SUBSTITUTE(LOWER(Registro!$F628)," ",""),CHAR(10),"|"),";","|"),"+","|"),"|",REPT(" ",LEN(Registro!$F628))),({1,2,3,4,5,6,7,8,9,10,11,12,13,14,15,16,17,18,19,20,21,22,23,24,25,26,27,28,29,30}-1)*LEN(Registro!$F628)+1,LEN(Registro!$F628)))&amp;"x")+1,20))),"Revisar formato")))</f>
        <v/>
      </c>
      <c r="H628" s="21" t="str">
        <f>IF(AND(Registro!$E628="",Registro!$F628=""),"",IF(NOT(AND(ISNUMBER(G628),ISNUMBER(Registro!$G628))),"",IF(G628&lt;Registro!$G628,"FALTA BOLETOS",IF(G628=Registro!$G628,"CONFORME","DIFERENCIA"))))</f>
        <v/>
      </c>
      <c r="I628" s="24" t="str">
        <f>IF(Registro!$H628="","",IFERROR(SUMPRODUCT(--("0"&amp;TRIM(RIGHT(SUBSTITUTE(TRIM(MID(SUBSTITUTE(SUBSTITUTE(Registro!$H628,";",CHAR(10)),CHAR(10),REPT(" ",LEN(Registro!$H628))),({1,2,3,4,5,6,7,8,9,10,11,12,13,14,15,16,17,18,19,20,21,22,23,24,25,26,27,28,29,30}-1)*LEN(Registro!$H628)+1,LEN(Registro!$H628)))," ",REPT(" ",50)),50)))),"Revisar formato"))</f>
        <v/>
      </c>
      <c r="J628" s="24" t="str">
        <f>IF(Registro!$I628="","",IFERROR(SUMPRODUCT(--("0"&amp;TRIM(RIGHT(SUBSTITUTE(TRIM(MID(SUBSTITUTE(SUBSTITUTE(Registro!$I628,";",CHAR(10)),CHAR(10),REPT(" ",LEN(Registro!$I628))),({1,2,3,4,5,6,7,8,9,10,11,12,13,14,15,16,17,18,19,20,21,22,23,24,25,26,27,28,29,30}-1)*LEN(Registro!$I628)+1,LEN(Registro!$I628)))," ",REPT(" ",50)),50)))),"Revisar formato"))</f>
        <v/>
      </c>
      <c r="K628" s="24" t="str">
        <f>IF(AND(Registro!$G628="",Registro!$H628=""),"",IF(AND(ISTEXT(I628),I628&lt;&gt;""),"Revisar formato",N(Registro!$G628)-N(I628)))</f>
        <v/>
      </c>
      <c r="L628" s="24" t="str">
        <f t="shared" si="19"/>
        <v/>
      </c>
      <c r="M628" s="36" t="str">
        <f>IF(AND(A628=Consulta!$B$3,C628=Consulta!$H$3),B628*10000+ROW(),"")</f>
        <v/>
      </c>
    </row>
    <row r="629" spans="1:13" x14ac:dyDescent="0.25">
      <c r="A629" s="21" t="str">
        <f>IF(Registro!$A629="","",Registro!$A629)</f>
        <v/>
      </c>
      <c r="B629" s="20" t="str">
        <f>IF(Registro!$B629="","",Registro!$B629)</f>
        <v/>
      </c>
      <c r="C629" s="35" t="str">
        <f t="shared" si="18"/>
        <v/>
      </c>
      <c r="D629" s="23" t="str">
        <f>IF(Registro!$E629="","",IF(ISERROR(FIND("x",LOWER(Registro!$E629))),"-",IFERROR(SUMPRODUCT(--("0"&amp;LEFT(TRIM(MID(SUBSTITUTE(SUBSTITUTE(SUBSTITUTE(SUBSTITUTE(SUBSTITUTE(LOWER(Registro!$E629),"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",LEN(Registro!$E629))),({1,2,3,4,5,6,7,8,9,10,11,12,13,14,15,16,17,18,19,20,21,22,23,24,25,26,27,28,29,30}-1)*LEN(Registro!$E629)+1,LEN(Registro!$E629))),FIND("x",TRIM(MID(SUBSTITUTE(SUBSTITUTE(SUBSTITUTE(SUBSTITUTE(SUBSTITUTE(LOWER(Registro!$E629),"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",LEN(Registro!$E629))),({1,2,3,4,5,6,7,8,9,10,11,12,13,14,15,16,17,18,19,20,21,22,23,24,25,26,27,28,29,30}-1)*LEN(Registro!$E629)+1,LEN(Registro!$E629)))&amp;"x")-1))),"Revisar formato")))</f>
        <v/>
      </c>
      <c r="E629" s="24" t="str">
        <f>IF(Registro!$E629="","",IF(ISERROR(FIND("x",LOWER(Registro!$E629))),"-",IFERROR(SUMPRODUCT(--("0"&amp;LEFT(TRIM(MID(SUBSTITUTE(SUBSTITUTE(SUBSTITUTE(SUBSTITUTE(SUBSTITUTE(LOWER(Registro!$E629),"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",LEN(Registro!$E629))),({1,2,3,4,5,6,7,8,9,10,11,12,13,14,15,16,17,18,19,20,21,22,23,24,25,26,27,28,29,30}-1)*LEN(Registro!$E629)+1,LEN(Registro!$E629))),FIND("x",TRIM(MID(SUBSTITUTE(SUBSTITUTE(SUBSTITUTE(SUBSTITUTE(SUBSTITUTE(LOWER(Registro!$E629),"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",LEN(Registro!$E629))),({1,2,3,4,5,6,7,8,9,10,11,12,13,14,15,16,17,18,19,20,21,22,23,24,25,26,27,28,29,30}-1)*LEN(Registro!$E629)+1,LEN(Registro!$E629)))&amp;"x")-1)),--("0"&amp;MID(TRIM(MID(SUBSTITUTE(SUBSTITUTE(SUBSTITUTE(SUBSTITUTE(SUBSTITUTE(LOWER(Registro!$E629),"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",LEN(Registro!$E629))),({1,2,3,4,5,6,7,8,9,10,11,12,13,14,15,16,17,18,19,20,21,22,23,24,25,26,27,28,29,30}-1)*LEN(Registro!$E629)+1,LEN(Registro!$E629))),FIND("x",TRIM(MID(SUBSTITUTE(SUBSTITUTE(SUBSTITUTE(SUBSTITUTE(SUBSTITUTE(LOWER(Registro!$E629),"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",LEN(Registro!$E629))),({1,2,3,4,5,6,7,8,9,10,11,12,13,14,15,16,17,18,19,20,21,22,23,24,25,26,27,28,29,30}-1)*LEN(Registro!$E629)+1,LEN(Registro!$E629)))&amp;"x")+1,20))),"Revisar formato")))</f>
        <v/>
      </c>
      <c r="F629" s="23" t="str">
        <f>IF(Registro!$F629="","",IF(ISERROR(FIND("x",LOWER(Registro!$F629))),"-",IFERROR(SUMPRODUCT(--("0"&amp;LEFT(TRIM(MID(SUBSTITUTE(SUBSTITUTE(SUBSTITUTE(SUBSTITUTE(SUBSTITUTE(LOWER(Registro!$F629)," ",""),CHAR(10),"|"),";","|"),"+","|"),"|",REPT(" ",LEN(Registro!$F629))),({1,2,3,4,5,6,7,8,9,10,11,12,13,14,15,16,17,18,19,20,21,22,23,24,25,26,27,28,29,30}-1)*LEN(Registro!$F629)+1,LEN(Registro!$F629))),FIND("x",TRIM(MID(SUBSTITUTE(SUBSTITUTE(SUBSTITUTE(SUBSTITUTE(SUBSTITUTE(LOWER(Registro!$F629)," ",""),CHAR(10),"|"),";","|"),"+","|"),"|",REPT(" ",LEN(Registro!$F629))),({1,2,3,4,5,6,7,8,9,10,11,12,13,14,15,16,17,18,19,20,21,22,23,24,25,26,27,28,29,30}-1)*LEN(Registro!$F629)+1,LEN(Registro!$F629)))&amp;"x")-1))),"Revisar formato")))</f>
        <v/>
      </c>
      <c r="G629" s="24" t="str">
        <f>IF(Registro!$F629="","",IF(ISERROR(FIND("x",LOWER(Registro!$F629))),N(Registro!$G629),IFERROR(SUMPRODUCT(--("0"&amp;LEFT(TRIM(MID(SUBSTITUTE(SUBSTITUTE(SUBSTITUTE(SUBSTITUTE(SUBSTITUTE(LOWER(Registro!$F629)," ",""),CHAR(10),"|"),";","|"),"+","|"),"|",REPT(" ",LEN(Registro!$F629))),({1,2,3,4,5,6,7,8,9,10,11,12,13,14,15,16,17,18,19,20,21,22,23,24,25,26,27,28,29,30}-1)*LEN(Registro!$F629)+1,LEN(Registro!$F629))),FIND("x",TRIM(MID(SUBSTITUTE(SUBSTITUTE(SUBSTITUTE(SUBSTITUTE(SUBSTITUTE(LOWER(Registro!$F629)," ",""),CHAR(10),"|"),";","|"),"+","|"),"|",REPT(" ",LEN(Registro!$F629))),({1,2,3,4,5,6,7,8,9,10,11,12,13,14,15,16,17,18,19,20,21,22,23,24,25,26,27,28,29,30}-1)*LEN(Registro!$F629)+1,LEN(Registro!$F629)))&amp;"x")-1)),--("0"&amp;MID(TRIM(MID(SUBSTITUTE(SUBSTITUTE(SUBSTITUTE(SUBSTITUTE(SUBSTITUTE(LOWER(Registro!$F629)," ",""),CHAR(10),"|"),";","|"),"+","|"),"|",REPT(" ",LEN(Registro!$F629))),({1,2,3,4,5,6,7,8,9,10,11,12,13,14,15,16,17,18,19,20,21,22,23,24,25,26,27,28,29,30}-1)*LEN(Registro!$F629)+1,LEN(Registro!$F629))),FIND("x",TRIM(MID(SUBSTITUTE(SUBSTITUTE(SUBSTITUTE(SUBSTITUTE(SUBSTITUTE(LOWER(Registro!$F629)," ",""),CHAR(10),"|"),";","|"),"+","|"),"|",REPT(" ",LEN(Registro!$F629))),({1,2,3,4,5,6,7,8,9,10,11,12,13,14,15,16,17,18,19,20,21,22,23,24,25,26,27,28,29,30}-1)*LEN(Registro!$F629)+1,LEN(Registro!$F629)))&amp;"x")+1,20))),"Revisar formato")))</f>
        <v/>
      </c>
      <c r="H629" s="21" t="str">
        <f>IF(AND(Registro!$E629="",Registro!$F629=""),"",IF(NOT(AND(ISNUMBER(G629),ISNUMBER(Registro!$G629))),"",IF(G629&lt;Registro!$G629,"FALTA BOLETOS",IF(G629=Registro!$G629,"CONFORME","DIFERENCIA"))))</f>
        <v/>
      </c>
      <c r="I629" s="24" t="str">
        <f>IF(Registro!$H629="","",IFERROR(SUMPRODUCT(--("0"&amp;TRIM(RIGHT(SUBSTITUTE(TRIM(MID(SUBSTITUTE(SUBSTITUTE(Registro!$H629,";",CHAR(10)),CHAR(10),REPT(" ",LEN(Registro!$H629))),({1,2,3,4,5,6,7,8,9,10,11,12,13,14,15,16,17,18,19,20,21,22,23,24,25,26,27,28,29,30}-1)*LEN(Registro!$H629)+1,LEN(Registro!$H629)))," ",REPT(" ",50)),50)))),"Revisar formato"))</f>
        <v/>
      </c>
      <c r="J629" s="24" t="str">
        <f>IF(Registro!$I629="","",IFERROR(SUMPRODUCT(--("0"&amp;TRIM(RIGHT(SUBSTITUTE(TRIM(MID(SUBSTITUTE(SUBSTITUTE(Registro!$I629,";",CHAR(10)),CHAR(10),REPT(" ",LEN(Registro!$I629))),({1,2,3,4,5,6,7,8,9,10,11,12,13,14,15,16,17,18,19,20,21,22,23,24,25,26,27,28,29,30}-1)*LEN(Registro!$I629)+1,LEN(Registro!$I629)))," ",REPT(" ",50)),50)))),"Revisar formato"))</f>
        <v/>
      </c>
      <c r="K629" s="24" t="str">
        <f>IF(AND(Registro!$G629="",Registro!$H629=""),"",IF(AND(ISTEXT(I629),I629&lt;&gt;""),"Revisar formato",N(Registro!$G629)-N(I629)))</f>
        <v/>
      </c>
      <c r="L629" s="24" t="str">
        <f t="shared" si="19"/>
        <v/>
      </c>
      <c r="M629" s="36" t="str">
        <f>IF(AND(A629=Consulta!$B$3,C629=Consulta!$H$3),B629*10000+ROW(),"")</f>
        <v/>
      </c>
    </row>
    <row r="630" spans="1:13" x14ac:dyDescent="0.25">
      <c r="A630" s="21" t="str">
        <f>IF(Registro!$A630="","",Registro!$A630)</f>
        <v/>
      </c>
      <c r="B630" s="20" t="str">
        <f>IF(Registro!$B630="","",Registro!$B630)</f>
        <v/>
      </c>
      <c r="C630" s="35" t="str">
        <f t="shared" si="18"/>
        <v/>
      </c>
      <c r="D630" s="23" t="str">
        <f>IF(Registro!$E630="","",IF(ISERROR(FIND("x",LOWER(Registro!$E630))),"-",IFERROR(SUMPRODUCT(--("0"&amp;LEFT(TRIM(MID(SUBSTITUTE(SUBSTITUTE(SUBSTITUTE(SUBSTITUTE(SUBSTITUTE(LOWER(Registro!$E630),"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",LEN(Registro!$E630))),({1,2,3,4,5,6,7,8,9,10,11,12,13,14,15,16,17,18,19,20,21,22,23,24,25,26,27,28,29,30}-1)*LEN(Registro!$E630)+1,LEN(Registro!$E630))),FIND("x",TRIM(MID(SUBSTITUTE(SUBSTITUTE(SUBSTITUTE(SUBSTITUTE(SUBSTITUTE(LOWER(Registro!$E630),"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",LEN(Registro!$E630))),({1,2,3,4,5,6,7,8,9,10,11,12,13,14,15,16,17,18,19,20,21,22,23,24,25,26,27,28,29,30}-1)*LEN(Registro!$E630)+1,LEN(Registro!$E630)))&amp;"x")-1))),"Revisar formato")))</f>
        <v/>
      </c>
      <c r="E630" s="24" t="str">
        <f>IF(Registro!$E630="","",IF(ISERROR(FIND("x",LOWER(Registro!$E630))),"-",IFERROR(SUMPRODUCT(--("0"&amp;LEFT(TRIM(MID(SUBSTITUTE(SUBSTITUTE(SUBSTITUTE(SUBSTITUTE(SUBSTITUTE(LOWER(Registro!$E630),"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",LEN(Registro!$E630))),({1,2,3,4,5,6,7,8,9,10,11,12,13,14,15,16,17,18,19,20,21,22,23,24,25,26,27,28,29,30}-1)*LEN(Registro!$E630)+1,LEN(Registro!$E630))),FIND("x",TRIM(MID(SUBSTITUTE(SUBSTITUTE(SUBSTITUTE(SUBSTITUTE(SUBSTITUTE(LOWER(Registro!$E630),"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",LEN(Registro!$E630))),({1,2,3,4,5,6,7,8,9,10,11,12,13,14,15,16,17,18,19,20,21,22,23,24,25,26,27,28,29,30}-1)*LEN(Registro!$E630)+1,LEN(Registro!$E630)))&amp;"x")-1)),--("0"&amp;MID(TRIM(MID(SUBSTITUTE(SUBSTITUTE(SUBSTITUTE(SUBSTITUTE(SUBSTITUTE(LOWER(Registro!$E630),"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",LEN(Registro!$E630))),({1,2,3,4,5,6,7,8,9,10,11,12,13,14,15,16,17,18,19,20,21,22,23,24,25,26,27,28,29,30}-1)*LEN(Registro!$E630)+1,LEN(Registro!$E630))),FIND("x",TRIM(MID(SUBSTITUTE(SUBSTITUTE(SUBSTITUTE(SUBSTITUTE(SUBSTITUTE(LOWER(Registro!$E630),"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",LEN(Registro!$E630))),({1,2,3,4,5,6,7,8,9,10,11,12,13,14,15,16,17,18,19,20,21,22,23,24,25,26,27,28,29,30}-1)*LEN(Registro!$E630)+1,LEN(Registro!$E630)))&amp;"x")+1,20))),"Revisar formato")))</f>
        <v/>
      </c>
      <c r="F630" s="23" t="str">
        <f>IF(Registro!$F630="","",IF(ISERROR(FIND("x",LOWER(Registro!$F630))),"-",IFERROR(SUMPRODUCT(--("0"&amp;LEFT(TRIM(MID(SUBSTITUTE(SUBSTITUTE(SUBSTITUTE(SUBSTITUTE(SUBSTITUTE(LOWER(Registro!$F630)," ",""),CHAR(10),"|"),";","|"),"+","|"),"|",REPT(" ",LEN(Registro!$F630))),({1,2,3,4,5,6,7,8,9,10,11,12,13,14,15,16,17,18,19,20,21,22,23,24,25,26,27,28,29,30}-1)*LEN(Registro!$F630)+1,LEN(Registro!$F630))),FIND("x",TRIM(MID(SUBSTITUTE(SUBSTITUTE(SUBSTITUTE(SUBSTITUTE(SUBSTITUTE(LOWER(Registro!$F630)," ",""),CHAR(10),"|"),";","|"),"+","|"),"|",REPT(" ",LEN(Registro!$F630))),({1,2,3,4,5,6,7,8,9,10,11,12,13,14,15,16,17,18,19,20,21,22,23,24,25,26,27,28,29,30}-1)*LEN(Registro!$F630)+1,LEN(Registro!$F630)))&amp;"x")-1))),"Revisar formato")))</f>
        <v/>
      </c>
      <c r="G630" s="24" t="str">
        <f>IF(Registro!$F630="","",IF(ISERROR(FIND("x",LOWER(Registro!$F630))),N(Registro!$G630),IFERROR(SUMPRODUCT(--("0"&amp;LEFT(TRIM(MID(SUBSTITUTE(SUBSTITUTE(SUBSTITUTE(SUBSTITUTE(SUBSTITUTE(LOWER(Registro!$F630)," ",""),CHAR(10),"|"),";","|"),"+","|"),"|",REPT(" ",LEN(Registro!$F630))),({1,2,3,4,5,6,7,8,9,10,11,12,13,14,15,16,17,18,19,20,21,22,23,24,25,26,27,28,29,30}-1)*LEN(Registro!$F630)+1,LEN(Registro!$F630))),FIND("x",TRIM(MID(SUBSTITUTE(SUBSTITUTE(SUBSTITUTE(SUBSTITUTE(SUBSTITUTE(LOWER(Registro!$F630)," ",""),CHAR(10),"|"),";","|"),"+","|"),"|",REPT(" ",LEN(Registro!$F630))),({1,2,3,4,5,6,7,8,9,10,11,12,13,14,15,16,17,18,19,20,21,22,23,24,25,26,27,28,29,30}-1)*LEN(Registro!$F630)+1,LEN(Registro!$F630)))&amp;"x")-1)),--("0"&amp;MID(TRIM(MID(SUBSTITUTE(SUBSTITUTE(SUBSTITUTE(SUBSTITUTE(SUBSTITUTE(LOWER(Registro!$F630)," ",""),CHAR(10),"|"),";","|"),"+","|"),"|",REPT(" ",LEN(Registro!$F630))),({1,2,3,4,5,6,7,8,9,10,11,12,13,14,15,16,17,18,19,20,21,22,23,24,25,26,27,28,29,30}-1)*LEN(Registro!$F630)+1,LEN(Registro!$F630))),FIND("x",TRIM(MID(SUBSTITUTE(SUBSTITUTE(SUBSTITUTE(SUBSTITUTE(SUBSTITUTE(LOWER(Registro!$F630)," ",""),CHAR(10),"|"),";","|"),"+","|"),"|",REPT(" ",LEN(Registro!$F630))),({1,2,3,4,5,6,7,8,9,10,11,12,13,14,15,16,17,18,19,20,21,22,23,24,25,26,27,28,29,30}-1)*LEN(Registro!$F630)+1,LEN(Registro!$F630)))&amp;"x")+1,20))),"Revisar formato")))</f>
        <v/>
      </c>
      <c r="H630" s="21" t="str">
        <f>IF(AND(Registro!$E630="",Registro!$F630=""),"",IF(NOT(AND(ISNUMBER(G630),ISNUMBER(Registro!$G630))),"",IF(G630&lt;Registro!$G630,"FALTA BOLETOS",IF(G630=Registro!$G630,"CONFORME","DIFERENCIA"))))</f>
        <v/>
      </c>
      <c r="I630" s="24" t="str">
        <f>IF(Registro!$H630="","",IFERROR(SUMPRODUCT(--("0"&amp;TRIM(RIGHT(SUBSTITUTE(TRIM(MID(SUBSTITUTE(SUBSTITUTE(Registro!$H630,";",CHAR(10)),CHAR(10),REPT(" ",LEN(Registro!$H630))),({1,2,3,4,5,6,7,8,9,10,11,12,13,14,15,16,17,18,19,20,21,22,23,24,25,26,27,28,29,30}-1)*LEN(Registro!$H630)+1,LEN(Registro!$H630)))," ",REPT(" ",50)),50)))),"Revisar formato"))</f>
        <v/>
      </c>
      <c r="J630" s="24" t="str">
        <f>IF(Registro!$I630="","",IFERROR(SUMPRODUCT(--("0"&amp;TRIM(RIGHT(SUBSTITUTE(TRIM(MID(SUBSTITUTE(SUBSTITUTE(Registro!$I630,";",CHAR(10)),CHAR(10),REPT(" ",LEN(Registro!$I630))),({1,2,3,4,5,6,7,8,9,10,11,12,13,14,15,16,17,18,19,20,21,22,23,24,25,26,27,28,29,30}-1)*LEN(Registro!$I630)+1,LEN(Registro!$I630)))," ",REPT(" ",50)),50)))),"Revisar formato"))</f>
        <v/>
      </c>
      <c r="K630" s="24" t="str">
        <f>IF(AND(Registro!$G630="",Registro!$H630=""),"",IF(AND(ISTEXT(I630),I630&lt;&gt;""),"Revisar formato",N(Registro!$G630)-N(I630)))</f>
        <v/>
      </c>
      <c r="L630" s="24" t="str">
        <f t="shared" si="19"/>
        <v/>
      </c>
      <c r="M630" s="36" t="str">
        <f>IF(AND(A630=Consulta!$B$3,C630=Consulta!$H$3),B630*10000+ROW(),"")</f>
        <v/>
      </c>
    </row>
    <row r="631" spans="1:13" x14ac:dyDescent="0.25">
      <c r="A631" s="21" t="str">
        <f>IF(Registro!$A631="","",Registro!$A631)</f>
        <v/>
      </c>
      <c r="B631" s="20" t="str">
        <f>IF(Registro!$B631="","",Registro!$B631)</f>
        <v/>
      </c>
      <c r="C631" s="35" t="str">
        <f t="shared" si="18"/>
        <v/>
      </c>
      <c r="D631" s="23" t="str">
        <f>IF(Registro!$E631="","",IF(ISERROR(FIND("x",LOWER(Registro!$E631))),"-",IFERROR(SUMPRODUCT(--("0"&amp;LEFT(TRIM(MID(SUBSTITUTE(SUBSTITUTE(SUBSTITUTE(SUBSTITUTE(SUBSTITUTE(LOWER(Registro!$E631),"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",LEN(Registro!$E631))),({1,2,3,4,5,6,7,8,9,10,11,12,13,14,15,16,17,18,19,20,21,22,23,24,25,26,27,28,29,30}-1)*LEN(Registro!$E631)+1,LEN(Registro!$E631))),FIND("x",TRIM(MID(SUBSTITUTE(SUBSTITUTE(SUBSTITUTE(SUBSTITUTE(SUBSTITUTE(LOWER(Registro!$E631),"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",LEN(Registro!$E631))),({1,2,3,4,5,6,7,8,9,10,11,12,13,14,15,16,17,18,19,20,21,22,23,24,25,26,27,28,29,30}-1)*LEN(Registro!$E631)+1,LEN(Registro!$E631)))&amp;"x")-1))),"Revisar formato")))</f>
        <v/>
      </c>
      <c r="E631" s="24" t="str">
        <f>IF(Registro!$E631="","",IF(ISERROR(FIND("x",LOWER(Registro!$E631))),"-",IFERROR(SUMPRODUCT(--("0"&amp;LEFT(TRIM(MID(SUBSTITUTE(SUBSTITUTE(SUBSTITUTE(SUBSTITUTE(SUBSTITUTE(LOWER(Registro!$E631),"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",LEN(Registro!$E631))),({1,2,3,4,5,6,7,8,9,10,11,12,13,14,15,16,17,18,19,20,21,22,23,24,25,26,27,28,29,30}-1)*LEN(Registro!$E631)+1,LEN(Registro!$E631))),FIND("x",TRIM(MID(SUBSTITUTE(SUBSTITUTE(SUBSTITUTE(SUBSTITUTE(SUBSTITUTE(LOWER(Registro!$E631),"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",LEN(Registro!$E631))),({1,2,3,4,5,6,7,8,9,10,11,12,13,14,15,16,17,18,19,20,21,22,23,24,25,26,27,28,29,30}-1)*LEN(Registro!$E631)+1,LEN(Registro!$E631)))&amp;"x")-1)),--("0"&amp;MID(TRIM(MID(SUBSTITUTE(SUBSTITUTE(SUBSTITUTE(SUBSTITUTE(SUBSTITUTE(LOWER(Registro!$E631),"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",LEN(Registro!$E631))),({1,2,3,4,5,6,7,8,9,10,11,12,13,14,15,16,17,18,19,20,21,22,23,24,25,26,27,28,29,30}-1)*LEN(Registro!$E631)+1,LEN(Registro!$E631))),FIND("x",TRIM(MID(SUBSTITUTE(SUBSTITUTE(SUBSTITUTE(SUBSTITUTE(SUBSTITUTE(LOWER(Registro!$E631),"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",LEN(Registro!$E631))),({1,2,3,4,5,6,7,8,9,10,11,12,13,14,15,16,17,18,19,20,21,22,23,24,25,26,27,28,29,30}-1)*LEN(Registro!$E631)+1,LEN(Registro!$E631)))&amp;"x")+1,20))),"Revisar formato")))</f>
        <v/>
      </c>
      <c r="F631" s="23" t="str">
        <f>IF(Registro!$F631="","",IF(ISERROR(FIND("x",LOWER(Registro!$F631))),"-",IFERROR(SUMPRODUCT(--("0"&amp;LEFT(TRIM(MID(SUBSTITUTE(SUBSTITUTE(SUBSTITUTE(SUBSTITUTE(SUBSTITUTE(LOWER(Registro!$F631)," ",""),CHAR(10),"|"),";","|"),"+","|"),"|",REPT(" ",LEN(Registro!$F631))),({1,2,3,4,5,6,7,8,9,10,11,12,13,14,15,16,17,18,19,20,21,22,23,24,25,26,27,28,29,30}-1)*LEN(Registro!$F631)+1,LEN(Registro!$F631))),FIND("x",TRIM(MID(SUBSTITUTE(SUBSTITUTE(SUBSTITUTE(SUBSTITUTE(SUBSTITUTE(LOWER(Registro!$F631)," ",""),CHAR(10),"|"),";","|"),"+","|"),"|",REPT(" ",LEN(Registro!$F631))),({1,2,3,4,5,6,7,8,9,10,11,12,13,14,15,16,17,18,19,20,21,22,23,24,25,26,27,28,29,30}-1)*LEN(Registro!$F631)+1,LEN(Registro!$F631)))&amp;"x")-1))),"Revisar formato")))</f>
        <v/>
      </c>
      <c r="G631" s="24" t="str">
        <f>IF(Registro!$F631="","",IF(ISERROR(FIND("x",LOWER(Registro!$F631))),N(Registro!$G631),IFERROR(SUMPRODUCT(--("0"&amp;LEFT(TRIM(MID(SUBSTITUTE(SUBSTITUTE(SUBSTITUTE(SUBSTITUTE(SUBSTITUTE(LOWER(Registro!$F631)," ",""),CHAR(10),"|"),";","|"),"+","|"),"|",REPT(" ",LEN(Registro!$F631))),({1,2,3,4,5,6,7,8,9,10,11,12,13,14,15,16,17,18,19,20,21,22,23,24,25,26,27,28,29,30}-1)*LEN(Registro!$F631)+1,LEN(Registro!$F631))),FIND("x",TRIM(MID(SUBSTITUTE(SUBSTITUTE(SUBSTITUTE(SUBSTITUTE(SUBSTITUTE(LOWER(Registro!$F631)," ",""),CHAR(10),"|"),";","|"),"+","|"),"|",REPT(" ",LEN(Registro!$F631))),({1,2,3,4,5,6,7,8,9,10,11,12,13,14,15,16,17,18,19,20,21,22,23,24,25,26,27,28,29,30}-1)*LEN(Registro!$F631)+1,LEN(Registro!$F631)))&amp;"x")-1)),--("0"&amp;MID(TRIM(MID(SUBSTITUTE(SUBSTITUTE(SUBSTITUTE(SUBSTITUTE(SUBSTITUTE(LOWER(Registro!$F631)," ",""),CHAR(10),"|"),";","|"),"+","|"),"|",REPT(" ",LEN(Registro!$F631))),({1,2,3,4,5,6,7,8,9,10,11,12,13,14,15,16,17,18,19,20,21,22,23,24,25,26,27,28,29,30}-1)*LEN(Registro!$F631)+1,LEN(Registro!$F631))),FIND("x",TRIM(MID(SUBSTITUTE(SUBSTITUTE(SUBSTITUTE(SUBSTITUTE(SUBSTITUTE(LOWER(Registro!$F631)," ",""),CHAR(10),"|"),";","|"),"+","|"),"|",REPT(" ",LEN(Registro!$F631))),({1,2,3,4,5,6,7,8,9,10,11,12,13,14,15,16,17,18,19,20,21,22,23,24,25,26,27,28,29,30}-1)*LEN(Registro!$F631)+1,LEN(Registro!$F631)))&amp;"x")+1,20))),"Revisar formato")))</f>
        <v/>
      </c>
      <c r="H631" s="21" t="str">
        <f>IF(AND(Registro!$E631="",Registro!$F631=""),"",IF(NOT(AND(ISNUMBER(G631),ISNUMBER(Registro!$G631))),"",IF(G631&lt;Registro!$G631,"FALTA BOLETOS",IF(G631=Registro!$G631,"CONFORME","DIFERENCIA"))))</f>
        <v/>
      </c>
      <c r="I631" s="24" t="str">
        <f>IF(Registro!$H631="","",IFERROR(SUMPRODUCT(--("0"&amp;TRIM(RIGHT(SUBSTITUTE(TRIM(MID(SUBSTITUTE(SUBSTITUTE(Registro!$H631,";",CHAR(10)),CHAR(10),REPT(" ",LEN(Registro!$H631))),({1,2,3,4,5,6,7,8,9,10,11,12,13,14,15,16,17,18,19,20,21,22,23,24,25,26,27,28,29,30}-1)*LEN(Registro!$H631)+1,LEN(Registro!$H631)))," ",REPT(" ",50)),50)))),"Revisar formato"))</f>
        <v/>
      </c>
      <c r="J631" s="24" t="str">
        <f>IF(Registro!$I631="","",IFERROR(SUMPRODUCT(--("0"&amp;TRIM(RIGHT(SUBSTITUTE(TRIM(MID(SUBSTITUTE(SUBSTITUTE(Registro!$I631,";",CHAR(10)),CHAR(10),REPT(" ",LEN(Registro!$I631))),({1,2,3,4,5,6,7,8,9,10,11,12,13,14,15,16,17,18,19,20,21,22,23,24,25,26,27,28,29,30}-1)*LEN(Registro!$I631)+1,LEN(Registro!$I631)))," ",REPT(" ",50)),50)))),"Revisar formato"))</f>
        <v/>
      </c>
      <c r="K631" s="24" t="str">
        <f>IF(AND(Registro!$G631="",Registro!$H631=""),"",IF(AND(ISTEXT(I631),I631&lt;&gt;""),"Revisar formato",N(Registro!$G631)-N(I631)))</f>
        <v/>
      </c>
      <c r="L631" s="24" t="str">
        <f t="shared" si="19"/>
        <v/>
      </c>
      <c r="M631" s="36" t="str">
        <f>IF(AND(A631=Consulta!$B$3,C631=Consulta!$H$3),B631*10000+ROW(),"")</f>
        <v/>
      </c>
    </row>
    <row r="632" spans="1:13" x14ac:dyDescent="0.25">
      <c r="A632" s="21" t="str">
        <f>IF(Registro!$A632="","",Registro!$A632)</f>
        <v/>
      </c>
      <c r="B632" s="20" t="str">
        <f>IF(Registro!$B632="","",Registro!$B632)</f>
        <v/>
      </c>
      <c r="C632" s="35" t="str">
        <f t="shared" si="18"/>
        <v/>
      </c>
      <c r="D632" s="23" t="str">
        <f>IF(Registro!$E632="","",IF(ISERROR(FIND("x",LOWER(Registro!$E632))),"-",IFERROR(SUMPRODUCT(--("0"&amp;LEFT(TRIM(MID(SUBSTITUTE(SUBSTITUTE(SUBSTITUTE(SUBSTITUTE(SUBSTITUTE(LOWER(Registro!$E632),"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",LEN(Registro!$E632))),({1,2,3,4,5,6,7,8,9,10,11,12,13,14,15,16,17,18,19,20,21,22,23,24,25,26,27,28,29,30}-1)*LEN(Registro!$E632)+1,LEN(Registro!$E632))),FIND("x",TRIM(MID(SUBSTITUTE(SUBSTITUTE(SUBSTITUTE(SUBSTITUTE(SUBSTITUTE(LOWER(Registro!$E632),"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",LEN(Registro!$E632))),({1,2,3,4,5,6,7,8,9,10,11,12,13,14,15,16,17,18,19,20,21,22,23,24,25,26,27,28,29,30}-1)*LEN(Registro!$E632)+1,LEN(Registro!$E632)))&amp;"x")-1))),"Revisar formato")))</f>
        <v/>
      </c>
      <c r="E632" s="24" t="str">
        <f>IF(Registro!$E632="","",IF(ISERROR(FIND("x",LOWER(Registro!$E632))),"-",IFERROR(SUMPRODUCT(--("0"&amp;LEFT(TRIM(MID(SUBSTITUTE(SUBSTITUTE(SUBSTITUTE(SUBSTITUTE(SUBSTITUTE(LOWER(Registro!$E632),"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",LEN(Registro!$E632))),({1,2,3,4,5,6,7,8,9,10,11,12,13,14,15,16,17,18,19,20,21,22,23,24,25,26,27,28,29,30}-1)*LEN(Registro!$E632)+1,LEN(Registro!$E632))),FIND("x",TRIM(MID(SUBSTITUTE(SUBSTITUTE(SUBSTITUTE(SUBSTITUTE(SUBSTITUTE(LOWER(Registro!$E632),"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",LEN(Registro!$E632))),({1,2,3,4,5,6,7,8,9,10,11,12,13,14,15,16,17,18,19,20,21,22,23,24,25,26,27,28,29,30}-1)*LEN(Registro!$E632)+1,LEN(Registro!$E632)))&amp;"x")-1)),--("0"&amp;MID(TRIM(MID(SUBSTITUTE(SUBSTITUTE(SUBSTITUTE(SUBSTITUTE(SUBSTITUTE(LOWER(Registro!$E632),"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",LEN(Registro!$E632))),({1,2,3,4,5,6,7,8,9,10,11,12,13,14,15,16,17,18,19,20,21,22,23,24,25,26,27,28,29,30}-1)*LEN(Registro!$E632)+1,LEN(Registro!$E632))),FIND("x",TRIM(MID(SUBSTITUTE(SUBSTITUTE(SUBSTITUTE(SUBSTITUTE(SUBSTITUTE(LOWER(Registro!$E632),"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",LEN(Registro!$E632))),({1,2,3,4,5,6,7,8,9,10,11,12,13,14,15,16,17,18,19,20,21,22,23,24,25,26,27,28,29,30}-1)*LEN(Registro!$E632)+1,LEN(Registro!$E632)))&amp;"x")+1,20))),"Revisar formato")))</f>
        <v/>
      </c>
      <c r="F632" s="23" t="str">
        <f>IF(Registro!$F632="","",IF(ISERROR(FIND("x",LOWER(Registro!$F632))),"-",IFERROR(SUMPRODUCT(--("0"&amp;LEFT(TRIM(MID(SUBSTITUTE(SUBSTITUTE(SUBSTITUTE(SUBSTITUTE(SUBSTITUTE(LOWER(Registro!$F632)," ",""),CHAR(10),"|"),";","|"),"+","|"),"|",REPT(" ",LEN(Registro!$F632))),({1,2,3,4,5,6,7,8,9,10,11,12,13,14,15,16,17,18,19,20,21,22,23,24,25,26,27,28,29,30}-1)*LEN(Registro!$F632)+1,LEN(Registro!$F632))),FIND("x",TRIM(MID(SUBSTITUTE(SUBSTITUTE(SUBSTITUTE(SUBSTITUTE(SUBSTITUTE(LOWER(Registro!$F632)," ",""),CHAR(10),"|"),";","|"),"+","|"),"|",REPT(" ",LEN(Registro!$F632))),({1,2,3,4,5,6,7,8,9,10,11,12,13,14,15,16,17,18,19,20,21,22,23,24,25,26,27,28,29,30}-1)*LEN(Registro!$F632)+1,LEN(Registro!$F632)))&amp;"x")-1))),"Revisar formato")))</f>
        <v/>
      </c>
      <c r="G632" s="24" t="str">
        <f>IF(Registro!$F632="","",IF(ISERROR(FIND("x",LOWER(Registro!$F632))),N(Registro!$G632),IFERROR(SUMPRODUCT(--("0"&amp;LEFT(TRIM(MID(SUBSTITUTE(SUBSTITUTE(SUBSTITUTE(SUBSTITUTE(SUBSTITUTE(LOWER(Registro!$F632)," ",""),CHAR(10),"|"),";","|"),"+","|"),"|",REPT(" ",LEN(Registro!$F632))),({1,2,3,4,5,6,7,8,9,10,11,12,13,14,15,16,17,18,19,20,21,22,23,24,25,26,27,28,29,30}-1)*LEN(Registro!$F632)+1,LEN(Registro!$F632))),FIND("x",TRIM(MID(SUBSTITUTE(SUBSTITUTE(SUBSTITUTE(SUBSTITUTE(SUBSTITUTE(LOWER(Registro!$F632)," ",""),CHAR(10),"|"),";","|"),"+","|"),"|",REPT(" ",LEN(Registro!$F632))),({1,2,3,4,5,6,7,8,9,10,11,12,13,14,15,16,17,18,19,20,21,22,23,24,25,26,27,28,29,30}-1)*LEN(Registro!$F632)+1,LEN(Registro!$F632)))&amp;"x")-1)),--("0"&amp;MID(TRIM(MID(SUBSTITUTE(SUBSTITUTE(SUBSTITUTE(SUBSTITUTE(SUBSTITUTE(LOWER(Registro!$F632)," ",""),CHAR(10),"|"),";","|"),"+","|"),"|",REPT(" ",LEN(Registro!$F632))),({1,2,3,4,5,6,7,8,9,10,11,12,13,14,15,16,17,18,19,20,21,22,23,24,25,26,27,28,29,30}-1)*LEN(Registro!$F632)+1,LEN(Registro!$F632))),FIND("x",TRIM(MID(SUBSTITUTE(SUBSTITUTE(SUBSTITUTE(SUBSTITUTE(SUBSTITUTE(LOWER(Registro!$F632)," ",""),CHAR(10),"|"),";","|"),"+","|"),"|",REPT(" ",LEN(Registro!$F632))),({1,2,3,4,5,6,7,8,9,10,11,12,13,14,15,16,17,18,19,20,21,22,23,24,25,26,27,28,29,30}-1)*LEN(Registro!$F632)+1,LEN(Registro!$F632)))&amp;"x")+1,20))),"Revisar formato")))</f>
        <v/>
      </c>
      <c r="H632" s="21" t="str">
        <f>IF(AND(Registro!$E632="",Registro!$F632=""),"",IF(NOT(AND(ISNUMBER(G632),ISNUMBER(Registro!$G632))),"",IF(G632&lt;Registro!$G632,"FALTA BOLETOS",IF(G632=Registro!$G632,"CONFORME","DIFERENCIA"))))</f>
        <v/>
      </c>
      <c r="I632" s="24" t="str">
        <f>IF(Registro!$H632="","",IFERROR(SUMPRODUCT(--("0"&amp;TRIM(RIGHT(SUBSTITUTE(TRIM(MID(SUBSTITUTE(SUBSTITUTE(Registro!$H632,";",CHAR(10)),CHAR(10),REPT(" ",LEN(Registro!$H632))),({1,2,3,4,5,6,7,8,9,10,11,12,13,14,15,16,17,18,19,20,21,22,23,24,25,26,27,28,29,30}-1)*LEN(Registro!$H632)+1,LEN(Registro!$H632)))," ",REPT(" ",50)),50)))),"Revisar formato"))</f>
        <v/>
      </c>
      <c r="J632" s="24" t="str">
        <f>IF(Registro!$I632="","",IFERROR(SUMPRODUCT(--("0"&amp;TRIM(RIGHT(SUBSTITUTE(TRIM(MID(SUBSTITUTE(SUBSTITUTE(Registro!$I632,";",CHAR(10)),CHAR(10),REPT(" ",LEN(Registro!$I632))),({1,2,3,4,5,6,7,8,9,10,11,12,13,14,15,16,17,18,19,20,21,22,23,24,25,26,27,28,29,30}-1)*LEN(Registro!$I632)+1,LEN(Registro!$I632)))," ",REPT(" ",50)),50)))),"Revisar formato"))</f>
        <v/>
      </c>
      <c r="K632" s="24" t="str">
        <f>IF(AND(Registro!$G632="",Registro!$H632=""),"",IF(AND(ISTEXT(I632),I632&lt;&gt;""),"Revisar formato",N(Registro!$G632)-N(I632)))</f>
        <v/>
      </c>
      <c r="L632" s="24" t="str">
        <f t="shared" si="19"/>
        <v/>
      </c>
      <c r="M632" s="36" t="str">
        <f>IF(AND(A632=Consulta!$B$3,C632=Consulta!$H$3),B632*10000+ROW(),"")</f>
        <v/>
      </c>
    </row>
    <row r="633" spans="1:13" x14ac:dyDescent="0.25">
      <c r="A633" s="21" t="str">
        <f>IF(Registro!$A633="","",Registro!$A633)</f>
        <v/>
      </c>
      <c r="B633" s="20" t="str">
        <f>IF(Registro!$B633="","",Registro!$B633)</f>
        <v/>
      </c>
      <c r="C633" s="35" t="str">
        <f t="shared" si="18"/>
        <v/>
      </c>
      <c r="D633" s="23" t="str">
        <f>IF(Registro!$E633="","",IF(ISERROR(FIND("x",LOWER(Registro!$E633))),"-",IFERROR(SUMPRODUCT(--("0"&amp;LEFT(TRIM(MID(SUBSTITUTE(SUBSTITUTE(SUBSTITUTE(SUBSTITUTE(SUBSTITUTE(LOWER(Registro!$E633),"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",LEN(Registro!$E633))),({1,2,3,4,5,6,7,8,9,10,11,12,13,14,15,16,17,18,19,20,21,22,23,24,25,26,27,28,29,30}-1)*LEN(Registro!$E633)+1,LEN(Registro!$E633))),FIND("x",TRIM(MID(SUBSTITUTE(SUBSTITUTE(SUBSTITUTE(SUBSTITUTE(SUBSTITUTE(LOWER(Registro!$E633),"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",LEN(Registro!$E633))),({1,2,3,4,5,6,7,8,9,10,11,12,13,14,15,16,17,18,19,20,21,22,23,24,25,26,27,28,29,30}-1)*LEN(Registro!$E633)+1,LEN(Registro!$E633)))&amp;"x")-1))),"Revisar formato")))</f>
        <v/>
      </c>
      <c r="E633" s="24" t="str">
        <f>IF(Registro!$E633="","",IF(ISERROR(FIND("x",LOWER(Registro!$E633))),"-",IFERROR(SUMPRODUCT(--("0"&amp;LEFT(TRIM(MID(SUBSTITUTE(SUBSTITUTE(SUBSTITUTE(SUBSTITUTE(SUBSTITUTE(LOWER(Registro!$E633),"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",LEN(Registro!$E633))),({1,2,3,4,5,6,7,8,9,10,11,12,13,14,15,16,17,18,19,20,21,22,23,24,25,26,27,28,29,30}-1)*LEN(Registro!$E633)+1,LEN(Registro!$E633))),FIND("x",TRIM(MID(SUBSTITUTE(SUBSTITUTE(SUBSTITUTE(SUBSTITUTE(SUBSTITUTE(LOWER(Registro!$E633),"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",LEN(Registro!$E633))),({1,2,3,4,5,6,7,8,9,10,11,12,13,14,15,16,17,18,19,20,21,22,23,24,25,26,27,28,29,30}-1)*LEN(Registro!$E633)+1,LEN(Registro!$E633)))&amp;"x")-1)),--("0"&amp;MID(TRIM(MID(SUBSTITUTE(SUBSTITUTE(SUBSTITUTE(SUBSTITUTE(SUBSTITUTE(LOWER(Registro!$E633),"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",LEN(Registro!$E633))),({1,2,3,4,5,6,7,8,9,10,11,12,13,14,15,16,17,18,19,20,21,22,23,24,25,26,27,28,29,30}-1)*LEN(Registro!$E633)+1,LEN(Registro!$E633))),FIND("x",TRIM(MID(SUBSTITUTE(SUBSTITUTE(SUBSTITUTE(SUBSTITUTE(SUBSTITUTE(LOWER(Registro!$E633),"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",LEN(Registro!$E633))),({1,2,3,4,5,6,7,8,9,10,11,12,13,14,15,16,17,18,19,20,21,22,23,24,25,26,27,28,29,30}-1)*LEN(Registro!$E633)+1,LEN(Registro!$E633)))&amp;"x")+1,20))),"Revisar formato")))</f>
        <v/>
      </c>
      <c r="F633" s="23" t="str">
        <f>IF(Registro!$F633="","",IF(ISERROR(FIND("x",LOWER(Registro!$F633))),"-",IFERROR(SUMPRODUCT(--("0"&amp;LEFT(TRIM(MID(SUBSTITUTE(SUBSTITUTE(SUBSTITUTE(SUBSTITUTE(SUBSTITUTE(LOWER(Registro!$F633)," ",""),CHAR(10),"|"),";","|"),"+","|"),"|",REPT(" ",LEN(Registro!$F633))),({1,2,3,4,5,6,7,8,9,10,11,12,13,14,15,16,17,18,19,20,21,22,23,24,25,26,27,28,29,30}-1)*LEN(Registro!$F633)+1,LEN(Registro!$F633))),FIND("x",TRIM(MID(SUBSTITUTE(SUBSTITUTE(SUBSTITUTE(SUBSTITUTE(SUBSTITUTE(LOWER(Registro!$F633)," ",""),CHAR(10),"|"),";","|"),"+","|"),"|",REPT(" ",LEN(Registro!$F633))),({1,2,3,4,5,6,7,8,9,10,11,12,13,14,15,16,17,18,19,20,21,22,23,24,25,26,27,28,29,30}-1)*LEN(Registro!$F633)+1,LEN(Registro!$F633)))&amp;"x")-1))),"Revisar formato")))</f>
        <v/>
      </c>
      <c r="G633" s="24" t="str">
        <f>IF(Registro!$F633="","",IF(ISERROR(FIND("x",LOWER(Registro!$F633))),N(Registro!$G633),IFERROR(SUMPRODUCT(--("0"&amp;LEFT(TRIM(MID(SUBSTITUTE(SUBSTITUTE(SUBSTITUTE(SUBSTITUTE(SUBSTITUTE(LOWER(Registro!$F633)," ",""),CHAR(10),"|"),";","|"),"+","|"),"|",REPT(" ",LEN(Registro!$F633))),({1,2,3,4,5,6,7,8,9,10,11,12,13,14,15,16,17,18,19,20,21,22,23,24,25,26,27,28,29,30}-1)*LEN(Registro!$F633)+1,LEN(Registro!$F633))),FIND("x",TRIM(MID(SUBSTITUTE(SUBSTITUTE(SUBSTITUTE(SUBSTITUTE(SUBSTITUTE(LOWER(Registro!$F633)," ",""),CHAR(10),"|"),";","|"),"+","|"),"|",REPT(" ",LEN(Registro!$F633))),({1,2,3,4,5,6,7,8,9,10,11,12,13,14,15,16,17,18,19,20,21,22,23,24,25,26,27,28,29,30}-1)*LEN(Registro!$F633)+1,LEN(Registro!$F633)))&amp;"x")-1)),--("0"&amp;MID(TRIM(MID(SUBSTITUTE(SUBSTITUTE(SUBSTITUTE(SUBSTITUTE(SUBSTITUTE(LOWER(Registro!$F633)," ",""),CHAR(10),"|"),";","|"),"+","|"),"|",REPT(" ",LEN(Registro!$F633))),({1,2,3,4,5,6,7,8,9,10,11,12,13,14,15,16,17,18,19,20,21,22,23,24,25,26,27,28,29,30}-1)*LEN(Registro!$F633)+1,LEN(Registro!$F633))),FIND("x",TRIM(MID(SUBSTITUTE(SUBSTITUTE(SUBSTITUTE(SUBSTITUTE(SUBSTITUTE(LOWER(Registro!$F633)," ",""),CHAR(10),"|"),";","|"),"+","|"),"|",REPT(" ",LEN(Registro!$F633))),({1,2,3,4,5,6,7,8,9,10,11,12,13,14,15,16,17,18,19,20,21,22,23,24,25,26,27,28,29,30}-1)*LEN(Registro!$F633)+1,LEN(Registro!$F633)))&amp;"x")+1,20))),"Revisar formato")))</f>
        <v/>
      </c>
      <c r="H633" s="21" t="str">
        <f>IF(AND(Registro!$E633="",Registro!$F633=""),"",IF(NOT(AND(ISNUMBER(G633),ISNUMBER(Registro!$G633))),"",IF(G633&lt;Registro!$G633,"FALTA BOLETOS",IF(G633=Registro!$G633,"CONFORME","DIFERENCIA"))))</f>
        <v/>
      </c>
      <c r="I633" s="24" t="str">
        <f>IF(Registro!$H633="","",IFERROR(SUMPRODUCT(--("0"&amp;TRIM(RIGHT(SUBSTITUTE(TRIM(MID(SUBSTITUTE(SUBSTITUTE(Registro!$H633,";",CHAR(10)),CHAR(10),REPT(" ",LEN(Registro!$H633))),({1,2,3,4,5,6,7,8,9,10,11,12,13,14,15,16,17,18,19,20,21,22,23,24,25,26,27,28,29,30}-1)*LEN(Registro!$H633)+1,LEN(Registro!$H633)))," ",REPT(" ",50)),50)))),"Revisar formato"))</f>
        <v/>
      </c>
      <c r="J633" s="24" t="str">
        <f>IF(Registro!$I633="","",IFERROR(SUMPRODUCT(--("0"&amp;TRIM(RIGHT(SUBSTITUTE(TRIM(MID(SUBSTITUTE(SUBSTITUTE(Registro!$I633,";",CHAR(10)),CHAR(10),REPT(" ",LEN(Registro!$I633))),({1,2,3,4,5,6,7,8,9,10,11,12,13,14,15,16,17,18,19,20,21,22,23,24,25,26,27,28,29,30}-1)*LEN(Registro!$I633)+1,LEN(Registro!$I633)))," ",REPT(" ",50)),50)))),"Revisar formato"))</f>
        <v/>
      </c>
      <c r="K633" s="24" t="str">
        <f>IF(AND(Registro!$G633="",Registro!$H633=""),"",IF(AND(ISTEXT(I633),I633&lt;&gt;""),"Revisar formato",N(Registro!$G633)-N(I633)))</f>
        <v/>
      </c>
      <c r="L633" s="24" t="str">
        <f t="shared" si="19"/>
        <v/>
      </c>
      <c r="M633" s="36" t="str">
        <f>IF(AND(A633=Consulta!$B$3,C633=Consulta!$H$3),B633*10000+ROW(),"")</f>
        <v/>
      </c>
    </row>
    <row r="634" spans="1:13" x14ac:dyDescent="0.25">
      <c r="A634" s="21" t="str">
        <f>IF(Registro!$A634="","",Registro!$A634)</f>
        <v/>
      </c>
      <c r="B634" s="20" t="str">
        <f>IF(Registro!$B634="","",Registro!$B634)</f>
        <v/>
      </c>
      <c r="C634" s="35" t="str">
        <f t="shared" si="18"/>
        <v/>
      </c>
      <c r="D634" s="23" t="str">
        <f>IF(Registro!$E634="","",IF(ISERROR(FIND("x",LOWER(Registro!$E634))),"-",IFERROR(SUMPRODUCT(--("0"&amp;LEFT(TRIM(MID(SUBSTITUTE(SUBSTITUTE(SUBSTITUTE(SUBSTITUTE(SUBSTITUTE(LOWER(Registro!$E634),"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",LEN(Registro!$E634))),({1,2,3,4,5,6,7,8,9,10,11,12,13,14,15,16,17,18,19,20,21,22,23,24,25,26,27,28,29,30}-1)*LEN(Registro!$E634)+1,LEN(Registro!$E634))),FIND("x",TRIM(MID(SUBSTITUTE(SUBSTITUTE(SUBSTITUTE(SUBSTITUTE(SUBSTITUTE(LOWER(Registro!$E634),"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",LEN(Registro!$E634))),({1,2,3,4,5,6,7,8,9,10,11,12,13,14,15,16,17,18,19,20,21,22,23,24,25,26,27,28,29,30}-1)*LEN(Registro!$E634)+1,LEN(Registro!$E634)))&amp;"x")-1))),"Revisar formato")))</f>
        <v/>
      </c>
      <c r="E634" s="24" t="str">
        <f>IF(Registro!$E634="","",IF(ISERROR(FIND("x",LOWER(Registro!$E634))),"-",IFERROR(SUMPRODUCT(--("0"&amp;LEFT(TRIM(MID(SUBSTITUTE(SUBSTITUTE(SUBSTITUTE(SUBSTITUTE(SUBSTITUTE(LOWER(Registro!$E634),"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",LEN(Registro!$E634))),({1,2,3,4,5,6,7,8,9,10,11,12,13,14,15,16,17,18,19,20,21,22,23,24,25,26,27,28,29,30}-1)*LEN(Registro!$E634)+1,LEN(Registro!$E634))),FIND("x",TRIM(MID(SUBSTITUTE(SUBSTITUTE(SUBSTITUTE(SUBSTITUTE(SUBSTITUTE(LOWER(Registro!$E634),"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",LEN(Registro!$E634))),({1,2,3,4,5,6,7,8,9,10,11,12,13,14,15,16,17,18,19,20,21,22,23,24,25,26,27,28,29,30}-1)*LEN(Registro!$E634)+1,LEN(Registro!$E634)))&amp;"x")-1)),--("0"&amp;MID(TRIM(MID(SUBSTITUTE(SUBSTITUTE(SUBSTITUTE(SUBSTITUTE(SUBSTITUTE(LOWER(Registro!$E634),"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",LEN(Registro!$E634))),({1,2,3,4,5,6,7,8,9,10,11,12,13,14,15,16,17,18,19,20,21,22,23,24,25,26,27,28,29,30}-1)*LEN(Registro!$E634)+1,LEN(Registro!$E634))),FIND("x",TRIM(MID(SUBSTITUTE(SUBSTITUTE(SUBSTITUTE(SUBSTITUTE(SUBSTITUTE(LOWER(Registro!$E634),"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",LEN(Registro!$E634))),({1,2,3,4,5,6,7,8,9,10,11,12,13,14,15,16,17,18,19,20,21,22,23,24,25,26,27,28,29,30}-1)*LEN(Registro!$E634)+1,LEN(Registro!$E634)))&amp;"x")+1,20))),"Revisar formato")))</f>
        <v/>
      </c>
      <c r="F634" s="23" t="str">
        <f>IF(Registro!$F634="","",IF(ISERROR(FIND("x",LOWER(Registro!$F634))),"-",IFERROR(SUMPRODUCT(--("0"&amp;LEFT(TRIM(MID(SUBSTITUTE(SUBSTITUTE(SUBSTITUTE(SUBSTITUTE(SUBSTITUTE(LOWER(Registro!$F634)," ",""),CHAR(10),"|"),";","|"),"+","|"),"|",REPT(" ",LEN(Registro!$F634))),({1,2,3,4,5,6,7,8,9,10,11,12,13,14,15,16,17,18,19,20,21,22,23,24,25,26,27,28,29,30}-1)*LEN(Registro!$F634)+1,LEN(Registro!$F634))),FIND("x",TRIM(MID(SUBSTITUTE(SUBSTITUTE(SUBSTITUTE(SUBSTITUTE(SUBSTITUTE(LOWER(Registro!$F634)," ",""),CHAR(10),"|"),";","|"),"+","|"),"|",REPT(" ",LEN(Registro!$F634))),({1,2,3,4,5,6,7,8,9,10,11,12,13,14,15,16,17,18,19,20,21,22,23,24,25,26,27,28,29,30}-1)*LEN(Registro!$F634)+1,LEN(Registro!$F634)))&amp;"x")-1))),"Revisar formato")))</f>
        <v/>
      </c>
      <c r="G634" s="24" t="str">
        <f>IF(Registro!$F634="","",IF(ISERROR(FIND("x",LOWER(Registro!$F634))),N(Registro!$G634),IFERROR(SUMPRODUCT(--("0"&amp;LEFT(TRIM(MID(SUBSTITUTE(SUBSTITUTE(SUBSTITUTE(SUBSTITUTE(SUBSTITUTE(LOWER(Registro!$F634)," ",""),CHAR(10),"|"),";","|"),"+","|"),"|",REPT(" ",LEN(Registro!$F634))),({1,2,3,4,5,6,7,8,9,10,11,12,13,14,15,16,17,18,19,20,21,22,23,24,25,26,27,28,29,30}-1)*LEN(Registro!$F634)+1,LEN(Registro!$F634))),FIND("x",TRIM(MID(SUBSTITUTE(SUBSTITUTE(SUBSTITUTE(SUBSTITUTE(SUBSTITUTE(LOWER(Registro!$F634)," ",""),CHAR(10),"|"),";","|"),"+","|"),"|",REPT(" ",LEN(Registro!$F634))),({1,2,3,4,5,6,7,8,9,10,11,12,13,14,15,16,17,18,19,20,21,22,23,24,25,26,27,28,29,30}-1)*LEN(Registro!$F634)+1,LEN(Registro!$F634)))&amp;"x")-1)),--("0"&amp;MID(TRIM(MID(SUBSTITUTE(SUBSTITUTE(SUBSTITUTE(SUBSTITUTE(SUBSTITUTE(LOWER(Registro!$F634)," ",""),CHAR(10),"|"),";","|"),"+","|"),"|",REPT(" ",LEN(Registro!$F634))),({1,2,3,4,5,6,7,8,9,10,11,12,13,14,15,16,17,18,19,20,21,22,23,24,25,26,27,28,29,30}-1)*LEN(Registro!$F634)+1,LEN(Registro!$F634))),FIND("x",TRIM(MID(SUBSTITUTE(SUBSTITUTE(SUBSTITUTE(SUBSTITUTE(SUBSTITUTE(LOWER(Registro!$F634)," ",""),CHAR(10),"|"),";","|"),"+","|"),"|",REPT(" ",LEN(Registro!$F634))),({1,2,3,4,5,6,7,8,9,10,11,12,13,14,15,16,17,18,19,20,21,22,23,24,25,26,27,28,29,30}-1)*LEN(Registro!$F634)+1,LEN(Registro!$F634)))&amp;"x")+1,20))),"Revisar formato")))</f>
        <v/>
      </c>
      <c r="H634" s="21" t="str">
        <f>IF(AND(Registro!$E634="",Registro!$F634=""),"",IF(NOT(AND(ISNUMBER(G634),ISNUMBER(Registro!$G634))),"",IF(G634&lt;Registro!$G634,"FALTA BOLETOS",IF(G634=Registro!$G634,"CONFORME","DIFERENCIA"))))</f>
        <v/>
      </c>
      <c r="I634" s="24" t="str">
        <f>IF(Registro!$H634="","",IFERROR(SUMPRODUCT(--("0"&amp;TRIM(RIGHT(SUBSTITUTE(TRIM(MID(SUBSTITUTE(SUBSTITUTE(Registro!$H634,";",CHAR(10)),CHAR(10),REPT(" ",LEN(Registro!$H634))),({1,2,3,4,5,6,7,8,9,10,11,12,13,14,15,16,17,18,19,20,21,22,23,24,25,26,27,28,29,30}-1)*LEN(Registro!$H634)+1,LEN(Registro!$H634)))," ",REPT(" ",50)),50)))),"Revisar formato"))</f>
        <v/>
      </c>
      <c r="J634" s="24" t="str">
        <f>IF(Registro!$I634="","",IFERROR(SUMPRODUCT(--("0"&amp;TRIM(RIGHT(SUBSTITUTE(TRIM(MID(SUBSTITUTE(SUBSTITUTE(Registro!$I634,";",CHAR(10)),CHAR(10),REPT(" ",LEN(Registro!$I634))),({1,2,3,4,5,6,7,8,9,10,11,12,13,14,15,16,17,18,19,20,21,22,23,24,25,26,27,28,29,30}-1)*LEN(Registro!$I634)+1,LEN(Registro!$I634)))," ",REPT(" ",50)),50)))),"Revisar formato"))</f>
        <v/>
      </c>
      <c r="K634" s="24" t="str">
        <f>IF(AND(Registro!$G634="",Registro!$H634=""),"",IF(AND(ISTEXT(I634),I634&lt;&gt;""),"Revisar formato",N(Registro!$G634)-N(I634)))</f>
        <v/>
      </c>
      <c r="L634" s="24" t="str">
        <f t="shared" si="19"/>
        <v/>
      </c>
      <c r="M634" s="36" t="str">
        <f>IF(AND(A634=Consulta!$B$3,C634=Consulta!$H$3),B634*10000+ROW(),"")</f>
        <v/>
      </c>
    </row>
    <row r="635" spans="1:13" x14ac:dyDescent="0.25">
      <c r="A635" s="21" t="str">
        <f>IF(Registro!$A635="","",Registro!$A635)</f>
        <v/>
      </c>
      <c r="B635" s="20" t="str">
        <f>IF(Registro!$B635="","",Registro!$B635)</f>
        <v/>
      </c>
      <c r="C635" s="35" t="str">
        <f t="shared" si="18"/>
        <v/>
      </c>
      <c r="D635" s="23" t="str">
        <f>IF(Registro!$E635="","",IF(ISERROR(FIND("x",LOWER(Registro!$E635))),"-",IFERROR(SUMPRODUCT(--("0"&amp;LEFT(TRIM(MID(SUBSTITUTE(SUBSTITUTE(SUBSTITUTE(SUBSTITUTE(SUBSTITUTE(LOWER(Registro!$E635),"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",LEN(Registro!$E635))),({1,2,3,4,5,6,7,8,9,10,11,12,13,14,15,16,17,18,19,20,21,22,23,24,25,26,27,28,29,30}-1)*LEN(Registro!$E635)+1,LEN(Registro!$E635))),FIND("x",TRIM(MID(SUBSTITUTE(SUBSTITUTE(SUBSTITUTE(SUBSTITUTE(SUBSTITUTE(LOWER(Registro!$E635),"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",LEN(Registro!$E635))),({1,2,3,4,5,6,7,8,9,10,11,12,13,14,15,16,17,18,19,20,21,22,23,24,25,26,27,28,29,30}-1)*LEN(Registro!$E635)+1,LEN(Registro!$E635)))&amp;"x")-1))),"Revisar formato")))</f>
        <v/>
      </c>
      <c r="E635" s="24" t="str">
        <f>IF(Registro!$E635="","",IF(ISERROR(FIND("x",LOWER(Registro!$E635))),"-",IFERROR(SUMPRODUCT(--("0"&amp;LEFT(TRIM(MID(SUBSTITUTE(SUBSTITUTE(SUBSTITUTE(SUBSTITUTE(SUBSTITUTE(LOWER(Registro!$E635),"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",LEN(Registro!$E635))),({1,2,3,4,5,6,7,8,9,10,11,12,13,14,15,16,17,18,19,20,21,22,23,24,25,26,27,28,29,30}-1)*LEN(Registro!$E635)+1,LEN(Registro!$E635))),FIND("x",TRIM(MID(SUBSTITUTE(SUBSTITUTE(SUBSTITUTE(SUBSTITUTE(SUBSTITUTE(LOWER(Registro!$E635),"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",LEN(Registro!$E635))),({1,2,3,4,5,6,7,8,9,10,11,12,13,14,15,16,17,18,19,20,21,22,23,24,25,26,27,28,29,30}-1)*LEN(Registro!$E635)+1,LEN(Registro!$E635)))&amp;"x")-1)),--("0"&amp;MID(TRIM(MID(SUBSTITUTE(SUBSTITUTE(SUBSTITUTE(SUBSTITUTE(SUBSTITUTE(LOWER(Registro!$E635),"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",LEN(Registro!$E635))),({1,2,3,4,5,6,7,8,9,10,11,12,13,14,15,16,17,18,19,20,21,22,23,24,25,26,27,28,29,30}-1)*LEN(Registro!$E635)+1,LEN(Registro!$E635))),FIND("x",TRIM(MID(SUBSTITUTE(SUBSTITUTE(SUBSTITUTE(SUBSTITUTE(SUBSTITUTE(LOWER(Registro!$E635),"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",LEN(Registro!$E635))),({1,2,3,4,5,6,7,8,9,10,11,12,13,14,15,16,17,18,19,20,21,22,23,24,25,26,27,28,29,30}-1)*LEN(Registro!$E635)+1,LEN(Registro!$E635)))&amp;"x")+1,20))),"Revisar formato")))</f>
        <v/>
      </c>
      <c r="F635" s="23" t="str">
        <f>IF(Registro!$F635="","",IF(ISERROR(FIND("x",LOWER(Registro!$F635))),"-",IFERROR(SUMPRODUCT(--("0"&amp;LEFT(TRIM(MID(SUBSTITUTE(SUBSTITUTE(SUBSTITUTE(SUBSTITUTE(SUBSTITUTE(LOWER(Registro!$F635)," ",""),CHAR(10),"|"),";","|"),"+","|"),"|",REPT(" ",LEN(Registro!$F635))),({1,2,3,4,5,6,7,8,9,10,11,12,13,14,15,16,17,18,19,20,21,22,23,24,25,26,27,28,29,30}-1)*LEN(Registro!$F635)+1,LEN(Registro!$F635))),FIND("x",TRIM(MID(SUBSTITUTE(SUBSTITUTE(SUBSTITUTE(SUBSTITUTE(SUBSTITUTE(LOWER(Registro!$F635)," ",""),CHAR(10),"|"),";","|"),"+","|"),"|",REPT(" ",LEN(Registro!$F635))),({1,2,3,4,5,6,7,8,9,10,11,12,13,14,15,16,17,18,19,20,21,22,23,24,25,26,27,28,29,30}-1)*LEN(Registro!$F635)+1,LEN(Registro!$F635)))&amp;"x")-1))),"Revisar formato")))</f>
        <v/>
      </c>
      <c r="G635" s="24" t="str">
        <f>IF(Registro!$F635="","",IF(ISERROR(FIND("x",LOWER(Registro!$F635))),N(Registro!$G635),IFERROR(SUMPRODUCT(--("0"&amp;LEFT(TRIM(MID(SUBSTITUTE(SUBSTITUTE(SUBSTITUTE(SUBSTITUTE(SUBSTITUTE(LOWER(Registro!$F635)," ",""),CHAR(10),"|"),";","|"),"+","|"),"|",REPT(" ",LEN(Registro!$F635))),({1,2,3,4,5,6,7,8,9,10,11,12,13,14,15,16,17,18,19,20,21,22,23,24,25,26,27,28,29,30}-1)*LEN(Registro!$F635)+1,LEN(Registro!$F635))),FIND("x",TRIM(MID(SUBSTITUTE(SUBSTITUTE(SUBSTITUTE(SUBSTITUTE(SUBSTITUTE(LOWER(Registro!$F635)," ",""),CHAR(10),"|"),";","|"),"+","|"),"|",REPT(" ",LEN(Registro!$F635))),({1,2,3,4,5,6,7,8,9,10,11,12,13,14,15,16,17,18,19,20,21,22,23,24,25,26,27,28,29,30}-1)*LEN(Registro!$F635)+1,LEN(Registro!$F635)))&amp;"x")-1)),--("0"&amp;MID(TRIM(MID(SUBSTITUTE(SUBSTITUTE(SUBSTITUTE(SUBSTITUTE(SUBSTITUTE(LOWER(Registro!$F635)," ",""),CHAR(10),"|"),";","|"),"+","|"),"|",REPT(" ",LEN(Registro!$F635))),({1,2,3,4,5,6,7,8,9,10,11,12,13,14,15,16,17,18,19,20,21,22,23,24,25,26,27,28,29,30}-1)*LEN(Registro!$F635)+1,LEN(Registro!$F635))),FIND("x",TRIM(MID(SUBSTITUTE(SUBSTITUTE(SUBSTITUTE(SUBSTITUTE(SUBSTITUTE(LOWER(Registro!$F635)," ",""),CHAR(10),"|"),";","|"),"+","|"),"|",REPT(" ",LEN(Registro!$F635))),({1,2,3,4,5,6,7,8,9,10,11,12,13,14,15,16,17,18,19,20,21,22,23,24,25,26,27,28,29,30}-1)*LEN(Registro!$F635)+1,LEN(Registro!$F635)))&amp;"x")+1,20))),"Revisar formato")))</f>
        <v/>
      </c>
      <c r="H635" s="21" t="str">
        <f>IF(AND(Registro!$E635="",Registro!$F635=""),"",IF(NOT(AND(ISNUMBER(G635),ISNUMBER(Registro!$G635))),"",IF(G635&lt;Registro!$G635,"FALTA BOLETOS",IF(G635=Registro!$G635,"CONFORME","DIFERENCIA"))))</f>
        <v/>
      </c>
      <c r="I635" s="24" t="str">
        <f>IF(Registro!$H635="","",IFERROR(SUMPRODUCT(--("0"&amp;TRIM(RIGHT(SUBSTITUTE(TRIM(MID(SUBSTITUTE(SUBSTITUTE(Registro!$H635,";",CHAR(10)),CHAR(10),REPT(" ",LEN(Registro!$H635))),({1,2,3,4,5,6,7,8,9,10,11,12,13,14,15,16,17,18,19,20,21,22,23,24,25,26,27,28,29,30}-1)*LEN(Registro!$H635)+1,LEN(Registro!$H635)))," ",REPT(" ",50)),50)))),"Revisar formato"))</f>
        <v/>
      </c>
      <c r="J635" s="24" t="str">
        <f>IF(Registro!$I635="","",IFERROR(SUMPRODUCT(--("0"&amp;TRIM(RIGHT(SUBSTITUTE(TRIM(MID(SUBSTITUTE(SUBSTITUTE(Registro!$I635,";",CHAR(10)),CHAR(10),REPT(" ",LEN(Registro!$I635))),({1,2,3,4,5,6,7,8,9,10,11,12,13,14,15,16,17,18,19,20,21,22,23,24,25,26,27,28,29,30}-1)*LEN(Registro!$I635)+1,LEN(Registro!$I635)))," ",REPT(" ",50)),50)))),"Revisar formato"))</f>
        <v/>
      </c>
      <c r="K635" s="24" t="str">
        <f>IF(AND(Registro!$G635="",Registro!$H635=""),"",IF(AND(ISTEXT(I635),I635&lt;&gt;""),"Revisar formato",N(Registro!$G635)-N(I635)))</f>
        <v/>
      </c>
      <c r="L635" s="24" t="str">
        <f t="shared" si="19"/>
        <v/>
      </c>
      <c r="M635" s="36" t="str">
        <f>IF(AND(A635=Consulta!$B$3,C635=Consulta!$H$3),B635*10000+ROW(),"")</f>
        <v/>
      </c>
    </row>
    <row r="636" spans="1:13" x14ac:dyDescent="0.25">
      <c r="A636" s="21" t="str">
        <f>IF(Registro!$A636="","",Registro!$A636)</f>
        <v/>
      </c>
      <c r="B636" s="20" t="str">
        <f>IF(Registro!$B636="","",Registro!$B636)</f>
        <v/>
      </c>
      <c r="C636" s="35" t="str">
        <f t="shared" si="18"/>
        <v/>
      </c>
      <c r="D636" s="23" t="str">
        <f>IF(Registro!$E636="","",IF(ISERROR(FIND("x",LOWER(Registro!$E636))),"-",IFERROR(SUMPRODUCT(--("0"&amp;LEFT(TRIM(MID(SUBSTITUTE(SUBSTITUTE(SUBSTITUTE(SUBSTITUTE(SUBSTITUTE(LOWER(Registro!$E636),"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",LEN(Registro!$E636))),({1,2,3,4,5,6,7,8,9,10,11,12,13,14,15,16,17,18,19,20,21,22,23,24,25,26,27,28,29,30}-1)*LEN(Registro!$E636)+1,LEN(Registro!$E636))),FIND("x",TRIM(MID(SUBSTITUTE(SUBSTITUTE(SUBSTITUTE(SUBSTITUTE(SUBSTITUTE(LOWER(Registro!$E636),"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",LEN(Registro!$E636))),({1,2,3,4,5,6,7,8,9,10,11,12,13,14,15,16,17,18,19,20,21,22,23,24,25,26,27,28,29,30}-1)*LEN(Registro!$E636)+1,LEN(Registro!$E636)))&amp;"x")-1))),"Revisar formato")))</f>
        <v/>
      </c>
      <c r="E636" s="24" t="str">
        <f>IF(Registro!$E636="","",IF(ISERROR(FIND("x",LOWER(Registro!$E636))),"-",IFERROR(SUMPRODUCT(--("0"&amp;LEFT(TRIM(MID(SUBSTITUTE(SUBSTITUTE(SUBSTITUTE(SUBSTITUTE(SUBSTITUTE(LOWER(Registro!$E636),"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",LEN(Registro!$E636))),({1,2,3,4,5,6,7,8,9,10,11,12,13,14,15,16,17,18,19,20,21,22,23,24,25,26,27,28,29,30}-1)*LEN(Registro!$E636)+1,LEN(Registro!$E636))),FIND("x",TRIM(MID(SUBSTITUTE(SUBSTITUTE(SUBSTITUTE(SUBSTITUTE(SUBSTITUTE(LOWER(Registro!$E636),"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",LEN(Registro!$E636))),({1,2,3,4,5,6,7,8,9,10,11,12,13,14,15,16,17,18,19,20,21,22,23,24,25,26,27,28,29,30}-1)*LEN(Registro!$E636)+1,LEN(Registro!$E636)))&amp;"x")-1)),--("0"&amp;MID(TRIM(MID(SUBSTITUTE(SUBSTITUTE(SUBSTITUTE(SUBSTITUTE(SUBSTITUTE(LOWER(Registro!$E636),"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",LEN(Registro!$E636))),({1,2,3,4,5,6,7,8,9,10,11,12,13,14,15,16,17,18,19,20,21,22,23,24,25,26,27,28,29,30}-1)*LEN(Registro!$E636)+1,LEN(Registro!$E636))),FIND("x",TRIM(MID(SUBSTITUTE(SUBSTITUTE(SUBSTITUTE(SUBSTITUTE(SUBSTITUTE(LOWER(Registro!$E636),"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",LEN(Registro!$E636))),({1,2,3,4,5,6,7,8,9,10,11,12,13,14,15,16,17,18,19,20,21,22,23,24,25,26,27,28,29,30}-1)*LEN(Registro!$E636)+1,LEN(Registro!$E636)))&amp;"x")+1,20))),"Revisar formato")))</f>
        <v/>
      </c>
      <c r="F636" s="23" t="str">
        <f>IF(Registro!$F636="","",IF(ISERROR(FIND("x",LOWER(Registro!$F636))),"-",IFERROR(SUMPRODUCT(--("0"&amp;LEFT(TRIM(MID(SUBSTITUTE(SUBSTITUTE(SUBSTITUTE(SUBSTITUTE(SUBSTITUTE(LOWER(Registro!$F636)," ",""),CHAR(10),"|"),";","|"),"+","|"),"|",REPT(" ",LEN(Registro!$F636))),({1,2,3,4,5,6,7,8,9,10,11,12,13,14,15,16,17,18,19,20,21,22,23,24,25,26,27,28,29,30}-1)*LEN(Registro!$F636)+1,LEN(Registro!$F636))),FIND("x",TRIM(MID(SUBSTITUTE(SUBSTITUTE(SUBSTITUTE(SUBSTITUTE(SUBSTITUTE(LOWER(Registro!$F636)," ",""),CHAR(10),"|"),";","|"),"+","|"),"|",REPT(" ",LEN(Registro!$F636))),({1,2,3,4,5,6,7,8,9,10,11,12,13,14,15,16,17,18,19,20,21,22,23,24,25,26,27,28,29,30}-1)*LEN(Registro!$F636)+1,LEN(Registro!$F636)))&amp;"x")-1))),"Revisar formato")))</f>
        <v/>
      </c>
      <c r="G636" s="24" t="str">
        <f>IF(Registro!$F636="","",IF(ISERROR(FIND("x",LOWER(Registro!$F636))),N(Registro!$G636),IFERROR(SUMPRODUCT(--("0"&amp;LEFT(TRIM(MID(SUBSTITUTE(SUBSTITUTE(SUBSTITUTE(SUBSTITUTE(SUBSTITUTE(LOWER(Registro!$F636)," ",""),CHAR(10),"|"),";","|"),"+","|"),"|",REPT(" ",LEN(Registro!$F636))),({1,2,3,4,5,6,7,8,9,10,11,12,13,14,15,16,17,18,19,20,21,22,23,24,25,26,27,28,29,30}-1)*LEN(Registro!$F636)+1,LEN(Registro!$F636))),FIND("x",TRIM(MID(SUBSTITUTE(SUBSTITUTE(SUBSTITUTE(SUBSTITUTE(SUBSTITUTE(LOWER(Registro!$F636)," ",""),CHAR(10),"|"),";","|"),"+","|"),"|",REPT(" ",LEN(Registro!$F636))),({1,2,3,4,5,6,7,8,9,10,11,12,13,14,15,16,17,18,19,20,21,22,23,24,25,26,27,28,29,30}-1)*LEN(Registro!$F636)+1,LEN(Registro!$F636)))&amp;"x")-1)),--("0"&amp;MID(TRIM(MID(SUBSTITUTE(SUBSTITUTE(SUBSTITUTE(SUBSTITUTE(SUBSTITUTE(LOWER(Registro!$F636)," ",""),CHAR(10),"|"),";","|"),"+","|"),"|",REPT(" ",LEN(Registro!$F636))),({1,2,3,4,5,6,7,8,9,10,11,12,13,14,15,16,17,18,19,20,21,22,23,24,25,26,27,28,29,30}-1)*LEN(Registro!$F636)+1,LEN(Registro!$F636))),FIND("x",TRIM(MID(SUBSTITUTE(SUBSTITUTE(SUBSTITUTE(SUBSTITUTE(SUBSTITUTE(LOWER(Registro!$F636)," ",""),CHAR(10),"|"),";","|"),"+","|"),"|",REPT(" ",LEN(Registro!$F636))),({1,2,3,4,5,6,7,8,9,10,11,12,13,14,15,16,17,18,19,20,21,22,23,24,25,26,27,28,29,30}-1)*LEN(Registro!$F636)+1,LEN(Registro!$F636)))&amp;"x")+1,20))),"Revisar formato")))</f>
        <v/>
      </c>
      <c r="H636" s="21" t="str">
        <f>IF(AND(Registro!$E636="",Registro!$F636=""),"",IF(NOT(AND(ISNUMBER(G636),ISNUMBER(Registro!$G636))),"",IF(G636&lt;Registro!$G636,"FALTA BOLETOS",IF(G636=Registro!$G636,"CONFORME","DIFERENCIA"))))</f>
        <v/>
      </c>
      <c r="I636" s="24" t="str">
        <f>IF(Registro!$H636="","",IFERROR(SUMPRODUCT(--("0"&amp;TRIM(RIGHT(SUBSTITUTE(TRIM(MID(SUBSTITUTE(SUBSTITUTE(Registro!$H636,";",CHAR(10)),CHAR(10),REPT(" ",LEN(Registro!$H636))),({1,2,3,4,5,6,7,8,9,10,11,12,13,14,15,16,17,18,19,20,21,22,23,24,25,26,27,28,29,30}-1)*LEN(Registro!$H636)+1,LEN(Registro!$H636)))," ",REPT(" ",50)),50)))),"Revisar formato"))</f>
        <v/>
      </c>
      <c r="J636" s="24" t="str">
        <f>IF(Registro!$I636="","",IFERROR(SUMPRODUCT(--("0"&amp;TRIM(RIGHT(SUBSTITUTE(TRIM(MID(SUBSTITUTE(SUBSTITUTE(Registro!$I636,";",CHAR(10)),CHAR(10),REPT(" ",LEN(Registro!$I636))),({1,2,3,4,5,6,7,8,9,10,11,12,13,14,15,16,17,18,19,20,21,22,23,24,25,26,27,28,29,30}-1)*LEN(Registro!$I636)+1,LEN(Registro!$I636)))," ",REPT(" ",50)),50)))),"Revisar formato"))</f>
        <v/>
      </c>
      <c r="K636" s="24" t="str">
        <f>IF(AND(Registro!$G636="",Registro!$H636=""),"",IF(AND(ISTEXT(I636),I636&lt;&gt;""),"Revisar formato",N(Registro!$G636)-N(I636)))</f>
        <v/>
      </c>
      <c r="L636" s="24" t="str">
        <f t="shared" si="19"/>
        <v/>
      </c>
      <c r="M636" s="36" t="str">
        <f>IF(AND(A636=Consulta!$B$3,C636=Consulta!$H$3),B636*10000+ROW(),"")</f>
        <v/>
      </c>
    </row>
    <row r="637" spans="1:13" x14ac:dyDescent="0.25">
      <c r="A637" s="21" t="str">
        <f>IF(Registro!$A637="","",Registro!$A637)</f>
        <v/>
      </c>
      <c r="B637" s="20" t="str">
        <f>IF(Registro!$B637="","",Registro!$B637)</f>
        <v/>
      </c>
      <c r="C637" s="35" t="str">
        <f t="shared" si="18"/>
        <v/>
      </c>
      <c r="D637" s="23" t="str">
        <f>IF(Registro!$E637="","",IF(ISERROR(FIND("x",LOWER(Registro!$E637))),"-",IFERROR(SUMPRODUCT(--("0"&amp;LEFT(TRIM(MID(SUBSTITUTE(SUBSTITUTE(SUBSTITUTE(SUBSTITUTE(SUBSTITUTE(LOWER(Registro!$E637),"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",LEN(Registro!$E637))),({1,2,3,4,5,6,7,8,9,10,11,12,13,14,15,16,17,18,19,20,21,22,23,24,25,26,27,28,29,30}-1)*LEN(Registro!$E637)+1,LEN(Registro!$E637))),FIND("x",TRIM(MID(SUBSTITUTE(SUBSTITUTE(SUBSTITUTE(SUBSTITUTE(SUBSTITUTE(LOWER(Registro!$E637),"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",LEN(Registro!$E637))),({1,2,3,4,5,6,7,8,9,10,11,12,13,14,15,16,17,18,19,20,21,22,23,24,25,26,27,28,29,30}-1)*LEN(Registro!$E637)+1,LEN(Registro!$E637)))&amp;"x")-1))),"Revisar formato")))</f>
        <v/>
      </c>
      <c r="E637" s="24" t="str">
        <f>IF(Registro!$E637="","",IF(ISERROR(FIND("x",LOWER(Registro!$E637))),"-",IFERROR(SUMPRODUCT(--("0"&amp;LEFT(TRIM(MID(SUBSTITUTE(SUBSTITUTE(SUBSTITUTE(SUBSTITUTE(SUBSTITUTE(LOWER(Registro!$E637),"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",LEN(Registro!$E637))),({1,2,3,4,5,6,7,8,9,10,11,12,13,14,15,16,17,18,19,20,21,22,23,24,25,26,27,28,29,30}-1)*LEN(Registro!$E637)+1,LEN(Registro!$E637))),FIND("x",TRIM(MID(SUBSTITUTE(SUBSTITUTE(SUBSTITUTE(SUBSTITUTE(SUBSTITUTE(LOWER(Registro!$E637),"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",LEN(Registro!$E637))),({1,2,3,4,5,6,7,8,9,10,11,12,13,14,15,16,17,18,19,20,21,22,23,24,25,26,27,28,29,30}-1)*LEN(Registro!$E637)+1,LEN(Registro!$E637)))&amp;"x")-1)),--("0"&amp;MID(TRIM(MID(SUBSTITUTE(SUBSTITUTE(SUBSTITUTE(SUBSTITUTE(SUBSTITUTE(LOWER(Registro!$E637),"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",LEN(Registro!$E637))),({1,2,3,4,5,6,7,8,9,10,11,12,13,14,15,16,17,18,19,20,21,22,23,24,25,26,27,28,29,30}-1)*LEN(Registro!$E637)+1,LEN(Registro!$E637))),FIND("x",TRIM(MID(SUBSTITUTE(SUBSTITUTE(SUBSTITUTE(SUBSTITUTE(SUBSTITUTE(LOWER(Registro!$E637),"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",LEN(Registro!$E637))),({1,2,3,4,5,6,7,8,9,10,11,12,13,14,15,16,17,18,19,20,21,22,23,24,25,26,27,28,29,30}-1)*LEN(Registro!$E637)+1,LEN(Registro!$E637)))&amp;"x")+1,20))),"Revisar formato")))</f>
        <v/>
      </c>
      <c r="F637" s="23" t="str">
        <f>IF(Registro!$F637="","",IF(ISERROR(FIND("x",LOWER(Registro!$F637))),"-",IFERROR(SUMPRODUCT(--("0"&amp;LEFT(TRIM(MID(SUBSTITUTE(SUBSTITUTE(SUBSTITUTE(SUBSTITUTE(SUBSTITUTE(LOWER(Registro!$F637)," ",""),CHAR(10),"|"),";","|"),"+","|"),"|",REPT(" ",LEN(Registro!$F637))),({1,2,3,4,5,6,7,8,9,10,11,12,13,14,15,16,17,18,19,20,21,22,23,24,25,26,27,28,29,30}-1)*LEN(Registro!$F637)+1,LEN(Registro!$F637))),FIND("x",TRIM(MID(SUBSTITUTE(SUBSTITUTE(SUBSTITUTE(SUBSTITUTE(SUBSTITUTE(LOWER(Registro!$F637)," ",""),CHAR(10),"|"),";","|"),"+","|"),"|",REPT(" ",LEN(Registro!$F637))),({1,2,3,4,5,6,7,8,9,10,11,12,13,14,15,16,17,18,19,20,21,22,23,24,25,26,27,28,29,30}-1)*LEN(Registro!$F637)+1,LEN(Registro!$F637)))&amp;"x")-1))),"Revisar formato")))</f>
        <v/>
      </c>
      <c r="G637" s="24" t="str">
        <f>IF(Registro!$F637="","",IF(ISERROR(FIND("x",LOWER(Registro!$F637))),N(Registro!$G637),IFERROR(SUMPRODUCT(--("0"&amp;LEFT(TRIM(MID(SUBSTITUTE(SUBSTITUTE(SUBSTITUTE(SUBSTITUTE(SUBSTITUTE(LOWER(Registro!$F637)," ",""),CHAR(10),"|"),";","|"),"+","|"),"|",REPT(" ",LEN(Registro!$F637))),({1,2,3,4,5,6,7,8,9,10,11,12,13,14,15,16,17,18,19,20,21,22,23,24,25,26,27,28,29,30}-1)*LEN(Registro!$F637)+1,LEN(Registro!$F637))),FIND("x",TRIM(MID(SUBSTITUTE(SUBSTITUTE(SUBSTITUTE(SUBSTITUTE(SUBSTITUTE(LOWER(Registro!$F637)," ",""),CHAR(10),"|"),";","|"),"+","|"),"|",REPT(" ",LEN(Registro!$F637))),({1,2,3,4,5,6,7,8,9,10,11,12,13,14,15,16,17,18,19,20,21,22,23,24,25,26,27,28,29,30}-1)*LEN(Registro!$F637)+1,LEN(Registro!$F637)))&amp;"x")-1)),--("0"&amp;MID(TRIM(MID(SUBSTITUTE(SUBSTITUTE(SUBSTITUTE(SUBSTITUTE(SUBSTITUTE(LOWER(Registro!$F637)," ",""),CHAR(10),"|"),";","|"),"+","|"),"|",REPT(" ",LEN(Registro!$F637))),({1,2,3,4,5,6,7,8,9,10,11,12,13,14,15,16,17,18,19,20,21,22,23,24,25,26,27,28,29,30}-1)*LEN(Registro!$F637)+1,LEN(Registro!$F637))),FIND("x",TRIM(MID(SUBSTITUTE(SUBSTITUTE(SUBSTITUTE(SUBSTITUTE(SUBSTITUTE(LOWER(Registro!$F637)," ",""),CHAR(10),"|"),";","|"),"+","|"),"|",REPT(" ",LEN(Registro!$F637))),({1,2,3,4,5,6,7,8,9,10,11,12,13,14,15,16,17,18,19,20,21,22,23,24,25,26,27,28,29,30}-1)*LEN(Registro!$F637)+1,LEN(Registro!$F637)))&amp;"x")+1,20))),"Revisar formato")))</f>
        <v/>
      </c>
      <c r="H637" s="21" t="str">
        <f>IF(AND(Registro!$E637="",Registro!$F637=""),"",IF(NOT(AND(ISNUMBER(G637),ISNUMBER(Registro!$G637))),"",IF(G637&lt;Registro!$G637,"FALTA BOLETOS",IF(G637=Registro!$G637,"CONFORME","DIFERENCIA"))))</f>
        <v/>
      </c>
      <c r="I637" s="24" t="str">
        <f>IF(Registro!$H637="","",IFERROR(SUMPRODUCT(--("0"&amp;TRIM(RIGHT(SUBSTITUTE(TRIM(MID(SUBSTITUTE(SUBSTITUTE(Registro!$H637,";",CHAR(10)),CHAR(10),REPT(" ",LEN(Registro!$H637))),({1,2,3,4,5,6,7,8,9,10,11,12,13,14,15,16,17,18,19,20,21,22,23,24,25,26,27,28,29,30}-1)*LEN(Registro!$H637)+1,LEN(Registro!$H637)))," ",REPT(" ",50)),50)))),"Revisar formato"))</f>
        <v/>
      </c>
      <c r="J637" s="24" t="str">
        <f>IF(Registro!$I637="","",IFERROR(SUMPRODUCT(--("0"&amp;TRIM(RIGHT(SUBSTITUTE(TRIM(MID(SUBSTITUTE(SUBSTITUTE(Registro!$I637,";",CHAR(10)),CHAR(10),REPT(" ",LEN(Registro!$I637))),({1,2,3,4,5,6,7,8,9,10,11,12,13,14,15,16,17,18,19,20,21,22,23,24,25,26,27,28,29,30}-1)*LEN(Registro!$I637)+1,LEN(Registro!$I637)))," ",REPT(" ",50)),50)))),"Revisar formato"))</f>
        <v/>
      </c>
      <c r="K637" s="24" t="str">
        <f>IF(AND(Registro!$G637="",Registro!$H637=""),"",IF(AND(ISTEXT(I637),I637&lt;&gt;""),"Revisar formato",N(Registro!$G637)-N(I637)))</f>
        <v/>
      </c>
      <c r="L637" s="24" t="str">
        <f t="shared" si="19"/>
        <v/>
      </c>
      <c r="M637" s="36" t="str">
        <f>IF(AND(A637=Consulta!$B$3,C637=Consulta!$H$3),B637*10000+ROW(),"")</f>
        <v/>
      </c>
    </row>
    <row r="638" spans="1:13" x14ac:dyDescent="0.25">
      <c r="A638" s="21" t="str">
        <f>IF(Registro!$A638="","",Registro!$A638)</f>
        <v/>
      </c>
      <c r="B638" s="20" t="str">
        <f>IF(Registro!$B638="","",Registro!$B638)</f>
        <v/>
      </c>
      <c r="C638" s="35" t="str">
        <f t="shared" si="18"/>
        <v/>
      </c>
      <c r="D638" s="23" t="str">
        <f>IF(Registro!$E638="","",IF(ISERROR(FIND("x",LOWER(Registro!$E638))),"-",IFERROR(SUMPRODUCT(--("0"&amp;LEFT(TRIM(MID(SUBSTITUTE(SUBSTITUTE(SUBSTITUTE(SUBSTITUTE(SUBSTITUTE(LOWER(Registro!$E638),"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",LEN(Registro!$E638))),({1,2,3,4,5,6,7,8,9,10,11,12,13,14,15,16,17,18,19,20,21,22,23,24,25,26,27,28,29,30}-1)*LEN(Registro!$E638)+1,LEN(Registro!$E638))),FIND("x",TRIM(MID(SUBSTITUTE(SUBSTITUTE(SUBSTITUTE(SUBSTITUTE(SUBSTITUTE(LOWER(Registro!$E638),"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",LEN(Registro!$E638))),({1,2,3,4,5,6,7,8,9,10,11,12,13,14,15,16,17,18,19,20,21,22,23,24,25,26,27,28,29,30}-1)*LEN(Registro!$E638)+1,LEN(Registro!$E638)))&amp;"x")-1))),"Revisar formato")))</f>
        <v/>
      </c>
      <c r="E638" s="24" t="str">
        <f>IF(Registro!$E638="","",IF(ISERROR(FIND("x",LOWER(Registro!$E638))),"-",IFERROR(SUMPRODUCT(--("0"&amp;LEFT(TRIM(MID(SUBSTITUTE(SUBSTITUTE(SUBSTITUTE(SUBSTITUTE(SUBSTITUTE(LOWER(Registro!$E638),"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",LEN(Registro!$E638))),({1,2,3,4,5,6,7,8,9,10,11,12,13,14,15,16,17,18,19,20,21,22,23,24,25,26,27,28,29,30}-1)*LEN(Registro!$E638)+1,LEN(Registro!$E638))),FIND("x",TRIM(MID(SUBSTITUTE(SUBSTITUTE(SUBSTITUTE(SUBSTITUTE(SUBSTITUTE(LOWER(Registro!$E638),"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",LEN(Registro!$E638))),({1,2,3,4,5,6,7,8,9,10,11,12,13,14,15,16,17,18,19,20,21,22,23,24,25,26,27,28,29,30}-1)*LEN(Registro!$E638)+1,LEN(Registro!$E638)))&amp;"x")-1)),--("0"&amp;MID(TRIM(MID(SUBSTITUTE(SUBSTITUTE(SUBSTITUTE(SUBSTITUTE(SUBSTITUTE(LOWER(Registro!$E638),"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",LEN(Registro!$E638))),({1,2,3,4,5,6,7,8,9,10,11,12,13,14,15,16,17,18,19,20,21,22,23,24,25,26,27,28,29,30}-1)*LEN(Registro!$E638)+1,LEN(Registro!$E638))),FIND("x",TRIM(MID(SUBSTITUTE(SUBSTITUTE(SUBSTITUTE(SUBSTITUTE(SUBSTITUTE(LOWER(Registro!$E638),"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",LEN(Registro!$E638))),({1,2,3,4,5,6,7,8,9,10,11,12,13,14,15,16,17,18,19,20,21,22,23,24,25,26,27,28,29,30}-1)*LEN(Registro!$E638)+1,LEN(Registro!$E638)))&amp;"x")+1,20))),"Revisar formato")))</f>
        <v/>
      </c>
      <c r="F638" s="23" t="str">
        <f>IF(Registro!$F638="","",IF(ISERROR(FIND("x",LOWER(Registro!$F638))),"-",IFERROR(SUMPRODUCT(--("0"&amp;LEFT(TRIM(MID(SUBSTITUTE(SUBSTITUTE(SUBSTITUTE(SUBSTITUTE(SUBSTITUTE(LOWER(Registro!$F638)," ",""),CHAR(10),"|"),";","|"),"+","|"),"|",REPT(" ",LEN(Registro!$F638))),({1,2,3,4,5,6,7,8,9,10,11,12,13,14,15,16,17,18,19,20,21,22,23,24,25,26,27,28,29,30}-1)*LEN(Registro!$F638)+1,LEN(Registro!$F638))),FIND("x",TRIM(MID(SUBSTITUTE(SUBSTITUTE(SUBSTITUTE(SUBSTITUTE(SUBSTITUTE(LOWER(Registro!$F638)," ",""),CHAR(10),"|"),";","|"),"+","|"),"|",REPT(" ",LEN(Registro!$F638))),({1,2,3,4,5,6,7,8,9,10,11,12,13,14,15,16,17,18,19,20,21,22,23,24,25,26,27,28,29,30}-1)*LEN(Registro!$F638)+1,LEN(Registro!$F638)))&amp;"x")-1))),"Revisar formato")))</f>
        <v/>
      </c>
      <c r="G638" s="24" t="str">
        <f>IF(Registro!$F638="","",IF(ISERROR(FIND("x",LOWER(Registro!$F638))),N(Registro!$G638),IFERROR(SUMPRODUCT(--("0"&amp;LEFT(TRIM(MID(SUBSTITUTE(SUBSTITUTE(SUBSTITUTE(SUBSTITUTE(SUBSTITUTE(LOWER(Registro!$F638)," ",""),CHAR(10),"|"),";","|"),"+","|"),"|",REPT(" ",LEN(Registro!$F638))),({1,2,3,4,5,6,7,8,9,10,11,12,13,14,15,16,17,18,19,20,21,22,23,24,25,26,27,28,29,30}-1)*LEN(Registro!$F638)+1,LEN(Registro!$F638))),FIND("x",TRIM(MID(SUBSTITUTE(SUBSTITUTE(SUBSTITUTE(SUBSTITUTE(SUBSTITUTE(LOWER(Registro!$F638)," ",""),CHAR(10),"|"),";","|"),"+","|"),"|",REPT(" ",LEN(Registro!$F638))),({1,2,3,4,5,6,7,8,9,10,11,12,13,14,15,16,17,18,19,20,21,22,23,24,25,26,27,28,29,30}-1)*LEN(Registro!$F638)+1,LEN(Registro!$F638)))&amp;"x")-1)),--("0"&amp;MID(TRIM(MID(SUBSTITUTE(SUBSTITUTE(SUBSTITUTE(SUBSTITUTE(SUBSTITUTE(LOWER(Registro!$F638)," ",""),CHAR(10),"|"),";","|"),"+","|"),"|",REPT(" ",LEN(Registro!$F638))),({1,2,3,4,5,6,7,8,9,10,11,12,13,14,15,16,17,18,19,20,21,22,23,24,25,26,27,28,29,30}-1)*LEN(Registro!$F638)+1,LEN(Registro!$F638))),FIND("x",TRIM(MID(SUBSTITUTE(SUBSTITUTE(SUBSTITUTE(SUBSTITUTE(SUBSTITUTE(LOWER(Registro!$F638)," ",""),CHAR(10),"|"),";","|"),"+","|"),"|",REPT(" ",LEN(Registro!$F638))),({1,2,3,4,5,6,7,8,9,10,11,12,13,14,15,16,17,18,19,20,21,22,23,24,25,26,27,28,29,30}-1)*LEN(Registro!$F638)+1,LEN(Registro!$F638)))&amp;"x")+1,20))),"Revisar formato")))</f>
        <v/>
      </c>
      <c r="H638" s="21" t="str">
        <f>IF(AND(Registro!$E638="",Registro!$F638=""),"",IF(NOT(AND(ISNUMBER(G638),ISNUMBER(Registro!$G638))),"",IF(G638&lt;Registro!$G638,"FALTA BOLETOS",IF(G638=Registro!$G638,"CONFORME","DIFERENCIA"))))</f>
        <v/>
      </c>
      <c r="I638" s="24" t="str">
        <f>IF(Registro!$H638="","",IFERROR(SUMPRODUCT(--("0"&amp;TRIM(RIGHT(SUBSTITUTE(TRIM(MID(SUBSTITUTE(SUBSTITUTE(Registro!$H638,";",CHAR(10)),CHAR(10),REPT(" ",LEN(Registro!$H638))),({1,2,3,4,5,6,7,8,9,10,11,12,13,14,15,16,17,18,19,20,21,22,23,24,25,26,27,28,29,30}-1)*LEN(Registro!$H638)+1,LEN(Registro!$H638)))," ",REPT(" ",50)),50)))),"Revisar formato"))</f>
        <v/>
      </c>
      <c r="J638" s="24" t="str">
        <f>IF(Registro!$I638="","",IFERROR(SUMPRODUCT(--("0"&amp;TRIM(RIGHT(SUBSTITUTE(TRIM(MID(SUBSTITUTE(SUBSTITUTE(Registro!$I638,";",CHAR(10)),CHAR(10),REPT(" ",LEN(Registro!$I638))),({1,2,3,4,5,6,7,8,9,10,11,12,13,14,15,16,17,18,19,20,21,22,23,24,25,26,27,28,29,30}-1)*LEN(Registro!$I638)+1,LEN(Registro!$I638)))," ",REPT(" ",50)),50)))),"Revisar formato"))</f>
        <v/>
      </c>
      <c r="K638" s="24" t="str">
        <f>IF(AND(Registro!$G638="",Registro!$H638=""),"",IF(AND(ISTEXT(I638),I638&lt;&gt;""),"Revisar formato",N(Registro!$G638)-N(I638)))</f>
        <v/>
      </c>
      <c r="L638" s="24" t="str">
        <f t="shared" si="19"/>
        <v/>
      </c>
      <c r="M638" s="36" t="str">
        <f>IF(AND(A638=Consulta!$B$3,C638=Consulta!$H$3),B638*10000+ROW(),"")</f>
        <v/>
      </c>
    </row>
    <row r="639" spans="1:13" x14ac:dyDescent="0.25">
      <c r="A639" s="21" t="str">
        <f>IF(Registro!$A639="","",Registro!$A639)</f>
        <v/>
      </c>
      <c r="B639" s="20" t="str">
        <f>IF(Registro!$B639="","",Registro!$B639)</f>
        <v/>
      </c>
      <c r="C639" s="35" t="str">
        <f t="shared" si="18"/>
        <v/>
      </c>
      <c r="D639" s="23" t="str">
        <f>IF(Registro!$E639="","",IF(ISERROR(FIND("x",LOWER(Registro!$E639))),"-",IFERROR(SUMPRODUCT(--("0"&amp;LEFT(TRIM(MID(SUBSTITUTE(SUBSTITUTE(SUBSTITUTE(SUBSTITUTE(SUBSTITUTE(LOWER(Registro!$E639),"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",LEN(Registro!$E639))),({1,2,3,4,5,6,7,8,9,10,11,12,13,14,15,16,17,18,19,20,21,22,23,24,25,26,27,28,29,30}-1)*LEN(Registro!$E639)+1,LEN(Registro!$E639))),FIND("x",TRIM(MID(SUBSTITUTE(SUBSTITUTE(SUBSTITUTE(SUBSTITUTE(SUBSTITUTE(LOWER(Registro!$E639),"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",LEN(Registro!$E639))),({1,2,3,4,5,6,7,8,9,10,11,12,13,14,15,16,17,18,19,20,21,22,23,24,25,26,27,28,29,30}-1)*LEN(Registro!$E639)+1,LEN(Registro!$E639)))&amp;"x")-1))),"Revisar formato")))</f>
        <v/>
      </c>
      <c r="E639" s="24" t="str">
        <f>IF(Registro!$E639="","",IF(ISERROR(FIND("x",LOWER(Registro!$E639))),"-",IFERROR(SUMPRODUCT(--("0"&amp;LEFT(TRIM(MID(SUBSTITUTE(SUBSTITUTE(SUBSTITUTE(SUBSTITUTE(SUBSTITUTE(LOWER(Registro!$E639),"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",LEN(Registro!$E639))),({1,2,3,4,5,6,7,8,9,10,11,12,13,14,15,16,17,18,19,20,21,22,23,24,25,26,27,28,29,30}-1)*LEN(Registro!$E639)+1,LEN(Registro!$E639))),FIND("x",TRIM(MID(SUBSTITUTE(SUBSTITUTE(SUBSTITUTE(SUBSTITUTE(SUBSTITUTE(LOWER(Registro!$E639),"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",LEN(Registro!$E639))),({1,2,3,4,5,6,7,8,9,10,11,12,13,14,15,16,17,18,19,20,21,22,23,24,25,26,27,28,29,30}-1)*LEN(Registro!$E639)+1,LEN(Registro!$E639)))&amp;"x")-1)),--("0"&amp;MID(TRIM(MID(SUBSTITUTE(SUBSTITUTE(SUBSTITUTE(SUBSTITUTE(SUBSTITUTE(LOWER(Registro!$E639),"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",LEN(Registro!$E639))),({1,2,3,4,5,6,7,8,9,10,11,12,13,14,15,16,17,18,19,20,21,22,23,24,25,26,27,28,29,30}-1)*LEN(Registro!$E639)+1,LEN(Registro!$E639))),FIND("x",TRIM(MID(SUBSTITUTE(SUBSTITUTE(SUBSTITUTE(SUBSTITUTE(SUBSTITUTE(LOWER(Registro!$E639),"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",LEN(Registro!$E639))),({1,2,3,4,5,6,7,8,9,10,11,12,13,14,15,16,17,18,19,20,21,22,23,24,25,26,27,28,29,30}-1)*LEN(Registro!$E639)+1,LEN(Registro!$E639)))&amp;"x")+1,20))),"Revisar formato")))</f>
        <v/>
      </c>
      <c r="F639" s="23" t="str">
        <f>IF(Registro!$F639="","",IF(ISERROR(FIND("x",LOWER(Registro!$F639))),"-",IFERROR(SUMPRODUCT(--("0"&amp;LEFT(TRIM(MID(SUBSTITUTE(SUBSTITUTE(SUBSTITUTE(SUBSTITUTE(SUBSTITUTE(LOWER(Registro!$F639)," ",""),CHAR(10),"|"),";","|"),"+","|"),"|",REPT(" ",LEN(Registro!$F639))),({1,2,3,4,5,6,7,8,9,10,11,12,13,14,15,16,17,18,19,20,21,22,23,24,25,26,27,28,29,30}-1)*LEN(Registro!$F639)+1,LEN(Registro!$F639))),FIND("x",TRIM(MID(SUBSTITUTE(SUBSTITUTE(SUBSTITUTE(SUBSTITUTE(SUBSTITUTE(LOWER(Registro!$F639)," ",""),CHAR(10),"|"),";","|"),"+","|"),"|",REPT(" ",LEN(Registro!$F639))),({1,2,3,4,5,6,7,8,9,10,11,12,13,14,15,16,17,18,19,20,21,22,23,24,25,26,27,28,29,30}-1)*LEN(Registro!$F639)+1,LEN(Registro!$F639)))&amp;"x")-1))),"Revisar formato")))</f>
        <v/>
      </c>
      <c r="G639" s="24" t="str">
        <f>IF(Registro!$F639="","",IF(ISERROR(FIND("x",LOWER(Registro!$F639))),N(Registro!$G639),IFERROR(SUMPRODUCT(--("0"&amp;LEFT(TRIM(MID(SUBSTITUTE(SUBSTITUTE(SUBSTITUTE(SUBSTITUTE(SUBSTITUTE(LOWER(Registro!$F639)," ",""),CHAR(10),"|"),";","|"),"+","|"),"|",REPT(" ",LEN(Registro!$F639))),({1,2,3,4,5,6,7,8,9,10,11,12,13,14,15,16,17,18,19,20,21,22,23,24,25,26,27,28,29,30}-1)*LEN(Registro!$F639)+1,LEN(Registro!$F639))),FIND("x",TRIM(MID(SUBSTITUTE(SUBSTITUTE(SUBSTITUTE(SUBSTITUTE(SUBSTITUTE(LOWER(Registro!$F639)," ",""),CHAR(10),"|"),";","|"),"+","|"),"|",REPT(" ",LEN(Registro!$F639))),({1,2,3,4,5,6,7,8,9,10,11,12,13,14,15,16,17,18,19,20,21,22,23,24,25,26,27,28,29,30}-1)*LEN(Registro!$F639)+1,LEN(Registro!$F639)))&amp;"x")-1)),--("0"&amp;MID(TRIM(MID(SUBSTITUTE(SUBSTITUTE(SUBSTITUTE(SUBSTITUTE(SUBSTITUTE(LOWER(Registro!$F639)," ",""),CHAR(10),"|"),";","|"),"+","|"),"|",REPT(" ",LEN(Registro!$F639))),({1,2,3,4,5,6,7,8,9,10,11,12,13,14,15,16,17,18,19,20,21,22,23,24,25,26,27,28,29,30}-1)*LEN(Registro!$F639)+1,LEN(Registro!$F639))),FIND("x",TRIM(MID(SUBSTITUTE(SUBSTITUTE(SUBSTITUTE(SUBSTITUTE(SUBSTITUTE(LOWER(Registro!$F639)," ",""),CHAR(10),"|"),";","|"),"+","|"),"|",REPT(" ",LEN(Registro!$F639))),({1,2,3,4,5,6,7,8,9,10,11,12,13,14,15,16,17,18,19,20,21,22,23,24,25,26,27,28,29,30}-1)*LEN(Registro!$F639)+1,LEN(Registro!$F639)))&amp;"x")+1,20))),"Revisar formato")))</f>
        <v/>
      </c>
      <c r="H639" s="21" t="str">
        <f>IF(AND(Registro!$E639="",Registro!$F639=""),"",IF(NOT(AND(ISNUMBER(G639),ISNUMBER(Registro!$G639))),"",IF(G639&lt;Registro!$G639,"FALTA BOLETOS",IF(G639=Registro!$G639,"CONFORME","DIFERENCIA"))))</f>
        <v/>
      </c>
      <c r="I639" s="24" t="str">
        <f>IF(Registro!$H639="","",IFERROR(SUMPRODUCT(--("0"&amp;TRIM(RIGHT(SUBSTITUTE(TRIM(MID(SUBSTITUTE(SUBSTITUTE(Registro!$H639,";",CHAR(10)),CHAR(10),REPT(" ",LEN(Registro!$H639))),({1,2,3,4,5,6,7,8,9,10,11,12,13,14,15,16,17,18,19,20,21,22,23,24,25,26,27,28,29,30}-1)*LEN(Registro!$H639)+1,LEN(Registro!$H639)))," ",REPT(" ",50)),50)))),"Revisar formato"))</f>
        <v/>
      </c>
      <c r="J639" s="24" t="str">
        <f>IF(Registro!$I639="","",IFERROR(SUMPRODUCT(--("0"&amp;TRIM(RIGHT(SUBSTITUTE(TRIM(MID(SUBSTITUTE(SUBSTITUTE(Registro!$I639,";",CHAR(10)),CHAR(10),REPT(" ",LEN(Registro!$I639))),({1,2,3,4,5,6,7,8,9,10,11,12,13,14,15,16,17,18,19,20,21,22,23,24,25,26,27,28,29,30}-1)*LEN(Registro!$I639)+1,LEN(Registro!$I639)))," ",REPT(" ",50)),50)))),"Revisar formato"))</f>
        <v/>
      </c>
      <c r="K639" s="24" t="str">
        <f>IF(AND(Registro!$G639="",Registro!$H639=""),"",IF(AND(ISTEXT(I639),I639&lt;&gt;""),"Revisar formato",N(Registro!$G639)-N(I639)))</f>
        <v/>
      </c>
      <c r="L639" s="24" t="str">
        <f t="shared" si="19"/>
        <v/>
      </c>
      <c r="M639" s="36" t="str">
        <f>IF(AND(A639=Consulta!$B$3,C639=Consulta!$H$3),B639*10000+ROW(),"")</f>
        <v/>
      </c>
    </row>
    <row r="640" spans="1:13" x14ac:dyDescent="0.25">
      <c r="A640" s="21" t="str">
        <f>IF(Registro!$A640="","",Registro!$A640)</f>
        <v/>
      </c>
      <c r="B640" s="20" t="str">
        <f>IF(Registro!$B640="","",Registro!$B640)</f>
        <v/>
      </c>
      <c r="C640" s="35" t="str">
        <f t="shared" si="18"/>
        <v/>
      </c>
      <c r="D640" s="23" t="str">
        <f>IF(Registro!$E640="","",IF(ISERROR(FIND("x",LOWER(Registro!$E640))),"-",IFERROR(SUMPRODUCT(--("0"&amp;LEFT(TRIM(MID(SUBSTITUTE(SUBSTITUTE(SUBSTITUTE(SUBSTITUTE(SUBSTITUTE(LOWER(Registro!$E640),"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",LEN(Registro!$E640))),({1,2,3,4,5,6,7,8,9,10,11,12,13,14,15,16,17,18,19,20,21,22,23,24,25,26,27,28,29,30}-1)*LEN(Registro!$E640)+1,LEN(Registro!$E640))),FIND("x",TRIM(MID(SUBSTITUTE(SUBSTITUTE(SUBSTITUTE(SUBSTITUTE(SUBSTITUTE(LOWER(Registro!$E640),"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",LEN(Registro!$E640))),({1,2,3,4,5,6,7,8,9,10,11,12,13,14,15,16,17,18,19,20,21,22,23,24,25,26,27,28,29,30}-1)*LEN(Registro!$E640)+1,LEN(Registro!$E640)))&amp;"x")-1))),"Revisar formato")))</f>
        <v/>
      </c>
      <c r="E640" s="24" t="str">
        <f>IF(Registro!$E640="","",IF(ISERROR(FIND("x",LOWER(Registro!$E640))),"-",IFERROR(SUMPRODUCT(--("0"&amp;LEFT(TRIM(MID(SUBSTITUTE(SUBSTITUTE(SUBSTITUTE(SUBSTITUTE(SUBSTITUTE(LOWER(Registro!$E640),"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",LEN(Registro!$E640))),({1,2,3,4,5,6,7,8,9,10,11,12,13,14,15,16,17,18,19,20,21,22,23,24,25,26,27,28,29,30}-1)*LEN(Registro!$E640)+1,LEN(Registro!$E640))),FIND("x",TRIM(MID(SUBSTITUTE(SUBSTITUTE(SUBSTITUTE(SUBSTITUTE(SUBSTITUTE(LOWER(Registro!$E640),"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",LEN(Registro!$E640))),({1,2,3,4,5,6,7,8,9,10,11,12,13,14,15,16,17,18,19,20,21,22,23,24,25,26,27,28,29,30}-1)*LEN(Registro!$E640)+1,LEN(Registro!$E640)))&amp;"x")-1)),--("0"&amp;MID(TRIM(MID(SUBSTITUTE(SUBSTITUTE(SUBSTITUTE(SUBSTITUTE(SUBSTITUTE(LOWER(Registro!$E640),"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",LEN(Registro!$E640))),({1,2,3,4,5,6,7,8,9,10,11,12,13,14,15,16,17,18,19,20,21,22,23,24,25,26,27,28,29,30}-1)*LEN(Registro!$E640)+1,LEN(Registro!$E640))),FIND("x",TRIM(MID(SUBSTITUTE(SUBSTITUTE(SUBSTITUTE(SUBSTITUTE(SUBSTITUTE(LOWER(Registro!$E640),"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",LEN(Registro!$E640))),({1,2,3,4,5,6,7,8,9,10,11,12,13,14,15,16,17,18,19,20,21,22,23,24,25,26,27,28,29,30}-1)*LEN(Registro!$E640)+1,LEN(Registro!$E640)))&amp;"x")+1,20))),"Revisar formato")))</f>
        <v/>
      </c>
      <c r="F640" s="23" t="str">
        <f>IF(Registro!$F640="","",IF(ISERROR(FIND("x",LOWER(Registro!$F640))),"-",IFERROR(SUMPRODUCT(--("0"&amp;LEFT(TRIM(MID(SUBSTITUTE(SUBSTITUTE(SUBSTITUTE(SUBSTITUTE(SUBSTITUTE(LOWER(Registro!$F640)," ",""),CHAR(10),"|"),";","|"),"+","|"),"|",REPT(" ",LEN(Registro!$F640))),({1,2,3,4,5,6,7,8,9,10,11,12,13,14,15,16,17,18,19,20,21,22,23,24,25,26,27,28,29,30}-1)*LEN(Registro!$F640)+1,LEN(Registro!$F640))),FIND("x",TRIM(MID(SUBSTITUTE(SUBSTITUTE(SUBSTITUTE(SUBSTITUTE(SUBSTITUTE(LOWER(Registro!$F640)," ",""),CHAR(10),"|"),";","|"),"+","|"),"|",REPT(" ",LEN(Registro!$F640))),({1,2,3,4,5,6,7,8,9,10,11,12,13,14,15,16,17,18,19,20,21,22,23,24,25,26,27,28,29,30}-1)*LEN(Registro!$F640)+1,LEN(Registro!$F640)))&amp;"x")-1))),"Revisar formato")))</f>
        <v/>
      </c>
      <c r="G640" s="24" t="str">
        <f>IF(Registro!$F640="","",IF(ISERROR(FIND("x",LOWER(Registro!$F640))),N(Registro!$G640),IFERROR(SUMPRODUCT(--("0"&amp;LEFT(TRIM(MID(SUBSTITUTE(SUBSTITUTE(SUBSTITUTE(SUBSTITUTE(SUBSTITUTE(LOWER(Registro!$F640)," ",""),CHAR(10),"|"),";","|"),"+","|"),"|",REPT(" ",LEN(Registro!$F640))),({1,2,3,4,5,6,7,8,9,10,11,12,13,14,15,16,17,18,19,20,21,22,23,24,25,26,27,28,29,30}-1)*LEN(Registro!$F640)+1,LEN(Registro!$F640))),FIND("x",TRIM(MID(SUBSTITUTE(SUBSTITUTE(SUBSTITUTE(SUBSTITUTE(SUBSTITUTE(LOWER(Registro!$F640)," ",""),CHAR(10),"|"),";","|"),"+","|"),"|",REPT(" ",LEN(Registro!$F640))),({1,2,3,4,5,6,7,8,9,10,11,12,13,14,15,16,17,18,19,20,21,22,23,24,25,26,27,28,29,30}-1)*LEN(Registro!$F640)+1,LEN(Registro!$F640)))&amp;"x")-1)),--("0"&amp;MID(TRIM(MID(SUBSTITUTE(SUBSTITUTE(SUBSTITUTE(SUBSTITUTE(SUBSTITUTE(LOWER(Registro!$F640)," ",""),CHAR(10),"|"),";","|"),"+","|"),"|",REPT(" ",LEN(Registro!$F640))),({1,2,3,4,5,6,7,8,9,10,11,12,13,14,15,16,17,18,19,20,21,22,23,24,25,26,27,28,29,30}-1)*LEN(Registro!$F640)+1,LEN(Registro!$F640))),FIND("x",TRIM(MID(SUBSTITUTE(SUBSTITUTE(SUBSTITUTE(SUBSTITUTE(SUBSTITUTE(LOWER(Registro!$F640)," ",""),CHAR(10),"|"),";","|"),"+","|"),"|",REPT(" ",LEN(Registro!$F640))),({1,2,3,4,5,6,7,8,9,10,11,12,13,14,15,16,17,18,19,20,21,22,23,24,25,26,27,28,29,30}-1)*LEN(Registro!$F640)+1,LEN(Registro!$F640)))&amp;"x")+1,20))),"Revisar formato")))</f>
        <v/>
      </c>
      <c r="H640" s="21" t="str">
        <f>IF(AND(Registro!$E640="",Registro!$F640=""),"",IF(NOT(AND(ISNUMBER(G640),ISNUMBER(Registro!$G640))),"",IF(G640&lt;Registro!$G640,"FALTA BOLETOS",IF(G640=Registro!$G640,"CONFORME","DIFERENCIA"))))</f>
        <v/>
      </c>
      <c r="I640" s="24" t="str">
        <f>IF(Registro!$H640="","",IFERROR(SUMPRODUCT(--("0"&amp;TRIM(RIGHT(SUBSTITUTE(TRIM(MID(SUBSTITUTE(SUBSTITUTE(Registro!$H640,";",CHAR(10)),CHAR(10),REPT(" ",LEN(Registro!$H640))),({1,2,3,4,5,6,7,8,9,10,11,12,13,14,15,16,17,18,19,20,21,22,23,24,25,26,27,28,29,30}-1)*LEN(Registro!$H640)+1,LEN(Registro!$H640)))," ",REPT(" ",50)),50)))),"Revisar formato"))</f>
        <v/>
      </c>
      <c r="J640" s="24" t="str">
        <f>IF(Registro!$I640="","",IFERROR(SUMPRODUCT(--("0"&amp;TRIM(RIGHT(SUBSTITUTE(TRIM(MID(SUBSTITUTE(SUBSTITUTE(Registro!$I640,";",CHAR(10)),CHAR(10),REPT(" ",LEN(Registro!$I640))),({1,2,3,4,5,6,7,8,9,10,11,12,13,14,15,16,17,18,19,20,21,22,23,24,25,26,27,28,29,30}-1)*LEN(Registro!$I640)+1,LEN(Registro!$I640)))," ",REPT(" ",50)),50)))),"Revisar formato"))</f>
        <v/>
      </c>
      <c r="K640" s="24" t="str">
        <f>IF(AND(Registro!$G640="",Registro!$H640=""),"",IF(AND(ISTEXT(I640),I640&lt;&gt;""),"Revisar formato",N(Registro!$G640)-N(I640)))</f>
        <v/>
      </c>
      <c r="L640" s="24" t="str">
        <f t="shared" si="19"/>
        <v/>
      </c>
      <c r="M640" s="36" t="str">
        <f>IF(AND(A640=Consulta!$B$3,C640=Consulta!$H$3),B640*10000+ROW(),"")</f>
        <v/>
      </c>
    </row>
    <row r="641" spans="1:13" x14ac:dyDescent="0.25">
      <c r="A641" s="21" t="str">
        <f>IF(Registro!$A641="","",Registro!$A641)</f>
        <v/>
      </c>
      <c r="B641" s="20" t="str">
        <f>IF(Registro!$B641="","",Registro!$B641)</f>
        <v/>
      </c>
      <c r="C641" s="35" t="str">
        <f t="shared" si="18"/>
        <v/>
      </c>
      <c r="D641" s="23" t="str">
        <f>IF(Registro!$E641="","",IF(ISERROR(FIND("x",LOWER(Registro!$E641))),"-",IFERROR(SUMPRODUCT(--("0"&amp;LEFT(TRIM(MID(SUBSTITUTE(SUBSTITUTE(SUBSTITUTE(SUBSTITUTE(SUBSTITUTE(LOWER(Registro!$E641),"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",LEN(Registro!$E641))),({1,2,3,4,5,6,7,8,9,10,11,12,13,14,15,16,17,18,19,20,21,22,23,24,25,26,27,28,29,30}-1)*LEN(Registro!$E641)+1,LEN(Registro!$E641))),FIND("x",TRIM(MID(SUBSTITUTE(SUBSTITUTE(SUBSTITUTE(SUBSTITUTE(SUBSTITUTE(LOWER(Registro!$E641),"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",LEN(Registro!$E641))),({1,2,3,4,5,6,7,8,9,10,11,12,13,14,15,16,17,18,19,20,21,22,23,24,25,26,27,28,29,30}-1)*LEN(Registro!$E641)+1,LEN(Registro!$E641)))&amp;"x")-1))),"Revisar formato")))</f>
        <v/>
      </c>
      <c r="E641" s="24" t="str">
        <f>IF(Registro!$E641="","",IF(ISERROR(FIND("x",LOWER(Registro!$E641))),"-",IFERROR(SUMPRODUCT(--("0"&amp;LEFT(TRIM(MID(SUBSTITUTE(SUBSTITUTE(SUBSTITUTE(SUBSTITUTE(SUBSTITUTE(LOWER(Registro!$E641),"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",LEN(Registro!$E641))),({1,2,3,4,5,6,7,8,9,10,11,12,13,14,15,16,17,18,19,20,21,22,23,24,25,26,27,28,29,30}-1)*LEN(Registro!$E641)+1,LEN(Registro!$E641))),FIND("x",TRIM(MID(SUBSTITUTE(SUBSTITUTE(SUBSTITUTE(SUBSTITUTE(SUBSTITUTE(LOWER(Registro!$E641),"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",LEN(Registro!$E641))),({1,2,3,4,5,6,7,8,9,10,11,12,13,14,15,16,17,18,19,20,21,22,23,24,25,26,27,28,29,30}-1)*LEN(Registro!$E641)+1,LEN(Registro!$E641)))&amp;"x")-1)),--("0"&amp;MID(TRIM(MID(SUBSTITUTE(SUBSTITUTE(SUBSTITUTE(SUBSTITUTE(SUBSTITUTE(LOWER(Registro!$E641),"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",LEN(Registro!$E641))),({1,2,3,4,5,6,7,8,9,10,11,12,13,14,15,16,17,18,19,20,21,22,23,24,25,26,27,28,29,30}-1)*LEN(Registro!$E641)+1,LEN(Registro!$E641))),FIND("x",TRIM(MID(SUBSTITUTE(SUBSTITUTE(SUBSTITUTE(SUBSTITUTE(SUBSTITUTE(LOWER(Registro!$E641),"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",LEN(Registro!$E641))),({1,2,3,4,5,6,7,8,9,10,11,12,13,14,15,16,17,18,19,20,21,22,23,24,25,26,27,28,29,30}-1)*LEN(Registro!$E641)+1,LEN(Registro!$E641)))&amp;"x")+1,20))),"Revisar formato")))</f>
        <v/>
      </c>
      <c r="F641" s="23" t="str">
        <f>IF(Registro!$F641="","",IF(ISERROR(FIND("x",LOWER(Registro!$F641))),"-",IFERROR(SUMPRODUCT(--("0"&amp;LEFT(TRIM(MID(SUBSTITUTE(SUBSTITUTE(SUBSTITUTE(SUBSTITUTE(SUBSTITUTE(LOWER(Registro!$F641)," ",""),CHAR(10),"|"),";","|"),"+","|"),"|",REPT(" ",LEN(Registro!$F641))),({1,2,3,4,5,6,7,8,9,10,11,12,13,14,15,16,17,18,19,20,21,22,23,24,25,26,27,28,29,30}-1)*LEN(Registro!$F641)+1,LEN(Registro!$F641))),FIND("x",TRIM(MID(SUBSTITUTE(SUBSTITUTE(SUBSTITUTE(SUBSTITUTE(SUBSTITUTE(LOWER(Registro!$F641)," ",""),CHAR(10),"|"),";","|"),"+","|"),"|",REPT(" ",LEN(Registro!$F641))),({1,2,3,4,5,6,7,8,9,10,11,12,13,14,15,16,17,18,19,20,21,22,23,24,25,26,27,28,29,30}-1)*LEN(Registro!$F641)+1,LEN(Registro!$F641)))&amp;"x")-1))),"Revisar formato")))</f>
        <v/>
      </c>
      <c r="G641" s="24" t="str">
        <f>IF(Registro!$F641="","",IF(ISERROR(FIND("x",LOWER(Registro!$F641))),N(Registro!$G641),IFERROR(SUMPRODUCT(--("0"&amp;LEFT(TRIM(MID(SUBSTITUTE(SUBSTITUTE(SUBSTITUTE(SUBSTITUTE(SUBSTITUTE(LOWER(Registro!$F641)," ",""),CHAR(10),"|"),";","|"),"+","|"),"|",REPT(" ",LEN(Registro!$F641))),({1,2,3,4,5,6,7,8,9,10,11,12,13,14,15,16,17,18,19,20,21,22,23,24,25,26,27,28,29,30}-1)*LEN(Registro!$F641)+1,LEN(Registro!$F641))),FIND("x",TRIM(MID(SUBSTITUTE(SUBSTITUTE(SUBSTITUTE(SUBSTITUTE(SUBSTITUTE(LOWER(Registro!$F641)," ",""),CHAR(10),"|"),";","|"),"+","|"),"|",REPT(" ",LEN(Registro!$F641))),({1,2,3,4,5,6,7,8,9,10,11,12,13,14,15,16,17,18,19,20,21,22,23,24,25,26,27,28,29,30}-1)*LEN(Registro!$F641)+1,LEN(Registro!$F641)))&amp;"x")-1)),--("0"&amp;MID(TRIM(MID(SUBSTITUTE(SUBSTITUTE(SUBSTITUTE(SUBSTITUTE(SUBSTITUTE(LOWER(Registro!$F641)," ",""),CHAR(10),"|"),";","|"),"+","|"),"|",REPT(" ",LEN(Registro!$F641))),({1,2,3,4,5,6,7,8,9,10,11,12,13,14,15,16,17,18,19,20,21,22,23,24,25,26,27,28,29,30}-1)*LEN(Registro!$F641)+1,LEN(Registro!$F641))),FIND("x",TRIM(MID(SUBSTITUTE(SUBSTITUTE(SUBSTITUTE(SUBSTITUTE(SUBSTITUTE(LOWER(Registro!$F641)," ",""),CHAR(10),"|"),";","|"),"+","|"),"|",REPT(" ",LEN(Registro!$F641))),({1,2,3,4,5,6,7,8,9,10,11,12,13,14,15,16,17,18,19,20,21,22,23,24,25,26,27,28,29,30}-1)*LEN(Registro!$F641)+1,LEN(Registro!$F641)))&amp;"x")+1,20))),"Revisar formato")))</f>
        <v/>
      </c>
      <c r="H641" s="21" t="str">
        <f>IF(AND(Registro!$E641="",Registro!$F641=""),"",IF(NOT(AND(ISNUMBER(G641),ISNUMBER(Registro!$G641))),"",IF(G641&lt;Registro!$G641,"FALTA BOLETOS",IF(G641=Registro!$G641,"CONFORME","DIFERENCIA"))))</f>
        <v/>
      </c>
      <c r="I641" s="24" t="str">
        <f>IF(Registro!$H641="","",IFERROR(SUMPRODUCT(--("0"&amp;TRIM(RIGHT(SUBSTITUTE(TRIM(MID(SUBSTITUTE(SUBSTITUTE(Registro!$H641,";",CHAR(10)),CHAR(10),REPT(" ",LEN(Registro!$H641))),({1,2,3,4,5,6,7,8,9,10,11,12,13,14,15,16,17,18,19,20,21,22,23,24,25,26,27,28,29,30}-1)*LEN(Registro!$H641)+1,LEN(Registro!$H641)))," ",REPT(" ",50)),50)))),"Revisar formato"))</f>
        <v/>
      </c>
      <c r="J641" s="24" t="str">
        <f>IF(Registro!$I641="","",IFERROR(SUMPRODUCT(--("0"&amp;TRIM(RIGHT(SUBSTITUTE(TRIM(MID(SUBSTITUTE(SUBSTITUTE(Registro!$I641,";",CHAR(10)),CHAR(10),REPT(" ",LEN(Registro!$I641))),({1,2,3,4,5,6,7,8,9,10,11,12,13,14,15,16,17,18,19,20,21,22,23,24,25,26,27,28,29,30}-1)*LEN(Registro!$I641)+1,LEN(Registro!$I641)))," ",REPT(" ",50)),50)))),"Revisar formato"))</f>
        <v/>
      </c>
      <c r="K641" s="24" t="str">
        <f>IF(AND(Registro!$G641="",Registro!$H641=""),"",IF(AND(ISTEXT(I641),I641&lt;&gt;""),"Revisar formato",N(Registro!$G641)-N(I641)))</f>
        <v/>
      </c>
      <c r="L641" s="24" t="str">
        <f t="shared" si="19"/>
        <v/>
      </c>
      <c r="M641" s="36" t="str">
        <f>IF(AND(A641=Consulta!$B$3,C641=Consulta!$H$3),B641*10000+ROW(),"")</f>
        <v/>
      </c>
    </row>
    <row r="642" spans="1:13" x14ac:dyDescent="0.25">
      <c r="A642" s="21" t="str">
        <f>IF(Registro!$A642="","",Registro!$A642)</f>
        <v/>
      </c>
      <c r="B642" s="20" t="str">
        <f>IF(Registro!$B642="","",Registro!$B642)</f>
        <v/>
      </c>
      <c r="C642" s="35" t="str">
        <f t="shared" ref="C642:C705" si="20">IF(ISNUMBER(B642),YEAR(B642)*100+MONTH(B642),"")</f>
        <v/>
      </c>
      <c r="D642" s="23" t="str">
        <f>IF(Registro!$E642="","",IF(ISERROR(FIND("x",LOWER(Registro!$E642))),"-",IFERROR(SUMPRODUCT(--("0"&amp;LEFT(TRIM(MID(SUBSTITUTE(SUBSTITUTE(SUBSTITUTE(SUBSTITUTE(SUBSTITUTE(LOWER(Registro!$E642),"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",LEN(Registro!$E642))),({1,2,3,4,5,6,7,8,9,10,11,12,13,14,15,16,17,18,19,20,21,22,23,24,25,26,27,28,29,30}-1)*LEN(Registro!$E642)+1,LEN(Registro!$E642))),FIND("x",TRIM(MID(SUBSTITUTE(SUBSTITUTE(SUBSTITUTE(SUBSTITUTE(SUBSTITUTE(LOWER(Registro!$E642),"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",LEN(Registro!$E642))),({1,2,3,4,5,6,7,8,9,10,11,12,13,14,15,16,17,18,19,20,21,22,23,24,25,26,27,28,29,30}-1)*LEN(Registro!$E642)+1,LEN(Registro!$E642)))&amp;"x")-1))),"Revisar formato")))</f>
        <v/>
      </c>
      <c r="E642" s="24" t="str">
        <f>IF(Registro!$E642="","",IF(ISERROR(FIND("x",LOWER(Registro!$E642))),"-",IFERROR(SUMPRODUCT(--("0"&amp;LEFT(TRIM(MID(SUBSTITUTE(SUBSTITUTE(SUBSTITUTE(SUBSTITUTE(SUBSTITUTE(LOWER(Registro!$E642),"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",LEN(Registro!$E642))),({1,2,3,4,5,6,7,8,9,10,11,12,13,14,15,16,17,18,19,20,21,22,23,24,25,26,27,28,29,30}-1)*LEN(Registro!$E642)+1,LEN(Registro!$E642))),FIND("x",TRIM(MID(SUBSTITUTE(SUBSTITUTE(SUBSTITUTE(SUBSTITUTE(SUBSTITUTE(LOWER(Registro!$E642),"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",LEN(Registro!$E642))),({1,2,3,4,5,6,7,8,9,10,11,12,13,14,15,16,17,18,19,20,21,22,23,24,25,26,27,28,29,30}-1)*LEN(Registro!$E642)+1,LEN(Registro!$E642)))&amp;"x")-1)),--("0"&amp;MID(TRIM(MID(SUBSTITUTE(SUBSTITUTE(SUBSTITUTE(SUBSTITUTE(SUBSTITUTE(LOWER(Registro!$E642),"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",LEN(Registro!$E642))),({1,2,3,4,5,6,7,8,9,10,11,12,13,14,15,16,17,18,19,20,21,22,23,24,25,26,27,28,29,30}-1)*LEN(Registro!$E642)+1,LEN(Registro!$E642))),FIND("x",TRIM(MID(SUBSTITUTE(SUBSTITUTE(SUBSTITUTE(SUBSTITUTE(SUBSTITUTE(LOWER(Registro!$E642),"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",LEN(Registro!$E642))),({1,2,3,4,5,6,7,8,9,10,11,12,13,14,15,16,17,18,19,20,21,22,23,24,25,26,27,28,29,30}-1)*LEN(Registro!$E642)+1,LEN(Registro!$E642)))&amp;"x")+1,20))),"Revisar formato")))</f>
        <v/>
      </c>
      <c r="F642" s="23" t="str">
        <f>IF(Registro!$F642="","",IF(ISERROR(FIND("x",LOWER(Registro!$F642))),"-",IFERROR(SUMPRODUCT(--("0"&amp;LEFT(TRIM(MID(SUBSTITUTE(SUBSTITUTE(SUBSTITUTE(SUBSTITUTE(SUBSTITUTE(LOWER(Registro!$F642)," ",""),CHAR(10),"|"),";","|"),"+","|"),"|",REPT(" ",LEN(Registro!$F642))),({1,2,3,4,5,6,7,8,9,10,11,12,13,14,15,16,17,18,19,20,21,22,23,24,25,26,27,28,29,30}-1)*LEN(Registro!$F642)+1,LEN(Registro!$F642))),FIND("x",TRIM(MID(SUBSTITUTE(SUBSTITUTE(SUBSTITUTE(SUBSTITUTE(SUBSTITUTE(LOWER(Registro!$F642)," ",""),CHAR(10),"|"),";","|"),"+","|"),"|",REPT(" ",LEN(Registro!$F642))),({1,2,3,4,5,6,7,8,9,10,11,12,13,14,15,16,17,18,19,20,21,22,23,24,25,26,27,28,29,30}-1)*LEN(Registro!$F642)+1,LEN(Registro!$F642)))&amp;"x")-1))),"Revisar formato")))</f>
        <v/>
      </c>
      <c r="G642" s="24" t="str">
        <f>IF(Registro!$F642="","",IF(ISERROR(FIND("x",LOWER(Registro!$F642))),N(Registro!$G642),IFERROR(SUMPRODUCT(--("0"&amp;LEFT(TRIM(MID(SUBSTITUTE(SUBSTITUTE(SUBSTITUTE(SUBSTITUTE(SUBSTITUTE(LOWER(Registro!$F642)," ",""),CHAR(10),"|"),";","|"),"+","|"),"|",REPT(" ",LEN(Registro!$F642))),({1,2,3,4,5,6,7,8,9,10,11,12,13,14,15,16,17,18,19,20,21,22,23,24,25,26,27,28,29,30}-1)*LEN(Registro!$F642)+1,LEN(Registro!$F642))),FIND("x",TRIM(MID(SUBSTITUTE(SUBSTITUTE(SUBSTITUTE(SUBSTITUTE(SUBSTITUTE(LOWER(Registro!$F642)," ",""),CHAR(10),"|"),";","|"),"+","|"),"|",REPT(" ",LEN(Registro!$F642))),({1,2,3,4,5,6,7,8,9,10,11,12,13,14,15,16,17,18,19,20,21,22,23,24,25,26,27,28,29,30}-1)*LEN(Registro!$F642)+1,LEN(Registro!$F642)))&amp;"x")-1)),--("0"&amp;MID(TRIM(MID(SUBSTITUTE(SUBSTITUTE(SUBSTITUTE(SUBSTITUTE(SUBSTITUTE(LOWER(Registro!$F642)," ",""),CHAR(10),"|"),";","|"),"+","|"),"|",REPT(" ",LEN(Registro!$F642))),({1,2,3,4,5,6,7,8,9,10,11,12,13,14,15,16,17,18,19,20,21,22,23,24,25,26,27,28,29,30}-1)*LEN(Registro!$F642)+1,LEN(Registro!$F642))),FIND("x",TRIM(MID(SUBSTITUTE(SUBSTITUTE(SUBSTITUTE(SUBSTITUTE(SUBSTITUTE(LOWER(Registro!$F642)," ",""),CHAR(10),"|"),";","|"),"+","|"),"|",REPT(" ",LEN(Registro!$F642))),({1,2,3,4,5,6,7,8,9,10,11,12,13,14,15,16,17,18,19,20,21,22,23,24,25,26,27,28,29,30}-1)*LEN(Registro!$F642)+1,LEN(Registro!$F642)))&amp;"x")+1,20))),"Revisar formato")))</f>
        <v/>
      </c>
      <c r="H642" s="21" t="str">
        <f>IF(AND(Registro!$E642="",Registro!$F642=""),"",IF(NOT(AND(ISNUMBER(G642),ISNUMBER(Registro!$G642))),"",IF(G642&lt;Registro!$G642,"FALTA BOLETOS",IF(G642=Registro!$G642,"CONFORME","DIFERENCIA"))))</f>
        <v/>
      </c>
      <c r="I642" s="24" t="str">
        <f>IF(Registro!$H642="","",IFERROR(SUMPRODUCT(--("0"&amp;TRIM(RIGHT(SUBSTITUTE(TRIM(MID(SUBSTITUTE(SUBSTITUTE(Registro!$H642,";",CHAR(10)),CHAR(10),REPT(" ",LEN(Registro!$H642))),({1,2,3,4,5,6,7,8,9,10,11,12,13,14,15,16,17,18,19,20,21,22,23,24,25,26,27,28,29,30}-1)*LEN(Registro!$H642)+1,LEN(Registro!$H642)))," ",REPT(" ",50)),50)))),"Revisar formato"))</f>
        <v/>
      </c>
      <c r="J642" s="24" t="str">
        <f>IF(Registro!$I642="","",IFERROR(SUMPRODUCT(--("0"&amp;TRIM(RIGHT(SUBSTITUTE(TRIM(MID(SUBSTITUTE(SUBSTITUTE(Registro!$I642,";",CHAR(10)),CHAR(10),REPT(" ",LEN(Registro!$I642))),({1,2,3,4,5,6,7,8,9,10,11,12,13,14,15,16,17,18,19,20,21,22,23,24,25,26,27,28,29,30}-1)*LEN(Registro!$I642)+1,LEN(Registro!$I642)))," ",REPT(" ",50)),50)))),"Revisar formato"))</f>
        <v/>
      </c>
      <c r="K642" s="24" t="str">
        <f>IF(AND(Registro!$G642="",Registro!$H642=""),"",IF(AND(ISTEXT(I642),I642&lt;&gt;""),"Revisar formato",N(Registro!$G642)-N(I642)))</f>
        <v/>
      </c>
      <c r="L642" s="24" t="str">
        <f t="shared" ref="L642:L705" si="21">IF(K642="","",IF(OR(K642="Revisar formato",AND(ISTEXT(J642),J642&lt;&gt;"")),"Revisar formato",K642-N(J642)))</f>
        <v/>
      </c>
      <c r="M642" s="36" t="str">
        <f>IF(AND(A642=Consulta!$B$3,C642=Consulta!$H$3),B642*10000+ROW(),"")</f>
        <v/>
      </c>
    </row>
    <row r="643" spans="1:13" x14ac:dyDescent="0.25">
      <c r="A643" s="21" t="str">
        <f>IF(Registro!$A643="","",Registro!$A643)</f>
        <v/>
      </c>
      <c r="B643" s="20" t="str">
        <f>IF(Registro!$B643="","",Registro!$B643)</f>
        <v/>
      </c>
      <c r="C643" s="35" t="str">
        <f t="shared" si="20"/>
        <v/>
      </c>
      <c r="D643" s="23" t="str">
        <f>IF(Registro!$E643="","",IF(ISERROR(FIND("x",LOWER(Registro!$E643))),"-",IFERROR(SUMPRODUCT(--("0"&amp;LEFT(TRIM(MID(SUBSTITUTE(SUBSTITUTE(SUBSTITUTE(SUBSTITUTE(SUBSTITUTE(LOWER(Registro!$E643),"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",LEN(Registro!$E643))),({1,2,3,4,5,6,7,8,9,10,11,12,13,14,15,16,17,18,19,20,21,22,23,24,25,26,27,28,29,30}-1)*LEN(Registro!$E643)+1,LEN(Registro!$E643))),FIND("x",TRIM(MID(SUBSTITUTE(SUBSTITUTE(SUBSTITUTE(SUBSTITUTE(SUBSTITUTE(LOWER(Registro!$E643),"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",LEN(Registro!$E643))),({1,2,3,4,5,6,7,8,9,10,11,12,13,14,15,16,17,18,19,20,21,22,23,24,25,26,27,28,29,30}-1)*LEN(Registro!$E643)+1,LEN(Registro!$E643)))&amp;"x")-1))),"Revisar formato")))</f>
        <v/>
      </c>
      <c r="E643" s="24" t="str">
        <f>IF(Registro!$E643="","",IF(ISERROR(FIND("x",LOWER(Registro!$E643))),"-",IFERROR(SUMPRODUCT(--("0"&amp;LEFT(TRIM(MID(SUBSTITUTE(SUBSTITUTE(SUBSTITUTE(SUBSTITUTE(SUBSTITUTE(LOWER(Registro!$E643),"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",LEN(Registro!$E643))),({1,2,3,4,5,6,7,8,9,10,11,12,13,14,15,16,17,18,19,20,21,22,23,24,25,26,27,28,29,30}-1)*LEN(Registro!$E643)+1,LEN(Registro!$E643))),FIND("x",TRIM(MID(SUBSTITUTE(SUBSTITUTE(SUBSTITUTE(SUBSTITUTE(SUBSTITUTE(LOWER(Registro!$E643),"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",LEN(Registro!$E643))),({1,2,3,4,5,6,7,8,9,10,11,12,13,14,15,16,17,18,19,20,21,22,23,24,25,26,27,28,29,30}-1)*LEN(Registro!$E643)+1,LEN(Registro!$E643)))&amp;"x")-1)),--("0"&amp;MID(TRIM(MID(SUBSTITUTE(SUBSTITUTE(SUBSTITUTE(SUBSTITUTE(SUBSTITUTE(LOWER(Registro!$E643),"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",LEN(Registro!$E643))),({1,2,3,4,5,6,7,8,9,10,11,12,13,14,15,16,17,18,19,20,21,22,23,24,25,26,27,28,29,30}-1)*LEN(Registro!$E643)+1,LEN(Registro!$E643))),FIND("x",TRIM(MID(SUBSTITUTE(SUBSTITUTE(SUBSTITUTE(SUBSTITUTE(SUBSTITUTE(LOWER(Registro!$E643),"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",LEN(Registro!$E643))),({1,2,3,4,5,6,7,8,9,10,11,12,13,14,15,16,17,18,19,20,21,22,23,24,25,26,27,28,29,30}-1)*LEN(Registro!$E643)+1,LEN(Registro!$E643)))&amp;"x")+1,20))),"Revisar formato")))</f>
        <v/>
      </c>
      <c r="F643" s="23" t="str">
        <f>IF(Registro!$F643="","",IF(ISERROR(FIND("x",LOWER(Registro!$F643))),"-",IFERROR(SUMPRODUCT(--("0"&amp;LEFT(TRIM(MID(SUBSTITUTE(SUBSTITUTE(SUBSTITUTE(SUBSTITUTE(SUBSTITUTE(LOWER(Registro!$F643)," ",""),CHAR(10),"|"),";","|"),"+","|"),"|",REPT(" ",LEN(Registro!$F643))),({1,2,3,4,5,6,7,8,9,10,11,12,13,14,15,16,17,18,19,20,21,22,23,24,25,26,27,28,29,30}-1)*LEN(Registro!$F643)+1,LEN(Registro!$F643))),FIND("x",TRIM(MID(SUBSTITUTE(SUBSTITUTE(SUBSTITUTE(SUBSTITUTE(SUBSTITUTE(LOWER(Registro!$F643)," ",""),CHAR(10),"|"),";","|"),"+","|"),"|",REPT(" ",LEN(Registro!$F643))),({1,2,3,4,5,6,7,8,9,10,11,12,13,14,15,16,17,18,19,20,21,22,23,24,25,26,27,28,29,30}-1)*LEN(Registro!$F643)+1,LEN(Registro!$F643)))&amp;"x")-1))),"Revisar formato")))</f>
        <v/>
      </c>
      <c r="G643" s="24" t="str">
        <f>IF(Registro!$F643="","",IF(ISERROR(FIND("x",LOWER(Registro!$F643))),N(Registro!$G643),IFERROR(SUMPRODUCT(--("0"&amp;LEFT(TRIM(MID(SUBSTITUTE(SUBSTITUTE(SUBSTITUTE(SUBSTITUTE(SUBSTITUTE(LOWER(Registro!$F643)," ",""),CHAR(10),"|"),";","|"),"+","|"),"|",REPT(" ",LEN(Registro!$F643))),({1,2,3,4,5,6,7,8,9,10,11,12,13,14,15,16,17,18,19,20,21,22,23,24,25,26,27,28,29,30}-1)*LEN(Registro!$F643)+1,LEN(Registro!$F643))),FIND("x",TRIM(MID(SUBSTITUTE(SUBSTITUTE(SUBSTITUTE(SUBSTITUTE(SUBSTITUTE(LOWER(Registro!$F643)," ",""),CHAR(10),"|"),";","|"),"+","|"),"|",REPT(" ",LEN(Registro!$F643))),({1,2,3,4,5,6,7,8,9,10,11,12,13,14,15,16,17,18,19,20,21,22,23,24,25,26,27,28,29,30}-1)*LEN(Registro!$F643)+1,LEN(Registro!$F643)))&amp;"x")-1)),--("0"&amp;MID(TRIM(MID(SUBSTITUTE(SUBSTITUTE(SUBSTITUTE(SUBSTITUTE(SUBSTITUTE(LOWER(Registro!$F643)," ",""),CHAR(10),"|"),";","|"),"+","|"),"|",REPT(" ",LEN(Registro!$F643))),({1,2,3,4,5,6,7,8,9,10,11,12,13,14,15,16,17,18,19,20,21,22,23,24,25,26,27,28,29,30}-1)*LEN(Registro!$F643)+1,LEN(Registro!$F643))),FIND("x",TRIM(MID(SUBSTITUTE(SUBSTITUTE(SUBSTITUTE(SUBSTITUTE(SUBSTITUTE(LOWER(Registro!$F643)," ",""),CHAR(10),"|"),";","|"),"+","|"),"|",REPT(" ",LEN(Registro!$F643))),({1,2,3,4,5,6,7,8,9,10,11,12,13,14,15,16,17,18,19,20,21,22,23,24,25,26,27,28,29,30}-1)*LEN(Registro!$F643)+1,LEN(Registro!$F643)))&amp;"x")+1,20))),"Revisar formato")))</f>
        <v/>
      </c>
      <c r="H643" s="21" t="str">
        <f>IF(AND(Registro!$E643="",Registro!$F643=""),"",IF(NOT(AND(ISNUMBER(G643),ISNUMBER(Registro!$G643))),"",IF(G643&lt;Registro!$G643,"FALTA BOLETOS",IF(G643=Registro!$G643,"CONFORME","DIFERENCIA"))))</f>
        <v/>
      </c>
      <c r="I643" s="24" t="str">
        <f>IF(Registro!$H643="","",IFERROR(SUMPRODUCT(--("0"&amp;TRIM(RIGHT(SUBSTITUTE(TRIM(MID(SUBSTITUTE(SUBSTITUTE(Registro!$H643,";",CHAR(10)),CHAR(10),REPT(" ",LEN(Registro!$H643))),({1,2,3,4,5,6,7,8,9,10,11,12,13,14,15,16,17,18,19,20,21,22,23,24,25,26,27,28,29,30}-1)*LEN(Registro!$H643)+1,LEN(Registro!$H643)))," ",REPT(" ",50)),50)))),"Revisar formato"))</f>
        <v/>
      </c>
      <c r="J643" s="24" t="str">
        <f>IF(Registro!$I643="","",IFERROR(SUMPRODUCT(--("0"&amp;TRIM(RIGHT(SUBSTITUTE(TRIM(MID(SUBSTITUTE(SUBSTITUTE(Registro!$I643,";",CHAR(10)),CHAR(10),REPT(" ",LEN(Registro!$I643))),({1,2,3,4,5,6,7,8,9,10,11,12,13,14,15,16,17,18,19,20,21,22,23,24,25,26,27,28,29,30}-1)*LEN(Registro!$I643)+1,LEN(Registro!$I643)))," ",REPT(" ",50)),50)))),"Revisar formato"))</f>
        <v/>
      </c>
      <c r="K643" s="24" t="str">
        <f>IF(AND(Registro!$G643="",Registro!$H643=""),"",IF(AND(ISTEXT(I643),I643&lt;&gt;""),"Revisar formato",N(Registro!$G643)-N(I643)))</f>
        <v/>
      </c>
      <c r="L643" s="24" t="str">
        <f t="shared" si="21"/>
        <v/>
      </c>
      <c r="M643" s="36" t="str">
        <f>IF(AND(A643=Consulta!$B$3,C643=Consulta!$H$3),B643*10000+ROW(),"")</f>
        <v/>
      </c>
    </row>
    <row r="644" spans="1:13" x14ac:dyDescent="0.25">
      <c r="A644" s="21" t="str">
        <f>IF(Registro!$A644="","",Registro!$A644)</f>
        <v/>
      </c>
      <c r="B644" s="20" t="str">
        <f>IF(Registro!$B644="","",Registro!$B644)</f>
        <v/>
      </c>
      <c r="C644" s="35" t="str">
        <f t="shared" si="20"/>
        <v/>
      </c>
      <c r="D644" s="23" t="str">
        <f>IF(Registro!$E644="","",IF(ISERROR(FIND("x",LOWER(Registro!$E644))),"-",IFERROR(SUMPRODUCT(--("0"&amp;LEFT(TRIM(MID(SUBSTITUTE(SUBSTITUTE(SUBSTITUTE(SUBSTITUTE(SUBSTITUTE(LOWER(Registro!$E644),"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",LEN(Registro!$E644))),({1,2,3,4,5,6,7,8,9,10,11,12,13,14,15,16,17,18,19,20,21,22,23,24,25,26,27,28,29,30}-1)*LEN(Registro!$E644)+1,LEN(Registro!$E644))),FIND("x",TRIM(MID(SUBSTITUTE(SUBSTITUTE(SUBSTITUTE(SUBSTITUTE(SUBSTITUTE(LOWER(Registro!$E644),"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",LEN(Registro!$E644))),({1,2,3,4,5,6,7,8,9,10,11,12,13,14,15,16,17,18,19,20,21,22,23,24,25,26,27,28,29,30}-1)*LEN(Registro!$E644)+1,LEN(Registro!$E644)))&amp;"x")-1))),"Revisar formato")))</f>
        <v/>
      </c>
      <c r="E644" s="24" t="str">
        <f>IF(Registro!$E644="","",IF(ISERROR(FIND("x",LOWER(Registro!$E644))),"-",IFERROR(SUMPRODUCT(--("0"&amp;LEFT(TRIM(MID(SUBSTITUTE(SUBSTITUTE(SUBSTITUTE(SUBSTITUTE(SUBSTITUTE(LOWER(Registro!$E644),"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",LEN(Registro!$E644))),({1,2,3,4,5,6,7,8,9,10,11,12,13,14,15,16,17,18,19,20,21,22,23,24,25,26,27,28,29,30}-1)*LEN(Registro!$E644)+1,LEN(Registro!$E644))),FIND("x",TRIM(MID(SUBSTITUTE(SUBSTITUTE(SUBSTITUTE(SUBSTITUTE(SUBSTITUTE(LOWER(Registro!$E644),"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",LEN(Registro!$E644))),({1,2,3,4,5,6,7,8,9,10,11,12,13,14,15,16,17,18,19,20,21,22,23,24,25,26,27,28,29,30}-1)*LEN(Registro!$E644)+1,LEN(Registro!$E644)))&amp;"x")-1)),--("0"&amp;MID(TRIM(MID(SUBSTITUTE(SUBSTITUTE(SUBSTITUTE(SUBSTITUTE(SUBSTITUTE(LOWER(Registro!$E644),"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",LEN(Registro!$E644))),({1,2,3,4,5,6,7,8,9,10,11,12,13,14,15,16,17,18,19,20,21,22,23,24,25,26,27,28,29,30}-1)*LEN(Registro!$E644)+1,LEN(Registro!$E644))),FIND("x",TRIM(MID(SUBSTITUTE(SUBSTITUTE(SUBSTITUTE(SUBSTITUTE(SUBSTITUTE(LOWER(Registro!$E644),"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",LEN(Registro!$E644))),({1,2,3,4,5,6,7,8,9,10,11,12,13,14,15,16,17,18,19,20,21,22,23,24,25,26,27,28,29,30}-1)*LEN(Registro!$E644)+1,LEN(Registro!$E644)))&amp;"x")+1,20))),"Revisar formato")))</f>
        <v/>
      </c>
      <c r="F644" s="23" t="str">
        <f>IF(Registro!$F644="","",IF(ISERROR(FIND("x",LOWER(Registro!$F644))),"-",IFERROR(SUMPRODUCT(--("0"&amp;LEFT(TRIM(MID(SUBSTITUTE(SUBSTITUTE(SUBSTITUTE(SUBSTITUTE(SUBSTITUTE(LOWER(Registro!$F644)," ",""),CHAR(10),"|"),";","|"),"+","|"),"|",REPT(" ",LEN(Registro!$F644))),({1,2,3,4,5,6,7,8,9,10,11,12,13,14,15,16,17,18,19,20,21,22,23,24,25,26,27,28,29,30}-1)*LEN(Registro!$F644)+1,LEN(Registro!$F644))),FIND("x",TRIM(MID(SUBSTITUTE(SUBSTITUTE(SUBSTITUTE(SUBSTITUTE(SUBSTITUTE(LOWER(Registro!$F644)," ",""),CHAR(10),"|"),";","|"),"+","|"),"|",REPT(" ",LEN(Registro!$F644))),({1,2,3,4,5,6,7,8,9,10,11,12,13,14,15,16,17,18,19,20,21,22,23,24,25,26,27,28,29,30}-1)*LEN(Registro!$F644)+1,LEN(Registro!$F644)))&amp;"x")-1))),"Revisar formato")))</f>
        <v/>
      </c>
      <c r="G644" s="24" t="str">
        <f>IF(Registro!$F644="","",IF(ISERROR(FIND("x",LOWER(Registro!$F644))),N(Registro!$G644),IFERROR(SUMPRODUCT(--("0"&amp;LEFT(TRIM(MID(SUBSTITUTE(SUBSTITUTE(SUBSTITUTE(SUBSTITUTE(SUBSTITUTE(LOWER(Registro!$F644)," ",""),CHAR(10),"|"),";","|"),"+","|"),"|",REPT(" ",LEN(Registro!$F644))),({1,2,3,4,5,6,7,8,9,10,11,12,13,14,15,16,17,18,19,20,21,22,23,24,25,26,27,28,29,30}-1)*LEN(Registro!$F644)+1,LEN(Registro!$F644))),FIND("x",TRIM(MID(SUBSTITUTE(SUBSTITUTE(SUBSTITUTE(SUBSTITUTE(SUBSTITUTE(LOWER(Registro!$F644)," ",""),CHAR(10),"|"),";","|"),"+","|"),"|",REPT(" ",LEN(Registro!$F644))),({1,2,3,4,5,6,7,8,9,10,11,12,13,14,15,16,17,18,19,20,21,22,23,24,25,26,27,28,29,30}-1)*LEN(Registro!$F644)+1,LEN(Registro!$F644)))&amp;"x")-1)),--("0"&amp;MID(TRIM(MID(SUBSTITUTE(SUBSTITUTE(SUBSTITUTE(SUBSTITUTE(SUBSTITUTE(LOWER(Registro!$F644)," ",""),CHAR(10),"|"),";","|"),"+","|"),"|",REPT(" ",LEN(Registro!$F644))),({1,2,3,4,5,6,7,8,9,10,11,12,13,14,15,16,17,18,19,20,21,22,23,24,25,26,27,28,29,30}-1)*LEN(Registro!$F644)+1,LEN(Registro!$F644))),FIND("x",TRIM(MID(SUBSTITUTE(SUBSTITUTE(SUBSTITUTE(SUBSTITUTE(SUBSTITUTE(LOWER(Registro!$F644)," ",""),CHAR(10),"|"),";","|"),"+","|"),"|",REPT(" ",LEN(Registro!$F644))),({1,2,3,4,5,6,7,8,9,10,11,12,13,14,15,16,17,18,19,20,21,22,23,24,25,26,27,28,29,30}-1)*LEN(Registro!$F644)+1,LEN(Registro!$F644)))&amp;"x")+1,20))),"Revisar formato")))</f>
        <v/>
      </c>
      <c r="H644" s="21" t="str">
        <f>IF(AND(Registro!$E644="",Registro!$F644=""),"",IF(NOT(AND(ISNUMBER(G644),ISNUMBER(Registro!$G644))),"",IF(G644&lt;Registro!$G644,"FALTA BOLETOS",IF(G644=Registro!$G644,"CONFORME","DIFERENCIA"))))</f>
        <v/>
      </c>
      <c r="I644" s="24" t="str">
        <f>IF(Registro!$H644="","",IFERROR(SUMPRODUCT(--("0"&amp;TRIM(RIGHT(SUBSTITUTE(TRIM(MID(SUBSTITUTE(SUBSTITUTE(Registro!$H644,";",CHAR(10)),CHAR(10),REPT(" ",LEN(Registro!$H644))),({1,2,3,4,5,6,7,8,9,10,11,12,13,14,15,16,17,18,19,20,21,22,23,24,25,26,27,28,29,30}-1)*LEN(Registro!$H644)+1,LEN(Registro!$H644)))," ",REPT(" ",50)),50)))),"Revisar formato"))</f>
        <v/>
      </c>
      <c r="J644" s="24" t="str">
        <f>IF(Registro!$I644="","",IFERROR(SUMPRODUCT(--("0"&amp;TRIM(RIGHT(SUBSTITUTE(TRIM(MID(SUBSTITUTE(SUBSTITUTE(Registro!$I644,";",CHAR(10)),CHAR(10),REPT(" ",LEN(Registro!$I644))),({1,2,3,4,5,6,7,8,9,10,11,12,13,14,15,16,17,18,19,20,21,22,23,24,25,26,27,28,29,30}-1)*LEN(Registro!$I644)+1,LEN(Registro!$I644)))," ",REPT(" ",50)),50)))),"Revisar formato"))</f>
        <v/>
      </c>
      <c r="K644" s="24" t="str">
        <f>IF(AND(Registro!$G644="",Registro!$H644=""),"",IF(AND(ISTEXT(I644),I644&lt;&gt;""),"Revisar formato",N(Registro!$G644)-N(I644)))</f>
        <v/>
      </c>
      <c r="L644" s="24" t="str">
        <f t="shared" si="21"/>
        <v/>
      </c>
      <c r="M644" s="36" t="str">
        <f>IF(AND(A644=Consulta!$B$3,C644=Consulta!$H$3),B644*10000+ROW(),"")</f>
        <v/>
      </c>
    </row>
    <row r="645" spans="1:13" x14ac:dyDescent="0.25">
      <c r="A645" s="21" t="str">
        <f>IF(Registro!$A645="","",Registro!$A645)</f>
        <v/>
      </c>
      <c r="B645" s="20" t="str">
        <f>IF(Registro!$B645="","",Registro!$B645)</f>
        <v/>
      </c>
      <c r="C645" s="35" t="str">
        <f t="shared" si="20"/>
        <v/>
      </c>
      <c r="D645" s="23" t="str">
        <f>IF(Registro!$E645="","",IF(ISERROR(FIND("x",LOWER(Registro!$E645))),"-",IFERROR(SUMPRODUCT(--("0"&amp;LEFT(TRIM(MID(SUBSTITUTE(SUBSTITUTE(SUBSTITUTE(SUBSTITUTE(SUBSTITUTE(LOWER(Registro!$E645),"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",LEN(Registro!$E645))),({1,2,3,4,5,6,7,8,9,10,11,12,13,14,15,16,17,18,19,20,21,22,23,24,25,26,27,28,29,30}-1)*LEN(Registro!$E645)+1,LEN(Registro!$E645))),FIND("x",TRIM(MID(SUBSTITUTE(SUBSTITUTE(SUBSTITUTE(SUBSTITUTE(SUBSTITUTE(LOWER(Registro!$E645),"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",LEN(Registro!$E645))),({1,2,3,4,5,6,7,8,9,10,11,12,13,14,15,16,17,18,19,20,21,22,23,24,25,26,27,28,29,30}-1)*LEN(Registro!$E645)+1,LEN(Registro!$E645)))&amp;"x")-1))),"Revisar formato")))</f>
        <v/>
      </c>
      <c r="E645" s="24" t="str">
        <f>IF(Registro!$E645="","",IF(ISERROR(FIND("x",LOWER(Registro!$E645))),"-",IFERROR(SUMPRODUCT(--("0"&amp;LEFT(TRIM(MID(SUBSTITUTE(SUBSTITUTE(SUBSTITUTE(SUBSTITUTE(SUBSTITUTE(LOWER(Registro!$E645),"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",LEN(Registro!$E645))),({1,2,3,4,5,6,7,8,9,10,11,12,13,14,15,16,17,18,19,20,21,22,23,24,25,26,27,28,29,30}-1)*LEN(Registro!$E645)+1,LEN(Registro!$E645))),FIND("x",TRIM(MID(SUBSTITUTE(SUBSTITUTE(SUBSTITUTE(SUBSTITUTE(SUBSTITUTE(LOWER(Registro!$E645),"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",LEN(Registro!$E645))),({1,2,3,4,5,6,7,8,9,10,11,12,13,14,15,16,17,18,19,20,21,22,23,24,25,26,27,28,29,30}-1)*LEN(Registro!$E645)+1,LEN(Registro!$E645)))&amp;"x")-1)),--("0"&amp;MID(TRIM(MID(SUBSTITUTE(SUBSTITUTE(SUBSTITUTE(SUBSTITUTE(SUBSTITUTE(LOWER(Registro!$E645),"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",LEN(Registro!$E645))),({1,2,3,4,5,6,7,8,9,10,11,12,13,14,15,16,17,18,19,20,21,22,23,24,25,26,27,28,29,30}-1)*LEN(Registro!$E645)+1,LEN(Registro!$E645))),FIND("x",TRIM(MID(SUBSTITUTE(SUBSTITUTE(SUBSTITUTE(SUBSTITUTE(SUBSTITUTE(LOWER(Registro!$E645),"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",LEN(Registro!$E645))),({1,2,3,4,5,6,7,8,9,10,11,12,13,14,15,16,17,18,19,20,21,22,23,24,25,26,27,28,29,30}-1)*LEN(Registro!$E645)+1,LEN(Registro!$E645)))&amp;"x")+1,20))),"Revisar formato")))</f>
        <v/>
      </c>
      <c r="F645" s="23" t="str">
        <f>IF(Registro!$F645="","",IF(ISERROR(FIND("x",LOWER(Registro!$F645))),"-",IFERROR(SUMPRODUCT(--("0"&amp;LEFT(TRIM(MID(SUBSTITUTE(SUBSTITUTE(SUBSTITUTE(SUBSTITUTE(SUBSTITUTE(LOWER(Registro!$F645)," ",""),CHAR(10),"|"),";","|"),"+","|"),"|",REPT(" ",LEN(Registro!$F645))),({1,2,3,4,5,6,7,8,9,10,11,12,13,14,15,16,17,18,19,20,21,22,23,24,25,26,27,28,29,30}-1)*LEN(Registro!$F645)+1,LEN(Registro!$F645))),FIND("x",TRIM(MID(SUBSTITUTE(SUBSTITUTE(SUBSTITUTE(SUBSTITUTE(SUBSTITUTE(LOWER(Registro!$F645)," ",""),CHAR(10),"|"),";","|"),"+","|"),"|",REPT(" ",LEN(Registro!$F645))),({1,2,3,4,5,6,7,8,9,10,11,12,13,14,15,16,17,18,19,20,21,22,23,24,25,26,27,28,29,30}-1)*LEN(Registro!$F645)+1,LEN(Registro!$F645)))&amp;"x")-1))),"Revisar formato")))</f>
        <v/>
      </c>
      <c r="G645" s="24" t="str">
        <f>IF(Registro!$F645="","",IF(ISERROR(FIND("x",LOWER(Registro!$F645))),N(Registro!$G645),IFERROR(SUMPRODUCT(--("0"&amp;LEFT(TRIM(MID(SUBSTITUTE(SUBSTITUTE(SUBSTITUTE(SUBSTITUTE(SUBSTITUTE(LOWER(Registro!$F645)," ",""),CHAR(10),"|"),";","|"),"+","|"),"|",REPT(" ",LEN(Registro!$F645))),({1,2,3,4,5,6,7,8,9,10,11,12,13,14,15,16,17,18,19,20,21,22,23,24,25,26,27,28,29,30}-1)*LEN(Registro!$F645)+1,LEN(Registro!$F645))),FIND("x",TRIM(MID(SUBSTITUTE(SUBSTITUTE(SUBSTITUTE(SUBSTITUTE(SUBSTITUTE(LOWER(Registro!$F645)," ",""),CHAR(10),"|"),";","|"),"+","|"),"|",REPT(" ",LEN(Registro!$F645))),({1,2,3,4,5,6,7,8,9,10,11,12,13,14,15,16,17,18,19,20,21,22,23,24,25,26,27,28,29,30}-1)*LEN(Registro!$F645)+1,LEN(Registro!$F645)))&amp;"x")-1)),--("0"&amp;MID(TRIM(MID(SUBSTITUTE(SUBSTITUTE(SUBSTITUTE(SUBSTITUTE(SUBSTITUTE(LOWER(Registro!$F645)," ",""),CHAR(10),"|"),";","|"),"+","|"),"|",REPT(" ",LEN(Registro!$F645))),({1,2,3,4,5,6,7,8,9,10,11,12,13,14,15,16,17,18,19,20,21,22,23,24,25,26,27,28,29,30}-1)*LEN(Registro!$F645)+1,LEN(Registro!$F645))),FIND("x",TRIM(MID(SUBSTITUTE(SUBSTITUTE(SUBSTITUTE(SUBSTITUTE(SUBSTITUTE(LOWER(Registro!$F645)," ",""),CHAR(10),"|"),";","|"),"+","|"),"|",REPT(" ",LEN(Registro!$F645))),({1,2,3,4,5,6,7,8,9,10,11,12,13,14,15,16,17,18,19,20,21,22,23,24,25,26,27,28,29,30}-1)*LEN(Registro!$F645)+1,LEN(Registro!$F645)))&amp;"x")+1,20))),"Revisar formato")))</f>
        <v/>
      </c>
      <c r="H645" s="21" t="str">
        <f>IF(AND(Registro!$E645="",Registro!$F645=""),"",IF(NOT(AND(ISNUMBER(G645),ISNUMBER(Registro!$G645))),"",IF(G645&lt;Registro!$G645,"FALTA BOLETOS",IF(G645=Registro!$G645,"CONFORME","DIFERENCIA"))))</f>
        <v/>
      </c>
      <c r="I645" s="24" t="str">
        <f>IF(Registro!$H645="","",IFERROR(SUMPRODUCT(--("0"&amp;TRIM(RIGHT(SUBSTITUTE(TRIM(MID(SUBSTITUTE(SUBSTITUTE(Registro!$H645,";",CHAR(10)),CHAR(10),REPT(" ",LEN(Registro!$H645))),({1,2,3,4,5,6,7,8,9,10,11,12,13,14,15,16,17,18,19,20,21,22,23,24,25,26,27,28,29,30}-1)*LEN(Registro!$H645)+1,LEN(Registro!$H645)))," ",REPT(" ",50)),50)))),"Revisar formato"))</f>
        <v/>
      </c>
      <c r="J645" s="24" t="str">
        <f>IF(Registro!$I645="","",IFERROR(SUMPRODUCT(--("0"&amp;TRIM(RIGHT(SUBSTITUTE(TRIM(MID(SUBSTITUTE(SUBSTITUTE(Registro!$I645,";",CHAR(10)),CHAR(10),REPT(" ",LEN(Registro!$I645))),({1,2,3,4,5,6,7,8,9,10,11,12,13,14,15,16,17,18,19,20,21,22,23,24,25,26,27,28,29,30}-1)*LEN(Registro!$I645)+1,LEN(Registro!$I645)))," ",REPT(" ",50)),50)))),"Revisar formato"))</f>
        <v/>
      </c>
      <c r="K645" s="24" t="str">
        <f>IF(AND(Registro!$G645="",Registro!$H645=""),"",IF(AND(ISTEXT(I645),I645&lt;&gt;""),"Revisar formato",N(Registro!$G645)-N(I645)))</f>
        <v/>
      </c>
      <c r="L645" s="24" t="str">
        <f t="shared" si="21"/>
        <v/>
      </c>
      <c r="M645" s="36" t="str">
        <f>IF(AND(A645=Consulta!$B$3,C645=Consulta!$H$3),B645*10000+ROW(),"")</f>
        <v/>
      </c>
    </row>
    <row r="646" spans="1:13" x14ac:dyDescent="0.25">
      <c r="A646" s="21" t="str">
        <f>IF(Registro!$A646="","",Registro!$A646)</f>
        <v/>
      </c>
      <c r="B646" s="20" t="str">
        <f>IF(Registro!$B646="","",Registro!$B646)</f>
        <v/>
      </c>
      <c r="C646" s="35" t="str">
        <f t="shared" si="20"/>
        <v/>
      </c>
      <c r="D646" s="23" t="str">
        <f>IF(Registro!$E646="","",IF(ISERROR(FIND("x",LOWER(Registro!$E646))),"-",IFERROR(SUMPRODUCT(--("0"&amp;LEFT(TRIM(MID(SUBSTITUTE(SUBSTITUTE(SUBSTITUTE(SUBSTITUTE(SUBSTITUTE(LOWER(Registro!$E646),"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",LEN(Registro!$E646))),({1,2,3,4,5,6,7,8,9,10,11,12,13,14,15,16,17,18,19,20,21,22,23,24,25,26,27,28,29,30}-1)*LEN(Registro!$E646)+1,LEN(Registro!$E646))),FIND("x",TRIM(MID(SUBSTITUTE(SUBSTITUTE(SUBSTITUTE(SUBSTITUTE(SUBSTITUTE(LOWER(Registro!$E646),"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",LEN(Registro!$E646))),({1,2,3,4,5,6,7,8,9,10,11,12,13,14,15,16,17,18,19,20,21,22,23,24,25,26,27,28,29,30}-1)*LEN(Registro!$E646)+1,LEN(Registro!$E646)))&amp;"x")-1))),"Revisar formato")))</f>
        <v/>
      </c>
      <c r="E646" s="24" t="str">
        <f>IF(Registro!$E646="","",IF(ISERROR(FIND("x",LOWER(Registro!$E646))),"-",IFERROR(SUMPRODUCT(--("0"&amp;LEFT(TRIM(MID(SUBSTITUTE(SUBSTITUTE(SUBSTITUTE(SUBSTITUTE(SUBSTITUTE(LOWER(Registro!$E646),"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",LEN(Registro!$E646))),({1,2,3,4,5,6,7,8,9,10,11,12,13,14,15,16,17,18,19,20,21,22,23,24,25,26,27,28,29,30}-1)*LEN(Registro!$E646)+1,LEN(Registro!$E646))),FIND("x",TRIM(MID(SUBSTITUTE(SUBSTITUTE(SUBSTITUTE(SUBSTITUTE(SUBSTITUTE(LOWER(Registro!$E646),"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",LEN(Registro!$E646))),({1,2,3,4,5,6,7,8,9,10,11,12,13,14,15,16,17,18,19,20,21,22,23,24,25,26,27,28,29,30}-1)*LEN(Registro!$E646)+1,LEN(Registro!$E646)))&amp;"x")-1)),--("0"&amp;MID(TRIM(MID(SUBSTITUTE(SUBSTITUTE(SUBSTITUTE(SUBSTITUTE(SUBSTITUTE(LOWER(Registro!$E646),"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",LEN(Registro!$E646))),({1,2,3,4,5,6,7,8,9,10,11,12,13,14,15,16,17,18,19,20,21,22,23,24,25,26,27,28,29,30}-1)*LEN(Registro!$E646)+1,LEN(Registro!$E646))),FIND("x",TRIM(MID(SUBSTITUTE(SUBSTITUTE(SUBSTITUTE(SUBSTITUTE(SUBSTITUTE(LOWER(Registro!$E646),"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",LEN(Registro!$E646))),({1,2,3,4,5,6,7,8,9,10,11,12,13,14,15,16,17,18,19,20,21,22,23,24,25,26,27,28,29,30}-1)*LEN(Registro!$E646)+1,LEN(Registro!$E646)))&amp;"x")+1,20))),"Revisar formato")))</f>
        <v/>
      </c>
      <c r="F646" s="23" t="str">
        <f>IF(Registro!$F646="","",IF(ISERROR(FIND("x",LOWER(Registro!$F646))),"-",IFERROR(SUMPRODUCT(--("0"&amp;LEFT(TRIM(MID(SUBSTITUTE(SUBSTITUTE(SUBSTITUTE(SUBSTITUTE(SUBSTITUTE(LOWER(Registro!$F646)," ",""),CHAR(10),"|"),";","|"),"+","|"),"|",REPT(" ",LEN(Registro!$F646))),({1,2,3,4,5,6,7,8,9,10,11,12,13,14,15,16,17,18,19,20,21,22,23,24,25,26,27,28,29,30}-1)*LEN(Registro!$F646)+1,LEN(Registro!$F646))),FIND("x",TRIM(MID(SUBSTITUTE(SUBSTITUTE(SUBSTITUTE(SUBSTITUTE(SUBSTITUTE(LOWER(Registro!$F646)," ",""),CHAR(10),"|"),";","|"),"+","|"),"|",REPT(" ",LEN(Registro!$F646))),({1,2,3,4,5,6,7,8,9,10,11,12,13,14,15,16,17,18,19,20,21,22,23,24,25,26,27,28,29,30}-1)*LEN(Registro!$F646)+1,LEN(Registro!$F646)))&amp;"x")-1))),"Revisar formato")))</f>
        <v/>
      </c>
      <c r="G646" s="24" t="str">
        <f>IF(Registro!$F646="","",IF(ISERROR(FIND("x",LOWER(Registro!$F646))),N(Registro!$G646),IFERROR(SUMPRODUCT(--("0"&amp;LEFT(TRIM(MID(SUBSTITUTE(SUBSTITUTE(SUBSTITUTE(SUBSTITUTE(SUBSTITUTE(LOWER(Registro!$F646)," ",""),CHAR(10),"|"),";","|"),"+","|"),"|",REPT(" ",LEN(Registro!$F646))),({1,2,3,4,5,6,7,8,9,10,11,12,13,14,15,16,17,18,19,20,21,22,23,24,25,26,27,28,29,30}-1)*LEN(Registro!$F646)+1,LEN(Registro!$F646))),FIND("x",TRIM(MID(SUBSTITUTE(SUBSTITUTE(SUBSTITUTE(SUBSTITUTE(SUBSTITUTE(LOWER(Registro!$F646)," ",""),CHAR(10),"|"),";","|"),"+","|"),"|",REPT(" ",LEN(Registro!$F646))),({1,2,3,4,5,6,7,8,9,10,11,12,13,14,15,16,17,18,19,20,21,22,23,24,25,26,27,28,29,30}-1)*LEN(Registro!$F646)+1,LEN(Registro!$F646)))&amp;"x")-1)),--("0"&amp;MID(TRIM(MID(SUBSTITUTE(SUBSTITUTE(SUBSTITUTE(SUBSTITUTE(SUBSTITUTE(LOWER(Registro!$F646)," ",""),CHAR(10),"|"),";","|"),"+","|"),"|",REPT(" ",LEN(Registro!$F646))),({1,2,3,4,5,6,7,8,9,10,11,12,13,14,15,16,17,18,19,20,21,22,23,24,25,26,27,28,29,30}-1)*LEN(Registro!$F646)+1,LEN(Registro!$F646))),FIND("x",TRIM(MID(SUBSTITUTE(SUBSTITUTE(SUBSTITUTE(SUBSTITUTE(SUBSTITUTE(LOWER(Registro!$F646)," ",""),CHAR(10),"|"),";","|"),"+","|"),"|",REPT(" ",LEN(Registro!$F646))),({1,2,3,4,5,6,7,8,9,10,11,12,13,14,15,16,17,18,19,20,21,22,23,24,25,26,27,28,29,30}-1)*LEN(Registro!$F646)+1,LEN(Registro!$F646)))&amp;"x")+1,20))),"Revisar formato")))</f>
        <v/>
      </c>
      <c r="H646" s="21" t="str">
        <f>IF(AND(Registro!$E646="",Registro!$F646=""),"",IF(NOT(AND(ISNUMBER(G646),ISNUMBER(Registro!$G646))),"",IF(G646&lt;Registro!$G646,"FALTA BOLETOS",IF(G646=Registro!$G646,"CONFORME","DIFERENCIA"))))</f>
        <v/>
      </c>
      <c r="I646" s="24" t="str">
        <f>IF(Registro!$H646="","",IFERROR(SUMPRODUCT(--("0"&amp;TRIM(RIGHT(SUBSTITUTE(TRIM(MID(SUBSTITUTE(SUBSTITUTE(Registro!$H646,";",CHAR(10)),CHAR(10),REPT(" ",LEN(Registro!$H646))),({1,2,3,4,5,6,7,8,9,10,11,12,13,14,15,16,17,18,19,20,21,22,23,24,25,26,27,28,29,30}-1)*LEN(Registro!$H646)+1,LEN(Registro!$H646)))," ",REPT(" ",50)),50)))),"Revisar formato"))</f>
        <v/>
      </c>
      <c r="J646" s="24" t="str">
        <f>IF(Registro!$I646="","",IFERROR(SUMPRODUCT(--("0"&amp;TRIM(RIGHT(SUBSTITUTE(TRIM(MID(SUBSTITUTE(SUBSTITUTE(Registro!$I646,";",CHAR(10)),CHAR(10),REPT(" ",LEN(Registro!$I646))),({1,2,3,4,5,6,7,8,9,10,11,12,13,14,15,16,17,18,19,20,21,22,23,24,25,26,27,28,29,30}-1)*LEN(Registro!$I646)+1,LEN(Registro!$I646)))," ",REPT(" ",50)),50)))),"Revisar formato"))</f>
        <v/>
      </c>
      <c r="K646" s="24" t="str">
        <f>IF(AND(Registro!$G646="",Registro!$H646=""),"",IF(AND(ISTEXT(I646),I646&lt;&gt;""),"Revisar formato",N(Registro!$G646)-N(I646)))</f>
        <v/>
      </c>
      <c r="L646" s="24" t="str">
        <f t="shared" si="21"/>
        <v/>
      </c>
      <c r="M646" s="36" t="str">
        <f>IF(AND(A646=Consulta!$B$3,C646=Consulta!$H$3),B646*10000+ROW(),"")</f>
        <v/>
      </c>
    </row>
    <row r="647" spans="1:13" x14ac:dyDescent="0.25">
      <c r="A647" s="21" t="str">
        <f>IF(Registro!$A647="","",Registro!$A647)</f>
        <v/>
      </c>
      <c r="B647" s="20" t="str">
        <f>IF(Registro!$B647="","",Registro!$B647)</f>
        <v/>
      </c>
      <c r="C647" s="35" t="str">
        <f t="shared" si="20"/>
        <v/>
      </c>
      <c r="D647" s="23" t="str">
        <f>IF(Registro!$E647="","",IF(ISERROR(FIND("x",LOWER(Registro!$E647))),"-",IFERROR(SUMPRODUCT(--("0"&amp;LEFT(TRIM(MID(SUBSTITUTE(SUBSTITUTE(SUBSTITUTE(SUBSTITUTE(SUBSTITUTE(LOWER(Registro!$E647),"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",LEN(Registro!$E647))),({1,2,3,4,5,6,7,8,9,10,11,12,13,14,15,16,17,18,19,20,21,22,23,24,25,26,27,28,29,30}-1)*LEN(Registro!$E647)+1,LEN(Registro!$E647))),FIND("x",TRIM(MID(SUBSTITUTE(SUBSTITUTE(SUBSTITUTE(SUBSTITUTE(SUBSTITUTE(LOWER(Registro!$E647),"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",LEN(Registro!$E647))),({1,2,3,4,5,6,7,8,9,10,11,12,13,14,15,16,17,18,19,20,21,22,23,24,25,26,27,28,29,30}-1)*LEN(Registro!$E647)+1,LEN(Registro!$E647)))&amp;"x")-1))),"Revisar formato")))</f>
        <v/>
      </c>
      <c r="E647" s="24" t="str">
        <f>IF(Registro!$E647="","",IF(ISERROR(FIND("x",LOWER(Registro!$E647))),"-",IFERROR(SUMPRODUCT(--("0"&amp;LEFT(TRIM(MID(SUBSTITUTE(SUBSTITUTE(SUBSTITUTE(SUBSTITUTE(SUBSTITUTE(LOWER(Registro!$E647),"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",LEN(Registro!$E647))),({1,2,3,4,5,6,7,8,9,10,11,12,13,14,15,16,17,18,19,20,21,22,23,24,25,26,27,28,29,30}-1)*LEN(Registro!$E647)+1,LEN(Registro!$E647))),FIND("x",TRIM(MID(SUBSTITUTE(SUBSTITUTE(SUBSTITUTE(SUBSTITUTE(SUBSTITUTE(LOWER(Registro!$E647),"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",LEN(Registro!$E647))),({1,2,3,4,5,6,7,8,9,10,11,12,13,14,15,16,17,18,19,20,21,22,23,24,25,26,27,28,29,30}-1)*LEN(Registro!$E647)+1,LEN(Registro!$E647)))&amp;"x")-1)),--("0"&amp;MID(TRIM(MID(SUBSTITUTE(SUBSTITUTE(SUBSTITUTE(SUBSTITUTE(SUBSTITUTE(LOWER(Registro!$E647),"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",LEN(Registro!$E647))),({1,2,3,4,5,6,7,8,9,10,11,12,13,14,15,16,17,18,19,20,21,22,23,24,25,26,27,28,29,30}-1)*LEN(Registro!$E647)+1,LEN(Registro!$E647))),FIND("x",TRIM(MID(SUBSTITUTE(SUBSTITUTE(SUBSTITUTE(SUBSTITUTE(SUBSTITUTE(LOWER(Registro!$E647),"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",LEN(Registro!$E647))),({1,2,3,4,5,6,7,8,9,10,11,12,13,14,15,16,17,18,19,20,21,22,23,24,25,26,27,28,29,30}-1)*LEN(Registro!$E647)+1,LEN(Registro!$E647)))&amp;"x")+1,20))),"Revisar formato")))</f>
        <v/>
      </c>
      <c r="F647" s="23" t="str">
        <f>IF(Registro!$F647="","",IF(ISERROR(FIND("x",LOWER(Registro!$F647))),"-",IFERROR(SUMPRODUCT(--("0"&amp;LEFT(TRIM(MID(SUBSTITUTE(SUBSTITUTE(SUBSTITUTE(SUBSTITUTE(SUBSTITUTE(LOWER(Registro!$F647)," ",""),CHAR(10),"|"),";","|"),"+","|"),"|",REPT(" ",LEN(Registro!$F647))),({1,2,3,4,5,6,7,8,9,10,11,12,13,14,15,16,17,18,19,20,21,22,23,24,25,26,27,28,29,30}-1)*LEN(Registro!$F647)+1,LEN(Registro!$F647))),FIND("x",TRIM(MID(SUBSTITUTE(SUBSTITUTE(SUBSTITUTE(SUBSTITUTE(SUBSTITUTE(LOWER(Registro!$F647)," ",""),CHAR(10),"|"),";","|"),"+","|"),"|",REPT(" ",LEN(Registro!$F647))),({1,2,3,4,5,6,7,8,9,10,11,12,13,14,15,16,17,18,19,20,21,22,23,24,25,26,27,28,29,30}-1)*LEN(Registro!$F647)+1,LEN(Registro!$F647)))&amp;"x")-1))),"Revisar formato")))</f>
        <v/>
      </c>
      <c r="G647" s="24" t="str">
        <f>IF(Registro!$F647="","",IF(ISERROR(FIND("x",LOWER(Registro!$F647))),N(Registro!$G647),IFERROR(SUMPRODUCT(--("0"&amp;LEFT(TRIM(MID(SUBSTITUTE(SUBSTITUTE(SUBSTITUTE(SUBSTITUTE(SUBSTITUTE(LOWER(Registro!$F647)," ",""),CHAR(10),"|"),";","|"),"+","|"),"|",REPT(" ",LEN(Registro!$F647))),({1,2,3,4,5,6,7,8,9,10,11,12,13,14,15,16,17,18,19,20,21,22,23,24,25,26,27,28,29,30}-1)*LEN(Registro!$F647)+1,LEN(Registro!$F647))),FIND("x",TRIM(MID(SUBSTITUTE(SUBSTITUTE(SUBSTITUTE(SUBSTITUTE(SUBSTITUTE(LOWER(Registro!$F647)," ",""),CHAR(10),"|"),";","|"),"+","|"),"|",REPT(" ",LEN(Registro!$F647))),({1,2,3,4,5,6,7,8,9,10,11,12,13,14,15,16,17,18,19,20,21,22,23,24,25,26,27,28,29,30}-1)*LEN(Registro!$F647)+1,LEN(Registro!$F647)))&amp;"x")-1)),--("0"&amp;MID(TRIM(MID(SUBSTITUTE(SUBSTITUTE(SUBSTITUTE(SUBSTITUTE(SUBSTITUTE(LOWER(Registro!$F647)," ",""),CHAR(10),"|"),";","|"),"+","|"),"|",REPT(" ",LEN(Registro!$F647))),({1,2,3,4,5,6,7,8,9,10,11,12,13,14,15,16,17,18,19,20,21,22,23,24,25,26,27,28,29,30}-1)*LEN(Registro!$F647)+1,LEN(Registro!$F647))),FIND("x",TRIM(MID(SUBSTITUTE(SUBSTITUTE(SUBSTITUTE(SUBSTITUTE(SUBSTITUTE(LOWER(Registro!$F647)," ",""),CHAR(10),"|"),";","|"),"+","|"),"|",REPT(" ",LEN(Registro!$F647))),({1,2,3,4,5,6,7,8,9,10,11,12,13,14,15,16,17,18,19,20,21,22,23,24,25,26,27,28,29,30}-1)*LEN(Registro!$F647)+1,LEN(Registro!$F647)))&amp;"x")+1,20))),"Revisar formato")))</f>
        <v/>
      </c>
      <c r="H647" s="21" t="str">
        <f>IF(AND(Registro!$E647="",Registro!$F647=""),"",IF(NOT(AND(ISNUMBER(G647),ISNUMBER(Registro!$G647))),"",IF(G647&lt;Registro!$G647,"FALTA BOLETOS",IF(G647=Registro!$G647,"CONFORME","DIFERENCIA"))))</f>
        <v/>
      </c>
      <c r="I647" s="24" t="str">
        <f>IF(Registro!$H647="","",IFERROR(SUMPRODUCT(--("0"&amp;TRIM(RIGHT(SUBSTITUTE(TRIM(MID(SUBSTITUTE(SUBSTITUTE(Registro!$H647,";",CHAR(10)),CHAR(10),REPT(" ",LEN(Registro!$H647))),({1,2,3,4,5,6,7,8,9,10,11,12,13,14,15,16,17,18,19,20,21,22,23,24,25,26,27,28,29,30}-1)*LEN(Registro!$H647)+1,LEN(Registro!$H647)))," ",REPT(" ",50)),50)))),"Revisar formato"))</f>
        <v/>
      </c>
      <c r="J647" s="24" t="str">
        <f>IF(Registro!$I647="","",IFERROR(SUMPRODUCT(--("0"&amp;TRIM(RIGHT(SUBSTITUTE(TRIM(MID(SUBSTITUTE(SUBSTITUTE(Registro!$I647,";",CHAR(10)),CHAR(10),REPT(" ",LEN(Registro!$I647))),({1,2,3,4,5,6,7,8,9,10,11,12,13,14,15,16,17,18,19,20,21,22,23,24,25,26,27,28,29,30}-1)*LEN(Registro!$I647)+1,LEN(Registro!$I647)))," ",REPT(" ",50)),50)))),"Revisar formato"))</f>
        <v/>
      </c>
      <c r="K647" s="24" t="str">
        <f>IF(AND(Registro!$G647="",Registro!$H647=""),"",IF(AND(ISTEXT(I647),I647&lt;&gt;""),"Revisar formato",N(Registro!$G647)-N(I647)))</f>
        <v/>
      </c>
      <c r="L647" s="24" t="str">
        <f t="shared" si="21"/>
        <v/>
      </c>
      <c r="M647" s="36" t="str">
        <f>IF(AND(A647=Consulta!$B$3,C647=Consulta!$H$3),B647*10000+ROW(),"")</f>
        <v/>
      </c>
    </row>
    <row r="648" spans="1:13" x14ac:dyDescent="0.25">
      <c r="A648" s="21" t="str">
        <f>IF(Registro!$A648="","",Registro!$A648)</f>
        <v/>
      </c>
      <c r="B648" s="20" t="str">
        <f>IF(Registro!$B648="","",Registro!$B648)</f>
        <v/>
      </c>
      <c r="C648" s="35" t="str">
        <f t="shared" si="20"/>
        <v/>
      </c>
      <c r="D648" s="23" t="str">
        <f>IF(Registro!$E648="","",IF(ISERROR(FIND("x",LOWER(Registro!$E648))),"-",IFERROR(SUMPRODUCT(--("0"&amp;LEFT(TRIM(MID(SUBSTITUTE(SUBSTITUTE(SUBSTITUTE(SUBSTITUTE(SUBSTITUTE(LOWER(Registro!$E648),"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",LEN(Registro!$E648))),({1,2,3,4,5,6,7,8,9,10,11,12,13,14,15,16,17,18,19,20,21,22,23,24,25,26,27,28,29,30}-1)*LEN(Registro!$E648)+1,LEN(Registro!$E648))),FIND("x",TRIM(MID(SUBSTITUTE(SUBSTITUTE(SUBSTITUTE(SUBSTITUTE(SUBSTITUTE(LOWER(Registro!$E648),"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",LEN(Registro!$E648))),({1,2,3,4,5,6,7,8,9,10,11,12,13,14,15,16,17,18,19,20,21,22,23,24,25,26,27,28,29,30}-1)*LEN(Registro!$E648)+1,LEN(Registro!$E648)))&amp;"x")-1))),"Revisar formato")))</f>
        <v/>
      </c>
      <c r="E648" s="24" t="str">
        <f>IF(Registro!$E648="","",IF(ISERROR(FIND("x",LOWER(Registro!$E648))),"-",IFERROR(SUMPRODUCT(--("0"&amp;LEFT(TRIM(MID(SUBSTITUTE(SUBSTITUTE(SUBSTITUTE(SUBSTITUTE(SUBSTITUTE(LOWER(Registro!$E648),"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",LEN(Registro!$E648))),({1,2,3,4,5,6,7,8,9,10,11,12,13,14,15,16,17,18,19,20,21,22,23,24,25,26,27,28,29,30}-1)*LEN(Registro!$E648)+1,LEN(Registro!$E648))),FIND("x",TRIM(MID(SUBSTITUTE(SUBSTITUTE(SUBSTITUTE(SUBSTITUTE(SUBSTITUTE(LOWER(Registro!$E648),"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",LEN(Registro!$E648))),({1,2,3,4,5,6,7,8,9,10,11,12,13,14,15,16,17,18,19,20,21,22,23,24,25,26,27,28,29,30}-1)*LEN(Registro!$E648)+1,LEN(Registro!$E648)))&amp;"x")-1)),--("0"&amp;MID(TRIM(MID(SUBSTITUTE(SUBSTITUTE(SUBSTITUTE(SUBSTITUTE(SUBSTITUTE(LOWER(Registro!$E648),"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",LEN(Registro!$E648))),({1,2,3,4,5,6,7,8,9,10,11,12,13,14,15,16,17,18,19,20,21,22,23,24,25,26,27,28,29,30}-1)*LEN(Registro!$E648)+1,LEN(Registro!$E648))),FIND("x",TRIM(MID(SUBSTITUTE(SUBSTITUTE(SUBSTITUTE(SUBSTITUTE(SUBSTITUTE(LOWER(Registro!$E648),"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",LEN(Registro!$E648))),({1,2,3,4,5,6,7,8,9,10,11,12,13,14,15,16,17,18,19,20,21,22,23,24,25,26,27,28,29,30}-1)*LEN(Registro!$E648)+1,LEN(Registro!$E648)))&amp;"x")+1,20))),"Revisar formato")))</f>
        <v/>
      </c>
      <c r="F648" s="23" t="str">
        <f>IF(Registro!$F648="","",IF(ISERROR(FIND("x",LOWER(Registro!$F648))),"-",IFERROR(SUMPRODUCT(--("0"&amp;LEFT(TRIM(MID(SUBSTITUTE(SUBSTITUTE(SUBSTITUTE(SUBSTITUTE(SUBSTITUTE(LOWER(Registro!$F648)," ",""),CHAR(10),"|"),";","|"),"+","|"),"|",REPT(" ",LEN(Registro!$F648))),({1,2,3,4,5,6,7,8,9,10,11,12,13,14,15,16,17,18,19,20,21,22,23,24,25,26,27,28,29,30}-1)*LEN(Registro!$F648)+1,LEN(Registro!$F648))),FIND("x",TRIM(MID(SUBSTITUTE(SUBSTITUTE(SUBSTITUTE(SUBSTITUTE(SUBSTITUTE(LOWER(Registro!$F648)," ",""),CHAR(10),"|"),";","|"),"+","|"),"|",REPT(" ",LEN(Registro!$F648))),({1,2,3,4,5,6,7,8,9,10,11,12,13,14,15,16,17,18,19,20,21,22,23,24,25,26,27,28,29,30}-1)*LEN(Registro!$F648)+1,LEN(Registro!$F648)))&amp;"x")-1))),"Revisar formato")))</f>
        <v/>
      </c>
      <c r="G648" s="24" t="str">
        <f>IF(Registro!$F648="","",IF(ISERROR(FIND("x",LOWER(Registro!$F648))),N(Registro!$G648),IFERROR(SUMPRODUCT(--("0"&amp;LEFT(TRIM(MID(SUBSTITUTE(SUBSTITUTE(SUBSTITUTE(SUBSTITUTE(SUBSTITUTE(LOWER(Registro!$F648)," ",""),CHAR(10),"|"),";","|"),"+","|"),"|",REPT(" ",LEN(Registro!$F648))),({1,2,3,4,5,6,7,8,9,10,11,12,13,14,15,16,17,18,19,20,21,22,23,24,25,26,27,28,29,30}-1)*LEN(Registro!$F648)+1,LEN(Registro!$F648))),FIND("x",TRIM(MID(SUBSTITUTE(SUBSTITUTE(SUBSTITUTE(SUBSTITUTE(SUBSTITUTE(LOWER(Registro!$F648)," ",""),CHAR(10),"|"),";","|"),"+","|"),"|",REPT(" ",LEN(Registro!$F648))),({1,2,3,4,5,6,7,8,9,10,11,12,13,14,15,16,17,18,19,20,21,22,23,24,25,26,27,28,29,30}-1)*LEN(Registro!$F648)+1,LEN(Registro!$F648)))&amp;"x")-1)),--("0"&amp;MID(TRIM(MID(SUBSTITUTE(SUBSTITUTE(SUBSTITUTE(SUBSTITUTE(SUBSTITUTE(LOWER(Registro!$F648)," ",""),CHAR(10),"|"),";","|"),"+","|"),"|",REPT(" ",LEN(Registro!$F648))),({1,2,3,4,5,6,7,8,9,10,11,12,13,14,15,16,17,18,19,20,21,22,23,24,25,26,27,28,29,30}-1)*LEN(Registro!$F648)+1,LEN(Registro!$F648))),FIND("x",TRIM(MID(SUBSTITUTE(SUBSTITUTE(SUBSTITUTE(SUBSTITUTE(SUBSTITUTE(LOWER(Registro!$F648)," ",""),CHAR(10),"|"),";","|"),"+","|"),"|",REPT(" ",LEN(Registro!$F648))),({1,2,3,4,5,6,7,8,9,10,11,12,13,14,15,16,17,18,19,20,21,22,23,24,25,26,27,28,29,30}-1)*LEN(Registro!$F648)+1,LEN(Registro!$F648)))&amp;"x")+1,20))),"Revisar formato")))</f>
        <v/>
      </c>
      <c r="H648" s="21" t="str">
        <f>IF(AND(Registro!$E648="",Registro!$F648=""),"",IF(NOT(AND(ISNUMBER(G648),ISNUMBER(Registro!$G648))),"",IF(G648&lt;Registro!$G648,"FALTA BOLETOS",IF(G648=Registro!$G648,"CONFORME","DIFERENCIA"))))</f>
        <v/>
      </c>
      <c r="I648" s="24" t="str">
        <f>IF(Registro!$H648="","",IFERROR(SUMPRODUCT(--("0"&amp;TRIM(RIGHT(SUBSTITUTE(TRIM(MID(SUBSTITUTE(SUBSTITUTE(Registro!$H648,";",CHAR(10)),CHAR(10),REPT(" ",LEN(Registro!$H648))),({1,2,3,4,5,6,7,8,9,10,11,12,13,14,15,16,17,18,19,20,21,22,23,24,25,26,27,28,29,30}-1)*LEN(Registro!$H648)+1,LEN(Registro!$H648)))," ",REPT(" ",50)),50)))),"Revisar formato"))</f>
        <v/>
      </c>
      <c r="J648" s="24" t="str">
        <f>IF(Registro!$I648="","",IFERROR(SUMPRODUCT(--("0"&amp;TRIM(RIGHT(SUBSTITUTE(TRIM(MID(SUBSTITUTE(SUBSTITUTE(Registro!$I648,";",CHAR(10)),CHAR(10),REPT(" ",LEN(Registro!$I648))),({1,2,3,4,5,6,7,8,9,10,11,12,13,14,15,16,17,18,19,20,21,22,23,24,25,26,27,28,29,30}-1)*LEN(Registro!$I648)+1,LEN(Registro!$I648)))," ",REPT(" ",50)),50)))),"Revisar formato"))</f>
        <v/>
      </c>
      <c r="K648" s="24" t="str">
        <f>IF(AND(Registro!$G648="",Registro!$H648=""),"",IF(AND(ISTEXT(I648),I648&lt;&gt;""),"Revisar formato",N(Registro!$G648)-N(I648)))</f>
        <v/>
      </c>
      <c r="L648" s="24" t="str">
        <f t="shared" si="21"/>
        <v/>
      </c>
      <c r="M648" s="36" t="str">
        <f>IF(AND(A648=Consulta!$B$3,C648=Consulta!$H$3),B648*10000+ROW(),"")</f>
        <v/>
      </c>
    </row>
    <row r="649" spans="1:13" x14ac:dyDescent="0.25">
      <c r="A649" s="21" t="str">
        <f>IF(Registro!$A649="","",Registro!$A649)</f>
        <v/>
      </c>
      <c r="B649" s="20" t="str">
        <f>IF(Registro!$B649="","",Registro!$B649)</f>
        <v/>
      </c>
      <c r="C649" s="35" t="str">
        <f t="shared" si="20"/>
        <v/>
      </c>
      <c r="D649" s="23" t="str">
        <f>IF(Registro!$E649="","",IF(ISERROR(FIND("x",LOWER(Registro!$E649))),"-",IFERROR(SUMPRODUCT(--("0"&amp;LEFT(TRIM(MID(SUBSTITUTE(SUBSTITUTE(SUBSTITUTE(SUBSTITUTE(SUBSTITUTE(LOWER(Registro!$E649),"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",LEN(Registro!$E649))),({1,2,3,4,5,6,7,8,9,10,11,12,13,14,15,16,17,18,19,20,21,22,23,24,25,26,27,28,29,30}-1)*LEN(Registro!$E649)+1,LEN(Registro!$E649))),FIND("x",TRIM(MID(SUBSTITUTE(SUBSTITUTE(SUBSTITUTE(SUBSTITUTE(SUBSTITUTE(LOWER(Registro!$E649),"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",LEN(Registro!$E649))),({1,2,3,4,5,6,7,8,9,10,11,12,13,14,15,16,17,18,19,20,21,22,23,24,25,26,27,28,29,30}-1)*LEN(Registro!$E649)+1,LEN(Registro!$E649)))&amp;"x")-1))),"Revisar formato")))</f>
        <v/>
      </c>
      <c r="E649" s="24" t="str">
        <f>IF(Registro!$E649="","",IF(ISERROR(FIND("x",LOWER(Registro!$E649))),"-",IFERROR(SUMPRODUCT(--("0"&amp;LEFT(TRIM(MID(SUBSTITUTE(SUBSTITUTE(SUBSTITUTE(SUBSTITUTE(SUBSTITUTE(LOWER(Registro!$E649),"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",LEN(Registro!$E649))),({1,2,3,4,5,6,7,8,9,10,11,12,13,14,15,16,17,18,19,20,21,22,23,24,25,26,27,28,29,30}-1)*LEN(Registro!$E649)+1,LEN(Registro!$E649))),FIND("x",TRIM(MID(SUBSTITUTE(SUBSTITUTE(SUBSTITUTE(SUBSTITUTE(SUBSTITUTE(LOWER(Registro!$E649),"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",LEN(Registro!$E649))),({1,2,3,4,5,6,7,8,9,10,11,12,13,14,15,16,17,18,19,20,21,22,23,24,25,26,27,28,29,30}-1)*LEN(Registro!$E649)+1,LEN(Registro!$E649)))&amp;"x")-1)),--("0"&amp;MID(TRIM(MID(SUBSTITUTE(SUBSTITUTE(SUBSTITUTE(SUBSTITUTE(SUBSTITUTE(LOWER(Registro!$E649),"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",LEN(Registro!$E649))),({1,2,3,4,5,6,7,8,9,10,11,12,13,14,15,16,17,18,19,20,21,22,23,24,25,26,27,28,29,30}-1)*LEN(Registro!$E649)+1,LEN(Registro!$E649))),FIND("x",TRIM(MID(SUBSTITUTE(SUBSTITUTE(SUBSTITUTE(SUBSTITUTE(SUBSTITUTE(LOWER(Registro!$E649),"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",LEN(Registro!$E649))),({1,2,3,4,5,6,7,8,9,10,11,12,13,14,15,16,17,18,19,20,21,22,23,24,25,26,27,28,29,30}-1)*LEN(Registro!$E649)+1,LEN(Registro!$E649)))&amp;"x")+1,20))),"Revisar formato")))</f>
        <v/>
      </c>
      <c r="F649" s="23" t="str">
        <f>IF(Registro!$F649="","",IF(ISERROR(FIND("x",LOWER(Registro!$F649))),"-",IFERROR(SUMPRODUCT(--("0"&amp;LEFT(TRIM(MID(SUBSTITUTE(SUBSTITUTE(SUBSTITUTE(SUBSTITUTE(SUBSTITUTE(LOWER(Registro!$F649)," ",""),CHAR(10),"|"),";","|"),"+","|"),"|",REPT(" ",LEN(Registro!$F649))),({1,2,3,4,5,6,7,8,9,10,11,12,13,14,15,16,17,18,19,20,21,22,23,24,25,26,27,28,29,30}-1)*LEN(Registro!$F649)+1,LEN(Registro!$F649))),FIND("x",TRIM(MID(SUBSTITUTE(SUBSTITUTE(SUBSTITUTE(SUBSTITUTE(SUBSTITUTE(LOWER(Registro!$F649)," ",""),CHAR(10),"|"),";","|"),"+","|"),"|",REPT(" ",LEN(Registro!$F649))),({1,2,3,4,5,6,7,8,9,10,11,12,13,14,15,16,17,18,19,20,21,22,23,24,25,26,27,28,29,30}-1)*LEN(Registro!$F649)+1,LEN(Registro!$F649)))&amp;"x")-1))),"Revisar formato")))</f>
        <v/>
      </c>
      <c r="G649" s="24" t="str">
        <f>IF(Registro!$F649="","",IF(ISERROR(FIND("x",LOWER(Registro!$F649))),N(Registro!$G649),IFERROR(SUMPRODUCT(--("0"&amp;LEFT(TRIM(MID(SUBSTITUTE(SUBSTITUTE(SUBSTITUTE(SUBSTITUTE(SUBSTITUTE(LOWER(Registro!$F649)," ",""),CHAR(10),"|"),";","|"),"+","|"),"|",REPT(" ",LEN(Registro!$F649))),({1,2,3,4,5,6,7,8,9,10,11,12,13,14,15,16,17,18,19,20,21,22,23,24,25,26,27,28,29,30}-1)*LEN(Registro!$F649)+1,LEN(Registro!$F649))),FIND("x",TRIM(MID(SUBSTITUTE(SUBSTITUTE(SUBSTITUTE(SUBSTITUTE(SUBSTITUTE(LOWER(Registro!$F649)," ",""),CHAR(10),"|"),";","|"),"+","|"),"|",REPT(" ",LEN(Registro!$F649))),({1,2,3,4,5,6,7,8,9,10,11,12,13,14,15,16,17,18,19,20,21,22,23,24,25,26,27,28,29,30}-1)*LEN(Registro!$F649)+1,LEN(Registro!$F649)))&amp;"x")-1)),--("0"&amp;MID(TRIM(MID(SUBSTITUTE(SUBSTITUTE(SUBSTITUTE(SUBSTITUTE(SUBSTITUTE(LOWER(Registro!$F649)," ",""),CHAR(10),"|"),";","|"),"+","|"),"|",REPT(" ",LEN(Registro!$F649))),({1,2,3,4,5,6,7,8,9,10,11,12,13,14,15,16,17,18,19,20,21,22,23,24,25,26,27,28,29,30}-1)*LEN(Registro!$F649)+1,LEN(Registro!$F649))),FIND("x",TRIM(MID(SUBSTITUTE(SUBSTITUTE(SUBSTITUTE(SUBSTITUTE(SUBSTITUTE(LOWER(Registro!$F649)," ",""),CHAR(10),"|"),";","|"),"+","|"),"|",REPT(" ",LEN(Registro!$F649))),({1,2,3,4,5,6,7,8,9,10,11,12,13,14,15,16,17,18,19,20,21,22,23,24,25,26,27,28,29,30}-1)*LEN(Registro!$F649)+1,LEN(Registro!$F649)))&amp;"x")+1,20))),"Revisar formato")))</f>
        <v/>
      </c>
      <c r="H649" s="21" t="str">
        <f>IF(AND(Registro!$E649="",Registro!$F649=""),"",IF(NOT(AND(ISNUMBER(G649),ISNUMBER(Registro!$G649))),"",IF(G649&lt;Registro!$G649,"FALTA BOLETOS",IF(G649=Registro!$G649,"CONFORME","DIFERENCIA"))))</f>
        <v/>
      </c>
      <c r="I649" s="24" t="str">
        <f>IF(Registro!$H649="","",IFERROR(SUMPRODUCT(--("0"&amp;TRIM(RIGHT(SUBSTITUTE(TRIM(MID(SUBSTITUTE(SUBSTITUTE(Registro!$H649,";",CHAR(10)),CHAR(10),REPT(" ",LEN(Registro!$H649))),({1,2,3,4,5,6,7,8,9,10,11,12,13,14,15,16,17,18,19,20,21,22,23,24,25,26,27,28,29,30}-1)*LEN(Registro!$H649)+1,LEN(Registro!$H649)))," ",REPT(" ",50)),50)))),"Revisar formato"))</f>
        <v/>
      </c>
      <c r="J649" s="24" t="str">
        <f>IF(Registro!$I649="","",IFERROR(SUMPRODUCT(--("0"&amp;TRIM(RIGHT(SUBSTITUTE(TRIM(MID(SUBSTITUTE(SUBSTITUTE(Registro!$I649,";",CHAR(10)),CHAR(10),REPT(" ",LEN(Registro!$I649))),({1,2,3,4,5,6,7,8,9,10,11,12,13,14,15,16,17,18,19,20,21,22,23,24,25,26,27,28,29,30}-1)*LEN(Registro!$I649)+1,LEN(Registro!$I649)))," ",REPT(" ",50)),50)))),"Revisar formato"))</f>
        <v/>
      </c>
      <c r="K649" s="24" t="str">
        <f>IF(AND(Registro!$G649="",Registro!$H649=""),"",IF(AND(ISTEXT(I649),I649&lt;&gt;""),"Revisar formato",N(Registro!$G649)-N(I649)))</f>
        <v/>
      </c>
      <c r="L649" s="24" t="str">
        <f t="shared" si="21"/>
        <v/>
      </c>
      <c r="M649" s="36" t="str">
        <f>IF(AND(A649=Consulta!$B$3,C649=Consulta!$H$3),B649*10000+ROW(),"")</f>
        <v/>
      </c>
    </row>
    <row r="650" spans="1:13" x14ac:dyDescent="0.25">
      <c r="A650" s="21" t="str">
        <f>IF(Registro!$A650="","",Registro!$A650)</f>
        <v/>
      </c>
      <c r="B650" s="20" t="str">
        <f>IF(Registro!$B650="","",Registro!$B650)</f>
        <v/>
      </c>
      <c r="C650" s="35" t="str">
        <f t="shared" si="20"/>
        <v/>
      </c>
      <c r="D650" s="23" t="str">
        <f>IF(Registro!$E650="","",IF(ISERROR(FIND("x",LOWER(Registro!$E650))),"-",IFERROR(SUMPRODUCT(--("0"&amp;LEFT(TRIM(MID(SUBSTITUTE(SUBSTITUTE(SUBSTITUTE(SUBSTITUTE(SUBSTITUTE(LOWER(Registro!$E650),"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",LEN(Registro!$E650))),({1,2,3,4,5,6,7,8,9,10,11,12,13,14,15,16,17,18,19,20,21,22,23,24,25,26,27,28,29,30}-1)*LEN(Registro!$E650)+1,LEN(Registro!$E650))),FIND("x",TRIM(MID(SUBSTITUTE(SUBSTITUTE(SUBSTITUTE(SUBSTITUTE(SUBSTITUTE(LOWER(Registro!$E650),"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",LEN(Registro!$E650))),({1,2,3,4,5,6,7,8,9,10,11,12,13,14,15,16,17,18,19,20,21,22,23,24,25,26,27,28,29,30}-1)*LEN(Registro!$E650)+1,LEN(Registro!$E650)))&amp;"x")-1))),"Revisar formato")))</f>
        <v/>
      </c>
      <c r="E650" s="24" t="str">
        <f>IF(Registro!$E650="","",IF(ISERROR(FIND("x",LOWER(Registro!$E650))),"-",IFERROR(SUMPRODUCT(--("0"&amp;LEFT(TRIM(MID(SUBSTITUTE(SUBSTITUTE(SUBSTITUTE(SUBSTITUTE(SUBSTITUTE(LOWER(Registro!$E650),"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",LEN(Registro!$E650))),({1,2,3,4,5,6,7,8,9,10,11,12,13,14,15,16,17,18,19,20,21,22,23,24,25,26,27,28,29,30}-1)*LEN(Registro!$E650)+1,LEN(Registro!$E650))),FIND("x",TRIM(MID(SUBSTITUTE(SUBSTITUTE(SUBSTITUTE(SUBSTITUTE(SUBSTITUTE(LOWER(Registro!$E650),"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",LEN(Registro!$E650))),({1,2,3,4,5,6,7,8,9,10,11,12,13,14,15,16,17,18,19,20,21,22,23,24,25,26,27,28,29,30}-1)*LEN(Registro!$E650)+1,LEN(Registro!$E650)))&amp;"x")-1)),--("0"&amp;MID(TRIM(MID(SUBSTITUTE(SUBSTITUTE(SUBSTITUTE(SUBSTITUTE(SUBSTITUTE(LOWER(Registro!$E650),"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",LEN(Registro!$E650))),({1,2,3,4,5,6,7,8,9,10,11,12,13,14,15,16,17,18,19,20,21,22,23,24,25,26,27,28,29,30}-1)*LEN(Registro!$E650)+1,LEN(Registro!$E650))),FIND("x",TRIM(MID(SUBSTITUTE(SUBSTITUTE(SUBSTITUTE(SUBSTITUTE(SUBSTITUTE(LOWER(Registro!$E650),"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",LEN(Registro!$E650))),({1,2,3,4,5,6,7,8,9,10,11,12,13,14,15,16,17,18,19,20,21,22,23,24,25,26,27,28,29,30}-1)*LEN(Registro!$E650)+1,LEN(Registro!$E650)))&amp;"x")+1,20))),"Revisar formato")))</f>
        <v/>
      </c>
      <c r="F650" s="23" t="str">
        <f>IF(Registro!$F650="","",IF(ISERROR(FIND("x",LOWER(Registro!$F650))),"-",IFERROR(SUMPRODUCT(--("0"&amp;LEFT(TRIM(MID(SUBSTITUTE(SUBSTITUTE(SUBSTITUTE(SUBSTITUTE(SUBSTITUTE(LOWER(Registro!$F650)," ",""),CHAR(10),"|"),";","|"),"+","|"),"|",REPT(" ",LEN(Registro!$F650))),({1,2,3,4,5,6,7,8,9,10,11,12,13,14,15,16,17,18,19,20,21,22,23,24,25,26,27,28,29,30}-1)*LEN(Registro!$F650)+1,LEN(Registro!$F650))),FIND("x",TRIM(MID(SUBSTITUTE(SUBSTITUTE(SUBSTITUTE(SUBSTITUTE(SUBSTITUTE(LOWER(Registro!$F650)," ",""),CHAR(10),"|"),";","|"),"+","|"),"|",REPT(" ",LEN(Registro!$F650))),({1,2,3,4,5,6,7,8,9,10,11,12,13,14,15,16,17,18,19,20,21,22,23,24,25,26,27,28,29,30}-1)*LEN(Registro!$F650)+1,LEN(Registro!$F650)))&amp;"x")-1))),"Revisar formato")))</f>
        <v/>
      </c>
      <c r="G650" s="24" t="str">
        <f>IF(Registro!$F650="","",IF(ISERROR(FIND("x",LOWER(Registro!$F650))),N(Registro!$G650),IFERROR(SUMPRODUCT(--("0"&amp;LEFT(TRIM(MID(SUBSTITUTE(SUBSTITUTE(SUBSTITUTE(SUBSTITUTE(SUBSTITUTE(LOWER(Registro!$F650)," ",""),CHAR(10),"|"),";","|"),"+","|"),"|",REPT(" ",LEN(Registro!$F650))),({1,2,3,4,5,6,7,8,9,10,11,12,13,14,15,16,17,18,19,20,21,22,23,24,25,26,27,28,29,30}-1)*LEN(Registro!$F650)+1,LEN(Registro!$F650))),FIND("x",TRIM(MID(SUBSTITUTE(SUBSTITUTE(SUBSTITUTE(SUBSTITUTE(SUBSTITUTE(LOWER(Registro!$F650)," ",""),CHAR(10),"|"),";","|"),"+","|"),"|",REPT(" ",LEN(Registro!$F650))),({1,2,3,4,5,6,7,8,9,10,11,12,13,14,15,16,17,18,19,20,21,22,23,24,25,26,27,28,29,30}-1)*LEN(Registro!$F650)+1,LEN(Registro!$F650)))&amp;"x")-1)),--("0"&amp;MID(TRIM(MID(SUBSTITUTE(SUBSTITUTE(SUBSTITUTE(SUBSTITUTE(SUBSTITUTE(LOWER(Registro!$F650)," ",""),CHAR(10),"|"),";","|"),"+","|"),"|",REPT(" ",LEN(Registro!$F650))),({1,2,3,4,5,6,7,8,9,10,11,12,13,14,15,16,17,18,19,20,21,22,23,24,25,26,27,28,29,30}-1)*LEN(Registro!$F650)+1,LEN(Registro!$F650))),FIND("x",TRIM(MID(SUBSTITUTE(SUBSTITUTE(SUBSTITUTE(SUBSTITUTE(SUBSTITUTE(LOWER(Registro!$F650)," ",""),CHAR(10),"|"),";","|"),"+","|"),"|",REPT(" ",LEN(Registro!$F650))),({1,2,3,4,5,6,7,8,9,10,11,12,13,14,15,16,17,18,19,20,21,22,23,24,25,26,27,28,29,30}-1)*LEN(Registro!$F650)+1,LEN(Registro!$F650)))&amp;"x")+1,20))),"Revisar formato")))</f>
        <v/>
      </c>
      <c r="H650" s="21" t="str">
        <f>IF(AND(Registro!$E650="",Registro!$F650=""),"",IF(NOT(AND(ISNUMBER(G650),ISNUMBER(Registro!$G650))),"",IF(G650&lt;Registro!$G650,"FALTA BOLETOS",IF(G650=Registro!$G650,"CONFORME","DIFERENCIA"))))</f>
        <v/>
      </c>
      <c r="I650" s="24" t="str">
        <f>IF(Registro!$H650="","",IFERROR(SUMPRODUCT(--("0"&amp;TRIM(RIGHT(SUBSTITUTE(TRIM(MID(SUBSTITUTE(SUBSTITUTE(Registro!$H650,";",CHAR(10)),CHAR(10),REPT(" ",LEN(Registro!$H650))),({1,2,3,4,5,6,7,8,9,10,11,12,13,14,15,16,17,18,19,20,21,22,23,24,25,26,27,28,29,30}-1)*LEN(Registro!$H650)+1,LEN(Registro!$H650)))," ",REPT(" ",50)),50)))),"Revisar formato"))</f>
        <v/>
      </c>
      <c r="J650" s="24" t="str">
        <f>IF(Registro!$I650="","",IFERROR(SUMPRODUCT(--("0"&amp;TRIM(RIGHT(SUBSTITUTE(TRIM(MID(SUBSTITUTE(SUBSTITUTE(Registro!$I650,";",CHAR(10)),CHAR(10),REPT(" ",LEN(Registro!$I650))),({1,2,3,4,5,6,7,8,9,10,11,12,13,14,15,16,17,18,19,20,21,22,23,24,25,26,27,28,29,30}-1)*LEN(Registro!$I650)+1,LEN(Registro!$I650)))," ",REPT(" ",50)),50)))),"Revisar formato"))</f>
        <v/>
      </c>
      <c r="K650" s="24" t="str">
        <f>IF(AND(Registro!$G650="",Registro!$H650=""),"",IF(AND(ISTEXT(I650),I650&lt;&gt;""),"Revisar formato",N(Registro!$G650)-N(I650)))</f>
        <v/>
      </c>
      <c r="L650" s="24" t="str">
        <f t="shared" si="21"/>
        <v/>
      </c>
      <c r="M650" s="36" t="str">
        <f>IF(AND(A650=Consulta!$B$3,C650=Consulta!$H$3),B650*10000+ROW(),"")</f>
        <v/>
      </c>
    </row>
    <row r="651" spans="1:13" x14ac:dyDescent="0.25">
      <c r="A651" s="21" t="str">
        <f>IF(Registro!$A651="","",Registro!$A651)</f>
        <v/>
      </c>
      <c r="B651" s="20" t="str">
        <f>IF(Registro!$B651="","",Registro!$B651)</f>
        <v/>
      </c>
      <c r="C651" s="35" t="str">
        <f t="shared" si="20"/>
        <v/>
      </c>
      <c r="D651" s="23" t="str">
        <f>IF(Registro!$E651="","",IF(ISERROR(FIND("x",LOWER(Registro!$E651))),"-",IFERROR(SUMPRODUCT(--("0"&amp;LEFT(TRIM(MID(SUBSTITUTE(SUBSTITUTE(SUBSTITUTE(SUBSTITUTE(SUBSTITUTE(LOWER(Registro!$E651),"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",LEN(Registro!$E651))),({1,2,3,4,5,6,7,8,9,10,11,12,13,14,15,16,17,18,19,20,21,22,23,24,25,26,27,28,29,30}-1)*LEN(Registro!$E651)+1,LEN(Registro!$E651))),FIND("x",TRIM(MID(SUBSTITUTE(SUBSTITUTE(SUBSTITUTE(SUBSTITUTE(SUBSTITUTE(LOWER(Registro!$E651),"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",LEN(Registro!$E651))),({1,2,3,4,5,6,7,8,9,10,11,12,13,14,15,16,17,18,19,20,21,22,23,24,25,26,27,28,29,30}-1)*LEN(Registro!$E651)+1,LEN(Registro!$E651)))&amp;"x")-1))),"Revisar formato")))</f>
        <v/>
      </c>
      <c r="E651" s="24" t="str">
        <f>IF(Registro!$E651="","",IF(ISERROR(FIND("x",LOWER(Registro!$E651))),"-",IFERROR(SUMPRODUCT(--("0"&amp;LEFT(TRIM(MID(SUBSTITUTE(SUBSTITUTE(SUBSTITUTE(SUBSTITUTE(SUBSTITUTE(LOWER(Registro!$E651),"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",LEN(Registro!$E651))),({1,2,3,4,5,6,7,8,9,10,11,12,13,14,15,16,17,18,19,20,21,22,23,24,25,26,27,28,29,30}-1)*LEN(Registro!$E651)+1,LEN(Registro!$E651))),FIND("x",TRIM(MID(SUBSTITUTE(SUBSTITUTE(SUBSTITUTE(SUBSTITUTE(SUBSTITUTE(LOWER(Registro!$E651),"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",LEN(Registro!$E651))),({1,2,3,4,5,6,7,8,9,10,11,12,13,14,15,16,17,18,19,20,21,22,23,24,25,26,27,28,29,30}-1)*LEN(Registro!$E651)+1,LEN(Registro!$E651)))&amp;"x")-1)),--("0"&amp;MID(TRIM(MID(SUBSTITUTE(SUBSTITUTE(SUBSTITUTE(SUBSTITUTE(SUBSTITUTE(LOWER(Registro!$E651),"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",LEN(Registro!$E651))),({1,2,3,4,5,6,7,8,9,10,11,12,13,14,15,16,17,18,19,20,21,22,23,24,25,26,27,28,29,30}-1)*LEN(Registro!$E651)+1,LEN(Registro!$E651))),FIND("x",TRIM(MID(SUBSTITUTE(SUBSTITUTE(SUBSTITUTE(SUBSTITUTE(SUBSTITUTE(LOWER(Registro!$E651),"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",LEN(Registro!$E651))),({1,2,3,4,5,6,7,8,9,10,11,12,13,14,15,16,17,18,19,20,21,22,23,24,25,26,27,28,29,30}-1)*LEN(Registro!$E651)+1,LEN(Registro!$E651)))&amp;"x")+1,20))),"Revisar formato")))</f>
        <v/>
      </c>
      <c r="F651" s="23" t="str">
        <f>IF(Registro!$F651="","",IF(ISERROR(FIND("x",LOWER(Registro!$F651))),"-",IFERROR(SUMPRODUCT(--("0"&amp;LEFT(TRIM(MID(SUBSTITUTE(SUBSTITUTE(SUBSTITUTE(SUBSTITUTE(SUBSTITUTE(LOWER(Registro!$F651)," ",""),CHAR(10),"|"),";","|"),"+","|"),"|",REPT(" ",LEN(Registro!$F651))),({1,2,3,4,5,6,7,8,9,10,11,12,13,14,15,16,17,18,19,20,21,22,23,24,25,26,27,28,29,30}-1)*LEN(Registro!$F651)+1,LEN(Registro!$F651))),FIND("x",TRIM(MID(SUBSTITUTE(SUBSTITUTE(SUBSTITUTE(SUBSTITUTE(SUBSTITUTE(LOWER(Registro!$F651)," ",""),CHAR(10),"|"),";","|"),"+","|"),"|",REPT(" ",LEN(Registro!$F651))),({1,2,3,4,5,6,7,8,9,10,11,12,13,14,15,16,17,18,19,20,21,22,23,24,25,26,27,28,29,30}-1)*LEN(Registro!$F651)+1,LEN(Registro!$F651)))&amp;"x")-1))),"Revisar formato")))</f>
        <v/>
      </c>
      <c r="G651" s="24" t="str">
        <f>IF(Registro!$F651="","",IF(ISERROR(FIND("x",LOWER(Registro!$F651))),N(Registro!$G651),IFERROR(SUMPRODUCT(--("0"&amp;LEFT(TRIM(MID(SUBSTITUTE(SUBSTITUTE(SUBSTITUTE(SUBSTITUTE(SUBSTITUTE(LOWER(Registro!$F651)," ",""),CHAR(10),"|"),";","|"),"+","|"),"|",REPT(" ",LEN(Registro!$F651))),({1,2,3,4,5,6,7,8,9,10,11,12,13,14,15,16,17,18,19,20,21,22,23,24,25,26,27,28,29,30}-1)*LEN(Registro!$F651)+1,LEN(Registro!$F651))),FIND("x",TRIM(MID(SUBSTITUTE(SUBSTITUTE(SUBSTITUTE(SUBSTITUTE(SUBSTITUTE(LOWER(Registro!$F651)," ",""),CHAR(10),"|"),";","|"),"+","|"),"|",REPT(" ",LEN(Registro!$F651))),({1,2,3,4,5,6,7,8,9,10,11,12,13,14,15,16,17,18,19,20,21,22,23,24,25,26,27,28,29,30}-1)*LEN(Registro!$F651)+1,LEN(Registro!$F651)))&amp;"x")-1)),--("0"&amp;MID(TRIM(MID(SUBSTITUTE(SUBSTITUTE(SUBSTITUTE(SUBSTITUTE(SUBSTITUTE(LOWER(Registro!$F651)," ",""),CHAR(10),"|"),";","|"),"+","|"),"|",REPT(" ",LEN(Registro!$F651))),({1,2,3,4,5,6,7,8,9,10,11,12,13,14,15,16,17,18,19,20,21,22,23,24,25,26,27,28,29,30}-1)*LEN(Registro!$F651)+1,LEN(Registro!$F651))),FIND("x",TRIM(MID(SUBSTITUTE(SUBSTITUTE(SUBSTITUTE(SUBSTITUTE(SUBSTITUTE(LOWER(Registro!$F651)," ",""),CHAR(10),"|"),";","|"),"+","|"),"|",REPT(" ",LEN(Registro!$F651))),({1,2,3,4,5,6,7,8,9,10,11,12,13,14,15,16,17,18,19,20,21,22,23,24,25,26,27,28,29,30}-1)*LEN(Registro!$F651)+1,LEN(Registro!$F651)))&amp;"x")+1,20))),"Revisar formato")))</f>
        <v/>
      </c>
      <c r="H651" s="21" t="str">
        <f>IF(AND(Registro!$E651="",Registro!$F651=""),"",IF(NOT(AND(ISNUMBER(G651),ISNUMBER(Registro!$G651))),"",IF(G651&lt;Registro!$G651,"FALTA BOLETOS",IF(G651=Registro!$G651,"CONFORME","DIFERENCIA"))))</f>
        <v/>
      </c>
      <c r="I651" s="24" t="str">
        <f>IF(Registro!$H651="","",IFERROR(SUMPRODUCT(--("0"&amp;TRIM(RIGHT(SUBSTITUTE(TRIM(MID(SUBSTITUTE(SUBSTITUTE(Registro!$H651,";",CHAR(10)),CHAR(10),REPT(" ",LEN(Registro!$H651))),({1,2,3,4,5,6,7,8,9,10,11,12,13,14,15,16,17,18,19,20,21,22,23,24,25,26,27,28,29,30}-1)*LEN(Registro!$H651)+1,LEN(Registro!$H651)))," ",REPT(" ",50)),50)))),"Revisar formato"))</f>
        <v/>
      </c>
      <c r="J651" s="24" t="str">
        <f>IF(Registro!$I651="","",IFERROR(SUMPRODUCT(--("0"&amp;TRIM(RIGHT(SUBSTITUTE(TRIM(MID(SUBSTITUTE(SUBSTITUTE(Registro!$I651,";",CHAR(10)),CHAR(10),REPT(" ",LEN(Registro!$I651))),({1,2,3,4,5,6,7,8,9,10,11,12,13,14,15,16,17,18,19,20,21,22,23,24,25,26,27,28,29,30}-1)*LEN(Registro!$I651)+1,LEN(Registro!$I651)))," ",REPT(" ",50)),50)))),"Revisar formato"))</f>
        <v/>
      </c>
      <c r="K651" s="24" t="str">
        <f>IF(AND(Registro!$G651="",Registro!$H651=""),"",IF(AND(ISTEXT(I651),I651&lt;&gt;""),"Revisar formato",N(Registro!$G651)-N(I651)))</f>
        <v/>
      </c>
      <c r="L651" s="24" t="str">
        <f t="shared" si="21"/>
        <v/>
      </c>
      <c r="M651" s="36" t="str">
        <f>IF(AND(A651=Consulta!$B$3,C651=Consulta!$H$3),B651*10000+ROW(),"")</f>
        <v/>
      </c>
    </row>
    <row r="652" spans="1:13" x14ac:dyDescent="0.25">
      <c r="A652" s="21" t="str">
        <f>IF(Registro!$A652="","",Registro!$A652)</f>
        <v/>
      </c>
      <c r="B652" s="20" t="str">
        <f>IF(Registro!$B652="","",Registro!$B652)</f>
        <v/>
      </c>
      <c r="C652" s="35" t="str">
        <f t="shared" si="20"/>
        <v/>
      </c>
      <c r="D652" s="23" t="str">
        <f>IF(Registro!$E652="","",IF(ISERROR(FIND("x",LOWER(Registro!$E652))),"-",IFERROR(SUMPRODUCT(--("0"&amp;LEFT(TRIM(MID(SUBSTITUTE(SUBSTITUTE(SUBSTITUTE(SUBSTITUTE(SUBSTITUTE(LOWER(Registro!$E652),"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",LEN(Registro!$E652))),({1,2,3,4,5,6,7,8,9,10,11,12,13,14,15,16,17,18,19,20,21,22,23,24,25,26,27,28,29,30}-1)*LEN(Registro!$E652)+1,LEN(Registro!$E652))),FIND("x",TRIM(MID(SUBSTITUTE(SUBSTITUTE(SUBSTITUTE(SUBSTITUTE(SUBSTITUTE(LOWER(Registro!$E652),"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",LEN(Registro!$E652))),({1,2,3,4,5,6,7,8,9,10,11,12,13,14,15,16,17,18,19,20,21,22,23,24,25,26,27,28,29,30}-1)*LEN(Registro!$E652)+1,LEN(Registro!$E652)))&amp;"x")-1))),"Revisar formato")))</f>
        <v/>
      </c>
      <c r="E652" s="24" t="str">
        <f>IF(Registro!$E652="","",IF(ISERROR(FIND("x",LOWER(Registro!$E652))),"-",IFERROR(SUMPRODUCT(--("0"&amp;LEFT(TRIM(MID(SUBSTITUTE(SUBSTITUTE(SUBSTITUTE(SUBSTITUTE(SUBSTITUTE(LOWER(Registro!$E652),"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",LEN(Registro!$E652))),({1,2,3,4,5,6,7,8,9,10,11,12,13,14,15,16,17,18,19,20,21,22,23,24,25,26,27,28,29,30}-1)*LEN(Registro!$E652)+1,LEN(Registro!$E652))),FIND("x",TRIM(MID(SUBSTITUTE(SUBSTITUTE(SUBSTITUTE(SUBSTITUTE(SUBSTITUTE(LOWER(Registro!$E652),"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",LEN(Registro!$E652))),({1,2,3,4,5,6,7,8,9,10,11,12,13,14,15,16,17,18,19,20,21,22,23,24,25,26,27,28,29,30}-1)*LEN(Registro!$E652)+1,LEN(Registro!$E652)))&amp;"x")-1)),--("0"&amp;MID(TRIM(MID(SUBSTITUTE(SUBSTITUTE(SUBSTITUTE(SUBSTITUTE(SUBSTITUTE(LOWER(Registro!$E652),"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",LEN(Registro!$E652))),({1,2,3,4,5,6,7,8,9,10,11,12,13,14,15,16,17,18,19,20,21,22,23,24,25,26,27,28,29,30}-1)*LEN(Registro!$E652)+1,LEN(Registro!$E652))),FIND("x",TRIM(MID(SUBSTITUTE(SUBSTITUTE(SUBSTITUTE(SUBSTITUTE(SUBSTITUTE(LOWER(Registro!$E652),"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",LEN(Registro!$E652))),({1,2,3,4,5,6,7,8,9,10,11,12,13,14,15,16,17,18,19,20,21,22,23,24,25,26,27,28,29,30}-1)*LEN(Registro!$E652)+1,LEN(Registro!$E652)))&amp;"x")+1,20))),"Revisar formato")))</f>
        <v/>
      </c>
      <c r="F652" s="23" t="str">
        <f>IF(Registro!$F652="","",IF(ISERROR(FIND("x",LOWER(Registro!$F652))),"-",IFERROR(SUMPRODUCT(--("0"&amp;LEFT(TRIM(MID(SUBSTITUTE(SUBSTITUTE(SUBSTITUTE(SUBSTITUTE(SUBSTITUTE(LOWER(Registro!$F652)," ",""),CHAR(10),"|"),";","|"),"+","|"),"|",REPT(" ",LEN(Registro!$F652))),({1,2,3,4,5,6,7,8,9,10,11,12,13,14,15,16,17,18,19,20,21,22,23,24,25,26,27,28,29,30}-1)*LEN(Registro!$F652)+1,LEN(Registro!$F652))),FIND("x",TRIM(MID(SUBSTITUTE(SUBSTITUTE(SUBSTITUTE(SUBSTITUTE(SUBSTITUTE(LOWER(Registro!$F652)," ",""),CHAR(10),"|"),";","|"),"+","|"),"|",REPT(" ",LEN(Registro!$F652))),({1,2,3,4,5,6,7,8,9,10,11,12,13,14,15,16,17,18,19,20,21,22,23,24,25,26,27,28,29,30}-1)*LEN(Registro!$F652)+1,LEN(Registro!$F652)))&amp;"x")-1))),"Revisar formato")))</f>
        <v/>
      </c>
      <c r="G652" s="24" t="str">
        <f>IF(Registro!$F652="","",IF(ISERROR(FIND("x",LOWER(Registro!$F652))),N(Registro!$G652),IFERROR(SUMPRODUCT(--("0"&amp;LEFT(TRIM(MID(SUBSTITUTE(SUBSTITUTE(SUBSTITUTE(SUBSTITUTE(SUBSTITUTE(LOWER(Registro!$F652)," ",""),CHAR(10),"|"),";","|"),"+","|"),"|",REPT(" ",LEN(Registro!$F652))),({1,2,3,4,5,6,7,8,9,10,11,12,13,14,15,16,17,18,19,20,21,22,23,24,25,26,27,28,29,30}-1)*LEN(Registro!$F652)+1,LEN(Registro!$F652))),FIND("x",TRIM(MID(SUBSTITUTE(SUBSTITUTE(SUBSTITUTE(SUBSTITUTE(SUBSTITUTE(LOWER(Registro!$F652)," ",""),CHAR(10),"|"),";","|"),"+","|"),"|",REPT(" ",LEN(Registro!$F652))),({1,2,3,4,5,6,7,8,9,10,11,12,13,14,15,16,17,18,19,20,21,22,23,24,25,26,27,28,29,30}-1)*LEN(Registro!$F652)+1,LEN(Registro!$F652)))&amp;"x")-1)),--("0"&amp;MID(TRIM(MID(SUBSTITUTE(SUBSTITUTE(SUBSTITUTE(SUBSTITUTE(SUBSTITUTE(LOWER(Registro!$F652)," ",""),CHAR(10),"|"),";","|"),"+","|"),"|",REPT(" ",LEN(Registro!$F652))),({1,2,3,4,5,6,7,8,9,10,11,12,13,14,15,16,17,18,19,20,21,22,23,24,25,26,27,28,29,30}-1)*LEN(Registro!$F652)+1,LEN(Registro!$F652))),FIND("x",TRIM(MID(SUBSTITUTE(SUBSTITUTE(SUBSTITUTE(SUBSTITUTE(SUBSTITUTE(LOWER(Registro!$F652)," ",""),CHAR(10),"|"),";","|"),"+","|"),"|",REPT(" ",LEN(Registro!$F652))),({1,2,3,4,5,6,7,8,9,10,11,12,13,14,15,16,17,18,19,20,21,22,23,24,25,26,27,28,29,30}-1)*LEN(Registro!$F652)+1,LEN(Registro!$F652)))&amp;"x")+1,20))),"Revisar formato")))</f>
        <v/>
      </c>
      <c r="H652" s="21" t="str">
        <f>IF(AND(Registro!$E652="",Registro!$F652=""),"",IF(NOT(AND(ISNUMBER(G652),ISNUMBER(Registro!$G652))),"",IF(G652&lt;Registro!$G652,"FALTA BOLETOS",IF(G652=Registro!$G652,"CONFORME","DIFERENCIA"))))</f>
        <v/>
      </c>
      <c r="I652" s="24" t="str">
        <f>IF(Registro!$H652="","",IFERROR(SUMPRODUCT(--("0"&amp;TRIM(RIGHT(SUBSTITUTE(TRIM(MID(SUBSTITUTE(SUBSTITUTE(Registro!$H652,";",CHAR(10)),CHAR(10),REPT(" ",LEN(Registro!$H652))),({1,2,3,4,5,6,7,8,9,10,11,12,13,14,15,16,17,18,19,20,21,22,23,24,25,26,27,28,29,30}-1)*LEN(Registro!$H652)+1,LEN(Registro!$H652)))," ",REPT(" ",50)),50)))),"Revisar formato"))</f>
        <v/>
      </c>
      <c r="J652" s="24" t="str">
        <f>IF(Registro!$I652="","",IFERROR(SUMPRODUCT(--("0"&amp;TRIM(RIGHT(SUBSTITUTE(TRIM(MID(SUBSTITUTE(SUBSTITUTE(Registro!$I652,";",CHAR(10)),CHAR(10),REPT(" ",LEN(Registro!$I652))),({1,2,3,4,5,6,7,8,9,10,11,12,13,14,15,16,17,18,19,20,21,22,23,24,25,26,27,28,29,30}-1)*LEN(Registro!$I652)+1,LEN(Registro!$I652)))," ",REPT(" ",50)),50)))),"Revisar formato"))</f>
        <v/>
      </c>
      <c r="K652" s="24" t="str">
        <f>IF(AND(Registro!$G652="",Registro!$H652=""),"",IF(AND(ISTEXT(I652),I652&lt;&gt;""),"Revisar formato",N(Registro!$G652)-N(I652)))</f>
        <v/>
      </c>
      <c r="L652" s="24" t="str">
        <f t="shared" si="21"/>
        <v/>
      </c>
      <c r="M652" s="36" t="str">
        <f>IF(AND(A652=Consulta!$B$3,C652=Consulta!$H$3),B652*10000+ROW(),"")</f>
        <v/>
      </c>
    </row>
    <row r="653" spans="1:13" x14ac:dyDescent="0.25">
      <c r="A653" s="21" t="str">
        <f>IF(Registro!$A653="","",Registro!$A653)</f>
        <v/>
      </c>
      <c r="B653" s="20" t="str">
        <f>IF(Registro!$B653="","",Registro!$B653)</f>
        <v/>
      </c>
      <c r="C653" s="35" t="str">
        <f t="shared" si="20"/>
        <v/>
      </c>
      <c r="D653" s="23" t="str">
        <f>IF(Registro!$E653="","",IF(ISERROR(FIND("x",LOWER(Registro!$E653))),"-",IFERROR(SUMPRODUCT(--("0"&amp;LEFT(TRIM(MID(SUBSTITUTE(SUBSTITUTE(SUBSTITUTE(SUBSTITUTE(SUBSTITUTE(LOWER(Registro!$E653),"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",LEN(Registro!$E653))),({1,2,3,4,5,6,7,8,9,10,11,12,13,14,15,16,17,18,19,20,21,22,23,24,25,26,27,28,29,30}-1)*LEN(Registro!$E653)+1,LEN(Registro!$E653))),FIND("x",TRIM(MID(SUBSTITUTE(SUBSTITUTE(SUBSTITUTE(SUBSTITUTE(SUBSTITUTE(LOWER(Registro!$E653),"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",LEN(Registro!$E653))),({1,2,3,4,5,6,7,8,9,10,11,12,13,14,15,16,17,18,19,20,21,22,23,24,25,26,27,28,29,30}-1)*LEN(Registro!$E653)+1,LEN(Registro!$E653)))&amp;"x")-1))),"Revisar formato")))</f>
        <v/>
      </c>
      <c r="E653" s="24" t="str">
        <f>IF(Registro!$E653="","",IF(ISERROR(FIND("x",LOWER(Registro!$E653))),"-",IFERROR(SUMPRODUCT(--("0"&amp;LEFT(TRIM(MID(SUBSTITUTE(SUBSTITUTE(SUBSTITUTE(SUBSTITUTE(SUBSTITUTE(LOWER(Registro!$E653),"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",LEN(Registro!$E653))),({1,2,3,4,5,6,7,8,9,10,11,12,13,14,15,16,17,18,19,20,21,22,23,24,25,26,27,28,29,30}-1)*LEN(Registro!$E653)+1,LEN(Registro!$E653))),FIND("x",TRIM(MID(SUBSTITUTE(SUBSTITUTE(SUBSTITUTE(SUBSTITUTE(SUBSTITUTE(LOWER(Registro!$E653),"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",LEN(Registro!$E653))),({1,2,3,4,5,6,7,8,9,10,11,12,13,14,15,16,17,18,19,20,21,22,23,24,25,26,27,28,29,30}-1)*LEN(Registro!$E653)+1,LEN(Registro!$E653)))&amp;"x")-1)),--("0"&amp;MID(TRIM(MID(SUBSTITUTE(SUBSTITUTE(SUBSTITUTE(SUBSTITUTE(SUBSTITUTE(LOWER(Registro!$E653),"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",LEN(Registro!$E653))),({1,2,3,4,5,6,7,8,9,10,11,12,13,14,15,16,17,18,19,20,21,22,23,24,25,26,27,28,29,30}-1)*LEN(Registro!$E653)+1,LEN(Registro!$E653))),FIND("x",TRIM(MID(SUBSTITUTE(SUBSTITUTE(SUBSTITUTE(SUBSTITUTE(SUBSTITUTE(LOWER(Registro!$E653),"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",LEN(Registro!$E653))),({1,2,3,4,5,6,7,8,9,10,11,12,13,14,15,16,17,18,19,20,21,22,23,24,25,26,27,28,29,30}-1)*LEN(Registro!$E653)+1,LEN(Registro!$E653)))&amp;"x")+1,20))),"Revisar formato")))</f>
        <v/>
      </c>
      <c r="F653" s="23" t="str">
        <f>IF(Registro!$F653="","",IF(ISERROR(FIND("x",LOWER(Registro!$F653))),"-",IFERROR(SUMPRODUCT(--("0"&amp;LEFT(TRIM(MID(SUBSTITUTE(SUBSTITUTE(SUBSTITUTE(SUBSTITUTE(SUBSTITUTE(LOWER(Registro!$F653)," ",""),CHAR(10),"|"),";","|"),"+","|"),"|",REPT(" ",LEN(Registro!$F653))),({1,2,3,4,5,6,7,8,9,10,11,12,13,14,15,16,17,18,19,20,21,22,23,24,25,26,27,28,29,30}-1)*LEN(Registro!$F653)+1,LEN(Registro!$F653))),FIND("x",TRIM(MID(SUBSTITUTE(SUBSTITUTE(SUBSTITUTE(SUBSTITUTE(SUBSTITUTE(LOWER(Registro!$F653)," ",""),CHAR(10),"|"),";","|"),"+","|"),"|",REPT(" ",LEN(Registro!$F653))),({1,2,3,4,5,6,7,8,9,10,11,12,13,14,15,16,17,18,19,20,21,22,23,24,25,26,27,28,29,30}-1)*LEN(Registro!$F653)+1,LEN(Registro!$F653)))&amp;"x")-1))),"Revisar formato")))</f>
        <v/>
      </c>
      <c r="G653" s="24" t="str">
        <f>IF(Registro!$F653="","",IF(ISERROR(FIND("x",LOWER(Registro!$F653))),N(Registro!$G653),IFERROR(SUMPRODUCT(--("0"&amp;LEFT(TRIM(MID(SUBSTITUTE(SUBSTITUTE(SUBSTITUTE(SUBSTITUTE(SUBSTITUTE(LOWER(Registro!$F653)," ",""),CHAR(10),"|"),";","|"),"+","|"),"|",REPT(" ",LEN(Registro!$F653))),({1,2,3,4,5,6,7,8,9,10,11,12,13,14,15,16,17,18,19,20,21,22,23,24,25,26,27,28,29,30}-1)*LEN(Registro!$F653)+1,LEN(Registro!$F653))),FIND("x",TRIM(MID(SUBSTITUTE(SUBSTITUTE(SUBSTITUTE(SUBSTITUTE(SUBSTITUTE(LOWER(Registro!$F653)," ",""),CHAR(10),"|"),";","|"),"+","|"),"|",REPT(" ",LEN(Registro!$F653))),({1,2,3,4,5,6,7,8,9,10,11,12,13,14,15,16,17,18,19,20,21,22,23,24,25,26,27,28,29,30}-1)*LEN(Registro!$F653)+1,LEN(Registro!$F653)))&amp;"x")-1)),--("0"&amp;MID(TRIM(MID(SUBSTITUTE(SUBSTITUTE(SUBSTITUTE(SUBSTITUTE(SUBSTITUTE(LOWER(Registro!$F653)," ",""),CHAR(10),"|"),";","|"),"+","|"),"|",REPT(" ",LEN(Registro!$F653))),({1,2,3,4,5,6,7,8,9,10,11,12,13,14,15,16,17,18,19,20,21,22,23,24,25,26,27,28,29,30}-1)*LEN(Registro!$F653)+1,LEN(Registro!$F653))),FIND("x",TRIM(MID(SUBSTITUTE(SUBSTITUTE(SUBSTITUTE(SUBSTITUTE(SUBSTITUTE(LOWER(Registro!$F653)," ",""),CHAR(10),"|"),";","|"),"+","|"),"|",REPT(" ",LEN(Registro!$F653))),({1,2,3,4,5,6,7,8,9,10,11,12,13,14,15,16,17,18,19,20,21,22,23,24,25,26,27,28,29,30}-1)*LEN(Registro!$F653)+1,LEN(Registro!$F653)))&amp;"x")+1,20))),"Revisar formato")))</f>
        <v/>
      </c>
      <c r="H653" s="21" t="str">
        <f>IF(AND(Registro!$E653="",Registro!$F653=""),"",IF(NOT(AND(ISNUMBER(G653),ISNUMBER(Registro!$G653))),"",IF(G653&lt;Registro!$G653,"FALTA BOLETOS",IF(G653=Registro!$G653,"CONFORME","DIFERENCIA"))))</f>
        <v/>
      </c>
      <c r="I653" s="24" t="str">
        <f>IF(Registro!$H653="","",IFERROR(SUMPRODUCT(--("0"&amp;TRIM(RIGHT(SUBSTITUTE(TRIM(MID(SUBSTITUTE(SUBSTITUTE(Registro!$H653,";",CHAR(10)),CHAR(10),REPT(" ",LEN(Registro!$H653))),({1,2,3,4,5,6,7,8,9,10,11,12,13,14,15,16,17,18,19,20,21,22,23,24,25,26,27,28,29,30}-1)*LEN(Registro!$H653)+1,LEN(Registro!$H653)))," ",REPT(" ",50)),50)))),"Revisar formato"))</f>
        <v/>
      </c>
      <c r="J653" s="24" t="str">
        <f>IF(Registro!$I653="","",IFERROR(SUMPRODUCT(--("0"&amp;TRIM(RIGHT(SUBSTITUTE(TRIM(MID(SUBSTITUTE(SUBSTITUTE(Registro!$I653,";",CHAR(10)),CHAR(10),REPT(" ",LEN(Registro!$I653))),({1,2,3,4,5,6,7,8,9,10,11,12,13,14,15,16,17,18,19,20,21,22,23,24,25,26,27,28,29,30}-1)*LEN(Registro!$I653)+1,LEN(Registro!$I653)))," ",REPT(" ",50)),50)))),"Revisar formato"))</f>
        <v/>
      </c>
      <c r="K653" s="24" t="str">
        <f>IF(AND(Registro!$G653="",Registro!$H653=""),"",IF(AND(ISTEXT(I653),I653&lt;&gt;""),"Revisar formato",N(Registro!$G653)-N(I653)))</f>
        <v/>
      </c>
      <c r="L653" s="24" t="str">
        <f t="shared" si="21"/>
        <v/>
      </c>
      <c r="M653" s="36" t="str">
        <f>IF(AND(A653=Consulta!$B$3,C653=Consulta!$H$3),B653*10000+ROW(),"")</f>
        <v/>
      </c>
    </row>
    <row r="654" spans="1:13" x14ac:dyDescent="0.25">
      <c r="A654" s="21" t="str">
        <f>IF(Registro!$A654="","",Registro!$A654)</f>
        <v/>
      </c>
      <c r="B654" s="20" t="str">
        <f>IF(Registro!$B654="","",Registro!$B654)</f>
        <v/>
      </c>
      <c r="C654" s="35" t="str">
        <f t="shared" si="20"/>
        <v/>
      </c>
      <c r="D654" s="23" t="str">
        <f>IF(Registro!$E654="","",IF(ISERROR(FIND("x",LOWER(Registro!$E654))),"-",IFERROR(SUMPRODUCT(--("0"&amp;LEFT(TRIM(MID(SUBSTITUTE(SUBSTITUTE(SUBSTITUTE(SUBSTITUTE(SUBSTITUTE(LOWER(Registro!$E654),"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",LEN(Registro!$E654))),({1,2,3,4,5,6,7,8,9,10,11,12,13,14,15,16,17,18,19,20,21,22,23,24,25,26,27,28,29,30}-1)*LEN(Registro!$E654)+1,LEN(Registro!$E654))),FIND("x",TRIM(MID(SUBSTITUTE(SUBSTITUTE(SUBSTITUTE(SUBSTITUTE(SUBSTITUTE(LOWER(Registro!$E654),"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",LEN(Registro!$E654))),({1,2,3,4,5,6,7,8,9,10,11,12,13,14,15,16,17,18,19,20,21,22,23,24,25,26,27,28,29,30}-1)*LEN(Registro!$E654)+1,LEN(Registro!$E654)))&amp;"x")-1))),"Revisar formato")))</f>
        <v/>
      </c>
      <c r="E654" s="24" t="str">
        <f>IF(Registro!$E654="","",IF(ISERROR(FIND("x",LOWER(Registro!$E654))),"-",IFERROR(SUMPRODUCT(--("0"&amp;LEFT(TRIM(MID(SUBSTITUTE(SUBSTITUTE(SUBSTITUTE(SUBSTITUTE(SUBSTITUTE(LOWER(Registro!$E654),"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",LEN(Registro!$E654))),({1,2,3,4,5,6,7,8,9,10,11,12,13,14,15,16,17,18,19,20,21,22,23,24,25,26,27,28,29,30}-1)*LEN(Registro!$E654)+1,LEN(Registro!$E654))),FIND("x",TRIM(MID(SUBSTITUTE(SUBSTITUTE(SUBSTITUTE(SUBSTITUTE(SUBSTITUTE(LOWER(Registro!$E654),"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",LEN(Registro!$E654))),({1,2,3,4,5,6,7,8,9,10,11,12,13,14,15,16,17,18,19,20,21,22,23,24,25,26,27,28,29,30}-1)*LEN(Registro!$E654)+1,LEN(Registro!$E654)))&amp;"x")-1)),--("0"&amp;MID(TRIM(MID(SUBSTITUTE(SUBSTITUTE(SUBSTITUTE(SUBSTITUTE(SUBSTITUTE(LOWER(Registro!$E654),"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",LEN(Registro!$E654))),({1,2,3,4,5,6,7,8,9,10,11,12,13,14,15,16,17,18,19,20,21,22,23,24,25,26,27,28,29,30}-1)*LEN(Registro!$E654)+1,LEN(Registro!$E654))),FIND("x",TRIM(MID(SUBSTITUTE(SUBSTITUTE(SUBSTITUTE(SUBSTITUTE(SUBSTITUTE(LOWER(Registro!$E654),"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",LEN(Registro!$E654))),({1,2,3,4,5,6,7,8,9,10,11,12,13,14,15,16,17,18,19,20,21,22,23,24,25,26,27,28,29,30}-1)*LEN(Registro!$E654)+1,LEN(Registro!$E654)))&amp;"x")+1,20))),"Revisar formato")))</f>
        <v/>
      </c>
      <c r="F654" s="23" t="str">
        <f>IF(Registro!$F654="","",IF(ISERROR(FIND("x",LOWER(Registro!$F654))),"-",IFERROR(SUMPRODUCT(--("0"&amp;LEFT(TRIM(MID(SUBSTITUTE(SUBSTITUTE(SUBSTITUTE(SUBSTITUTE(SUBSTITUTE(LOWER(Registro!$F654)," ",""),CHAR(10),"|"),";","|"),"+","|"),"|",REPT(" ",LEN(Registro!$F654))),({1,2,3,4,5,6,7,8,9,10,11,12,13,14,15,16,17,18,19,20,21,22,23,24,25,26,27,28,29,30}-1)*LEN(Registro!$F654)+1,LEN(Registro!$F654))),FIND("x",TRIM(MID(SUBSTITUTE(SUBSTITUTE(SUBSTITUTE(SUBSTITUTE(SUBSTITUTE(LOWER(Registro!$F654)," ",""),CHAR(10),"|"),";","|"),"+","|"),"|",REPT(" ",LEN(Registro!$F654))),({1,2,3,4,5,6,7,8,9,10,11,12,13,14,15,16,17,18,19,20,21,22,23,24,25,26,27,28,29,30}-1)*LEN(Registro!$F654)+1,LEN(Registro!$F654)))&amp;"x")-1))),"Revisar formato")))</f>
        <v/>
      </c>
      <c r="G654" s="24" t="str">
        <f>IF(Registro!$F654="","",IF(ISERROR(FIND("x",LOWER(Registro!$F654))),N(Registro!$G654),IFERROR(SUMPRODUCT(--("0"&amp;LEFT(TRIM(MID(SUBSTITUTE(SUBSTITUTE(SUBSTITUTE(SUBSTITUTE(SUBSTITUTE(LOWER(Registro!$F654)," ",""),CHAR(10),"|"),";","|"),"+","|"),"|",REPT(" ",LEN(Registro!$F654))),({1,2,3,4,5,6,7,8,9,10,11,12,13,14,15,16,17,18,19,20,21,22,23,24,25,26,27,28,29,30}-1)*LEN(Registro!$F654)+1,LEN(Registro!$F654))),FIND("x",TRIM(MID(SUBSTITUTE(SUBSTITUTE(SUBSTITUTE(SUBSTITUTE(SUBSTITUTE(LOWER(Registro!$F654)," ",""),CHAR(10),"|"),";","|"),"+","|"),"|",REPT(" ",LEN(Registro!$F654))),({1,2,3,4,5,6,7,8,9,10,11,12,13,14,15,16,17,18,19,20,21,22,23,24,25,26,27,28,29,30}-1)*LEN(Registro!$F654)+1,LEN(Registro!$F654)))&amp;"x")-1)),--("0"&amp;MID(TRIM(MID(SUBSTITUTE(SUBSTITUTE(SUBSTITUTE(SUBSTITUTE(SUBSTITUTE(LOWER(Registro!$F654)," ",""),CHAR(10),"|"),";","|"),"+","|"),"|",REPT(" ",LEN(Registro!$F654))),({1,2,3,4,5,6,7,8,9,10,11,12,13,14,15,16,17,18,19,20,21,22,23,24,25,26,27,28,29,30}-1)*LEN(Registro!$F654)+1,LEN(Registro!$F654))),FIND("x",TRIM(MID(SUBSTITUTE(SUBSTITUTE(SUBSTITUTE(SUBSTITUTE(SUBSTITUTE(LOWER(Registro!$F654)," ",""),CHAR(10),"|"),";","|"),"+","|"),"|",REPT(" ",LEN(Registro!$F654))),({1,2,3,4,5,6,7,8,9,10,11,12,13,14,15,16,17,18,19,20,21,22,23,24,25,26,27,28,29,30}-1)*LEN(Registro!$F654)+1,LEN(Registro!$F654)))&amp;"x")+1,20))),"Revisar formato")))</f>
        <v/>
      </c>
      <c r="H654" s="21" t="str">
        <f>IF(AND(Registro!$E654="",Registro!$F654=""),"",IF(NOT(AND(ISNUMBER(G654),ISNUMBER(Registro!$G654))),"",IF(G654&lt;Registro!$G654,"FALTA BOLETOS",IF(G654=Registro!$G654,"CONFORME","DIFERENCIA"))))</f>
        <v/>
      </c>
      <c r="I654" s="24" t="str">
        <f>IF(Registro!$H654="","",IFERROR(SUMPRODUCT(--("0"&amp;TRIM(RIGHT(SUBSTITUTE(TRIM(MID(SUBSTITUTE(SUBSTITUTE(Registro!$H654,";",CHAR(10)),CHAR(10),REPT(" ",LEN(Registro!$H654))),({1,2,3,4,5,6,7,8,9,10,11,12,13,14,15,16,17,18,19,20,21,22,23,24,25,26,27,28,29,30}-1)*LEN(Registro!$H654)+1,LEN(Registro!$H654)))," ",REPT(" ",50)),50)))),"Revisar formato"))</f>
        <v/>
      </c>
      <c r="J654" s="24" t="str">
        <f>IF(Registro!$I654="","",IFERROR(SUMPRODUCT(--("0"&amp;TRIM(RIGHT(SUBSTITUTE(TRIM(MID(SUBSTITUTE(SUBSTITUTE(Registro!$I654,";",CHAR(10)),CHAR(10),REPT(" ",LEN(Registro!$I654))),({1,2,3,4,5,6,7,8,9,10,11,12,13,14,15,16,17,18,19,20,21,22,23,24,25,26,27,28,29,30}-1)*LEN(Registro!$I654)+1,LEN(Registro!$I654)))," ",REPT(" ",50)),50)))),"Revisar formato"))</f>
        <v/>
      </c>
      <c r="K654" s="24" t="str">
        <f>IF(AND(Registro!$G654="",Registro!$H654=""),"",IF(AND(ISTEXT(I654),I654&lt;&gt;""),"Revisar formato",N(Registro!$G654)-N(I654)))</f>
        <v/>
      </c>
      <c r="L654" s="24" t="str">
        <f t="shared" si="21"/>
        <v/>
      </c>
      <c r="M654" s="36" t="str">
        <f>IF(AND(A654=Consulta!$B$3,C654=Consulta!$H$3),B654*10000+ROW(),"")</f>
        <v/>
      </c>
    </row>
    <row r="655" spans="1:13" x14ac:dyDescent="0.25">
      <c r="A655" s="21" t="str">
        <f>IF(Registro!$A655="","",Registro!$A655)</f>
        <v/>
      </c>
      <c r="B655" s="20" t="str">
        <f>IF(Registro!$B655="","",Registro!$B655)</f>
        <v/>
      </c>
      <c r="C655" s="35" t="str">
        <f t="shared" si="20"/>
        <v/>
      </c>
      <c r="D655" s="23" t="str">
        <f>IF(Registro!$E655="","",IF(ISERROR(FIND("x",LOWER(Registro!$E655))),"-",IFERROR(SUMPRODUCT(--("0"&amp;LEFT(TRIM(MID(SUBSTITUTE(SUBSTITUTE(SUBSTITUTE(SUBSTITUTE(SUBSTITUTE(LOWER(Registro!$E655),"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",LEN(Registro!$E655))),({1,2,3,4,5,6,7,8,9,10,11,12,13,14,15,16,17,18,19,20,21,22,23,24,25,26,27,28,29,30}-1)*LEN(Registro!$E655)+1,LEN(Registro!$E655))),FIND("x",TRIM(MID(SUBSTITUTE(SUBSTITUTE(SUBSTITUTE(SUBSTITUTE(SUBSTITUTE(LOWER(Registro!$E655),"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",LEN(Registro!$E655))),({1,2,3,4,5,6,7,8,9,10,11,12,13,14,15,16,17,18,19,20,21,22,23,24,25,26,27,28,29,30}-1)*LEN(Registro!$E655)+1,LEN(Registro!$E655)))&amp;"x")-1))),"Revisar formato")))</f>
        <v/>
      </c>
      <c r="E655" s="24" t="str">
        <f>IF(Registro!$E655="","",IF(ISERROR(FIND("x",LOWER(Registro!$E655))),"-",IFERROR(SUMPRODUCT(--("0"&amp;LEFT(TRIM(MID(SUBSTITUTE(SUBSTITUTE(SUBSTITUTE(SUBSTITUTE(SUBSTITUTE(LOWER(Registro!$E655),"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",LEN(Registro!$E655))),({1,2,3,4,5,6,7,8,9,10,11,12,13,14,15,16,17,18,19,20,21,22,23,24,25,26,27,28,29,30}-1)*LEN(Registro!$E655)+1,LEN(Registro!$E655))),FIND("x",TRIM(MID(SUBSTITUTE(SUBSTITUTE(SUBSTITUTE(SUBSTITUTE(SUBSTITUTE(LOWER(Registro!$E655),"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",LEN(Registro!$E655))),({1,2,3,4,5,6,7,8,9,10,11,12,13,14,15,16,17,18,19,20,21,22,23,24,25,26,27,28,29,30}-1)*LEN(Registro!$E655)+1,LEN(Registro!$E655)))&amp;"x")-1)),--("0"&amp;MID(TRIM(MID(SUBSTITUTE(SUBSTITUTE(SUBSTITUTE(SUBSTITUTE(SUBSTITUTE(LOWER(Registro!$E655),"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",LEN(Registro!$E655))),({1,2,3,4,5,6,7,8,9,10,11,12,13,14,15,16,17,18,19,20,21,22,23,24,25,26,27,28,29,30}-1)*LEN(Registro!$E655)+1,LEN(Registro!$E655))),FIND("x",TRIM(MID(SUBSTITUTE(SUBSTITUTE(SUBSTITUTE(SUBSTITUTE(SUBSTITUTE(LOWER(Registro!$E655),"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",LEN(Registro!$E655))),({1,2,3,4,5,6,7,8,9,10,11,12,13,14,15,16,17,18,19,20,21,22,23,24,25,26,27,28,29,30}-1)*LEN(Registro!$E655)+1,LEN(Registro!$E655)))&amp;"x")+1,20))),"Revisar formato")))</f>
        <v/>
      </c>
      <c r="F655" s="23" t="str">
        <f>IF(Registro!$F655="","",IF(ISERROR(FIND("x",LOWER(Registro!$F655))),"-",IFERROR(SUMPRODUCT(--("0"&amp;LEFT(TRIM(MID(SUBSTITUTE(SUBSTITUTE(SUBSTITUTE(SUBSTITUTE(SUBSTITUTE(LOWER(Registro!$F655)," ",""),CHAR(10),"|"),";","|"),"+","|"),"|",REPT(" ",LEN(Registro!$F655))),({1,2,3,4,5,6,7,8,9,10,11,12,13,14,15,16,17,18,19,20,21,22,23,24,25,26,27,28,29,30}-1)*LEN(Registro!$F655)+1,LEN(Registro!$F655))),FIND("x",TRIM(MID(SUBSTITUTE(SUBSTITUTE(SUBSTITUTE(SUBSTITUTE(SUBSTITUTE(LOWER(Registro!$F655)," ",""),CHAR(10),"|"),";","|"),"+","|"),"|",REPT(" ",LEN(Registro!$F655))),({1,2,3,4,5,6,7,8,9,10,11,12,13,14,15,16,17,18,19,20,21,22,23,24,25,26,27,28,29,30}-1)*LEN(Registro!$F655)+1,LEN(Registro!$F655)))&amp;"x")-1))),"Revisar formato")))</f>
        <v/>
      </c>
      <c r="G655" s="24" t="str">
        <f>IF(Registro!$F655="","",IF(ISERROR(FIND("x",LOWER(Registro!$F655))),N(Registro!$G655),IFERROR(SUMPRODUCT(--("0"&amp;LEFT(TRIM(MID(SUBSTITUTE(SUBSTITUTE(SUBSTITUTE(SUBSTITUTE(SUBSTITUTE(LOWER(Registro!$F655)," ",""),CHAR(10),"|"),";","|"),"+","|"),"|",REPT(" ",LEN(Registro!$F655))),({1,2,3,4,5,6,7,8,9,10,11,12,13,14,15,16,17,18,19,20,21,22,23,24,25,26,27,28,29,30}-1)*LEN(Registro!$F655)+1,LEN(Registro!$F655))),FIND("x",TRIM(MID(SUBSTITUTE(SUBSTITUTE(SUBSTITUTE(SUBSTITUTE(SUBSTITUTE(LOWER(Registro!$F655)," ",""),CHAR(10),"|"),";","|"),"+","|"),"|",REPT(" ",LEN(Registro!$F655))),({1,2,3,4,5,6,7,8,9,10,11,12,13,14,15,16,17,18,19,20,21,22,23,24,25,26,27,28,29,30}-1)*LEN(Registro!$F655)+1,LEN(Registro!$F655)))&amp;"x")-1)),--("0"&amp;MID(TRIM(MID(SUBSTITUTE(SUBSTITUTE(SUBSTITUTE(SUBSTITUTE(SUBSTITUTE(LOWER(Registro!$F655)," ",""),CHAR(10),"|"),";","|"),"+","|"),"|",REPT(" ",LEN(Registro!$F655))),({1,2,3,4,5,6,7,8,9,10,11,12,13,14,15,16,17,18,19,20,21,22,23,24,25,26,27,28,29,30}-1)*LEN(Registro!$F655)+1,LEN(Registro!$F655))),FIND("x",TRIM(MID(SUBSTITUTE(SUBSTITUTE(SUBSTITUTE(SUBSTITUTE(SUBSTITUTE(LOWER(Registro!$F655)," ",""),CHAR(10),"|"),";","|"),"+","|"),"|",REPT(" ",LEN(Registro!$F655))),({1,2,3,4,5,6,7,8,9,10,11,12,13,14,15,16,17,18,19,20,21,22,23,24,25,26,27,28,29,30}-1)*LEN(Registro!$F655)+1,LEN(Registro!$F655)))&amp;"x")+1,20))),"Revisar formato")))</f>
        <v/>
      </c>
      <c r="H655" s="21" t="str">
        <f>IF(AND(Registro!$E655="",Registro!$F655=""),"",IF(NOT(AND(ISNUMBER(G655),ISNUMBER(Registro!$G655))),"",IF(G655&lt;Registro!$G655,"FALTA BOLETOS",IF(G655=Registro!$G655,"CONFORME","DIFERENCIA"))))</f>
        <v/>
      </c>
      <c r="I655" s="24" t="str">
        <f>IF(Registro!$H655="","",IFERROR(SUMPRODUCT(--("0"&amp;TRIM(RIGHT(SUBSTITUTE(TRIM(MID(SUBSTITUTE(SUBSTITUTE(Registro!$H655,";",CHAR(10)),CHAR(10),REPT(" ",LEN(Registro!$H655))),({1,2,3,4,5,6,7,8,9,10,11,12,13,14,15,16,17,18,19,20,21,22,23,24,25,26,27,28,29,30}-1)*LEN(Registro!$H655)+1,LEN(Registro!$H655)))," ",REPT(" ",50)),50)))),"Revisar formato"))</f>
        <v/>
      </c>
      <c r="J655" s="24" t="str">
        <f>IF(Registro!$I655="","",IFERROR(SUMPRODUCT(--("0"&amp;TRIM(RIGHT(SUBSTITUTE(TRIM(MID(SUBSTITUTE(SUBSTITUTE(Registro!$I655,";",CHAR(10)),CHAR(10),REPT(" ",LEN(Registro!$I655))),({1,2,3,4,5,6,7,8,9,10,11,12,13,14,15,16,17,18,19,20,21,22,23,24,25,26,27,28,29,30}-1)*LEN(Registro!$I655)+1,LEN(Registro!$I655)))," ",REPT(" ",50)),50)))),"Revisar formato"))</f>
        <v/>
      </c>
      <c r="K655" s="24" t="str">
        <f>IF(AND(Registro!$G655="",Registro!$H655=""),"",IF(AND(ISTEXT(I655),I655&lt;&gt;""),"Revisar formato",N(Registro!$G655)-N(I655)))</f>
        <v/>
      </c>
      <c r="L655" s="24" t="str">
        <f t="shared" si="21"/>
        <v/>
      </c>
      <c r="M655" s="36" t="str">
        <f>IF(AND(A655=Consulta!$B$3,C655=Consulta!$H$3),B655*10000+ROW(),"")</f>
        <v/>
      </c>
    </row>
    <row r="656" spans="1:13" x14ac:dyDescent="0.25">
      <c r="A656" s="21" t="str">
        <f>IF(Registro!$A656="","",Registro!$A656)</f>
        <v/>
      </c>
      <c r="B656" s="20" t="str">
        <f>IF(Registro!$B656="","",Registro!$B656)</f>
        <v/>
      </c>
      <c r="C656" s="35" t="str">
        <f t="shared" si="20"/>
        <v/>
      </c>
      <c r="D656" s="23" t="str">
        <f>IF(Registro!$E656="","",IF(ISERROR(FIND("x",LOWER(Registro!$E656))),"-",IFERROR(SUMPRODUCT(--("0"&amp;LEFT(TRIM(MID(SUBSTITUTE(SUBSTITUTE(SUBSTITUTE(SUBSTITUTE(SUBSTITUTE(LOWER(Registro!$E656),"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",LEN(Registro!$E656))),({1,2,3,4,5,6,7,8,9,10,11,12,13,14,15,16,17,18,19,20,21,22,23,24,25,26,27,28,29,30}-1)*LEN(Registro!$E656)+1,LEN(Registro!$E656))),FIND("x",TRIM(MID(SUBSTITUTE(SUBSTITUTE(SUBSTITUTE(SUBSTITUTE(SUBSTITUTE(LOWER(Registro!$E656),"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",LEN(Registro!$E656))),({1,2,3,4,5,6,7,8,9,10,11,12,13,14,15,16,17,18,19,20,21,22,23,24,25,26,27,28,29,30}-1)*LEN(Registro!$E656)+1,LEN(Registro!$E656)))&amp;"x")-1))),"Revisar formato")))</f>
        <v/>
      </c>
      <c r="E656" s="24" t="str">
        <f>IF(Registro!$E656="","",IF(ISERROR(FIND("x",LOWER(Registro!$E656))),"-",IFERROR(SUMPRODUCT(--("0"&amp;LEFT(TRIM(MID(SUBSTITUTE(SUBSTITUTE(SUBSTITUTE(SUBSTITUTE(SUBSTITUTE(LOWER(Registro!$E656),"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",LEN(Registro!$E656))),({1,2,3,4,5,6,7,8,9,10,11,12,13,14,15,16,17,18,19,20,21,22,23,24,25,26,27,28,29,30}-1)*LEN(Registro!$E656)+1,LEN(Registro!$E656))),FIND("x",TRIM(MID(SUBSTITUTE(SUBSTITUTE(SUBSTITUTE(SUBSTITUTE(SUBSTITUTE(LOWER(Registro!$E656),"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",LEN(Registro!$E656))),({1,2,3,4,5,6,7,8,9,10,11,12,13,14,15,16,17,18,19,20,21,22,23,24,25,26,27,28,29,30}-1)*LEN(Registro!$E656)+1,LEN(Registro!$E656)))&amp;"x")-1)),--("0"&amp;MID(TRIM(MID(SUBSTITUTE(SUBSTITUTE(SUBSTITUTE(SUBSTITUTE(SUBSTITUTE(LOWER(Registro!$E656),"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",LEN(Registro!$E656))),({1,2,3,4,5,6,7,8,9,10,11,12,13,14,15,16,17,18,19,20,21,22,23,24,25,26,27,28,29,30}-1)*LEN(Registro!$E656)+1,LEN(Registro!$E656))),FIND("x",TRIM(MID(SUBSTITUTE(SUBSTITUTE(SUBSTITUTE(SUBSTITUTE(SUBSTITUTE(LOWER(Registro!$E656),"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",LEN(Registro!$E656))),({1,2,3,4,5,6,7,8,9,10,11,12,13,14,15,16,17,18,19,20,21,22,23,24,25,26,27,28,29,30}-1)*LEN(Registro!$E656)+1,LEN(Registro!$E656)))&amp;"x")+1,20))),"Revisar formato")))</f>
        <v/>
      </c>
      <c r="F656" s="23" t="str">
        <f>IF(Registro!$F656="","",IF(ISERROR(FIND("x",LOWER(Registro!$F656))),"-",IFERROR(SUMPRODUCT(--("0"&amp;LEFT(TRIM(MID(SUBSTITUTE(SUBSTITUTE(SUBSTITUTE(SUBSTITUTE(SUBSTITUTE(LOWER(Registro!$F656)," ",""),CHAR(10),"|"),";","|"),"+","|"),"|",REPT(" ",LEN(Registro!$F656))),({1,2,3,4,5,6,7,8,9,10,11,12,13,14,15,16,17,18,19,20,21,22,23,24,25,26,27,28,29,30}-1)*LEN(Registro!$F656)+1,LEN(Registro!$F656))),FIND("x",TRIM(MID(SUBSTITUTE(SUBSTITUTE(SUBSTITUTE(SUBSTITUTE(SUBSTITUTE(LOWER(Registro!$F656)," ",""),CHAR(10),"|"),";","|"),"+","|"),"|",REPT(" ",LEN(Registro!$F656))),({1,2,3,4,5,6,7,8,9,10,11,12,13,14,15,16,17,18,19,20,21,22,23,24,25,26,27,28,29,30}-1)*LEN(Registro!$F656)+1,LEN(Registro!$F656)))&amp;"x")-1))),"Revisar formato")))</f>
        <v/>
      </c>
      <c r="G656" s="24" t="str">
        <f>IF(Registro!$F656="","",IF(ISERROR(FIND("x",LOWER(Registro!$F656))),N(Registro!$G656),IFERROR(SUMPRODUCT(--("0"&amp;LEFT(TRIM(MID(SUBSTITUTE(SUBSTITUTE(SUBSTITUTE(SUBSTITUTE(SUBSTITUTE(LOWER(Registro!$F656)," ",""),CHAR(10),"|"),";","|"),"+","|"),"|",REPT(" ",LEN(Registro!$F656))),({1,2,3,4,5,6,7,8,9,10,11,12,13,14,15,16,17,18,19,20,21,22,23,24,25,26,27,28,29,30}-1)*LEN(Registro!$F656)+1,LEN(Registro!$F656))),FIND("x",TRIM(MID(SUBSTITUTE(SUBSTITUTE(SUBSTITUTE(SUBSTITUTE(SUBSTITUTE(LOWER(Registro!$F656)," ",""),CHAR(10),"|"),";","|"),"+","|"),"|",REPT(" ",LEN(Registro!$F656))),({1,2,3,4,5,6,7,8,9,10,11,12,13,14,15,16,17,18,19,20,21,22,23,24,25,26,27,28,29,30}-1)*LEN(Registro!$F656)+1,LEN(Registro!$F656)))&amp;"x")-1)),--("0"&amp;MID(TRIM(MID(SUBSTITUTE(SUBSTITUTE(SUBSTITUTE(SUBSTITUTE(SUBSTITUTE(LOWER(Registro!$F656)," ",""),CHAR(10),"|"),";","|"),"+","|"),"|",REPT(" ",LEN(Registro!$F656))),({1,2,3,4,5,6,7,8,9,10,11,12,13,14,15,16,17,18,19,20,21,22,23,24,25,26,27,28,29,30}-1)*LEN(Registro!$F656)+1,LEN(Registro!$F656))),FIND("x",TRIM(MID(SUBSTITUTE(SUBSTITUTE(SUBSTITUTE(SUBSTITUTE(SUBSTITUTE(LOWER(Registro!$F656)," ",""),CHAR(10),"|"),";","|"),"+","|"),"|",REPT(" ",LEN(Registro!$F656))),({1,2,3,4,5,6,7,8,9,10,11,12,13,14,15,16,17,18,19,20,21,22,23,24,25,26,27,28,29,30}-1)*LEN(Registro!$F656)+1,LEN(Registro!$F656)))&amp;"x")+1,20))),"Revisar formato")))</f>
        <v/>
      </c>
      <c r="H656" s="21" t="str">
        <f>IF(AND(Registro!$E656="",Registro!$F656=""),"",IF(NOT(AND(ISNUMBER(G656),ISNUMBER(Registro!$G656))),"",IF(G656&lt;Registro!$G656,"FALTA BOLETOS",IF(G656=Registro!$G656,"CONFORME","DIFERENCIA"))))</f>
        <v/>
      </c>
      <c r="I656" s="24" t="str">
        <f>IF(Registro!$H656="","",IFERROR(SUMPRODUCT(--("0"&amp;TRIM(RIGHT(SUBSTITUTE(TRIM(MID(SUBSTITUTE(SUBSTITUTE(Registro!$H656,";",CHAR(10)),CHAR(10),REPT(" ",LEN(Registro!$H656))),({1,2,3,4,5,6,7,8,9,10,11,12,13,14,15,16,17,18,19,20,21,22,23,24,25,26,27,28,29,30}-1)*LEN(Registro!$H656)+1,LEN(Registro!$H656)))," ",REPT(" ",50)),50)))),"Revisar formato"))</f>
        <v/>
      </c>
      <c r="J656" s="24" t="str">
        <f>IF(Registro!$I656="","",IFERROR(SUMPRODUCT(--("0"&amp;TRIM(RIGHT(SUBSTITUTE(TRIM(MID(SUBSTITUTE(SUBSTITUTE(Registro!$I656,";",CHAR(10)),CHAR(10),REPT(" ",LEN(Registro!$I656))),({1,2,3,4,5,6,7,8,9,10,11,12,13,14,15,16,17,18,19,20,21,22,23,24,25,26,27,28,29,30}-1)*LEN(Registro!$I656)+1,LEN(Registro!$I656)))," ",REPT(" ",50)),50)))),"Revisar formato"))</f>
        <v/>
      </c>
      <c r="K656" s="24" t="str">
        <f>IF(AND(Registro!$G656="",Registro!$H656=""),"",IF(AND(ISTEXT(I656),I656&lt;&gt;""),"Revisar formato",N(Registro!$G656)-N(I656)))</f>
        <v/>
      </c>
      <c r="L656" s="24" t="str">
        <f t="shared" si="21"/>
        <v/>
      </c>
      <c r="M656" s="36" t="str">
        <f>IF(AND(A656=Consulta!$B$3,C656=Consulta!$H$3),B656*10000+ROW(),"")</f>
        <v/>
      </c>
    </row>
    <row r="657" spans="1:13" x14ac:dyDescent="0.25">
      <c r="A657" s="21" t="str">
        <f>IF(Registro!$A657="","",Registro!$A657)</f>
        <v/>
      </c>
      <c r="B657" s="20" t="str">
        <f>IF(Registro!$B657="","",Registro!$B657)</f>
        <v/>
      </c>
      <c r="C657" s="35" t="str">
        <f t="shared" si="20"/>
        <v/>
      </c>
      <c r="D657" s="23" t="str">
        <f>IF(Registro!$E657="","",IF(ISERROR(FIND("x",LOWER(Registro!$E657))),"-",IFERROR(SUMPRODUCT(--("0"&amp;LEFT(TRIM(MID(SUBSTITUTE(SUBSTITUTE(SUBSTITUTE(SUBSTITUTE(SUBSTITUTE(LOWER(Registro!$E657),"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",LEN(Registro!$E657))),({1,2,3,4,5,6,7,8,9,10,11,12,13,14,15,16,17,18,19,20,21,22,23,24,25,26,27,28,29,30}-1)*LEN(Registro!$E657)+1,LEN(Registro!$E657))),FIND("x",TRIM(MID(SUBSTITUTE(SUBSTITUTE(SUBSTITUTE(SUBSTITUTE(SUBSTITUTE(LOWER(Registro!$E657),"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",LEN(Registro!$E657))),({1,2,3,4,5,6,7,8,9,10,11,12,13,14,15,16,17,18,19,20,21,22,23,24,25,26,27,28,29,30}-1)*LEN(Registro!$E657)+1,LEN(Registro!$E657)))&amp;"x")-1))),"Revisar formato")))</f>
        <v/>
      </c>
      <c r="E657" s="24" t="str">
        <f>IF(Registro!$E657="","",IF(ISERROR(FIND("x",LOWER(Registro!$E657))),"-",IFERROR(SUMPRODUCT(--("0"&amp;LEFT(TRIM(MID(SUBSTITUTE(SUBSTITUTE(SUBSTITUTE(SUBSTITUTE(SUBSTITUTE(LOWER(Registro!$E657),"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",LEN(Registro!$E657))),({1,2,3,4,5,6,7,8,9,10,11,12,13,14,15,16,17,18,19,20,21,22,23,24,25,26,27,28,29,30}-1)*LEN(Registro!$E657)+1,LEN(Registro!$E657))),FIND("x",TRIM(MID(SUBSTITUTE(SUBSTITUTE(SUBSTITUTE(SUBSTITUTE(SUBSTITUTE(LOWER(Registro!$E657),"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",LEN(Registro!$E657))),({1,2,3,4,5,6,7,8,9,10,11,12,13,14,15,16,17,18,19,20,21,22,23,24,25,26,27,28,29,30}-1)*LEN(Registro!$E657)+1,LEN(Registro!$E657)))&amp;"x")-1)),--("0"&amp;MID(TRIM(MID(SUBSTITUTE(SUBSTITUTE(SUBSTITUTE(SUBSTITUTE(SUBSTITUTE(LOWER(Registro!$E657),"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",LEN(Registro!$E657))),({1,2,3,4,5,6,7,8,9,10,11,12,13,14,15,16,17,18,19,20,21,22,23,24,25,26,27,28,29,30}-1)*LEN(Registro!$E657)+1,LEN(Registro!$E657))),FIND("x",TRIM(MID(SUBSTITUTE(SUBSTITUTE(SUBSTITUTE(SUBSTITUTE(SUBSTITUTE(LOWER(Registro!$E657),"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",LEN(Registro!$E657))),({1,2,3,4,5,6,7,8,9,10,11,12,13,14,15,16,17,18,19,20,21,22,23,24,25,26,27,28,29,30}-1)*LEN(Registro!$E657)+1,LEN(Registro!$E657)))&amp;"x")+1,20))),"Revisar formato")))</f>
        <v/>
      </c>
      <c r="F657" s="23" t="str">
        <f>IF(Registro!$F657="","",IF(ISERROR(FIND("x",LOWER(Registro!$F657))),"-",IFERROR(SUMPRODUCT(--("0"&amp;LEFT(TRIM(MID(SUBSTITUTE(SUBSTITUTE(SUBSTITUTE(SUBSTITUTE(SUBSTITUTE(LOWER(Registro!$F657)," ",""),CHAR(10),"|"),";","|"),"+","|"),"|",REPT(" ",LEN(Registro!$F657))),({1,2,3,4,5,6,7,8,9,10,11,12,13,14,15,16,17,18,19,20,21,22,23,24,25,26,27,28,29,30}-1)*LEN(Registro!$F657)+1,LEN(Registro!$F657))),FIND("x",TRIM(MID(SUBSTITUTE(SUBSTITUTE(SUBSTITUTE(SUBSTITUTE(SUBSTITUTE(LOWER(Registro!$F657)," ",""),CHAR(10),"|"),";","|"),"+","|"),"|",REPT(" ",LEN(Registro!$F657))),({1,2,3,4,5,6,7,8,9,10,11,12,13,14,15,16,17,18,19,20,21,22,23,24,25,26,27,28,29,30}-1)*LEN(Registro!$F657)+1,LEN(Registro!$F657)))&amp;"x")-1))),"Revisar formato")))</f>
        <v/>
      </c>
      <c r="G657" s="24" t="str">
        <f>IF(Registro!$F657="","",IF(ISERROR(FIND("x",LOWER(Registro!$F657))),N(Registro!$G657),IFERROR(SUMPRODUCT(--("0"&amp;LEFT(TRIM(MID(SUBSTITUTE(SUBSTITUTE(SUBSTITUTE(SUBSTITUTE(SUBSTITUTE(LOWER(Registro!$F657)," ",""),CHAR(10),"|"),";","|"),"+","|"),"|",REPT(" ",LEN(Registro!$F657))),({1,2,3,4,5,6,7,8,9,10,11,12,13,14,15,16,17,18,19,20,21,22,23,24,25,26,27,28,29,30}-1)*LEN(Registro!$F657)+1,LEN(Registro!$F657))),FIND("x",TRIM(MID(SUBSTITUTE(SUBSTITUTE(SUBSTITUTE(SUBSTITUTE(SUBSTITUTE(LOWER(Registro!$F657)," ",""),CHAR(10),"|"),";","|"),"+","|"),"|",REPT(" ",LEN(Registro!$F657))),({1,2,3,4,5,6,7,8,9,10,11,12,13,14,15,16,17,18,19,20,21,22,23,24,25,26,27,28,29,30}-1)*LEN(Registro!$F657)+1,LEN(Registro!$F657)))&amp;"x")-1)),--("0"&amp;MID(TRIM(MID(SUBSTITUTE(SUBSTITUTE(SUBSTITUTE(SUBSTITUTE(SUBSTITUTE(LOWER(Registro!$F657)," ",""),CHAR(10),"|"),";","|"),"+","|"),"|",REPT(" ",LEN(Registro!$F657))),({1,2,3,4,5,6,7,8,9,10,11,12,13,14,15,16,17,18,19,20,21,22,23,24,25,26,27,28,29,30}-1)*LEN(Registro!$F657)+1,LEN(Registro!$F657))),FIND("x",TRIM(MID(SUBSTITUTE(SUBSTITUTE(SUBSTITUTE(SUBSTITUTE(SUBSTITUTE(LOWER(Registro!$F657)," ",""),CHAR(10),"|"),";","|"),"+","|"),"|",REPT(" ",LEN(Registro!$F657))),({1,2,3,4,5,6,7,8,9,10,11,12,13,14,15,16,17,18,19,20,21,22,23,24,25,26,27,28,29,30}-1)*LEN(Registro!$F657)+1,LEN(Registro!$F657)))&amp;"x")+1,20))),"Revisar formato")))</f>
        <v/>
      </c>
      <c r="H657" s="21" t="str">
        <f>IF(AND(Registro!$E657="",Registro!$F657=""),"",IF(NOT(AND(ISNUMBER(G657),ISNUMBER(Registro!$G657))),"",IF(G657&lt;Registro!$G657,"FALTA BOLETOS",IF(G657=Registro!$G657,"CONFORME","DIFERENCIA"))))</f>
        <v/>
      </c>
      <c r="I657" s="24" t="str">
        <f>IF(Registro!$H657="","",IFERROR(SUMPRODUCT(--("0"&amp;TRIM(RIGHT(SUBSTITUTE(TRIM(MID(SUBSTITUTE(SUBSTITUTE(Registro!$H657,";",CHAR(10)),CHAR(10),REPT(" ",LEN(Registro!$H657))),({1,2,3,4,5,6,7,8,9,10,11,12,13,14,15,16,17,18,19,20,21,22,23,24,25,26,27,28,29,30}-1)*LEN(Registro!$H657)+1,LEN(Registro!$H657)))," ",REPT(" ",50)),50)))),"Revisar formato"))</f>
        <v/>
      </c>
      <c r="J657" s="24" t="str">
        <f>IF(Registro!$I657="","",IFERROR(SUMPRODUCT(--("0"&amp;TRIM(RIGHT(SUBSTITUTE(TRIM(MID(SUBSTITUTE(SUBSTITUTE(Registro!$I657,";",CHAR(10)),CHAR(10),REPT(" ",LEN(Registro!$I657))),({1,2,3,4,5,6,7,8,9,10,11,12,13,14,15,16,17,18,19,20,21,22,23,24,25,26,27,28,29,30}-1)*LEN(Registro!$I657)+1,LEN(Registro!$I657)))," ",REPT(" ",50)),50)))),"Revisar formato"))</f>
        <v/>
      </c>
      <c r="K657" s="24" t="str">
        <f>IF(AND(Registro!$G657="",Registro!$H657=""),"",IF(AND(ISTEXT(I657),I657&lt;&gt;""),"Revisar formato",N(Registro!$G657)-N(I657)))</f>
        <v/>
      </c>
      <c r="L657" s="24" t="str">
        <f t="shared" si="21"/>
        <v/>
      </c>
      <c r="M657" s="36" t="str">
        <f>IF(AND(A657=Consulta!$B$3,C657=Consulta!$H$3),B657*10000+ROW(),"")</f>
        <v/>
      </c>
    </row>
    <row r="658" spans="1:13" x14ac:dyDescent="0.25">
      <c r="A658" s="21" t="str">
        <f>IF(Registro!$A658="","",Registro!$A658)</f>
        <v/>
      </c>
      <c r="B658" s="20" t="str">
        <f>IF(Registro!$B658="","",Registro!$B658)</f>
        <v/>
      </c>
      <c r="C658" s="35" t="str">
        <f t="shared" si="20"/>
        <v/>
      </c>
      <c r="D658" s="23" t="str">
        <f>IF(Registro!$E658="","",IF(ISERROR(FIND("x",LOWER(Registro!$E658))),"-",IFERROR(SUMPRODUCT(--("0"&amp;LEFT(TRIM(MID(SUBSTITUTE(SUBSTITUTE(SUBSTITUTE(SUBSTITUTE(SUBSTITUTE(LOWER(Registro!$E658),"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",LEN(Registro!$E658))),({1,2,3,4,5,6,7,8,9,10,11,12,13,14,15,16,17,18,19,20,21,22,23,24,25,26,27,28,29,30}-1)*LEN(Registro!$E658)+1,LEN(Registro!$E658))),FIND("x",TRIM(MID(SUBSTITUTE(SUBSTITUTE(SUBSTITUTE(SUBSTITUTE(SUBSTITUTE(LOWER(Registro!$E658),"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",LEN(Registro!$E658))),({1,2,3,4,5,6,7,8,9,10,11,12,13,14,15,16,17,18,19,20,21,22,23,24,25,26,27,28,29,30}-1)*LEN(Registro!$E658)+1,LEN(Registro!$E658)))&amp;"x")-1))),"Revisar formato")))</f>
        <v/>
      </c>
      <c r="E658" s="24" t="str">
        <f>IF(Registro!$E658="","",IF(ISERROR(FIND("x",LOWER(Registro!$E658))),"-",IFERROR(SUMPRODUCT(--("0"&amp;LEFT(TRIM(MID(SUBSTITUTE(SUBSTITUTE(SUBSTITUTE(SUBSTITUTE(SUBSTITUTE(LOWER(Registro!$E658),"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",LEN(Registro!$E658))),({1,2,3,4,5,6,7,8,9,10,11,12,13,14,15,16,17,18,19,20,21,22,23,24,25,26,27,28,29,30}-1)*LEN(Registro!$E658)+1,LEN(Registro!$E658))),FIND("x",TRIM(MID(SUBSTITUTE(SUBSTITUTE(SUBSTITUTE(SUBSTITUTE(SUBSTITUTE(LOWER(Registro!$E658),"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",LEN(Registro!$E658))),({1,2,3,4,5,6,7,8,9,10,11,12,13,14,15,16,17,18,19,20,21,22,23,24,25,26,27,28,29,30}-1)*LEN(Registro!$E658)+1,LEN(Registro!$E658)))&amp;"x")-1)),--("0"&amp;MID(TRIM(MID(SUBSTITUTE(SUBSTITUTE(SUBSTITUTE(SUBSTITUTE(SUBSTITUTE(LOWER(Registro!$E658),"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",LEN(Registro!$E658))),({1,2,3,4,5,6,7,8,9,10,11,12,13,14,15,16,17,18,19,20,21,22,23,24,25,26,27,28,29,30}-1)*LEN(Registro!$E658)+1,LEN(Registro!$E658))),FIND("x",TRIM(MID(SUBSTITUTE(SUBSTITUTE(SUBSTITUTE(SUBSTITUTE(SUBSTITUTE(LOWER(Registro!$E658),"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",LEN(Registro!$E658))),({1,2,3,4,5,6,7,8,9,10,11,12,13,14,15,16,17,18,19,20,21,22,23,24,25,26,27,28,29,30}-1)*LEN(Registro!$E658)+1,LEN(Registro!$E658)))&amp;"x")+1,20))),"Revisar formato")))</f>
        <v/>
      </c>
      <c r="F658" s="23" t="str">
        <f>IF(Registro!$F658="","",IF(ISERROR(FIND("x",LOWER(Registro!$F658))),"-",IFERROR(SUMPRODUCT(--("0"&amp;LEFT(TRIM(MID(SUBSTITUTE(SUBSTITUTE(SUBSTITUTE(SUBSTITUTE(SUBSTITUTE(LOWER(Registro!$F658)," ",""),CHAR(10),"|"),";","|"),"+","|"),"|",REPT(" ",LEN(Registro!$F658))),({1,2,3,4,5,6,7,8,9,10,11,12,13,14,15,16,17,18,19,20,21,22,23,24,25,26,27,28,29,30}-1)*LEN(Registro!$F658)+1,LEN(Registro!$F658))),FIND("x",TRIM(MID(SUBSTITUTE(SUBSTITUTE(SUBSTITUTE(SUBSTITUTE(SUBSTITUTE(LOWER(Registro!$F658)," ",""),CHAR(10),"|"),";","|"),"+","|"),"|",REPT(" ",LEN(Registro!$F658))),({1,2,3,4,5,6,7,8,9,10,11,12,13,14,15,16,17,18,19,20,21,22,23,24,25,26,27,28,29,30}-1)*LEN(Registro!$F658)+1,LEN(Registro!$F658)))&amp;"x")-1))),"Revisar formato")))</f>
        <v/>
      </c>
      <c r="G658" s="24" t="str">
        <f>IF(Registro!$F658="","",IF(ISERROR(FIND("x",LOWER(Registro!$F658))),N(Registro!$G658),IFERROR(SUMPRODUCT(--("0"&amp;LEFT(TRIM(MID(SUBSTITUTE(SUBSTITUTE(SUBSTITUTE(SUBSTITUTE(SUBSTITUTE(LOWER(Registro!$F658)," ",""),CHAR(10),"|"),";","|"),"+","|"),"|",REPT(" ",LEN(Registro!$F658))),({1,2,3,4,5,6,7,8,9,10,11,12,13,14,15,16,17,18,19,20,21,22,23,24,25,26,27,28,29,30}-1)*LEN(Registro!$F658)+1,LEN(Registro!$F658))),FIND("x",TRIM(MID(SUBSTITUTE(SUBSTITUTE(SUBSTITUTE(SUBSTITUTE(SUBSTITUTE(LOWER(Registro!$F658)," ",""),CHAR(10),"|"),";","|"),"+","|"),"|",REPT(" ",LEN(Registro!$F658))),({1,2,3,4,5,6,7,8,9,10,11,12,13,14,15,16,17,18,19,20,21,22,23,24,25,26,27,28,29,30}-1)*LEN(Registro!$F658)+1,LEN(Registro!$F658)))&amp;"x")-1)),--("0"&amp;MID(TRIM(MID(SUBSTITUTE(SUBSTITUTE(SUBSTITUTE(SUBSTITUTE(SUBSTITUTE(LOWER(Registro!$F658)," ",""),CHAR(10),"|"),";","|"),"+","|"),"|",REPT(" ",LEN(Registro!$F658))),({1,2,3,4,5,6,7,8,9,10,11,12,13,14,15,16,17,18,19,20,21,22,23,24,25,26,27,28,29,30}-1)*LEN(Registro!$F658)+1,LEN(Registro!$F658))),FIND("x",TRIM(MID(SUBSTITUTE(SUBSTITUTE(SUBSTITUTE(SUBSTITUTE(SUBSTITUTE(LOWER(Registro!$F658)," ",""),CHAR(10),"|"),";","|"),"+","|"),"|",REPT(" ",LEN(Registro!$F658))),({1,2,3,4,5,6,7,8,9,10,11,12,13,14,15,16,17,18,19,20,21,22,23,24,25,26,27,28,29,30}-1)*LEN(Registro!$F658)+1,LEN(Registro!$F658)))&amp;"x")+1,20))),"Revisar formato")))</f>
        <v/>
      </c>
      <c r="H658" s="21" t="str">
        <f>IF(AND(Registro!$E658="",Registro!$F658=""),"",IF(NOT(AND(ISNUMBER(G658),ISNUMBER(Registro!$G658))),"",IF(G658&lt;Registro!$G658,"FALTA BOLETOS",IF(G658=Registro!$G658,"CONFORME","DIFERENCIA"))))</f>
        <v/>
      </c>
      <c r="I658" s="24" t="str">
        <f>IF(Registro!$H658="","",IFERROR(SUMPRODUCT(--("0"&amp;TRIM(RIGHT(SUBSTITUTE(TRIM(MID(SUBSTITUTE(SUBSTITUTE(Registro!$H658,";",CHAR(10)),CHAR(10),REPT(" ",LEN(Registro!$H658))),({1,2,3,4,5,6,7,8,9,10,11,12,13,14,15,16,17,18,19,20,21,22,23,24,25,26,27,28,29,30}-1)*LEN(Registro!$H658)+1,LEN(Registro!$H658)))," ",REPT(" ",50)),50)))),"Revisar formato"))</f>
        <v/>
      </c>
      <c r="J658" s="24" t="str">
        <f>IF(Registro!$I658="","",IFERROR(SUMPRODUCT(--("0"&amp;TRIM(RIGHT(SUBSTITUTE(TRIM(MID(SUBSTITUTE(SUBSTITUTE(Registro!$I658,";",CHAR(10)),CHAR(10),REPT(" ",LEN(Registro!$I658))),({1,2,3,4,5,6,7,8,9,10,11,12,13,14,15,16,17,18,19,20,21,22,23,24,25,26,27,28,29,30}-1)*LEN(Registro!$I658)+1,LEN(Registro!$I658)))," ",REPT(" ",50)),50)))),"Revisar formato"))</f>
        <v/>
      </c>
      <c r="K658" s="24" t="str">
        <f>IF(AND(Registro!$G658="",Registro!$H658=""),"",IF(AND(ISTEXT(I658),I658&lt;&gt;""),"Revisar formato",N(Registro!$G658)-N(I658)))</f>
        <v/>
      </c>
      <c r="L658" s="24" t="str">
        <f t="shared" si="21"/>
        <v/>
      </c>
      <c r="M658" s="36" t="str">
        <f>IF(AND(A658=Consulta!$B$3,C658=Consulta!$H$3),B658*10000+ROW(),"")</f>
        <v/>
      </c>
    </row>
    <row r="659" spans="1:13" x14ac:dyDescent="0.25">
      <c r="A659" s="21" t="str">
        <f>IF(Registro!$A659="","",Registro!$A659)</f>
        <v/>
      </c>
      <c r="B659" s="20" t="str">
        <f>IF(Registro!$B659="","",Registro!$B659)</f>
        <v/>
      </c>
      <c r="C659" s="35" t="str">
        <f t="shared" si="20"/>
        <v/>
      </c>
      <c r="D659" s="23" t="str">
        <f>IF(Registro!$E659="","",IF(ISERROR(FIND("x",LOWER(Registro!$E659))),"-",IFERROR(SUMPRODUCT(--("0"&amp;LEFT(TRIM(MID(SUBSTITUTE(SUBSTITUTE(SUBSTITUTE(SUBSTITUTE(SUBSTITUTE(LOWER(Registro!$E659),"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",LEN(Registro!$E659))),({1,2,3,4,5,6,7,8,9,10,11,12,13,14,15,16,17,18,19,20,21,22,23,24,25,26,27,28,29,30}-1)*LEN(Registro!$E659)+1,LEN(Registro!$E659))),FIND("x",TRIM(MID(SUBSTITUTE(SUBSTITUTE(SUBSTITUTE(SUBSTITUTE(SUBSTITUTE(LOWER(Registro!$E659),"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",LEN(Registro!$E659))),({1,2,3,4,5,6,7,8,9,10,11,12,13,14,15,16,17,18,19,20,21,22,23,24,25,26,27,28,29,30}-1)*LEN(Registro!$E659)+1,LEN(Registro!$E659)))&amp;"x")-1))),"Revisar formato")))</f>
        <v/>
      </c>
      <c r="E659" s="24" t="str">
        <f>IF(Registro!$E659="","",IF(ISERROR(FIND("x",LOWER(Registro!$E659))),"-",IFERROR(SUMPRODUCT(--("0"&amp;LEFT(TRIM(MID(SUBSTITUTE(SUBSTITUTE(SUBSTITUTE(SUBSTITUTE(SUBSTITUTE(LOWER(Registro!$E659),"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",LEN(Registro!$E659))),({1,2,3,4,5,6,7,8,9,10,11,12,13,14,15,16,17,18,19,20,21,22,23,24,25,26,27,28,29,30}-1)*LEN(Registro!$E659)+1,LEN(Registro!$E659))),FIND("x",TRIM(MID(SUBSTITUTE(SUBSTITUTE(SUBSTITUTE(SUBSTITUTE(SUBSTITUTE(LOWER(Registro!$E659),"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",LEN(Registro!$E659))),({1,2,3,4,5,6,7,8,9,10,11,12,13,14,15,16,17,18,19,20,21,22,23,24,25,26,27,28,29,30}-1)*LEN(Registro!$E659)+1,LEN(Registro!$E659)))&amp;"x")-1)),--("0"&amp;MID(TRIM(MID(SUBSTITUTE(SUBSTITUTE(SUBSTITUTE(SUBSTITUTE(SUBSTITUTE(LOWER(Registro!$E659),"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",LEN(Registro!$E659))),({1,2,3,4,5,6,7,8,9,10,11,12,13,14,15,16,17,18,19,20,21,22,23,24,25,26,27,28,29,30}-1)*LEN(Registro!$E659)+1,LEN(Registro!$E659))),FIND("x",TRIM(MID(SUBSTITUTE(SUBSTITUTE(SUBSTITUTE(SUBSTITUTE(SUBSTITUTE(LOWER(Registro!$E659),"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",LEN(Registro!$E659))),({1,2,3,4,5,6,7,8,9,10,11,12,13,14,15,16,17,18,19,20,21,22,23,24,25,26,27,28,29,30}-1)*LEN(Registro!$E659)+1,LEN(Registro!$E659)))&amp;"x")+1,20))),"Revisar formato")))</f>
        <v/>
      </c>
      <c r="F659" s="23" t="str">
        <f>IF(Registro!$F659="","",IF(ISERROR(FIND("x",LOWER(Registro!$F659))),"-",IFERROR(SUMPRODUCT(--("0"&amp;LEFT(TRIM(MID(SUBSTITUTE(SUBSTITUTE(SUBSTITUTE(SUBSTITUTE(SUBSTITUTE(LOWER(Registro!$F659)," ",""),CHAR(10),"|"),";","|"),"+","|"),"|",REPT(" ",LEN(Registro!$F659))),({1,2,3,4,5,6,7,8,9,10,11,12,13,14,15,16,17,18,19,20,21,22,23,24,25,26,27,28,29,30}-1)*LEN(Registro!$F659)+1,LEN(Registro!$F659))),FIND("x",TRIM(MID(SUBSTITUTE(SUBSTITUTE(SUBSTITUTE(SUBSTITUTE(SUBSTITUTE(LOWER(Registro!$F659)," ",""),CHAR(10),"|"),";","|"),"+","|"),"|",REPT(" ",LEN(Registro!$F659))),({1,2,3,4,5,6,7,8,9,10,11,12,13,14,15,16,17,18,19,20,21,22,23,24,25,26,27,28,29,30}-1)*LEN(Registro!$F659)+1,LEN(Registro!$F659)))&amp;"x")-1))),"Revisar formato")))</f>
        <v/>
      </c>
      <c r="G659" s="24" t="str">
        <f>IF(Registro!$F659="","",IF(ISERROR(FIND("x",LOWER(Registro!$F659))),N(Registro!$G659),IFERROR(SUMPRODUCT(--("0"&amp;LEFT(TRIM(MID(SUBSTITUTE(SUBSTITUTE(SUBSTITUTE(SUBSTITUTE(SUBSTITUTE(LOWER(Registro!$F659)," ",""),CHAR(10),"|"),";","|"),"+","|"),"|",REPT(" ",LEN(Registro!$F659))),({1,2,3,4,5,6,7,8,9,10,11,12,13,14,15,16,17,18,19,20,21,22,23,24,25,26,27,28,29,30}-1)*LEN(Registro!$F659)+1,LEN(Registro!$F659))),FIND("x",TRIM(MID(SUBSTITUTE(SUBSTITUTE(SUBSTITUTE(SUBSTITUTE(SUBSTITUTE(LOWER(Registro!$F659)," ",""),CHAR(10),"|"),";","|"),"+","|"),"|",REPT(" ",LEN(Registro!$F659))),({1,2,3,4,5,6,7,8,9,10,11,12,13,14,15,16,17,18,19,20,21,22,23,24,25,26,27,28,29,30}-1)*LEN(Registro!$F659)+1,LEN(Registro!$F659)))&amp;"x")-1)),--("0"&amp;MID(TRIM(MID(SUBSTITUTE(SUBSTITUTE(SUBSTITUTE(SUBSTITUTE(SUBSTITUTE(LOWER(Registro!$F659)," ",""),CHAR(10),"|"),";","|"),"+","|"),"|",REPT(" ",LEN(Registro!$F659))),({1,2,3,4,5,6,7,8,9,10,11,12,13,14,15,16,17,18,19,20,21,22,23,24,25,26,27,28,29,30}-1)*LEN(Registro!$F659)+1,LEN(Registro!$F659))),FIND("x",TRIM(MID(SUBSTITUTE(SUBSTITUTE(SUBSTITUTE(SUBSTITUTE(SUBSTITUTE(LOWER(Registro!$F659)," ",""),CHAR(10),"|"),";","|"),"+","|"),"|",REPT(" ",LEN(Registro!$F659))),({1,2,3,4,5,6,7,8,9,10,11,12,13,14,15,16,17,18,19,20,21,22,23,24,25,26,27,28,29,30}-1)*LEN(Registro!$F659)+1,LEN(Registro!$F659)))&amp;"x")+1,20))),"Revisar formato")))</f>
        <v/>
      </c>
      <c r="H659" s="21" t="str">
        <f>IF(AND(Registro!$E659="",Registro!$F659=""),"",IF(NOT(AND(ISNUMBER(G659),ISNUMBER(Registro!$G659))),"",IF(G659&lt;Registro!$G659,"FALTA BOLETOS",IF(G659=Registro!$G659,"CONFORME","DIFERENCIA"))))</f>
        <v/>
      </c>
      <c r="I659" s="24" t="str">
        <f>IF(Registro!$H659="","",IFERROR(SUMPRODUCT(--("0"&amp;TRIM(RIGHT(SUBSTITUTE(TRIM(MID(SUBSTITUTE(SUBSTITUTE(Registro!$H659,";",CHAR(10)),CHAR(10),REPT(" ",LEN(Registro!$H659))),({1,2,3,4,5,6,7,8,9,10,11,12,13,14,15,16,17,18,19,20,21,22,23,24,25,26,27,28,29,30}-1)*LEN(Registro!$H659)+1,LEN(Registro!$H659)))," ",REPT(" ",50)),50)))),"Revisar formato"))</f>
        <v/>
      </c>
      <c r="J659" s="24" t="str">
        <f>IF(Registro!$I659="","",IFERROR(SUMPRODUCT(--("0"&amp;TRIM(RIGHT(SUBSTITUTE(TRIM(MID(SUBSTITUTE(SUBSTITUTE(Registro!$I659,";",CHAR(10)),CHAR(10),REPT(" ",LEN(Registro!$I659))),({1,2,3,4,5,6,7,8,9,10,11,12,13,14,15,16,17,18,19,20,21,22,23,24,25,26,27,28,29,30}-1)*LEN(Registro!$I659)+1,LEN(Registro!$I659)))," ",REPT(" ",50)),50)))),"Revisar formato"))</f>
        <v/>
      </c>
      <c r="K659" s="24" t="str">
        <f>IF(AND(Registro!$G659="",Registro!$H659=""),"",IF(AND(ISTEXT(I659),I659&lt;&gt;""),"Revisar formato",N(Registro!$G659)-N(I659)))</f>
        <v/>
      </c>
      <c r="L659" s="24" t="str">
        <f t="shared" si="21"/>
        <v/>
      </c>
      <c r="M659" s="36" t="str">
        <f>IF(AND(A659=Consulta!$B$3,C659=Consulta!$H$3),B659*10000+ROW(),"")</f>
        <v/>
      </c>
    </row>
    <row r="660" spans="1:13" x14ac:dyDescent="0.25">
      <c r="A660" s="21" t="str">
        <f>IF(Registro!$A660="","",Registro!$A660)</f>
        <v/>
      </c>
      <c r="B660" s="20" t="str">
        <f>IF(Registro!$B660="","",Registro!$B660)</f>
        <v/>
      </c>
      <c r="C660" s="35" t="str">
        <f t="shared" si="20"/>
        <v/>
      </c>
      <c r="D660" s="23" t="str">
        <f>IF(Registro!$E660="","",IF(ISERROR(FIND("x",LOWER(Registro!$E660))),"-",IFERROR(SUMPRODUCT(--("0"&amp;LEFT(TRIM(MID(SUBSTITUTE(SUBSTITUTE(SUBSTITUTE(SUBSTITUTE(SUBSTITUTE(LOWER(Registro!$E660),"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",LEN(Registro!$E660))),({1,2,3,4,5,6,7,8,9,10,11,12,13,14,15,16,17,18,19,20,21,22,23,24,25,26,27,28,29,30}-1)*LEN(Registro!$E660)+1,LEN(Registro!$E660))),FIND("x",TRIM(MID(SUBSTITUTE(SUBSTITUTE(SUBSTITUTE(SUBSTITUTE(SUBSTITUTE(LOWER(Registro!$E660),"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",LEN(Registro!$E660))),({1,2,3,4,5,6,7,8,9,10,11,12,13,14,15,16,17,18,19,20,21,22,23,24,25,26,27,28,29,30}-1)*LEN(Registro!$E660)+1,LEN(Registro!$E660)))&amp;"x")-1))),"Revisar formato")))</f>
        <v/>
      </c>
      <c r="E660" s="24" t="str">
        <f>IF(Registro!$E660="","",IF(ISERROR(FIND("x",LOWER(Registro!$E660))),"-",IFERROR(SUMPRODUCT(--("0"&amp;LEFT(TRIM(MID(SUBSTITUTE(SUBSTITUTE(SUBSTITUTE(SUBSTITUTE(SUBSTITUTE(LOWER(Registro!$E660),"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",LEN(Registro!$E660))),({1,2,3,4,5,6,7,8,9,10,11,12,13,14,15,16,17,18,19,20,21,22,23,24,25,26,27,28,29,30}-1)*LEN(Registro!$E660)+1,LEN(Registro!$E660))),FIND("x",TRIM(MID(SUBSTITUTE(SUBSTITUTE(SUBSTITUTE(SUBSTITUTE(SUBSTITUTE(LOWER(Registro!$E660),"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",LEN(Registro!$E660))),({1,2,3,4,5,6,7,8,9,10,11,12,13,14,15,16,17,18,19,20,21,22,23,24,25,26,27,28,29,30}-1)*LEN(Registro!$E660)+1,LEN(Registro!$E660)))&amp;"x")-1)),--("0"&amp;MID(TRIM(MID(SUBSTITUTE(SUBSTITUTE(SUBSTITUTE(SUBSTITUTE(SUBSTITUTE(LOWER(Registro!$E660),"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",LEN(Registro!$E660))),({1,2,3,4,5,6,7,8,9,10,11,12,13,14,15,16,17,18,19,20,21,22,23,24,25,26,27,28,29,30}-1)*LEN(Registro!$E660)+1,LEN(Registro!$E660))),FIND("x",TRIM(MID(SUBSTITUTE(SUBSTITUTE(SUBSTITUTE(SUBSTITUTE(SUBSTITUTE(LOWER(Registro!$E660),"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",LEN(Registro!$E660))),({1,2,3,4,5,6,7,8,9,10,11,12,13,14,15,16,17,18,19,20,21,22,23,24,25,26,27,28,29,30}-1)*LEN(Registro!$E660)+1,LEN(Registro!$E660)))&amp;"x")+1,20))),"Revisar formato")))</f>
        <v/>
      </c>
      <c r="F660" s="23" t="str">
        <f>IF(Registro!$F660="","",IF(ISERROR(FIND("x",LOWER(Registro!$F660))),"-",IFERROR(SUMPRODUCT(--("0"&amp;LEFT(TRIM(MID(SUBSTITUTE(SUBSTITUTE(SUBSTITUTE(SUBSTITUTE(SUBSTITUTE(LOWER(Registro!$F660)," ",""),CHAR(10),"|"),";","|"),"+","|"),"|",REPT(" ",LEN(Registro!$F660))),({1,2,3,4,5,6,7,8,9,10,11,12,13,14,15,16,17,18,19,20,21,22,23,24,25,26,27,28,29,30}-1)*LEN(Registro!$F660)+1,LEN(Registro!$F660))),FIND("x",TRIM(MID(SUBSTITUTE(SUBSTITUTE(SUBSTITUTE(SUBSTITUTE(SUBSTITUTE(LOWER(Registro!$F660)," ",""),CHAR(10),"|"),";","|"),"+","|"),"|",REPT(" ",LEN(Registro!$F660))),({1,2,3,4,5,6,7,8,9,10,11,12,13,14,15,16,17,18,19,20,21,22,23,24,25,26,27,28,29,30}-1)*LEN(Registro!$F660)+1,LEN(Registro!$F660)))&amp;"x")-1))),"Revisar formato")))</f>
        <v/>
      </c>
      <c r="G660" s="24" t="str">
        <f>IF(Registro!$F660="","",IF(ISERROR(FIND("x",LOWER(Registro!$F660))),N(Registro!$G660),IFERROR(SUMPRODUCT(--("0"&amp;LEFT(TRIM(MID(SUBSTITUTE(SUBSTITUTE(SUBSTITUTE(SUBSTITUTE(SUBSTITUTE(LOWER(Registro!$F660)," ",""),CHAR(10),"|"),";","|"),"+","|"),"|",REPT(" ",LEN(Registro!$F660))),({1,2,3,4,5,6,7,8,9,10,11,12,13,14,15,16,17,18,19,20,21,22,23,24,25,26,27,28,29,30}-1)*LEN(Registro!$F660)+1,LEN(Registro!$F660))),FIND("x",TRIM(MID(SUBSTITUTE(SUBSTITUTE(SUBSTITUTE(SUBSTITUTE(SUBSTITUTE(LOWER(Registro!$F660)," ",""),CHAR(10),"|"),";","|"),"+","|"),"|",REPT(" ",LEN(Registro!$F660))),({1,2,3,4,5,6,7,8,9,10,11,12,13,14,15,16,17,18,19,20,21,22,23,24,25,26,27,28,29,30}-1)*LEN(Registro!$F660)+1,LEN(Registro!$F660)))&amp;"x")-1)),--("0"&amp;MID(TRIM(MID(SUBSTITUTE(SUBSTITUTE(SUBSTITUTE(SUBSTITUTE(SUBSTITUTE(LOWER(Registro!$F660)," ",""),CHAR(10),"|"),";","|"),"+","|"),"|",REPT(" ",LEN(Registro!$F660))),({1,2,3,4,5,6,7,8,9,10,11,12,13,14,15,16,17,18,19,20,21,22,23,24,25,26,27,28,29,30}-1)*LEN(Registro!$F660)+1,LEN(Registro!$F660))),FIND("x",TRIM(MID(SUBSTITUTE(SUBSTITUTE(SUBSTITUTE(SUBSTITUTE(SUBSTITUTE(LOWER(Registro!$F660)," ",""),CHAR(10),"|"),";","|"),"+","|"),"|",REPT(" ",LEN(Registro!$F660))),({1,2,3,4,5,6,7,8,9,10,11,12,13,14,15,16,17,18,19,20,21,22,23,24,25,26,27,28,29,30}-1)*LEN(Registro!$F660)+1,LEN(Registro!$F660)))&amp;"x")+1,20))),"Revisar formato")))</f>
        <v/>
      </c>
      <c r="H660" s="21" t="str">
        <f>IF(AND(Registro!$E660="",Registro!$F660=""),"",IF(NOT(AND(ISNUMBER(G660),ISNUMBER(Registro!$G660))),"",IF(G660&lt;Registro!$G660,"FALTA BOLETOS",IF(G660=Registro!$G660,"CONFORME","DIFERENCIA"))))</f>
        <v/>
      </c>
      <c r="I660" s="24" t="str">
        <f>IF(Registro!$H660="","",IFERROR(SUMPRODUCT(--("0"&amp;TRIM(RIGHT(SUBSTITUTE(TRIM(MID(SUBSTITUTE(SUBSTITUTE(Registro!$H660,";",CHAR(10)),CHAR(10),REPT(" ",LEN(Registro!$H660))),({1,2,3,4,5,6,7,8,9,10,11,12,13,14,15,16,17,18,19,20,21,22,23,24,25,26,27,28,29,30}-1)*LEN(Registro!$H660)+1,LEN(Registro!$H660)))," ",REPT(" ",50)),50)))),"Revisar formato"))</f>
        <v/>
      </c>
      <c r="J660" s="24" t="str">
        <f>IF(Registro!$I660="","",IFERROR(SUMPRODUCT(--("0"&amp;TRIM(RIGHT(SUBSTITUTE(TRIM(MID(SUBSTITUTE(SUBSTITUTE(Registro!$I660,";",CHAR(10)),CHAR(10),REPT(" ",LEN(Registro!$I660))),({1,2,3,4,5,6,7,8,9,10,11,12,13,14,15,16,17,18,19,20,21,22,23,24,25,26,27,28,29,30}-1)*LEN(Registro!$I660)+1,LEN(Registro!$I660)))," ",REPT(" ",50)),50)))),"Revisar formato"))</f>
        <v/>
      </c>
      <c r="K660" s="24" t="str">
        <f>IF(AND(Registro!$G660="",Registro!$H660=""),"",IF(AND(ISTEXT(I660),I660&lt;&gt;""),"Revisar formato",N(Registro!$G660)-N(I660)))</f>
        <v/>
      </c>
      <c r="L660" s="24" t="str">
        <f t="shared" si="21"/>
        <v/>
      </c>
      <c r="M660" s="36" t="str">
        <f>IF(AND(A660=Consulta!$B$3,C660=Consulta!$H$3),B660*10000+ROW(),"")</f>
        <v/>
      </c>
    </row>
    <row r="661" spans="1:13" x14ac:dyDescent="0.25">
      <c r="A661" s="21" t="str">
        <f>IF(Registro!$A661="","",Registro!$A661)</f>
        <v/>
      </c>
      <c r="B661" s="20" t="str">
        <f>IF(Registro!$B661="","",Registro!$B661)</f>
        <v/>
      </c>
      <c r="C661" s="35" t="str">
        <f t="shared" si="20"/>
        <v/>
      </c>
      <c r="D661" s="23" t="str">
        <f>IF(Registro!$E661="","",IF(ISERROR(FIND("x",LOWER(Registro!$E661))),"-",IFERROR(SUMPRODUCT(--("0"&amp;LEFT(TRIM(MID(SUBSTITUTE(SUBSTITUTE(SUBSTITUTE(SUBSTITUTE(SUBSTITUTE(LOWER(Registro!$E661),"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",LEN(Registro!$E661))),({1,2,3,4,5,6,7,8,9,10,11,12,13,14,15,16,17,18,19,20,21,22,23,24,25,26,27,28,29,30}-1)*LEN(Registro!$E661)+1,LEN(Registro!$E661))),FIND("x",TRIM(MID(SUBSTITUTE(SUBSTITUTE(SUBSTITUTE(SUBSTITUTE(SUBSTITUTE(LOWER(Registro!$E661),"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",LEN(Registro!$E661))),({1,2,3,4,5,6,7,8,9,10,11,12,13,14,15,16,17,18,19,20,21,22,23,24,25,26,27,28,29,30}-1)*LEN(Registro!$E661)+1,LEN(Registro!$E661)))&amp;"x")-1))),"Revisar formato")))</f>
        <v/>
      </c>
      <c r="E661" s="24" t="str">
        <f>IF(Registro!$E661="","",IF(ISERROR(FIND("x",LOWER(Registro!$E661))),"-",IFERROR(SUMPRODUCT(--("0"&amp;LEFT(TRIM(MID(SUBSTITUTE(SUBSTITUTE(SUBSTITUTE(SUBSTITUTE(SUBSTITUTE(LOWER(Registro!$E661),"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",LEN(Registro!$E661))),({1,2,3,4,5,6,7,8,9,10,11,12,13,14,15,16,17,18,19,20,21,22,23,24,25,26,27,28,29,30}-1)*LEN(Registro!$E661)+1,LEN(Registro!$E661))),FIND("x",TRIM(MID(SUBSTITUTE(SUBSTITUTE(SUBSTITUTE(SUBSTITUTE(SUBSTITUTE(LOWER(Registro!$E661),"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",LEN(Registro!$E661))),({1,2,3,4,5,6,7,8,9,10,11,12,13,14,15,16,17,18,19,20,21,22,23,24,25,26,27,28,29,30}-1)*LEN(Registro!$E661)+1,LEN(Registro!$E661)))&amp;"x")-1)),--("0"&amp;MID(TRIM(MID(SUBSTITUTE(SUBSTITUTE(SUBSTITUTE(SUBSTITUTE(SUBSTITUTE(LOWER(Registro!$E661),"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",LEN(Registro!$E661))),({1,2,3,4,5,6,7,8,9,10,11,12,13,14,15,16,17,18,19,20,21,22,23,24,25,26,27,28,29,30}-1)*LEN(Registro!$E661)+1,LEN(Registro!$E661))),FIND("x",TRIM(MID(SUBSTITUTE(SUBSTITUTE(SUBSTITUTE(SUBSTITUTE(SUBSTITUTE(LOWER(Registro!$E661),"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",LEN(Registro!$E661))),({1,2,3,4,5,6,7,8,9,10,11,12,13,14,15,16,17,18,19,20,21,22,23,24,25,26,27,28,29,30}-1)*LEN(Registro!$E661)+1,LEN(Registro!$E661)))&amp;"x")+1,20))),"Revisar formato")))</f>
        <v/>
      </c>
      <c r="F661" s="23" t="str">
        <f>IF(Registro!$F661="","",IF(ISERROR(FIND("x",LOWER(Registro!$F661))),"-",IFERROR(SUMPRODUCT(--("0"&amp;LEFT(TRIM(MID(SUBSTITUTE(SUBSTITUTE(SUBSTITUTE(SUBSTITUTE(SUBSTITUTE(LOWER(Registro!$F661)," ",""),CHAR(10),"|"),";","|"),"+","|"),"|",REPT(" ",LEN(Registro!$F661))),({1,2,3,4,5,6,7,8,9,10,11,12,13,14,15,16,17,18,19,20,21,22,23,24,25,26,27,28,29,30}-1)*LEN(Registro!$F661)+1,LEN(Registro!$F661))),FIND("x",TRIM(MID(SUBSTITUTE(SUBSTITUTE(SUBSTITUTE(SUBSTITUTE(SUBSTITUTE(LOWER(Registro!$F661)," ",""),CHAR(10),"|"),";","|"),"+","|"),"|",REPT(" ",LEN(Registro!$F661))),({1,2,3,4,5,6,7,8,9,10,11,12,13,14,15,16,17,18,19,20,21,22,23,24,25,26,27,28,29,30}-1)*LEN(Registro!$F661)+1,LEN(Registro!$F661)))&amp;"x")-1))),"Revisar formato")))</f>
        <v/>
      </c>
      <c r="G661" s="24" t="str">
        <f>IF(Registro!$F661="","",IF(ISERROR(FIND("x",LOWER(Registro!$F661))),N(Registro!$G661),IFERROR(SUMPRODUCT(--("0"&amp;LEFT(TRIM(MID(SUBSTITUTE(SUBSTITUTE(SUBSTITUTE(SUBSTITUTE(SUBSTITUTE(LOWER(Registro!$F661)," ",""),CHAR(10),"|"),";","|"),"+","|"),"|",REPT(" ",LEN(Registro!$F661))),({1,2,3,4,5,6,7,8,9,10,11,12,13,14,15,16,17,18,19,20,21,22,23,24,25,26,27,28,29,30}-1)*LEN(Registro!$F661)+1,LEN(Registro!$F661))),FIND("x",TRIM(MID(SUBSTITUTE(SUBSTITUTE(SUBSTITUTE(SUBSTITUTE(SUBSTITUTE(LOWER(Registro!$F661)," ",""),CHAR(10),"|"),";","|"),"+","|"),"|",REPT(" ",LEN(Registro!$F661))),({1,2,3,4,5,6,7,8,9,10,11,12,13,14,15,16,17,18,19,20,21,22,23,24,25,26,27,28,29,30}-1)*LEN(Registro!$F661)+1,LEN(Registro!$F661)))&amp;"x")-1)),--("0"&amp;MID(TRIM(MID(SUBSTITUTE(SUBSTITUTE(SUBSTITUTE(SUBSTITUTE(SUBSTITUTE(LOWER(Registro!$F661)," ",""),CHAR(10),"|"),";","|"),"+","|"),"|",REPT(" ",LEN(Registro!$F661))),({1,2,3,4,5,6,7,8,9,10,11,12,13,14,15,16,17,18,19,20,21,22,23,24,25,26,27,28,29,30}-1)*LEN(Registro!$F661)+1,LEN(Registro!$F661))),FIND("x",TRIM(MID(SUBSTITUTE(SUBSTITUTE(SUBSTITUTE(SUBSTITUTE(SUBSTITUTE(LOWER(Registro!$F661)," ",""),CHAR(10),"|"),";","|"),"+","|"),"|",REPT(" ",LEN(Registro!$F661))),({1,2,3,4,5,6,7,8,9,10,11,12,13,14,15,16,17,18,19,20,21,22,23,24,25,26,27,28,29,30}-1)*LEN(Registro!$F661)+1,LEN(Registro!$F661)))&amp;"x")+1,20))),"Revisar formato")))</f>
        <v/>
      </c>
      <c r="H661" s="21" t="str">
        <f>IF(AND(Registro!$E661="",Registro!$F661=""),"",IF(NOT(AND(ISNUMBER(G661),ISNUMBER(Registro!$G661))),"",IF(G661&lt;Registro!$G661,"FALTA BOLETOS",IF(G661=Registro!$G661,"CONFORME","DIFERENCIA"))))</f>
        <v/>
      </c>
      <c r="I661" s="24" t="str">
        <f>IF(Registro!$H661="","",IFERROR(SUMPRODUCT(--("0"&amp;TRIM(RIGHT(SUBSTITUTE(TRIM(MID(SUBSTITUTE(SUBSTITUTE(Registro!$H661,";",CHAR(10)),CHAR(10),REPT(" ",LEN(Registro!$H661))),({1,2,3,4,5,6,7,8,9,10,11,12,13,14,15,16,17,18,19,20,21,22,23,24,25,26,27,28,29,30}-1)*LEN(Registro!$H661)+1,LEN(Registro!$H661)))," ",REPT(" ",50)),50)))),"Revisar formato"))</f>
        <v/>
      </c>
      <c r="J661" s="24" t="str">
        <f>IF(Registro!$I661="","",IFERROR(SUMPRODUCT(--("0"&amp;TRIM(RIGHT(SUBSTITUTE(TRIM(MID(SUBSTITUTE(SUBSTITUTE(Registro!$I661,";",CHAR(10)),CHAR(10),REPT(" ",LEN(Registro!$I661))),({1,2,3,4,5,6,7,8,9,10,11,12,13,14,15,16,17,18,19,20,21,22,23,24,25,26,27,28,29,30}-1)*LEN(Registro!$I661)+1,LEN(Registro!$I661)))," ",REPT(" ",50)),50)))),"Revisar formato"))</f>
        <v/>
      </c>
      <c r="K661" s="24" t="str">
        <f>IF(AND(Registro!$G661="",Registro!$H661=""),"",IF(AND(ISTEXT(I661),I661&lt;&gt;""),"Revisar formato",N(Registro!$G661)-N(I661)))</f>
        <v/>
      </c>
      <c r="L661" s="24" t="str">
        <f t="shared" si="21"/>
        <v/>
      </c>
      <c r="M661" s="36" t="str">
        <f>IF(AND(A661=Consulta!$B$3,C661=Consulta!$H$3),B661*10000+ROW(),"")</f>
        <v/>
      </c>
    </row>
    <row r="662" spans="1:13" x14ac:dyDescent="0.25">
      <c r="A662" s="21" t="str">
        <f>IF(Registro!$A662="","",Registro!$A662)</f>
        <v/>
      </c>
      <c r="B662" s="20" t="str">
        <f>IF(Registro!$B662="","",Registro!$B662)</f>
        <v/>
      </c>
      <c r="C662" s="35" t="str">
        <f t="shared" si="20"/>
        <v/>
      </c>
      <c r="D662" s="23" t="str">
        <f>IF(Registro!$E662="","",IF(ISERROR(FIND("x",LOWER(Registro!$E662))),"-",IFERROR(SUMPRODUCT(--("0"&amp;LEFT(TRIM(MID(SUBSTITUTE(SUBSTITUTE(SUBSTITUTE(SUBSTITUTE(SUBSTITUTE(LOWER(Registro!$E662),"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",LEN(Registro!$E662))),({1,2,3,4,5,6,7,8,9,10,11,12,13,14,15,16,17,18,19,20,21,22,23,24,25,26,27,28,29,30}-1)*LEN(Registro!$E662)+1,LEN(Registro!$E662))),FIND("x",TRIM(MID(SUBSTITUTE(SUBSTITUTE(SUBSTITUTE(SUBSTITUTE(SUBSTITUTE(LOWER(Registro!$E662),"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",LEN(Registro!$E662))),({1,2,3,4,5,6,7,8,9,10,11,12,13,14,15,16,17,18,19,20,21,22,23,24,25,26,27,28,29,30}-1)*LEN(Registro!$E662)+1,LEN(Registro!$E662)))&amp;"x")-1))),"Revisar formato")))</f>
        <v/>
      </c>
      <c r="E662" s="24" t="str">
        <f>IF(Registro!$E662="","",IF(ISERROR(FIND("x",LOWER(Registro!$E662))),"-",IFERROR(SUMPRODUCT(--("0"&amp;LEFT(TRIM(MID(SUBSTITUTE(SUBSTITUTE(SUBSTITUTE(SUBSTITUTE(SUBSTITUTE(LOWER(Registro!$E662),"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",LEN(Registro!$E662))),({1,2,3,4,5,6,7,8,9,10,11,12,13,14,15,16,17,18,19,20,21,22,23,24,25,26,27,28,29,30}-1)*LEN(Registro!$E662)+1,LEN(Registro!$E662))),FIND("x",TRIM(MID(SUBSTITUTE(SUBSTITUTE(SUBSTITUTE(SUBSTITUTE(SUBSTITUTE(LOWER(Registro!$E662),"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",LEN(Registro!$E662))),({1,2,3,4,5,6,7,8,9,10,11,12,13,14,15,16,17,18,19,20,21,22,23,24,25,26,27,28,29,30}-1)*LEN(Registro!$E662)+1,LEN(Registro!$E662)))&amp;"x")-1)),--("0"&amp;MID(TRIM(MID(SUBSTITUTE(SUBSTITUTE(SUBSTITUTE(SUBSTITUTE(SUBSTITUTE(LOWER(Registro!$E662),"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",LEN(Registro!$E662))),({1,2,3,4,5,6,7,8,9,10,11,12,13,14,15,16,17,18,19,20,21,22,23,24,25,26,27,28,29,30}-1)*LEN(Registro!$E662)+1,LEN(Registro!$E662))),FIND("x",TRIM(MID(SUBSTITUTE(SUBSTITUTE(SUBSTITUTE(SUBSTITUTE(SUBSTITUTE(LOWER(Registro!$E662),"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",LEN(Registro!$E662))),({1,2,3,4,5,6,7,8,9,10,11,12,13,14,15,16,17,18,19,20,21,22,23,24,25,26,27,28,29,30}-1)*LEN(Registro!$E662)+1,LEN(Registro!$E662)))&amp;"x")+1,20))),"Revisar formato")))</f>
        <v/>
      </c>
      <c r="F662" s="23" t="str">
        <f>IF(Registro!$F662="","",IF(ISERROR(FIND("x",LOWER(Registro!$F662))),"-",IFERROR(SUMPRODUCT(--("0"&amp;LEFT(TRIM(MID(SUBSTITUTE(SUBSTITUTE(SUBSTITUTE(SUBSTITUTE(SUBSTITUTE(LOWER(Registro!$F662)," ",""),CHAR(10),"|"),";","|"),"+","|"),"|",REPT(" ",LEN(Registro!$F662))),({1,2,3,4,5,6,7,8,9,10,11,12,13,14,15,16,17,18,19,20,21,22,23,24,25,26,27,28,29,30}-1)*LEN(Registro!$F662)+1,LEN(Registro!$F662))),FIND("x",TRIM(MID(SUBSTITUTE(SUBSTITUTE(SUBSTITUTE(SUBSTITUTE(SUBSTITUTE(LOWER(Registro!$F662)," ",""),CHAR(10),"|"),";","|"),"+","|"),"|",REPT(" ",LEN(Registro!$F662))),({1,2,3,4,5,6,7,8,9,10,11,12,13,14,15,16,17,18,19,20,21,22,23,24,25,26,27,28,29,30}-1)*LEN(Registro!$F662)+1,LEN(Registro!$F662)))&amp;"x")-1))),"Revisar formato")))</f>
        <v/>
      </c>
      <c r="G662" s="24" t="str">
        <f>IF(Registro!$F662="","",IF(ISERROR(FIND("x",LOWER(Registro!$F662))),N(Registro!$G662),IFERROR(SUMPRODUCT(--("0"&amp;LEFT(TRIM(MID(SUBSTITUTE(SUBSTITUTE(SUBSTITUTE(SUBSTITUTE(SUBSTITUTE(LOWER(Registro!$F662)," ",""),CHAR(10),"|"),";","|"),"+","|"),"|",REPT(" ",LEN(Registro!$F662))),({1,2,3,4,5,6,7,8,9,10,11,12,13,14,15,16,17,18,19,20,21,22,23,24,25,26,27,28,29,30}-1)*LEN(Registro!$F662)+1,LEN(Registro!$F662))),FIND("x",TRIM(MID(SUBSTITUTE(SUBSTITUTE(SUBSTITUTE(SUBSTITUTE(SUBSTITUTE(LOWER(Registro!$F662)," ",""),CHAR(10),"|"),";","|"),"+","|"),"|",REPT(" ",LEN(Registro!$F662))),({1,2,3,4,5,6,7,8,9,10,11,12,13,14,15,16,17,18,19,20,21,22,23,24,25,26,27,28,29,30}-1)*LEN(Registro!$F662)+1,LEN(Registro!$F662)))&amp;"x")-1)),--("0"&amp;MID(TRIM(MID(SUBSTITUTE(SUBSTITUTE(SUBSTITUTE(SUBSTITUTE(SUBSTITUTE(LOWER(Registro!$F662)," ",""),CHAR(10),"|"),";","|"),"+","|"),"|",REPT(" ",LEN(Registro!$F662))),({1,2,3,4,5,6,7,8,9,10,11,12,13,14,15,16,17,18,19,20,21,22,23,24,25,26,27,28,29,30}-1)*LEN(Registro!$F662)+1,LEN(Registro!$F662))),FIND("x",TRIM(MID(SUBSTITUTE(SUBSTITUTE(SUBSTITUTE(SUBSTITUTE(SUBSTITUTE(LOWER(Registro!$F662)," ",""),CHAR(10),"|"),";","|"),"+","|"),"|",REPT(" ",LEN(Registro!$F662))),({1,2,3,4,5,6,7,8,9,10,11,12,13,14,15,16,17,18,19,20,21,22,23,24,25,26,27,28,29,30}-1)*LEN(Registro!$F662)+1,LEN(Registro!$F662)))&amp;"x")+1,20))),"Revisar formato")))</f>
        <v/>
      </c>
      <c r="H662" s="21" t="str">
        <f>IF(AND(Registro!$E662="",Registro!$F662=""),"",IF(NOT(AND(ISNUMBER(G662),ISNUMBER(Registro!$G662))),"",IF(G662&lt;Registro!$G662,"FALTA BOLETOS",IF(G662=Registro!$G662,"CONFORME","DIFERENCIA"))))</f>
        <v/>
      </c>
      <c r="I662" s="24" t="str">
        <f>IF(Registro!$H662="","",IFERROR(SUMPRODUCT(--("0"&amp;TRIM(RIGHT(SUBSTITUTE(TRIM(MID(SUBSTITUTE(SUBSTITUTE(Registro!$H662,";",CHAR(10)),CHAR(10),REPT(" ",LEN(Registro!$H662))),({1,2,3,4,5,6,7,8,9,10,11,12,13,14,15,16,17,18,19,20,21,22,23,24,25,26,27,28,29,30}-1)*LEN(Registro!$H662)+1,LEN(Registro!$H662)))," ",REPT(" ",50)),50)))),"Revisar formato"))</f>
        <v/>
      </c>
      <c r="J662" s="24" t="str">
        <f>IF(Registro!$I662="","",IFERROR(SUMPRODUCT(--("0"&amp;TRIM(RIGHT(SUBSTITUTE(TRIM(MID(SUBSTITUTE(SUBSTITUTE(Registro!$I662,";",CHAR(10)),CHAR(10),REPT(" ",LEN(Registro!$I662))),({1,2,3,4,5,6,7,8,9,10,11,12,13,14,15,16,17,18,19,20,21,22,23,24,25,26,27,28,29,30}-1)*LEN(Registro!$I662)+1,LEN(Registro!$I662)))," ",REPT(" ",50)),50)))),"Revisar formato"))</f>
        <v/>
      </c>
      <c r="K662" s="24" t="str">
        <f>IF(AND(Registro!$G662="",Registro!$H662=""),"",IF(AND(ISTEXT(I662),I662&lt;&gt;""),"Revisar formato",N(Registro!$G662)-N(I662)))</f>
        <v/>
      </c>
      <c r="L662" s="24" t="str">
        <f t="shared" si="21"/>
        <v/>
      </c>
      <c r="M662" s="36" t="str">
        <f>IF(AND(A662=Consulta!$B$3,C662=Consulta!$H$3),B662*10000+ROW(),"")</f>
        <v/>
      </c>
    </row>
    <row r="663" spans="1:13" x14ac:dyDescent="0.25">
      <c r="A663" s="21" t="str">
        <f>IF(Registro!$A663="","",Registro!$A663)</f>
        <v/>
      </c>
      <c r="B663" s="20" t="str">
        <f>IF(Registro!$B663="","",Registro!$B663)</f>
        <v/>
      </c>
      <c r="C663" s="35" t="str">
        <f t="shared" si="20"/>
        <v/>
      </c>
      <c r="D663" s="23" t="str">
        <f>IF(Registro!$E663="","",IF(ISERROR(FIND("x",LOWER(Registro!$E663))),"-",IFERROR(SUMPRODUCT(--("0"&amp;LEFT(TRIM(MID(SUBSTITUTE(SUBSTITUTE(SUBSTITUTE(SUBSTITUTE(SUBSTITUTE(LOWER(Registro!$E663),"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",LEN(Registro!$E663))),({1,2,3,4,5,6,7,8,9,10,11,12,13,14,15,16,17,18,19,20,21,22,23,24,25,26,27,28,29,30}-1)*LEN(Registro!$E663)+1,LEN(Registro!$E663))),FIND("x",TRIM(MID(SUBSTITUTE(SUBSTITUTE(SUBSTITUTE(SUBSTITUTE(SUBSTITUTE(LOWER(Registro!$E663),"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",LEN(Registro!$E663))),({1,2,3,4,5,6,7,8,9,10,11,12,13,14,15,16,17,18,19,20,21,22,23,24,25,26,27,28,29,30}-1)*LEN(Registro!$E663)+1,LEN(Registro!$E663)))&amp;"x")-1))),"Revisar formato")))</f>
        <v/>
      </c>
      <c r="E663" s="24" t="str">
        <f>IF(Registro!$E663="","",IF(ISERROR(FIND("x",LOWER(Registro!$E663))),"-",IFERROR(SUMPRODUCT(--("0"&amp;LEFT(TRIM(MID(SUBSTITUTE(SUBSTITUTE(SUBSTITUTE(SUBSTITUTE(SUBSTITUTE(LOWER(Registro!$E663),"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",LEN(Registro!$E663))),({1,2,3,4,5,6,7,8,9,10,11,12,13,14,15,16,17,18,19,20,21,22,23,24,25,26,27,28,29,30}-1)*LEN(Registro!$E663)+1,LEN(Registro!$E663))),FIND("x",TRIM(MID(SUBSTITUTE(SUBSTITUTE(SUBSTITUTE(SUBSTITUTE(SUBSTITUTE(LOWER(Registro!$E663),"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",LEN(Registro!$E663))),({1,2,3,4,5,6,7,8,9,10,11,12,13,14,15,16,17,18,19,20,21,22,23,24,25,26,27,28,29,30}-1)*LEN(Registro!$E663)+1,LEN(Registro!$E663)))&amp;"x")-1)),--("0"&amp;MID(TRIM(MID(SUBSTITUTE(SUBSTITUTE(SUBSTITUTE(SUBSTITUTE(SUBSTITUTE(LOWER(Registro!$E663),"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",LEN(Registro!$E663))),({1,2,3,4,5,6,7,8,9,10,11,12,13,14,15,16,17,18,19,20,21,22,23,24,25,26,27,28,29,30}-1)*LEN(Registro!$E663)+1,LEN(Registro!$E663))),FIND("x",TRIM(MID(SUBSTITUTE(SUBSTITUTE(SUBSTITUTE(SUBSTITUTE(SUBSTITUTE(LOWER(Registro!$E663),"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",LEN(Registro!$E663))),({1,2,3,4,5,6,7,8,9,10,11,12,13,14,15,16,17,18,19,20,21,22,23,24,25,26,27,28,29,30}-1)*LEN(Registro!$E663)+1,LEN(Registro!$E663)))&amp;"x")+1,20))),"Revisar formato")))</f>
        <v/>
      </c>
      <c r="F663" s="23" t="str">
        <f>IF(Registro!$F663="","",IF(ISERROR(FIND("x",LOWER(Registro!$F663))),"-",IFERROR(SUMPRODUCT(--("0"&amp;LEFT(TRIM(MID(SUBSTITUTE(SUBSTITUTE(SUBSTITUTE(SUBSTITUTE(SUBSTITUTE(LOWER(Registro!$F663)," ",""),CHAR(10),"|"),";","|"),"+","|"),"|",REPT(" ",LEN(Registro!$F663))),({1,2,3,4,5,6,7,8,9,10,11,12,13,14,15,16,17,18,19,20,21,22,23,24,25,26,27,28,29,30}-1)*LEN(Registro!$F663)+1,LEN(Registro!$F663))),FIND("x",TRIM(MID(SUBSTITUTE(SUBSTITUTE(SUBSTITUTE(SUBSTITUTE(SUBSTITUTE(LOWER(Registro!$F663)," ",""),CHAR(10),"|"),";","|"),"+","|"),"|",REPT(" ",LEN(Registro!$F663))),({1,2,3,4,5,6,7,8,9,10,11,12,13,14,15,16,17,18,19,20,21,22,23,24,25,26,27,28,29,30}-1)*LEN(Registro!$F663)+1,LEN(Registro!$F663)))&amp;"x")-1))),"Revisar formato")))</f>
        <v/>
      </c>
      <c r="G663" s="24" t="str">
        <f>IF(Registro!$F663="","",IF(ISERROR(FIND("x",LOWER(Registro!$F663))),N(Registro!$G663),IFERROR(SUMPRODUCT(--("0"&amp;LEFT(TRIM(MID(SUBSTITUTE(SUBSTITUTE(SUBSTITUTE(SUBSTITUTE(SUBSTITUTE(LOWER(Registro!$F663)," ",""),CHAR(10),"|"),";","|"),"+","|"),"|",REPT(" ",LEN(Registro!$F663))),({1,2,3,4,5,6,7,8,9,10,11,12,13,14,15,16,17,18,19,20,21,22,23,24,25,26,27,28,29,30}-1)*LEN(Registro!$F663)+1,LEN(Registro!$F663))),FIND("x",TRIM(MID(SUBSTITUTE(SUBSTITUTE(SUBSTITUTE(SUBSTITUTE(SUBSTITUTE(LOWER(Registro!$F663)," ",""),CHAR(10),"|"),";","|"),"+","|"),"|",REPT(" ",LEN(Registro!$F663))),({1,2,3,4,5,6,7,8,9,10,11,12,13,14,15,16,17,18,19,20,21,22,23,24,25,26,27,28,29,30}-1)*LEN(Registro!$F663)+1,LEN(Registro!$F663)))&amp;"x")-1)),--("0"&amp;MID(TRIM(MID(SUBSTITUTE(SUBSTITUTE(SUBSTITUTE(SUBSTITUTE(SUBSTITUTE(LOWER(Registro!$F663)," ",""),CHAR(10),"|"),";","|"),"+","|"),"|",REPT(" ",LEN(Registro!$F663))),({1,2,3,4,5,6,7,8,9,10,11,12,13,14,15,16,17,18,19,20,21,22,23,24,25,26,27,28,29,30}-1)*LEN(Registro!$F663)+1,LEN(Registro!$F663))),FIND("x",TRIM(MID(SUBSTITUTE(SUBSTITUTE(SUBSTITUTE(SUBSTITUTE(SUBSTITUTE(LOWER(Registro!$F663)," ",""),CHAR(10),"|"),";","|"),"+","|"),"|",REPT(" ",LEN(Registro!$F663))),({1,2,3,4,5,6,7,8,9,10,11,12,13,14,15,16,17,18,19,20,21,22,23,24,25,26,27,28,29,30}-1)*LEN(Registro!$F663)+1,LEN(Registro!$F663)))&amp;"x")+1,20))),"Revisar formato")))</f>
        <v/>
      </c>
      <c r="H663" s="21" t="str">
        <f>IF(AND(Registro!$E663="",Registro!$F663=""),"",IF(NOT(AND(ISNUMBER(G663),ISNUMBER(Registro!$G663))),"",IF(G663&lt;Registro!$G663,"FALTA BOLETOS",IF(G663=Registro!$G663,"CONFORME","DIFERENCIA"))))</f>
        <v/>
      </c>
      <c r="I663" s="24" t="str">
        <f>IF(Registro!$H663="","",IFERROR(SUMPRODUCT(--("0"&amp;TRIM(RIGHT(SUBSTITUTE(TRIM(MID(SUBSTITUTE(SUBSTITUTE(Registro!$H663,";",CHAR(10)),CHAR(10),REPT(" ",LEN(Registro!$H663))),({1,2,3,4,5,6,7,8,9,10,11,12,13,14,15,16,17,18,19,20,21,22,23,24,25,26,27,28,29,30}-1)*LEN(Registro!$H663)+1,LEN(Registro!$H663)))," ",REPT(" ",50)),50)))),"Revisar formato"))</f>
        <v/>
      </c>
      <c r="J663" s="24" t="str">
        <f>IF(Registro!$I663="","",IFERROR(SUMPRODUCT(--("0"&amp;TRIM(RIGHT(SUBSTITUTE(TRIM(MID(SUBSTITUTE(SUBSTITUTE(Registro!$I663,";",CHAR(10)),CHAR(10),REPT(" ",LEN(Registro!$I663))),({1,2,3,4,5,6,7,8,9,10,11,12,13,14,15,16,17,18,19,20,21,22,23,24,25,26,27,28,29,30}-1)*LEN(Registro!$I663)+1,LEN(Registro!$I663)))," ",REPT(" ",50)),50)))),"Revisar formato"))</f>
        <v/>
      </c>
      <c r="K663" s="24" t="str">
        <f>IF(AND(Registro!$G663="",Registro!$H663=""),"",IF(AND(ISTEXT(I663),I663&lt;&gt;""),"Revisar formato",N(Registro!$G663)-N(I663)))</f>
        <v/>
      </c>
      <c r="L663" s="24" t="str">
        <f t="shared" si="21"/>
        <v/>
      </c>
      <c r="M663" s="36" t="str">
        <f>IF(AND(A663=Consulta!$B$3,C663=Consulta!$H$3),B663*10000+ROW(),"")</f>
        <v/>
      </c>
    </row>
    <row r="664" spans="1:13" x14ac:dyDescent="0.25">
      <c r="A664" s="21" t="str">
        <f>IF(Registro!$A664="","",Registro!$A664)</f>
        <v/>
      </c>
      <c r="B664" s="20" t="str">
        <f>IF(Registro!$B664="","",Registro!$B664)</f>
        <v/>
      </c>
      <c r="C664" s="35" t="str">
        <f t="shared" si="20"/>
        <v/>
      </c>
      <c r="D664" s="23" t="str">
        <f>IF(Registro!$E664="","",IF(ISERROR(FIND("x",LOWER(Registro!$E664))),"-",IFERROR(SUMPRODUCT(--("0"&amp;LEFT(TRIM(MID(SUBSTITUTE(SUBSTITUTE(SUBSTITUTE(SUBSTITUTE(SUBSTITUTE(LOWER(Registro!$E664),"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",LEN(Registro!$E664))),({1,2,3,4,5,6,7,8,9,10,11,12,13,14,15,16,17,18,19,20,21,22,23,24,25,26,27,28,29,30}-1)*LEN(Registro!$E664)+1,LEN(Registro!$E664))),FIND("x",TRIM(MID(SUBSTITUTE(SUBSTITUTE(SUBSTITUTE(SUBSTITUTE(SUBSTITUTE(LOWER(Registro!$E664),"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",LEN(Registro!$E664))),({1,2,3,4,5,6,7,8,9,10,11,12,13,14,15,16,17,18,19,20,21,22,23,24,25,26,27,28,29,30}-1)*LEN(Registro!$E664)+1,LEN(Registro!$E664)))&amp;"x")-1))),"Revisar formato")))</f>
        <v/>
      </c>
      <c r="E664" s="24" t="str">
        <f>IF(Registro!$E664="","",IF(ISERROR(FIND("x",LOWER(Registro!$E664))),"-",IFERROR(SUMPRODUCT(--("0"&amp;LEFT(TRIM(MID(SUBSTITUTE(SUBSTITUTE(SUBSTITUTE(SUBSTITUTE(SUBSTITUTE(LOWER(Registro!$E664),"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",LEN(Registro!$E664))),({1,2,3,4,5,6,7,8,9,10,11,12,13,14,15,16,17,18,19,20,21,22,23,24,25,26,27,28,29,30}-1)*LEN(Registro!$E664)+1,LEN(Registro!$E664))),FIND("x",TRIM(MID(SUBSTITUTE(SUBSTITUTE(SUBSTITUTE(SUBSTITUTE(SUBSTITUTE(LOWER(Registro!$E664),"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",LEN(Registro!$E664))),({1,2,3,4,5,6,7,8,9,10,11,12,13,14,15,16,17,18,19,20,21,22,23,24,25,26,27,28,29,30}-1)*LEN(Registro!$E664)+1,LEN(Registro!$E664)))&amp;"x")-1)),--("0"&amp;MID(TRIM(MID(SUBSTITUTE(SUBSTITUTE(SUBSTITUTE(SUBSTITUTE(SUBSTITUTE(LOWER(Registro!$E664),"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",LEN(Registro!$E664))),({1,2,3,4,5,6,7,8,9,10,11,12,13,14,15,16,17,18,19,20,21,22,23,24,25,26,27,28,29,30}-1)*LEN(Registro!$E664)+1,LEN(Registro!$E664))),FIND("x",TRIM(MID(SUBSTITUTE(SUBSTITUTE(SUBSTITUTE(SUBSTITUTE(SUBSTITUTE(LOWER(Registro!$E664),"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",LEN(Registro!$E664))),({1,2,3,4,5,6,7,8,9,10,11,12,13,14,15,16,17,18,19,20,21,22,23,24,25,26,27,28,29,30}-1)*LEN(Registro!$E664)+1,LEN(Registro!$E664)))&amp;"x")+1,20))),"Revisar formato")))</f>
        <v/>
      </c>
      <c r="F664" s="23" t="str">
        <f>IF(Registro!$F664="","",IF(ISERROR(FIND("x",LOWER(Registro!$F664))),"-",IFERROR(SUMPRODUCT(--("0"&amp;LEFT(TRIM(MID(SUBSTITUTE(SUBSTITUTE(SUBSTITUTE(SUBSTITUTE(SUBSTITUTE(LOWER(Registro!$F664)," ",""),CHAR(10),"|"),";","|"),"+","|"),"|",REPT(" ",LEN(Registro!$F664))),({1,2,3,4,5,6,7,8,9,10,11,12,13,14,15,16,17,18,19,20,21,22,23,24,25,26,27,28,29,30}-1)*LEN(Registro!$F664)+1,LEN(Registro!$F664))),FIND("x",TRIM(MID(SUBSTITUTE(SUBSTITUTE(SUBSTITUTE(SUBSTITUTE(SUBSTITUTE(LOWER(Registro!$F664)," ",""),CHAR(10),"|"),";","|"),"+","|"),"|",REPT(" ",LEN(Registro!$F664))),({1,2,3,4,5,6,7,8,9,10,11,12,13,14,15,16,17,18,19,20,21,22,23,24,25,26,27,28,29,30}-1)*LEN(Registro!$F664)+1,LEN(Registro!$F664)))&amp;"x")-1))),"Revisar formato")))</f>
        <v/>
      </c>
      <c r="G664" s="24" t="str">
        <f>IF(Registro!$F664="","",IF(ISERROR(FIND("x",LOWER(Registro!$F664))),N(Registro!$G664),IFERROR(SUMPRODUCT(--("0"&amp;LEFT(TRIM(MID(SUBSTITUTE(SUBSTITUTE(SUBSTITUTE(SUBSTITUTE(SUBSTITUTE(LOWER(Registro!$F664)," ",""),CHAR(10),"|"),";","|"),"+","|"),"|",REPT(" ",LEN(Registro!$F664))),({1,2,3,4,5,6,7,8,9,10,11,12,13,14,15,16,17,18,19,20,21,22,23,24,25,26,27,28,29,30}-1)*LEN(Registro!$F664)+1,LEN(Registro!$F664))),FIND("x",TRIM(MID(SUBSTITUTE(SUBSTITUTE(SUBSTITUTE(SUBSTITUTE(SUBSTITUTE(LOWER(Registro!$F664)," ",""),CHAR(10),"|"),";","|"),"+","|"),"|",REPT(" ",LEN(Registro!$F664))),({1,2,3,4,5,6,7,8,9,10,11,12,13,14,15,16,17,18,19,20,21,22,23,24,25,26,27,28,29,30}-1)*LEN(Registro!$F664)+1,LEN(Registro!$F664)))&amp;"x")-1)),--("0"&amp;MID(TRIM(MID(SUBSTITUTE(SUBSTITUTE(SUBSTITUTE(SUBSTITUTE(SUBSTITUTE(LOWER(Registro!$F664)," ",""),CHAR(10),"|"),";","|"),"+","|"),"|",REPT(" ",LEN(Registro!$F664))),({1,2,3,4,5,6,7,8,9,10,11,12,13,14,15,16,17,18,19,20,21,22,23,24,25,26,27,28,29,30}-1)*LEN(Registro!$F664)+1,LEN(Registro!$F664))),FIND("x",TRIM(MID(SUBSTITUTE(SUBSTITUTE(SUBSTITUTE(SUBSTITUTE(SUBSTITUTE(LOWER(Registro!$F664)," ",""),CHAR(10),"|"),";","|"),"+","|"),"|",REPT(" ",LEN(Registro!$F664))),({1,2,3,4,5,6,7,8,9,10,11,12,13,14,15,16,17,18,19,20,21,22,23,24,25,26,27,28,29,30}-1)*LEN(Registro!$F664)+1,LEN(Registro!$F664)))&amp;"x")+1,20))),"Revisar formato")))</f>
        <v/>
      </c>
      <c r="H664" s="21" t="str">
        <f>IF(AND(Registro!$E664="",Registro!$F664=""),"",IF(NOT(AND(ISNUMBER(G664),ISNUMBER(Registro!$G664))),"",IF(G664&lt;Registro!$G664,"FALTA BOLETOS",IF(G664=Registro!$G664,"CONFORME","DIFERENCIA"))))</f>
        <v/>
      </c>
      <c r="I664" s="24" t="str">
        <f>IF(Registro!$H664="","",IFERROR(SUMPRODUCT(--("0"&amp;TRIM(RIGHT(SUBSTITUTE(TRIM(MID(SUBSTITUTE(SUBSTITUTE(Registro!$H664,";",CHAR(10)),CHAR(10),REPT(" ",LEN(Registro!$H664))),({1,2,3,4,5,6,7,8,9,10,11,12,13,14,15,16,17,18,19,20,21,22,23,24,25,26,27,28,29,30}-1)*LEN(Registro!$H664)+1,LEN(Registro!$H664)))," ",REPT(" ",50)),50)))),"Revisar formato"))</f>
        <v/>
      </c>
      <c r="J664" s="24" t="str">
        <f>IF(Registro!$I664="","",IFERROR(SUMPRODUCT(--("0"&amp;TRIM(RIGHT(SUBSTITUTE(TRIM(MID(SUBSTITUTE(SUBSTITUTE(Registro!$I664,";",CHAR(10)),CHAR(10),REPT(" ",LEN(Registro!$I664))),({1,2,3,4,5,6,7,8,9,10,11,12,13,14,15,16,17,18,19,20,21,22,23,24,25,26,27,28,29,30}-1)*LEN(Registro!$I664)+1,LEN(Registro!$I664)))," ",REPT(" ",50)),50)))),"Revisar formato"))</f>
        <v/>
      </c>
      <c r="K664" s="24" t="str">
        <f>IF(AND(Registro!$G664="",Registro!$H664=""),"",IF(AND(ISTEXT(I664),I664&lt;&gt;""),"Revisar formato",N(Registro!$G664)-N(I664)))</f>
        <v/>
      </c>
      <c r="L664" s="24" t="str">
        <f t="shared" si="21"/>
        <v/>
      </c>
      <c r="M664" s="36" t="str">
        <f>IF(AND(A664=Consulta!$B$3,C664=Consulta!$H$3),B664*10000+ROW(),"")</f>
        <v/>
      </c>
    </row>
    <row r="665" spans="1:13" x14ac:dyDescent="0.25">
      <c r="A665" s="21" t="str">
        <f>IF(Registro!$A665="","",Registro!$A665)</f>
        <v/>
      </c>
      <c r="B665" s="20" t="str">
        <f>IF(Registro!$B665="","",Registro!$B665)</f>
        <v/>
      </c>
      <c r="C665" s="35" t="str">
        <f t="shared" si="20"/>
        <v/>
      </c>
      <c r="D665" s="23" t="str">
        <f>IF(Registro!$E665="","",IF(ISERROR(FIND("x",LOWER(Registro!$E665))),"-",IFERROR(SUMPRODUCT(--("0"&amp;LEFT(TRIM(MID(SUBSTITUTE(SUBSTITUTE(SUBSTITUTE(SUBSTITUTE(SUBSTITUTE(LOWER(Registro!$E665),"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",LEN(Registro!$E665))),({1,2,3,4,5,6,7,8,9,10,11,12,13,14,15,16,17,18,19,20,21,22,23,24,25,26,27,28,29,30}-1)*LEN(Registro!$E665)+1,LEN(Registro!$E665))),FIND("x",TRIM(MID(SUBSTITUTE(SUBSTITUTE(SUBSTITUTE(SUBSTITUTE(SUBSTITUTE(LOWER(Registro!$E665),"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",LEN(Registro!$E665))),({1,2,3,4,5,6,7,8,9,10,11,12,13,14,15,16,17,18,19,20,21,22,23,24,25,26,27,28,29,30}-1)*LEN(Registro!$E665)+1,LEN(Registro!$E665)))&amp;"x")-1))),"Revisar formato")))</f>
        <v/>
      </c>
      <c r="E665" s="24" t="str">
        <f>IF(Registro!$E665="","",IF(ISERROR(FIND("x",LOWER(Registro!$E665))),"-",IFERROR(SUMPRODUCT(--("0"&amp;LEFT(TRIM(MID(SUBSTITUTE(SUBSTITUTE(SUBSTITUTE(SUBSTITUTE(SUBSTITUTE(LOWER(Registro!$E665),"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",LEN(Registro!$E665))),({1,2,3,4,5,6,7,8,9,10,11,12,13,14,15,16,17,18,19,20,21,22,23,24,25,26,27,28,29,30}-1)*LEN(Registro!$E665)+1,LEN(Registro!$E665))),FIND("x",TRIM(MID(SUBSTITUTE(SUBSTITUTE(SUBSTITUTE(SUBSTITUTE(SUBSTITUTE(LOWER(Registro!$E665),"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",LEN(Registro!$E665))),({1,2,3,4,5,6,7,8,9,10,11,12,13,14,15,16,17,18,19,20,21,22,23,24,25,26,27,28,29,30}-1)*LEN(Registro!$E665)+1,LEN(Registro!$E665)))&amp;"x")-1)),--("0"&amp;MID(TRIM(MID(SUBSTITUTE(SUBSTITUTE(SUBSTITUTE(SUBSTITUTE(SUBSTITUTE(LOWER(Registro!$E665),"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",LEN(Registro!$E665))),({1,2,3,4,5,6,7,8,9,10,11,12,13,14,15,16,17,18,19,20,21,22,23,24,25,26,27,28,29,30}-1)*LEN(Registro!$E665)+1,LEN(Registro!$E665))),FIND("x",TRIM(MID(SUBSTITUTE(SUBSTITUTE(SUBSTITUTE(SUBSTITUTE(SUBSTITUTE(LOWER(Registro!$E665),"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",LEN(Registro!$E665))),({1,2,3,4,5,6,7,8,9,10,11,12,13,14,15,16,17,18,19,20,21,22,23,24,25,26,27,28,29,30}-1)*LEN(Registro!$E665)+1,LEN(Registro!$E665)))&amp;"x")+1,20))),"Revisar formato")))</f>
        <v/>
      </c>
      <c r="F665" s="23" t="str">
        <f>IF(Registro!$F665="","",IF(ISERROR(FIND("x",LOWER(Registro!$F665))),"-",IFERROR(SUMPRODUCT(--("0"&amp;LEFT(TRIM(MID(SUBSTITUTE(SUBSTITUTE(SUBSTITUTE(SUBSTITUTE(SUBSTITUTE(LOWER(Registro!$F665)," ",""),CHAR(10),"|"),";","|"),"+","|"),"|",REPT(" ",LEN(Registro!$F665))),({1,2,3,4,5,6,7,8,9,10,11,12,13,14,15,16,17,18,19,20,21,22,23,24,25,26,27,28,29,30}-1)*LEN(Registro!$F665)+1,LEN(Registro!$F665))),FIND("x",TRIM(MID(SUBSTITUTE(SUBSTITUTE(SUBSTITUTE(SUBSTITUTE(SUBSTITUTE(LOWER(Registro!$F665)," ",""),CHAR(10),"|"),";","|"),"+","|"),"|",REPT(" ",LEN(Registro!$F665))),({1,2,3,4,5,6,7,8,9,10,11,12,13,14,15,16,17,18,19,20,21,22,23,24,25,26,27,28,29,30}-1)*LEN(Registro!$F665)+1,LEN(Registro!$F665)))&amp;"x")-1))),"Revisar formato")))</f>
        <v/>
      </c>
      <c r="G665" s="24" t="str">
        <f>IF(Registro!$F665="","",IF(ISERROR(FIND("x",LOWER(Registro!$F665))),N(Registro!$G665),IFERROR(SUMPRODUCT(--("0"&amp;LEFT(TRIM(MID(SUBSTITUTE(SUBSTITUTE(SUBSTITUTE(SUBSTITUTE(SUBSTITUTE(LOWER(Registro!$F665)," ",""),CHAR(10),"|"),";","|"),"+","|"),"|",REPT(" ",LEN(Registro!$F665))),({1,2,3,4,5,6,7,8,9,10,11,12,13,14,15,16,17,18,19,20,21,22,23,24,25,26,27,28,29,30}-1)*LEN(Registro!$F665)+1,LEN(Registro!$F665))),FIND("x",TRIM(MID(SUBSTITUTE(SUBSTITUTE(SUBSTITUTE(SUBSTITUTE(SUBSTITUTE(LOWER(Registro!$F665)," ",""),CHAR(10),"|"),";","|"),"+","|"),"|",REPT(" ",LEN(Registro!$F665))),({1,2,3,4,5,6,7,8,9,10,11,12,13,14,15,16,17,18,19,20,21,22,23,24,25,26,27,28,29,30}-1)*LEN(Registro!$F665)+1,LEN(Registro!$F665)))&amp;"x")-1)),--("0"&amp;MID(TRIM(MID(SUBSTITUTE(SUBSTITUTE(SUBSTITUTE(SUBSTITUTE(SUBSTITUTE(LOWER(Registro!$F665)," ",""),CHAR(10),"|"),";","|"),"+","|"),"|",REPT(" ",LEN(Registro!$F665))),({1,2,3,4,5,6,7,8,9,10,11,12,13,14,15,16,17,18,19,20,21,22,23,24,25,26,27,28,29,30}-1)*LEN(Registro!$F665)+1,LEN(Registro!$F665))),FIND("x",TRIM(MID(SUBSTITUTE(SUBSTITUTE(SUBSTITUTE(SUBSTITUTE(SUBSTITUTE(LOWER(Registro!$F665)," ",""),CHAR(10),"|"),";","|"),"+","|"),"|",REPT(" ",LEN(Registro!$F665))),({1,2,3,4,5,6,7,8,9,10,11,12,13,14,15,16,17,18,19,20,21,22,23,24,25,26,27,28,29,30}-1)*LEN(Registro!$F665)+1,LEN(Registro!$F665)))&amp;"x")+1,20))),"Revisar formato")))</f>
        <v/>
      </c>
      <c r="H665" s="21" t="str">
        <f>IF(AND(Registro!$E665="",Registro!$F665=""),"",IF(NOT(AND(ISNUMBER(G665),ISNUMBER(Registro!$G665))),"",IF(G665&lt;Registro!$G665,"FALTA BOLETOS",IF(G665=Registro!$G665,"CONFORME","DIFERENCIA"))))</f>
        <v/>
      </c>
      <c r="I665" s="24" t="str">
        <f>IF(Registro!$H665="","",IFERROR(SUMPRODUCT(--("0"&amp;TRIM(RIGHT(SUBSTITUTE(TRIM(MID(SUBSTITUTE(SUBSTITUTE(Registro!$H665,";",CHAR(10)),CHAR(10),REPT(" ",LEN(Registro!$H665))),({1,2,3,4,5,6,7,8,9,10,11,12,13,14,15,16,17,18,19,20,21,22,23,24,25,26,27,28,29,30}-1)*LEN(Registro!$H665)+1,LEN(Registro!$H665)))," ",REPT(" ",50)),50)))),"Revisar formato"))</f>
        <v/>
      </c>
      <c r="J665" s="24" t="str">
        <f>IF(Registro!$I665="","",IFERROR(SUMPRODUCT(--("0"&amp;TRIM(RIGHT(SUBSTITUTE(TRIM(MID(SUBSTITUTE(SUBSTITUTE(Registro!$I665,";",CHAR(10)),CHAR(10),REPT(" ",LEN(Registro!$I665))),({1,2,3,4,5,6,7,8,9,10,11,12,13,14,15,16,17,18,19,20,21,22,23,24,25,26,27,28,29,30}-1)*LEN(Registro!$I665)+1,LEN(Registro!$I665)))," ",REPT(" ",50)),50)))),"Revisar formato"))</f>
        <v/>
      </c>
      <c r="K665" s="24" t="str">
        <f>IF(AND(Registro!$G665="",Registro!$H665=""),"",IF(AND(ISTEXT(I665),I665&lt;&gt;""),"Revisar formato",N(Registro!$G665)-N(I665)))</f>
        <v/>
      </c>
      <c r="L665" s="24" t="str">
        <f t="shared" si="21"/>
        <v/>
      </c>
      <c r="M665" s="36" t="str">
        <f>IF(AND(A665=Consulta!$B$3,C665=Consulta!$H$3),B665*10000+ROW(),"")</f>
        <v/>
      </c>
    </row>
    <row r="666" spans="1:13" x14ac:dyDescent="0.25">
      <c r="A666" s="21" t="str">
        <f>IF(Registro!$A666="","",Registro!$A666)</f>
        <v/>
      </c>
      <c r="B666" s="20" t="str">
        <f>IF(Registro!$B666="","",Registro!$B666)</f>
        <v/>
      </c>
      <c r="C666" s="35" t="str">
        <f t="shared" si="20"/>
        <v/>
      </c>
      <c r="D666" s="23" t="str">
        <f>IF(Registro!$E666="","",IF(ISERROR(FIND("x",LOWER(Registro!$E666))),"-",IFERROR(SUMPRODUCT(--("0"&amp;LEFT(TRIM(MID(SUBSTITUTE(SUBSTITUTE(SUBSTITUTE(SUBSTITUTE(SUBSTITUTE(LOWER(Registro!$E666),"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",LEN(Registro!$E666))),({1,2,3,4,5,6,7,8,9,10,11,12,13,14,15,16,17,18,19,20,21,22,23,24,25,26,27,28,29,30}-1)*LEN(Registro!$E666)+1,LEN(Registro!$E666))),FIND("x",TRIM(MID(SUBSTITUTE(SUBSTITUTE(SUBSTITUTE(SUBSTITUTE(SUBSTITUTE(LOWER(Registro!$E666),"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",LEN(Registro!$E666))),({1,2,3,4,5,6,7,8,9,10,11,12,13,14,15,16,17,18,19,20,21,22,23,24,25,26,27,28,29,30}-1)*LEN(Registro!$E666)+1,LEN(Registro!$E666)))&amp;"x")-1))),"Revisar formato")))</f>
        <v/>
      </c>
      <c r="E666" s="24" t="str">
        <f>IF(Registro!$E666="","",IF(ISERROR(FIND("x",LOWER(Registro!$E666))),"-",IFERROR(SUMPRODUCT(--("0"&amp;LEFT(TRIM(MID(SUBSTITUTE(SUBSTITUTE(SUBSTITUTE(SUBSTITUTE(SUBSTITUTE(LOWER(Registro!$E666),"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",LEN(Registro!$E666))),({1,2,3,4,5,6,7,8,9,10,11,12,13,14,15,16,17,18,19,20,21,22,23,24,25,26,27,28,29,30}-1)*LEN(Registro!$E666)+1,LEN(Registro!$E666))),FIND("x",TRIM(MID(SUBSTITUTE(SUBSTITUTE(SUBSTITUTE(SUBSTITUTE(SUBSTITUTE(LOWER(Registro!$E666),"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",LEN(Registro!$E666))),({1,2,3,4,5,6,7,8,9,10,11,12,13,14,15,16,17,18,19,20,21,22,23,24,25,26,27,28,29,30}-1)*LEN(Registro!$E666)+1,LEN(Registro!$E666)))&amp;"x")-1)),--("0"&amp;MID(TRIM(MID(SUBSTITUTE(SUBSTITUTE(SUBSTITUTE(SUBSTITUTE(SUBSTITUTE(LOWER(Registro!$E666),"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",LEN(Registro!$E666))),({1,2,3,4,5,6,7,8,9,10,11,12,13,14,15,16,17,18,19,20,21,22,23,24,25,26,27,28,29,30}-1)*LEN(Registro!$E666)+1,LEN(Registro!$E666))),FIND("x",TRIM(MID(SUBSTITUTE(SUBSTITUTE(SUBSTITUTE(SUBSTITUTE(SUBSTITUTE(LOWER(Registro!$E666),"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",LEN(Registro!$E666))),({1,2,3,4,5,6,7,8,9,10,11,12,13,14,15,16,17,18,19,20,21,22,23,24,25,26,27,28,29,30}-1)*LEN(Registro!$E666)+1,LEN(Registro!$E666)))&amp;"x")+1,20))),"Revisar formato")))</f>
        <v/>
      </c>
      <c r="F666" s="23" t="str">
        <f>IF(Registro!$F666="","",IF(ISERROR(FIND("x",LOWER(Registro!$F666))),"-",IFERROR(SUMPRODUCT(--("0"&amp;LEFT(TRIM(MID(SUBSTITUTE(SUBSTITUTE(SUBSTITUTE(SUBSTITUTE(SUBSTITUTE(LOWER(Registro!$F666)," ",""),CHAR(10),"|"),";","|"),"+","|"),"|",REPT(" ",LEN(Registro!$F666))),({1,2,3,4,5,6,7,8,9,10,11,12,13,14,15,16,17,18,19,20,21,22,23,24,25,26,27,28,29,30}-1)*LEN(Registro!$F666)+1,LEN(Registro!$F666))),FIND("x",TRIM(MID(SUBSTITUTE(SUBSTITUTE(SUBSTITUTE(SUBSTITUTE(SUBSTITUTE(LOWER(Registro!$F666)," ",""),CHAR(10),"|"),";","|"),"+","|"),"|",REPT(" ",LEN(Registro!$F666))),({1,2,3,4,5,6,7,8,9,10,11,12,13,14,15,16,17,18,19,20,21,22,23,24,25,26,27,28,29,30}-1)*LEN(Registro!$F666)+1,LEN(Registro!$F666)))&amp;"x")-1))),"Revisar formato")))</f>
        <v/>
      </c>
      <c r="G666" s="24" t="str">
        <f>IF(Registro!$F666="","",IF(ISERROR(FIND("x",LOWER(Registro!$F666))),N(Registro!$G666),IFERROR(SUMPRODUCT(--("0"&amp;LEFT(TRIM(MID(SUBSTITUTE(SUBSTITUTE(SUBSTITUTE(SUBSTITUTE(SUBSTITUTE(LOWER(Registro!$F666)," ",""),CHAR(10),"|"),";","|"),"+","|"),"|",REPT(" ",LEN(Registro!$F666))),({1,2,3,4,5,6,7,8,9,10,11,12,13,14,15,16,17,18,19,20,21,22,23,24,25,26,27,28,29,30}-1)*LEN(Registro!$F666)+1,LEN(Registro!$F666))),FIND("x",TRIM(MID(SUBSTITUTE(SUBSTITUTE(SUBSTITUTE(SUBSTITUTE(SUBSTITUTE(LOWER(Registro!$F666)," ",""),CHAR(10),"|"),";","|"),"+","|"),"|",REPT(" ",LEN(Registro!$F666))),({1,2,3,4,5,6,7,8,9,10,11,12,13,14,15,16,17,18,19,20,21,22,23,24,25,26,27,28,29,30}-1)*LEN(Registro!$F666)+1,LEN(Registro!$F666)))&amp;"x")-1)),--("0"&amp;MID(TRIM(MID(SUBSTITUTE(SUBSTITUTE(SUBSTITUTE(SUBSTITUTE(SUBSTITUTE(LOWER(Registro!$F666)," ",""),CHAR(10),"|"),";","|"),"+","|"),"|",REPT(" ",LEN(Registro!$F666))),({1,2,3,4,5,6,7,8,9,10,11,12,13,14,15,16,17,18,19,20,21,22,23,24,25,26,27,28,29,30}-1)*LEN(Registro!$F666)+1,LEN(Registro!$F666))),FIND("x",TRIM(MID(SUBSTITUTE(SUBSTITUTE(SUBSTITUTE(SUBSTITUTE(SUBSTITUTE(LOWER(Registro!$F666)," ",""),CHAR(10),"|"),";","|"),"+","|"),"|",REPT(" ",LEN(Registro!$F666))),({1,2,3,4,5,6,7,8,9,10,11,12,13,14,15,16,17,18,19,20,21,22,23,24,25,26,27,28,29,30}-1)*LEN(Registro!$F666)+1,LEN(Registro!$F666)))&amp;"x")+1,20))),"Revisar formato")))</f>
        <v/>
      </c>
      <c r="H666" s="21" t="str">
        <f>IF(AND(Registro!$E666="",Registro!$F666=""),"",IF(NOT(AND(ISNUMBER(G666),ISNUMBER(Registro!$G666))),"",IF(G666&lt;Registro!$G666,"FALTA BOLETOS",IF(G666=Registro!$G666,"CONFORME","DIFERENCIA"))))</f>
        <v/>
      </c>
      <c r="I666" s="24" t="str">
        <f>IF(Registro!$H666="","",IFERROR(SUMPRODUCT(--("0"&amp;TRIM(RIGHT(SUBSTITUTE(TRIM(MID(SUBSTITUTE(SUBSTITUTE(Registro!$H666,";",CHAR(10)),CHAR(10),REPT(" ",LEN(Registro!$H666))),({1,2,3,4,5,6,7,8,9,10,11,12,13,14,15,16,17,18,19,20,21,22,23,24,25,26,27,28,29,30}-1)*LEN(Registro!$H666)+1,LEN(Registro!$H666)))," ",REPT(" ",50)),50)))),"Revisar formato"))</f>
        <v/>
      </c>
      <c r="J666" s="24" t="str">
        <f>IF(Registro!$I666="","",IFERROR(SUMPRODUCT(--("0"&amp;TRIM(RIGHT(SUBSTITUTE(TRIM(MID(SUBSTITUTE(SUBSTITUTE(Registro!$I666,";",CHAR(10)),CHAR(10),REPT(" ",LEN(Registro!$I666))),({1,2,3,4,5,6,7,8,9,10,11,12,13,14,15,16,17,18,19,20,21,22,23,24,25,26,27,28,29,30}-1)*LEN(Registro!$I666)+1,LEN(Registro!$I666)))," ",REPT(" ",50)),50)))),"Revisar formato"))</f>
        <v/>
      </c>
      <c r="K666" s="24" t="str">
        <f>IF(AND(Registro!$G666="",Registro!$H666=""),"",IF(AND(ISTEXT(I666),I666&lt;&gt;""),"Revisar formato",N(Registro!$G666)-N(I666)))</f>
        <v/>
      </c>
      <c r="L666" s="24" t="str">
        <f t="shared" si="21"/>
        <v/>
      </c>
      <c r="M666" s="36" t="str">
        <f>IF(AND(A666=Consulta!$B$3,C666=Consulta!$H$3),B666*10000+ROW(),"")</f>
        <v/>
      </c>
    </row>
    <row r="667" spans="1:13" x14ac:dyDescent="0.25">
      <c r="A667" s="21" t="str">
        <f>IF(Registro!$A667="","",Registro!$A667)</f>
        <v/>
      </c>
      <c r="B667" s="20" t="str">
        <f>IF(Registro!$B667="","",Registro!$B667)</f>
        <v/>
      </c>
      <c r="C667" s="35" t="str">
        <f t="shared" si="20"/>
        <v/>
      </c>
      <c r="D667" s="23" t="str">
        <f>IF(Registro!$E667="","",IF(ISERROR(FIND("x",LOWER(Registro!$E667))),"-",IFERROR(SUMPRODUCT(--("0"&amp;LEFT(TRIM(MID(SUBSTITUTE(SUBSTITUTE(SUBSTITUTE(SUBSTITUTE(SUBSTITUTE(LOWER(Registro!$E667),"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",LEN(Registro!$E667))),({1,2,3,4,5,6,7,8,9,10,11,12,13,14,15,16,17,18,19,20,21,22,23,24,25,26,27,28,29,30}-1)*LEN(Registro!$E667)+1,LEN(Registro!$E667))),FIND("x",TRIM(MID(SUBSTITUTE(SUBSTITUTE(SUBSTITUTE(SUBSTITUTE(SUBSTITUTE(LOWER(Registro!$E667),"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",LEN(Registro!$E667))),({1,2,3,4,5,6,7,8,9,10,11,12,13,14,15,16,17,18,19,20,21,22,23,24,25,26,27,28,29,30}-1)*LEN(Registro!$E667)+1,LEN(Registro!$E667)))&amp;"x")-1))),"Revisar formato")))</f>
        <v/>
      </c>
      <c r="E667" s="24" t="str">
        <f>IF(Registro!$E667="","",IF(ISERROR(FIND("x",LOWER(Registro!$E667))),"-",IFERROR(SUMPRODUCT(--("0"&amp;LEFT(TRIM(MID(SUBSTITUTE(SUBSTITUTE(SUBSTITUTE(SUBSTITUTE(SUBSTITUTE(LOWER(Registro!$E667),"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",LEN(Registro!$E667))),({1,2,3,4,5,6,7,8,9,10,11,12,13,14,15,16,17,18,19,20,21,22,23,24,25,26,27,28,29,30}-1)*LEN(Registro!$E667)+1,LEN(Registro!$E667))),FIND("x",TRIM(MID(SUBSTITUTE(SUBSTITUTE(SUBSTITUTE(SUBSTITUTE(SUBSTITUTE(LOWER(Registro!$E667),"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",LEN(Registro!$E667))),({1,2,3,4,5,6,7,8,9,10,11,12,13,14,15,16,17,18,19,20,21,22,23,24,25,26,27,28,29,30}-1)*LEN(Registro!$E667)+1,LEN(Registro!$E667)))&amp;"x")-1)),--("0"&amp;MID(TRIM(MID(SUBSTITUTE(SUBSTITUTE(SUBSTITUTE(SUBSTITUTE(SUBSTITUTE(LOWER(Registro!$E667),"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",LEN(Registro!$E667))),({1,2,3,4,5,6,7,8,9,10,11,12,13,14,15,16,17,18,19,20,21,22,23,24,25,26,27,28,29,30}-1)*LEN(Registro!$E667)+1,LEN(Registro!$E667))),FIND("x",TRIM(MID(SUBSTITUTE(SUBSTITUTE(SUBSTITUTE(SUBSTITUTE(SUBSTITUTE(LOWER(Registro!$E667),"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",LEN(Registro!$E667))),({1,2,3,4,5,6,7,8,9,10,11,12,13,14,15,16,17,18,19,20,21,22,23,24,25,26,27,28,29,30}-1)*LEN(Registro!$E667)+1,LEN(Registro!$E667)))&amp;"x")+1,20))),"Revisar formato")))</f>
        <v/>
      </c>
      <c r="F667" s="23" t="str">
        <f>IF(Registro!$F667="","",IF(ISERROR(FIND("x",LOWER(Registro!$F667))),"-",IFERROR(SUMPRODUCT(--("0"&amp;LEFT(TRIM(MID(SUBSTITUTE(SUBSTITUTE(SUBSTITUTE(SUBSTITUTE(SUBSTITUTE(LOWER(Registro!$F667)," ",""),CHAR(10),"|"),";","|"),"+","|"),"|",REPT(" ",LEN(Registro!$F667))),({1,2,3,4,5,6,7,8,9,10,11,12,13,14,15,16,17,18,19,20,21,22,23,24,25,26,27,28,29,30}-1)*LEN(Registro!$F667)+1,LEN(Registro!$F667))),FIND("x",TRIM(MID(SUBSTITUTE(SUBSTITUTE(SUBSTITUTE(SUBSTITUTE(SUBSTITUTE(LOWER(Registro!$F667)," ",""),CHAR(10),"|"),";","|"),"+","|"),"|",REPT(" ",LEN(Registro!$F667))),({1,2,3,4,5,6,7,8,9,10,11,12,13,14,15,16,17,18,19,20,21,22,23,24,25,26,27,28,29,30}-1)*LEN(Registro!$F667)+1,LEN(Registro!$F667)))&amp;"x")-1))),"Revisar formato")))</f>
        <v/>
      </c>
      <c r="G667" s="24" t="str">
        <f>IF(Registro!$F667="","",IF(ISERROR(FIND("x",LOWER(Registro!$F667))),N(Registro!$G667),IFERROR(SUMPRODUCT(--("0"&amp;LEFT(TRIM(MID(SUBSTITUTE(SUBSTITUTE(SUBSTITUTE(SUBSTITUTE(SUBSTITUTE(LOWER(Registro!$F667)," ",""),CHAR(10),"|"),";","|"),"+","|"),"|",REPT(" ",LEN(Registro!$F667))),({1,2,3,4,5,6,7,8,9,10,11,12,13,14,15,16,17,18,19,20,21,22,23,24,25,26,27,28,29,30}-1)*LEN(Registro!$F667)+1,LEN(Registro!$F667))),FIND("x",TRIM(MID(SUBSTITUTE(SUBSTITUTE(SUBSTITUTE(SUBSTITUTE(SUBSTITUTE(LOWER(Registro!$F667)," ",""),CHAR(10),"|"),";","|"),"+","|"),"|",REPT(" ",LEN(Registro!$F667))),({1,2,3,4,5,6,7,8,9,10,11,12,13,14,15,16,17,18,19,20,21,22,23,24,25,26,27,28,29,30}-1)*LEN(Registro!$F667)+1,LEN(Registro!$F667)))&amp;"x")-1)),--("0"&amp;MID(TRIM(MID(SUBSTITUTE(SUBSTITUTE(SUBSTITUTE(SUBSTITUTE(SUBSTITUTE(LOWER(Registro!$F667)," ",""),CHAR(10),"|"),";","|"),"+","|"),"|",REPT(" ",LEN(Registro!$F667))),({1,2,3,4,5,6,7,8,9,10,11,12,13,14,15,16,17,18,19,20,21,22,23,24,25,26,27,28,29,30}-1)*LEN(Registro!$F667)+1,LEN(Registro!$F667))),FIND("x",TRIM(MID(SUBSTITUTE(SUBSTITUTE(SUBSTITUTE(SUBSTITUTE(SUBSTITUTE(LOWER(Registro!$F667)," ",""),CHAR(10),"|"),";","|"),"+","|"),"|",REPT(" ",LEN(Registro!$F667))),({1,2,3,4,5,6,7,8,9,10,11,12,13,14,15,16,17,18,19,20,21,22,23,24,25,26,27,28,29,30}-1)*LEN(Registro!$F667)+1,LEN(Registro!$F667)))&amp;"x")+1,20))),"Revisar formato")))</f>
        <v/>
      </c>
      <c r="H667" s="21" t="str">
        <f>IF(AND(Registro!$E667="",Registro!$F667=""),"",IF(NOT(AND(ISNUMBER(G667),ISNUMBER(Registro!$G667))),"",IF(G667&lt;Registro!$G667,"FALTA BOLETOS",IF(G667=Registro!$G667,"CONFORME","DIFERENCIA"))))</f>
        <v/>
      </c>
      <c r="I667" s="24" t="str">
        <f>IF(Registro!$H667="","",IFERROR(SUMPRODUCT(--("0"&amp;TRIM(RIGHT(SUBSTITUTE(TRIM(MID(SUBSTITUTE(SUBSTITUTE(Registro!$H667,";",CHAR(10)),CHAR(10),REPT(" ",LEN(Registro!$H667))),({1,2,3,4,5,6,7,8,9,10,11,12,13,14,15,16,17,18,19,20,21,22,23,24,25,26,27,28,29,30}-1)*LEN(Registro!$H667)+1,LEN(Registro!$H667)))," ",REPT(" ",50)),50)))),"Revisar formato"))</f>
        <v/>
      </c>
      <c r="J667" s="24" t="str">
        <f>IF(Registro!$I667="","",IFERROR(SUMPRODUCT(--("0"&amp;TRIM(RIGHT(SUBSTITUTE(TRIM(MID(SUBSTITUTE(SUBSTITUTE(Registro!$I667,";",CHAR(10)),CHAR(10),REPT(" ",LEN(Registro!$I667))),({1,2,3,4,5,6,7,8,9,10,11,12,13,14,15,16,17,18,19,20,21,22,23,24,25,26,27,28,29,30}-1)*LEN(Registro!$I667)+1,LEN(Registro!$I667)))," ",REPT(" ",50)),50)))),"Revisar formato"))</f>
        <v/>
      </c>
      <c r="K667" s="24" t="str">
        <f>IF(AND(Registro!$G667="",Registro!$H667=""),"",IF(AND(ISTEXT(I667),I667&lt;&gt;""),"Revisar formato",N(Registro!$G667)-N(I667)))</f>
        <v/>
      </c>
      <c r="L667" s="24" t="str">
        <f t="shared" si="21"/>
        <v/>
      </c>
      <c r="M667" s="36" t="str">
        <f>IF(AND(A667=Consulta!$B$3,C667=Consulta!$H$3),B667*10000+ROW(),"")</f>
        <v/>
      </c>
    </row>
    <row r="668" spans="1:13" x14ac:dyDescent="0.25">
      <c r="A668" s="21" t="str">
        <f>IF(Registro!$A668="","",Registro!$A668)</f>
        <v/>
      </c>
      <c r="B668" s="20" t="str">
        <f>IF(Registro!$B668="","",Registro!$B668)</f>
        <v/>
      </c>
      <c r="C668" s="35" t="str">
        <f t="shared" si="20"/>
        <v/>
      </c>
      <c r="D668" s="23" t="str">
        <f>IF(Registro!$E668="","",IF(ISERROR(FIND("x",LOWER(Registro!$E668))),"-",IFERROR(SUMPRODUCT(--("0"&amp;LEFT(TRIM(MID(SUBSTITUTE(SUBSTITUTE(SUBSTITUTE(SUBSTITUTE(SUBSTITUTE(LOWER(Registro!$E668),"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",LEN(Registro!$E668))),({1,2,3,4,5,6,7,8,9,10,11,12,13,14,15,16,17,18,19,20,21,22,23,24,25,26,27,28,29,30}-1)*LEN(Registro!$E668)+1,LEN(Registro!$E668))),FIND("x",TRIM(MID(SUBSTITUTE(SUBSTITUTE(SUBSTITUTE(SUBSTITUTE(SUBSTITUTE(LOWER(Registro!$E668),"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",LEN(Registro!$E668))),({1,2,3,4,5,6,7,8,9,10,11,12,13,14,15,16,17,18,19,20,21,22,23,24,25,26,27,28,29,30}-1)*LEN(Registro!$E668)+1,LEN(Registro!$E668)))&amp;"x")-1))),"Revisar formato")))</f>
        <v/>
      </c>
      <c r="E668" s="24" t="str">
        <f>IF(Registro!$E668="","",IF(ISERROR(FIND("x",LOWER(Registro!$E668))),"-",IFERROR(SUMPRODUCT(--("0"&amp;LEFT(TRIM(MID(SUBSTITUTE(SUBSTITUTE(SUBSTITUTE(SUBSTITUTE(SUBSTITUTE(LOWER(Registro!$E668),"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",LEN(Registro!$E668))),({1,2,3,4,5,6,7,8,9,10,11,12,13,14,15,16,17,18,19,20,21,22,23,24,25,26,27,28,29,30}-1)*LEN(Registro!$E668)+1,LEN(Registro!$E668))),FIND("x",TRIM(MID(SUBSTITUTE(SUBSTITUTE(SUBSTITUTE(SUBSTITUTE(SUBSTITUTE(LOWER(Registro!$E668),"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",LEN(Registro!$E668))),({1,2,3,4,5,6,7,8,9,10,11,12,13,14,15,16,17,18,19,20,21,22,23,24,25,26,27,28,29,30}-1)*LEN(Registro!$E668)+1,LEN(Registro!$E668)))&amp;"x")-1)),--("0"&amp;MID(TRIM(MID(SUBSTITUTE(SUBSTITUTE(SUBSTITUTE(SUBSTITUTE(SUBSTITUTE(LOWER(Registro!$E668),"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",LEN(Registro!$E668))),({1,2,3,4,5,6,7,8,9,10,11,12,13,14,15,16,17,18,19,20,21,22,23,24,25,26,27,28,29,30}-1)*LEN(Registro!$E668)+1,LEN(Registro!$E668))),FIND("x",TRIM(MID(SUBSTITUTE(SUBSTITUTE(SUBSTITUTE(SUBSTITUTE(SUBSTITUTE(LOWER(Registro!$E668),"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",LEN(Registro!$E668))),({1,2,3,4,5,6,7,8,9,10,11,12,13,14,15,16,17,18,19,20,21,22,23,24,25,26,27,28,29,30}-1)*LEN(Registro!$E668)+1,LEN(Registro!$E668)))&amp;"x")+1,20))),"Revisar formato")))</f>
        <v/>
      </c>
      <c r="F668" s="23" t="str">
        <f>IF(Registro!$F668="","",IF(ISERROR(FIND("x",LOWER(Registro!$F668))),"-",IFERROR(SUMPRODUCT(--("0"&amp;LEFT(TRIM(MID(SUBSTITUTE(SUBSTITUTE(SUBSTITUTE(SUBSTITUTE(SUBSTITUTE(LOWER(Registro!$F668)," ",""),CHAR(10),"|"),";","|"),"+","|"),"|",REPT(" ",LEN(Registro!$F668))),({1,2,3,4,5,6,7,8,9,10,11,12,13,14,15,16,17,18,19,20,21,22,23,24,25,26,27,28,29,30}-1)*LEN(Registro!$F668)+1,LEN(Registro!$F668))),FIND("x",TRIM(MID(SUBSTITUTE(SUBSTITUTE(SUBSTITUTE(SUBSTITUTE(SUBSTITUTE(LOWER(Registro!$F668)," ",""),CHAR(10),"|"),";","|"),"+","|"),"|",REPT(" ",LEN(Registro!$F668))),({1,2,3,4,5,6,7,8,9,10,11,12,13,14,15,16,17,18,19,20,21,22,23,24,25,26,27,28,29,30}-1)*LEN(Registro!$F668)+1,LEN(Registro!$F668)))&amp;"x")-1))),"Revisar formato")))</f>
        <v/>
      </c>
      <c r="G668" s="24" t="str">
        <f>IF(Registro!$F668="","",IF(ISERROR(FIND("x",LOWER(Registro!$F668))),N(Registro!$G668),IFERROR(SUMPRODUCT(--("0"&amp;LEFT(TRIM(MID(SUBSTITUTE(SUBSTITUTE(SUBSTITUTE(SUBSTITUTE(SUBSTITUTE(LOWER(Registro!$F668)," ",""),CHAR(10),"|"),";","|"),"+","|"),"|",REPT(" ",LEN(Registro!$F668))),({1,2,3,4,5,6,7,8,9,10,11,12,13,14,15,16,17,18,19,20,21,22,23,24,25,26,27,28,29,30}-1)*LEN(Registro!$F668)+1,LEN(Registro!$F668))),FIND("x",TRIM(MID(SUBSTITUTE(SUBSTITUTE(SUBSTITUTE(SUBSTITUTE(SUBSTITUTE(LOWER(Registro!$F668)," ",""),CHAR(10),"|"),";","|"),"+","|"),"|",REPT(" ",LEN(Registro!$F668))),({1,2,3,4,5,6,7,8,9,10,11,12,13,14,15,16,17,18,19,20,21,22,23,24,25,26,27,28,29,30}-1)*LEN(Registro!$F668)+1,LEN(Registro!$F668)))&amp;"x")-1)),--("0"&amp;MID(TRIM(MID(SUBSTITUTE(SUBSTITUTE(SUBSTITUTE(SUBSTITUTE(SUBSTITUTE(LOWER(Registro!$F668)," ",""),CHAR(10),"|"),";","|"),"+","|"),"|",REPT(" ",LEN(Registro!$F668))),({1,2,3,4,5,6,7,8,9,10,11,12,13,14,15,16,17,18,19,20,21,22,23,24,25,26,27,28,29,30}-1)*LEN(Registro!$F668)+1,LEN(Registro!$F668))),FIND("x",TRIM(MID(SUBSTITUTE(SUBSTITUTE(SUBSTITUTE(SUBSTITUTE(SUBSTITUTE(LOWER(Registro!$F668)," ",""),CHAR(10),"|"),";","|"),"+","|"),"|",REPT(" ",LEN(Registro!$F668))),({1,2,3,4,5,6,7,8,9,10,11,12,13,14,15,16,17,18,19,20,21,22,23,24,25,26,27,28,29,30}-1)*LEN(Registro!$F668)+1,LEN(Registro!$F668)))&amp;"x")+1,20))),"Revisar formato")))</f>
        <v/>
      </c>
      <c r="H668" s="21" t="str">
        <f>IF(AND(Registro!$E668="",Registro!$F668=""),"",IF(NOT(AND(ISNUMBER(G668),ISNUMBER(Registro!$G668))),"",IF(G668&lt;Registro!$G668,"FALTA BOLETOS",IF(G668=Registro!$G668,"CONFORME","DIFERENCIA"))))</f>
        <v/>
      </c>
      <c r="I668" s="24" t="str">
        <f>IF(Registro!$H668="","",IFERROR(SUMPRODUCT(--("0"&amp;TRIM(RIGHT(SUBSTITUTE(TRIM(MID(SUBSTITUTE(SUBSTITUTE(Registro!$H668,";",CHAR(10)),CHAR(10),REPT(" ",LEN(Registro!$H668))),({1,2,3,4,5,6,7,8,9,10,11,12,13,14,15,16,17,18,19,20,21,22,23,24,25,26,27,28,29,30}-1)*LEN(Registro!$H668)+1,LEN(Registro!$H668)))," ",REPT(" ",50)),50)))),"Revisar formato"))</f>
        <v/>
      </c>
      <c r="J668" s="24" t="str">
        <f>IF(Registro!$I668="","",IFERROR(SUMPRODUCT(--("0"&amp;TRIM(RIGHT(SUBSTITUTE(TRIM(MID(SUBSTITUTE(SUBSTITUTE(Registro!$I668,";",CHAR(10)),CHAR(10),REPT(" ",LEN(Registro!$I668))),({1,2,3,4,5,6,7,8,9,10,11,12,13,14,15,16,17,18,19,20,21,22,23,24,25,26,27,28,29,30}-1)*LEN(Registro!$I668)+1,LEN(Registro!$I668)))," ",REPT(" ",50)),50)))),"Revisar formato"))</f>
        <v/>
      </c>
      <c r="K668" s="24" t="str">
        <f>IF(AND(Registro!$G668="",Registro!$H668=""),"",IF(AND(ISTEXT(I668),I668&lt;&gt;""),"Revisar formato",N(Registro!$G668)-N(I668)))</f>
        <v/>
      </c>
      <c r="L668" s="24" t="str">
        <f t="shared" si="21"/>
        <v/>
      </c>
      <c r="M668" s="36" t="str">
        <f>IF(AND(A668=Consulta!$B$3,C668=Consulta!$H$3),B668*10000+ROW(),"")</f>
        <v/>
      </c>
    </row>
    <row r="669" spans="1:13" x14ac:dyDescent="0.25">
      <c r="A669" s="21" t="str">
        <f>IF(Registro!$A669="","",Registro!$A669)</f>
        <v/>
      </c>
      <c r="B669" s="20" t="str">
        <f>IF(Registro!$B669="","",Registro!$B669)</f>
        <v/>
      </c>
      <c r="C669" s="35" t="str">
        <f t="shared" si="20"/>
        <v/>
      </c>
      <c r="D669" s="23" t="str">
        <f>IF(Registro!$E669="","",IF(ISERROR(FIND("x",LOWER(Registro!$E669))),"-",IFERROR(SUMPRODUCT(--("0"&amp;LEFT(TRIM(MID(SUBSTITUTE(SUBSTITUTE(SUBSTITUTE(SUBSTITUTE(SUBSTITUTE(LOWER(Registro!$E669),"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",LEN(Registro!$E669))),({1,2,3,4,5,6,7,8,9,10,11,12,13,14,15,16,17,18,19,20,21,22,23,24,25,26,27,28,29,30}-1)*LEN(Registro!$E669)+1,LEN(Registro!$E669))),FIND("x",TRIM(MID(SUBSTITUTE(SUBSTITUTE(SUBSTITUTE(SUBSTITUTE(SUBSTITUTE(LOWER(Registro!$E669),"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",LEN(Registro!$E669))),({1,2,3,4,5,6,7,8,9,10,11,12,13,14,15,16,17,18,19,20,21,22,23,24,25,26,27,28,29,30}-1)*LEN(Registro!$E669)+1,LEN(Registro!$E669)))&amp;"x")-1))),"Revisar formato")))</f>
        <v/>
      </c>
      <c r="E669" s="24" t="str">
        <f>IF(Registro!$E669="","",IF(ISERROR(FIND("x",LOWER(Registro!$E669))),"-",IFERROR(SUMPRODUCT(--("0"&amp;LEFT(TRIM(MID(SUBSTITUTE(SUBSTITUTE(SUBSTITUTE(SUBSTITUTE(SUBSTITUTE(LOWER(Registro!$E669),"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",LEN(Registro!$E669))),({1,2,3,4,5,6,7,8,9,10,11,12,13,14,15,16,17,18,19,20,21,22,23,24,25,26,27,28,29,30}-1)*LEN(Registro!$E669)+1,LEN(Registro!$E669))),FIND("x",TRIM(MID(SUBSTITUTE(SUBSTITUTE(SUBSTITUTE(SUBSTITUTE(SUBSTITUTE(LOWER(Registro!$E669),"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",LEN(Registro!$E669))),({1,2,3,4,5,6,7,8,9,10,11,12,13,14,15,16,17,18,19,20,21,22,23,24,25,26,27,28,29,30}-1)*LEN(Registro!$E669)+1,LEN(Registro!$E669)))&amp;"x")-1)),--("0"&amp;MID(TRIM(MID(SUBSTITUTE(SUBSTITUTE(SUBSTITUTE(SUBSTITUTE(SUBSTITUTE(LOWER(Registro!$E669),"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",LEN(Registro!$E669))),({1,2,3,4,5,6,7,8,9,10,11,12,13,14,15,16,17,18,19,20,21,22,23,24,25,26,27,28,29,30}-1)*LEN(Registro!$E669)+1,LEN(Registro!$E669))),FIND("x",TRIM(MID(SUBSTITUTE(SUBSTITUTE(SUBSTITUTE(SUBSTITUTE(SUBSTITUTE(LOWER(Registro!$E669),"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",LEN(Registro!$E669))),({1,2,3,4,5,6,7,8,9,10,11,12,13,14,15,16,17,18,19,20,21,22,23,24,25,26,27,28,29,30}-1)*LEN(Registro!$E669)+1,LEN(Registro!$E669)))&amp;"x")+1,20))),"Revisar formato")))</f>
        <v/>
      </c>
      <c r="F669" s="23" t="str">
        <f>IF(Registro!$F669="","",IF(ISERROR(FIND("x",LOWER(Registro!$F669))),"-",IFERROR(SUMPRODUCT(--("0"&amp;LEFT(TRIM(MID(SUBSTITUTE(SUBSTITUTE(SUBSTITUTE(SUBSTITUTE(SUBSTITUTE(LOWER(Registro!$F669)," ",""),CHAR(10),"|"),";","|"),"+","|"),"|",REPT(" ",LEN(Registro!$F669))),({1,2,3,4,5,6,7,8,9,10,11,12,13,14,15,16,17,18,19,20,21,22,23,24,25,26,27,28,29,30}-1)*LEN(Registro!$F669)+1,LEN(Registro!$F669))),FIND("x",TRIM(MID(SUBSTITUTE(SUBSTITUTE(SUBSTITUTE(SUBSTITUTE(SUBSTITUTE(LOWER(Registro!$F669)," ",""),CHAR(10),"|"),";","|"),"+","|"),"|",REPT(" ",LEN(Registro!$F669))),({1,2,3,4,5,6,7,8,9,10,11,12,13,14,15,16,17,18,19,20,21,22,23,24,25,26,27,28,29,30}-1)*LEN(Registro!$F669)+1,LEN(Registro!$F669)))&amp;"x")-1))),"Revisar formato")))</f>
        <v/>
      </c>
      <c r="G669" s="24" t="str">
        <f>IF(Registro!$F669="","",IF(ISERROR(FIND("x",LOWER(Registro!$F669))),N(Registro!$G669),IFERROR(SUMPRODUCT(--("0"&amp;LEFT(TRIM(MID(SUBSTITUTE(SUBSTITUTE(SUBSTITUTE(SUBSTITUTE(SUBSTITUTE(LOWER(Registro!$F669)," ",""),CHAR(10),"|"),";","|"),"+","|"),"|",REPT(" ",LEN(Registro!$F669))),({1,2,3,4,5,6,7,8,9,10,11,12,13,14,15,16,17,18,19,20,21,22,23,24,25,26,27,28,29,30}-1)*LEN(Registro!$F669)+1,LEN(Registro!$F669))),FIND("x",TRIM(MID(SUBSTITUTE(SUBSTITUTE(SUBSTITUTE(SUBSTITUTE(SUBSTITUTE(LOWER(Registro!$F669)," ",""),CHAR(10),"|"),";","|"),"+","|"),"|",REPT(" ",LEN(Registro!$F669))),({1,2,3,4,5,6,7,8,9,10,11,12,13,14,15,16,17,18,19,20,21,22,23,24,25,26,27,28,29,30}-1)*LEN(Registro!$F669)+1,LEN(Registro!$F669)))&amp;"x")-1)),--("0"&amp;MID(TRIM(MID(SUBSTITUTE(SUBSTITUTE(SUBSTITUTE(SUBSTITUTE(SUBSTITUTE(LOWER(Registro!$F669)," ",""),CHAR(10),"|"),";","|"),"+","|"),"|",REPT(" ",LEN(Registro!$F669))),({1,2,3,4,5,6,7,8,9,10,11,12,13,14,15,16,17,18,19,20,21,22,23,24,25,26,27,28,29,30}-1)*LEN(Registro!$F669)+1,LEN(Registro!$F669))),FIND("x",TRIM(MID(SUBSTITUTE(SUBSTITUTE(SUBSTITUTE(SUBSTITUTE(SUBSTITUTE(LOWER(Registro!$F669)," ",""),CHAR(10),"|"),";","|"),"+","|"),"|",REPT(" ",LEN(Registro!$F669))),({1,2,3,4,5,6,7,8,9,10,11,12,13,14,15,16,17,18,19,20,21,22,23,24,25,26,27,28,29,30}-1)*LEN(Registro!$F669)+1,LEN(Registro!$F669)))&amp;"x")+1,20))),"Revisar formato")))</f>
        <v/>
      </c>
      <c r="H669" s="21" t="str">
        <f>IF(AND(Registro!$E669="",Registro!$F669=""),"",IF(NOT(AND(ISNUMBER(G669),ISNUMBER(Registro!$G669))),"",IF(G669&lt;Registro!$G669,"FALTA BOLETOS",IF(G669=Registro!$G669,"CONFORME","DIFERENCIA"))))</f>
        <v/>
      </c>
      <c r="I669" s="24" t="str">
        <f>IF(Registro!$H669="","",IFERROR(SUMPRODUCT(--("0"&amp;TRIM(RIGHT(SUBSTITUTE(TRIM(MID(SUBSTITUTE(SUBSTITUTE(Registro!$H669,";",CHAR(10)),CHAR(10),REPT(" ",LEN(Registro!$H669))),({1,2,3,4,5,6,7,8,9,10,11,12,13,14,15,16,17,18,19,20,21,22,23,24,25,26,27,28,29,30}-1)*LEN(Registro!$H669)+1,LEN(Registro!$H669)))," ",REPT(" ",50)),50)))),"Revisar formato"))</f>
        <v/>
      </c>
      <c r="J669" s="24" t="str">
        <f>IF(Registro!$I669="","",IFERROR(SUMPRODUCT(--("0"&amp;TRIM(RIGHT(SUBSTITUTE(TRIM(MID(SUBSTITUTE(SUBSTITUTE(Registro!$I669,";",CHAR(10)),CHAR(10),REPT(" ",LEN(Registro!$I669))),({1,2,3,4,5,6,7,8,9,10,11,12,13,14,15,16,17,18,19,20,21,22,23,24,25,26,27,28,29,30}-1)*LEN(Registro!$I669)+1,LEN(Registro!$I669)))," ",REPT(" ",50)),50)))),"Revisar formato"))</f>
        <v/>
      </c>
      <c r="K669" s="24" t="str">
        <f>IF(AND(Registro!$G669="",Registro!$H669=""),"",IF(AND(ISTEXT(I669),I669&lt;&gt;""),"Revisar formato",N(Registro!$G669)-N(I669)))</f>
        <v/>
      </c>
      <c r="L669" s="24" t="str">
        <f t="shared" si="21"/>
        <v/>
      </c>
      <c r="M669" s="36" t="str">
        <f>IF(AND(A669=Consulta!$B$3,C669=Consulta!$H$3),B669*10000+ROW(),"")</f>
        <v/>
      </c>
    </row>
    <row r="670" spans="1:13" x14ac:dyDescent="0.25">
      <c r="A670" s="21" t="str">
        <f>IF(Registro!$A670="","",Registro!$A670)</f>
        <v/>
      </c>
      <c r="B670" s="20" t="str">
        <f>IF(Registro!$B670="","",Registro!$B670)</f>
        <v/>
      </c>
      <c r="C670" s="35" t="str">
        <f t="shared" si="20"/>
        <v/>
      </c>
      <c r="D670" s="23" t="str">
        <f>IF(Registro!$E670="","",IF(ISERROR(FIND("x",LOWER(Registro!$E670))),"-",IFERROR(SUMPRODUCT(--("0"&amp;LEFT(TRIM(MID(SUBSTITUTE(SUBSTITUTE(SUBSTITUTE(SUBSTITUTE(SUBSTITUTE(LOWER(Registro!$E670),"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",LEN(Registro!$E670))),({1,2,3,4,5,6,7,8,9,10,11,12,13,14,15,16,17,18,19,20,21,22,23,24,25,26,27,28,29,30}-1)*LEN(Registro!$E670)+1,LEN(Registro!$E670))),FIND("x",TRIM(MID(SUBSTITUTE(SUBSTITUTE(SUBSTITUTE(SUBSTITUTE(SUBSTITUTE(LOWER(Registro!$E670),"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",LEN(Registro!$E670))),({1,2,3,4,5,6,7,8,9,10,11,12,13,14,15,16,17,18,19,20,21,22,23,24,25,26,27,28,29,30}-1)*LEN(Registro!$E670)+1,LEN(Registro!$E670)))&amp;"x")-1))),"Revisar formato")))</f>
        <v/>
      </c>
      <c r="E670" s="24" t="str">
        <f>IF(Registro!$E670="","",IF(ISERROR(FIND("x",LOWER(Registro!$E670))),"-",IFERROR(SUMPRODUCT(--("0"&amp;LEFT(TRIM(MID(SUBSTITUTE(SUBSTITUTE(SUBSTITUTE(SUBSTITUTE(SUBSTITUTE(LOWER(Registro!$E670),"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",LEN(Registro!$E670))),({1,2,3,4,5,6,7,8,9,10,11,12,13,14,15,16,17,18,19,20,21,22,23,24,25,26,27,28,29,30}-1)*LEN(Registro!$E670)+1,LEN(Registro!$E670))),FIND("x",TRIM(MID(SUBSTITUTE(SUBSTITUTE(SUBSTITUTE(SUBSTITUTE(SUBSTITUTE(LOWER(Registro!$E670),"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",LEN(Registro!$E670))),({1,2,3,4,5,6,7,8,9,10,11,12,13,14,15,16,17,18,19,20,21,22,23,24,25,26,27,28,29,30}-1)*LEN(Registro!$E670)+1,LEN(Registro!$E670)))&amp;"x")-1)),--("0"&amp;MID(TRIM(MID(SUBSTITUTE(SUBSTITUTE(SUBSTITUTE(SUBSTITUTE(SUBSTITUTE(LOWER(Registro!$E670),"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",LEN(Registro!$E670))),({1,2,3,4,5,6,7,8,9,10,11,12,13,14,15,16,17,18,19,20,21,22,23,24,25,26,27,28,29,30}-1)*LEN(Registro!$E670)+1,LEN(Registro!$E670))),FIND("x",TRIM(MID(SUBSTITUTE(SUBSTITUTE(SUBSTITUTE(SUBSTITUTE(SUBSTITUTE(LOWER(Registro!$E670),"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",LEN(Registro!$E670))),({1,2,3,4,5,6,7,8,9,10,11,12,13,14,15,16,17,18,19,20,21,22,23,24,25,26,27,28,29,30}-1)*LEN(Registro!$E670)+1,LEN(Registro!$E670)))&amp;"x")+1,20))),"Revisar formato")))</f>
        <v/>
      </c>
      <c r="F670" s="23" t="str">
        <f>IF(Registro!$F670="","",IF(ISERROR(FIND("x",LOWER(Registro!$F670))),"-",IFERROR(SUMPRODUCT(--("0"&amp;LEFT(TRIM(MID(SUBSTITUTE(SUBSTITUTE(SUBSTITUTE(SUBSTITUTE(SUBSTITUTE(LOWER(Registro!$F670)," ",""),CHAR(10),"|"),";","|"),"+","|"),"|",REPT(" ",LEN(Registro!$F670))),({1,2,3,4,5,6,7,8,9,10,11,12,13,14,15,16,17,18,19,20,21,22,23,24,25,26,27,28,29,30}-1)*LEN(Registro!$F670)+1,LEN(Registro!$F670))),FIND("x",TRIM(MID(SUBSTITUTE(SUBSTITUTE(SUBSTITUTE(SUBSTITUTE(SUBSTITUTE(LOWER(Registro!$F670)," ",""),CHAR(10),"|"),";","|"),"+","|"),"|",REPT(" ",LEN(Registro!$F670))),({1,2,3,4,5,6,7,8,9,10,11,12,13,14,15,16,17,18,19,20,21,22,23,24,25,26,27,28,29,30}-1)*LEN(Registro!$F670)+1,LEN(Registro!$F670)))&amp;"x")-1))),"Revisar formato")))</f>
        <v/>
      </c>
      <c r="G670" s="24" t="str">
        <f>IF(Registro!$F670="","",IF(ISERROR(FIND("x",LOWER(Registro!$F670))),N(Registro!$G670),IFERROR(SUMPRODUCT(--("0"&amp;LEFT(TRIM(MID(SUBSTITUTE(SUBSTITUTE(SUBSTITUTE(SUBSTITUTE(SUBSTITUTE(LOWER(Registro!$F670)," ",""),CHAR(10),"|"),";","|"),"+","|"),"|",REPT(" ",LEN(Registro!$F670))),({1,2,3,4,5,6,7,8,9,10,11,12,13,14,15,16,17,18,19,20,21,22,23,24,25,26,27,28,29,30}-1)*LEN(Registro!$F670)+1,LEN(Registro!$F670))),FIND("x",TRIM(MID(SUBSTITUTE(SUBSTITUTE(SUBSTITUTE(SUBSTITUTE(SUBSTITUTE(LOWER(Registro!$F670)," ",""),CHAR(10),"|"),";","|"),"+","|"),"|",REPT(" ",LEN(Registro!$F670))),({1,2,3,4,5,6,7,8,9,10,11,12,13,14,15,16,17,18,19,20,21,22,23,24,25,26,27,28,29,30}-1)*LEN(Registro!$F670)+1,LEN(Registro!$F670)))&amp;"x")-1)),--("0"&amp;MID(TRIM(MID(SUBSTITUTE(SUBSTITUTE(SUBSTITUTE(SUBSTITUTE(SUBSTITUTE(LOWER(Registro!$F670)," ",""),CHAR(10),"|"),";","|"),"+","|"),"|",REPT(" ",LEN(Registro!$F670))),({1,2,3,4,5,6,7,8,9,10,11,12,13,14,15,16,17,18,19,20,21,22,23,24,25,26,27,28,29,30}-1)*LEN(Registro!$F670)+1,LEN(Registro!$F670))),FIND("x",TRIM(MID(SUBSTITUTE(SUBSTITUTE(SUBSTITUTE(SUBSTITUTE(SUBSTITUTE(LOWER(Registro!$F670)," ",""),CHAR(10),"|"),";","|"),"+","|"),"|",REPT(" ",LEN(Registro!$F670))),({1,2,3,4,5,6,7,8,9,10,11,12,13,14,15,16,17,18,19,20,21,22,23,24,25,26,27,28,29,30}-1)*LEN(Registro!$F670)+1,LEN(Registro!$F670)))&amp;"x")+1,20))),"Revisar formato")))</f>
        <v/>
      </c>
      <c r="H670" s="21" t="str">
        <f>IF(AND(Registro!$E670="",Registro!$F670=""),"",IF(NOT(AND(ISNUMBER(G670),ISNUMBER(Registro!$G670))),"",IF(G670&lt;Registro!$G670,"FALTA BOLETOS",IF(G670=Registro!$G670,"CONFORME","DIFERENCIA"))))</f>
        <v/>
      </c>
      <c r="I670" s="24" t="str">
        <f>IF(Registro!$H670="","",IFERROR(SUMPRODUCT(--("0"&amp;TRIM(RIGHT(SUBSTITUTE(TRIM(MID(SUBSTITUTE(SUBSTITUTE(Registro!$H670,";",CHAR(10)),CHAR(10),REPT(" ",LEN(Registro!$H670))),({1,2,3,4,5,6,7,8,9,10,11,12,13,14,15,16,17,18,19,20,21,22,23,24,25,26,27,28,29,30}-1)*LEN(Registro!$H670)+1,LEN(Registro!$H670)))," ",REPT(" ",50)),50)))),"Revisar formato"))</f>
        <v/>
      </c>
      <c r="J670" s="24" t="str">
        <f>IF(Registro!$I670="","",IFERROR(SUMPRODUCT(--("0"&amp;TRIM(RIGHT(SUBSTITUTE(TRIM(MID(SUBSTITUTE(SUBSTITUTE(Registro!$I670,";",CHAR(10)),CHAR(10),REPT(" ",LEN(Registro!$I670))),({1,2,3,4,5,6,7,8,9,10,11,12,13,14,15,16,17,18,19,20,21,22,23,24,25,26,27,28,29,30}-1)*LEN(Registro!$I670)+1,LEN(Registro!$I670)))," ",REPT(" ",50)),50)))),"Revisar formato"))</f>
        <v/>
      </c>
      <c r="K670" s="24" t="str">
        <f>IF(AND(Registro!$G670="",Registro!$H670=""),"",IF(AND(ISTEXT(I670),I670&lt;&gt;""),"Revisar formato",N(Registro!$G670)-N(I670)))</f>
        <v/>
      </c>
      <c r="L670" s="24" t="str">
        <f t="shared" si="21"/>
        <v/>
      </c>
      <c r="M670" s="36" t="str">
        <f>IF(AND(A670=Consulta!$B$3,C670=Consulta!$H$3),B670*10000+ROW(),"")</f>
        <v/>
      </c>
    </row>
    <row r="671" spans="1:13" x14ac:dyDescent="0.25">
      <c r="A671" s="21" t="str">
        <f>IF(Registro!$A671="","",Registro!$A671)</f>
        <v/>
      </c>
      <c r="B671" s="20" t="str">
        <f>IF(Registro!$B671="","",Registro!$B671)</f>
        <v/>
      </c>
      <c r="C671" s="35" t="str">
        <f t="shared" si="20"/>
        <v/>
      </c>
      <c r="D671" s="23" t="str">
        <f>IF(Registro!$E671="","",IF(ISERROR(FIND("x",LOWER(Registro!$E671))),"-",IFERROR(SUMPRODUCT(--("0"&amp;LEFT(TRIM(MID(SUBSTITUTE(SUBSTITUTE(SUBSTITUTE(SUBSTITUTE(SUBSTITUTE(LOWER(Registro!$E671),"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",LEN(Registro!$E671))),({1,2,3,4,5,6,7,8,9,10,11,12,13,14,15,16,17,18,19,20,21,22,23,24,25,26,27,28,29,30}-1)*LEN(Registro!$E671)+1,LEN(Registro!$E671))),FIND("x",TRIM(MID(SUBSTITUTE(SUBSTITUTE(SUBSTITUTE(SUBSTITUTE(SUBSTITUTE(LOWER(Registro!$E671),"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",LEN(Registro!$E671))),({1,2,3,4,5,6,7,8,9,10,11,12,13,14,15,16,17,18,19,20,21,22,23,24,25,26,27,28,29,30}-1)*LEN(Registro!$E671)+1,LEN(Registro!$E671)))&amp;"x")-1))),"Revisar formato")))</f>
        <v/>
      </c>
      <c r="E671" s="24" t="str">
        <f>IF(Registro!$E671="","",IF(ISERROR(FIND("x",LOWER(Registro!$E671))),"-",IFERROR(SUMPRODUCT(--("0"&amp;LEFT(TRIM(MID(SUBSTITUTE(SUBSTITUTE(SUBSTITUTE(SUBSTITUTE(SUBSTITUTE(LOWER(Registro!$E671),"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",LEN(Registro!$E671))),({1,2,3,4,5,6,7,8,9,10,11,12,13,14,15,16,17,18,19,20,21,22,23,24,25,26,27,28,29,30}-1)*LEN(Registro!$E671)+1,LEN(Registro!$E671))),FIND("x",TRIM(MID(SUBSTITUTE(SUBSTITUTE(SUBSTITUTE(SUBSTITUTE(SUBSTITUTE(LOWER(Registro!$E671),"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",LEN(Registro!$E671))),({1,2,3,4,5,6,7,8,9,10,11,12,13,14,15,16,17,18,19,20,21,22,23,24,25,26,27,28,29,30}-1)*LEN(Registro!$E671)+1,LEN(Registro!$E671)))&amp;"x")-1)),--("0"&amp;MID(TRIM(MID(SUBSTITUTE(SUBSTITUTE(SUBSTITUTE(SUBSTITUTE(SUBSTITUTE(LOWER(Registro!$E671),"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",LEN(Registro!$E671))),({1,2,3,4,5,6,7,8,9,10,11,12,13,14,15,16,17,18,19,20,21,22,23,24,25,26,27,28,29,30}-1)*LEN(Registro!$E671)+1,LEN(Registro!$E671))),FIND("x",TRIM(MID(SUBSTITUTE(SUBSTITUTE(SUBSTITUTE(SUBSTITUTE(SUBSTITUTE(LOWER(Registro!$E671),"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",LEN(Registro!$E671))),({1,2,3,4,5,6,7,8,9,10,11,12,13,14,15,16,17,18,19,20,21,22,23,24,25,26,27,28,29,30}-1)*LEN(Registro!$E671)+1,LEN(Registro!$E671)))&amp;"x")+1,20))),"Revisar formato")))</f>
        <v/>
      </c>
      <c r="F671" s="23" t="str">
        <f>IF(Registro!$F671="","",IF(ISERROR(FIND("x",LOWER(Registro!$F671))),"-",IFERROR(SUMPRODUCT(--("0"&amp;LEFT(TRIM(MID(SUBSTITUTE(SUBSTITUTE(SUBSTITUTE(SUBSTITUTE(SUBSTITUTE(LOWER(Registro!$F671)," ",""),CHAR(10),"|"),";","|"),"+","|"),"|",REPT(" ",LEN(Registro!$F671))),({1,2,3,4,5,6,7,8,9,10,11,12,13,14,15,16,17,18,19,20,21,22,23,24,25,26,27,28,29,30}-1)*LEN(Registro!$F671)+1,LEN(Registro!$F671))),FIND("x",TRIM(MID(SUBSTITUTE(SUBSTITUTE(SUBSTITUTE(SUBSTITUTE(SUBSTITUTE(LOWER(Registro!$F671)," ",""),CHAR(10),"|"),";","|"),"+","|"),"|",REPT(" ",LEN(Registro!$F671))),({1,2,3,4,5,6,7,8,9,10,11,12,13,14,15,16,17,18,19,20,21,22,23,24,25,26,27,28,29,30}-1)*LEN(Registro!$F671)+1,LEN(Registro!$F671)))&amp;"x")-1))),"Revisar formato")))</f>
        <v/>
      </c>
      <c r="G671" s="24" t="str">
        <f>IF(Registro!$F671="","",IF(ISERROR(FIND("x",LOWER(Registro!$F671))),N(Registro!$G671),IFERROR(SUMPRODUCT(--("0"&amp;LEFT(TRIM(MID(SUBSTITUTE(SUBSTITUTE(SUBSTITUTE(SUBSTITUTE(SUBSTITUTE(LOWER(Registro!$F671)," ",""),CHAR(10),"|"),";","|"),"+","|"),"|",REPT(" ",LEN(Registro!$F671))),({1,2,3,4,5,6,7,8,9,10,11,12,13,14,15,16,17,18,19,20,21,22,23,24,25,26,27,28,29,30}-1)*LEN(Registro!$F671)+1,LEN(Registro!$F671))),FIND("x",TRIM(MID(SUBSTITUTE(SUBSTITUTE(SUBSTITUTE(SUBSTITUTE(SUBSTITUTE(LOWER(Registro!$F671)," ",""),CHAR(10),"|"),";","|"),"+","|"),"|",REPT(" ",LEN(Registro!$F671))),({1,2,3,4,5,6,7,8,9,10,11,12,13,14,15,16,17,18,19,20,21,22,23,24,25,26,27,28,29,30}-1)*LEN(Registro!$F671)+1,LEN(Registro!$F671)))&amp;"x")-1)),--("0"&amp;MID(TRIM(MID(SUBSTITUTE(SUBSTITUTE(SUBSTITUTE(SUBSTITUTE(SUBSTITUTE(LOWER(Registro!$F671)," ",""),CHAR(10),"|"),";","|"),"+","|"),"|",REPT(" ",LEN(Registro!$F671))),({1,2,3,4,5,6,7,8,9,10,11,12,13,14,15,16,17,18,19,20,21,22,23,24,25,26,27,28,29,30}-1)*LEN(Registro!$F671)+1,LEN(Registro!$F671))),FIND("x",TRIM(MID(SUBSTITUTE(SUBSTITUTE(SUBSTITUTE(SUBSTITUTE(SUBSTITUTE(LOWER(Registro!$F671)," ",""),CHAR(10),"|"),";","|"),"+","|"),"|",REPT(" ",LEN(Registro!$F671))),({1,2,3,4,5,6,7,8,9,10,11,12,13,14,15,16,17,18,19,20,21,22,23,24,25,26,27,28,29,30}-1)*LEN(Registro!$F671)+1,LEN(Registro!$F671)))&amp;"x")+1,20))),"Revisar formato")))</f>
        <v/>
      </c>
      <c r="H671" s="21" t="str">
        <f>IF(AND(Registro!$E671="",Registro!$F671=""),"",IF(NOT(AND(ISNUMBER(G671),ISNUMBER(Registro!$G671))),"",IF(G671&lt;Registro!$G671,"FALTA BOLETOS",IF(G671=Registro!$G671,"CONFORME","DIFERENCIA"))))</f>
        <v/>
      </c>
      <c r="I671" s="24" t="str">
        <f>IF(Registro!$H671="","",IFERROR(SUMPRODUCT(--("0"&amp;TRIM(RIGHT(SUBSTITUTE(TRIM(MID(SUBSTITUTE(SUBSTITUTE(Registro!$H671,";",CHAR(10)),CHAR(10),REPT(" ",LEN(Registro!$H671))),({1,2,3,4,5,6,7,8,9,10,11,12,13,14,15,16,17,18,19,20,21,22,23,24,25,26,27,28,29,30}-1)*LEN(Registro!$H671)+1,LEN(Registro!$H671)))," ",REPT(" ",50)),50)))),"Revisar formato"))</f>
        <v/>
      </c>
      <c r="J671" s="24" t="str">
        <f>IF(Registro!$I671="","",IFERROR(SUMPRODUCT(--("0"&amp;TRIM(RIGHT(SUBSTITUTE(TRIM(MID(SUBSTITUTE(SUBSTITUTE(Registro!$I671,";",CHAR(10)),CHAR(10),REPT(" ",LEN(Registro!$I671))),({1,2,3,4,5,6,7,8,9,10,11,12,13,14,15,16,17,18,19,20,21,22,23,24,25,26,27,28,29,30}-1)*LEN(Registro!$I671)+1,LEN(Registro!$I671)))," ",REPT(" ",50)),50)))),"Revisar formato"))</f>
        <v/>
      </c>
      <c r="K671" s="24" t="str">
        <f>IF(AND(Registro!$G671="",Registro!$H671=""),"",IF(AND(ISTEXT(I671),I671&lt;&gt;""),"Revisar formato",N(Registro!$G671)-N(I671)))</f>
        <v/>
      </c>
      <c r="L671" s="24" t="str">
        <f t="shared" si="21"/>
        <v/>
      </c>
      <c r="M671" s="36" t="str">
        <f>IF(AND(A671=Consulta!$B$3,C671=Consulta!$H$3),B671*10000+ROW(),"")</f>
        <v/>
      </c>
    </row>
    <row r="672" spans="1:13" x14ac:dyDescent="0.25">
      <c r="A672" s="21" t="str">
        <f>IF(Registro!$A672="","",Registro!$A672)</f>
        <v/>
      </c>
      <c r="B672" s="20" t="str">
        <f>IF(Registro!$B672="","",Registro!$B672)</f>
        <v/>
      </c>
      <c r="C672" s="35" t="str">
        <f t="shared" si="20"/>
        <v/>
      </c>
      <c r="D672" s="23" t="str">
        <f>IF(Registro!$E672="","",IF(ISERROR(FIND("x",LOWER(Registro!$E672))),"-",IFERROR(SUMPRODUCT(--("0"&amp;LEFT(TRIM(MID(SUBSTITUTE(SUBSTITUTE(SUBSTITUTE(SUBSTITUTE(SUBSTITUTE(LOWER(Registro!$E672),"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",LEN(Registro!$E672))),({1,2,3,4,5,6,7,8,9,10,11,12,13,14,15,16,17,18,19,20,21,22,23,24,25,26,27,28,29,30}-1)*LEN(Registro!$E672)+1,LEN(Registro!$E672))),FIND("x",TRIM(MID(SUBSTITUTE(SUBSTITUTE(SUBSTITUTE(SUBSTITUTE(SUBSTITUTE(LOWER(Registro!$E672),"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",LEN(Registro!$E672))),({1,2,3,4,5,6,7,8,9,10,11,12,13,14,15,16,17,18,19,20,21,22,23,24,25,26,27,28,29,30}-1)*LEN(Registro!$E672)+1,LEN(Registro!$E672)))&amp;"x")-1))),"Revisar formato")))</f>
        <v/>
      </c>
      <c r="E672" s="24" t="str">
        <f>IF(Registro!$E672="","",IF(ISERROR(FIND("x",LOWER(Registro!$E672))),"-",IFERROR(SUMPRODUCT(--("0"&amp;LEFT(TRIM(MID(SUBSTITUTE(SUBSTITUTE(SUBSTITUTE(SUBSTITUTE(SUBSTITUTE(LOWER(Registro!$E672),"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",LEN(Registro!$E672))),({1,2,3,4,5,6,7,8,9,10,11,12,13,14,15,16,17,18,19,20,21,22,23,24,25,26,27,28,29,30}-1)*LEN(Registro!$E672)+1,LEN(Registro!$E672))),FIND("x",TRIM(MID(SUBSTITUTE(SUBSTITUTE(SUBSTITUTE(SUBSTITUTE(SUBSTITUTE(LOWER(Registro!$E672),"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",LEN(Registro!$E672))),({1,2,3,4,5,6,7,8,9,10,11,12,13,14,15,16,17,18,19,20,21,22,23,24,25,26,27,28,29,30}-1)*LEN(Registro!$E672)+1,LEN(Registro!$E672)))&amp;"x")-1)),--("0"&amp;MID(TRIM(MID(SUBSTITUTE(SUBSTITUTE(SUBSTITUTE(SUBSTITUTE(SUBSTITUTE(LOWER(Registro!$E672),"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",LEN(Registro!$E672))),({1,2,3,4,5,6,7,8,9,10,11,12,13,14,15,16,17,18,19,20,21,22,23,24,25,26,27,28,29,30}-1)*LEN(Registro!$E672)+1,LEN(Registro!$E672))),FIND("x",TRIM(MID(SUBSTITUTE(SUBSTITUTE(SUBSTITUTE(SUBSTITUTE(SUBSTITUTE(LOWER(Registro!$E672),"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",LEN(Registro!$E672))),({1,2,3,4,5,6,7,8,9,10,11,12,13,14,15,16,17,18,19,20,21,22,23,24,25,26,27,28,29,30}-1)*LEN(Registro!$E672)+1,LEN(Registro!$E672)))&amp;"x")+1,20))),"Revisar formato")))</f>
        <v/>
      </c>
      <c r="F672" s="23" t="str">
        <f>IF(Registro!$F672="","",IF(ISERROR(FIND("x",LOWER(Registro!$F672))),"-",IFERROR(SUMPRODUCT(--("0"&amp;LEFT(TRIM(MID(SUBSTITUTE(SUBSTITUTE(SUBSTITUTE(SUBSTITUTE(SUBSTITUTE(LOWER(Registro!$F672)," ",""),CHAR(10),"|"),";","|"),"+","|"),"|",REPT(" ",LEN(Registro!$F672))),({1,2,3,4,5,6,7,8,9,10,11,12,13,14,15,16,17,18,19,20,21,22,23,24,25,26,27,28,29,30}-1)*LEN(Registro!$F672)+1,LEN(Registro!$F672))),FIND("x",TRIM(MID(SUBSTITUTE(SUBSTITUTE(SUBSTITUTE(SUBSTITUTE(SUBSTITUTE(LOWER(Registro!$F672)," ",""),CHAR(10),"|"),";","|"),"+","|"),"|",REPT(" ",LEN(Registro!$F672))),({1,2,3,4,5,6,7,8,9,10,11,12,13,14,15,16,17,18,19,20,21,22,23,24,25,26,27,28,29,30}-1)*LEN(Registro!$F672)+1,LEN(Registro!$F672)))&amp;"x")-1))),"Revisar formato")))</f>
        <v/>
      </c>
      <c r="G672" s="24" t="str">
        <f>IF(Registro!$F672="","",IF(ISERROR(FIND("x",LOWER(Registro!$F672))),N(Registro!$G672),IFERROR(SUMPRODUCT(--("0"&amp;LEFT(TRIM(MID(SUBSTITUTE(SUBSTITUTE(SUBSTITUTE(SUBSTITUTE(SUBSTITUTE(LOWER(Registro!$F672)," ",""),CHAR(10),"|"),";","|"),"+","|"),"|",REPT(" ",LEN(Registro!$F672))),({1,2,3,4,5,6,7,8,9,10,11,12,13,14,15,16,17,18,19,20,21,22,23,24,25,26,27,28,29,30}-1)*LEN(Registro!$F672)+1,LEN(Registro!$F672))),FIND("x",TRIM(MID(SUBSTITUTE(SUBSTITUTE(SUBSTITUTE(SUBSTITUTE(SUBSTITUTE(LOWER(Registro!$F672)," ",""),CHAR(10),"|"),";","|"),"+","|"),"|",REPT(" ",LEN(Registro!$F672))),({1,2,3,4,5,6,7,8,9,10,11,12,13,14,15,16,17,18,19,20,21,22,23,24,25,26,27,28,29,30}-1)*LEN(Registro!$F672)+1,LEN(Registro!$F672)))&amp;"x")-1)),--("0"&amp;MID(TRIM(MID(SUBSTITUTE(SUBSTITUTE(SUBSTITUTE(SUBSTITUTE(SUBSTITUTE(LOWER(Registro!$F672)," ",""),CHAR(10),"|"),";","|"),"+","|"),"|",REPT(" ",LEN(Registro!$F672))),({1,2,3,4,5,6,7,8,9,10,11,12,13,14,15,16,17,18,19,20,21,22,23,24,25,26,27,28,29,30}-1)*LEN(Registro!$F672)+1,LEN(Registro!$F672))),FIND("x",TRIM(MID(SUBSTITUTE(SUBSTITUTE(SUBSTITUTE(SUBSTITUTE(SUBSTITUTE(LOWER(Registro!$F672)," ",""),CHAR(10),"|"),";","|"),"+","|"),"|",REPT(" ",LEN(Registro!$F672))),({1,2,3,4,5,6,7,8,9,10,11,12,13,14,15,16,17,18,19,20,21,22,23,24,25,26,27,28,29,30}-1)*LEN(Registro!$F672)+1,LEN(Registro!$F672)))&amp;"x")+1,20))),"Revisar formato")))</f>
        <v/>
      </c>
      <c r="H672" s="21" t="str">
        <f>IF(AND(Registro!$E672="",Registro!$F672=""),"",IF(NOT(AND(ISNUMBER(G672),ISNUMBER(Registro!$G672))),"",IF(G672&lt;Registro!$G672,"FALTA BOLETOS",IF(G672=Registro!$G672,"CONFORME","DIFERENCIA"))))</f>
        <v/>
      </c>
      <c r="I672" s="24" t="str">
        <f>IF(Registro!$H672="","",IFERROR(SUMPRODUCT(--("0"&amp;TRIM(RIGHT(SUBSTITUTE(TRIM(MID(SUBSTITUTE(SUBSTITUTE(Registro!$H672,";",CHAR(10)),CHAR(10),REPT(" ",LEN(Registro!$H672))),({1,2,3,4,5,6,7,8,9,10,11,12,13,14,15,16,17,18,19,20,21,22,23,24,25,26,27,28,29,30}-1)*LEN(Registro!$H672)+1,LEN(Registro!$H672)))," ",REPT(" ",50)),50)))),"Revisar formato"))</f>
        <v/>
      </c>
      <c r="J672" s="24" t="str">
        <f>IF(Registro!$I672="","",IFERROR(SUMPRODUCT(--("0"&amp;TRIM(RIGHT(SUBSTITUTE(TRIM(MID(SUBSTITUTE(SUBSTITUTE(Registro!$I672,";",CHAR(10)),CHAR(10),REPT(" ",LEN(Registro!$I672))),({1,2,3,4,5,6,7,8,9,10,11,12,13,14,15,16,17,18,19,20,21,22,23,24,25,26,27,28,29,30}-1)*LEN(Registro!$I672)+1,LEN(Registro!$I672)))," ",REPT(" ",50)),50)))),"Revisar formato"))</f>
        <v/>
      </c>
      <c r="K672" s="24" t="str">
        <f>IF(AND(Registro!$G672="",Registro!$H672=""),"",IF(AND(ISTEXT(I672),I672&lt;&gt;""),"Revisar formato",N(Registro!$G672)-N(I672)))</f>
        <v/>
      </c>
      <c r="L672" s="24" t="str">
        <f t="shared" si="21"/>
        <v/>
      </c>
      <c r="M672" s="36" t="str">
        <f>IF(AND(A672=Consulta!$B$3,C672=Consulta!$H$3),B672*10000+ROW(),"")</f>
        <v/>
      </c>
    </row>
    <row r="673" spans="1:13" x14ac:dyDescent="0.25">
      <c r="A673" s="21" t="str">
        <f>IF(Registro!$A673="","",Registro!$A673)</f>
        <v/>
      </c>
      <c r="B673" s="20" t="str">
        <f>IF(Registro!$B673="","",Registro!$B673)</f>
        <v/>
      </c>
      <c r="C673" s="35" t="str">
        <f t="shared" si="20"/>
        <v/>
      </c>
      <c r="D673" s="23" t="str">
        <f>IF(Registro!$E673="","",IF(ISERROR(FIND("x",LOWER(Registro!$E673))),"-",IFERROR(SUMPRODUCT(--("0"&amp;LEFT(TRIM(MID(SUBSTITUTE(SUBSTITUTE(SUBSTITUTE(SUBSTITUTE(SUBSTITUTE(LOWER(Registro!$E673),"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",LEN(Registro!$E673))),({1,2,3,4,5,6,7,8,9,10,11,12,13,14,15,16,17,18,19,20,21,22,23,24,25,26,27,28,29,30}-1)*LEN(Registro!$E673)+1,LEN(Registro!$E673))),FIND("x",TRIM(MID(SUBSTITUTE(SUBSTITUTE(SUBSTITUTE(SUBSTITUTE(SUBSTITUTE(LOWER(Registro!$E673),"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",LEN(Registro!$E673))),({1,2,3,4,5,6,7,8,9,10,11,12,13,14,15,16,17,18,19,20,21,22,23,24,25,26,27,28,29,30}-1)*LEN(Registro!$E673)+1,LEN(Registro!$E673)))&amp;"x")-1))),"Revisar formato")))</f>
        <v/>
      </c>
      <c r="E673" s="24" t="str">
        <f>IF(Registro!$E673="","",IF(ISERROR(FIND("x",LOWER(Registro!$E673))),"-",IFERROR(SUMPRODUCT(--("0"&amp;LEFT(TRIM(MID(SUBSTITUTE(SUBSTITUTE(SUBSTITUTE(SUBSTITUTE(SUBSTITUTE(LOWER(Registro!$E673),"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",LEN(Registro!$E673))),({1,2,3,4,5,6,7,8,9,10,11,12,13,14,15,16,17,18,19,20,21,22,23,24,25,26,27,28,29,30}-1)*LEN(Registro!$E673)+1,LEN(Registro!$E673))),FIND("x",TRIM(MID(SUBSTITUTE(SUBSTITUTE(SUBSTITUTE(SUBSTITUTE(SUBSTITUTE(LOWER(Registro!$E673),"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",LEN(Registro!$E673))),({1,2,3,4,5,6,7,8,9,10,11,12,13,14,15,16,17,18,19,20,21,22,23,24,25,26,27,28,29,30}-1)*LEN(Registro!$E673)+1,LEN(Registro!$E673)))&amp;"x")-1)),--("0"&amp;MID(TRIM(MID(SUBSTITUTE(SUBSTITUTE(SUBSTITUTE(SUBSTITUTE(SUBSTITUTE(LOWER(Registro!$E673),"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",LEN(Registro!$E673))),({1,2,3,4,5,6,7,8,9,10,11,12,13,14,15,16,17,18,19,20,21,22,23,24,25,26,27,28,29,30}-1)*LEN(Registro!$E673)+1,LEN(Registro!$E673))),FIND("x",TRIM(MID(SUBSTITUTE(SUBSTITUTE(SUBSTITUTE(SUBSTITUTE(SUBSTITUTE(LOWER(Registro!$E673),"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",LEN(Registro!$E673))),({1,2,3,4,5,6,7,8,9,10,11,12,13,14,15,16,17,18,19,20,21,22,23,24,25,26,27,28,29,30}-1)*LEN(Registro!$E673)+1,LEN(Registro!$E673)))&amp;"x")+1,20))),"Revisar formato")))</f>
        <v/>
      </c>
      <c r="F673" s="23" t="str">
        <f>IF(Registro!$F673="","",IF(ISERROR(FIND("x",LOWER(Registro!$F673))),"-",IFERROR(SUMPRODUCT(--("0"&amp;LEFT(TRIM(MID(SUBSTITUTE(SUBSTITUTE(SUBSTITUTE(SUBSTITUTE(SUBSTITUTE(LOWER(Registro!$F673)," ",""),CHAR(10),"|"),";","|"),"+","|"),"|",REPT(" ",LEN(Registro!$F673))),({1,2,3,4,5,6,7,8,9,10,11,12,13,14,15,16,17,18,19,20,21,22,23,24,25,26,27,28,29,30}-1)*LEN(Registro!$F673)+1,LEN(Registro!$F673))),FIND("x",TRIM(MID(SUBSTITUTE(SUBSTITUTE(SUBSTITUTE(SUBSTITUTE(SUBSTITUTE(LOWER(Registro!$F673)," ",""),CHAR(10),"|"),";","|"),"+","|"),"|",REPT(" ",LEN(Registro!$F673))),({1,2,3,4,5,6,7,8,9,10,11,12,13,14,15,16,17,18,19,20,21,22,23,24,25,26,27,28,29,30}-1)*LEN(Registro!$F673)+1,LEN(Registro!$F673)))&amp;"x")-1))),"Revisar formato")))</f>
        <v/>
      </c>
      <c r="G673" s="24" t="str">
        <f>IF(Registro!$F673="","",IF(ISERROR(FIND("x",LOWER(Registro!$F673))),N(Registro!$G673),IFERROR(SUMPRODUCT(--("0"&amp;LEFT(TRIM(MID(SUBSTITUTE(SUBSTITUTE(SUBSTITUTE(SUBSTITUTE(SUBSTITUTE(LOWER(Registro!$F673)," ",""),CHAR(10),"|"),";","|"),"+","|"),"|",REPT(" ",LEN(Registro!$F673))),({1,2,3,4,5,6,7,8,9,10,11,12,13,14,15,16,17,18,19,20,21,22,23,24,25,26,27,28,29,30}-1)*LEN(Registro!$F673)+1,LEN(Registro!$F673))),FIND("x",TRIM(MID(SUBSTITUTE(SUBSTITUTE(SUBSTITUTE(SUBSTITUTE(SUBSTITUTE(LOWER(Registro!$F673)," ",""),CHAR(10),"|"),";","|"),"+","|"),"|",REPT(" ",LEN(Registro!$F673))),({1,2,3,4,5,6,7,8,9,10,11,12,13,14,15,16,17,18,19,20,21,22,23,24,25,26,27,28,29,30}-1)*LEN(Registro!$F673)+1,LEN(Registro!$F673)))&amp;"x")-1)),--("0"&amp;MID(TRIM(MID(SUBSTITUTE(SUBSTITUTE(SUBSTITUTE(SUBSTITUTE(SUBSTITUTE(LOWER(Registro!$F673)," ",""),CHAR(10),"|"),";","|"),"+","|"),"|",REPT(" ",LEN(Registro!$F673))),({1,2,3,4,5,6,7,8,9,10,11,12,13,14,15,16,17,18,19,20,21,22,23,24,25,26,27,28,29,30}-1)*LEN(Registro!$F673)+1,LEN(Registro!$F673))),FIND("x",TRIM(MID(SUBSTITUTE(SUBSTITUTE(SUBSTITUTE(SUBSTITUTE(SUBSTITUTE(LOWER(Registro!$F673)," ",""),CHAR(10),"|"),";","|"),"+","|"),"|",REPT(" ",LEN(Registro!$F673))),({1,2,3,4,5,6,7,8,9,10,11,12,13,14,15,16,17,18,19,20,21,22,23,24,25,26,27,28,29,30}-1)*LEN(Registro!$F673)+1,LEN(Registro!$F673)))&amp;"x")+1,20))),"Revisar formato")))</f>
        <v/>
      </c>
      <c r="H673" s="21" t="str">
        <f>IF(AND(Registro!$E673="",Registro!$F673=""),"",IF(NOT(AND(ISNUMBER(G673),ISNUMBER(Registro!$G673))),"",IF(G673&lt;Registro!$G673,"FALTA BOLETOS",IF(G673=Registro!$G673,"CONFORME","DIFERENCIA"))))</f>
        <v/>
      </c>
      <c r="I673" s="24" t="str">
        <f>IF(Registro!$H673="","",IFERROR(SUMPRODUCT(--("0"&amp;TRIM(RIGHT(SUBSTITUTE(TRIM(MID(SUBSTITUTE(SUBSTITUTE(Registro!$H673,";",CHAR(10)),CHAR(10),REPT(" ",LEN(Registro!$H673))),({1,2,3,4,5,6,7,8,9,10,11,12,13,14,15,16,17,18,19,20,21,22,23,24,25,26,27,28,29,30}-1)*LEN(Registro!$H673)+1,LEN(Registro!$H673)))," ",REPT(" ",50)),50)))),"Revisar formato"))</f>
        <v/>
      </c>
      <c r="J673" s="24" t="str">
        <f>IF(Registro!$I673="","",IFERROR(SUMPRODUCT(--("0"&amp;TRIM(RIGHT(SUBSTITUTE(TRIM(MID(SUBSTITUTE(SUBSTITUTE(Registro!$I673,";",CHAR(10)),CHAR(10),REPT(" ",LEN(Registro!$I673))),({1,2,3,4,5,6,7,8,9,10,11,12,13,14,15,16,17,18,19,20,21,22,23,24,25,26,27,28,29,30}-1)*LEN(Registro!$I673)+1,LEN(Registro!$I673)))," ",REPT(" ",50)),50)))),"Revisar formato"))</f>
        <v/>
      </c>
      <c r="K673" s="24" t="str">
        <f>IF(AND(Registro!$G673="",Registro!$H673=""),"",IF(AND(ISTEXT(I673),I673&lt;&gt;""),"Revisar formato",N(Registro!$G673)-N(I673)))</f>
        <v/>
      </c>
      <c r="L673" s="24" t="str">
        <f t="shared" si="21"/>
        <v/>
      </c>
      <c r="M673" s="36" t="str">
        <f>IF(AND(A673=Consulta!$B$3,C673=Consulta!$H$3),B673*10000+ROW(),"")</f>
        <v/>
      </c>
    </row>
    <row r="674" spans="1:13" x14ac:dyDescent="0.25">
      <c r="A674" s="21" t="str">
        <f>IF(Registro!$A674="","",Registro!$A674)</f>
        <v/>
      </c>
      <c r="B674" s="20" t="str">
        <f>IF(Registro!$B674="","",Registro!$B674)</f>
        <v/>
      </c>
      <c r="C674" s="35" t="str">
        <f t="shared" si="20"/>
        <v/>
      </c>
      <c r="D674" s="23" t="str">
        <f>IF(Registro!$E674="","",IF(ISERROR(FIND("x",LOWER(Registro!$E674))),"-",IFERROR(SUMPRODUCT(--("0"&amp;LEFT(TRIM(MID(SUBSTITUTE(SUBSTITUTE(SUBSTITUTE(SUBSTITUTE(SUBSTITUTE(LOWER(Registro!$E674),"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",LEN(Registro!$E674))),({1,2,3,4,5,6,7,8,9,10,11,12,13,14,15,16,17,18,19,20,21,22,23,24,25,26,27,28,29,30}-1)*LEN(Registro!$E674)+1,LEN(Registro!$E674))),FIND("x",TRIM(MID(SUBSTITUTE(SUBSTITUTE(SUBSTITUTE(SUBSTITUTE(SUBSTITUTE(LOWER(Registro!$E674),"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",LEN(Registro!$E674))),({1,2,3,4,5,6,7,8,9,10,11,12,13,14,15,16,17,18,19,20,21,22,23,24,25,26,27,28,29,30}-1)*LEN(Registro!$E674)+1,LEN(Registro!$E674)))&amp;"x")-1))),"Revisar formato")))</f>
        <v/>
      </c>
      <c r="E674" s="24" t="str">
        <f>IF(Registro!$E674="","",IF(ISERROR(FIND("x",LOWER(Registro!$E674))),"-",IFERROR(SUMPRODUCT(--("0"&amp;LEFT(TRIM(MID(SUBSTITUTE(SUBSTITUTE(SUBSTITUTE(SUBSTITUTE(SUBSTITUTE(LOWER(Registro!$E674),"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",LEN(Registro!$E674))),({1,2,3,4,5,6,7,8,9,10,11,12,13,14,15,16,17,18,19,20,21,22,23,24,25,26,27,28,29,30}-1)*LEN(Registro!$E674)+1,LEN(Registro!$E674))),FIND("x",TRIM(MID(SUBSTITUTE(SUBSTITUTE(SUBSTITUTE(SUBSTITUTE(SUBSTITUTE(LOWER(Registro!$E674),"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",LEN(Registro!$E674))),({1,2,3,4,5,6,7,8,9,10,11,12,13,14,15,16,17,18,19,20,21,22,23,24,25,26,27,28,29,30}-1)*LEN(Registro!$E674)+1,LEN(Registro!$E674)))&amp;"x")-1)),--("0"&amp;MID(TRIM(MID(SUBSTITUTE(SUBSTITUTE(SUBSTITUTE(SUBSTITUTE(SUBSTITUTE(LOWER(Registro!$E674),"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",LEN(Registro!$E674))),({1,2,3,4,5,6,7,8,9,10,11,12,13,14,15,16,17,18,19,20,21,22,23,24,25,26,27,28,29,30}-1)*LEN(Registro!$E674)+1,LEN(Registro!$E674))),FIND("x",TRIM(MID(SUBSTITUTE(SUBSTITUTE(SUBSTITUTE(SUBSTITUTE(SUBSTITUTE(LOWER(Registro!$E674),"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",LEN(Registro!$E674))),({1,2,3,4,5,6,7,8,9,10,11,12,13,14,15,16,17,18,19,20,21,22,23,24,25,26,27,28,29,30}-1)*LEN(Registro!$E674)+1,LEN(Registro!$E674)))&amp;"x")+1,20))),"Revisar formato")))</f>
        <v/>
      </c>
      <c r="F674" s="23" t="str">
        <f>IF(Registro!$F674="","",IF(ISERROR(FIND("x",LOWER(Registro!$F674))),"-",IFERROR(SUMPRODUCT(--("0"&amp;LEFT(TRIM(MID(SUBSTITUTE(SUBSTITUTE(SUBSTITUTE(SUBSTITUTE(SUBSTITUTE(LOWER(Registro!$F674)," ",""),CHAR(10),"|"),";","|"),"+","|"),"|",REPT(" ",LEN(Registro!$F674))),({1,2,3,4,5,6,7,8,9,10,11,12,13,14,15,16,17,18,19,20,21,22,23,24,25,26,27,28,29,30}-1)*LEN(Registro!$F674)+1,LEN(Registro!$F674))),FIND("x",TRIM(MID(SUBSTITUTE(SUBSTITUTE(SUBSTITUTE(SUBSTITUTE(SUBSTITUTE(LOWER(Registro!$F674)," ",""),CHAR(10),"|"),";","|"),"+","|"),"|",REPT(" ",LEN(Registro!$F674))),({1,2,3,4,5,6,7,8,9,10,11,12,13,14,15,16,17,18,19,20,21,22,23,24,25,26,27,28,29,30}-1)*LEN(Registro!$F674)+1,LEN(Registro!$F674)))&amp;"x")-1))),"Revisar formato")))</f>
        <v/>
      </c>
      <c r="G674" s="24" t="str">
        <f>IF(Registro!$F674="","",IF(ISERROR(FIND("x",LOWER(Registro!$F674))),N(Registro!$G674),IFERROR(SUMPRODUCT(--("0"&amp;LEFT(TRIM(MID(SUBSTITUTE(SUBSTITUTE(SUBSTITUTE(SUBSTITUTE(SUBSTITUTE(LOWER(Registro!$F674)," ",""),CHAR(10),"|"),";","|"),"+","|"),"|",REPT(" ",LEN(Registro!$F674))),({1,2,3,4,5,6,7,8,9,10,11,12,13,14,15,16,17,18,19,20,21,22,23,24,25,26,27,28,29,30}-1)*LEN(Registro!$F674)+1,LEN(Registro!$F674))),FIND("x",TRIM(MID(SUBSTITUTE(SUBSTITUTE(SUBSTITUTE(SUBSTITUTE(SUBSTITUTE(LOWER(Registro!$F674)," ",""),CHAR(10),"|"),";","|"),"+","|"),"|",REPT(" ",LEN(Registro!$F674))),({1,2,3,4,5,6,7,8,9,10,11,12,13,14,15,16,17,18,19,20,21,22,23,24,25,26,27,28,29,30}-1)*LEN(Registro!$F674)+1,LEN(Registro!$F674)))&amp;"x")-1)),--("0"&amp;MID(TRIM(MID(SUBSTITUTE(SUBSTITUTE(SUBSTITUTE(SUBSTITUTE(SUBSTITUTE(LOWER(Registro!$F674)," ",""),CHAR(10),"|"),";","|"),"+","|"),"|",REPT(" ",LEN(Registro!$F674))),({1,2,3,4,5,6,7,8,9,10,11,12,13,14,15,16,17,18,19,20,21,22,23,24,25,26,27,28,29,30}-1)*LEN(Registro!$F674)+1,LEN(Registro!$F674))),FIND("x",TRIM(MID(SUBSTITUTE(SUBSTITUTE(SUBSTITUTE(SUBSTITUTE(SUBSTITUTE(LOWER(Registro!$F674)," ",""),CHAR(10),"|"),";","|"),"+","|"),"|",REPT(" ",LEN(Registro!$F674))),({1,2,3,4,5,6,7,8,9,10,11,12,13,14,15,16,17,18,19,20,21,22,23,24,25,26,27,28,29,30}-1)*LEN(Registro!$F674)+1,LEN(Registro!$F674)))&amp;"x")+1,20))),"Revisar formato")))</f>
        <v/>
      </c>
      <c r="H674" s="21" t="str">
        <f>IF(AND(Registro!$E674="",Registro!$F674=""),"",IF(NOT(AND(ISNUMBER(G674),ISNUMBER(Registro!$G674))),"",IF(G674&lt;Registro!$G674,"FALTA BOLETOS",IF(G674=Registro!$G674,"CONFORME","DIFERENCIA"))))</f>
        <v/>
      </c>
      <c r="I674" s="24" t="str">
        <f>IF(Registro!$H674="","",IFERROR(SUMPRODUCT(--("0"&amp;TRIM(RIGHT(SUBSTITUTE(TRIM(MID(SUBSTITUTE(SUBSTITUTE(Registro!$H674,";",CHAR(10)),CHAR(10),REPT(" ",LEN(Registro!$H674))),({1,2,3,4,5,6,7,8,9,10,11,12,13,14,15,16,17,18,19,20,21,22,23,24,25,26,27,28,29,30}-1)*LEN(Registro!$H674)+1,LEN(Registro!$H674)))," ",REPT(" ",50)),50)))),"Revisar formato"))</f>
        <v/>
      </c>
      <c r="J674" s="24" t="str">
        <f>IF(Registro!$I674="","",IFERROR(SUMPRODUCT(--("0"&amp;TRIM(RIGHT(SUBSTITUTE(TRIM(MID(SUBSTITUTE(SUBSTITUTE(Registro!$I674,";",CHAR(10)),CHAR(10),REPT(" ",LEN(Registro!$I674))),({1,2,3,4,5,6,7,8,9,10,11,12,13,14,15,16,17,18,19,20,21,22,23,24,25,26,27,28,29,30}-1)*LEN(Registro!$I674)+1,LEN(Registro!$I674)))," ",REPT(" ",50)),50)))),"Revisar formato"))</f>
        <v/>
      </c>
      <c r="K674" s="24" t="str">
        <f>IF(AND(Registro!$G674="",Registro!$H674=""),"",IF(AND(ISTEXT(I674),I674&lt;&gt;""),"Revisar formato",N(Registro!$G674)-N(I674)))</f>
        <v/>
      </c>
      <c r="L674" s="24" t="str">
        <f t="shared" si="21"/>
        <v/>
      </c>
      <c r="M674" s="36" t="str">
        <f>IF(AND(A674=Consulta!$B$3,C674=Consulta!$H$3),B674*10000+ROW(),"")</f>
        <v/>
      </c>
    </row>
    <row r="675" spans="1:13" x14ac:dyDescent="0.25">
      <c r="A675" s="21" t="str">
        <f>IF(Registro!$A675="","",Registro!$A675)</f>
        <v/>
      </c>
      <c r="B675" s="20" t="str">
        <f>IF(Registro!$B675="","",Registro!$B675)</f>
        <v/>
      </c>
      <c r="C675" s="35" t="str">
        <f t="shared" si="20"/>
        <v/>
      </c>
      <c r="D675" s="23" t="str">
        <f>IF(Registro!$E675="","",IF(ISERROR(FIND("x",LOWER(Registro!$E675))),"-",IFERROR(SUMPRODUCT(--("0"&amp;LEFT(TRIM(MID(SUBSTITUTE(SUBSTITUTE(SUBSTITUTE(SUBSTITUTE(SUBSTITUTE(LOWER(Registro!$E675),"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",LEN(Registro!$E675))),({1,2,3,4,5,6,7,8,9,10,11,12,13,14,15,16,17,18,19,20,21,22,23,24,25,26,27,28,29,30}-1)*LEN(Registro!$E675)+1,LEN(Registro!$E675))),FIND("x",TRIM(MID(SUBSTITUTE(SUBSTITUTE(SUBSTITUTE(SUBSTITUTE(SUBSTITUTE(LOWER(Registro!$E675),"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",LEN(Registro!$E675))),({1,2,3,4,5,6,7,8,9,10,11,12,13,14,15,16,17,18,19,20,21,22,23,24,25,26,27,28,29,30}-1)*LEN(Registro!$E675)+1,LEN(Registro!$E675)))&amp;"x")-1))),"Revisar formato")))</f>
        <v/>
      </c>
      <c r="E675" s="24" t="str">
        <f>IF(Registro!$E675="","",IF(ISERROR(FIND("x",LOWER(Registro!$E675))),"-",IFERROR(SUMPRODUCT(--("0"&amp;LEFT(TRIM(MID(SUBSTITUTE(SUBSTITUTE(SUBSTITUTE(SUBSTITUTE(SUBSTITUTE(LOWER(Registro!$E675),"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",LEN(Registro!$E675))),({1,2,3,4,5,6,7,8,9,10,11,12,13,14,15,16,17,18,19,20,21,22,23,24,25,26,27,28,29,30}-1)*LEN(Registro!$E675)+1,LEN(Registro!$E675))),FIND("x",TRIM(MID(SUBSTITUTE(SUBSTITUTE(SUBSTITUTE(SUBSTITUTE(SUBSTITUTE(LOWER(Registro!$E675),"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",LEN(Registro!$E675))),({1,2,3,4,5,6,7,8,9,10,11,12,13,14,15,16,17,18,19,20,21,22,23,24,25,26,27,28,29,30}-1)*LEN(Registro!$E675)+1,LEN(Registro!$E675)))&amp;"x")-1)),--("0"&amp;MID(TRIM(MID(SUBSTITUTE(SUBSTITUTE(SUBSTITUTE(SUBSTITUTE(SUBSTITUTE(LOWER(Registro!$E675),"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",LEN(Registro!$E675))),({1,2,3,4,5,6,7,8,9,10,11,12,13,14,15,16,17,18,19,20,21,22,23,24,25,26,27,28,29,30}-1)*LEN(Registro!$E675)+1,LEN(Registro!$E675))),FIND("x",TRIM(MID(SUBSTITUTE(SUBSTITUTE(SUBSTITUTE(SUBSTITUTE(SUBSTITUTE(LOWER(Registro!$E675),"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",LEN(Registro!$E675))),({1,2,3,4,5,6,7,8,9,10,11,12,13,14,15,16,17,18,19,20,21,22,23,24,25,26,27,28,29,30}-1)*LEN(Registro!$E675)+1,LEN(Registro!$E675)))&amp;"x")+1,20))),"Revisar formato")))</f>
        <v/>
      </c>
      <c r="F675" s="23" t="str">
        <f>IF(Registro!$F675="","",IF(ISERROR(FIND("x",LOWER(Registro!$F675))),"-",IFERROR(SUMPRODUCT(--("0"&amp;LEFT(TRIM(MID(SUBSTITUTE(SUBSTITUTE(SUBSTITUTE(SUBSTITUTE(SUBSTITUTE(LOWER(Registro!$F675)," ",""),CHAR(10),"|"),";","|"),"+","|"),"|",REPT(" ",LEN(Registro!$F675))),({1,2,3,4,5,6,7,8,9,10,11,12,13,14,15,16,17,18,19,20,21,22,23,24,25,26,27,28,29,30}-1)*LEN(Registro!$F675)+1,LEN(Registro!$F675))),FIND("x",TRIM(MID(SUBSTITUTE(SUBSTITUTE(SUBSTITUTE(SUBSTITUTE(SUBSTITUTE(LOWER(Registro!$F675)," ",""),CHAR(10),"|"),";","|"),"+","|"),"|",REPT(" ",LEN(Registro!$F675))),({1,2,3,4,5,6,7,8,9,10,11,12,13,14,15,16,17,18,19,20,21,22,23,24,25,26,27,28,29,30}-1)*LEN(Registro!$F675)+1,LEN(Registro!$F675)))&amp;"x")-1))),"Revisar formato")))</f>
        <v/>
      </c>
      <c r="G675" s="24" t="str">
        <f>IF(Registro!$F675="","",IF(ISERROR(FIND("x",LOWER(Registro!$F675))),N(Registro!$G675),IFERROR(SUMPRODUCT(--("0"&amp;LEFT(TRIM(MID(SUBSTITUTE(SUBSTITUTE(SUBSTITUTE(SUBSTITUTE(SUBSTITUTE(LOWER(Registro!$F675)," ",""),CHAR(10),"|"),";","|"),"+","|"),"|",REPT(" ",LEN(Registro!$F675))),({1,2,3,4,5,6,7,8,9,10,11,12,13,14,15,16,17,18,19,20,21,22,23,24,25,26,27,28,29,30}-1)*LEN(Registro!$F675)+1,LEN(Registro!$F675))),FIND("x",TRIM(MID(SUBSTITUTE(SUBSTITUTE(SUBSTITUTE(SUBSTITUTE(SUBSTITUTE(LOWER(Registro!$F675)," ",""),CHAR(10),"|"),";","|"),"+","|"),"|",REPT(" ",LEN(Registro!$F675))),({1,2,3,4,5,6,7,8,9,10,11,12,13,14,15,16,17,18,19,20,21,22,23,24,25,26,27,28,29,30}-1)*LEN(Registro!$F675)+1,LEN(Registro!$F675)))&amp;"x")-1)),--("0"&amp;MID(TRIM(MID(SUBSTITUTE(SUBSTITUTE(SUBSTITUTE(SUBSTITUTE(SUBSTITUTE(LOWER(Registro!$F675)," ",""),CHAR(10),"|"),";","|"),"+","|"),"|",REPT(" ",LEN(Registro!$F675))),({1,2,3,4,5,6,7,8,9,10,11,12,13,14,15,16,17,18,19,20,21,22,23,24,25,26,27,28,29,30}-1)*LEN(Registro!$F675)+1,LEN(Registro!$F675))),FIND("x",TRIM(MID(SUBSTITUTE(SUBSTITUTE(SUBSTITUTE(SUBSTITUTE(SUBSTITUTE(LOWER(Registro!$F675)," ",""),CHAR(10),"|"),";","|"),"+","|"),"|",REPT(" ",LEN(Registro!$F675))),({1,2,3,4,5,6,7,8,9,10,11,12,13,14,15,16,17,18,19,20,21,22,23,24,25,26,27,28,29,30}-1)*LEN(Registro!$F675)+1,LEN(Registro!$F675)))&amp;"x")+1,20))),"Revisar formato")))</f>
        <v/>
      </c>
      <c r="H675" s="21" t="str">
        <f>IF(AND(Registro!$E675="",Registro!$F675=""),"",IF(NOT(AND(ISNUMBER(G675),ISNUMBER(Registro!$G675))),"",IF(G675&lt;Registro!$G675,"FALTA BOLETOS",IF(G675=Registro!$G675,"CONFORME","DIFERENCIA"))))</f>
        <v/>
      </c>
      <c r="I675" s="24" t="str">
        <f>IF(Registro!$H675="","",IFERROR(SUMPRODUCT(--("0"&amp;TRIM(RIGHT(SUBSTITUTE(TRIM(MID(SUBSTITUTE(SUBSTITUTE(Registro!$H675,";",CHAR(10)),CHAR(10),REPT(" ",LEN(Registro!$H675))),({1,2,3,4,5,6,7,8,9,10,11,12,13,14,15,16,17,18,19,20,21,22,23,24,25,26,27,28,29,30}-1)*LEN(Registro!$H675)+1,LEN(Registro!$H675)))," ",REPT(" ",50)),50)))),"Revisar formato"))</f>
        <v/>
      </c>
      <c r="J675" s="24" t="str">
        <f>IF(Registro!$I675="","",IFERROR(SUMPRODUCT(--("0"&amp;TRIM(RIGHT(SUBSTITUTE(TRIM(MID(SUBSTITUTE(SUBSTITUTE(Registro!$I675,";",CHAR(10)),CHAR(10),REPT(" ",LEN(Registro!$I675))),({1,2,3,4,5,6,7,8,9,10,11,12,13,14,15,16,17,18,19,20,21,22,23,24,25,26,27,28,29,30}-1)*LEN(Registro!$I675)+1,LEN(Registro!$I675)))," ",REPT(" ",50)),50)))),"Revisar formato"))</f>
        <v/>
      </c>
      <c r="K675" s="24" t="str">
        <f>IF(AND(Registro!$G675="",Registro!$H675=""),"",IF(AND(ISTEXT(I675),I675&lt;&gt;""),"Revisar formato",N(Registro!$G675)-N(I675)))</f>
        <v/>
      </c>
      <c r="L675" s="24" t="str">
        <f t="shared" si="21"/>
        <v/>
      </c>
      <c r="M675" s="36" t="str">
        <f>IF(AND(A675=Consulta!$B$3,C675=Consulta!$H$3),B675*10000+ROW(),"")</f>
        <v/>
      </c>
    </row>
    <row r="676" spans="1:13" x14ac:dyDescent="0.25">
      <c r="A676" s="21" t="str">
        <f>IF(Registro!$A676="","",Registro!$A676)</f>
        <v/>
      </c>
      <c r="B676" s="20" t="str">
        <f>IF(Registro!$B676="","",Registro!$B676)</f>
        <v/>
      </c>
      <c r="C676" s="35" t="str">
        <f t="shared" si="20"/>
        <v/>
      </c>
      <c r="D676" s="23" t="str">
        <f>IF(Registro!$E676="","",IF(ISERROR(FIND("x",LOWER(Registro!$E676))),"-",IFERROR(SUMPRODUCT(--("0"&amp;LEFT(TRIM(MID(SUBSTITUTE(SUBSTITUTE(SUBSTITUTE(SUBSTITUTE(SUBSTITUTE(LOWER(Registro!$E676),"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",LEN(Registro!$E676))),({1,2,3,4,5,6,7,8,9,10,11,12,13,14,15,16,17,18,19,20,21,22,23,24,25,26,27,28,29,30}-1)*LEN(Registro!$E676)+1,LEN(Registro!$E676))),FIND("x",TRIM(MID(SUBSTITUTE(SUBSTITUTE(SUBSTITUTE(SUBSTITUTE(SUBSTITUTE(LOWER(Registro!$E676),"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",LEN(Registro!$E676))),({1,2,3,4,5,6,7,8,9,10,11,12,13,14,15,16,17,18,19,20,21,22,23,24,25,26,27,28,29,30}-1)*LEN(Registro!$E676)+1,LEN(Registro!$E676)))&amp;"x")-1))),"Revisar formato")))</f>
        <v/>
      </c>
      <c r="E676" s="24" t="str">
        <f>IF(Registro!$E676="","",IF(ISERROR(FIND("x",LOWER(Registro!$E676))),"-",IFERROR(SUMPRODUCT(--("0"&amp;LEFT(TRIM(MID(SUBSTITUTE(SUBSTITUTE(SUBSTITUTE(SUBSTITUTE(SUBSTITUTE(LOWER(Registro!$E676),"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",LEN(Registro!$E676))),({1,2,3,4,5,6,7,8,9,10,11,12,13,14,15,16,17,18,19,20,21,22,23,24,25,26,27,28,29,30}-1)*LEN(Registro!$E676)+1,LEN(Registro!$E676))),FIND("x",TRIM(MID(SUBSTITUTE(SUBSTITUTE(SUBSTITUTE(SUBSTITUTE(SUBSTITUTE(LOWER(Registro!$E676),"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",LEN(Registro!$E676))),({1,2,3,4,5,6,7,8,9,10,11,12,13,14,15,16,17,18,19,20,21,22,23,24,25,26,27,28,29,30}-1)*LEN(Registro!$E676)+1,LEN(Registro!$E676)))&amp;"x")-1)),--("0"&amp;MID(TRIM(MID(SUBSTITUTE(SUBSTITUTE(SUBSTITUTE(SUBSTITUTE(SUBSTITUTE(LOWER(Registro!$E676),"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",LEN(Registro!$E676))),({1,2,3,4,5,6,7,8,9,10,11,12,13,14,15,16,17,18,19,20,21,22,23,24,25,26,27,28,29,30}-1)*LEN(Registro!$E676)+1,LEN(Registro!$E676))),FIND("x",TRIM(MID(SUBSTITUTE(SUBSTITUTE(SUBSTITUTE(SUBSTITUTE(SUBSTITUTE(LOWER(Registro!$E676),"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",LEN(Registro!$E676))),({1,2,3,4,5,6,7,8,9,10,11,12,13,14,15,16,17,18,19,20,21,22,23,24,25,26,27,28,29,30}-1)*LEN(Registro!$E676)+1,LEN(Registro!$E676)))&amp;"x")+1,20))),"Revisar formato")))</f>
        <v/>
      </c>
      <c r="F676" s="23" t="str">
        <f>IF(Registro!$F676="","",IF(ISERROR(FIND("x",LOWER(Registro!$F676))),"-",IFERROR(SUMPRODUCT(--("0"&amp;LEFT(TRIM(MID(SUBSTITUTE(SUBSTITUTE(SUBSTITUTE(SUBSTITUTE(SUBSTITUTE(LOWER(Registro!$F676)," ",""),CHAR(10),"|"),";","|"),"+","|"),"|",REPT(" ",LEN(Registro!$F676))),({1,2,3,4,5,6,7,8,9,10,11,12,13,14,15,16,17,18,19,20,21,22,23,24,25,26,27,28,29,30}-1)*LEN(Registro!$F676)+1,LEN(Registro!$F676))),FIND("x",TRIM(MID(SUBSTITUTE(SUBSTITUTE(SUBSTITUTE(SUBSTITUTE(SUBSTITUTE(LOWER(Registro!$F676)," ",""),CHAR(10),"|"),";","|"),"+","|"),"|",REPT(" ",LEN(Registro!$F676))),({1,2,3,4,5,6,7,8,9,10,11,12,13,14,15,16,17,18,19,20,21,22,23,24,25,26,27,28,29,30}-1)*LEN(Registro!$F676)+1,LEN(Registro!$F676)))&amp;"x")-1))),"Revisar formato")))</f>
        <v/>
      </c>
      <c r="G676" s="24" t="str">
        <f>IF(Registro!$F676="","",IF(ISERROR(FIND("x",LOWER(Registro!$F676))),N(Registro!$G676),IFERROR(SUMPRODUCT(--("0"&amp;LEFT(TRIM(MID(SUBSTITUTE(SUBSTITUTE(SUBSTITUTE(SUBSTITUTE(SUBSTITUTE(LOWER(Registro!$F676)," ",""),CHAR(10),"|"),";","|"),"+","|"),"|",REPT(" ",LEN(Registro!$F676))),({1,2,3,4,5,6,7,8,9,10,11,12,13,14,15,16,17,18,19,20,21,22,23,24,25,26,27,28,29,30}-1)*LEN(Registro!$F676)+1,LEN(Registro!$F676))),FIND("x",TRIM(MID(SUBSTITUTE(SUBSTITUTE(SUBSTITUTE(SUBSTITUTE(SUBSTITUTE(LOWER(Registro!$F676)," ",""),CHAR(10),"|"),";","|"),"+","|"),"|",REPT(" ",LEN(Registro!$F676))),({1,2,3,4,5,6,7,8,9,10,11,12,13,14,15,16,17,18,19,20,21,22,23,24,25,26,27,28,29,30}-1)*LEN(Registro!$F676)+1,LEN(Registro!$F676)))&amp;"x")-1)),--("0"&amp;MID(TRIM(MID(SUBSTITUTE(SUBSTITUTE(SUBSTITUTE(SUBSTITUTE(SUBSTITUTE(LOWER(Registro!$F676)," ",""),CHAR(10),"|"),";","|"),"+","|"),"|",REPT(" ",LEN(Registro!$F676))),({1,2,3,4,5,6,7,8,9,10,11,12,13,14,15,16,17,18,19,20,21,22,23,24,25,26,27,28,29,30}-1)*LEN(Registro!$F676)+1,LEN(Registro!$F676))),FIND("x",TRIM(MID(SUBSTITUTE(SUBSTITUTE(SUBSTITUTE(SUBSTITUTE(SUBSTITUTE(LOWER(Registro!$F676)," ",""),CHAR(10),"|"),";","|"),"+","|"),"|",REPT(" ",LEN(Registro!$F676))),({1,2,3,4,5,6,7,8,9,10,11,12,13,14,15,16,17,18,19,20,21,22,23,24,25,26,27,28,29,30}-1)*LEN(Registro!$F676)+1,LEN(Registro!$F676)))&amp;"x")+1,20))),"Revisar formato")))</f>
        <v/>
      </c>
      <c r="H676" s="21" t="str">
        <f>IF(AND(Registro!$E676="",Registro!$F676=""),"",IF(NOT(AND(ISNUMBER(G676),ISNUMBER(Registro!$G676))),"",IF(G676&lt;Registro!$G676,"FALTA BOLETOS",IF(G676=Registro!$G676,"CONFORME","DIFERENCIA"))))</f>
        <v/>
      </c>
      <c r="I676" s="24" t="str">
        <f>IF(Registro!$H676="","",IFERROR(SUMPRODUCT(--("0"&amp;TRIM(RIGHT(SUBSTITUTE(TRIM(MID(SUBSTITUTE(SUBSTITUTE(Registro!$H676,";",CHAR(10)),CHAR(10),REPT(" ",LEN(Registro!$H676))),({1,2,3,4,5,6,7,8,9,10,11,12,13,14,15,16,17,18,19,20,21,22,23,24,25,26,27,28,29,30}-1)*LEN(Registro!$H676)+1,LEN(Registro!$H676)))," ",REPT(" ",50)),50)))),"Revisar formato"))</f>
        <v/>
      </c>
      <c r="J676" s="24" t="str">
        <f>IF(Registro!$I676="","",IFERROR(SUMPRODUCT(--("0"&amp;TRIM(RIGHT(SUBSTITUTE(TRIM(MID(SUBSTITUTE(SUBSTITUTE(Registro!$I676,";",CHAR(10)),CHAR(10),REPT(" ",LEN(Registro!$I676))),({1,2,3,4,5,6,7,8,9,10,11,12,13,14,15,16,17,18,19,20,21,22,23,24,25,26,27,28,29,30}-1)*LEN(Registro!$I676)+1,LEN(Registro!$I676)))," ",REPT(" ",50)),50)))),"Revisar formato"))</f>
        <v/>
      </c>
      <c r="K676" s="24" t="str">
        <f>IF(AND(Registro!$G676="",Registro!$H676=""),"",IF(AND(ISTEXT(I676),I676&lt;&gt;""),"Revisar formato",N(Registro!$G676)-N(I676)))</f>
        <v/>
      </c>
      <c r="L676" s="24" t="str">
        <f t="shared" si="21"/>
        <v/>
      </c>
      <c r="M676" s="36" t="str">
        <f>IF(AND(A676=Consulta!$B$3,C676=Consulta!$H$3),B676*10000+ROW(),"")</f>
        <v/>
      </c>
    </row>
    <row r="677" spans="1:13" x14ac:dyDescent="0.25">
      <c r="A677" s="21" t="str">
        <f>IF(Registro!$A677="","",Registro!$A677)</f>
        <v/>
      </c>
      <c r="B677" s="20" t="str">
        <f>IF(Registro!$B677="","",Registro!$B677)</f>
        <v/>
      </c>
      <c r="C677" s="35" t="str">
        <f t="shared" si="20"/>
        <v/>
      </c>
      <c r="D677" s="23" t="str">
        <f>IF(Registro!$E677="","",IF(ISERROR(FIND("x",LOWER(Registro!$E677))),"-",IFERROR(SUMPRODUCT(--("0"&amp;LEFT(TRIM(MID(SUBSTITUTE(SUBSTITUTE(SUBSTITUTE(SUBSTITUTE(SUBSTITUTE(LOWER(Registro!$E677),"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",LEN(Registro!$E677))),({1,2,3,4,5,6,7,8,9,10,11,12,13,14,15,16,17,18,19,20,21,22,23,24,25,26,27,28,29,30}-1)*LEN(Registro!$E677)+1,LEN(Registro!$E677))),FIND("x",TRIM(MID(SUBSTITUTE(SUBSTITUTE(SUBSTITUTE(SUBSTITUTE(SUBSTITUTE(LOWER(Registro!$E677),"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",LEN(Registro!$E677))),({1,2,3,4,5,6,7,8,9,10,11,12,13,14,15,16,17,18,19,20,21,22,23,24,25,26,27,28,29,30}-1)*LEN(Registro!$E677)+1,LEN(Registro!$E677)))&amp;"x")-1))),"Revisar formato")))</f>
        <v/>
      </c>
      <c r="E677" s="24" t="str">
        <f>IF(Registro!$E677="","",IF(ISERROR(FIND("x",LOWER(Registro!$E677))),"-",IFERROR(SUMPRODUCT(--("0"&amp;LEFT(TRIM(MID(SUBSTITUTE(SUBSTITUTE(SUBSTITUTE(SUBSTITUTE(SUBSTITUTE(LOWER(Registro!$E677),"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",LEN(Registro!$E677))),({1,2,3,4,5,6,7,8,9,10,11,12,13,14,15,16,17,18,19,20,21,22,23,24,25,26,27,28,29,30}-1)*LEN(Registro!$E677)+1,LEN(Registro!$E677))),FIND("x",TRIM(MID(SUBSTITUTE(SUBSTITUTE(SUBSTITUTE(SUBSTITUTE(SUBSTITUTE(LOWER(Registro!$E677),"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",LEN(Registro!$E677))),({1,2,3,4,5,6,7,8,9,10,11,12,13,14,15,16,17,18,19,20,21,22,23,24,25,26,27,28,29,30}-1)*LEN(Registro!$E677)+1,LEN(Registro!$E677)))&amp;"x")-1)),--("0"&amp;MID(TRIM(MID(SUBSTITUTE(SUBSTITUTE(SUBSTITUTE(SUBSTITUTE(SUBSTITUTE(LOWER(Registro!$E677),"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",LEN(Registro!$E677))),({1,2,3,4,5,6,7,8,9,10,11,12,13,14,15,16,17,18,19,20,21,22,23,24,25,26,27,28,29,30}-1)*LEN(Registro!$E677)+1,LEN(Registro!$E677))),FIND("x",TRIM(MID(SUBSTITUTE(SUBSTITUTE(SUBSTITUTE(SUBSTITUTE(SUBSTITUTE(LOWER(Registro!$E677),"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",LEN(Registro!$E677))),({1,2,3,4,5,6,7,8,9,10,11,12,13,14,15,16,17,18,19,20,21,22,23,24,25,26,27,28,29,30}-1)*LEN(Registro!$E677)+1,LEN(Registro!$E677)))&amp;"x")+1,20))),"Revisar formato")))</f>
        <v/>
      </c>
      <c r="F677" s="23" t="str">
        <f>IF(Registro!$F677="","",IF(ISERROR(FIND("x",LOWER(Registro!$F677))),"-",IFERROR(SUMPRODUCT(--("0"&amp;LEFT(TRIM(MID(SUBSTITUTE(SUBSTITUTE(SUBSTITUTE(SUBSTITUTE(SUBSTITUTE(LOWER(Registro!$F677)," ",""),CHAR(10),"|"),";","|"),"+","|"),"|",REPT(" ",LEN(Registro!$F677))),({1,2,3,4,5,6,7,8,9,10,11,12,13,14,15,16,17,18,19,20,21,22,23,24,25,26,27,28,29,30}-1)*LEN(Registro!$F677)+1,LEN(Registro!$F677))),FIND("x",TRIM(MID(SUBSTITUTE(SUBSTITUTE(SUBSTITUTE(SUBSTITUTE(SUBSTITUTE(LOWER(Registro!$F677)," ",""),CHAR(10),"|"),";","|"),"+","|"),"|",REPT(" ",LEN(Registro!$F677))),({1,2,3,4,5,6,7,8,9,10,11,12,13,14,15,16,17,18,19,20,21,22,23,24,25,26,27,28,29,30}-1)*LEN(Registro!$F677)+1,LEN(Registro!$F677)))&amp;"x")-1))),"Revisar formato")))</f>
        <v/>
      </c>
      <c r="G677" s="24" t="str">
        <f>IF(Registro!$F677="","",IF(ISERROR(FIND("x",LOWER(Registro!$F677))),N(Registro!$G677),IFERROR(SUMPRODUCT(--("0"&amp;LEFT(TRIM(MID(SUBSTITUTE(SUBSTITUTE(SUBSTITUTE(SUBSTITUTE(SUBSTITUTE(LOWER(Registro!$F677)," ",""),CHAR(10),"|"),";","|"),"+","|"),"|",REPT(" ",LEN(Registro!$F677))),({1,2,3,4,5,6,7,8,9,10,11,12,13,14,15,16,17,18,19,20,21,22,23,24,25,26,27,28,29,30}-1)*LEN(Registro!$F677)+1,LEN(Registro!$F677))),FIND("x",TRIM(MID(SUBSTITUTE(SUBSTITUTE(SUBSTITUTE(SUBSTITUTE(SUBSTITUTE(LOWER(Registro!$F677)," ",""),CHAR(10),"|"),";","|"),"+","|"),"|",REPT(" ",LEN(Registro!$F677))),({1,2,3,4,5,6,7,8,9,10,11,12,13,14,15,16,17,18,19,20,21,22,23,24,25,26,27,28,29,30}-1)*LEN(Registro!$F677)+1,LEN(Registro!$F677)))&amp;"x")-1)),--("0"&amp;MID(TRIM(MID(SUBSTITUTE(SUBSTITUTE(SUBSTITUTE(SUBSTITUTE(SUBSTITUTE(LOWER(Registro!$F677)," ",""),CHAR(10),"|"),";","|"),"+","|"),"|",REPT(" ",LEN(Registro!$F677))),({1,2,3,4,5,6,7,8,9,10,11,12,13,14,15,16,17,18,19,20,21,22,23,24,25,26,27,28,29,30}-1)*LEN(Registro!$F677)+1,LEN(Registro!$F677))),FIND("x",TRIM(MID(SUBSTITUTE(SUBSTITUTE(SUBSTITUTE(SUBSTITUTE(SUBSTITUTE(LOWER(Registro!$F677)," ",""),CHAR(10),"|"),";","|"),"+","|"),"|",REPT(" ",LEN(Registro!$F677))),({1,2,3,4,5,6,7,8,9,10,11,12,13,14,15,16,17,18,19,20,21,22,23,24,25,26,27,28,29,30}-1)*LEN(Registro!$F677)+1,LEN(Registro!$F677)))&amp;"x")+1,20))),"Revisar formato")))</f>
        <v/>
      </c>
      <c r="H677" s="21" t="str">
        <f>IF(AND(Registro!$E677="",Registro!$F677=""),"",IF(NOT(AND(ISNUMBER(G677),ISNUMBER(Registro!$G677))),"",IF(G677&lt;Registro!$G677,"FALTA BOLETOS",IF(G677=Registro!$G677,"CONFORME","DIFERENCIA"))))</f>
        <v/>
      </c>
      <c r="I677" s="24" t="str">
        <f>IF(Registro!$H677="","",IFERROR(SUMPRODUCT(--("0"&amp;TRIM(RIGHT(SUBSTITUTE(TRIM(MID(SUBSTITUTE(SUBSTITUTE(Registro!$H677,";",CHAR(10)),CHAR(10),REPT(" ",LEN(Registro!$H677))),({1,2,3,4,5,6,7,8,9,10,11,12,13,14,15,16,17,18,19,20,21,22,23,24,25,26,27,28,29,30}-1)*LEN(Registro!$H677)+1,LEN(Registro!$H677)))," ",REPT(" ",50)),50)))),"Revisar formato"))</f>
        <v/>
      </c>
      <c r="J677" s="24" t="str">
        <f>IF(Registro!$I677="","",IFERROR(SUMPRODUCT(--("0"&amp;TRIM(RIGHT(SUBSTITUTE(TRIM(MID(SUBSTITUTE(SUBSTITUTE(Registro!$I677,";",CHAR(10)),CHAR(10),REPT(" ",LEN(Registro!$I677))),({1,2,3,4,5,6,7,8,9,10,11,12,13,14,15,16,17,18,19,20,21,22,23,24,25,26,27,28,29,30}-1)*LEN(Registro!$I677)+1,LEN(Registro!$I677)))," ",REPT(" ",50)),50)))),"Revisar formato"))</f>
        <v/>
      </c>
      <c r="K677" s="24" t="str">
        <f>IF(AND(Registro!$G677="",Registro!$H677=""),"",IF(AND(ISTEXT(I677),I677&lt;&gt;""),"Revisar formato",N(Registro!$G677)-N(I677)))</f>
        <v/>
      </c>
      <c r="L677" s="24" t="str">
        <f t="shared" si="21"/>
        <v/>
      </c>
      <c r="M677" s="36" t="str">
        <f>IF(AND(A677=Consulta!$B$3,C677=Consulta!$H$3),B677*10000+ROW(),"")</f>
        <v/>
      </c>
    </row>
    <row r="678" spans="1:13" x14ac:dyDescent="0.25">
      <c r="A678" s="21" t="str">
        <f>IF(Registro!$A678="","",Registro!$A678)</f>
        <v/>
      </c>
      <c r="B678" s="20" t="str">
        <f>IF(Registro!$B678="","",Registro!$B678)</f>
        <v/>
      </c>
      <c r="C678" s="35" t="str">
        <f t="shared" si="20"/>
        <v/>
      </c>
      <c r="D678" s="23" t="str">
        <f>IF(Registro!$E678="","",IF(ISERROR(FIND("x",LOWER(Registro!$E678))),"-",IFERROR(SUMPRODUCT(--("0"&amp;LEFT(TRIM(MID(SUBSTITUTE(SUBSTITUTE(SUBSTITUTE(SUBSTITUTE(SUBSTITUTE(LOWER(Registro!$E678),"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",LEN(Registro!$E678))),({1,2,3,4,5,6,7,8,9,10,11,12,13,14,15,16,17,18,19,20,21,22,23,24,25,26,27,28,29,30}-1)*LEN(Registro!$E678)+1,LEN(Registro!$E678))),FIND("x",TRIM(MID(SUBSTITUTE(SUBSTITUTE(SUBSTITUTE(SUBSTITUTE(SUBSTITUTE(LOWER(Registro!$E678),"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",LEN(Registro!$E678))),({1,2,3,4,5,6,7,8,9,10,11,12,13,14,15,16,17,18,19,20,21,22,23,24,25,26,27,28,29,30}-1)*LEN(Registro!$E678)+1,LEN(Registro!$E678)))&amp;"x")-1))),"Revisar formato")))</f>
        <v/>
      </c>
      <c r="E678" s="24" t="str">
        <f>IF(Registro!$E678="","",IF(ISERROR(FIND("x",LOWER(Registro!$E678))),"-",IFERROR(SUMPRODUCT(--("0"&amp;LEFT(TRIM(MID(SUBSTITUTE(SUBSTITUTE(SUBSTITUTE(SUBSTITUTE(SUBSTITUTE(LOWER(Registro!$E678),"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",LEN(Registro!$E678))),({1,2,3,4,5,6,7,8,9,10,11,12,13,14,15,16,17,18,19,20,21,22,23,24,25,26,27,28,29,30}-1)*LEN(Registro!$E678)+1,LEN(Registro!$E678))),FIND("x",TRIM(MID(SUBSTITUTE(SUBSTITUTE(SUBSTITUTE(SUBSTITUTE(SUBSTITUTE(LOWER(Registro!$E678),"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",LEN(Registro!$E678))),({1,2,3,4,5,6,7,8,9,10,11,12,13,14,15,16,17,18,19,20,21,22,23,24,25,26,27,28,29,30}-1)*LEN(Registro!$E678)+1,LEN(Registro!$E678)))&amp;"x")-1)),--("0"&amp;MID(TRIM(MID(SUBSTITUTE(SUBSTITUTE(SUBSTITUTE(SUBSTITUTE(SUBSTITUTE(LOWER(Registro!$E678),"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",LEN(Registro!$E678))),({1,2,3,4,5,6,7,8,9,10,11,12,13,14,15,16,17,18,19,20,21,22,23,24,25,26,27,28,29,30}-1)*LEN(Registro!$E678)+1,LEN(Registro!$E678))),FIND("x",TRIM(MID(SUBSTITUTE(SUBSTITUTE(SUBSTITUTE(SUBSTITUTE(SUBSTITUTE(LOWER(Registro!$E678),"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",LEN(Registro!$E678))),({1,2,3,4,5,6,7,8,9,10,11,12,13,14,15,16,17,18,19,20,21,22,23,24,25,26,27,28,29,30}-1)*LEN(Registro!$E678)+1,LEN(Registro!$E678)))&amp;"x")+1,20))),"Revisar formato")))</f>
        <v/>
      </c>
      <c r="F678" s="23" t="str">
        <f>IF(Registro!$F678="","",IF(ISERROR(FIND("x",LOWER(Registro!$F678))),"-",IFERROR(SUMPRODUCT(--("0"&amp;LEFT(TRIM(MID(SUBSTITUTE(SUBSTITUTE(SUBSTITUTE(SUBSTITUTE(SUBSTITUTE(LOWER(Registro!$F678)," ",""),CHAR(10),"|"),";","|"),"+","|"),"|",REPT(" ",LEN(Registro!$F678))),({1,2,3,4,5,6,7,8,9,10,11,12,13,14,15,16,17,18,19,20,21,22,23,24,25,26,27,28,29,30}-1)*LEN(Registro!$F678)+1,LEN(Registro!$F678))),FIND("x",TRIM(MID(SUBSTITUTE(SUBSTITUTE(SUBSTITUTE(SUBSTITUTE(SUBSTITUTE(LOWER(Registro!$F678)," ",""),CHAR(10),"|"),";","|"),"+","|"),"|",REPT(" ",LEN(Registro!$F678))),({1,2,3,4,5,6,7,8,9,10,11,12,13,14,15,16,17,18,19,20,21,22,23,24,25,26,27,28,29,30}-1)*LEN(Registro!$F678)+1,LEN(Registro!$F678)))&amp;"x")-1))),"Revisar formato")))</f>
        <v/>
      </c>
      <c r="G678" s="24" t="str">
        <f>IF(Registro!$F678="","",IF(ISERROR(FIND("x",LOWER(Registro!$F678))),N(Registro!$G678),IFERROR(SUMPRODUCT(--("0"&amp;LEFT(TRIM(MID(SUBSTITUTE(SUBSTITUTE(SUBSTITUTE(SUBSTITUTE(SUBSTITUTE(LOWER(Registro!$F678)," ",""),CHAR(10),"|"),";","|"),"+","|"),"|",REPT(" ",LEN(Registro!$F678))),({1,2,3,4,5,6,7,8,9,10,11,12,13,14,15,16,17,18,19,20,21,22,23,24,25,26,27,28,29,30}-1)*LEN(Registro!$F678)+1,LEN(Registro!$F678))),FIND("x",TRIM(MID(SUBSTITUTE(SUBSTITUTE(SUBSTITUTE(SUBSTITUTE(SUBSTITUTE(LOWER(Registro!$F678)," ",""),CHAR(10),"|"),";","|"),"+","|"),"|",REPT(" ",LEN(Registro!$F678))),({1,2,3,4,5,6,7,8,9,10,11,12,13,14,15,16,17,18,19,20,21,22,23,24,25,26,27,28,29,30}-1)*LEN(Registro!$F678)+1,LEN(Registro!$F678)))&amp;"x")-1)),--("0"&amp;MID(TRIM(MID(SUBSTITUTE(SUBSTITUTE(SUBSTITUTE(SUBSTITUTE(SUBSTITUTE(LOWER(Registro!$F678)," ",""),CHAR(10),"|"),";","|"),"+","|"),"|",REPT(" ",LEN(Registro!$F678))),({1,2,3,4,5,6,7,8,9,10,11,12,13,14,15,16,17,18,19,20,21,22,23,24,25,26,27,28,29,30}-1)*LEN(Registro!$F678)+1,LEN(Registro!$F678))),FIND("x",TRIM(MID(SUBSTITUTE(SUBSTITUTE(SUBSTITUTE(SUBSTITUTE(SUBSTITUTE(LOWER(Registro!$F678)," ",""),CHAR(10),"|"),";","|"),"+","|"),"|",REPT(" ",LEN(Registro!$F678))),({1,2,3,4,5,6,7,8,9,10,11,12,13,14,15,16,17,18,19,20,21,22,23,24,25,26,27,28,29,30}-1)*LEN(Registro!$F678)+1,LEN(Registro!$F678)))&amp;"x")+1,20))),"Revisar formato")))</f>
        <v/>
      </c>
      <c r="H678" s="21" t="str">
        <f>IF(AND(Registro!$E678="",Registro!$F678=""),"",IF(NOT(AND(ISNUMBER(G678),ISNUMBER(Registro!$G678))),"",IF(G678&lt;Registro!$G678,"FALTA BOLETOS",IF(G678=Registro!$G678,"CONFORME","DIFERENCIA"))))</f>
        <v/>
      </c>
      <c r="I678" s="24" t="str">
        <f>IF(Registro!$H678="","",IFERROR(SUMPRODUCT(--("0"&amp;TRIM(RIGHT(SUBSTITUTE(TRIM(MID(SUBSTITUTE(SUBSTITUTE(Registro!$H678,";",CHAR(10)),CHAR(10),REPT(" ",LEN(Registro!$H678))),({1,2,3,4,5,6,7,8,9,10,11,12,13,14,15,16,17,18,19,20,21,22,23,24,25,26,27,28,29,30}-1)*LEN(Registro!$H678)+1,LEN(Registro!$H678)))," ",REPT(" ",50)),50)))),"Revisar formato"))</f>
        <v/>
      </c>
      <c r="J678" s="24" t="str">
        <f>IF(Registro!$I678="","",IFERROR(SUMPRODUCT(--("0"&amp;TRIM(RIGHT(SUBSTITUTE(TRIM(MID(SUBSTITUTE(SUBSTITUTE(Registro!$I678,";",CHAR(10)),CHAR(10),REPT(" ",LEN(Registro!$I678))),({1,2,3,4,5,6,7,8,9,10,11,12,13,14,15,16,17,18,19,20,21,22,23,24,25,26,27,28,29,30}-1)*LEN(Registro!$I678)+1,LEN(Registro!$I678)))," ",REPT(" ",50)),50)))),"Revisar formato"))</f>
        <v/>
      </c>
      <c r="K678" s="24" t="str">
        <f>IF(AND(Registro!$G678="",Registro!$H678=""),"",IF(AND(ISTEXT(I678),I678&lt;&gt;""),"Revisar formato",N(Registro!$G678)-N(I678)))</f>
        <v/>
      </c>
      <c r="L678" s="24" t="str">
        <f t="shared" si="21"/>
        <v/>
      </c>
      <c r="M678" s="36" t="str">
        <f>IF(AND(A678=Consulta!$B$3,C678=Consulta!$H$3),B678*10000+ROW(),"")</f>
        <v/>
      </c>
    </row>
    <row r="679" spans="1:13" x14ac:dyDescent="0.25">
      <c r="A679" s="21" t="str">
        <f>IF(Registro!$A679="","",Registro!$A679)</f>
        <v/>
      </c>
      <c r="B679" s="20" t="str">
        <f>IF(Registro!$B679="","",Registro!$B679)</f>
        <v/>
      </c>
      <c r="C679" s="35" t="str">
        <f t="shared" si="20"/>
        <v/>
      </c>
      <c r="D679" s="23" t="str">
        <f>IF(Registro!$E679="","",IF(ISERROR(FIND("x",LOWER(Registro!$E679))),"-",IFERROR(SUMPRODUCT(--("0"&amp;LEFT(TRIM(MID(SUBSTITUTE(SUBSTITUTE(SUBSTITUTE(SUBSTITUTE(SUBSTITUTE(LOWER(Registro!$E679),"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",LEN(Registro!$E679))),({1,2,3,4,5,6,7,8,9,10,11,12,13,14,15,16,17,18,19,20,21,22,23,24,25,26,27,28,29,30}-1)*LEN(Registro!$E679)+1,LEN(Registro!$E679))),FIND("x",TRIM(MID(SUBSTITUTE(SUBSTITUTE(SUBSTITUTE(SUBSTITUTE(SUBSTITUTE(LOWER(Registro!$E679),"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",LEN(Registro!$E679))),({1,2,3,4,5,6,7,8,9,10,11,12,13,14,15,16,17,18,19,20,21,22,23,24,25,26,27,28,29,30}-1)*LEN(Registro!$E679)+1,LEN(Registro!$E679)))&amp;"x")-1))),"Revisar formato")))</f>
        <v/>
      </c>
      <c r="E679" s="24" t="str">
        <f>IF(Registro!$E679="","",IF(ISERROR(FIND("x",LOWER(Registro!$E679))),"-",IFERROR(SUMPRODUCT(--("0"&amp;LEFT(TRIM(MID(SUBSTITUTE(SUBSTITUTE(SUBSTITUTE(SUBSTITUTE(SUBSTITUTE(LOWER(Registro!$E679),"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",LEN(Registro!$E679))),({1,2,3,4,5,6,7,8,9,10,11,12,13,14,15,16,17,18,19,20,21,22,23,24,25,26,27,28,29,30}-1)*LEN(Registro!$E679)+1,LEN(Registro!$E679))),FIND("x",TRIM(MID(SUBSTITUTE(SUBSTITUTE(SUBSTITUTE(SUBSTITUTE(SUBSTITUTE(LOWER(Registro!$E679),"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",LEN(Registro!$E679))),({1,2,3,4,5,6,7,8,9,10,11,12,13,14,15,16,17,18,19,20,21,22,23,24,25,26,27,28,29,30}-1)*LEN(Registro!$E679)+1,LEN(Registro!$E679)))&amp;"x")-1)),--("0"&amp;MID(TRIM(MID(SUBSTITUTE(SUBSTITUTE(SUBSTITUTE(SUBSTITUTE(SUBSTITUTE(LOWER(Registro!$E679),"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",LEN(Registro!$E679))),({1,2,3,4,5,6,7,8,9,10,11,12,13,14,15,16,17,18,19,20,21,22,23,24,25,26,27,28,29,30}-1)*LEN(Registro!$E679)+1,LEN(Registro!$E679))),FIND("x",TRIM(MID(SUBSTITUTE(SUBSTITUTE(SUBSTITUTE(SUBSTITUTE(SUBSTITUTE(LOWER(Registro!$E679),"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",LEN(Registro!$E679))),({1,2,3,4,5,6,7,8,9,10,11,12,13,14,15,16,17,18,19,20,21,22,23,24,25,26,27,28,29,30}-1)*LEN(Registro!$E679)+1,LEN(Registro!$E679)))&amp;"x")+1,20))),"Revisar formato")))</f>
        <v/>
      </c>
      <c r="F679" s="23" t="str">
        <f>IF(Registro!$F679="","",IF(ISERROR(FIND("x",LOWER(Registro!$F679))),"-",IFERROR(SUMPRODUCT(--("0"&amp;LEFT(TRIM(MID(SUBSTITUTE(SUBSTITUTE(SUBSTITUTE(SUBSTITUTE(SUBSTITUTE(LOWER(Registro!$F679)," ",""),CHAR(10),"|"),";","|"),"+","|"),"|",REPT(" ",LEN(Registro!$F679))),({1,2,3,4,5,6,7,8,9,10,11,12,13,14,15,16,17,18,19,20,21,22,23,24,25,26,27,28,29,30}-1)*LEN(Registro!$F679)+1,LEN(Registro!$F679))),FIND("x",TRIM(MID(SUBSTITUTE(SUBSTITUTE(SUBSTITUTE(SUBSTITUTE(SUBSTITUTE(LOWER(Registro!$F679)," ",""),CHAR(10),"|"),";","|"),"+","|"),"|",REPT(" ",LEN(Registro!$F679))),({1,2,3,4,5,6,7,8,9,10,11,12,13,14,15,16,17,18,19,20,21,22,23,24,25,26,27,28,29,30}-1)*LEN(Registro!$F679)+1,LEN(Registro!$F679)))&amp;"x")-1))),"Revisar formato")))</f>
        <v/>
      </c>
      <c r="G679" s="24" t="str">
        <f>IF(Registro!$F679="","",IF(ISERROR(FIND("x",LOWER(Registro!$F679))),N(Registro!$G679),IFERROR(SUMPRODUCT(--("0"&amp;LEFT(TRIM(MID(SUBSTITUTE(SUBSTITUTE(SUBSTITUTE(SUBSTITUTE(SUBSTITUTE(LOWER(Registro!$F679)," ",""),CHAR(10),"|"),";","|"),"+","|"),"|",REPT(" ",LEN(Registro!$F679))),({1,2,3,4,5,6,7,8,9,10,11,12,13,14,15,16,17,18,19,20,21,22,23,24,25,26,27,28,29,30}-1)*LEN(Registro!$F679)+1,LEN(Registro!$F679))),FIND("x",TRIM(MID(SUBSTITUTE(SUBSTITUTE(SUBSTITUTE(SUBSTITUTE(SUBSTITUTE(LOWER(Registro!$F679)," ",""),CHAR(10),"|"),";","|"),"+","|"),"|",REPT(" ",LEN(Registro!$F679))),({1,2,3,4,5,6,7,8,9,10,11,12,13,14,15,16,17,18,19,20,21,22,23,24,25,26,27,28,29,30}-1)*LEN(Registro!$F679)+1,LEN(Registro!$F679)))&amp;"x")-1)),--("0"&amp;MID(TRIM(MID(SUBSTITUTE(SUBSTITUTE(SUBSTITUTE(SUBSTITUTE(SUBSTITUTE(LOWER(Registro!$F679)," ",""),CHAR(10),"|"),";","|"),"+","|"),"|",REPT(" ",LEN(Registro!$F679))),({1,2,3,4,5,6,7,8,9,10,11,12,13,14,15,16,17,18,19,20,21,22,23,24,25,26,27,28,29,30}-1)*LEN(Registro!$F679)+1,LEN(Registro!$F679))),FIND("x",TRIM(MID(SUBSTITUTE(SUBSTITUTE(SUBSTITUTE(SUBSTITUTE(SUBSTITUTE(LOWER(Registro!$F679)," ",""),CHAR(10),"|"),";","|"),"+","|"),"|",REPT(" ",LEN(Registro!$F679))),({1,2,3,4,5,6,7,8,9,10,11,12,13,14,15,16,17,18,19,20,21,22,23,24,25,26,27,28,29,30}-1)*LEN(Registro!$F679)+1,LEN(Registro!$F679)))&amp;"x")+1,20))),"Revisar formato")))</f>
        <v/>
      </c>
      <c r="H679" s="21" t="str">
        <f>IF(AND(Registro!$E679="",Registro!$F679=""),"",IF(NOT(AND(ISNUMBER(G679),ISNUMBER(Registro!$G679))),"",IF(G679&lt;Registro!$G679,"FALTA BOLETOS",IF(G679=Registro!$G679,"CONFORME","DIFERENCIA"))))</f>
        <v/>
      </c>
      <c r="I679" s="24" t="str">
        <f>IF(Registro!$H679="","",IFERROR(SUMPRODUCT(--("0"&amp;TRIM(RIGHT(SUBSTITUTE(TRIM(MID(SUBSTITUTE(SUBSTITUTE(Registro!$H679,";",CHAR(10)),CHAR(10),REPT(" ",LEN(Registro!$H679))),({1,2,3,4,5,6,7,8,9,10,11,12,13,14,15,16,17,18,19,20,21,22,23,24,25,26,27,28,29,30}-1)*LEN(Registro!$H679)+1,LEN(Registro!$H679)))," ",REPT(" ",50)),50)))),"Revisar formato"))</f>
        <v/>
      </c>
      <c r="J679" s="24" t="str">
        <f>IF(Registro!$I679="","",IFERROR(SUMPRODUCT(--("0"&amp;TRIM(RIGHT(SUBSTITUTE(TRIM(MID(SUBSTITUTE(SUBSTITUTE(Registro!$I679,";",CHAR(10)),CHAR(10),REPT(" ",LEN(Registro!$I679))),({1,2,3,4,5,6,7,8,9,10,11,12,13,14,15,16,17,18,19,20,21,22,23,24,25,26,27,28,29,30}-1)*LEN(Registro!$I679)+1,LEN(Registro!$I679)))," ",REPT(" ",50)),50)))),"Revisar formato"))</f>
        <v/>
      </c>
      <c r="K679" s="24" t="str">
        <f>IF(AND(Registro!$G679="",Registro!$H679=""),"",IF(AND(ISTEXT(I679),I679&lt;&gt;""),"Revisar formato",N(Registro!$G679)-N(I679)))</f>
        <v/>
      </c>
      <c r="L679" s="24" t="str">
        <f t="shared" si="21"/>
        <v/>
      </c>
      <c r="M679" s="36" t="str">
        <f>IF(AND(A679=Consulta!$B$3,C679=Consulta!$H$3),B679*10000+ROW(),"")</f>
        <v/>
      </c>
    </row>
    <row r="680" spans="1:13" x14ac:dyDescent="0.25">
      <c r="A680" s="21" t="str">
        <f>IF(Registro!$A680="","",Registro!$A680)</f>
        <v/>
      </c>
      <c r="B680" s="20" t="str">
        <f>IF(Registro!$B680="","",Registro!$B680)</f>
        <v/>
      </c>
      <c r="C680" s="35" t="str">
        <f t="shared" si="20"/>
        <v/>
      </c>
      <c r="D680" s="23" t="str">
        <f>IF(Registro!$E680="","",IF(ISERROR(FIND("x",LOWER(Registro!$E680))),"-",IFERROR(SUMPRODUCT(--("0"&amp;LEFT(TRIM(MID(SUBSTITUTE(SUBSTITUTE(SUBSTITUTE(SUBSTITUTE(SUBSTITUTE(LOWER(Registro!$E680),"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",LEN(Registro!$E680))),({1,2,3,4,5,6,7,8,9,10,11,12,13,14,15,16,17,18,19,20,21,22,23,24,25,26,27,28,29,30}-1)*LEN(Registro!$E680)+1,LEN(Registro!$E680))),FIND("x",TRIM(MID(SUBSTITUTE(SUBSTITUTE(SUBSTITUTE(SUBSTITUTE(SUBSTITUTE(LOWER(Registro!$E680),"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",LEN(Registro!$E680))),({1,2,3,4,5,6,7,8,9,10,11,12,13,14,15,16,17,18,19,20,21,22,23,24,25,26,27,28,29,30}-1)*LEN(Registro!$E680)+1,LEN(Registro!$E680)))&amp;"x")-1))),"Revisar formato")))</f>
        <v/>
      </c>
      <c r="E680" s="24" t="str">
        <f>IF(Registro!$E680="","",IF(ISERROR(FIND("x",LOWER(Registro!$E680))),"-",IFERROR(SUMPRODUCT(--("0"&amp;LEFT(TRIM(MID(SUBSTITUTE(SUBSTITUTE(SUBSTITUTE(SUBSTITUTE(SUBSTITUTE(LOWER(Registro!$E680),"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",LEN(Registro!$E680))),({1,2,3,4,5,6,7,8,9,10,11,12,13,14,15,16,17,18,19,20,21,22,23,24,25,26,27,28,29,30}-1)*LEN(Registro!$E680)+1,LEN(Registro!$E680))),FIND("x",TRIM(MID(SUBSTITUTE(SUBSTITUTE(SUBSTITUTE(SUBSTITUTE(SUBSTITUTE(LOWER(Registro!$E680),"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",LEN(Registro!$E680))),({1,2,3,4,5,6,7,8,9,10,11,12,13,14,15,16,17,18,19,20,21,22,23,24,25,26,27,28,29,30}-1)*LEN(Registro!$E680)+1,LEN(Registro!$E680)))&amp;"x")-1)),--("0"&amp;MID(TRIM(MID(SUBSTITUTE(SUBSTITUTE(SUBSTITUTE(SUBSTITUTE(SUBSTITUTE(LOWER(Registro!$E680),"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",LEN(Registro!$E680))),({1,2,3,4,5,6,7,8,9,10,11,12,13,14,15,16,17,18,19,20,21,22,23,24,25,26,27,28,29,30}-1)*LEN(Registro!$E680)+1,LEN(Registro!$E680))),FIND("x",TRIM(MID(SUBSTITUTE(SUBSTITUTE(SUBSTITUTE(SUBSTITUTE(SUBSTITUTE(LOWER(Registro!$E680),"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",LEN(Registro!$E680))),({1,2,3,4,5,6,7,8,9,10,11,12,13,14,15,16,17,18,19,20,21,22,23,24,25,26,27,28,29,30}-1)*LEN(Registro!$E680)+1,LEN(Registro!$E680)))&amp;"x")+1,20))),"Revisar formato")))</f>
        <v/>
      </c>
      <c r="F680" s="23" t="str">
        <f>IF(Registro!$F680="","",IF(ISERROR(FIND("x",LOWER(Registro!$F680))),"-",IFERROR(SUMPRODUCT(--("0"&amp;LEFT(TRIM(MID(SUBSTITUTE(SUBSTITUTE(SUBSTITUTE(SUBSTITUTE(SUBSTITUTE(LOWER(Registro!$F680)," ",""),CHAR(10),"|"),";","|"),"+","|"),"|",REPT(" ",LEN(Registro!$F680))),({1,2,3,4,5,6,7,8,9,10,11,12,13,14,15,16,17,18,19,20,21,22,23,24,25,26,27,28,29,30}-1)*LEN(Registro!$F680)+1,LEN(Registro!$F680))),FIND("x",TRIM(MID(SUBSTITUTE(SUBSTITUTE(SUBSTITUTE(SUBSTITUTE(SUBSTITUTE(LOWER(Registro!$F680)," ",""),CHAR(10),"|"),";","|"),"+","|"),"|",REPT(" ",LEN(Registro!$F680))),({1,2,3,4,5,6,7,8,9,10,11,12,13,14,15,16,17,18,19,20,21,22,23,24,25,26,27,28,29,30}-1)*LEN(Registro!$F680)+1,LEN(Registro!$F680)))&amp;"x")-1))),"Revisar formato")))</f>
        <v/>
      </c>
      <c r="G680" s="24" t="str">
        <f>IF(Registro!$F680="","",IF(ISERROR(FIND("x",LOWER(Registro!$F680))),N(Registro!$G680),IFERROR(SUMPRODUCT(--("0"&amp;LEFT(TRIM(MID(SUBSTITUTE(SUBSTITUTE(SUBSTITUTE(SUBSTITUTE(SUBSTITUTE(LOWER(Registro!$F680)," ",""),CHAR(10),"|"),";","|"),"+","|"),"|",REPT(" ",LEN(Registro!$F680))),({1,2,3,4,5,6,7,8,9,10,11,12,13,14,15,16,17,18,19,20,21,22,23,24,25,26,27,28,29,30}-1)*LEN(Registro!$F680)+1,LEN(Registro!$F680))),FIND("x",TRIM(MID(SUBSTITUTE(SUBSTITUTE(SUBSTITUTE(SUBSTITUTE(SUBSTITUTE(LOWER(Registro!$F680)," ",""),CHAR(10),"|"),";","|"),"+","|"),"|",REPT(" ",LEN(Registro!$F680))),({1,2,3,4,5,6,7,8,9,10,11,12,13,14,15,16,17,18,19,20,21,22,23,24,25,26,27,28,29,30}-1)*LEN(Registro!$F680)+1,LEN(Registro!$F680)))&amp;"x")-1)),--("0"&amp;MID(TRIM(MID(SUBSTITUTE(SUBSTITUTE(SUBSTITUTE(SUBSTITUTE(SUBSTITUTE(LOWER(Registro!$F680)," ",""),CHAR(10),"|"),";","|"),"+","|"),"|",REPT(" ",LEN(Registro!$F680))),({1,2,3,4,5,6,7,8,9,10,11,12,13,14,15,16,17,18,19,20,21,22,23,24,25,26,27,28,29,30}-1)*LEN(Registro!$F680)+1,LEN(Registro!$F680))),FIND("x",TRIM(MID(SUBSTITUTE(SUBSTITUTE(SUBSTITUTE(SUBSTITUTE(SUBSTITUTE(LOWER(Registro!$F680)," ",""),CHAR(10),"|"),";","|"),"+","|"),"|",REPT(" ",LEN(Registro!$F680))),({1,2,3,4,5,6,7,8,9,10,11,12,13,14,15,16,17,18,19,20,21,22,23,24,25,26,27,28,29,30}-1)*LEN(Registro!$F680)+1,LEN(Registro!$F680)))&amp;"x")+1,20))),"Revisar formato")))</f>
        <v/>
      </c>
      <c r="H680" s="21" t="str">
        <f>IF(AND(Registro!$E680="",Registro!$F680=""),"",IF(NOT(AND(ISNUMBER(G680),ISNUMBER(Registro!$G680))),"",IF(G680&lt;Registro!$G680,"FALTA BOLETOS",IF(G680=Registro!$G680,"CONFORME","DIFERENCIA"))))</f>
        <v/>
      </c>
      <c r="I680" s="24" t="str">
        <f>IF(Registro!$H680="","",IFERROR(SUMPRODUCT(--("0"&amp;TRIM(RIGHT(SUBSTITUTE(TRIM(MID(SUBSTITUTE(SUBSTITUTE(Registro!$H680,";",CHAR(10)),CHAR(10),REPT(" ",LEN(Registro!$H680))),({1,2,3,4,5,6,7,8,9,10,11,12,13,14,15,16,17,18,19,20,21,22,23,24,25,26,27,28,29,30}-1)*LEN(Registro!$H680)+1,LEN(Registro!$H680)))," ",REPT(" ",50)),50)))),"Revisar formato"))</f>
        <v/>
      </c>
      <c r="J680" s="24" t="str">
        <f>IF(Registro!$I680="","",IFERROR(SUMPRODUCT(--("0"&amp;TRIM(RIGHT(SUBSTITUTE(TRIM(MID(SUBSTITUTE(SUBSTITUTE(Registro!$I680,";",CHAR(10)),CHAR(10),REPT(" ",LEN(Registro!$I680))),({1,2,3,4,5,6,7,8,9,10,11,12,13,14,15,16,17,18,19,20,21,22,23,24,25,26,27,28,29,30}-1)*LEN(Registro!$I680)+1,LEN(Registro!$I680)))," ",REPT(" ",50)),50)))),"Revisar formato"))</f>
        <v/>
      </c>
      <c r="K680" s="24" t="str">
        <f>IF(AND(Registro!$G680="",Registro!$H680=""),"",IF(AND(ISTEXT(I680),I680&lt;&gt;""),"Revisar formato",N(Registro!$G680)-N(I680)))</f>
        <v/>
      </c>
      <c r="L680" s="24" t="str">
        <f t="shared" si="21"/>
        <v/>
      </c>
      <c r="M680" s="36" t="str">
        <f>IF(AND(A680=Consulta!$B$3,C680=Consulta!$H$3),B680*10000+ROW(),"")</f>
        <v/>
      </c>
    </row>
    <row r="681" spans="1:13" x14ac:dyDescent="0.25">
      <c r="A681" s="21" t="str">
        <f>IF(Registro!$A681="","",Registro!$A681)</f>
        <v/>
      </c>
      <c r="B681" s="20" t="str">
        <f>IF(Registro!$B681="","",Registro!$B681)</f>
        <v/>
      </c>
      <c r="C681" s="35" t="str">
        <f t="shared" si="20"/>
        <v/>
      </c>
      <c r="D681" s="23" t="str">
        <f>IF(Registro!$E681="","",IF(ISERROR(FIND("x",LOWER(Registro!$E681))),"-",IFERROR(SUMPRODUCT(--("0"&amp;LEFT(TRIM(MID(SUBSTITUTE(SUBSTITUTE(SUBSTITUTE(SUBSTITUTE(SUBSTITUTE(LOWER(Registro!$E681),"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",LEN(Registro!$E681))),({1,2,3,4,5,6,7,8,9,10,11,12,13,14,15,16,17,18,19,20,21,22,23,24,25,26,27,28,29,30}-1)*LEN(Registro!$E681)+1,LEN(Registro!$E681))),FIND("x",TRIM(MID(SUBSTITUTE(SUBSTITUTE(SUBSTITUTE(SUBSTITUTE(SUBSTITUTE(LOWER(Registro!$E681),"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",LEN(Registro!$E681))),({1,2,3,4,5,6,7,8,9,10,11,12,13,14,15,16,17,18,19,20,21,22,23,24,25,26,27,28,29,30}-1)*LEN(Registro!$E681)+1,LEN(Registro!$E681)))&amp;"x")-1))),"Revisar formato")))</f>
        <v/>
      </c>
      <c r="E681" s="24" t="str">
        <f>IF(Registro!$E681="","",IF(ISERROR(FIND("x",LOWER(Registro!$E681))),"-",IFERROR(SUMPRODUCT(--("0"&amp;LEFT(TRIM(MID(SUBSTITUTE(SUBSTITUTE(SUBSTITUTE(SUBSTITUTE(SUBSTITUTE(LOWER(Registro!$E681),"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",LEN(Registro!$E681))),({1,2,3,4,5,6,7,8,9,10,11,12,13,14,15,16,17,18,19,20,21,22,23,24,25,26,27,28,29,30}-1)*LEN(Registro!$E681)+1,LEN(Registro!$E681))),FIND("x",TRIM(MID(SUBSTITUTE(SUBSTITUTE(SUBSTITUTE(SUBSTITUTE(SUBSTITUTE(LOWER(Registro!$E681),"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",LEN(Registro!$E681))),({1,2,3,4,5,6,7,8,9,10,11,12,13,14,15,16,17,18,19,20,21,22,23,24,25,26,27,28,29,30}-1)*LEN(Registro!$E681)+1,LEN(Registro!$E681)))&amp;"x")-1)),--("0"&amp;MID(TRIM(MID(SUBSTITUTE(SUBSTITUTE(SUBSTITUTE(SUBSTITUTE(SUBSTITUTE(LOWER(Registro!$E681),"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",LEN(Registro!$E681))),({1,2,3,4,5,6,7,8,9,10,11,12,13,14,15,16,17,18,19,20,21,22,23,24,25,26,27,28,29,30}-1)*LEN(Registro!$E681)+1,LEN(Registro!$E681))),FIND("x",TRIM(MID(SUBSTITUTE(SUBSTITUTE(SUBSTITUTE(SUBSTITUTE(SUBSTITUTE(LOWER(Registro!$E681),"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",LEN(Registro!$E681))),({1,2,3,4,5,6,7,8,9,10,11,12,13,14,15,16,17,18,19,20,21,22,23,24,25,26,27,28,29,30}-1)*LEN(Registro!$E681)+1,LEN(Registro!$E681)))&amp;"x")+1,20))),"Revisar formato")))</f>
        <v/>
      </c>
      <c r="F681" s="23" t="str">
        <f>IF(Registro!$F681="","",IF(ISERROR(FIND("x",LOWER(Registro!$F681))),"-",IFERROR(SUMPRODUCT(--("0"&amp;LEFT(TRIM(MID(SUBSTITUTE(SUBSTITUTE(SUBSTITUTE(SUBSTITUTE(SUBSTITUTE(LOWER(Registro!$F681)," ",""),CHAR(10),"|"),";","|"),"+","|"),"|",REPT(" ",LEN(Registro!$F681))),({1,2,3,4,5,6,7,8,9,10,11,12,13,14,15,16,17,18,19,20,21,22,23,24,25,26,27,28,29,30}-1)*LEN(Registro!$F681)+1,LEN(Registro!$F681))),FIND("x",TRIM(MID(SUBSTITUTE(SUBSTITUTE(SUBSTITUTE(SUBSTITUTE(SUBSTITUTE(LOWER(Registro!$F681)," ",""),CHAR(10),"|"),";","|"),"+","|"),"|",REPT(" ",LEN(Registro!$F681))),({1,2,3,4,5,6,7,8,9,10,11,12,13,14,15,16,17,18,19,20,21,22,23,24,25,26,27,28,29,30}-1)*LEN(Registro!$F681)+1,LEN(Registro!$F681)))&amp;"x")-1))),"Revisar formato")))</f>
        <v/>
      </c>
      <c r="G681" s="24" t="str">
        <f>IF(Registro!$F681="","",IF(ISERROR(FIND("x",LOWER(Registro!$F681))),N(Registro!$G681),IFERROR(SUMPRODUCT(--("0"&amp;LEFT(TRIM(MID(SUBSTITUTE(SUBSTITUTE(SUBSTITUTE(SUBSTITUTE(SUBSTITUTE(LOWER(Registro!$F681)," ",""),CHAR(10),"|"),";","|"),"+","|"),"|",REPT(" ",LEN(Registro!$F681))),({1,2,3,4,5,6,7,8,9,10,11,12,13,14,15,16,17,18,19,20,21,22,23,24,25,26,27,28,29,30}-1)*LEN(Registro!$F681)+1,LEN(Registro!$F681))),FIND("x",TRIM(MID(SUBSTITUTE(SUBSTITUTE(SUBSTITUTE(SUBSTITUTE(SUBSTITUTE(LOWER(Registro!$F681)," ",""),CHAR(10),"|"),";","|"),"+","|"),"|",REPT(" ",LEN(Registro!$F681))),({1,2,3,4,5,6,7,8,9,10,11,12,13,14,15,16,17,18,19,20,21,22,23,24,25,26,27,28,29,30}-1)*LEN(Registro!$F681)+1,LEN(Registro!$F681)))&amp;"x")-1)),--("0"&amp;MID(TRIM(MID(SUBSTITUTE(SUBSTITUTE(SUBSTITUTE(SUBSTITUTE(SUBSTITUTE(LOWER(Registro!$F681)," ",""),CHAR(10),"|"),";","|"),"+","|"),"|",REPT(" ",LEN(Registro!$F681))),({1,2,3,4,5,6,7,8,9,10,11,12,13,14,15,16,17,18,19,20,21,22,23,24,25,26,27,28,29,30}-1)*LEN(Registro!$F681)+1,LEN(Registro!$F681))),FIND("x",TRIM(MID(SUBSTITUTE(SUBSTITUTE(SUBSTITUTE(SUBSTITUTE(SUBSTITUTE(LOWER(Registro!$F681)," ",""),CHAR(10),"|"),";","|"),"+","|"),"|",REPT(" ",LEN(Registro!$F681))),({1,2,3,4,5,6,7,8,9,10,11,12,13,14,15,16,17,18,19,20,21,22,23,24,25,26,27,28,29,30}-1)*LEN(Registro!$F681)+1,LEN(Registro!$F681)))&amp;"x")+1,20))),"Revisar formato")))</f>
        <v/>
      </c>
      <c r="H681" s="21" t="str">
        <f>IF(AND(Registro!$E681="",Registro!$F681=""),"",IF(NOT(AND(ISNUMBER(G681),ISNUMBER(Registro!$G681))),"",IF(G681&lt;Registro!$G681,"FALTA BOLETOS",IF(G681=Registro!$G681,"CONFORME","DIFERENCIA"))))</f>
        <v/>
      </c>
      <c r="I681" s="24" t="str">
        <f>IF(Registro!$H681="","",IFERROR(SUMPRODUCT(--("0"&amp;TRIM(RIGHT(SUBSTITUTE(TRIM(MID(SUBSTITUTE(SUBSTITUTE(Registro!$H681,";",CHAR(10)),CHAR(10),REPT(" ",LEN(Registro!$H681))),({1,2,3,4,5,6,7,8,9,10,11,12,13,14,15,16,17,18,19,20,21,22,23,24,25,26,27,28,29,30}-1)*LEN(Registro!$H681)+1,LEN(Registro!$H681)))," ",REPT(" ",50)),50)))),"Revisar formato"))</f>
        <v/>
      </c>
      <c r="J681" s="24" t="str">
        <f>IF(Registro!$I681="","",IFERROR(SUMPRODUCT(--("0"&amp;TRIM(RIGHT(SUBSTITUTE(TRIM(MID(SUBSTITUTE(SUBSTITUTE(Registro!$I681,";",CHAR(10)),CHAR(10),REPT(" ",LEN(Registro!$I681))),({1,2,3,4,5,6,7,8,9,10,11,12,13,14,15,16,17,18,19,20,21,22,23,24,25,26,27,28,29,30}-1)*LEN(Registro!$I681)+1,LEN(Registro!$I681)))," ",REPT(" ",50)),50)))),"Revisar formato"))</f>
        <v/>
      </c>
      <c r="K681" s="24" t="str">
        <f>IF(AND(Registro!$G681="",Registro!$H681=""),"",IF(AND(ISTEXT(I681),I681&lt;&gt;""),"Revisar formato",N(Registro!$G681)-N(I681)))</f>
        <v/>
      </c>
      <c r="L681" s="24" t="str">
        <f t="shared" si="21"/>
        <v/>
      </c>
      <c r="M681" s="36" t="str">
        <f>IF(AND(A681=Consulta!$B$3,C681=Consulta!$H$3),B681*10000+ROW(),"")</f>
        <v/>
      </c>
    </row>
    <row r="682" spans="1:13" x14ac:dyDescent="0.25">
      <c r="A682" s="21" t="str">
        <f>IF(Registro!$A682="","",Registro!$A682)</f>
        <v/>
      </c>
      <c r="B682" s="20" t="str">
        <f>IF(Registro!$B682="","",Registro!$B682)</f>
        <v/>
      </c>
      <c r="C682" s="35" t="str">
        <f t="shared" si="20"/>
        <v/>
      </c>
      <c r="D682" s="23" t="str">
        <f>IF(Registro!$E682="","",IF(ISERROR(FIND("x",LOWER(Registro!$E682))),"-",IFERROR(SUMPRODUCT(--("0"&amp;LEFT(TRIM(MID(SUBSTITUTE(SUBSTITUTE(SUBSTITUTE(SUBSTITUTE(SUBSTITUTE(LOWER(Registro!$E682),"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",LEN(Registro!$E682))),({1,2,3,4,5,6,7,8,9,10,11,12,13,14,15,16,17,18,19,20,21,22,23,24,25,26,27,28,29,30}-1)*LEN(Registro!$E682)+1,LEN(Registro!$E682))),FIND("x",TRIM(MID(SUBSTITUTE(SUBSTITUTE(SUBSTITUTE(SUBSTITUTE(SUBSTITUTE(LOWER(Registro!$E682),"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",LEN(Registro!$E682))),({1,2,3,4,5,6,7,8,9,10,11,12,13,14,15,16,17,18,19,20,21,22,23,24,25,26,27,28,29,30}-1)*LEN(Registro!$E682)+1,LEN(Registro!$E682)))&amp;"x")-1))),"Revisar formato")))</f>
        <v/>
      </c>
      <c r="E682" s="24" t="str">
        <f>IF(Registro!$E682="","",IF(ISERROR(FIND("x",LOWER(Registro!$E682))),"-",IFERROR(SUMPRODUCT(--("0"&amp;LEFT(TRIM(MID(SUBSTITUTE(SUBSTITUTE(SUBSTITUTE(SUBSTITUTE(SUBSTITUTE(LOWER(Registro!$E682),"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",LEN(Registro!$E682))),({1,2,3,4,5,6,7,8,9,10,11,12,13,14,15,16,17,18,19,20,21,22,23,24,25,26,27,28,29,30}-1)*LEN(Registro!$E682)+1,LEN(Registro!$E682))),FIND("x",TRIM(MID(SUBSTITUTE(SUBSTITUTE(SUBSTITUTE(SUBSTITUTE(SUBSTITUTE(LOWER(Registro!$E682),"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",LEN(Registro!$E682))),({1,2,3,4,5,6,7,8,9,10,11,12,13,14,15,16,17,18,19,20,21,22,23,24,25,26,27,28,29,30}-1)*LEN(Registro!$E682)+1,LEN(Registro!$E682)))&amp;"x")-1)),--("0"&amp;MID(TRIM(MID(SUBSTITUTE(SUBSTITUTE(SUBSTITUTE(SUBSTITUTE(SUBSTITUTE(LOWER(Registro!$E682),"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",LEN(Registro!$E682))),({1,2,3,4,5,6,7,8,9,10,11,12,13,14,15,16,17,18,19,20,21,22,23,24,25,26,27,28,29,30}-1)*LEN(Registro!$E682)+1,LEN(Registro!$E682))),FIND("x",TRIM(MID(SUBSTITUTE(SUBSTITUTE(SUBSTITUTE(SUBSTITUTE(SUBSTITUTE(LOWER(Registro!$E682),"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",LEN(Registro!$E682))),({1,2,3,4,5,6,7,8,9,10,11,12,13,14,15,16,17,18,19,20,21,22,23,24,25,26,27,28,29,30}-1)*LEN(Registro!$E682)+1,LEN(Registro!$E682)))&amp;"x")+1,20))),"Revisar formato")))</f>
        <v/>
      </c>
      <c r="F682" s="23" t="str">
        <f>IF(Registro!$F682="","",IF(ISERROR(FIND("x",LOWER(Registro!$F682))),"-",IFERROR(SUMPRODUCT(--("0"&amp;LEFT(TRIM(MID(SUBSTITUTE(SUBSTITUTE(SUBSTITUTE(SUBSTITUTE(SUBSTITUTE(LOWER(Registro!$F682)," ",""),CHAR(10),"|"),";","|"),"+","|"),"|",REPT(" ",LEN(Registro!$F682))),({1,2,3,4,5,6,7,8,9,10,11,12,13,14,15,16,17,18,19,20,21,22,23,24,25,26,27,28,29,30}-1)*LEN(Registro!$F682)+1,LEN(Registro!$F682))),FIND("x",TRIM(MID(SUBSTITUTE(SUBSTITUTE(SUBSTITUTE(SUBSTITUTE(SUBSTITUTE(LOWER(Registro!$F682)," ",""),CHAR(10),"|"),";","|"),"+","|"),"|",REPT(" ",LEN(Registro!$F682))),({1,2,3,4,5,6,7,8,9,10,11,12,13,14,15,16,17,18,19,20,21,22,23,24,25,26,27,28,29,30}-1)*LEN(Registro!$F682)+1,LEN(Registro!$F682)))&amp;"x")-1))),"Revisar formato")))</f>
        <v/>
      </c>
      <c r="G682" s="24" t="str">
        <f>IF(Registro!$F682="","",IF(ISERROR(FIND("x",LOWER(Registro!$F682))),N(Registro!$G682),IFERROR(SUMPRODUCT(--("0"&amp;LEFT(TRIM(MID(SUBSTITUTE(SUBSTITUTE(SUBSTITUTE(SUBSTITUTE(SUBSTITUTE(LOWER(Registro!$F682)," ",""),CHAR(10),"|"),";","|"),"+","|"),"|",REPT(" ",LEN(Registro!$F682))),({1,2,3,4,5,6,7,8,9,10,11,12,13,14,15,16,17,18,19,20,21,22,23,24,25,26,27,28,29,30}-1)*LEN(Registro!$F682)+1,LEN(Registro!$F682))),FIND("x",TRIM(MID(SUBSTITUTE(SUBSTITUTE(SUBSTITUTE(SUBSTITUTE(SUBSTITUTE(LOWER(Registro!$F682)," ",""),CHAR(10),"|"),";","|"),"+","|"),"|",REPT(" ",LEN(Registro!$F682))),({1,2,3,4,5,6,7,8,9,10,11,12,13,14,15,16,17,18,19,20,21,22,23,24,25,26,27,28,29,30}-1)*LEN(Registro!$F682)+1,LEN(Registro!$F682)))&amp;"x")-1)),--("0"&amp;MID(TRIM(MID(SUBSTITUTE(SUBSTITUTE(SUBSTITUTE(SUBSTITUTE(SUBSTITUTE(LOWER(Registro!$F682)," ",""),CHAR(10),"|"),";","|"),"+","|"),"|",REPT(" ",LEN(Registro!$F682))),({1,2,3,4,5,6,7,8,9,10,11,12,13,14,15,16,17,18,19,20,21,22,23,24,25,26,27,28,29,30}-1)*LEN(Registro!$F682)+1,LEN(Registro!$F682))),FIND("x",TRIM(MID(SUBSTITUTE(SUBSTITUTE(SUBSTITUTE(SUBSTITUTE(SUBSTITUTE(LOWER(Registro!$F682)," ",""),CHAR(10),"|"),";","|"),"+","|"),"|",REPT(" ",LEN(Registro!$F682))),({1,2,3,4,5,6,7,8,9,10,11,12,13,14,15,16,17,18,19,20,21,22,23,24,25,26,27,28,29,30}-1)*LEN(Registro!$F682)+1,LEN(Registro!$F682)))&amp;"x")+1,20))),"Revisar formato")))</f>
        <v/>
      </c>
      <c r="H682" s="21" t="str">
        <f>IF(AND(Registro!$E682="",Registro!$F682=""),"",IF(NOT(AND(ISNUMBER(G682),ISNUMBER(Registro!$G682))),"",IF(G682&lt;Registro!$G682,"FALTA BOLETOS",IF(G682=Registro!$G682,"CONFORME","DIFERENCIA"))))</f>
        <v/>
      </c>
      <c r="I682" s="24" t="str">
        <f>IF(Registro!$H682="","",IFERROR(SUMPRODUCT(--("0"&amp;TRIM(RIGHT(SUBSTITUTE(TRIM(MID(SUBSTITUTE(SUBSTITUTE(Registro!$H682,";",CHAR(10)),CHAR(10),REPT(" ",LEN(Registro!$H682))),({1,2,3,4,5,6,7,8,9,10,11,12,13,14,15,16,17,18,19,20,21,22,23,24,25,26,27,28,29,30}-1)*LEN(Registro!$H682)+1,LEN(Registro!$H682)))," ",REPT(" ",50)),50)))),"Revisar formato"))</f>
        <v/>
      </c>
      <c r="J682" s="24" t="str">
        <f>IF(Registro!$I682="","",IFERROR(SUMPRODUCT(--("0"&amp;TRIM(RIGHT(SUBSTITUTE(TRIM(MID(SUBSTITUTE(SUBSTITUTE(Registro!$I682,";",CHAR(10)),CHAR(10),REPT(" ",LEN(Registro!$I682))),({1,2,3,4,5,6,7,8,9,10,11,12,13,14,15,16,17,18,19,20,21,22,23,24,25,26,27,28,29,30}-1)*LEN(Registro!$I682)+1,LEN(Registro!$I682)))," ",REPT(" ",50)),50)))),"Revisar formato"))</f>
        <v/>
      </c>
      <c r="K682" s="24" t="str">
        <f>IF(AND(Registro!$G682="",Registro!$H682=""),"",IF(AND(ISTEXT(I682),I682&lt;&gt;""),"Revisar formato",N(Registro!$G682)-N(I682)))</f>
        <v/>
      </c>
      <c r="L682" s="24" t="str">
        <f t="shared" si="21"/>
        <v/>
      </c>
      <c r="M682" s="36" t="str">
        <f>IF(AND(A682=Consulta!$B$3,C682=Consulta!$H$3),B682*10000+ROW(),"")</f>
        <v/>
      </c>
    </row>
    <row r="683" spans="1:13" x14ac:dyDescent="0.25">
      <c r="A683" s="21" t="str">
        <f>IF(Registro!$A683="","",Registro!$A683)</f>
        <v/>
      </c>
      <c r="B683" s="20" t="str">
        <f>IF(Registro!$B683="","",Registro!$B683)</f>
        <v/>
      </c>
      <c r="C683" s="35" t="str">
        <f t="shared" si="20"/>
        <v/>
      </c>
      <c r="D683" s="23" t="str">
        <f>IF(Registro!$E683="","",IF(ISERROR(FIND("x",LOWER(Registro!$E683))),"-",IFERROR(SUMPRODUCT(--("0"&amp;LEFT(TRIM(MID(SUBSTITUTE(SUBSTITUTE(SUBSTITUTE(SUBSTITUTE(SUBSTITUTE(LOWER(Registro!$E683),"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",LEN(Registro!$E683))),({1,2,3,4,5,6,7,8,9,10,11,12,13,14,15,16,17,18,19,20,21,22,23,24,25,26,27,28,29,30}-1)*LEN(Registro!$E683)+1,LEN(Registro!$E683))),FIND("x",TRIM(MID(SUBSTITUTE(SUBSTITUTE(SUBSTITUTE(SUBSTITUTE(SUBSTITUTE(LOWER(Registro!$E683),"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",LEN(Registro!$E683))),({1,2,3,4,5,6,7,8,9,10,11,12,13,14,15,16,17,18,19,20,21,22,23,24,25,26,27,28,29,30}-1)*LEN(Registro!$E683)+1,LEN(Registro!$E683)))&amp;"x")-1))),"Revisar formato")))</f>
        <v/>
      </c>
      <c r="E683" s="24" t="str">
        <f>IF(Registro!$E683="","",IF(ISERROR(FIND("x",LOWER(Registro!$E683))),"-",IFERROR(SUMPRODUCT(--("0"&amp;LEFT(TRIM(MID(SUBSTITUTE(SUBSTITUTE(SUBSTITUTE(SUBSTITUTE(SUBSTITUTE(LOWER(Registro!$E683),"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",LEN(Registro!$E683))),({1,2,3,4,5,6,7,8,9,10,11,12,13,14,15,16,17,18,19,20,21,22,23,24,25,26,27,28,29,30}-1)*LEN(Registro!$E683)+1,LEN(Registro!$E683))),FIND("x",TRIM(MID(SUBSTITUTE(SUBSTITUTE(SUBSTITUTE(SUBSTITUTE(SUBSTITUTE(LOWER(Registro!$E683),"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",LEN(Registro!$E683))),({1,2,3,4,5,6,7,8,9,10,11,12,13,14,15,16,17,18,19,20,21,22,23,24,25,26,27,28,29,30}-1)*LEN(Registro!$E683)+1,LEN(Registro!$E683)))&amp;"x")-1)),--("0"&amp;MID(TRIM(MID(SUBSTITUTE(SUBSTITUTE(SUBSTITUTE(SUBSTITUTE(SUBSTITUTE(LOWER(Registro!$E683),"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",LEN(Registro!$E683))),({1,2,3,4,5,6,7,8,9,10,11,12,13,14,15,16,17,18,19,20,21,22,23,24,25,26,27,28,29,30}-1)*LEN(Registro!$E683)+1,LEN(Registro!$E683))),FIND("x",TRIM(MID(SUBSTITUTE(SUBSTITUTE(SUBSTITUTE(SUBSTITUTE(SUBSTITUTE(LOWER(Registro!$E683),"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",LEN(Registro!$E683))),({1,2,3,4,5,6,7,8,9,10,11,12,13,14,15,16,17,18,19,20,21,22,23,24,25,26,27,28,29,30}-1)*LEN(Registro!$E683)+1,LEN(Registro!$E683)))&amp;"x")+1,20))),"Revisar formato")))</f>
        <v/>
      </c>
      <c r="F683" s="23" t="str">
        <f>IF(Registro!$F683="","",IF(ISERROR(FIND("x",LOWER(Registro!$F683))),"-",IFERROR(SUMPRODUCT(--("0"&amp;LEFT(TRIM(MID(SUBSTITUTE(SUBSTITUTE(SUBSTITUTE(SUBSTITUTE(SUBSTITUTE(LOWER(Registro!$F683)," ",""),CHAR(10),"|"),";","|"),"+","|"),"|",REPT(" ",LEN(Registro!$F683))),({1,2,3,4,5,6,7,8,9,10,11,12,13,14,15,16,17,18,19,20,21,22,23,24,25,26,27,28,29,30}-1)*LEN(Registro!$F683)+1,LEN(Registro!$F683))),FIND("x",TRIM(MID(SUBSTITUTE(SUBSTITUTE(SUBSTITUTE(SUBSTITUTE(SUBSTITUTE(LOWER(Registro!$F683)," ",""),CHAR(10),"|"),";","|"),"+","|"),"|",REPT(" ",LEN(Registro!$F683))),({1,2,3,4,5,6,7,8,9,10,11,12,13,14,15,16,17,18,19,20,21,22,23,24,25,26,27,28,29,30}-1)*LEN(Registro!$F683)+1,LEN(Registro!$F683)))&amp;"x")-1))),"Revisar formato")))</f>
        <v/>
      </c>
      <c r="G683" s="24" t="str">
        <f>IF(Registro!$F683="","",IF(ISERROR(FIND("x",LOWER(Registro!$F683))),N(Registro!$G683),IFERROR(SUMPRODUCT(--("0"&amp;LEFT(TRIM(MID(SUBSTITUTE(SUBSTITUTE(SUBSTITUTE(SUBSTITUTE(SUBSTITUTE(LOWER(Registro!$F683)," ",""),CHAR(10),"|"),";","|"),"+","|"),"|",REPT(" ",LEN(Registro!$F683))),({1,2,3,4,5,6,7,8,9,10,11,12,13,14,15,16,17,18,19,20,21,22,23,24,25,26,27,28,29,30}-1)*LEN(Registro!$F683)+1,LEN(Registro!$F683))),FIND("x",TRIM(MID(SUBSTITUTE(SUBSTITUTE(SUBSTITUTE(SUBSTITUTE(SUBSTITUTE(LOWER(Registro!$F683)," ",""),CHAR(10),"|"),";","|"),"+","|"),"|",REPT(" ",LEN(Registro!$F683))),({1,2,3,4,5,6,7,8,9,10,11,12,13,14,15,16,17,18,19,20,21,22,23,24,25,26,27,28,29,30}-1)*LEN(Registro!$F683)+1,LEN(Registro!$F683)))&amp;"x")-1)),--("0"&amp;MID(TRIM(MID(SUBSTITUTE(SUBSTITUTE(SUBSTITUTE(SUBSTITUTE(SUBSTITUTE(LOWER(Registro!$F683)," ",""),CHAR(10),"|"),";","|"),"+","|"),"|",REPT(" ",LEN(Registro!$F683))),({1,2,3,4,5,6,7,8,9,10,11,12,13,14,15,16,17,18,19,20,21,22,23,24,25,26,27,28,29,30}-1)*LEN(Registro!$F683)+1,LEN(Registro!$F683))),FIND("x",TRIM(MID(SUBSTITUTE(SUBSTITUTE(SUBSTITUTE(SUBSTITUTE(SUBSTITUTE(LOWER(Registro!$F683)," ",""),CHAR(10),"|"),";","|"),"+","|"),"|",REPT(" ",LEN(Registro!$F683))),({1,2,3,4,5,6,7,8,9,10,11,12,13,14,15,16,17,18,19,20,21,22,23,24,25,26,27,28,29,30}-1)*LEN(Registro!$F683)+1,LEN(Registro!$F683)))&amp;"x")+1,20))),"Revisar formato")))</f>
        <v/>
      </c>
      <c r="H683" s="21" t="str">
        <f>IF(AND(Registro!$E683="",Registro!$F683=""),"",IF(NOT(AND(ISNUMBER(G683),ISNUMBER(Registro!$G683))),"",IF(G683&lt;Registro!$G683,"FALTA BOLETOS",IF(G683=Registro!$G683,"CONFORME","DIFERENCIA"))))</f>
        <v/>
      </c>
      <c r="I683" s="24" t="str">
        <f>IF(Registro!$H683="","",IFERROR(SUMPRODUCT(--("0"&amp;TRIM(RIGHT(SUBSTITUTE(TRIM(MID(SUBSTITUTE(SUBSTITUTE(Registro!$H683,";",CHAR(10)),CHAR(10),REPT(" ",LEN(Registro!$H683))),({1,2,3,4,5,6,7,8,9,10,11,12,13,14,15,16,17,18,19,20,21,22,23,24,25,26,27,28,29,30}-1)*LEN(Registro!$H683)+1,LEN(Registro!$H683)))," ",REPT(" ",50)),50)))),"Revisar formato"))</f>
        <v/>
      </c>
      <c r="J683" s="24" t="str">
        <f>IF(Registro!$I683="","",IFERROR(SUMPRODUCT(--("0"&amp;TRIM(RIGHT(SUBSTITUTE(TRIM(MID(SUBSTITUTE(SUBSTITUTE(Registro!$I683,";",CHAR(10)),CHAR(10),REPT(" ",LEN(Registro!$I683))),({1,2,3,4,5,6,7,8,9,10,11,12,13,14,15,16,17,18,19,20,21,22,23,24,25,26,27,28,29,30}-1)*LEN(Registro!$I683)+1,LEN(Registro!$I683)))," ",REPT(" ",50)),50)))),"Revisar formato"))</f>
        <v/>
      </c>
      <c r="K683" s="24" t="str">
        <f>IF(AND(Registro!$G683="",Registro!$H683=""),"",IF(AND(ISTEXT(I683),I683&lt;&gt;""),"Revisar formato",N(Registro!$G683)-N(I683)))</f>
        <v/>
      </c>
      <c r="L683" s="24" t="str">
        <f t="shared" si="21"/>
        <v/>
      </c>
      <c r="M683" s="36" t="str">
        <f>IF(AND(A683=Consulta!$B$3,C683=Consulta!$H$3),B683*10000+ROW(),"")</f>
        <v/>
      </c>
    </row>
    <row r="684" spans="1:13" x14ac:dyDescent="0.25">
      <c r="A684" s="21" t="str">
        <f>IF(Registro!$A684="","",Registro!$A684)</f>
        <v/>
      </c>
      <c r="B684" s="20" t="str">
        <f>IF(Registro!$B684="","",Registro!$B684)</f>
        <v/>
      </c>
      <c r="C684" s="35" t="str">
        <f t="shared" si="20"/>
        <v/>
      </c>
      <c r="D684" s="23" t="str">
        <f>IF(Registro!$E684="","",IF(ISERROR(FIND("x",LOWER(Registro!$E684))),"-",IFERROR(SUMPRODUCT(--("0"&amp;LEFT(TRIM(MID(SUBSTITUTE(SUBSTITUTE(SUBSTITUTE(SUBSTITUTE(SUBSTITUTE(LOWER(Registro!$E684),"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",LEN(Registro!$E684))),({1,2,3,4,5,6,7,8,9,10,11,12,13,14,15,16,17,18,19,20,21,22,23,24,25,26,27,28,29,30}-1)*LEN(Registro!$E684)+1,LEN(Registro!$E684))),FIND("x",TRIM(MID(SUBSTITUTE(SUBSTITUTE(SUBSTITUTE(SUBSTITUTE(SUBSTITUTE(LOWER(Registro!$E684),"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",LEN(Registro!$E684))),({1,2,3,4,5,6,7,8,9,10,11,12,13,14,15,16,17,18,19,20,21,22,23,24,25,26,27,28,29,30}-1)*LEN(Registro!$E684)+1,LEN(Registro!$E684)))&amp;"x")-1))),"Revisar formato")))</f>
        <v/>
      </c>
      <c r="E684" s="24" t="str">
        <f>IF(Registro!$E684="","",IF(ISERROR(FIND("x",LOWER(Registro!$E684))),"-",IFERROR(SUMPRODUCT(--("0"&amp;LEFT(TRIM(MID(SUBSTITUTE(SUBSTITUTE(SUBSTITUTE(SUBSTITUTE(SUBSTITUTE(LOWER(Registro!$E684),"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",LEN(Registro!$E684))),({1,2,3,4,5,6,7,8,9,10,11,12,13,14,15,16,17,18,19,20,21,22,23,24,25,26,27,28,29,30}-1)*LEN(Registro!$E684)+1,LEN(Registro!$E684))),FIND("x",TRIM(MID(SUBSTITUTE(SUBSTITUTE(SUBSTITUTE(SUBSTITUTE(SUBSTITUTE(LOWER(Registro!$E684),"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",LEN(Registro!$E684))),({1,2,3,4,5,6,7,8,9,10,11,12,13,14,15,16,17,18,19,20,21,22,23,24,25,26,27,28,29,30}-1)*LEN(Registro!$E684)+1,LEN(Registro!$E684)))&amp;"x")-1)),--("0"&amp;MID(TRIM(MID(SUBSTITUTE(SUBSTITUTE(SUBSTITUTE(SUBSTITUTE(SUBSTITUTE(LOWER(Registro!$E684),"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",LEN(Registro!$E684))),({1,2,3,4,5,6,7,8,9,10,11,12,13,14,15,16,17,18,19,20,21,22,23,24,25,26,27,28,29,30}-1)*LEN(Registro!$E684)+1,LEN(Registro!$E684))),FIND("x",TRIM(MID(SUBSTITUTE(SUBSTITUTE(SUBSTITUTE(SUBSTITUTE(SUBSTITUTE(LOWER(Registro!$E684),"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",LEN(Registro!$E684))),({1,2,3,4,5,6,7,8,9,10,11,12,13,14,15,16,17,18,19,20,21,22,23,24,25,26,27,28,29,30}-1)*LEN(Registro!$E684)+1,LEN(Registro!$E684)))&amp;"x")+1,20))),"Revisar formato")))</f>
        <v/>
      </c>
      <c r="F684" s="23" t="str">
        <f>IF(Registro!$F684="","",IF(ISERROR(FIND("x",LOWER(Registro!$F684))),"-",IFERROR(SUMPRODUCT(--("0"&amp;LEFT(TRIM(MID(SUBSTITUTE(SUBSTITUTE(SUBSTITUTE(SUBSTITUTE(SUBSTITUTE(LOWER(Registro!$F684)," ",""),CHAR(10),"|"),";","|"),"+","|"),"|",REPT(" ",LEN(Registro!$F684))),({1,2,3,4,5,6,7,8,9,10,11,12,13,14,15,16,17,18,19,20,21,22,23,24,25,26,27,28,29,30}-1)*LEN(Registro!$F684)+1,LEN(Registro!$F684))),FIND("x",TRIM(MID(SUBSTITUTE(SUBSTITUTE(SUBSTITUTE(SUBSTITUTE(SUBSTITUTE(LOWER(Registro!$F684)," ",""),CHAR(10),"|"),";","|"),"+","|"),"|",REPT(" ",LEN(Registro!$F684))),({1,2,3,4,5,6,7,8,9,10,11,12,13,14,15,16,17,18,19,20,21,22,23,24,25,26,27,28,29,30}-1)*LEN(Registro!$F684)+1,LEN(Registro!$F684)))&amp;"x")-1))),"Revisar formato")))</f>
        <v/>
      </c>
      <c r="G684" s="24" t="str">
        <f>IF(Registro!$F684="","",IF(ISERROR(FIND("x",LOWER(Registro!$F684))),N(Registro!$G684),IFERROR(SUMPRODUCT(--("0"&amp;LEFT(TRIM(MID(SUBSTITUTE(SUBSTITUTE(SUBSTITUTE(SUBSTITUTE(SUBSTITUTE(LOWER(Registro!$F684)," ",""),CHAR(10),"|"),";","|"),"+","|"),"|",REPT(" ",LEN(Registro!$F684))),({1,2,3,4,5,6,7,8,9,10,11,12,13,14,15,16,17,18,19,20,21,22,23,24,25,26,27,28,29,30}-1)*LEN(Registro!$F684)+1,LEN(Registro!$F684))),FIND("x",TRIM(MID(SUBSTITUTE(SUBSTITUTE(SUBSTITUTE(SUBSTITUTE(SUBSTITUTE(LOWER(Registro!$F684)," ",""),CHAR(10),"|"),";","|"),"+","|"),"|",REPT(" ",LEN(Registro!$F684))),({1,2,3,4,5,6,7,8,9,10,11,12,13,14,15,16,17,18,19,20,21,22,23,24,25,26,27,28,29,30}-1)*LEN(Registro!$F684)+1,LEN(Registro!$F684)))&amp;"x")-1)),--("0"&amp;MID(TRIM(MID(SUBSTITUTE(SUBSTITUTE(SUBSTITUTE(SUBSTITUTE(SUBSTITUTE(LOWER(Registro!$F684)," ",""),CHAR(10),"|"),";","|"),"+","|"),"|",REPT(" ",LEN(Registro!$F684))),({1,2,3,4,5,6,7,8,9,10,11,12,13,14,15,16,17,18,19,20,21,22,23,24,25,26,27,28,29,30}-1)*LEN(Registro!$F684)+1,LEN(Registro!$F684))),FIND("x",TRIM(MID(SUBSTITUTE(SUBSTITUTE(SUBSTITUTE(SUBSTITUTE(SUBSTITUTE(LOWER(Registro!$F684)," ",""),CHAR(10),"|"),";","|"),"+","|"),"|",REPT(" ",LEN(Registro!$F684))),({1,2,3,4,5,6,7,8,9,10,11,12,13,14,15,16,17,18,19,20,21,22,23,24,25,26,27,28,29,30}-1)*LEN(Registro!$F684)+1,LEN(Registro!$F684)))&amp;"x")+1,20))),"Revisar formato")))</f>
        <v/>
      </c>
      <c r="H684" s="21" t="str">
        <f>IF(AND(Registro!$E684="",Registro!$F684=""),"",IF(NOT(AND(ISNUMBER(G684),ISNUMBER(Registro!$G684))),"",IF(G684&lt;Registro!$G684,"FALTA BOLETOS",IF(G684=Registro!$G684,"CONFORME","DIFERENCIA"))))</f>
        <v/>
      </c>
      <c r="I684" s="24" t="str">
        <f>IF(Registro!$H684="","",IFERROR(SUMPRODUCT(--("0"&amp;TRIM(RIGHT(SUBSTITUTE(TRIM(MID(SUBSTITUTE(SUBSTITUTE(Registro!$H684,";",CHAR(10)),CHAR(10),REPT(" ",LEN(Registro!$H684))),({1,2,3,4,5,6,7,8,9,10,11,12,13,14,15,16,17,18,19,20,21,22,23,24,25,26,27,28,29,30}-1)*LEN(Registro!$H684)+1,LEN(Registro!$H684)))," ",REPT(" ",50)),50)))),"Revisar formato"))</f>
        <v/>
      </c>
      <c r="J684" s="24" t="str">
        <f>IF(Registro!$I684="","",IFERROR(SUMPRODUCT(--("0"&amp;TRIM(RIGHT(SUBSTITUTE(TRIM(MID(SUBSTITUTE(SUBSTITUTE(Registro!$I684,";",CHAR(10)),CHAR(10),REPT(" ",LEN(Registro!$I684))),({1,2,3,4,5,6,7,8,9,10,11,12,13,14,15,16,17,18,19,20,21,22,23,24,25,26,27,28,29,30}-1)*LEN(Registro!$I684)+1,LEN(Registro!$I684)))," ",REPT(" ",50)),50)))),"Revisar formato"))</f>
        <v/>
      </c>
      <c r="K684" s="24" t="str">
        <f>IF(AND(Registro!$G684="",Registro!$H684=""),"",IF(AND(ISTEXT(I684),I684&lt;&gt;""),"Revisar formato",N(Registro!$G684)-N(I684)))</f>
        <v/>
      </c>
      <c r="L684" s="24" t="str">
        <f t="shared" si="21"/>
        <v/>
      </c>
      <c r="M684" s="36" t="str">
        <f>IF(AND(A684=Consulta!$B$3,C684=Consulta!$H$3),B684*10000+ROW(),"")</f>
        <v/>
      </c>
    </row>
    <row r="685" spans="1:13" x14ac:dyDescent="0.25">
      <c r="A685" s="21" t="str">
        <f>IF(Registro!$A685="","",Registro!$A685)</f>
        <v/>
      </c>
      <c r="B685" s="20" t="str">
        <f>IF(Registro!$B685="","",Registro!$B685)</f>
        <v/>
      </c>
      <c r="C685" s="35" t="str">
        <f t="shared" si="20"/>
        <v/>
      </c>
      <c r="D685" s="23" t="str">
        <f>IF(Registro!$E685="","",IF(ISERROR(FIND("x",LOWER(Registro!$E685))),"-",IFERROR(SUMPRODUCT(--("0"&amp;LEFT(TRIM(MID(SUBSTITUTE(SUBSTITUTE(SUBSTITUTE(SUBSTITUTE(SUBSTITUTE(LOWER(Registro!$E685),"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",LEN(Registro!$E685))),({1,2,3,4,5,6,7,8,9,10,11,12,13,14,15,16,17,18,19,20,21,22,23,24,25,26,27,28,29,30}-1)*LEN(Registro!$E685)+1,LEN(Registro!$E685))),FIND("x",TRIM(MID(SUBSTITUTE(SUBSTITUTE(SUBSTITUTE(SUBSTITUTE(SUBSTITUTE(LOWER(Registro!$E685),"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",LEN(Registro!$E685))),({1,2,3,4,5,6,7,8,9,10,11,12,13,14,15,16,17,18,19,20,21,22,23,24,25,26,27,28,29,30}-1)*LEN(Registro!$E685)+1,LEN(Registro!$E685)))&amp;"x")-1))),"Revisar formato")))</f>
        <v/>
      </c>
      <c r="E685" s="24" t="str">
        <f>IF(Registro!$E685="","",IF(ISERROR(FIND("x",LOWER(Registro!$E685))),"-",IFERROR(SUMPRODUCT(--("0"&amp;LEFT(TRIM(MID(SUBSTITUTE(SUBSTITUTE(SUBSTITUTE(SUBSTITUTE(SUBSTITUTE(LOWER(Registro!$E685),"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",LEN(Registro!$E685))),({1,2,3,4,5,6,7,8,9,10,11,12,13,14,15,16,17,18,19,20,21,22,23,24,25,26,27,28,29,30}-1)*LEN(Registro!$E685)+1,LEN(Registro!$E685))),FIND("x",TRIM(MID(SUBSTITUTE(SUBSTITUTE(SUBSTITUTE(SUBSTITUTE(SUBSTITUTE(LOWER(Registro!$E685),"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",LEN(Registro!$E685))),({1,2,3,4,5,6,7,8,9,10,11,12,13,14,15,16,17,18,19,20,21,22,23,24,25,26,27,28,29,30}-1)*LEN(Registro!$E685)+1,LEN(Registro!$E685)))&amp;"x")-1)),--("0"&amp;MID(TRIM(MID(SUBSTITUTE(SUBSTITUTE(SUBSTITUTE(SUBSTITUTE(SUBSTITUTE(LOWER(Registro!$E685),"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",LEN(Registro!$E685))),({1,2,3,4,5,6,7,8,9,10,11,12,13,14,15,16,17,18,19,20,21,22,23,24,25,26,27,28,29,30}-1)*LEN(Registro!$E685)+1,LEN(Registro!$E685))),FIND("x",TRIM(MID(SUBSTITUTE(SUBSTITUTE(SUBSTITUTE(SUBSTITUTE(SUBSTITUTE(LOWER(Registro!$E685),"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",LEN(Registro!$E685))),({1,2,3,4,5,6,7,8,9,10,11,12,13,14,15,16,17,18,19,20,21,22,23,24,25,26,27,28,29,30}-1)*LEN(Registro!$E685)+1,LEN(Registro!$E685)))&amp;"x")+1,20))),"Revisar formato")))</f>
        <v/>
      </c>
      <c r="F685" s="23" t="str">
        <f>IF(Registro!$F685="","",IF(ISERROR(FIND("x",LOWER(Registro!$F685))),"-",IFERROR(SUMPRODUCT(--("0"&amp;LEFT(TRIM(MID(SUBSTITUTE(SUBSTITUTE(SUBSTITUTE(SUBSTITUTE(SUBSTITUTE(LOWER(Registro!$F685)," ",""),CHAR(10),"|"),";","|"),"+","|"),"|",REPT(" ",LEN(Registro!$F685))),({1,2,3,4,5,6,7,8,9,10,11,12,13,14,15,16,17,18,19,20,21,22,23,24,25,26,27,28,29,30}-1)*LEN(Registro!$F685)+1,LEN(Registro!$F685))),FIND("x",TRIM(MID(SUBSTITUTE(SUBSTITUTE(SUBSTITUTE(SUBSTITUTE(SUBSTITUTE(LOWER(Registro!$F685)," ",""),CHAR(10),"|"),";","|"),"+","|"),"|",REPT(" ",LEN(Registro!$F685))),({1,2,3,4,5,6,7,8,9,10,11,12,13,14,15,16,17,18,19,20,21,22,23,24,25,26,27,28,29,30}-1)*LEN(Registro!$F685)+1,LEN(Registro!$F685)))&amp;"x")-1))),"Revisar formato")))</f>
        <v/>
      </c>
      <c r="G685" s="24" t="str">
        <f>IF(Registro!$F685="","",IF(ISERROR(FIND("x",LOWER(Registro!$F685))),N(Registro!$G685),IFERROR(SUMPRODUCT(--("0"&amp;LEFT(TRIM(MID(SUBSTITUTE(SUBSTITUTE(SUBSTITUTE(SUBSTITUTE(SUBSTITUTE(LOWER(Registro!$F685)," ",""),CHAR(10),"|"),";","|"),"+","|"),"|",REPT(" ",LEN(Registro!$F685))),({1,2,3,4,5,6,7,8,9,10,11,12,13,14,15,16,17,18,19,20,21,22,23,24,25,26,27,28,29,30}-1)*LEN(Registro!$F685)+1,LEN(Registro!$F685))),FIND("x",TRIM(MID(SUBSTITUTE(SUBSTITUTE(SUBSTITUTE(SUBSTITUTE(SUBSTITUTE(LOWER(Registro!$F685)," ",""),CHAR(10),"|"),";","|"),"+","|"),"|",REPT(" ",LEN(Registro!$F685))),({1,2,3,4,5,6,7,8,9,10,11,12,13,14,15,16,17,18,19,20,21,22,23,24,25,26,27,28,29,30}-1)*LEN(Registro!$F685)+1,LEN(Registro!$F685)))&amp;"x")-1)),--("0"&amp;MID(TRIM(MID(SUBSTITUTE(SUBSTITUTE(SUBSTITUTE(SUBSTITUTE(SUBSTITUTE(LOWER(Registro!$F685)," ",""),CHAR(10),"|"),";","|"),"+","|"),"|",REPT(" ",LEN(Registro!$F685))),({1,2,3,4,5,6,7,8,9,10,11,12,13,14,15,16,17,18,19,20,21,22,23,24,25,26,27,28,29,30}-1)*LEN(Registro!$F685)+1,LEN(Registro!$F685))),FIND("x",TRIM(MID(SUBSTITUTE(SUBSTITUTE(SUBSTITUTE(SUBSTITUTE(SUBSTITUTE(LOWER(Registro!$F685)," ",""),CHAR(10),"|"),";","|"),"+","|"),"|",REPT(" ",LEN(Registro!$F685))),({1,2,3,4,5,6,7,8,9,10,11,12,13,14,15,16,17,18,19,20,21,22,23,24,25,26,27,28,29,30}-1)*LEN(Registro!$F685)+1,LEN(Registro!$F685)))&amp;"x")+1,20))),"Revisar formato")))</f>
        <v/>
      </c>
      <c r="H685" s="21" t="str">
        <f>IF(AND(Registro!$E685="",Registro!$F685=""),"",IF(NOT(AND(ISNUMBER(G685),ISNUMBER(Registro!$G685))),"",IF(G685&lt;Registro!$G685,"FALTA BOLETOS",IF(G685=Registro!$G685,"CONFORME","DIFERENCIA"))))</f>
        <v/>
      </c>
      <c r="I685" s="24" t="str">
        <f>IF(Registro!$H685="","",IFERROR(SUMPRODUCT(--("0"&amp;TRIM(RIGHT(SUBSTITUTE(TRIM(MID(SUBSTITUTE(SUBSTITUTE(Registro!$H685,";",CHAR(10)),CHAR(10),REPT(" ",LEN(Registro!$H685))),({1,2,3,4,5,6,7,8,9,10,11,12,13,14,15,16,17,18,19,20,21,22,23,24,25,26,27,28,29,30}-1)*LEN(Registro!$H685)+1,LEN(Registro!$H685)))," ",REPT(" ",50)),50)))),"Revisar formato"))</f>
        <v/>
      </c>
      <c r="J685" s="24" t="str">
        <f>IF(Registro!$I685="","",IFERROR(SUMPRODUCT(--("0"&amp;TRIM(RIGHT(SUBSTITUTE(TRIM(MID(SUBSTITUTE(SUBSTITUTE(Registro!$I685,";",CHAR(10)),CHAR(10),REPT(" ",LEN(Registro!$I685))),({1,2,3,4,5,6,7,8,9,10,11,12,13,14,15,16,17,18,19,20,21,22,23,24,25,26,27,28,29,30}-1)*LEN(Registro!$I685)+1,LEN(Registro!$I685)))," ",REPT(" ",50)),50)))),"Revisar formato"))</f>
        <v/>
      </c>
      <c r="K685" s="24" t="str">
        <f>IF(AND(Registro!$G685="",Registro!$H685=""),"",IF(AND(ISTEXT(I685),I685&lt;&gt;""),"Revisar formato",N(Registro!$G685)-N(I685)))</f>
        <v/>
      </c>
      <c r="L685" s="24" t="str">
        <f t="shared" si="21"/>
        <v/>
      </c>
      <c r="M685" s="36" t="str">
        <f>IF(AND(A685=Consulta!$B$3,C685=Consulta!$H$3),B685*10000+ROW(),"")</f>
        <v/>
      </c>
    </row>
    <row r="686" spans="1:13" x14ac:dyDescent="0.25">
      <c r="A686" s="21" t="str">
        <f>IF(Registro!$A686="","",Registro!$A686)</f>
        <v/>
      </c>
      <c r="B686" s="20" t="str">
        <f>IF(Registro!$B686="","",Registro!$B686)</f>
        <v/>
      </c>
      <c r="C686" s="35" t="str">
        <f t="shared" si="20"/>
        <v/>
      </c>
      <c r="D686" s="23" t="str">
        <f>IF(Registro!$E686="","",IF(ISERROR(FIND("x",LOWER(Registro!$E686))),"-",IFERROR(SUMPRODUCT(--("0"&amp;LEFT(TRIM(MID(SUBSTITUTE(SUBSTITUTE(SUBSTITUTE(SUBSTITUTE(SUBSTITUTE(LOWER(Registro!$E686),"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",LEN(Registro!$E686))),({1,2,3,4,5,6,7,8,9,10,11,12,13,14,15,16,17,18,19,20,21,22,23,24,25,26,27,28,29,30}-1)*LEN(Registro!$E686)+1,LEN(Registro!$E686))),FIND("x",TRIM(MID(SUBSTITUTE(SUBSTITUTE(SUBSTITUTE(SUBSTITUTE(SUBSTITUTE(LOWER(Registro!$E686),"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",LEN(Registro!$E686))),({1,2,3,4,5,6,7,8,9,10,11,12,13,14,15,16,17,18,19,20,21,22,23,24,25,26,27,28,29,30}-1)*LEN(Registro!$E686)+1,LEN(Registro!$E686)))&amp;"x")-1))),"Revisar formato")))</f>
        <v/>
      </c>
      <c r="E686" s="24" t="str">
        <f>IF(Registro!$E686="","",IF(ISERROR(FIND("x",LOWER(Registro!$E686))),"-",IFERROR(SUMPRODUCT(--("0"&amp;LEFT(TRIM(MID(SUBSTITUTE(SUBSTITUTE(SUBSTITUTE(SUBSTITUTE(SUBSTITUTE(LOWER(Registro!$E686),"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",LEN(Registro!$E686))),({1,2,3,4,5,6,7,8,9,10,11,12,13,14,15,16,17,18,19,20,21,22,23,24,25,26,27,28,29,30}-1)*LEN(Registro!$E686)+1,LEN(Registro!$E686))),FIND("x",TRIM(MID(SUBSTITUTE(SUBSTITUTE(SUBSTITUTE(SUBSTITUTE(SUBSTITUTE(LOWER(Registro!$E686),"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",LEN(Registro!$E686))),({1,2,3,4,5,6,7,8,9,10,11,12,13,14,15,16,17,18,19,20,21,22,23,24,25,26,27,28,29,30}-1)*LEN(Registro!$E686)+1,LEN(Registro!$E686)))&amp;"x")-1)),--("0"&amp;MID(TRIM(MID(SUBSTITUTE(SUBSTITUTE(SUBSTITUTE(SUBSTITUTE(SUBSTITUTE(LOWER(Registro!$E686),"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",LEN(Registro!$E686))),({1,2,3,4,5,6,7,8,9,10,11,12,13,14,15,16,17,18,19,20,21,22,23,24,25,26,27,28,29,30}-1)*LEN(Registro!$E686)+1,LEN(Registro!$E686))),FIND("x",TRIM(MID(SUBSTITUTE(SUBSTITUTE(SUBSTITUTE(SUBSTITUTE(SUBSTITUTE(LOWER(Registro!$E686),"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",LEN(Registro!$E686))),({1,2,3,4,5,6,7,8,9,10,11,12,13,14,15,16,17,18,19,20,21,22,23,24,25,26,27,28,29,30}-1)*LEN(Registro!$E686)+1,LEN(Registro!$E686)))&amp;"x")+1,20))),"Revisar formato")))</f>
        <v/>
      </c>
      <c r="F686" s="23" t="str">
        <f>IF(Registro!$F686="","",IF(ISERROR(FIND("x",LOWER(Registro!$F686))),"-",IFERROR(SUMPRODUCT(--("0"&amp;LEFT(TRIM(MID(SUBSTITUTE(SUBSTITUTE(SUBSTITUTE(SUBSTITUTE(SUBSTITUTE(LOWER(Registro!$F686)," ",""),CHAR(10),"|"),";","|"),"+","|"),"|",REPT(" ",LEN(Registro!$F686))),({1,2,3,4,5,6,7,8,9,10,11,12,13,14,15,16,17,18,19,20,21,22,23,24,25,26,27,28,29,30}-1)*LEN(Registro!$F686)+1,LEN(Registro!$F686))),FIND("x",TRIM(MID(SUBSTITUTE(SUBSTITUTE(SUBSTITUTE(SUBSTITUTE(SUBSTITUTE(LOWER(Registro!$F686)," ",""),CHAR(10),"|"),";","|"),"+","|"),"|",REPT(" ",LEN(Registro!$F686))),({1,2,3,4,5,6,7,8,9,10,11,12,13,14,15,16,17,18,19,20,21,22,23,24,25,26,27,28,29,30}-1)*LEN(Registro!$F686)+1,LEN(Registro!$F686)))&amp;"x")-1))),"Revisar formato")))</f>
        <v/>
      </c>
      <c r="G686" s="24" t="str">
        <f>IF(Registro!$F686="","",IF(ISERROR(FIND("x",LOWER(Registro!$F686))),N(Registro!$G686),IFERROR(SUMPRODUCT(--("0"&amp;LEFT(TRIM(MID(SUBSTITUTE(SUBSTITUTE(SUBSTITUTE(SUBSTITUTE(SUBSTITUTE(LOWER(Registro!$F686)," ",""),CHAR(10),"|"),";","|"),"+","|"),"|",REPT(" ",LEN(Registro!$F686))),({1,2,3,4,5,6,7,8,9,10,11,12,13,14,15,16,17,18,19,20,21,22,23,24,25,26,27,28,29,30}-1)*LEN(Registro!$F686)+1,LEN(Registro!$F686))),FIND("x",TRIM(MID(SUBSTITUTE(SUBSTITUTE(SUBSTITUTE(SUBSTITUTE(SUBSTITUTE(LOWER(Registro!$F686)," ",""),CHAR(10),"|"),";","|"),"+","|"),"|",REPT(" ",LEN(Registro!$F686))),({1,2,3,4,5,6,7,8,9,10,11,12,13,14,15,16,17,18,19,20,21,22,23,24,25,26,27,28,29,30}-1)*LEN(Registro!$F686)+1,LEN(Registro!$F686)))&amp;"x")-1)),--("0"&amp;MID(TRIM(MID(SUBSTITUTE(SUBSTITUTE(SUBSTITUTE(SUBSTITUTE(SUBSTITUTE(LOWER(Registro!$F686)," ",""),CHAR(10),"|"),";","|"),"+","|"),"|",REPT(" ",LEN(Registro!$F686))),({1,2,3,4,5,6,7,8,9,10,11,12,13,14,15,16,17,18,19,20,21,22,23,24,25,26,27,28,29,30}-1)*LEN(Registro!$F686)+1,LEN(Registro!$F686))),FIND("x",TRIM(MID(SUBSTITUTE(SUBSTITUTE(SUBSTITUTE(SUBSTITUTE(SUBSTITUTE(LOWER(Registro!$F686)," ",""),CHAR(10),"|"),";","|"),"+","|"),"|",REPT(" ",LEN(Registro!$F686))),({1,2,3,4,5,6,7,8,9,10,11,12,13,14,15,16,17,18,19,20,21,22,23,24,25,26,27,28,29,30}-1)*LEN(Registro!$F686)+1,LEN(Registro!$F686)))&amp;"x")+1,20))),"Revisar formato")))</f>
        <v/>
      </c>
      <c r="H686" s="21" t="str">
        <f>IF(AND(Registro!$E686="",Registro!$F686=""),"",IF(NOT(AND(ISNUMBER(G686),ISNUMBER(Registro!$G686))),"",IF(G686&lt;Registro!$G686,"FALTA BOLETOS",IF(G686=Registro!$G686,"CONFORME","DIFERENCIA"))))</f>
        <v/>
      </c>
      <c r="I686" s="24" t="str">
        <f>IF(Registro!$H686="","",IFERROR(SUMPRODUCT(--("0"&amp;TRIM(RIGHT(SUBSTITUTE(TRIM(MID(SUBSTITUTE(SUBSTITUTE(Registro!$H686,";",CHAR(10)),CHAR(10),REPT(" ",LEN(Registro!$H686))),({1,2,3,4,5,6,7,8,9,10,11,12,13,14,15,16,17,18,19,20,21,22,23,24,25,26,27,28,29,30}-1)*LEN(Registro!$H686)+1,LEN(Registro!$H686)))," ",REPT(" ",50)),50)))),"Revisar formato"))</f>
        <v/>
      </c>
      <c r="J686" s="24" t="str">
        <f>IF(Registro!$I686="","",IFERROR(SUMPRODUCT(--("0"&amp;TRIM(RIGHT(SUBSTITUTE(TRIM(MID(SUBSTITUTE(SUBSTITUTE(Registro!$I686,";",CHAR(10)),CHAR(10),REPT(" ",LEN(Registro!$I686))),({1,2,3,4,5,6,7,8,9,10,11,12,13,14,15,16,17,18,19,20,21,22,23,24,25,26,27,28,29,30}-1)*LEN(Registro!$I686)+1,LEN(Registro!$I686)))," ",REPT(" ",50)),50)))),"Revisar formato"))</f>
        <v/>
      </c>
      <c r="K686" s="24" t="str">
        <f>IF(AND(Registro!$G686="",Registro!$H686=""),"",IF(AND(ISTEXT(I686),I686&lt;&gt;""),"Revisar formato",N(Registro!$G686)-N(I686)))</f>
        <v/>
      </c>
      <c r="L686" s="24" t="str">
        <f t="shared" si="21"/>
        <v/>
      </c>
      <c r="M686" s="36" t="str">
        <f>IF(AND(A686=Consulta!$B$3,C686=Consulta!$H$3),B686*10000+ROW(),"")</f>
        <v/>
      </c>
    </row>
    <row r="687" spans="1:13" x14ac:dyDescent="0.25">
      <c r="A687" s="21" t="str">
        <f>IF(Registro!$A687="","",Registro!$A687)</f>
        <v/>
      </c>
      <c r="B687" s="20" t="str">
        <f>IF(Registro!$B687="","",Registro!$B687)</f>
        <v/>
      </c>
      <c r="C687" s="35" t="str">
        <f t="shared" si="20"/>
        <v/>
      </c>
      <c r="D687" s="23" t="str">
        <f>IF(Registro!$E687="","",IF(ISERROR(FIND("x",LOWER(Registro!$E687))),"-",IFERROR(SUMPRODUCT(--("0"&amp;LEFT(TRIM(MID(SUBSTITUTE(SUBSTITUTE(SUBSTITUTE(SUBSTITUTE(SUBSTITUTE(LOWER(Registro!$E687),"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",LEN(Registro!$E687))),({1,2,3,4,5,6,7,8,9,10,11,12,13,14,15,16,17,18,19,20,21,22,23,24,25,26,27,28,29,30}-1)*LEN(Registro!$E687)+1,LEN(Registro!$E687))),FIND("x",TRIM(MID(SUBSTITUTE(SUBSTITUTE(SUBSTITUTE(SUBSTITUTE(SUBSTITUTE(LOWER(Registro!$E687),"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",LEN(Registro!$E687))),({1,2,3,4,5,6,7,8,9,10,11,12,13,14,15,16,17,18,19,20,21,22,23,24,25,26,27,28,29,30}-1)*LEN(Registro!$E687)+1,LEN(Registro!$E687)))&amp;"x")-1))),"Revisar formato")))</f>
        <v/>
      </c>
      <c r="E687" s="24" t="str">
        <f>IF(Registro!$E687="","",IF(ISERROR(FIND("x",LOWER(Registro!$E687))),"-",IFERROR(SUMPRODUCT(--("0"&amp;LEFT(TRIM(MID(SUBSTITUTE(SUBSTITUTE(SUBSTITUTE(SUBSTITUTE(SUBSTITUTE(LOWER(Registro!$E687),"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",LEN(Registro!$E687))),({1,2,3,4,5,6,7,8,9,10,11,12,13,14,15,16,17,18,19,20,21,22,23,24,25,26,27,28,29,30}-1)*LEN(Registro!$E687)+1,LEN(Registro!$E687))),FIND("x",TRIM(MID(SUBSTITUTE(SUBSTITUTE(SUBSTITUTE(SUBSTITUTE(SUBSTITUTE(LOWER(Registro!$E687),"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",LEN(Registro!$E687))),({1,2,3,4,5,6,7,8,9,10,11,12,13,14,15,16,17,18,19,20,21,22,23,24,25,26,27,28,29,30}-1)*LEN(Registro!$E687)+1,LEN(Registro!$E687)))&amp;"x")-1)),--("0"&amp;MID(TRIM(MID(SUBSTITUTE(SUBSTITUTE(SUBSTITUTE(SUBSTITUTE(SUBSTITUTE(LOWER(Registro!$E687),"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",LEN(Registro!$E687))),({1,2,3,4,5,6,7,8,9,10,11,12,13,14,15,16,17,18,19,20,21,22,23,24,25,26,27,28,29,30}-1)*LEN(Registro!$E687)+1,LEN(Registro!$E687))),FIND("x",TRIM(MID(SUBSTITUTE(SUBSTITUTE(SUBSTITUTE(SUBSTITUTE(SUBSTITUTE(LOWER(Registro!$E687),"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",LEN(Registro!$E687))),({1,2,3,4,5,6,7,8,9,10,11,12,13,14,15,16,17,18,19,20,21,22,23,24,25,26,27,28,29,30}-1)*LEN(Registro!$E687)+1,LEN(Registro!$E687)))&amp;"x")+1,20))),"Revisar formato")))</f>
        <v/>
      </c>
      <c r="F687" s="23" t="str">
        <f>IF(Registro!$F687="","",IF(ISERROR(FIND("x",LOWER(Registro!$F687))),"-",IFERROR(SUMPRODUCT(--("0"&amp;LEFT(TRIM(MID(SUBSTITUTE(SUBSTITUTE(SUBSTITUTE(SUBSTITUTE(SUBSTITUTE(LOWER(Registro!$F687)," ",""),CHAR(10),"|"),";","|"),"+","|"),"|",REPT(" ",LEN(Registro!$F687))),({1,2,3,4,5,6,7,8,9,10,11,12,13,14,15,16,17,18,19,20,21,22,23,24,25,26,27,28,29,30}-1)*LEN(Registro!$F687)+1,LEN(Registro!$F687))),FIND("x",TRIM(MID(SUBSTITUTE(SUBSTITUTE(SUBSTITUTE(SUBSTITUTE(SUBSTITUTE(LOWER(Registro!$F687)," ",""),CHAR(10),"|"),";","|"),"+","|"),"|",REPT(" ",LEN(Registro!$F687))),({1,2,3,4,5,6,7,8,9,10,11,12,13,14,15,16,17,18,19,20,21,22,23,24,25,26,27,28,29,30}-1)*LEN(Registro!$F687)+1,LEN(Registro!$F687)))&amp;"x")-1))),"Revisar formato")))</f>
        <v/>
      </c>
      <c r="G687" s="24" t="str">
        <f>IF(Registro!$F687="","",IF(ISERROR(FIND("x",LOWER(Registro!$F687))),N(Registro!$G687),IFERROR(SUMPRODUCT(--("0"&amp;LEFT(TRIM(MID(SUBSTITUTE(SUBSTITUTE(SUBSTITUTE(SUBSTITUTE(SUBSTITUTE(LOWER(Registro!$F687)," ",""),CHAR(10),"|"),";","|"),"+","|"),"|",REPT(" ",LEN(Registro!$F687))),({1,2,3,4,5,6,7,8,9,10,11,12,13,14,15,16,17,18,19,20,21,22,23,24,25,26,27,28,29,30}-1)*LEN(Registro!$F687)+1,LEN(Registro!$F687))),FIND("x",TRIM(MID(SUBSTITUTE(SUBSTITUTE(SUBSTITUTE(SUBSTITUTE(SUBSTITUTE(LOWER(Registro!$F687)," ",""),CHAR(10),"|"),";","|"),"+","|"),"|",REPT(" ",LEN(Registro!$F687))),({1,2,3,4,5,6,7,8,9,10,11,12,13,14,15,16,17,18,19,20,21,22,23,24,25,26,27,28,29,30}-1)*LEN(Registro!$F687)+1,LEN(Registro!$F687)))&amp;"x")-1)),--("0"&amp;MID(TRIM(MID(SUBSTITUTE(SUBSTITUTE(SUBSTITUTE(SUBSTITUTE(SUBSTITUTE(LOWER(Registro!$F687)," ",""),CHAR(10),"|"),";","|"),"+","|"),"|",REPT(" ",LEN(Registro!$F687))),({1,2,3,4,5,6,7,8,9,10,11,12,13,14,15,16,17,18,19,20,21,22,23,24,25,26,27,28,29,30}-1)*LEN(Registro!$F687)+1,LEN(Registro!$F687))),FIND("x",TRIM(MID(SUBSTITUTE(SUBSTITUTE(SUBSTITUTE(SUBSTITUTE(SUBSTITUTE(LOWER(Registro!$F687)," ",""),CHAR(10),"|"),";","|"),"+","|"),"|",REPT(" ",LEN(Registro!$F687))),({1,2,3,4,5,6,7,8,9,10,11,12,13,14,15,16,17,18,19,20,21,22,23,24,25,26,27,28,29,30}-1)*LEN(Registro!$F687)+1,LEN(Registro!$F687)))&amp;"x")+1,20))),"Revisar formato")))</f>
        <v/>
      </c>
      <c r="H687" s="21" t="str">
        <f>IF(AND(Registro!$E687="",Registro!$F687=""),"",IF(NOT(AND(ISNUMBER(G687),ISNUMBER(Registro!$G687))),"",IF(G687&lt;Registro!$G687,"FALTA BOLETOS",IF(G687=Registro!$G687,"CONFORME","DIFERENCIA"))))</f>
        <v/>
      </c>
      <c r="I687" s="24" t="str">
        <f>IF(Registro!$H687="","",IFERROR(SUMPRODUCT(--("0"&amp;TRIM(RIGHT(SUBSTITUTE(TRIM(MID(SUBSTITUTE(SUBSTITUTE(Registro!$H687,";",CHAR(10)),CHAR(10),REPT(" ",LEN(Registro!$H687))),({1,2,3,4,5,6,7,8,9,10,11,12,13,14,15,16,17,18,19,20,21,22,23,24,25,26,27,28,29,30}-1)*LEN(Registro!$H687)+1,LEN(Registro!$H687)))," ",REPT(" ",50)),50)))),"Revisar formato"))</f>
        <v/>
      </c>
      <c r="J687" s="24" t="str">
        <f>IF(Registro!$I687="","",IFERROR(SUMPRODUCT(--("0"&amp;TRIM(RIGHT(SUBSTITUTE(TRIM(MID(SUBSTITUTE(SUBSTITUTE(Registro!$I687,";",CHAR(10)),CHAR(10),REPT(" ",LEN(Registro!$I687))),({1,2,3,4,5,6,7,8,9,10,11,12,13,14,15,16,17,18,19,20,21,22,23,24,25,26,27,28,29,30}-1)*LEN(Registro!$I687)+1,LEN(Registro!$I687)))," ",REPT(" ",50)),50)))),"Revisar formato"))</f>
        <v/>
      </c>
      <c r="K687" s="24" t="str">
        <f>IF(AND(Registro!$G687="",Registro!$H687=""),"",IF(AND(ISTEXT(I687),I687&lt;&gt;""),"Revisar formato",N(Registro!$G687)-N(I687)))</f>
        <v/>
      </c>
      <c r="L687" s="24" t="str">
        <f t="shared" si="21"/>
        <v/>
      </c>
      <c r="M687" s="36" t="str">
        <f>IF(AND(A687=Consulta!$B$3,C687=Consulta!$H$3),B687*10000+ROW(),"")</f>
        <v/>
      </c>
    </row>
    <row r="688" spans="1:13" x14ac:dyDescent="0.25">
      <c r="A688" s="21" t="str">
        <f>IF(Registro!$A688="","",Registro!$A688)</f>
        <v/>
      </c>
      <c r="B688" s="20" t="str">
        <f>IF(Registro!$B688="","",Registro!$B688)</f>
        <v/>
      </c>
      <c r="C688" s="35" t="str">
        <f t="shared" si="20"/>
        <v/>
      </c>
      <c r="D688" s="23" t="str">
        <f>IF(Registro!$E688="","",IF(ISERROR(FIND("x",LOWER(Registro!$E688))),"-",IFERROR(SUMPRODUCT(--("0"&amp;LEFT(TRIM(MID(SUBSTITUTE(SUBSTITUTE(SUBSTITUTE(SUBSTITUTE(SUBSTITUTE(LOWER(Registro!$E688),"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",LEN(Registro!$E688))),({1,2,3,4,5,6,7,8,9,10,11,12,13,14,15,16,17,18,19,20,21,22,23,24,25,26,27,28,29,30}-1)*LEN(Registro!$E688)+1,LEN(Registro!$E688))),FIND("x",TRIM(MID(SUBSTITUTE(SUBSTITUTE(SUBSTITUTE(SUBSTITUTE(SUBSTITUTE(LOWER(Registro!$E688),"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",LEN(Registro!$E688))),({1,2,3,4,5,6,7,8,9,10,11,12,13,14,15,16,17,18,19,20,21,22,23,24,25,26,27,28,29,30}-1)*LEN(Registro!$E688)+1,LEN(Registro!$E688)))&amp;"x")-1))),"Revisar formato")))</f>
        <v/>
      </c>
      <c r="E688" s="24" t="str">
        <f>IF(Registro!$E688="","",IF(ISERROR(FIND("x",LOWER(Registro!$E688))),"-",IFERROR(SUMPRODUCT(--("0"&amp;LEFT(TRIM(MID(SUBSTITUTE(SUBSTITUTE(SUBSTITUTE(SUBSTITUTE(SUBSTITUTE(LOWER(Registro!$E688),"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",LEN(Registro!$E688))),({1,2,3,4,5,6,7,8,9,10,11,12,13,14,15,16,17,18,19,20,21,22,23,24,25,26,27,28,29,30}-1)*LEN(Registro!$E688)+1,LEN(Registro!$E688))),FIND("x",TRIM(MID(SUBSTITUTE(SUBSTITUTE(SUBSTITUTE(SUBSTITUTE(SUBSTITUTE(LOWER(Registro!$E688),"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",LEN(Registro!$E688))),({1,2,3,4,5,6,7,8,9,10,11,12,13,14,15,16,17,18,19,20,21,22,23,24,25,26,27,28,29,30}-1)*LEN(Registro!$E688)+1,LEN(Registro!$E688)))&amp;"x")-1)),--("0"&amp;MID(TRIM(MID(SUBSTITUTE(SUBSTITUTE(SUBSTITUTE(SUBSTITUTE(SUBSTITUTE(LOWER(Registro!$E688),"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",LEN(Registro!$E688))),({1,2,3,4,5,6,7,8,9,10,11,12,13,14,15,16,17,18,19,20,21,22,23,24,25,26,27,28,29,30}-1)*LEN(Registro!$E688)+1,LEN(Registro!$E688))),FIND("x",TRIM(MID(SUBSTITUTE(SUBSTITUTE(SUBSTITUTE(SUBSTITUTE(SUBSTITUTE(LOWER(Registro!$E688),"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",LEN(Registro!$E688))),({1,2,3,4,5,6,7,8,9,10,11,12,13,14,15,16,17,18,19,20,21,22,23,24,25,26,27,28,29,30}-1)*LEN(Registro!$E688)+1,LEN(Registro!$E688)))&amp;"x")+1,20))),"Revisar formato")))</f>
        <v/>
      </c>
      <c r="F688" s="23" t="str">
        <f>IF(Registro!$F688="","",IF(ISERROR(FIND("x",LOWER(Registro!$F688))),"-",IFERROR(SUMPRODUCT(--("0"&amp;LEFT(TRIM(MID(SUBSTITUTE(SUBSTITUTE(SUBSTITUTE(SUBSTITUTE(SUBSTITUTE(LOWER(Registro!$F688)," ",""),CHAR(10),"|"),";","|"),"+","|"),"|",REPT(" ",LEN(Registro!$F688))),({1,2,3,4,5,6,7,8,9,10,11,12,13,14,15,16,17,18,19,20,21,22,23,24,25,26,27,28,29,30}-1)*LEN(Registro!$F688)+1,LEN(Registro!$F688))),FIND("x",TRIM(MID(SUBSTITUTE(SUBSTITUTE(SUBSTITUTE(SUBSTITUTE(SUBSTITUTE(LOWER(Registro!$F688)," ",""),CHAR(10),"|"),";","|"),"+","|"),"|",REPT(" ",LEN(Registro!$F688))),({1,2,3,4,5,6,7,8,9,10,11,12,13,14,15,16,17,18,19,20,21,22,23,24,25,26,27,28,29,30}-1)*LEN(Registro!$F688)+1,LEN(Registro!$F688)))&amp;"x")-1))),"Revisar formato")))</f>
        <v/>
      </c>
      <c r="G688" s="24" t="str">
        <f>IF(Registro!$F688="","",IF(ISERROR(FIND("x",LOWER(Registro!$F688))),N(Registro!$G688),IFERROR(SUMPRODUCT(--("0"&amp;LEFT(TRIM(MID(SUBSTITUTE(SUBSTITUTE(SUBSTITUTE(SUBSTITUTE(SUBSTITUTE(LOWER(Registro!$F688)," ",""),CHAR(10),"|"),";","|"),"+","|"),"|",REPT(" ",LEN(Registro!$F688))),({1,2,3,4,5,6,7,8,9,10,11,12,13,14,15,16,17,18,19,20,21,22,23,24,25,26,27,28,29,30}-1)*LEN(Registro!$F688)+1,LEN(Registro!$F688))),FIND("x",TRIM(MID(SUBSTITUTE(SUBSTITUTE(SUBSTITUTE(SUBSTITUTE(SUBSTITUTE(LOWER(Registro!$F688)," ",""),CHAR(10),"|"),";","|"),"+","|"),"|",REPT(" ",LEN(Registro!$F688))),({1,2,3,4,5,6,7,8,9,10,11,12,13,14,15,16,17,18,19,20,21,22,23,24,25,26,27,28,29,30}-1)*LEN(Registro!$F688)+1,LEN(Registro!$F688)))&amp;"x")-1)),--("0"&amp;MID(TRIM(MID(SUBSTITUTE(SUBSTITUTE(SUBSTITUTE(SUBSTITUTE(SUBSTITUTE(LOWER(Registro!$F688)," ",""),CHAR(10),"|"),";","|"),"+","|"),"|",REPT(" ",LEN(Registro!$F688))),({1,2,3,4,5,6,7,8,9,10,11,12,13,14,15,16,17,18,19,20,21,22,23,24,25,26,27,28,29,30}-1)*LEN(Registro!$F688)+1,LEN(Registro!$F688))),FIND("x",TRIM(MID(SUBSTITUTE(SUBSTITUTE(SUBSTITUTE(SUBSTITUTE(SUBSTITUTE(LOWER(Registro!$F688)," ",""),CHAR(10),"|"),";","|"),"+","|"),"|",REPT(" ",LEN(Registro!$F688))),({1,2,3,4,5,6,7,8,9,10,11,12,13,14,15,16,17,18,19,20,21,22,23,24,25,26,27,28,29,30}-1)*LEN(Registro!$F688)+1,LEN(Registro!$F688)))&amp;"x")+1,20))),"Revisar formato")))</f>
        <v/>
      </c>
      <c r="H688" s="21" t="str">
        <f>IF(AND(Registro!$E688="",Registro!$F688=""),"",IF(NOT(AND(ISNUMBER(G688),ISNUMBER(Registro!$G688))),"",IF(G688&lt;Registro!$G688,"FALTA BOLETOS",IF(G688=Registro!$G688,"CONFORME","DIFERENCIA"))))</f>
        <v/>
      </c>
      <c r="I688" s="24" t="str">
        <f>IF(Registro!$H688="","",IFERROR(SUMPRODUCT(--("0"&amp;TRIM(RIGHT(SUBSTITUTE(TRIM(MID(SUBSTITUTE(SUBSTITUTE(Registro!$H688,";",CHAR(10)),CHAR(10),REPT(" ",LEN(Registro!$H688))),({1,2,3,4,5,6,7,8,9,10,11,12,13,14,15,16,17,18,19,20,21,22,23,24,25,26,27,28,29,30}-1)*LEN(Registro!$H688)+1,LEN(Registro!$H688)))," ",REPT(" ",50)),50)))),"Revisar formato"))</f>
        <v/>
      </c>
      <c r="J688" s="24" t="str">
        <f>IF(Registro!$I688="","",IFERROR(SUMPRODUCT(--("0"&amp;TRIM(RIGHT(SUBSTITUTE(TRIM(MID(SUBSTITUTE(SUBSTITUTE(Registro!$I688,";",CHAR(10)),CHAR(10),REPT(" ",LEN(Registro!$I688))),({1,2,3,4,5,6,7,8,9,10,11,12,13,14,15,16,17,18,19,20,21,22,23,24,25,26,27,28,29,30}-1)*LEN(Registro!$I688)+1,LEN(Registro!$I688)))," ",REPT(" ",50)),50)))),"Revisar formato"))</f>
        <v/>
      </c>
      <c r="K688" s="24" t="str">
        <f>IF(AND(Registro!$G688="",Registro!$H688=""),"",IF(AND(ISTEXT(I688),I688&lt;&gt;""),"Revisar formato",N(Registro!$G688)-N(I688)))</f>
        <v/>
      </c>
      <c r="L688" s="24" t="str">
        <f t="shared" si="21"/>
        <v/>
      </c>
      <c r="M688" s="36" t="str">
        <f>IF(AND(A688=Consulta!$B$3,C688=Consulta!$H$3),B688*10000+ROW(),"")</f>
        <v/>
      </c>
    </row>
    <row r="689" spans="1:13" x14ac:dyDescent="0.25">
      <c r="A689" s="21" t="str">
        <f>IF(Registro!$A689="","",Registro!$A689)</f>
        <v/>
      </c>
      <c r="B689" s="20" t="str">
        <f>IF(Registro!$B689="","",Registro!$B689)</f>
        <v/>
      </c>
      <c r="C689" s="35" t="str">
        <f t="shared" si="20"/>
        <v/>
      </c>
      <c r="D689" s="23" t="str">
        <f>IF(Registro!$E689="","",IF(ISERROR(FIND("x",LOWER(Registro!$E689))),"-",IFERROR(SUMPRODUCT(--("0"&amp;LEFT(TRIM(MID(SUBSTITUTE(SUBSTITUTE(SUBSTITUTE(SUBSTITUTE(SUBSTITUTE(LOWER(Registro!$E689),"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",LEN(Registro!$E689))),({1,2,3,4,5,6,7,8,9,10,11,12,13,14,15,16,17,18,19,20,21,22,23,24,25,26,27,28,29,30}-1)*LEN(Registro!$E689)+1,LEN(Registro!$E689))),FIND("x",TRIM(MID(SUBSTITUTE(SUBSTITUTE(SUBSTITUTE(SUBSTITUTE(SUBSTITUTE(LOWER(Registro!$E689),"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",LEN(Registro!$E689))),({1,2,3,4,5,6,7,8,9,10,11,12,13,14,15,16,17,18,19,20,21,22,23,24,25,26,27,28,29,30}-1)*LEN(Registro!$E689)+1,LEN(Registro!$E689)))&amp;"x")-1))),"Revisar formato")))</f>
        <v/>
      </c>
      <c r="E689" s="24" t="str">
        <f>IF(Registro!$E689="","",IF(ISERROR(FIND("x",LOWER(Registro!$E689))),"-",IFERROR(SUMPRODUCT(--("0"&amp;LEFT(TRIM(MID(SUBSTITUTE(SUBSTITUTE(SUBSTITUTE(SUBSTITUTE(SUBSTITUTE(LOWER(Registro!$E689),"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",LEN(Registro!$E689))),({1,2,3,4,5,6,7,8,9,10,11,12,13,14,15,16,17,18,19,20,21,22,23,24,25,26,27,28,29,30}-1)*LEN(Registro!$E689)+1,LEN(Registro!$E689))),FIND("x",TRIM(MID(SUBSTITUTE(SUBSTITUTE(SUBSTITUTE(SUBSTITUTE(SUBSTITUTE(LOWER(Registro!$E689),"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",LEN(Registro!$E689))),({1,2,3,4,5,6,7,8,9,10,11,12,13,14,15,16,17,18,19,20,21,22,23,24,25,26,27,28,29,30}-1)*LEN(Registro!$E689)+1,LEN(Registro!$E689)))&amp;"x")-1)),--("0"&amp;MID(TRIM(MID(SUBSTITUTE(SUBSTITUTE(SUBSTITUTE(SUBSTITUTE(SUBSTITUTE(LOWER(Registro!$E689),"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",LEN(Registro!$E689))),({1,2,3,4,5,6,7,8,9,10,11,12,13,14,15,16,17,18,19,20,21,22,23,24,25,26,27,28,29,30}-1)*LEN(Registro!$E689)+1,LEN(Registro!$E689))),FIND("x",TRIM(MID(SUBSTITUTE(SUBSTITUTE(SUBSTITUTE(SUBSTITUTE(SUBSTITUTE(LOWER(Registro!$E689),"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",LEN(Registro!$E689))),({1,2,3,4,5,6,7,8,9,10,11,12,13,14,15,16,17,18,19,20,21,22,23,24,25,26,27,28,29,30}-1)*LEN(Registro!$E689)+1,LEN(Registro!$E689)))&amp;"x")+1,20))),"Revisar formato")))</f>
        <v/>
      </c>
      <c r="F689" s="23" t="str">
        <f>IF(Registro!$F689="","",IF(ISERROR(FIND("x",LOWER(Registro!$F689))),"-",IFERROR(SUMPRODUCT(--("0"&amp;LEFT(TRIM(MID(SUBSTITUTE(SUBSTITUTE(SUBSTITUTE(SUBSTITUTE(SUBSTITUTE(LOWER(Registro!$F689)," ",""),CHAR(10),"|"),";","|"),"+","|"),"|",REPT(" ",LEN(Registro!$F689))),({1,2,3,4,5,6,7,8,9,10,11,12,13,14,15,16,17,18,19,20,21,22,23,24,25,26,27,28,29,30}-1)*LEN(Registro!$F689)+1,LEN(Registro!$F689))),FIND("x",TRIM(MID(SUBSTITUTE(SUBSTITUTE(SUBSTITUTE(SUBSTITUTE(SUBSTITUTE(LOWER(Registro!$F689)," ",""),CHAR(10),"|"),";","|"),"+","|"),"|",REPT(" ",LEN(Registro!$F689))),({1,2,3,4,5,6,7,8,9,10,11,12,13,14,15,16,17,18,19,20,21,22,23,24,25,26,27,28,29,30}-1)*LEN(Registro!$F689)+1,LEN(Registro!$F689)))&amp;"x")-1))),"Revisar formato")))</f>
        <v/>
      </c>
      <c r="G689" s="24" t="str">
        <f>IF(Registro!$F689="","",IF(ISERROR(FIND("x",LOWER(Registro!$F689))),N(Registro!$G689),IFERROR(SUMPRODUCT(--("0"&amp;LEFT(TRIM(MID(SUBSTITUTE(SUBSTITUTE(SUBSTITUTE(SUBSTITUTE(SUBSTITUTE(LOWER(Registro!$F689)," ",""),CHAR(10),"|"),";","|"),"+","|"),"|",REPT(" ",LEN(Registro!$F689))),({1,2,3,4,5,6,7,8,9,10,11,12,13,14,15,16,17,18,19,20,21,22,23,24,25,26,27,28,29,30}-1)*LEN(Registro!$F689)+1,LEN(Registro!$F689))),FIND("x",TRIM(MID(SUBSTITUTE(SUBSTITUTE(SUBSTITUTE(SUBSTITUTE(SUBSTITUTE(LOWER(Registro!$F689)," ",""),CHAR(10),"|"),";","|"),"+","|"),"|",REPT(" ",LEN(Registro!$F689))),({1,2,3,4,5,6,7,8,9,10,11,12,13,14,15,16,17,18,19,20,21,22,23,24,25,26,27,28,29,30}-1)*LEN(Registro!$F689)+1,LEN(Registro!$F689)))&amp;"x")-1)),--("0"&amp;MID(TRIM(MID(SUBSTITUTE(SUBSTITUTE(SUBSTITUTE(SUBSTITUTE(SUBSTITUTE(LOWER(Registro!$F689)," ",""),CHAR(10),"|"),";","|"),"+","|"),"|",REPT(" ",LEN(Registro!$F689))),({1,2,3,4,5,6,7,8,9,10,11,12,13,14,15,16,17,18,19,20,21,22,23,24,25,26,27,28,29,30}-1)*LEN(Registro!$F689)+1,LEN(Registro!$F689))),FIND("x",TRIM(MID(SUBSTITUTE(SUBSTITUTE(SUBSTITUTE(SUBSTITUTE(SUBSTITUTE(LOWER(Registro!$F689)," ",""),CHAR(10),"|"),";","|"),"+","|"),"|",REPT(" ",LEN(Registro!$F689))),({1,2,3,4,5,6,7,8,9,10,11,12,13,14,15,16,17,18,19,20,21,22,23,24,25,26,27,28,29,30}-1)*LEN(Registro!$F689)+1,LEN(Registro!$F689)))&amp;"x")+1,20))),"Revisar formato")))</f>
        <v/>
      </c>
      <c r="H689" s="21" t="str">
        <f>IF(AND(Registro!$E689="",Registro!$F689=""),"",IF(NOT(AND(ISNUMBER(G689),ISNUMBER(Registro!$G689))),"",IF(G689&lt;Registro!$G689,"FALTA BOLETOS",IF(G689=Registro!$G689,"CONFORME","DIFERENCIA"))))</f>
        <v/>
      </c>
      <c r="I689" s="24" t="str">
        <f>IF(Registro!$H689="","",IFERROR(SUMPRODUCT(--("0"&amp;TRIM(RIGHT(SUBSTITUTE(TRIM(MID(SUBSTITUTE(SUBSTITUTE(Registro!$H689,";",CHAR(10)),CHAR(10),REPT(" ",LEN(Registro!$H689))),({1,2,3,4,5,6,7,8,9,10,11,12,13,14,15,16,17,18,19,20,21,22,23,24,25,26,27,28,29,30}-1)*LEN(Registro!$H689)+1,LEN(Registro!$H689)))," ",REPT(" ",50)),50)))),"Revisar formato"))</f>
        <v/>
      </c>
      <c r="J689" s="24" t="str">
        <f>IF(Registro!$I689="","",IFERROR(SUMPRODUCT(--("0"&amp;TRIM(RIGHT(SUBSTITUTE(TRIM(MID(SUBSTITUTE(SUBSTITUTE(Registro!$I689,";",CHAR(10)),CHAR(10),REPT(" ",LEN(Registro!$I689))),({1,2,3,4,5,6,7,8,9,10,11,12,13,14,15,16,17,18,19,20,21,22,23,24,25,26,27,28,29,30}-1)*LEN(Registro!$I689)+1,LEN(Registro!$I689)))," ",REPT(" ",50)),50)))),"Revisar formato"))</f>
        <v/>
      </c>
      <c r="K689" s="24" t="str">
        <f>IF(AND(Registro!$G689="",Registro!$H689=""),"",IF(AND(ISTEXT(I689),I689&lt;&gt;""),"Revisar formato",N(Registro!$G689)-N(I689)))</f>
        <v/>
      </c>
      <c r="L689" s="24" t="str">
        <f t="shared" si="21"/>
        <v/>
      </c>
      <c r="M689" s="36" t="str">
        <f>IF(AND(A689=Consulta!$B$3,C689=Consulta!$H$3),B689*10000+ROW(),"")</f>
        <v/>
      </c>
    </row>
    <row r="690" spans="1:13" x14ac:dyDescent="0.25">
      <c r="A690" s="21" t="str">
        <f>IF(Registro!$A690="","",Registro!$A690)</f>
        <v/>
      </c>
      <c r="B690" s="20" t="str">
        <f>IF(Registro!$B690="","",Registro!$B690)</f>
        <v/>
      </c>
      <c r="C690" s="35" t="str">
        <f t="shared" si="20"/>
        <v/>
      </c>
      <c r="D690" s="23" t="str">
        <f>IF(Registro!$E690="","",IF(ISERROR(FIND("x",LOWER(Registro!$E690))),"-",IFERROR(SUMPRODUCT(--("0"&amp;LEFT(TRIM(MID(SUBSTITUTE(SUBSTITUTE(SUBSTITUTE(SUBSTITUTE(SUBSTITUTE(LOWER(Registro!$E690),"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",LEN(Registro!$E690))),({1,2,3,4,5,6,7,8,9,10,11,12,13,14,15,16,17,18,19,20,21,22,23,24,25,26,27,28,29,30}-1)*LEN(Registro!$E690)+1,LEN(Registro!$E690))),FIND("x",TRIM(MID(SUBSTITUTE(SUBSTITUTE(SUBSTITUTE(SUBSTITUTE(SUBSTITUTE(LOWER(Registro!$E690),"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",LEN(Registro!$E690))),({1,2,3,4,5,6,7,8,9,10,11,12,13,14,15,16,17,18,19,20,21,22,23,24,25,26,27,28,29,30}-1)*LEN(Registro!$E690)+1,LEN(Registro!$E690)))&amp;"x")-1))),"Revisar formato")))</f>
        <v/>
      </c>
      <c r="E690" s="24" t="str">
        <f>IF(Registro!$E690="","",IF(ISERROR(FIND("x",LOWER(Registro!$E690))),"-",IFERROR(SUMPRODUCT(--("0"&amp;LEFT(TRIM(MID(SUBSTITUTE(SUBSTITUTE(SUBSTITUTE(SUBSTITUTE(SUBSTITUTE(LOWER(Registro!$E690),"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",LEN(Registro!$E690))),({1,2,3,4,5,6,7,8,9,10,11,12,13,14,15,16,17,18,19,20,21,22,23,24,25,26,27,28,29,30}-1)*LEN(Registro!$E690)+1,LEN(Registro!$E690))),FIND("x",TRIM(MID(SUBSTITUTE(SUBSTITUTE(SUBSTITUTE(SUBSTITUTE(SUBSTITUTE(LOWER(Registro!$E690),"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",LEN(Registro!$E690))),({1,2,3,4,5,6,7,8,9,10,11,12,13,14,15,16,17,18,19,20,21,22,23,24,25,26,27,28,29,30}-1)*LEN(Registro!$E690)+1,LEN(Registro!$E690)))&amp;"x")-1)),--("0"&amp;MID(TRIM(MID(SUBSTITUTE(SUBSTITUTE(SUBSTITUTE(SUBSTITUTE(SUBSTITUTE(LOWER(Registro!$E690),"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",LEN(Registro!$E690))),({1,2,3,4,5,6,7,8,9,10,11,12,13,14,15,16,17,18,19,20,21,22,23,24,25,26,27,28,29,30}-1)*LEN(Registro!$E690)+1,LEN(Registro!$E690))),FIND("x",TRIM(MID(SUBSTITUTE(SUBSTITUTE(SUBSTITUTE(SUBSTITUTE(SUBSTITUTE(LOWER(Registro!$E690),"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",LEN(Registro!$E690))),({1,2,3,4,5,6,7,8,9,10,11,12,13,14,15,16,17,18,19,20,21,22,23,24,25,26,27,28,29,30}-1)*LEN(Registro!$E690)+1,LEN(Registro!$E690)))&amp;"x")+1,20))),"Revisar formato")))</f>
        <v/>
      </c>
      <c r="F690" s="23" t="str">
        <f>IF(Registro!$F690="","",IF(ISERROR(FIND("x",LOWER(Registro!$F690))),"-",IFERROR(SUMPRODUCT(--("0"&amp;LEFT(TRIM(MID(SUBSTITUTE(SUBSTITUTE(SUBSTITUTE(SUBSTITUTE(SUBSTITUTE(LOWER(Registro!$F690)," ",""),CHAR(10),"|"),";","|"),"+","|"),"|",REPT(" ",LEN(Registro!$F690))),({1,2,3,4,5,6,7,8,9,10,11,12,13,14,15,16,17,18,19,20,21,22,23,24,25,26,27,28,29,30}-1)*LEN(Registro!$F690)+1,LEN(Registro!$F690))),FIND("x",TRIM(MID(SUBSTITUTE(SUBSTITUTE(SUBSTITUTE(SUBSTITUTE(SUBSTITUTE(LOWER(Registro!$F690)," ",""),CHAR(10),"|"),";","|"),"+","|"),"|",REPT(" ",LEN(Registro!$F690))),({1,2,3,4,5,6,7,8,9,10,11,12,13,14,15,16,17,18,19,20,21,22,23,24,25,26,27,28,29,30}-1)*LEN(Registro!$F690)+1,LEN(Registro!$F690)))&amp;"x")-1))),"Revisar formato")))</f>
        <v/>
      </c>
      <c r="G690" s="24" t="str">
        <f>IF(Registro!$F690="","",IF(ISERROR(FIND("x",LOWER(Registro!$F690))),N(Registro!$G690),IFERROR(SUMPRODUCT(--("0"&amp;LEFT(TRIM(MID(SUBSTITUTE(SUBSTITUTE(SUBSTITUTE(SUBSTITUTE(SUBSTITUTE(LOWER(Registro!$F690)," ",""),CHAR(10),"|"),";","|"),"+","|"),"|",REPT(" ",LEN(Registro!$F690))),({1,2,3,4,5,6,7,8,9,10,11,12,13,14,15,16,17,18,19,20,21,22,23,24,25,26,27,28,29,30}-1)*LEN(Registro!$F690)+1,LEN(Registro!$F690))),FIND("x",TRIM(MID(SUBSTITUTE(SUBSTITUTE(SUBSTITUTE(SUBSTITUTE(SUBSTITUTE(LOWER(Registro!$F690)," ",""),CHAR(10),"|"),";","|"),"+","|"),"|",REPT(" ",LEN(Registro!$F690))),({1,2,3,4,5,6,7,8,9,10,11,12,13,14,15,16,17,18,19,20,21,22,23,24,25,26,27,28,29,30}-1)*LEN(Registro!$F690)+1,LEN(Registro!$F690)))&amp;"x")-1)),--("0"&amp;MID(TRIM(MID(SUBSTITUTE(SUBSTITUTE(SUBSTITUTE(SUBSTITUTE(SUBSTITUTE(LOWER(Registro!$F690)," ",""),CHAR(10),"|"),";","|"),"+","|"),"|",REPT(" ",LEN(Registro!$F690))),({1,2,3,4,5,6,7,8,9,10,11,12,13,14,15,16,17,18,19,20,21,22,23,24,25,26,27,28,29,30}-1)*LEN(Registro!$F690)+1,LEN(Registro!$F690))),FIND("x",TRIM(MID(SUBSTITUTE(SUBSTITUTE(SUBSTITUTE(SUBSTITUTE(SUBSTITUTE(LOWER(Registro!$F690)," ",""),CHAR(10),"|"),";","|"),"+","|"),"|",REPT(" ",LEN(Registro!$F690))),({1,2,3,4,5,6,7,8,9,10,11,12,13,14,15,16,17,18,19,20,21,22,23,24,25,26,27,28,29,30}-1)*LEN(Registro!$F690)+1,LEN(Registro!$F690)))&amp;"x")+1,20))),"Revisar formato")))</f>
        <v/>
      </c>
      <c r="H690" s="21" t="str">
        <f>IF(AND(Registro!$E690="",Registro!$F690=""),"",IF(NOT(AND(ISNUMBER(G690),ISNUMBER(Registro!$G690))),"",IF(G690&lt;Registro!$G690,"FALTA BOLETOS",IF(G690=Registro!$G690,"CONFORME","DIFERENCIA"))))</f>
        <v/>
      </c>
      <c r="I690" s="24" t="str">
        <f>IF(Registro!$H690="","",IFERROR(SUMPRODUCT(--("0"&amp;TRIM(RIGHT(SUBSTITUTE(TRIM(MID(SUBSTITUTE(SUBSTITUTE(Registro!$H690,";",CHAR(10)),CHAR(10),REPT(" ",LEN(Registro!$H690))),({1,2,3,4,5,6,7,8,9,10,11,12,13,14,15,16,17,18,19,20,21,22,23,24,25,26,27,28,29,30}-1)*LEN(Registro!$H690)+1,LEN(Registro!$H690)))," ",REPT(" ",50)),50)))),"Revisar formato"))</f>
        <v/>
      </c>
      <c r="J690" s="24" t="str">
        <f>IF(Registro!$I690="","",IFERROR(SUMPRODUCT(--("0"&amp;TRIM(RIGHT(SUBSTITUTE(TRIM(MID(SUBSTITUTE(SUBSTITUTE(Registro!$I690,";",CHAR(10)),CHAR(10),REPT(" ",LEN(Registro!$I690))),({1,2,3,4,5,6,7,8,9,10,11,12,13,14,15,16,17,18,19,20,21,22,23,24,25,26,27,28,29,30}-1)*LEN(Registro!$I690)+1,LEN(Registro!$I690)))," ",REPT(" ",50)),50)))),"Revisar formato"))</f>
        <v/>
      </c>
      <c r="K690" s="24" t="str">
        <f>IF(AND(Registro!$G690="",Registro!$H690=""),"",IF(AND(ISTEXT(I690),I690&lt;&gt;""),"Revisar formato",N(Registro!$G690)-N(I690)))</f>
        <v/>
      </c>
      <c r="L690" s="24" t="str">
        <f t="shared" si="21"/>
        <v/>
      </c>
      <c r="M690" s="36" t="str">
        <f>IF(AND(A690=Consulta!$B$3,C690=Consulta!$H$3),B690*10000+ROW(),"")</f>
        <v/>
      </c>
    </row>
    <row r="691" spans="1:13" x14ac:dyDescent="0.25">
      <c r="A691" s="21" t="str">
        <f>IF(Registro!$A691="","",Registro!$A691)</f>
        <v/>
      </c>
      <c r="B691" s="20" t="str">
        <f>IF(Registro!$B691="","",Registro!$B691)</f>
        <v/>
      </c>
      <c r="C691" s="35" t="str">
        <f t="shared" si="20"/>
        <v/>
      </c>
      <c r="D691" s="23" t="str">
        <f>IF(Registro!$E691="","",IF(ISERROR(FIND("x",LOWER(Registro!$E691))),"-",IFERROR(SUMPRODUCT(--("0"&amp;LEFT(TRIM(MID(SUBSTITUTE(SUBSTITUTE(SUBSTITUTE(SUBSTITUTE(SUBSTITUTE(LOWER(Registro!$E691),"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",LEN(Registro!$E691))),({1,2,3,4,5,6,7,8,9,10,11,12,13,14,15,16,17,18,19,20,21,22,23,24,25,26,27,28,29,30}-1)*LEN(Registro!$E691)+1,LEN(Registro!$E691))),FIND("x",TRIM(MID(SUBSTITUTE(SUBSTITUTE(SUBSTITUTE(SUBSTITUTE(SUBSTITUTE(LOWER(Registro!$E691),"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",LEN(Registro!$E691))),({1,2,3,4,5,6,7,8,9,10,11,12,13,14,15,16,17,18,19,20,21,22,23,24,25,26,27,28,29,30}-1)*LEN(Registro!$E691)+1,LEN(Registro!$E691)))&amp;"x")-1))),"Revisar formato")))</f>
        <v/>
      </c>
      <c r="E691" s="24" t="str">
        <f>IF(Registro!$E691="","",IF(ISERROR(FIND("x",LOWER(Registro!$E691))),"-",IFERROR(SUMPRODUCT(--("0"&amp;LEFT(TRIM(MID(SUBSTITUTE(SUBSTITUTE(SUBSTITUTE(SUBSTITUTE(SUBSTITUTE(LOWER(Registro!$E691),"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",LEN(Registro!$E691))),({1,2,3,4,5,6,7,8,9,10,11,12,13,14,15,16,17,18,19,20,21,22,23,24,25,26,27,28,29,30}-1)*LEN(Registro!$E691)+1,LEN(Registro!$E691))),FIND("x",TRIM(MID(SUBSTITUTE(SUBSTITUTE(SUBSTITUTE(SUBSTITUTE(SUBSTITUTE(LOWER(Registro!$E691),"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",LEN(Registro!$E691))),({1,2,3,4,5,6,7,8,9,10,11,12,13,14,15,16,17,18,19,20,21,22,23,24,25,26,27,28,29,30}-1)*LEN(Registro!$E691)+1,LEN(Registro!$E691)))&amp;"x")-1)),--("0"&amp;MID(TRIM(MID(SUBSTITUTE(SUBSTITUTE(SUBSTITUTE(SUBSTITUTE(SUBSTITUTE(LOWER(Registro!$E691),"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",LEN(Registro!$E691))),({1,2,3,4,5,6,7,8,9,10,11,12,13,14,15,16,17,18,19,20,21,22,23,24,25,26,27,28,29,30}-1)*LEN(Registro!$E691)+1,LEN(Registro!$E691))),FIND("x",TRIM(MID(SUBSTITUTE(SUBSTITUTE(SUBSTITUTE(SUBSTITUTE(SUBSTITUTE(LOWER(Registro!$E691),"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",LEN(Registro!$E691))),({1,2,3,4,5,6,7,8,9,10,11,12,13,14,15,16,17,18,19,20,21,22,23,24,25,26,27,28,29,30}-1)*LEN(Registro!$E691)+1,LEN(Registro!$E691)))&amp;"x")+1,20))),"Revisar formato")))</f>
        <v/>
      </c>
      <c r="F691" s="23" t="str">
        <f>IF(Registro!$F691="","",IF(ISERROR(FIND("x",LOWER(Registro!$F691))),"-",IFERROR(SUMPRODUCT(--("0"&amp;LEFT(TRIM(MID(SUBSTITUTE(SUBSTITUTE(SUBSTITUTE(SUBSTITUTE(SUBSTITUTE(LOWER(Registro!$F691)," ",""),CHAR(10),"|"),";","|"),"+","|"),"|",REPT(" ",LEN(Registro!$F691))),({1,2,3,4,5,6,7,8,9,10,11,12,13,14,15,16,17,18,19,20,21,22,23,24,25,26,27,28,29,30}-1)*LEN(Registro!$F691)+1,LEN(Registro!$F691))),FIND("x",TRIM(MID(SUBSTITUTE(SUBSTITUTE(SUBSTITUTE(SUBSTITUTE(SUBSTITUTE(LOWER(Registro!$F691)," ",""),CHAR(10),"|"),";","|"),"+","|"),"|",REPT(" ",LEN(Registro!$F691))),({1,2,3,4,5,6,7,8,9,10,11,12,13,14,15,16,17,18,19,20,21,22,23,24,25,26,27,28,29,30}-1)*LEN(Registro!$F691)+1,LEN(Registro!$F691)))&amp;"x")-1))),"Revisar formato")))</f>
        <v/>
      </c>
      <c r="G691" s="24" t="str">
        <f>IF(Registro!$F691="","",IF(ISERROR(FIND("x",LOWER(Registro!$F691))),N(Registro!$G691),IFERROR(SUMPRODUCT(--("0"&amp;LEFT(TRIM(MID(SUBSTITUTE(SUBSTITUTE(SUBSTITUTE(SUBSTITUTE(SUBSTITUTE(LOWER(Registro!$F691)," ",""),CHAR(10),"|"),";","|"),"+","|"),"|",REPT(" ",LEN(Registro!$F691))),({1,2,3,4,5,6,7,8,9,10,11,12,13,14,15,16,17,18,19,20,21,22,23,24,25,26,27,28,29,30}-1)*LEN(Registro!$F691)+1,LEN(Registro!$F691))),FIND("x",TRIM(MID(SUBSTITUTE(SUBSTITUTE(SUBSTITUTE(SUBSTITUTE(SUBSTITUTE(LOWER(Registro!$F691)," ",""),CHAR(10),"|"),";","|"),"+","|"),"|",REPT(" ",LEN(Registro!$F691))),({1,2,3,4,5,6,7,8,9,10,11,12,13,14,15,16,17,18,19,20,21,22,23,24,25,26,27,28,29,30}-1)*LEN(Registro!$F691)+1,LEN(Registro!$F691)))&amp;"x")-1)),--("0"&amp;MID(TRIM(MID(SUBSTITUTE(SUBSTITUTE(SUBSTITUTE(SUBSTITUTE(SUBSTITUTE(LOWER(Registro!$F691)," ",""),CHAR(10),"|"),";","|"),"+","|"),"|",REPT(" ",LEN(Registro!$F691))),({1,2,3,4,5,6,7,8,9,10,11,12,13,14,15,16,17,18,19,20,21,22,23,24,25,26,27,28,29,30}-1)*LEN(Registro!$F691)+1,LEN(Registro!$F691))),FIND("x",TRIM(MID(SUBSTITUTE(SUBSTITUTE(SUBSTITUTE(SUBSTITUTE(SUBSTITUTE(LOWER(Registro!$F691)," ",""),CHAR(10),"|"),";","|"),"+","|"),"|",REPT(" ",LEN(Registro!$F691))),({1,2,3,4,5,6,7,8,9,10,11,12,13,14,15,16,17,18,19,20,21,22,23,24,25,26,27,28,29,30}-1)*LEN(Registro!$F691)+1,LEN(Registro!$F691)))&amp;"x")+1,20))),"Revisar formato")))</f>
        <v/>
      </c>
      <c r="H691" s="21" t="str">
        <f>IF(AND(Registro!$E691="",Registro!$F691=""),"",IF(NOT(AND(ISNUMBER(G691),ISNUMBER(Registro!$G691))),"",IF(G691&lt;Registro!$G691,"FALTA BOLETOS",IF(G691=Registro!$G691,"CONFORME","DIFERENCIA"))))</f>
        <v/>
      </c>
      <c r="I691" s="24" t="str">
        <f>IF(Registro!$H691="","",IFERROR(SUMPRODUCT(--("0"&amp;TRIM(RIGHT(SUBSTITUTE(TRIM(MID(SUBSTITUTE(SUBSTITUTE(Registro!$H691,";",CHAR(10)),CHAR(10),REPT(" ",LEN(Registro!$H691))),({1,2,3,4,5,6,7,8,9,10,11,12,13,14,15,16,17,18,19,20,21,22,23,24,25,26,27,28,29,30}-1)*LEN(Registro!$H691)+1,LEN(Registro!$H691)))," ",REPT(" ",50)),50)))),"Revisar formato"))</f>
        <v/>
      </c>
      <c r="J691" s="24" t="str">
        <f>IF(Registro!$I691="","",IFERROR(SUMPRODUCT(--("0"&amp;TRIM(RIGHT(SUBSTITUTE(TRIM(MID(SUBSTITUTE(SUBSTITUTE(Registro!$I691,";",CHAR(10)),CHAR(10),REPT(" ",LEN(Registro!$I691))),({1,2,3,4,5,6,7,8,9,10,11,12,13,14,15,16,17,18,19,20,21,22,23,24,25,26,27,28,29,30}-1)*LEN(Registro!$I691)+1,LEN(Registro!$I691)))," ",REPT(" ",50)),50)))),"Revisar formato"))</f>
        <v/>
      </c>
      <c r="K691" s="24" t="str">
        <f>IF(AND(Registro!$G691="",Registro!$H691=""),"",IF(AND(ISTEXT(I691),I691&lt;&gt;""),"Revisar formato",N(Registro!$G691)-N(I691)))</f>
        <v/>
      </c>
      <c r="L691" s="24" t="str">
        <f t="shared" si="21"/>
        <v/>
      </c>
      <c r="M691" s="36" t="str">
        <f>IF(AND(A691=Consulta!$B$3,C691=Consulta!$H$3),B691*10000+ROW(),"")</f>
        <v/>
      </c>
    </row>
    <row r="692" spans="1:13" x14ac:dyDescent="0.25">
      <c r="A692" s="21" t="str">
        <f>IF(Registro!$A692="","",Registro!$A692)</f>
        <v/>
      </c>
      <c r="B692" s="20" t="str">
        <f>IF(Registro!$B692="","",Registro!$B692)</f>
        <v/>
      </c>
      <c r="C692" s="35" t="str">
        <f t="shared" si="20"/>
        <v/>
      </c>
      <c r="D692" s="23" t="str">
        <f>IF(Registro!$E692="","",IF(ISERROR(FIND("x",LOWER(Registro!$E692))),"-",IFERROR(SUMPRODUCT(--("0"&amp;LEFT(TRIM(MID(SUBSTITUTE(SUBSTITUTE(SUBSTITUTE(SUBSTITUTE(SUBSTITUTE(LOWER(Registro!$E692),"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",LEN(Registro!$E692))),({1,2,3,4,5,6,7,8,9,10,11,12,13,14,15,16,17,18,19,20,21,22,23,24,25,26,27,28,29,30}-1)*LEN(Registro!$E692)+1,LEN(Registro!$E692))),FIND("x",TRIM(MID(SUBSTITUTE(SUBSTITUTE(SUBSTITUTE(SUBSTITUTE(SUBSTITUTE(LOWER(Registro!$E692),"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",LEN(Registro!$E692))),({1,2,3,4,5,6,7,8,9,10,11,12,13,14,15,16,17,18,19,20,21,22,23,24,25,26,27,28,29,30}-1)*LEN(Registro!$E692)+1,LEN(Registro!$E692)))&amp;"x")-1))),"Revisar formato")))</f>
        <v/>
      </c>
      <c r="E692" s="24" t="str">
        <f>IF(Registro!$E692="","",IF(ISERROR(FIND("x",LOWER(Registro!$E692))),"-",IFERROR(SUMPRODUCT(--("0"&amp;LEFT(TRIM(MID(SUBSTITUTE(SUBSTITUTE(SUBSTITUTE(SUBSTITUTE(SUBSTITUTE(LOWER(Registro!$E692),"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",LEN(Registro!$E692))),({1,2,3,4,5,6,7,8,9,10,11,12,13,14,15,16,17,18,19,20,21,22,23,24,25,26,27,28,29,30}-1)*LEN(Registro!$E692)+1,LEN(Registro!$E692))),FIND("x",TRIM(MID(SUBSTITUTE(SUBSTITUTE(SUBSTITUTE(SUBSTITUTE(SUBSTITUTE(LOWER(Registro!$E692),"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",LEN(Registro!$E692))),({1,2,3,4,5,6,7,8,9,10,11,12,13,14,15,16,17,18,19,20,21,22,23,24,25,26,27,28,29,30}-1)*LEN(Registro!$E692)+1,LEN(Registro!$E692)))&amp;"x")-1)),--("0"&amp;MID(TRIM(MID(SUBSTITUTE(SUBSTITUTE(SUBSTITUTE(SUBSTITUTE(SUBSTITUTE(LOWER(Registro!$E692),"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",LEN(Registro!$E692))),({1,2,3,4,5,6,7,8,9,10,11,12,13,14,15,16,17,18,19,20,21,22,23,24,25,26,27,28,29,30}-1)*LEN(Registro!$E692)+1,LEN(Registro!$E692))),FIND("x",TRIM(MID(SUBSTITUTE(SUBSTITUTE(SUBSTITUTE(SUBSTITUTE(SUBSTITUTE(LOWER(Registro!$E692),"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",LEN(Registro!$E692))),({1,2,3,4,5,6,7,8,9,10,11,12,13,14,15,16,17,18,19,20,21,22,23,24,25,26,27,28,29,30}-1)*LEN(Registro!$E692)+1,LEN(Registro!$E692)))&amp;"x")+1,20))),"Revisar formato")))</f>
        <v/>
      </c>
      <c r="F692" s="23" t="str">
        <f>IF(Registro!$F692="","",IF(ISERROR(FIND("x",LOWER(Registro!$F692))),"-",IFERROR(SUMPRODUCT(--("0"&amp;LEFT(TRIM(MID(SUBSTITUTE(SUBSTITUTE(SUBSTITUTE(SUBSTITUTE(SUBSTITUTE(LOWER(Registro!$F692)," ",""),CHAR(10),"|"),";","|"),"+","|"),"|",REPT(" ",LEN(Registro!$F692))),({1,2,3,4,5,6,7,8,9,10,11,12,13,14,15,16,17,18,19,20,21,22,23,24,25,26,27,28,29,30}-1)*LEN(Registro!$F692)+1,LEN(Registro!$F692))),FIND("x",TRIM(MID(SUBSTITUTE(SUBSTITUTE(SUBSTITUTE(SUBSTITUTE(SUBSTITUTE(LOWER(Registro!$F692)," ",""),CHAR(10),"|"),";","|"),"+","|"),"|",REPT(" ",LEN(Registro!$F692))),({1,2,3,4,5,6,7,8,9,10,11,12,13,14,15,16,17,18,19,20,21,22,23,24,25,26,27,28,29,30}-1)*LEN(Registro!$F692)+1,LEN(Registro!$F692)))&amp;"x")-1))),"Revisar formato")))</f>
        <v/>
      </c>
      <c r="G692" s="24" t="str">
        <f>IF(Registro!$F692="","",IF(ISERROR(FIND("x",LOWER(Registro!$F692))),N(Registro!$G692),IFERROR(SUMPRODUCT(--("0"&amp;LEFT(TRIM(MID(SUBSTITUTE(SUBSTITUTE(SUBSTITUTE(SUBSTITUTE(SUBSTITUTE(LOWER(Registro!$F692)," ",""),CHAR(10),"|"),";","|"),"+","|"),"|",REPT(" ",LEN(Registro!$F692))),({1,2,3,4,5,6,7,8,9,10,11,12,13,14,15,16,17,18,19,20,21,22,23,24,25,26,27,28,29,30}-1)*LEN(Registro!$F692)+1,LEN(Registro!$F692))),FIND("x",TRIM(MID(SUBSTITUTE(SUBSTITUTE(SUBSTITUTE(SUBSTITUTE(SUBSTITUTE(LOWER(Registro!$F692)," ",""),CHAR(10),"|"),";","|"),"+","|"),"|",REPT(" ",LEN(Registro!$F692))),({1,2,3,4,5,6,7,8,9,10,11,12,13,14,15,16,17,18,19,20,21,22,23,24,25,26,27,28,29,30}-1)*LEN(Registro!$F692)+1,LEN(Registro!$F692)))&amp;"x")-1)),--("0"&amp;MID(TRIM(MID(SUBSTITUTE(SUBSTITUTE(SUBSTITUTE(SUBSTITUTE(SUBSTITUTE(LOWER(Registro!$F692)," ",""),CHAR(10),"|"),";","|"),"+","|"),"|",REPT(" ",LEN(Registro!$F692))),({1,2,3,4,5,6,7,8,9,10,11,12,13,14,15,16,17,18,19,20,21,22,23,24,25,26,27,28,29,30}-1)*LEN(Registro!$F692)+1,LEN(Registro!$F692))),FIND("x",TRIM(MID(SUBSTITUTE(SUBSTITUTE(SUBSTITUTE(SUBSTITUTE(SUBSTITUTE(LOWER(Registro!$F692)," ",""),CHAR(10),"|"),";","|"),"+","|"),"|",REPT(" ",LEN(Registro!$F692))),({1,2,3,4,5,6,7,8,9,10,11,12,13,14,15,16,17,18,19,20,21,22,23,24,25,26,27,28,29,30}-1)*LEN(Registro!$F692)+1,LEN(Registro!$F692)))&amp;"x")+1,20))),"Revisar formato")))</f>
        <v/>
      </c>
      <c r="H692" s="21" t="str">
        <f>IF(AND(Registro!$E692="",Registro!$F692=""),"",IF(NOT(AND(ISNUMBER(G692),ISNUMBER(Registro!$G692))),"",IF(G692&lt;Registro!$G692,"FALTA BOLETOS",IF(G692=Registro!$G692,"CONFORME","DIFERENCIA"))))</f>
        <v/>
      </c>
      <c r="I692" s="24" t="str">
        <f>IF(Registro!$H692="","",IFERROR(SUMPRODUCT(--("0"&amp;TRIM(RIGHT(SUBSTITUTE(TRIM(MID(SUBSTITUTE(SUBSTITUTE(Registro!$H692,";",CHAR(10)),CHAR(10),REPT(" ",LEN(Registro!$H692))),({1,2,3,4,5,6,7,8,9,10,11,12,13,14,15,16,17,18,19,20,21,22,23,24,25,26,27,28,29,30}-1)*LEN(Registro!$H692)+1,LEN(Registro!$H692)))," ",REPT(" ",50)),50)))),"Revisar formato"))</f>
        <v/>
      </c>
      <c r="J692" s="24" t="str">
        <f>IF(Registro!$I692="","",IFERROR(SUMPRODUCT(--("0"&amp;TRIM(RIGHT(SUBSTITUTE(TRIM(MID(SUBSTITUTE(SUBSTITUTE(Registro!$I692,";",CHAR(10)),CHAR(10),REPT(" ",LEN(Registro!$I692))),({1,2,3,4,5,6,7,8,9,10,11,12,13,14,15,16,17,18,19,20,21,22,23,24,25,26,27,28,29,30}-1)*LEN(Registro!$I692)+1,LEN(Registro!$I692)))," ",REPT(" ",50)),50)))),"Revisar formato"))</f>
        <v/>
      </c>
      <c r="K692" s="24" t="str">
        <f>IF(AND(Registro!$G692="",Registro!$H692=""),"",IF(AND(ISTEXT(I692),I692&lt;&gt;""),"Revisar formato",N(Registro!$G692)-N(I692)))</f>
        <v/>
      </c>
      <c r="L692" s="24" t="str">
        <f t="shared" si="21"/>
        <v/>
      </c>
      <c r="M692" s="36" t="str">
        <f>IF(AND(A692=Consulta!$B$3,C692=Consulta!$H$3),B692*10000+ROW(),"")</f>
        <v/>
      </c>
    </row>
    <row r="693" spans="1:13" x14ac:dyDescent="0.25">
      <c r="A693" s="21" t="str">
        <f>IF(Registro!$A693="","",Registro!$A693)</f>
        <v/>
      </c>
      <c r="B693" s="20" t="str">
        <f>IF(Registro!$B693="","",Registro!$B693)</f>
        <v/>
      </c>
      <c r="C693" s="35" t="str">
        <f t="shared" si="20"/>
        <v/>
      </c>
      <c r="D693" s="23" t="str">
        <f>IF(Registro!$E693="","",IF(ISERROR(FIND("x",LOWER(Registro!$E693))),"-",IFERROR(SUMPRODUCT(--("0"&amp;LEFT(TRIM(MID(SUBSTITUTE(SUBSTITUTE(SUBSTITUTE(SUBSTITUTE(SUBSTITUTE(LOWER(Registro!$E693),"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",LEN(Registro!$E693))),({1,2,3,4,5,6,7,8,9,10,11,12,13,14,15,16,17,18,19,20,21,22,23,24,25,26,27,28,29,30}-1)*LEN(Registro!$E693)+1,LEN(Registro!$E693))),FIND("x",TRIM(MID(SUBSTITUTE(SUBSTITUTE(SUBSTITUTE(SUBSTITUTE(SUBSTITUTE(LOWER(Registro!$E693),"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",LEN(Registro!$E693))),({1,2,3,4,5,6,7,8,9,10,11,12,13,14,15,16,17,18,19,20,21,22,23,24,25,26,27,28,29,30}-1)*LEN(Registro!$E693)+1,LEN(Registro!$E693)))&amp;"x")-1))),"Revisar formato")))</f>
        <v/>
      </c>
      <c r="E693" s="24" t="str">
        <f>IF(Registro!$E693="","",IF(ISERROR(FIND("x",LOWER(Registro!$E693))),"-",IFERROR(SUMPRODUCT(--("0"&amp;LEFT(TRIM(MID(SUBSTITUTE(SUBSTITUTE(SUBSTITUTE(SUBSTITUTE(SUBSTITUTE(LOWER(Registro!$E693),"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",LEN(Registro!$E693))),({1,2,3,4,5,6,7,8,9,10,11,12,13,14,15,16,17,18,19,20,21,22,23,24,25,26,27,28,29,30}-1)*LEN(Registro!$E693)+1,LEN(Registro!$E693))),FIND("x",TRIM(MID(SUBSTITUTE(SUBSTITUTE(SUBSTITUTE(SUBSTITUTE(SUBSTITUTE(LOWER(Registro!$E693),"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",LEN(Registro!$E693))),({1,2,3,4,5,6,7,8,9,10,11,12,13,14,15,16,17,18,19,20,21,22,23,24,25,26,27,28,29,30}-1)*LEN(Registro!$E693)+1,LEN(Registro!$E693)))&amp;"x")-1)),--("0"&amp;MID(TRIM(MID(SUBSTITUTE(SUBSTITUTE(SUBSTITUTE(SUBSTITUTE(SUBSTITUTE(LOWER(Registro!$E693),"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",LEN(Registro!$E693))),({1,2,3,4,5,6,7,8,9,10,11,12,13,14,15,16,17,18,19,20,21,22,23,24,25,26,27,28,29,30}-1)*LEN(Registro!$E693)+1,LEN(Registro!$E693))),FIND("x",TRIM(MID(SUBSTITUTE(SUBSTITUTE(SUBSTITUTE(SUBSTITUTE(SUBSTITUTE(LOWER(Registro!$E693),"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",LEN(Registro!$E693))),({1,2,3,4,5,6,7,8,9,10,11,12,13,14,15,16,17,18,19,20,21,22,23,24,25,26,27,28,29,30}-1)*LEN(Registro!$E693)+1,LEN(Registro!$E693)))&amp;"x")+1,20))),"Revisar formato")))</f>
        <v/>
      </c>
      <c r="F693" s="23" t="str">
        <f>IF(Registro!$F693="","",IF(ISERROR(FIND("x",LOWER(Registro!$F693))),"-",IFERROR(SUMPRODUCT(--("0"&amp;LEFT(TRIM(MID(SUBSTITUTE(SUBSTITUTE(SUBSTITUTE(SUBSTITUTE(SUBSTITUTE(LOWER(Registro!$F693)," ",""),CHAR(10),"|"),";","|"),"+","|"),"|",REPT(" ",LEN(Registro!$F693))),({1,2,3,4,5,6,7,8,9,10,11,12,13,14,15,16,17,18,19,20,21,22,23,24,25,26,27,28,29,30}-1)*LEN(Registro!$F693)+1,LEN(Registro!$F693))),FIND("x",TRIM(MID(SUBSTITUTE(SUBSTITUTE(SUBSTITUTE(SUBSTITUTE(SUBSTITUTE(LOWER(Registro!$F693)," ",""),CHAR(10),"|"),";","|"),"+","|"),"|",REPT(" ",LEN(Registro!$F693))),({1,2,3,4,5,6,7,8,9,10,11,12,13,14,15,16,17,18,19,20,21,22,23,24,25,26,27,28,29,30}-1)*LEN(Registro!$F693)+1,LEN(Registro!$F693)))&amp;"x")-1))),"Revisar formato")))</f>
        <v/>
      </c>
      <c r="G693" s="24" t="str">
        <f>IF(Registro!$F693="","",IF(ISERROR(FIND("x",LOWER(Registro!$F693))),N(Registro!$G693),IFERROR(SUMPRODUCT(--("0"&amp;LEFT(TRIM(MID(SUBSTITUTE(SUBSTITUTE(SUBSTITUTE(SUBSTITUTE(SUBSTITUTE(LOWER(Registro!$F693)," ",""),CHAR(10),"|"),";","|"),"+","|"),"|",REPT(" ",LEN(Registro!$F693))),({1,2,3,4,5,6,7,8,9,10,11,12,13,14,15,16,17,18,19,20,21,22,23,24,25,26,27,28,29,30}-1)*LEN(Registro!$F693)+1,LEN(Registro!$F693))),FIND("x",TRIM(MID(SUBSTITUTE(SUBSTITUTE(SUBSTITUTE(SUBSTITUTE(SUBSTITUTE(LOWER(Registro!$F693)," ",""),CHAR(10),"|"),";","|"),"+","|"),"|",REPT(" ",LEN(Registro!$F693))),({1,2,3,4,5,6,7,8,9,10,11,12,13,14,15,16,17,18,19,20,21,22,23,24,25,26,27,28,29,30}-1)*LEN(Registro!$F693)+1,LEN(Registro!$F693)))&amp;"x")-1)),--("0"&amp;MID(TRIM(MID(SUBSTITUTE(SUBSTITUTE(SUBSTITUTE(SUBSTITUTE(SUBSTITUTE(LOWER(Registro!$F693)," ",""),CHAR(10),"|"),";","|"),"+","|"),"|",REPT(" ",LEN(Registro!$F693))),({1,2,3,4,5,6,7,8,9,10,11,12,13,14,15,16,17,18,19,20,21,22,23,24,25,26,27,28,29,30}-1)*LEN(Registro!$F693)+1,LEN(Registro!$F693))),FIND("x",TRIM(MID(SUBSTITUTE(SUBSTITUTE(SUBSTITUTE(SUBSTITUTE(SUBSTITUTE(LOWER(Registro!$F693)," ",""),CHAR(10),"|"),";","|"),"+","|"),"|",REPT(" ",LEN(Registro!$F693))),({1,2,3,4,5,6,7,8,9,10,11,12,13,14,15,16,17,18,19,20,21,22,23,24,25,26,27,28,29,30}-1)*LEN(Registro!$F693)+1,LEN(Registro!$F693)))&amp;"x")+1,20))),"Revisar formato")))</f>
        <v/>
      </c>
      <c r="H693" s="21" t="str">
        <f>IF(AND(Registro!$E693="",Registro!$F693=""),"",IF(NOT(AND(ISNUMBER(G693),ISNUMBER(Registro!$G693))),"",IF(G693&lt;Registro!$G693,"FALTA BOLETOS",IF(G693=Registro!$G693,"CONFORME","DIFERENCIA"))))</f>
        <v/>
      </c>
      <c r="I693" s="24" t="str">
        <f>IF(Registro!$H693="","",IFERROR(SUMPRODUCT(--("0"&amp;TRIM(RIGHT(SUBSTITUTE(TRIM(MID(SUBSTITUTE(SUBSTITUTE(Registro!$H693,";",CHAR(10)),CHAR(10),REPT(" ",LEN(Registro!$H693))),({1,2,3,4,5,6,7,8,9,10,11,12,13,14,15,16,17,18,19,20,21,22,23,24,25,26,27,28,29,30}-1)*LEN(Registro!$H693)+1,LEN(Registro!$H693)))," ",REPT(" ",50)),50)))),"Revisar formato"))</f>
        <v/>
      </c>
      <c r="J693" s="24" t="str">
        <f>IF(Registro!$I693="","",IFERROR(SUMPRODUCT(--("0"&amp;TRIM(RIGHT(SUBSTITUTE(TRIM(MID(SUBSTITUTE(SUBSTITUTE(Registro!$I693,";",CHAR(10)),CHAR(10),REPT(" ",LEN(Registro!$I693))),({1,2,3,4,5,6,7,8,9,10,11,12,13,14,15,16,17,18,19,20,21,22,23,24,25,26,27,28,29,30}-1)*LEN(Registro!$I693)+1,LEN(Registro!$I693)))," ",REPT(" ",50)),50)))),"Revisar formato"))</f>
        <v/>
      </c>
      <c r="K693" s="24" t="str">
        <f>IF(AND(Registro!$G693="",Registro!$H693=""),"",IF(AND(ISTEXT(I693),I693&lt;&gt;""),"Revisar formato",N(Registro!$G693)-N(I693)))</f>
        <v/>
      </c>
      <c r="L693" s="24" t="str">
        <f t="shared" si="21"/>
        <v/>
      </c>
      <c r="M693" s="36" t="str">
        <f>IF(AND(A693=Consulta!$B$3,C693=Consulta!$H$3),B693*10000+ROW(),"")</f>
        <v/>
      </c>
    </row>
    <row r="694" spans="1:13" x14ac:dyDescent="0.25">
      <c r="A694" s="21" t="str">
        <f>IF(Registro!$A694="","",Registro!$A694)</f>
        <v/>
      </c>
      <c r="B694" s="20" t="str">
        <f>IF(Registro!$B694="","",Registro!$B694)</f>
        <v/>
      </c>
      <c r="C694" s="35" t="str">
        <f t="shared" si="20"/>
        <v/>
      </c>
      <c r="D694" s="23" t="str">
        <f>IF(Registro!$E694="","",IF(ISERROR(FIND("x",LOWER(Registro!$E694))),"-",IFERROR(SUMPRODUCT(--("0"&amp;LEFT(TRIM(MID(SUBSTITUTE(SUBSTITUTE(SUBSTITUTE(SUBSTITUTE(SUBSTITUTE(LOWER(Registro!$E694),"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",LEN(Registro!$E694))),({1,2,3,4,5,6,7,8,9,10,11,12,13,14,15,16,17,18,19,20,21,22,23,24,25,26,27,28,29,30}-1)*LEN(Registro!$E694)+1,LEN(Registro!$E694))),FIND("x",TRIM(MID(SUBSTITUTE(SUBSTITUTE(SUBSTITUTE(SUBSTITUTE(SUBSTITUTE(LOWER(Registro!$E694),"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",LEN(Registro!$E694))),({1,2,3,4,5,6,7,8,9,10,11,12,13,14,15,16,17,18,19,20,21,22,23,24,25,26,27,28,29,30}-1)*LEN(Registro!$E694)+1,LEN(Registro!$E694)))&amp;"x")-1))),"Revisar formato")))</f>
        <v/>
      </c>
      <c r="E694" s="24" t="str">
        <f>IF(Registro!$E694="","",IF(ISERROR(FIND("x",LOWER(Registro!$E694))),"-",IFERROR(SUMPRODUCT(--("0"&amp;LEFT(TRIM(MID(SUBSTITUTE(SUBSTITUTE(SUBSTITUTE(SUBSTITUTE(SUBSTITUTE(LOWER(Registro!$E694),"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",LEN(Registro!$E694))),({1,2,3,4,5,6,7,8,9,10,11,12,13,14,15,16,17,18,19,20,21,22,23,24,25,26,27,28,29,30}-1)*LEN(Registro!$E694)+1,LEN(Registro!$E694))),FIND("x",TRIM(MID(SUBSTITUTE(SUBSTITUTE(SUBSTITUTE(SUBSTITUTE(SUBSTITUTE(LOWER(Registro!$E694),"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",LEN(Registro!$E694))),({1,2,3,4,5,6,7,8,9,10,11,12,13,14,15,16,17,18,19,20,21,22,23,24,25,26,27,28,29,30}-1)*LEN(Registro!$E694)+1,LEN(Registro!$E694)))&amp;"x")-1)),--("0"&amp;MID(TRIM(MID(SUBSTITUTE(SUBSTITUTE(SUBSTITUTE(SUBSTITUTE(SUBSTITUTE(LOWER(Registro!$E694),"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",LEN(Registro!$E694))),({1,2,3,4,5,6,7,8,9,10,11,12,13,14,15,16,17,18,19,20,21,22,23,24,25,26,27,28,29,30}-1)*LEN(Registro!$E694)+1,LEN(Registro!$E694))),FIND("x",TRIM(MID(SUBSTITUTE(SUBSTITUTE(SUBSTITUTE(SUBSTITUTE(SUBSTITUTE(LOWER(Registro!$E694),"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",LEN(Registro!$E694))),({1,2,3,4,5,6,7,8,9,10,11,12,13,14,15,16,17,18,19,20,21,22,23,24,25,26,27,28,29,30}-1)*LEN(Registro!$E694)+1,LEN(Registro!$E694)))&amp;"x")+1,20))),"Revisar formato")))</f>
        <v/>
      </c>
      <c r="F694" s="23" t="str">
        <f>IF(Registro!$F694="","",IF(ISERROR(FIND("x",LOWER(Registro!$F694))),"-",IFERROR(SUMPRODUCT(--("0"&amp;LEFT(TRIM(MID(SUBSTITUTE(SUBSTITUTE(SUBSTITUTE(SUBSTITUTE(SUBSTITUTE(LOWER(Registro!$F694)," ",""),CHAR(10),"|"),";","|"),"+","|"),"|",REPT(" ",LEN(Registro!$F694))),({1,2,3,4,5,6,7,8,9,10,11,12,13,14,15,16,17,18,19,20,21,22,23,24,25,26,27,28,29,30}-1)*LEN(Registro!$F694)+1,LEN(Registro!$F694))),FIND("x",TRIM(MID(SUBSTITUTE(SUBSTITUTE(SUBSTITUTE(SUBSTITUTE(SUBSTITUTE(LOWER(Registro!$F694)," ",""),CHAR(10),"|"),";","|"),"+","|"),"|",REPT(" ",LEN(Registro!$F694))),({1,2,3,4,5,6,7,8,9,10,11,12,13,14,15,16,17,18,19,20,21,22,23,24,25,26,27,28,29,30}-1)*LEN(Registro!$F694)+1,LEN(Registro!$F694)))&amp;"x")-1))),"Revisar formato")))</f>
        <v/>
      </c>
      <c r="G694" s="24" t="str">
        <f>IF(Registro!$F694="","",IF(ISERROR(FIND("x",LOWER(Registro!$F694))),N(Registro!$G694),IFERROR(SUMPRODUCT(--("0"&amp;LEFT(TRIM(MID(SUBSTITUTE(SUBSTITUTE(SUBSTITUTE(SUBSTITUTE(SUBSTITUTE(LOWER(Registro!$F694)," ",""),CHAR(10),"|"),";","|"),"+","|"),"|",REPT(" ",LEN(Registro!$F694))),({1,2,3,4,5,6,7,8,9,10,11,12,13,14,15,16,17,18,19,20,21,22,23,24,25,26,27,28,29,30}-1)*LEN(Registro!$F694)+1,LEN(Registro!$F694))),FIND("x",TRIM(MID(SUBSTITUTE(SUBSTITUTE(SUBSTITUTE(SUBSTITUTE(SUBSTITUTE(LOWER(Registro!$F694)," ",""),CHAR(10),"|"),";","|"),"+","|"),"|",REPT(" ",LEN(Registro!$F694))),({1,2,3,4,5,6,7,8,9,10,11,12,13,14,15,16,17,18,19,20,21,22,23,24,25,26,27,28,29,30}-1)*LEN(Registro!$F694)+1,LEN(Registro!$F694)))&amp;"x")-1)),--("0"&amp;MID(TRIM(MID(SUBSTITUTE(SUBSTITUTE(SUBSTITUTE(SUBSTITUTE(SUBSTITUTE(LOWER(Registro!$F694)," ",""),CHAR(10),"|"),";","|"),"+","|"),"|",REPT(" ",LEN(Registro!$F694))),({1,2,3,4,5,6,7,8,9,10,11,12,13,14,15,16,17,18,19,20,21,22,23,24,25,26,27,28,29,30}-1)*LEN(Registro!$F694)+1,LEN(Registro!$F694))),FIND("x",TRIM(MID(SUBSTITUTE(SUBSTITUTE(SUBSTITUTE(SUBSTITUTE(SUBSTITUTE(LOWER(Registro!$F694)," ",""),CHAR(10),"|"),";","|"),"+","|"),"|",REPT(" ",LEN(Registro!$F694))),({1,2,3,4,5,6,7,8,9,10,11,12,13,14,15,16,17,18,19,20,21,22,23,24,25,26,27,28,29,30}-1)*LEN(Registro!$F694)+1,LEN(Registro!$F694)))&amp;"x")+1,20))),"Revisar formato")))</f>
        <v/>
      </c>
      <c r="H694" s="21" t="str">
        <f>IF(AND(Registro!$E694="",Registro!$F694=""),"",IF(NOT(AND(ISNUMBER(G694),ISNUMBER(Registro!$G694))),"",IF(G694&lt;Registro!$G694,"FALTA BOLETOS",IF(G694=Registro!$G694,"CONFORME","DIFERENCIA"))))</f>
        <v/>
      </c>
      <c r="I694" s="24" t="str">
        <f>IF(Registro!$H694="","",IFERROR(SUMPRODUCT(--("0"&amp;TRIM(RIGHT(SUBSTITUTE(TRIM(MID(SUBSTITUTE(SUBSTITUTE(Registro!$H694,";",CHAR(10)),CHAR(10),REPT(" ",LEN(Registro!$H694))),({1,2,3,4,5,6,7,8,9,10,11,12,13,14,15,16,17,18,19,20,21,22,23,24,25,26,27,28,29,30}-1)*LEN(Registro!$H694)+1,LEN(Registro!$H694)))," ",REPT(" ",50)),50)))),"Revisar formato"))</f>
        <v/>
      </c>
      <c r="J694" s="24" t="str">
        <f>IF(Registro!$I694="","",IFERROR(SUMPRODUCT(--("0"&amp;TRIM(RIGHT(SUBSTITUTE(TRIM(MID(SUBSTITUTE(SUBSTITUTE(Registro!$I694,";",CHAR(10)),CHAR(10),REPT(" ",LEN(Registro!$I694))),({1,2,3,4,5,6,7,8,9,10,11,12,13,14,15,16,17,18,19,20,21,22,23,24,25,26,27,28,29,30}-1)*LEN(Registro!$I694)+1,LEN(Registro!$I694)))," ",REPT(" ",50)),50)))),"Revisar formato"))</f>
        <v/>
      </c>
      <c r="K694" s="24" t="str">
        <f>IF(AND(Registro!$G694="",Registro!$H694=""),"",IF(AND(ISTEXT(I694),I694&lt;&gt;""),"Revisar formato",N(Registro!$G694)-N(I694)))</f>
        <v/>
      </c>
      <c r="L694" s="24" t="str">
        <f t="shared" si="21"/>
        <v/>
      </c>
      <c r="M694" s="36" t="str">
        <f>IF(AND(A694=Consulta!$B$3,C694=Consulta!$H$3),B694*10000+ROW(),"")</f>
        <v/>
      </c>
    </row>
    <row r="695" spans="1:13" x14ac:dyDescent="0.25">
      <c r="A695" s="21" t="str">
        <f>IF(Registro!$A695="","",Registro!$A695)</f>
        <v/>
      </c>
      <c r="B695" s="20" t="str">
        <f>IF(Registro!$B695="","",Registro!$B695)</f>
        <v/>
      </c>
      <c r="C695" s="35" t="str">
        <f t="shared" si="20"/>
        <v/>
      </c>
      <c r="D695" s="23" t="str">
        <f>IF(Registro!$E695="","",IF(ISERROR(FIND("x",LOWER(Registro!$E695))),"-",IFERROR(SUMPRODUCT(--("0"&amp;LEFT(TRIM(MID(SUBSTITUTE(SUBSTITUTE(SUBSTITUTE(SUBSTITUTE(SUBSTITUTE(LOWER(Registro!$E695),"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",LEN(Registro!$E695))),({1,2,3,4,5,6,7,8,9,10,11,12,13,14,15,16,17,18,19,20,21,22,23,24,25,26,27,28,29,30}-1)*LEN(Registro!$E695)+1,LEN(Registro!$E695))),FIND("x",TRIM(MID(SUBSTITUTE(SUBSTITUTE(SUBSTITUTE(SUBSTITUTE(SUBSTITUTE(LOWER(Registro!$E695),"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",LEN(Registro!$E695))),({1,2,3,4,5,6,7,8,9,10,11,12,13,14,15,16,17,18,19,20,21,22,23,24,25,26,27,28,29,30}-1)*LEN(Registro!$E695)+1,LEN(Registro!$E695)))&amp;"x")-1))),"Revisar formato")))</f>
        <v/>
      </c>
      <c r="E695" s="24" t="str">
        <f>IF(Registro!$E695="","",IF(ISERROR(FIND("x",LOWER(Registro!$E695))),"-",IFERROR(SUMPRODUCT(--("0"&amp;LEFT(TRIM(MID(SUBSTITUTE(SUBSTITUTE(SUBSTITUTE(SUBSTITUTE(SUBSTITUTE(LOWER(Registro!$E695),"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",LEN(Registro!$E695))),({1,2,3,4,5,6,7,8,9,10,11,12,13,14,15,16,17,18,19,20,21,22,23,24,25,26,27,28,29,30}-1)*LEN(Registro!$E695)+1,LEN(Registro!$E695))),FIND("x",TRIM(MID(SUBSTITUTE(SUBSTITUTE(SUBSTITUTE(SUBSTITUTE(SUBSTITUTE(LOWER(Registro!$E695),"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",LEN(Registro!$E695))),({1,2,3,4,5,6,7,8,9,10,11,12,13,14,15,16,17,18,19,20,21,22,23,24,25,26,27,28,29,30}-1)*LEN(Registro!$E695)+1,LEN(Registro!$E695)))&amp;"x")-1)),--("0"&amp;MID(TRIM(MID(SUBSTITUTE(SUBSTITUTE(SUBSTITUTE(SUBSTITUTE(SUBSTITUTE(LOWER(Registro!$E695),"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",LEN(Registro!$E695))),({1,2,3,4,5,6,7,8,9,10,11,12,13,14,15,16,17,18,19,20,21,22,23,24,25,26,27,28,29,30}-1)*LEN(Registro!$E695)+1,LEN(Registro!$E695))),FIND("x",TRIM(MID(SUBSTITUTE(SUBSTITUTE(SUBSTITUTE(SUBSTITUTE(SUBSTITUTE(LOWER(Registro!$E695),"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",LEN(Registro!$E695))),({1,2,3,4,5,6,7,8,9,10,11,12,13,14,15,16,17,18,19,20,21,22,23,24,25,26,27,28,29,30}-1)*LEN(Registro!$E695)+1,LEN(Registro!$E695)))&amp;"x")+1,20))),"Revisar formato")))</f>
        <v/>
      </c>
      <c r="F695" s="23" t="str">
        <f>IF(Registro!$F695="","",IF(ISERROR(FIND("x",LOWER(Registro!$F695))),"-",IFERROR(SUMPRODUCT(--("0"&amp;LEFT(TRIM(MID(SUBSTITUTE(SUBSTITUTE(SUBSTITUTE(SUBSTITUTE(SUBSTITUTE(LOWER(Registro!$F695)," ",""),CHAR(10),"|"),";","|"),"+","|"),"|",REPT(" ",LEN(Registro!$F695))),({1,2,3,4,5,6,7,8,9,10,11,12,13,14,15,16,17,18,19,20,21,22,23,24,25,26,27,28,29,30}-1)*LEN(Registro!$F695)+1,LEN(Registro!$F695))),FIND("x",TRIM(MID(SUBSTITUTE(SUBSTITUTE(SUBSTITUTE(SUBSTITUTE(SUBSTITUTE(LOWER(Registro!$F695)," ",""),CHAR(10),"|"),";","|"),"+","|"),"|",REPT(" ",LEN(Registro!$F695))),({1,2,3,4,5,6,7,8,9,10,11,12,13,14,15,16,17,18,19,20,21,22,23,24,25,26,27,28,29,30}-1)*LEN(Registro!$F695)+1,LEN(Registro!$F695)))&amp;"x")-1))),"Revisar formato")))</f>
        <v/>
      </c>
      <c r="G695" s="24" t="str">
        <f>IF(Registro!$F695="","",IF(ISERROR(FIND("x",LOWER(Registro!$F695))),N(Registro!$G695),IFERROR(SUMPRODUCT(--("0"&amp;LEFT(TRIM(MID(SUBSTITUTE(SUBSTITUTE(SUBSTITUTE(SUBSTITUTE(SUBSTITUTE(LOWER(Registro!$F695)," ",""),CHAR(10),"|"),";","|"),"+","|"),"|",REPT(" ",LEN(Registro!$F695))),({1,2,3,4,5,6,7,8,9,10,11,12,13,14,15,16,17,18,19,20,21,22,23,24,25,26,27,28,29,30}-1)*LEN(Registro!$F695)+1,LEN(Registro!$F695))),FIND("x",TRIM(MID(SUBSTITUTE(SUBSTITUTE(SUBSTITUTE(SUBSTITUTE(SUBSTITUTE(LOWER(Registro!$F695)," ",""),CHAR(10),"|"),";","|"),"+","|"),"|",REPT(" ",LEN(Registro!$F695))),({1,2,3,4,5,6,7,8,9,10,11,12,13,14,15,16,17,18,19,20,21,22,23,24,25,26,27,28,29,30}-1)*LEN(Registro!$F695)+1,LEN(Registro!$F695)))&amp;"x")-1)),--("0"&amp;MID(TRIM(MID(SUBSTITUTE(SUBSTITUTE(SUBSTITUTE(SUBSTITUTE(SUBSTITUTE(LOWER(Registro!$F695)," ",""),CHAR(10),"|"),";","|"),"+","|"),"|",REPT(" ",LEN(Registro!$F695))),({1,2,3,4,5,6,7,8,9,10,11,12,13,14,15,16,17,18,19,20,21,22,23,24,25,26,27,28,29,30}-1)*LEN(Registro!$F695)+1,LEN(Registro!$F695))),FIND("x",TRIM(MID(SUBSTITUTE(SUBSTITUTE(SUBSTITUTE(SUBSTITUTE(SUBSTITUTE(LOWER(Registro!$F695)," ",""),CHAR(10),"|"),";","|"),"+","|"),"|",REPT(" ",LEN(Registro!$F695))),({1,2,3,4,5,6,7,8,9,10,11,12,13,14,15,16,17,18,19,20,21,22,23,24,25,26,27,28,29,30}-1)*LEN(Registro!$F695)+1,LEN(Registro!$F695)))&amp;"x")+1,20))),"Revisar formato")))</f>
        <v/>
      </c>
      <c r="H695" s="21" t="str">
        <f>IF(AND(Registro!$E695="",Registro!$F695=""),"",IF(NOT(AND(ISNUMBER(G695),ISNUMBER(Registro!$G695))),"",IF(G695&lt;Registro!$G695,"FALTA BOLETOS",IF(G695=Registro!$G695,"CONFORME","DIFERENCIA"))))</f>
        <v/>
      </c>
      <c r="I695" s="24" t="str">
        <f>IF(Registro!$H695="","",IFERROR(SUMPRODUCT(--("0"&amp;TRIM(RIGHT(SUBSTITUTE(TRIM(MID(SUBSTITUTE(SUBSTITUTE(Registro!$H695,";",CHAR(10)),CHAR(10),REPT(" ",LEN(Registro!$H695))),({1,2,3,4,5,6,7,8,9,10,11,12,13,14,15,16,17,18,19,20,21,22,23,24,25,26,27,28,29,30}-1)*LEN(Registro!$H695)+1,LEN(Registro!$H695)))," ",REPT(" ",50)),50)))),"Revisar formato"))</f>
        <v/>
      </c>
      <c r="J695" s="24" t="str">
        <f>IF(Registro!$I695="","",IFERROR(SUMPRODUCT(--("0"&amp;TRIM(RIGHT(SUBSTITUTE(TRIM(MID(SUBSTITUTE(SUBSTITUTE(Registro!$I695,";",CHAR(10)),CHAR(10),REPT(" ",LEN(Registro!$I695))),({1,2,3,4,5,6,7,8,9,10,11,12,13,14,15,16,17,18,19,20,21,22,23,24,25,26,27,28,29,30}-1)*LEN(Registro!$I695)+1,LEN(Registro!$I695)))," ",REPT(" ",50)),50)))),"Revisar formato"))</f>
        <v/>
      </c>
      <c r="K695" s="24" t="str">
        <f>IF(AND(Registro!$G695="",Registro!$H695=""),"",IF(AND(ISTEXT(I695),I695&lt;&gt;""),"Revisar formato",N(Registro!$G695)-N(I695)))</f>
        <v/>
      </c>
      <c r="L695" s="24" t="str">
        <f t="shared" si="21"/>
        <v/>
      </c>
      <c r="M695" s="36" t="str">
        <f>IF(AND(A695=Consulta!$B$3,C695=Consulta!$H$3),B695*10000+ROW(),"")</f>
        <v/>
      </c>
    </row>
    <row r="696" spans="1:13" x14ac:dyDescent="0.25">
      <c r="A696" s="21" t="str">
        <f>IF(Registro!$A696="","",Registro!$A696)</f>
        <v/>
      </c>
      <c r="B696" s="20" t="str">
        <f>IF(Registro!$B696="","",Registro!$B696)</f>
        <v/>
      </c>
      <c r="C696" s="35" t="str">
        <f t="shared" si="20"/>
        <v/>
      </c>
      <c r="D696" s="23" t="str">
        <f>IF(Registro!$E696="","",IF(ISERROR(FIND("x",LOWER(Registro!$E696))),"-",IFERROR(SUMPRODUCT(--("0"&amp;LEFT(TRIM(MID(SUBSTITUTE(SUBSTITUTE(SUBSTITUTE(SUBSTITUTE(SUBSTITUTE(LOWER(Registro!$E696),"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",LEN(Registro!$E696))),({1,2,3,4,5,6,7,8,9,10,11,12,13,14,15,16,17,18,19,20,21,22,23,24,25,26,27,28,29,30}-1)*LEN(Registro!$E696)+1,LEN(Registro!$E696))),FIND("x",TRIM(MID(SUBSTITUTE(SUBSTITUTE(SUBSTITUTE(SUBSTITUTE(SUBSTITUTE(LOWER(Registro!$E696),"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",LEN(Registro!$E696))),({1,2,3,4,5,6,7,8,9,10,11,12,13,14,15,16,17,18,19,20,21,22,23,24,25,26,27,28,29,30}-1)*LEN(Registro!$E696)+1,LEN(Registro!$E696)))&amp;"x")-1))),"Revisar formato")))</f>
        <v/>
      </c>
      <c r="E696" s="24" t="str">
        <f>IF(Registro!$E696="","",IF(ISERROR(FIND("x",LOWER(Registro!$E696))),"-",IFERROR(SUMPRODUCT(--("0"&amp;LEFT(TRIM(MID(SUBSTITUTE(SUBSTITUTE(SUBSTITUTE(SUBSTITUTE(SUBSTITUTE(LOWER(Registro!$E696),"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",LEN(Registro!$E696))),({1,2,3,4,5,6,7,8,9,10,11,12,13,14,15,16,17,18,19,20,21,22,23,24,25,26,27,28,29,30}-1)*LEN(Registro!$E696)+1,LEN(Registro!$E696))),FIND("x",TRIM(MID(SUBSTITUTE(SUBSTITUTE(SUBSTITUTE(SUBSTITUTE(SUBSTITUTE(LOWER(Registro!$E696),"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",LEN(Registro!$E696))),({1,2,3,4,5,6,7,8,9,10,11,12,13,14,15,16,17,18,19,20,21,22,23,24,25,26,27,28,29,30}-1)*LEN(Registro!$E696)+1,LEN(Registro!$E696)))&amp;"x")-1)),--("0"&amp;MID(TRIM(MID(SUBSTITUTE(SUBSTITUTE(SUBSTITUTE(SUBSTITUTE(SUBSTITUTE(LOWER(Registro!$E696),"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",LEN(Registro!$E696))),({1,2,3,4,5,6,7,8,9,10,11,12,13,14,15,16,17,18,19,20,21,22,23,24,25,26,27,28,29,30}-1)*LEN(Registro!$E696)+1,LEN(Registro!$E696))),FIND("x",TRIM(MID(SUBSTITUTE(SUBSTITUTE(SUBSTITUTE(SUBSTITUTE(SUBSTITUTE(LOWER(Registro!$E696),"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",LEN(Registro!$E696))),({1,2,3,4,5,6,7,8,9,10,11,12,13,14,15,16,17,18,19,20,21,22,23,24,25,26,27,28,29,30}-1)*LEN(Registro!$E696)+1,LEN(Registro!$E696)))&amp;"x")+1,20))),"Revisar formato")))</f>
        <v/>
      </c>
      <c r="F696" s="23" t="str">
        <f>IF(Registro!$F696="","",IF(ISERROR(FIND("x",LOWER(Registro!$F696))),"-",IFERROR(SUMPRODUCT(--("0"&amp;LEFT(TRIM(MID(SUBSTITUTE(SUBSTITUTE(SUBSTITUTE(SUBSTITUTE(SUBSTITUTE(LOWER(Registro!$F696)," ",""),CHAR(10),"|"),";","|"),"+","|"),"|",REPT(" ",LEN(Registro!$F696))),({1,2,3,4,5,6,7,8,9,10,11,12,13,14,15,16,17,18,19,20,21,22,23,24,25,26,27,28,29,30}-1)*LEN(Registro!$F696)+1,LEN(Registro!$F696))),FIND("x",TRIM(MID(SUBSTITUTE(SUBSTITUTE(SUBSTITUTE(SUBSTITUTE(SUBSTITUTE(LOWER(Registro!$F696)," ",""),CHAR(10),"|"),";","|"),"+","|"),"|",REPT(" ",LEN(Registro!$F696))),({1,2,3,4,5,6,7,8,9,10,11,12,13,14,15,16,17,18,19,20,21,22,23,24,25,26,27,28,29,30}-1)*LEN(Registro!$F696)+1,LEN(Registro!$F696)))&amp;"x")-1))),"Revisar formato")))</f>
        <v/>
      </c>
      <c r="G696" s="24" t="str">
        <f>IF(Registro!$F696="","",IF(ISERROR(FIND("x",LOWER(Registro!$F696))),N(Registro!$G696),IFERROR(SUMPRODUCT(--("0"&amp;LEFT(TRIM(MID(SUBSTITUTE(SUBSTITUTE(SUBSTITUTE(SUBSTITUTE(SUBSTITUTE(LOWER(Registro!$F696)," ",""),CHAR(10),"|"),";","|"),"+","|"),"|",REPT(" ",LEN(Registro!$F696))),({1,2,3,4,5,6,7,8,9,10,11,12,13,14,15,16,17,18,19,20,21,22,23,24,25,26,27,28,29,30}-1)*LEN(Registro!$F696)+1,LEN(Registro!$F696))),FIND("x",TRIM(MID(SUBSTITUTE(SUBSTITUTE(SUBSTITUTE(SUBSTITUTE(SUBSTITUTE(LOWER(Registro!$F696)," ",""),CHAR(10),"|"),";","|"),"+","|"),"|",REPT(" ",LEN(Registro!$F696))),({1,2,3,4,5,6,7,8,9,10,11,12,13,14,15,16,17,18,19,20,21,22,23,24,25,26,27,28,29,30}-1)*LEN(Registro!$F696)+1,LEN(Registro!$F696)))&amp;"x")-1)),--("0"&amp;MID(TRIM(MID(SUBSTITUTE(SUBSTITUTE(SUBSTITUTE(SUBSTITUTE(SUBSTITUTE(LOWER(Registro!$F696)," ",""),CHAR(10),"|"),";","|"),"+","|"),"|",REPT(" ",LEN(Registro!$F696))),({1,2,3,4,5,6,7,8,9,10,11,12,13,14,15,16,17,18,19,20,21,22,23,24,25,26,27,28,29,30}-1)*LEN(Registro!$F696)+1,LEN(Registro!$F696))),FIND("x",TRIM(MID(SUBSTITUTE(SUBSTITUTE(SUBSTITUTE(SUBSTITUTE(SUBSTITUTE(LOWER(Registro!$F696)," ",""),CHAR(10),"|"),";","|"),"+","|"),"|",REPT(" ",LEN(Registro!$F696))),({1,2,3,4,5,6,7,8,9,10,11,12,13,14,15,16,17,18,19,20,21,22,23,24,25,26,27,28,29,30}-1)*LEN(Registro!$F696)+1,LEN(Registro!$F696)))&amp;"x")+1,20))),"Revisar formato")))</f>
        <v/>
      </c>
      <c r="H696" s="21" t="str">
        <f>IF(AND(Registro!$E696="",Registro!$F696=""),"",IF(NOT(AND(ISNUMBER(G696),ISNUMBER(Registro!$G696))),"",IF(G696&lt;Registro!$G696,"FALTA BOLETOS",IF(G696=Registro!$G696,"CONFORME","DIFERENCIA"))))</f>
        <v/>
      </c>
      <c r="I696" s="24" t="str">
        <f>IF(Registro!$H696="","",IFERROR(SUMPRODUCT(--("0"&amp;TRIM(RIGHT(SUBSTITUTE(TRIM(MID(SUBSTITUTE(SUBSTITUTE(Registro!$H696,";",CHAR(10)),CHAR(10),REPT(" ",LEN(Registro!$H696))),({1,2,3,4,5,6,7,8,9,10,11,12,13,14,15,16,17,18,19,20,21,22,23,24,25,26,27,28,29,30}-1)*LEN(Registro!$H696)+1,LEN(Registro!$H696)))," ",REPT(" ",50)),50)))),"Revisar formato"))</f>
        <v/>
      </c>
      <c r="J696" s="24" t="str">
        <f>IF(Registro!$I696="","",IFERROR(SUMPRODUCT(--("0"&amp;TRIM(RIGHT(SUBSTITUTE(TRIM(MID(SUBSTITUTE(SUBSTITUTE(Registro!$I696,";",CHAR(10)),CHAR(10),REPT(" ",LEN(Registro!$I696))),({1,2,3,4,5,6,7,8,9,10,11,12,13,14,15,16,17,18,19,20,21,22,23,24,25,26,27,28,29,30}-1)*LEN(Registro!$I696)+1,LEN(Registro!$I696)))," ",REPT(" ",50)),50)))),"Revisar formato"))</f>
        <v/>
      </c>
      <c r="K696" s="24" t="str">
        <f>IF(AND(Registro!$G696="",Registro!$H696=""),"",IF(AND(ISTEXT(I696),I696&lt;&gt;""),"Revisar formato",N(Registro!$G696)-N(I696)))</f>
        <v/>
      </c>
      <c r="L696" s="24" t="str">
        <f t="shared" si="21"/>
        <v/>
      </c>
      <c r="M696" s="36" t="str">
        <f>IF(AND(A696=Consulta!$B$3,C696=Consulta!$H$3),B696*10000+ROW(),"")</f>
        <v/>
      </c>
    </row>
    <row r="697" spans="1:13" x14ac:dyDescent="0.25">
      <c r="A697" s="21" t="str">
        <f>IF(Registro!$A697="","",Registro!$A697)</f>
        <v/>
      </c>
      <c r="B697" s="20" t="str">
        <f>IF(Registro!$B697="","",Registro!$B697)</f>
        <v/>
      </c>
      <c r="C697" s="35" t="str">
        <f t="shared" si="20"/>
        <v/>
      </c>
      <c r="D697" s="23" t="str">
        <f>IF(Registro!$E697="","",IF(ISERROR(FIND("x",LOWER(Registro!$E697))),"-",IFERROR(SUMPRODUCT(--("0"&amp;LEFT(TRIM(MID(SUBSTITUTE(SUBSTITUTE(SUBSTITUTE(SUBSTITUTE(SUBSTITUTE(LOWER(Registro!$E697),"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",LEN(Registro!$E697))),({1,2,3,4,5,6,7,8,9,10,11,12,13,14,15,16,17,18,19,20,21,22,23,24,25,26,27,28,29,30}-1)*LEN(Registro!$E697)+1,LEN(Registro!$E697))),FIND("x",TRIM(MID(SUBSTITUTE(SUBSTITUTE(SUBSTITUTE(SUBSTITUTE(SUBSTITUTE(LOWER(Registro!$E697),"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",LEN(Registro!$E697))),({1,2,3,4,5,6,7,8,9,10,11,12,13,14,15,16,17,18,19,20,21,22,23,24,25,26,27,28,29,30}-1)*LEN(Registro!$E697)+1,LEN(Registro!$E697)))&amp;"x")-1))),"Revisar formato")))</f>
        <v/>
      </c>
      <c r="E697" s="24" t="str">
        <f>IF(Registro!$E697="","",IF(ISERROR(FIND("x",LOWER(Registro!$E697))),"-",IFERROR(SUMPRODUCT(--("0"&amp;LEFT(TRIM(MID(SUBSTITUTE(SUBSTITUTE(SUBSTITUTE(SUBSTITUTE(SUBSTITUTE(LOWER(Registro!$E697),"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",LEN(Registro!$E697))),({1,2,3,4,5,6,7,8,9,10,11,12,13,14,15,16,17,18,19,20,21,22,23,24,25,26,27,28,29,30}-1)*LEN(Registro!$E697)+1,LEN(Registro!$E697))),FIND("x",TRIM(MID(SUBSTITUTE(SUBSTITUTE(SUBSTITUTE(SUBSTITUTE(SUBSTITUTE(LOWER(Registro!$E697),"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",LEN(Registro!$E697))),({1,2,3,4,5,6,7,8,9,10,11,12,13,14,15,16,17,18,19,20,21,22,23,24,25,26,27,28,29,30}-1)*LEN(Registro!$E697)+1,LEN(Registro!$E697)))&amp;"x")-1)),--("0"&amp;MID(TRIM(MID(SUBSTITUTE(SUBSTITUTE(SUBSTITUTE(SUBSTITUTE(SUBSTITUTE(LOWER(Registro!$E697),"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",LEN(Registro!$E697))),({1,2,3,4,5,6,7,8,9,10,11,12,13,14,15,16,17,18,19,20,21,22,23,24,25,26,27,28,29,30}-1)*LEN(Registro!$E697)+1,LEN(Registro!$E697))),FIND("x",TRIM(MID(SUBSTITUTE(SUBSTITUTE(SUBSTITUTE(SUBSTITUTE(SUBSTITUTE(LOWER(Registro!$E697),"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",LEN(Registro!$E697))),({1,2,3,4,5,6,7,8,9,10,11,12,13,14,15,16,17,18,19,20,21,22,23,24,25,26,27,28,29,30}-1)*LEN(Registro!$E697)+1,LEN(Registro!$E697)))&amp;"x")+1,20))),"Revisar formato")))</f>
        <v/>
      </c>
      <c r="F697" s="23" t="str">
        <f>IF(Registro!$F697="","",IF(ISERROR(FIND("x",LOWER(Registro!$F697))),"-",IFERROR(SUMPRODUCT(--("0"&amp;LEFT(TRIM(MID(SUBSTITUTE(SUBSTITUTE(SUBSTITUTE(SUBSTITUTE(SUBSTITUTE(LOWER(Registro!$F697)," ",""),CHAR(10),"|"),";","|"),"+","|"),"|",REPT(" ",LEN(Registro!$F697))),({1,2,3,4,5,6,7,8,9,10,11,12,13,14,15,16,17,18,19,20,21,22,23,24,25,26,27,28,29,30}-1)*LEN(Registro!$F697)+1,LEN(Registro!$F697))),FIND("x",TRIM(MID(SUBSTITUTE(SUBSTITUTE(SUBSTITUTE(SUBSTITUTE(SUBSTITUTE(LOWER(Registro!$F697)," ",""),CHAR(10),"|"),";","|"),"+","|"),"|",REPT(" ",LEN(Registro!$F697))),({1,2,3,4,5,6,7,8,9,10,11,12,13,14,15,16,17,18,19,20,21,22,23,24,25,26,27,28,29,30}-1)*LEN(Registro!$F697)+1,LEN(Registro!$F697)))&amp;"x")-1))),"Revisar formato")))</f>
        <v/>
      </c>
      <c r="G697" s="24" t="str">
        <f>IF(Registro!$F697="","",IF(ISERROR(FIND("x",LOWER(Registro!$F697))),N(Registro!$G697),IFERROR(SUMPRODUCT(--("0"&amp;LEFT(TRIM(MID(SUBSTITUTE(SUBSTITUTE(SUBSTITUTE(SUBSTITUTE(SUBSTITUTE(LOWER(Registro!$F697)," ",""),CHAR(10),"|"),";","|"),"+","|"),"|",REPT(" ",LEN(Registro!$F697))),({1,2,3,4,5,6,7,8,9,10,11,12,13,14,15,16,17,18,19,20,21,22,23,24,25,26,27,28,29,30}-1)*LEN(Registro!$F697)+1,LEN(Registro!$F697))),FIND("x",TRIM(MID(SUBSTITUTE(SUBSTITUTE(SUBSTITUTE(SUBSTITUTE(SUBSTITUTE(LOWER(Registro!$F697)," ",""),CHAR(10),"|"),";","|"),"+","|"),"|",REPT(" ",LEN(Registro!$F697))),({1,2,3,4,5,6,7,8,9,10,11,12,13,14,15,16,17,18,19,20,21,22,23,24,25,26,27,28,29,30}-1)*LEN(Registro!$F697)+1,LEN(Registro!$F697)))&amp;"x")-1)),--("0"&amp;MID(TRIM(MID(SUBSTITUTE(SUBSTITUTE(SUBSTITUTE(SUBSTITUTE(SUBSTITUTE(LOWER(Registro!$F697)," ",""),CHAR(10),"|"),";","|"),"+","|"),"|",REPT(" ",LEN(Registro!$F697))),({1,2,3,4,5,6,7,8,9,10,11,12,13,14,15,16,17,18,19,20,21,22,23,24,25,26,27,28,29,30}-1)*LEN(Registro!$F697)+1,LEN(Registro!$F697))),FIND("x",TRIM(MID(SUBSTITUTE(SUBSTITUTE(SUBSTITUTE(SUBSTITUTE(SUBSTITUTE(LOWER(Registro!$F697)," ",""),CHAR(10),"|"),";","|"),"+","|"),"|",REPT(" ",LEN(Registro!$F697))),({1,2,3,4,5,6,7,8,9,10,11,12,13,14,15,16,17,18,19,20,21,22,23,24,25,26,27,28,29,30}-1)*LEN(Registro!$F697)+1,LEN(Registro!$F697)))&amp;"x")+1,20))),"Revisar formato")))</f>
        <v/>
      </c>
      <c r="H697" s="21" t="str">
        <f>IF(AND(Registro!$E697="",Registro!$F697=""),"",IF(NOT(AND(ISNUMBER(G697),ISNUMBER(Registro!$G697))),"",IF(G697&lt;Registro!$G697,"FALTA BOLETOS",IF(G697=Registro!$G697,"CONFORME","DIFERENCIA"))))</f>
        <v/>
      </c>
      <c r="I697" s="24" t="str">
        <f>IF(Registro!$H697="","",IFERROR(SUMPRODUCT(--("0"&amp;TRIM(RIGHT(SUBSTITUTE(TRIM(MID(SUBSTITUTE(SUBSTITUTE(Registro!$H697,";",CHAR(10)),CHAR(10),REPT(" ",LEN(Registro!$H697))),({1,2,3,4,5,6,7,8,9,10,11,12,13,14,15,16,17,18,19,20,21,22,23,24,25,26,27,28,29,30}-1)*LEN(Registro!$H697)+1,LEN(Registro!$H697)))," ",REPT(" ",50)),50)))),"Revisar formato"))</f>
        <v/>
      </c>
      <c r="J697" s="24" t="str">
        <f>IF(Registro!$I697="","",IFERROR(SUMPRODUCT(--("0"&amp;TRIM(RIGHT(SUBSTITUTE(TRIM(MID(SUBSTITUTE(SUBSTITUTE(Registro!$I697,";",CHAR(10)),CHAR(10),REPT(" ",LEN(Registro!$I697))),({1,2,3,4,5,6,7,8,9,10,11,12,13,14,15,16,17,18,19,20,21,22,23,24,25,26,27,28,29,30}-1)*LEN(Registro!$I697)+1,LEN(Registro!$I697)))," ",REPT(" ",50)),50)))),"Revisar formato"))</f>
        <v/>
      </c>
      <c r="K697" s="24" t="str">
        <f>IF(AND(Registro!$G697="",Registro!$H697=""),"",IF(AND(ISTEXT(I697),I697&lt;&gt;""),"Revisar formato",N(Registro!$G697)-N(I697)))</f>
        <v/>
      </c>
      <c r="L697" s="24" t="str">
        <f t="shared" si="21"/>
        <v/>
      </c>
      <c r="M697" s="36" t="str">
        <f>IF(AND(A697=Consulta!$B$3,C697=Consulta!$H$3),B697*10000+ROW(),"")</f>
        <v/>
      </c>
    </row>
    <row r="698" spans="1:13" x14ac:dyDescent="0.25">
      <c r="A698" s="21" t="str">
        <f>IF(Registro!$A698="","",Registro!$A698)</f>
        <v/>
      </c>
      <c r="B698" s="20" t="str">
        <f>IF(Registro!$B698="","",Registro!$B698)</f>
        <v/>
      </c>
      <c r="C698" s="35" t="str">
        <f t="shared" si="20"/>
        <v/>
      </c>
      <c r="D698" s="23" t="str">
        <f>IF(Registro!$E698="","",IF(ISERROR(FIND("x",LOWER(Registro!$E698))),"-",IFERROR(SUMPRODUCT(--("0"&amp;LEFT(TRIM(MID(SUBSTITUTE(SUBSTITUTE(SUBSTITUTE(SUBSTITUTE(SUBSTITUTE(LOWER(Registro!$E698),"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",LEN(Registro!$E698))),({1,2,3,4,5,6,7,8,9,10,11,12,13,14,15,16,17,18,19,20,21,22,23,24,25,26,27,28,29,30}-1)*LEN(Registro!$E698)+1,LEN(Registro!$E698))),FIND("x",TRIM(MID(SUBSTITUTE(SUBSTITUTE(SUBSTITUTE(SUBSTITUTE(SUBSTITUTE(LOWER(Registro!$E698),"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",LEN(Registro!$E698))),({1,2,3,4,5,6,7,8,9,10,11,12,13,14,15,16,17,18,19,20,21,22,23,24,25,26,27,28,29,30}-1)*LEN(Registro!$E698)+1,LEN(Registro!$E698)))&amp;"x")-1))),"Revisar formato")))</f>
        <v/>
      </c>
      <c r="E698" s="24" t="str">
        <f>IF(Registro!$E698="","",IF(ISERROR(FIND("x",LOWER(Registro!$E698))),"-",IFERROR(SUMPRODUCT(--("0"&amp;LEFT(TRIM(MID(SUBSTITUTE(SUBSTITUTE(SUBSTITUTE(SUBSTITUTE(SUBSTITUTE(LOWER(Registro!$E698),"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",LEN(Registro!$E698))),({1,2,3,4,5,6,7,8,9,10,11,12,13,14,15,16,17,18,19,20,21,22,23,24,25,26,27,28,29,30}-1)*LEN(Registro!$E698)+1,LEN(Registro!$E698))),FIND("x",TRIM(MID(SUBSTITUTE(SUBSTITUTE(SUBSTITUTE(SUBSTITUTE(SUBSTITUTE(LOWER(Registro!$E698),"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",LEN(Registro!$E698))),({1,2,3,4,5,6,7,8,9,10,11,12,13,14,15,16,17,18,19,20,21,22,23,24,25,26,27,28,29,30}-1)*LEN(Registro!$E698)+1,LEN(Registro!$E698)))&amp;"x")-1)),--("0"&amp;MID(TRIM(MID(SUBSTITUTE(SUBSTITUTE(SUBSTITUTE(SUBSTITUTE(SUBSTITUTE(LOWER(Registro!$E698),"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",LEN(Registro!$E698))),({1,2,3,4,5,6,7,8,9,10,11,12,13,14,15,16,17,18,19,20,21,22,23,24,25,26,27,28,29,30}-1)*LEN(Registro!$E698)+1,LEN(Registro!$E698))),FIND("x",TRIM(MID(SUBSTITUTE(SUBSTITUTE(SUBSTITUTE(SUBSTITUTE(SUBSTITUTE(LOWER(Registro!$E698),"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",LEN(Registro!$E698))),({1,2,3,4,5,6,7,8,9,10,11,12,13,14,15,16,17,18,19,20,21,22,23,24,25,26,27,28,29,30}-1)*LEN(Registro!$E698)+1,LEN(Registro!$E698)))&amp;"x")+1,20))),"Revisar formato")))</f>
        <v/>
      </c>
      <c r="F698" s="23" t="str">
        <f>IF(Registro!$F698="","",IF(ISERROR(FIND("x",LOWER(Registro!$F698))),"-",IFERROR(SUMPRODUCT(--("0"&amp;LEFT(TRIM(MID(SUBSTITUTE(SUBSTITUTE(SUBSTITUTE(SUBSTITUTE(SUBSTITUTE(LOWER(Registro!$F698)," ",""),CHAR(10),"|"),";","|"),"+","|"),"|",REPT(" ",LEN(Registro!$F698))),({1,2,3,4,5,6,7,8,9,10,11,12,13,14,15,16,17,18,19,20,21,22,23,24,25,26,27,28,29,30}-1)*LEN(Registro!$F698)+1,LEN(Registro!$F698))),FIND("x",TRIM(MID(SUBSTITUTE(SUBSTITUTE(SUBSTITUTE(SUBSTITUTE(SUBSTITUTE(LOWER(Registro!$F698)," ",""),CHAR(10),"|"),";","|"),"+","|"),"|",REPT(" ",LEN(Registro!$F698))),({1,2,3,4,5,6,7,8,9,10,11,12,13,14,15,16,17,18,19,20,21,22,23,24,25,26,27,28,29,30}-1)*LEN(Registro!$F698)+1,LEN(Registro!$F698)))&amp;"x")-1))),"Revisar formato")))</f>
        <v/>
      </c>
      <c r="G698" s="24" t="str">
        <f>IF(Registro!$F698="","",IF(ISERROR(FIND("x",LOWER(Registro!$F698))),N(Registro!$G698),IFERROR(SUMPRODUCT(--("0"&amp;LEFT(TRIM(MID(SUBSTITUTE(SUBSTITUTE(SUBSTITUTE(SUBSTITUTE(SUBSTITUTE(LOWER(Registro!$F698)," ",""),CHAR(10),"|"),";","|"),"+","|"),"|",REPT(" ",LEN(Registro!$F698))),({1,2,3,4,5,6,7,8,9,10,11,12,13,14,15,16,17,18,19,20,21,22,23,24,25,26,27,28,29,30}-1)*LEN(Registro!$F698)+1,LEN(Registro!$F698))),FIND("x",TRIM(MID(SUBSTITUTE(SUBSTITUTE(SUBSTITUTE(SUBSTITUTE(SUBSTITUTE(LOWER(Registro!$F698)," ",""),CHAR(10),"|"),";","|"),"+","|"),"|",REPT(" ",LEN(Registro!$F698))),({1,2,3,4,5,6,7,8,9,10,11,12,13,14,15,16,17,18,19,20,21,22,23,24,25,26,27,28,29,30}-1)*LEN(Registro!$F698)+1,LEN(Registro!$F698)))&amp;"x")-1)),--("0"&amp;MID(TRIM(MID(SUBSTITUTE(SUBSTITUTE(SUBSTITUTE(SUBSTITUTE(SUBSTITUTE(LOWER(Registro!$F698)," ",""),CHAR(10),"|"),";","|"),"+","|"),"|",REPT(" ",LEN(Registro!$F698))),({1,2,3,4,5,6,7,8,9,10,11,12,13,14,15,16,17,18,19,20,21,22,23,24,25,26,27,28,29,30}-1)*LEN(Registro!$F698)+1,LEN(Registro!$F698))),FIND("x",TRIM(MID(SUBSTITUTE(SUBSTITUTE(SUBSTITUTE(SUBSTITUTE(SUBSTITUTE(LOWER(Registro!$F698)," ",""),CHAR(10),"|"),";","|"),"+","|"),"|",REPT(" ",LEN(Registro!$F698))),({1,2,3,4,5,6,7,8,9,10,11,12,13,14,15,16,17,18,19,20,21,22,23,24,25,26,27,28,29,30}-1)*LEN(Registro!$F698)+1,LEN(Registro!$F698)))&amp;"x")+1,20))),"Revisar formato")))</f>
        <v/>
      </c>
      <c r="H698" s="21" t="str">
        <f>IF(AND(Registro!$E698="",Registro!$F698=""),"",IF(NOT(AND(ISNUMBER(G698),ISNUMBER(Registro!$G698))),"",IF(G698&lt;Registro!$G698,"FALTA BOLETOS",IF(G698=Registro!$G698,"CONFORME","DIFERENCIA"))))</f>
        <v/>
      </c>
      <c r="I698" s="24" t="str">
        <f>IF(Registro!$H698="","",IFERROR(SUMPRODUCT(--("0"&amp;TRIM(RIGHT(SUBSTITUTE(TRIM(MID(SUBSTITUTE(SUBSTITUTE(Registro!$H698,";",CHAR(10)),CHAR(10),REPT(" ",LEN(Registro!$H698))),({1,2,3,4,5,6,7,8,9,10,11,12,13,14,15,16,17,18,19,20,21,22,23,24,25,26,27,28,29,30}-1)*LEN(Registro!$H698)+1,LEN(Registro!$H698)))," ",REPT(" ",50)),50)))),"Revisar formato"))</f>
        <v/>
      </c>
      <c r="J698" s="24" t="str">
        <f>IF(Registro!$I698="","",IFERROR(SUMPRODUCT(--("0"&amp;TRIM(RIGHT(SUBSTITUTE(TRIM(MID(SUBSTITUTE(SUBSTITUTE(Registro!$I698,";",CHAR(10)),CHAR(10),REPT(" ",LEN(Registro!$I698))),({1,2,3,4,5,6,7,8,9,10,11,12,13,14,15,16,17,18,19,20,21,22,23,24,25,26,27,28,29,30}-1)*LEN(Registro!$I698)+1,LEN(Registro!$I698)))," ",REPT(" ",50)),50)))),"Revisar formato"))</f>
        <v/>
      </c>
      <c r="K698" s="24" t="str">
        <f>IF(AND(Registro!$G698="",Registro!$H698=""),"",IF(AND(ISTEXT(I698),I698&lt;&gt;""),"Revisar formato",N(Registro!$G698)-N(I698)))</f>
        <v/>
      </c>
      <c r="L698" s="24" t="str">
        <f t="shared" si="21"/>
        <v/>
      </c>
      <c r="M698" s="36" t="str">
        <f>IF(AND(A698=Consulta!$B$3,C698=Consulta!$H$3),B698*10000+ROW(),"")</f>
        <v/>
      </c>
    </row>
    <row r="699" spans="1:13" x14ac:dyDescent="0.25">
      <c r="A699" s="21" t="str">
        <f>IF(Registro!$A699="","",Registro!$A699)</f>
        <v/>
      </c>
      <c r="B699" s="20" t="str">
        <f>IF(Registro!$B699="","",Registro!$B699)</f>
        <v/>
      </c>
      <c r="C699" s="35" t="str">
        <f t="shared" si="20"/>
        <v/>
      </c>
      <c r="D699" s="23" t="str">
        <f>IF(Registro!$E699="","",IF(ISERROR(FIND("x",LOWER(Registro!$E699))),"-",IFERROR(SUMPRODUCT(--("0"&amp;LEFT(TRIM(MID(SUBSTITUTE(SUBSTITUTE(SUBSTITUTE(SUBSTITUTE(SUBSTITUTE(LOWER(Registro!$E699),"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",LEN(Registro!$E699))),({1,2,3,4,5,6,7,8,9,10,11,12,13,14,15,16,17,18,19,20,21,22,23,24,25,26,27,28,29,30}-1)*LEN(Registro!$E699)+1,LEN(Registro!$E699))),FIND("x",TRIM(MID(SUBSTITUTE(SUBSTITUTE(SUBSTITUTE(SUBSTITUTE(SUBSTITUTE(LOWER(Registro!$E699),"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",LEN(Registro!$E699))),({1,2,3,4,5,6,7,8,9,10,11,12,13,14,15,16,17,18,19,20,21,22,23,24,25,26,27,28,29,30}-1)*LEN(Registro!$E699)+1,LEN(Registro!$E699)))&amp;"x")-1))),"Revisar formato")))</f>
        <v/>
      </c>
      <c r="E699" s="24" t="str">
        <f>IF(Registro!$E699="","",IF(ISERROR(FIND("x",LOWER(Registro!$E699))),"-",IFERROR(SUMPRODUCT(--("0"&amp;LEFT(TRIM(MID(SUBSTITUTE(SUBSTITUTE(SUBSTITUTE(SUBSTITUTE(SUBSTITUTE(LOWER(Registro!$E699),"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",LEN(Registro!$E699))),({1,2,3,4,5,6,7,8,9,10,11,12,13,14,15,16,17,18,19,20,21,22,23,24,25,26,27,28,29,30}-1)*LEN(Registro!$E699)+1,LEN(Registro!$E699))),FIND("x",TRIM(MID(SUBSTITUTE(SUBSTITUTE(SUBSTITUTE(SUBSTITUTE(SUBSTITUTE(LOWER(Registro!$E699),"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",LEN(Registro!$E699))),({1,2,3,4,5,6,7,8,9,10,11,12,13,14,15,16,17,18,19,20,21,22,23,24,25,26,27,28,29,30}-1)*LEN(Registro!$E699)+1,LEN(Registro!$E699)))&amp;"x")-1)),--("0"&amp;MID(TRIM(MID(SUBSTITUTE(SUBSTITUTE(SUBSTITUTE(SUBSTITUTE(SUBSTITUTE(LOWER(Registro!$E699),"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",LEN(Registro!$E699))),({1,2,3,4,5,6,7,8,9,10,11,12,13,14,15,16,17,18,19,20,21,22,23,24,25,26,27,28,29,30}-1)*LEN(Registro!$E699)+1,LEN(Registro!$E699))),FIND("x",TRIM(MID(SUBSTITUTE(SUBSTITUTE(SUBSTITUTE(SUBSTITUTE(SUBSTITUTE(LOWER(Registro!$E699),"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",LEN(Registro!$E699))),({1,2,3,4,5,6,7,8,9,10,11,12,13,14,15,16,17,18,19,20,21,22,23,24,25,26,27,28,29,30}-1)*LEN(Registro!$E699)+1,LEN(Registro!$E699)))&amp;"x")+1,20))),"Revisar formato")))</f>
        <v/>
      </c>
      <c r="F699" s="23" t="str">
        <f>IF(Registro!$F699="","",IF(ISERROR(FIND("x",LOWER(Registro!$F699))),"-",IFERROR(SUMPRODUCT(--("0"&amp;LEFT(TRIM(MID(SUBSTITUTE(SUBSTITUTE(SUBSTITUTE(SUBSTITUTE(SUBSTITUTE(LOWER(Registro!$F699)," ",""),CHAR(10),"|"),";","|"),"+","|"),"|",REPT(" ",LEN(Registro!$F699))),({1,2,3,4,5,6,7,8,9,10,11,12,13,14,15,16,17,18,19,20,21,22,23,24,25,26,27,28,29,30}-1)*LEN(Registro!$F699)+1,LEN(Registro!$F699))),FIND("x",TRIM(MID(SUBSTITUTE(SUBSTITUTE(SUBSTITUTE(SUBSTITUTE(SUBSTITUTE(LOWER(Registro!$F699)," ",""),CHAR(10),"|"),";","|"),"+","|"),"|",REPT(" ",LEN(Registro!$F699))),({1,2,3,4,5,6,7,8,9,10,11,12,13,14,15,16,17,18,19,20,21,22,23,24,25,26,27,28,29,30}-1)*LEN(Registro!$F699)+1,LEN(Registro!$F699)))&amp;"x")-1))),"Revisar formato")))</f>
        <v/>
      </c>
      <c r="G699" s="24" t="str">
        <f>IF(Registro!$F699="","",IF(ISERROR(FIND("x",LOWER(Registro!$F699))),N(Registro!$G699),IFERROR(SUMPRODUCT(--("0"&amp;LEFT(TRIM(MID(SUBSTITUTE(SUBSTITUTE(SUBSTITUTE(SUBSTITUTE(SUBSTITUTE(LOWER(Registro!$F699)," ",""),CHAR(10),"|"),";","|"),"+","|"),"|",REPT(" ",LEN(Registro!$F699))),({1,2,3,4,5,6,7,8,9,10,11,12,13,14,15,16,17,18,19,20,21,22,23,24,25,26,27,28,29,30}-1)*LEN(Registro!$F699)+1,LEN(Registro!$F699))),FIND("x",TRIM(MID(SUBSTITUTE(SUBSTITUTE(SUBSTITUTE(SUBSTITUTE(SUBSTITUTE(LOWER(Registro!$F699)," ",""),CHAR(10),"|"),";","|"),"+","|"),"|",REPT(" ",LEN(Registro!$F699))),({1,2,3,4,5,6,7,8,9,10,11,12,13,14,15,16,17,18,19,20,21,22,23,24,25,26,27,28,29,30}-1)*LEN(Registro!$F699)+1,LEN(Registro!$F699)))&amp;"x")-1)),--("0"&amp;MID(TRIM(MID(SUBSTITUTE(SUBSTITUTE(SUBSTITUTE(SUBSTITUTE(SUBSTITUTE(LOWER(Registro!$F699)," ",""),CHAR(10),"|"),";","|"),"+","|"),"|",REPT(" ",LEN(Registro!$F699))),({1,2,3,4,5,6,7,8,9,10,11,12,13,14,15,16,17,18,19,20,21,22,23,24,25,26,27,28,29,30}-1)*LEN(Registro!$F699)+1,LEN(Registro!$F699))),FIND("x",TRIM(MID(SUBSTITUTE(SUBSTITUTE(SUBSTITUTE(SUBSTITUTE(SUBSTITUTE(LOWER(Registro!$F699)," ",""),CHAR(10),"|"),";","|"),"+","|"),"|",REPT(" ",LEN(Registro!$F699))),({1,2,3,4,5,6,7,8,9,10,11,12,13,14,15,16,17,18,19,20,21,22,23,24,25,26,27,28,29,30}-1)*LEN(Registro!$F699)+1,LEN(Registro!$F699)))&amp;"x")+1,20))),"Revisar formato")))</f>
        <v/>
      </c>
      <c r="H699" s="21" t="str">
        <f>IF(AND(Registro!$E699="",Registro!$F699=""),"",IF(NOT(AND(ISNUMBER(G699),ISNUMBER(Registro!$G699))),"",IF(G699&lt;Registro!$G699,"FALTA BOLETOS",IF(G699=Registro!$G699,"CONFORME","DIFERENCIA"))))</f>
        <v/>
      </c>
      <c r="I699" s="24" t="str">
        <f>IF(Registro!$H699="","",IFERROR(SUMPRODUCT(--("0"&amp;TRIM(RIGHT(SUBSTITUTE(TRIM(MID(SUBSTITUTE(SUBSTITUTE(Registro!$H699,";",CHAR(10)),CHAR(10),REPT(" ",LEN(Registro!$H699))),({1,2,3,4,5,6,7,8,9,10,11,12,13,14,15,16,17,18,19,20,21,22,23,24,25,26,27,28,29,30}-1)*LEN(Registro!$H699)+1,LEN(Registro!$H699)))," ",REPT(" ",50)),50)))),"Revisar formato"))</f>
        <v/>
      </c>
      <c r="J699" s="24" t="str">
        <f>IF(Registro!$I699="","",IFERROR(SUMPRODUCT(--("0"&amp;TRIM(RIGHT(SUBSTITUTE(TRIM(MID(SUBSTITUTE(SUBSTITUTE(Registro!$I699,";",CHAR(10)),CHAR(10),REPT(" ",LEN(Registro!$I699))),({1,2,3,4,5,6,7,8,9,10,11,12,13,14,15,16,17,18,19,20,21,22,23,24,25,26,27,28,29,30}-1)*LEN(Registro!$I699)+1,LEN(Registro!$I699)))," ",REPT(" ",50)),50)))),"Revisar formato"))</f>
        <v/>
      </c>
      <c r="K699" s="24" t="str">
        <f>IF(AND(Registro!$G699="",Registro!$H699=""),"",IF(AND(ISTEXT(I699),I699&lt;&gt;""),"Revisar formato",N(Registro!$G699)-N(I699)))</f>
        <v/>
      </c>
      <c r="L699" s="24" t="str">
        <f t="shared" si="21"/>
        <v/>
      </c>
      <c r="M699" s="36" t="str">
        <f>IF(AND(A699=Consulta!$B$3,C699=Consulta!$H$3),B699*10000+ROW(),"")</f>
        <v/>
      </c>
    </row>
    <row r="700" spans="1:13" x14ac:dyDescent="0.25">
      <c r="A700" s="21" t="str">
        <f>IF(Registro!$A700="","",Registro!$A700)</f>
        <v/>
      </c>
      <c r="B700" s="20" t="str">
        <f>IF(Registro!$B700="","",Registro!$B700)</f>
        <v/>
      </c>
      <c r="C700" s="35" t="str">
        <f t="shared" si="20"/>
        <v/>
      </c>
      <c r="D700" s="23" t="str">
        <f>IF(Registro!$E700="","",IF(ISERROR(FIND("x",LOWER(Registro!$E700))),"-",IFERROR(SUMPRODUCT(--("0"&amp;LEFT(TRIM(MID(SUBSTITUTE(SUBSTITUTE(SUBSTITUTE(SUBSTITUTE(SUBSTITUTE(LOWER(Registro!$E700),"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",LEN(Registro!$E700))),({1,2,3,4,5,6,7,8,9,10,11,12,13,14,15,16,17,18,19,20,21,22,23,24,25,26,27,28,29,30}-1)*LEN(Registro!$E700)+1,LEN(Registro!$E700))),FIND("x",TRIM(MID(SUBSTITUTE(SUBSTITUTE(SUBSTITUTE(SUBSTITUTE(SUBSTITUTE(LOWER(Registro!$E700),"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",LEN(Registro!$E700))),({1,2,3,4,5,6,7,8,9,10,11,12,13,14,15,16,17,18,19,20,21,22,23,24,25,26,27,28,29,30}-1)*LEN(Registro!$E700)+1,LEN(Registro!$E700)))&amp;"x")-1))),"Revisar formato")))</f>
        <v/>
      </c>
      <c r="E700" s="24" t="str">
        <f>IF(Registro!$E700="","",IF(ISERROR(FIND("x",LOWER(Registro!$E700))),"-",IFERROR(SUMPRODUCT(--("0"&amp;LEFT(TRIM(MID(SUBSTITUTE(SUBSTITUTE(SUBSTITUTE(SUBSTITUTE(SUBSTITUTE(LOWER(Registro!$E700),"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",LEN(Registro!$E700))),({1,2,3,4,5,6,7,8,9,10,11,12,13,14,15,16,17,18,19,20,21,22,23,24,25,26,27,28,29,30}-1)*LEN(Registro!$E700)+1,LEN(Registro!$E700))),FIND("x",TRIM(MID(SUBSTITUTE(SUBSTITUTE(SUBSTITUTE(SUBSTITUTE(SUBSTITUTE(LOWER(Registro!$E700),"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",LEN(Registro!$E700))),({1,2,3,4,5,6,7,8,9,10,11,12,13,14,15,16,17,18,19,20,21,22,23,24,25,26,27,28,29,30}-1)*LEN(Registro!$E700)+1,LEN(Registro!$E700)))&amp;"x")-1)),--("0"&amp;MID(TRIM(MID(SUBSTITUTE(SUBSTITUTE(SUBSTITUTE(SUBSTITUTE(SUBSTITUTE(LOWER(Registro!$E700),"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",LEN(Registro!$E700))),({1,2,3,4,5,6,7,8,9,10,11,12,13,14,15,16,17,18,19,20,21,22,23,24,25,26,27,28,29,30}-1)*LEN(Registro!$E700)+1,LEN(Registro!$E700))),FIND("x",TRIM(MID(SUBSTITUTE(SUBSTITUTE(SUBSTITUTE(SUBSTITUTE(SUBSTITUTE(LOWER(Registro!$E700),"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",LEN(Registro!$E700))),({1,2,3,4,5,6,7,8,9,10,11,12,13,14,15,16,17,18,19,20,21,22,23,24,25,26,27,28,29,30}-1)*LEN(Registro!$E700)+1,LEN(Registro!$E700)))&amp;"x")+1,20))),"Revisar formato")))</f>
        <v/>
      </c>
      <c r="F700" s="23" t="str">
        <f>IF(Registro!$F700="","",IF(ISERROR(FIND("x",LOWER(Registro!$F700))),"-",IFERROR(SUMPRODUCT(--("0"&amp;LEFT(TRIM(MID(SUBSTITUTE(SUBSTITUTE(SUBSTITUTE(SUBSTITUTE(SUBSTITUTE(LOWER(Registro!$F700)," ",""),CHAR(10),"|"),";","|"),"+","|"),"|",REPT(" ",LEN(Registro!$F700))),({1,2,3,4,5,6,7,8,9,10,11,12,13,14,15,16,17,18,19,20,21,22,23,24,25,26,27,28,29,30}-1)*LEN(Registro!$F700)+1,LEN(Registro!$F700))),FIND("x",TRIM(MID(SUBSTITUTE(SUBSTITUTE(SUBSTITUTE(SUBSTITUTE(SUBSTITUTE(LOWER(Registro!$F700)," ",""),CHAR(10),"|"),";","|"),"+","|"),"|",REPT(" ",LEN(Registro!$F700))),({1,2,3,4,5,6,7,8,9,10,11,12,13,14,15,16,17,18,19,20,21,22,23,24,25,26,27,28,29,30}-1)*LEN(Registro!$F700)+1,LEN(Registro!$F700)))&amp;"x")-1))),"Revisar formato")))</f>
        <v/>
      </c>
      <c r="G700" s="24" t="str">
        <f>IF(Registro!$F700="","",IF(ISERROR(FIND("x",LOWER(Registro!$F700))),N(Registro!$G700),IFERROR(SUMPRODUCT(--("0"&amp;LEFT(TRIM(MID(SUBSTITUTE(SUBSTITUTE(SUBSTITUTE(SUBSTITUTE(SUBSTITUTE(LOWER(Registro!$F700)," ",""),CHAR(10),"|"),";","|"),"+","|"),"|",REPT(" ",LEN(Registro!$F700))),({1,2,3,4,5,6,7,8,9,10,11,12,13,14,15,16,17,18,19,20,21,22,23,24,25,26,27,28,29,30}-1)*LEN(Registro!$F700)+1,LEN(Registro!$F700))),FIND("x",TRIM(MID(SUBSTITUTE(SUBSTITUTE(SUBSTITUTE(SUBSTITUTE(SUBSTITUTE(LOWER(Registro!$F700)," ",""),CHAR(10),"|"),";","|"),"+","|"),"|",REPT(" ",LEN(Registro!$F700))),({1,2,3,4,5,6,7,8,9,10,11,12,13,14,15,16,17,18,19,20,21,22,23,24,25,26,27,28,29,30}-1)*LEN(Registro!$F700)+1,LEN(Registro!$F700)))&amp;"x")-1)),--("0"&amp;MID(TRIM(MID(SUBSTITUTE(SUBSTITUTE(SUBSTITUTE(SUBSTITUTE(SUBSTITUTE(LOWER(Registro!$F700)," ",""),CHAR(10),"|"),";","|"),"+","|"),"|",REPT(" ",LEN(Registro!$F700))),({1,2,3,4,5,6,7,8,9,10,11,12,13,14,15,16,17,18,19,20,21,22,23,24,25,26,27,28,29,30}-1)*LEN(Registro!$F700)+1,LEN(Registro!$F700))),FIND("x",TRIM(MID(SUBSTITUTE(SUBSTITUTE(SUBSTITUTE(SUBSTITUTE(SUBSTITUTE(LOWER(Registro!$F700)," ",""),CHAR(10),"|"),";","|"),"+","|"),"|",REPT(" ",LEN(Registro!$F700))),({1,2,3,4,5,6,7,8,9,10,11,12,13,14,15,16,17,18,19,20,21,22,23,24,25,26,27,28,29,30}-1)*LEN(Registro!$F700)+1,LEN(Registro!$F700)))&amp;"x")+1,20))),"Revisar formato")))</f>
        <v/>
      </c>
      <c r="H700" s="21" t="str">
        <f>IF(AND(Registro!$E700="",Registro!$F700=""),"",IF(NOT(AND(ISNUMBER(G700),ISNUMBER(Registro!$G700))),"",IF(G700&lt;Registro!$G700,"FALTA BOLETOS",IF(G700=Registro!$G700,"CONFORME","DIFERENCIA"))))</f>
        <v/>
      </c>
      <c r="I700" s="24" t="str">
        <f>IF(Registro!$H700="","",IFERROR(SUMPRODUCT(--("0"&amp;TRIM(RIGHT(SUBSTITUTE(TRIM(MID(SUBSTITUTE(SUBSTITUTE(Registro!$H700,";",CHAR(10)),CHAR(10),REPT(" ",LEN(Registro!$H700))),({1,2,3,4,5,6,7,8,9,10,11,12,13,14,15,16,17,18,19,20,21,22,23,24,25,26,27,28,29,30}-1)*LEN(Registro!$H700)+1,LEN(Registro!$H700)))," ",REPT(" ",50)),50)))),"Revisar formato"))</f>
        <v/>
      </c>
      <c r="J700" s="24" t="str">
        <f>IF(Registro!$I700="","",IFERROR(SUMPRODUCT(--("0"&amp;TRIM(RIGHT(SUBSTITUTE(TRIM(MID(SUBSTITUTE(SUBSTITUTE(Registro!$I700,";",CHAR(10)),CHAR(10),REPT(" ",LEN(Registro!$I700))),({1,2,3,4,5,6,7,8,9,10,11,12,13,14,15,16,17,18,19,20,21,22,23,24,25,26,27,28,29,30}-1)*LEN(Registro!$I700)+1,LEN(Registro!$I700)))," ",REPT(" ",50)),50)))),"Revisar formato"))</f>
        <v/>
      </c>
      <c r="K700" s="24" t="str">
        <f>IF(AND(Registro!$G700="",Registro!$H700=""),"",IF(AND(ISTEXT(I700),I700&lt;&gt;""),"Revisar formato",N(Registro!$G700)-N(I700)))</f>
        <v/>
      </c>
      <c r="L700" s="24" t="str">
        <f t="shared" si="21"/>
        <v/>
      </c>
      <c r="M700" s="36" t="str">
        <f>IF(AND(A700=Consulta!$B$3,C700=Consulta!$H$3),B700*10000+ROW(),"")</f>
        <v/>
      </c>
    </row>
    <row r="701" spans="1:13" x14ac:dyDescent="0.25">
      <c r="A701" s="21" t="str">
        <f>IF(Registro!$A701="","",Registro!$A701)</f>
        <v/>
      </c>
      <c r="B701" s="20" t="str">
        <f>IF(Registro!$B701="","",Registro!$B701)</f>
        <v/>
      </c>
      <c r="C701" s="35" t="str">
        <f t="shared" si="20"/>
        <v/>
      </c>
      <c r="D701" s="23" t="str">
        <f>IF(Registro!$E701="","",IF(ISERROR(FIND("x",LOWER(Registro!$E701))),"-",IFERROR(SUMPRODUCT(--("0"&amp;LEFT(TRIM(MID(SUBSTITUTE(SUBSTITUTE(SUBSTITUTE(SUBSTITUTE(SUBSTITUTE(LOWER(Registro!$E701),"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",LEN(Registro!$E701))),({1,2,3,4,5,6,7,8,9,10,11,12,13,14,15,16,17,18,19,20,21,22,23,24,25,26,27,28,29,30}-1)*LEN(Registro!$E701)+1,LEN(Registro!$E701))),FIND("x",TRIM(MID(SUBSTITUTE(SUBSTITUTE(SUBSTITUTE(SUBSTITUTE(SUBSTITUTE(LOWER(Registro!$E701),"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",LEN(Registro!$E701))),({1,2,3,4,5,6,7,8,9,10,11,12,13,14,15,16,17,18,19,20,21,22,23,24,25,26,27,28,29,30}-1)*LEN(Registro!$E701)+1,LEN(Registro!$E701)))&amp;"x")-1))),"Revisar formato")))</f>
        <v/>
      </c>
      <c r="E701" s="24" t="str">
        <f>IF(Registro!$E701="","",IF(ISERROR(FIND("x",LOWER(Registro!$E701))),"-",IFERROR(SUMPRODUCT(--("0"&amp;LEFT(TRIM(MID(SUBSTITUTE(SUBSTITUTE(SUBSTITUTE(SUBSTITUTE(SUBSTITUTE(LOWER(Registro!$E701),"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",LEN(Registro!$E701))),({1,2,3,4,5,6,7,8,9,10,11,12,13,14,15,16,17,18,19,20,21,22,23,24,25,26,27,28,29,30}-1)*LEN(Registro!$E701)+1,LEN(Registro!$E701))),FIND("x",TRIM(MID(SUBSTITUTE(SUBSTITUTE(SUBSTITUTE(SUBSTITUTE(SUBSTITUTE(LOWER(Registro!$E701),"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",LEN(Registro!$E701))),({1,2,3,4,5,6,7,8,9,10,11,12,13,14,15,16,17,18,19,20,21,22,23,24,25,26,27,28,29,30}-1)*LEN(Registro!$E701)+1,LEN(Registro!$E701)))&amp;"x")-1)),--("0"&amp;MID(TRIM(MID(SUBSTITUTE(SUBSTITUTE(SUBSTITUTE(SUBSTITUTE(SUBSTITUTE(LOWER(Registro!$E701),"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",LEN(Registro!$E701))),({1,2,3,4,5,6,7,8,9,10,11,12,13,14,15,16,17,18,19,20,21,22,23,24,25,26,27,28,29,30}-1)*LEN(Registro!$E701)+1,LEN(Registro!$E701))),FIND("x",TRIM(MID(SUBSTITUTE(SUBSTITUTE(SUBSTITUTE(SUBSTITUTE(SUBSTITUTE(LOWER(Registro!$E701),"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",LEN(Registro!$E701))),({1,2,3,4,5,6,7,8,9,10,11,12,13,14,15,16,17,18,19,20,21,22,23,24,25,26,27,28,29,30}-1)*LEN(Registro!$E701)+1,LEN(Registro!$E701)))&amp;"x")+1,20))),"Revisar formato")))</f>
        <v/>
      </c>
      <c r="F701" s="23" t="str">
        <f>IF(Registro!$F701="","",IF(ISERROR(FIND("x",LOWER(Registro!$F701))),"-",IFERROR(SUMPRODUCT(--("0"&amp;LEFT(TRIM(MID(SUBSTITUTE(SUBSTITUTE(SUBSTITUTE(SUBSTITUTE(SUBSTITUTE(LOWER(Registro!$F701)," ",""),CHAR(10),"|"),";","|"),"+","|"),"|",REPT(" ",LEN(Registro!$F701))),({1,2,3,4,5,6,7,8,9,10,11,12,13,14,15,16,17,18,19,20,21,22,23,24,25,26,27,28,29,30}-1)*LEN(Registro!$F701)+1,LEN(Registro!$F701))),FIND("x",TRIM(MID(SUBSTITUTE(SUBSTITUTE(SUBSTITUTE(SUBSTITUTE(SUBSTITUTE(LOWER(Registro!$F701)," ",""),CHAR(10),"|"),";","|"),"+","|"),"|",REPT(" ",LEN(Registro!$F701))),({1,2,3,4,5,6,7,8,9,10,11,12,13,14,15,16,17,18,19,20,21,22,23,24,25,26,27,28,29,30}-1)*LEN(Registro!$F701)+1,LEN(Registro!$F701)))&amp;"x")-1))),"Revisar formato")))</f>
        <v/>
      </c>
      <c r="G701" s="24" t="str">
        <f>IF(Registro!$F701="","",IF(ISERROR(FIND("x",LOWER(Registro!$F701))),N(Registro!$G701),IFERROR(SUMPRODUCT(--("0"&amp;LEFT(TRIM(MID(SUBSTITUTE(SUBSTITUTE(SUBSTITUTE(SUBSTITUTE(SUBSTITUTE(LOWER(Registro!$F701)," ",""),CHAR(10),"|"),";","|"),"+","|"),"|",REPT(" ",LEN(Registro!$F701))),({1,2,3,4,5,6,7,8,9,10,11,12,13,14,15,16,17,18,19,20,21,22,23,24,25,26,27,28,29,30}-1)*LEN(Registro!$F701)+1,LEN(Registro!$F701))),FIND("x",TRIM(MID(SUBSTITUTE(SUBSTITUTE(SUBSTITUTE(SUBSTITUTE(SUBSTITUTE(LOWER(Registro!$F701)," ",""),CHAR(10),"|"),";","|"),"+","|"),"|",REPT(" ",LEN(Registro!$F701))),({1,2,3,4,5,6,7,8,9,10,11,12,13,14,15,16,17,18,19,20,21,22,23,24,25,26,27,28,29,30}-1)*LEN(Registro!$F701)+1,LEN(Registro!$F701)))&amp;"x")-1)),--("0"&amp;MID(TRIM(MID(SUBSTITUTE(SUBSTITUTE(SUBSTITUTE(SUBSTITUTE(SUBSTITUTE(LOWER(Registro!$F701)," ",""),CHAR(10),"|"),";","|"),"+","|"),"|",REPT(" ",LEN(Registro!$F701))),({1,2,3,4,5,6,7,8,9,10,11,12,13,14,15,16,17,18,19,20,21,22,23,24,25,26,27,28,29,30}-1)*LEN(Registro!$F701)+1,LEN(Registro!$F701))),FIND("x",TRIM(MID(SUBSTITUTE(SUBSTITUTE(SUBSTITUTE(SUBSTITUTE(SUBSTITUTE(LOWER(Registro!$F701)," ",""),CHAR(10),"|"),";","|"),"+","|"),"|",REPT(" ",LEN(Registro!$F701))),({1,2,3,4,5,6,7,8,9,10,11,12,13,14,15,16,17,18,19,20,21,22,23,24,25,26,27,28,29,30}-1)*LEN(Registro!$F701)+1,LEN(Registro!$F701)))&amp;"x")+1,20))),"Revisar formato")))</f>
        <v/>
      </c>
      <c r="H701" s="21" t="str">
        <f>IF(AND(Registro!$E701="",Registro!$F701=""),"",IF(NOT(AND(ISNUMBER(G701),ISNUMBER(Registro!$G701))),"",IF(G701&lt;Registro!$G701,"FALTA BOLETOS",IF(G701=Registro!$G701,"CONFORME","DIFERENCIA"))))</f>
        <v/>
      </c>
      <c r="I701" s="24" t="str">
        <f>IF(Registro!$H701="","",IFERROR(SUMPRODUCT(--("0"&amp;TRIM(RIGHT(SUBSTITUTE(TRIM(MID(SUBSTITUTE(SUBSTITUTE(Registro!$H701,";",CHAR(10)),CHAR(10),REPT(" ",LEN(Registro!$H701))),({1,2,3,4,5,6,7,8,9,10,11,12,13,14,15,16,17,18,19,20,21,22,23,24,25,26,27,28,29,30}-1)*LEN(Registro!$H701)+1,LEN(Registro!$H701)))," ",REPT(" ",50)),50)))),"Revisar formato"))</f>
        <v/>
      </c>
      <c r="J701" s="24" t="str">
        <f>IF(Registro!$I701="","",IFERROR(SUMPRODUCT(--("0"&amp;TRIM(RIGHT(SUBSTITUTE(TRIM(MID(SUBSTITUTE(SUBSTITUTE(Registro!$I701,";",CHAR(10)),CHAR(10),REPT(" ",LEN(Registro!$I701))),({1,2,3,4,5,6,7,8,9,10,11,12,13,14,15,16,17,18,19,20,21,22,23,24,25,26,27,28,29,30}-1)*LEN(Registro!$I701)+1,LEN(Registro!$I701)))," ",REPT(" ",50)),50)))),"Revisar formato"))</f>
        <v/>
      </c>
      <c r="K701" s="24" t="str">
        <f>IF(AND(Registro!$G701="",Registro!$H701=""),"",IF(AND(ISTEXT(I701),I701&lt;&gt;""),"Revisar formato",N(Registro!$G701)-N(I701)))</f>
        <v/>
      </c>
      <c r="L701" s="24" t="str">
        <f t="shared" si="21"/>
        <v/>
      </c>
      <c r="M701" s="36" t="str">
        <f>IF(AND(A701=Consulta!$B$3,C701=Consulta!$H$3),B701*10000+ROW(),"")</f>
        <v/>
      </c>
    </row>
    <row r="702" spans="1:13" x14ac:dyDescent="0.25">
      <c r="A702" s="21" t="str">
        <f>IF(Registro!$A702="","",Registro!$A702)</f>
        <v/>
      </c>
      <c r="B702" s="20" t="str">
        <f>IF(Registro!$B702="","",Registro!$B702)</f>
        <v/>
      </c>
      <c r="C702" s="35" t="str">
        <f t="shared" si="20"/>
        <v/>
      </c>
      <c r="D702" s="23" t="str">
        <f>IF(Registro!$E702="","",IF(ISERROR(FIND("x",LOWER(Registro!$E702))),"-",IFERROR(SUMPRODUCT(--("0"&amp;LEFT(TRIM(MID(SUBSTITUTE(SUBSTITUTE(SUBSTITUTE(SUBSTITUTE(SUBSTITUTE(LOWER(Registro!$E702),"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",LEN(Registro!$E702))),({1,2,3,4,5,6,7,8,9,10,11,12,13,14,15,16,17,18,19,20,21,22,23,24,25,26,27,28,29,30}-1)*LEN(Registro!$E702)+1,LEN(Registro!$E702))),FIND("x",TRIM(MID(SUBSTITUTE(SUBSTITUTE(SUBSTITUTE(SUBSTITUTE(SUBSTITUTE(LOWER(Registro!$E702),"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",LEN(Registro!$E702))),({1,2,3,4,5,6,7,8,9,10,11,12,13,14,15,16,17,18,19,20,21,22,23,24,25,26,27,28,29,30}-1)*LEN(Registro!$E702)+1,LEN(Registro!$E702)))&amp;"x")-1))),"Revisar formato")))</f>
        <v/>
      </c>
      <c r="E702" s="24" t="str">
        <f>IF(Registro!$E702="","",IF(ISERROR(FIND("x",LOWER(Registro!$E702))),"-",IFERROR(SUMPRODUCT(--("0"&amp;LEFT(TRIM(MID(SUBSTITUTE(SUBSTITUTE(SUBSTITUTE(SUBSTITUTE(SUBSTITUTE(LOWER(Registro!$E702),"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",LEN(Registro!$E702))),({1,2,3,4,5,6,7,8,9,10,11,12,13,14,15,16,17,18,19,20,21,22,23,24,25,26,27,28,29,30}-1)*LEN(Registro!$E702)+1,LEN(Registro!$E702))),FIND("x",TRIM(MID(SUBSTITUTE(SUBSTITUTE(SUBSTITUTE(SUBSTITUTE(SUBSTITUTE(LOWER(Registro!$E702),"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",LEN(Registro!$E702))),({1,2,3,4,5,6,7,8,9,10,11,12,13,14,15,16,17,18,19,20,21,22,23,24,25,26,27,28,29,30}-1)*LEN(Registro!$E702)+1,LEN(Registro!$E702)))&amp;"x")-1)),--("0"&amp;MID(TRIM(MID(SUBSTITUTE(SUBSTITUTE(SUBSTITUTE(SUBSTITUTE(SUBSTITUTE(LOWER(Registro!$E702),"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",LEN(Registro!$E702))),({1,2,3,4,5,6,7,8,9,10,11,12,13,14,15,16,17,18,19,20,21,22,23,24,25,26,27,28,29,30}-1)*LEN(Registro!$E702)+1,LEN(Registro!$E702))),FIND("x",TRIM(MID(SUBSTITUTE(SUBSTITUTE(SUBSTITUTE(SUBSTITUTE(SUBSTITUTE(LOWER(Registro!$E702),"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",LEN(Registro!$E702))),({1,2,3,4,5,6,7,8,9,10,11,12,13,14,15,16,17,18,19,20,21,22,23,24,25,26,27,28,29,30}-1)*LEN(Registro!$E702)+1,LEN(Registro!$E702)))&amp;"x")+1,20))),"Revisar formato")))</f>
        <v/>
      </c>
      <c r="F702" s="23" t="str">
        <f>IF(Registro!$F702="","",IF(ISERROR(FIND("x",LOWER(Registro!$F702))),"-",IFERROR(SUMPRODUCT(--("0"&amp;LEFT(TRIM(MID(SUBSTITUTE(SUBSTITUTE(SUBSTITUTE(SUBSTITUTE(SUBSTITUTE(LOWER(Registro!$F702)," ",""),CHAR(10),"|"),";","|"),"+","|"),"|",REPT(" ",LEN(Registro!$F702))),({1,2,3,4,5,6,7,8,9,10,11,12,13,14,15,16,17,18,19,20,21,22,23,24,25,26,27,28,29,30}-1)*LEN(Registro!$F702)+1,LEN(Registro!$F702))),FIND("x",TRIM(MID(SUBSTITUTE(SUBSTITUTE(SUBSTITUTE(SUBSTITUTE(SUBSTITUTE(LOWER(Registro!$F702)," ",""),CHAR(10),"|"),";","|"),"+","|"),"|",REPT(" ",LEN(Registro!$F702))),({1,2,3,4,5,6,7,8,9,10,11,12,13,14,15,16,17,18,19,20,21,22,23,24,25,26,27,28,29,30}-1)*LEN(Registro!$F702)+1,LEN(Registro!$F702)))&amp;"x")-1))),"Revisar formato")))</f>
        <v/>
      </c>
      <c r="G702" s="24" t="str">
        <f>IF(Registro!$F702="","",IF(ISERROR(FIND("x",LOWER(Registro!$F702))),N(Registro!$G702),IFERROR(SUMPRODUCT(--("0"&amp;LEFT(TRIM(MID(SUBSTITUTE(SUBSTITUTE(SUBSTITUTE(SUBSTITUTE(SUBSTITUTE(LOWER(Registro!$F702)," ",""),CHAR(10),"|"),";","|"),"+","|"),"|",REPT(" ",LEN(Registro!$F702))),({1,2,3,4,5,6,7,8,9,10,11,12,13,14,15,16,17,18,19,20,21,22,23,24,25,26,27,28,29,30}-1)*LEN(Registro!$F702)+1,LEN(Registro!$F702))),FIND("x",TRIM(MID(SUBSTITUTE(SUBSTITUTE(SUBSTITUTE(SUBSTITUTE(SUBSTITUTE(LOWER(Registro!$F702)," ",""),CHAR(10),"|"),";","|"),"+","|"),"|",REPT(" ",LEN(Registro!$F702))),({1,2,3,4,5,6,7,8,9,10,11,12,13,14,15,16,17,18,19,20,21,22,23,24,25,26,27,28,29,30}-1)*LEN(Registro!$F702)+1,LEN(Registro!$F702)))&amp;"x")-1)),--("0"&amp;MID(TRIM(MID(SUBSTITUTE(SUBSTITUTE(SUBSTITUTE(SUBSTITUTE(SUBSTITUTE(LOWER(Registro!$F702)," ",""),CHAR(10),"|"),";","|"),"+","|"),"|",REPT(" ",LEN(Registro!$F702))),({1,2,3,4,5,6,7,8,9,10,11,12,13,14,15,16,17,18,19,20,21,22,23,24,25,26,27,28,29,30}-1)*LEN(Registro!$F702)+1,LEN(Registro!$F702))),FIND("x",TRIM(MID(SUBSTITUTE(SUBSTITUTE(SUBSTITUTE(SUBSTITUTE(SUBSTITUTE(LOWER(Registro!$F702)," ",""),CHAR(10),"|"),";","|"),"+","|"),"|",REPT(" ",LEN(Registro!$F702))),({1,2,3,4,5,6,7,8,9,10,11,12,13,14,15,16,17,18,19,20,21,22,23,24,25,26,27,28,29,30}-1)*LEN(Registro!$F702)+1,LEN(Registro!$F702)))&amp;"x")+1,20))),"Revisar formato")))</f>
        <v/>
      </c>
      <c r="H702" s="21" t="str">
        <f>IF(AND(Registro!$E702="",Registro!$F702=""),"",IF(NOT(AND(ISNUMBER(G702),ISNUMBER(Registro!$G702))),"",IF(G702&lt;Registro!$G702,"FALTA BOLETOS",IF(G702=Registro!$G702,"CONFORME","DIFERENCIA"))))</f>
        <v/>
      </c>
      <c r="I702" s="24" t="str">
        <f>IF(Registro!$H702="","",IFERROR(SUMPRODUCT(--("0"&amp;TRIM(RIGHT(SUBSTITUTE(TRIM(MID(SUBSTITUTE(SUBSTITUTE(Registro!$H702,";",CHAR(10)),CHAR(10),REPT(" ",LEN(Registro!$H702))),({1,2,3,4,5,6,7,8,9,10,11,12,13,14,15,16,17,18,19,20,21,22,23,24,25,26,27,28,29,30}-1)*LEN(Registro!$H702)+1,LEN(Registro!$H702)))," ",REPT(" ",50)),50)))),"Revisar formato"))</f>
        <v/>
      </c>
      <c r="J702" s="24" t="str">
        <f>IF(Registro!$I702="","",IFERROR(SUMPRODUCT(--("0"&amp;TRIM(RIGHT(SUBSTITUTE(TRIM(MID(SUBSTITUTE(SUBSTITUTE(Registro!$I702,";",CHAR(10)),CHAR(10),REPT(" ",LEN(Registro!$I702))),({1,2,3,4,5,6,7,8,9,10,11,12,13,14,15,16,17,18,19,20,21,22,23,24,25,26,27,28,29,30}-1)*LEN(Registro!$I702)+1,LEN(Registro!$I702)))," ",REPT(" ",50)),50)))),"Revisar formato"))</f>
        <v/>
      </c>
      <c r="K702" s="24" t="str">
        <f>IF(AND(Registro!$G702="",Registro!$H702=""),"",IF(AND(ISTEXT(I702),I702&lt;&gt;""),"Revisar formato",N(Registro!$G702)-N(I702)))</f>
        <v/>
      </c>
      <c r="L702" s="24" t="str">
        <f t="shared" si="21"/>
        <v/>
      </c>
      <c r="M702" s="36" t="str">
        <f>IF(AND(A702=Consulta!$B$3,C702=Consulta!$H$3),B702*10000+ROW(),"")</f>
        <v/>
      </c>
    </row>
    <row r="703" spans="1:13" x14ac:dyDescent="0.25">
      <c r="A703" s="21" t="str">
        <f>IF(Registro!$A703="","",Registro!$A703)</f>
        <v/>
      </c>
      <c r="B703" s="20" t="str">
        <f>IF(Registro!$B703="","",Registro!$B703)</f>
        <v/>
      </c>
      <c r="C703" s="35" t="str">
        <f t="shared" si="20"/>
        <v/>
      </c>
      <c r="D703" s="23" t="str">
        <f>IF(Registro!$E703="","",IF(ISERROR(FIND("x",LOWER(Registro!$E703))),"-",IFERROR(SUMPRODUCT(--("0"&amp;LEFT(TRIM(MID(SUBSTITUTE(SUBSTITUTE(SUBSTITUTE(SUBSTITUTE(SUBSTITUTE(LOWER(Registro!$E703),"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",LEN(Registro!$E703))),({1,2,3,4,5,6,7,8,9,10,11,12,13,14,15,16,17,18,19,20,21,22,23,24,25,26,27,28,29,30}-1)*LEN(Registro!$E703)+1,LEN(Registro!$E703))),FIND("x",TRIM(MID(SUBSTITUTE(SUBSTITUTE(SUBSTITUTE(SUBSTITUTE(SUBSTITUTE(LOWER(Registro!$E703),"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",LEN(Registro!$E703))),({1,2,3,4,5,6,7,8,9,10,11,12,13,14,15,16,17,18,19,20,21,22,23,24,25,26,27,28,29,30}-1)*LEN(Registro!$E703)+1,LEN(Registro!$E703)))&amp;"x")-1))),"Revisar formato")))</f>
        <v/>
      </c>
      <c r="E703" s="24" t="str">
        <f>IF(Registro!$E703="","",IF(ISERROR(FIND("x",LOWER(Registro!$E703))),"-",IFERROR(SUMPRODUCT(--("0"&amp;LEFT(TRIM(MID(SUBSTITUTE(SUBSTITUTE(SUBSTITUTE(SUBSTITUTE(SUBSTITUTE(LOWER(Registro!$E703),"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",LEN(Registro!$E703))),({1,2,3,4,5,6,7,8,9,10,11,12,13,14,15,16,17,18,19,20,21,22,23,24,25,26,27,28,29,30}-1)*LEN(Registro!$E703)+1,LEN(Registro!$E703))),FIND("x",TRIM(MID(SUBSTITUTE(SUBSTITUTE(SUBSTITUTE(SUBSTITUTE(SUBSTITUTE(LOWER(Registro!$E703),"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",LEN(Registro!$E703))),({1,2,3,4,5,6,7,8,9,10,11,12,13,14,15,16,17,18,19,20,21,22,23,24,25,26,27,28,29,30}-1)*LEN(Registro!$E703)+1,LEN(Registro!$E703)))&amp;"x")-1)),--("0"&amp;MID(TRIM(MID(SUBSTITUTE(SUBSTITUTE(SUBSTITUTE(SUBSTITUTE(SUBSTITUTE(LOWER(Registro!$E703),"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",LEN(Registro!$E703))),({1,2,3,4,5,6,7,8,9,10,11,12,13,14,15,16,17,18,19,20,21,22,23,24,25,26,27,28,29,30}-1)*LEN(Registro!$E703)+1,LEN(Registro!$E703))),FIND("x",TRIM(MID(SUBSTITUTE(SUBSTITUTE(SUBSTITUTE(SUBSTITUTE(SUBSTITUTE(LOWER(Registro!$E703),"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",LEN(Registro!$E703))),({1,2,3,4,5,6,7,8,9,10,11,12,13,14,15,16,17,18,19,20,21,22,23,24,25,26,27,28,29,30}-1)*LEN(Registro!$E703)+1,LEN(Registro!$E703)))&amp;"x")+1,20))),"Revisar formato")))</f>
        <v/>
      </c>
      <c r="F703" s="23" t="str">
        <f>IF(Registro!$F703="","",IF(ISERROR(FIND("x",LOWER(Registro!$F703))),"-",IFERROR(SUMPRODUCT(--("0"&amp;LEFT(TRIM(MID(SUBSTITUTE(SUBSTITUTE(SUBSTITUTE(SUBSTITUTE(SUBSTITUTE(LOWER(Registro!$F703)," ",""),CHAR(10),"|"),";","|"),"+","|"),"|",REPT(" ",LEN(Registro!$F703))),({1,2,3,4,5,6,7,8,9,10,11,12,13,14,15,16,17,18,19,20,21,22,23,24,25,26,27,28,29,30}-1)*LEN(Registro!$F703)+1,LEN(Registro!$F703))),FIND("x",TRIM(MID(SUBSTITUTE(SUBSTITUTE(SUBSTITUTE(SUBSTITUTE(SUBSTITUTE(LOWER(Registro!$F703)," ",""),CHAR(10),"|"),";","|"),"+","|"),"|",REPT(" ",LEN(Registro!$F703))),({1,2,3,4,5,6,7,8,9,10,11,12,13,14,15,16,17,18,19,20,21,22,23,24,25,26,27,28,29,30}-1)*LEN(Registro!$F703)+1,LEN(Registro!$F703)))&amp;"x")-1))),"Revisar formato")))</f>
        <v/>
      </c>
      <c r="G703" s="24" t="str">
        <f>IF(Registro!$F703="","",IF(ISERROR(FIND("x",LOWER(Registro!$F703))),N(Registro!$G703),IFERROR(SUMPRODUCT(--("0"&amp;LEFT(TRIM(MID(SUBSTITUTE(SUBSTITUTE(SUBSTITUTE(SUBSTITUTE(SUBSTITUTE(LOWER(Registro!$F703)," ",""),CHAR(10),"|"),";","|"),"+","|"),"|",REPT(" ",LEN(Registro!$F703))),({1,2,3,4,5,6,7,8,9,10,11,12,13,14,15,16,17,18,19,20,21,22,23,24,25,26,27,28,29,30}-1)*LEN(Registro!$F703)+1,LEN(Registro!$F703))),FIND("x",TRIM(MID(SUBSTITUTE(SUBSTITUTE(SUBSTITUTE(SUBSTITUTE(SUBSTITUTE(LOWER(Registro!$F703)," ",""),CHAR(10),"|"),";","|"),"+","|"),"|",REPT(" ",LEN(Registro!$F703))),({1,2,3,4,5,6,7,8,9,10,11,12,13,14,15,16,17,18,19,20,21,22,23,24,25,26,27,28,29,30}-1)*LEN(Registro!$F703)+1,LEN(Registro!$F703)))&amp;"x")-1)),--("0"&amp;MID(TRIM(MID(SUBSTITUTE(SUBSTITUTE(SUBSTITUTE(SUBSTITUTE(SUBSTITUTE(LOWER(Registro!$F703)," ",""),CHAR(10),"|"),";","|"),"+","|"),"|",REPT(" ",LEN(Registro!$F703))),({1,2,3,4,5,6,7,8,9,10,11,12,13,14,15,16,17,18,19,20,21,22,23,24,25,26,27,28,29,30}-1)*LEN(Registro!$F703)+1,LEN(Registro!$F703))),FIND("x",TRIM(MID(SUBSTITUTE(SUBSTITUTE(SUBSTITUTE(SUBSTITUTE(SUBSTITUTE(LOWER(Registro!$F703)," ",""),CHAR(10),"|"),";","|"),"+","|"),"|",REPT(" ",LEN(Registro!$F703))),({1,2,3,4,5,6,7,8,9,10,11,12,13,14,15,16,17,18,19,20,21,22,23,24,25,26,27,28,29,30}-1)*LEN(Registro!$F703)+1,LEN(Registro!$F703)))&amp;"x")+1,20))),"Revisar formato")))</f>
        <v/>
      </c>
      <c r="H703" s="21" t="str">
        <f>IF(AND(Registro!$E703="",Registro!$F703=""),"",IF(NOT(AND(ISNUMBER(G703),ISNUMBER(Registro!$G703))),"",IF(G703&lt;Registro!$G703,"FALTA BOLETOS",IF(G703=Registro!$G703,"CONFORME","DIFERENCIA"))))</f>
        <v/>
      </c>
      <c r="I703" s="24" t="str">
        <f>IF(Registro!$H703="","",IFERROR(SUMPRODUCT(--("0"&amp;TRIM(RIGHT(SUBSTITUTE(TRIM(MID(SUBSTITUTE(SUBSTITUTE(Registro!$H703,";",CHAR(10)),CHAR(10),REPT(" ",LEN(Registro!$H703))),({1,2,3,4,5,6,7,8,9,10,11,12,13,14,15,16,17,18,19,20,21,22,23,24,25,26,27,28,29,30}-1)*LEN(Registro!$H703)+1,LEN(Registro!$H703)))," ",REPT(" ",50)),50)))),"Revisar formato"))</f>
        <v/>
      </c>
      <c r="J703" s="24" t="str">
        <f>IF(Registro!$I703="","",IFERROR(SUMPRODUCT(--("0"&amp;TRIM(RIGHT(SUBSTITUTE(TRIM(MID(SUBSTITUTE(SUBSTITUTE(Registro!$I703,";",CHAR(10)),CHAR(10),REPT(" ",LEN(Registro!$I703))),({1,2,3,4,5,6,7,8,9,10,11,12,13,14,15,16,17,18,19,20,21,22,23,24,25,26,27,28,29,30}-1)*LEN(Registro!$I703)+1,LEN(Registro!$I703)))," ",REPT(" ",50)),50)))),"Revisar formato"))</f>
        <v/>
      </c>
      <c r="K703" s="24" t="str">
        <f>IF(AND(Registro!$G703="",Registro!$H703=""),"",IF(AND(ISTEXT(I703),I703&lt;&gt;""),"Revisar formato",N(Registro!$G703)-N(I703)))</f>
        <v/>
      </c>
      <c r="L703" s="24" t="str">
        <f t="shared" si="21"/>
        <v/>
      </c>
      <c r="M703" s="36" t="str">
        <f>IF(AND(A703=Consulta!$B$3,C703=Consulta!$H$3),B703*10000+ROW(),"")</f>
        <v/>
      </c>
    </row>
    <row r="704" spans="1:13" x14ac:dyDescent="0.25">
      <c r="A704" s="21" t="str">
        <f>IF(Registro!$A704="","",Registro!$A704)</f>
        <v/>
      </c>
      <c r="B704" s="20" t="str">
        <f>IF(Registro!$B704="","",Registro!$B704)</f>
        <v/>
      </c>
      <c r="C704" s="35" t="str">
        <f t="shared" si="20"/>
        <v/>
      </c>
      <c r="D704" s="23" t="str">
        <f>IF(Registro!$E704="","",IF(ISERROR(FIND("x",LOWER(Registro!$E704))),"-",IFERROR(SUMPRODUCT(--("0"&amp;LEFT(TRIM(MID(SUBSTITUTE(SUBSTITUTE(SUBSTITUTE(SUBSTITUTE(SUBSTITUTE(LOWER(Registro!$E704),"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",LEN(Registro!$E704))),({1,2,3,4,5,6,7,8,9,10,11,12,13,14,15,16,17,18,19,20,21,22,23,24,25,26,27,28,29,30}-1)*LEN(Registro!$E704)+1,LEN(Registro!$E704))),FIND("x",TRIM(MID(SUBSTITUTE(SUBSTITUTE(SUBSTITUTE(SUBSTITUTE(SUBSTITUTE(LOWER(Registro!$E704),"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",LEN(Registro!$E704))),({1,2,3,4,5,6,7,8,9,10,11,12,13,14,15,16,17,18,19,20,21,22,23,24,25,26,27,28,29,30}-1)*LEN(Registro!$E704)+1,LEN(Registro!$E704)))&amp;"x")-1))),"Revisar formato")))</f>
        <v/>
      </c>
      <c r="E704" s="24" t="str">
        <f>IF(Registro!$E704="","",IF(ISERROR(FIND("x",LOWER(Registro!$E704))),"-",IFERROR(SUMPRODUCT(--("0"&amp;LEFT(TRIM(MID(SUBSTITUTE(SUBSTITUTE(SUBSTITUTE(SUBSTITUTE(SUBSTITUTE(LOWER(Registro!$E704),"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",LEN(Registro!$E704))),({1,2,3,4,5,6,7,8,9,10,11,12,13,14,15,16,17,18,19,20,21,22,23,24,25,26,27,28,29,30}-1)*LEN(Registro!$E704)+1,LEN(Registro!$E704))),FIND("x",TRIM(MID(SUBSTITUTE(SUBSTITUTE(SUBSTITUTE(SUBSTITUTE(SUBSTITUTE(LOWER(Registro!$E704),"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",LEN(Registro!$E704))),({1,2,3,4,5,6,7,8,9,10,11,12,13,14,15,16,17,18,19,20,21,22,23,24,25,26,27,28,29,30}-1)*LEN(Registro!$E704)+1,LEN(Registro!$E704)))&amp;"x")-1)),--("0"&amp;MID(TRIM(MID(SUBSTITUTE(SUBSTITUTE(SUBSTITUTE(SUBSTITUTE(SUBSTITUTE(LOWER(Registro!$E704),"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",LEN(Registro!$E704))),({1,2,3,4,5,6,7,8,9,10,11,12,13,14,15,16,17,18,19,20,21,22,23,24,25,26,27,28,29,30}-1)*LEN(Registro!$E704)+1,LEN(Registro!$E704))),FIND("x",TRIM(MID(SUBSTITUTE(SUBSTITUTE(SUBSTITUTE(SUBSTITUTE(SUBSTITUTE(LOWER(Registro!$E704),"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",LEN(Registro!$E704))),({1,2,3,4,5,6,7,8,9,10,11,12,13,14,15,16,17,18,19,20,21,22,23,24,25,26,27,28,29,30}-1)*LEN(Registro!$E704)+1,LEN(Registro!$E704)))&amp;"x")+1,20))),"Revisar formato")))</f>
        <v/>
      </c>
      <c r="F704" s="23" t="str">
        <f>IF(Registro!$F704="","",IF(ISERROR(FIND("x",LOWER(Registro!$F704))),"-",IFERROR(SUMPRODUCT(--("0"&amp;LEFT(TRIM(MID(SUBSTITUTE(SUBSTITUTE(SUBSTITUTE(SUBSTITUTE(SUBSTITUTE(LOWER(Registro!$F704)," ",""),CHAR(10),"|"),";","|"),"+","|"),"|",REPT(" ",LEN(Registro!$F704))),({1,2,3,4,5,6,7,8,9,10,11,12,13,14,15,16,17,18,19,20,21,22,23,24,25,26,27,28,29,30}-1)*LEN(Registro!$F704)+1,LEN(Registro!$F704))),FIND("x",TRIM(MID(SUBSTITUTE(SUBSTITUTE(SUBSTITUTE(SUBSTITUTE(SUBSTITUTE(LOWER(Registro!$F704)," ",""),CHAR(10),"|"),";","|"),"+","|"),"|",REPT(" ",LEN(Registro!$F704))),({1,2,3,4,5,6,7,8,9,10,11,12,13,14,15,16,17,18,19,20,21,22,23,24,25,26,27,28,29,30}-1)*LEN(Registro!$F704)+1,LEN(Registro!$F704)))&amp;"x")-1))),"Revisar formato")))</f>
        <v/>
      </c>
      <c r="G704" s="24" t="str">
        <f>IF(Registro!$F704="","",IF(ISERROR(FIND("x",LOWER(Registro!$F704))),N(Registro!$G704),IFERROR(SUMPRODUCT(--("0"&amp;LEFT(TRIM(MID(SUBSTITUTE(SUBSTITUTE(SUBSTITUTE(SUBSTITUTE(SUBSTITUTE(LOWER(Registro!$F704)," ",""),CHAR(10),"|"),";","|"),"+","|"),"|",REPT(" ",LEN(Registro!$F704))),({1,2,3,4,5,6,7,8,9,10,11,12,13,14,15,16,17,18,19,20,21,22,23,24,25,26,27,28,29,30}-1)*LEN(Registro!$F704)+1,LEN(Registro!$F704))),FIND("x",TRIM(MID(SUBSTITUTE(SUBSTITUTE(SUBSTITUTE(SUBSTITUTE(SUBSTITUTE(LOWER(Registro!$F704)," ",""),CHAR(10),"|"),";","|"),"+","|"),"|",REPT(" ",LEN(Registro!$F704))),({1,2,3,4,5,6,7,8,9,10,11,12,13,14,15,16,17,18,19,20,21,22,23,24,25,26,27,28,29,30}-1)*LEN(Registro!$F704)+1,LEN(Registro!$F704)))&amp;"x")-1)),--("0"&amp;MID(TRIM(MID(SUBSTITUTE(SUBSTITUTE(SUBSTITUTE(SUBSTITUTE(SUBSTITUTE(LOWER(Registro!$F704)," ",""),CHAR(10),"|"),";","|"),"+","|"),"|",REPT(" ",LEN(Registro!$F704))),({1,2,3,4,5,6,7,8,9,10,11,12,13,14,15,16,17,18,19,20,21,22,23,24,25,26,27,28,29,30}-1)*LEN(Registro!$F704)+1,LEN(Registro!$F704))),FIND("x",TRIM(MID(SUBSTITUTE(SUBSTITUTE(SUBSTITUTE(SUBSTITUTE(SUBSTITUTE(LOWER(Registro!$F704)," ",""),CHAR(10),"|"),";","|"),"+","|"),"|",REPT(" ",LEN(Registro!$F704))),({1,2,3,4,5,6,7,8,9,10,11,12,13,14,15,16,17,18,19,20,21,22,23,24,25,26,27,28,29,30}-1)*LEN(Registro!$F704)+1,LEN(Registro!$F704)))&amp;"x")+1,20))),"Revisar formato")))</f>
        <v/>
      </c>
      <c r="H704" s="21" t="str">
        <f>IF(AND(Registro!$E704="",Registro!$F704=""),"",IF(NOT(AND(ISNUMBER(G704),ISNUMBER(Registro!$G704))),"",IF(G704&lt;Registro!$G704,"FALTA BOLETOS",IF(G704=Registro!$G704,"CONFORME","DIFERENCIA"))))</f>
        <v/>
      </c>
      <c r="I704" s="24" t="str">
        <f>IF(Registro!$H704="","",IFERROR(SUMPRODUCT(--("0"&amp;TRIM(RIGHT(SUBSTITUTE(TRIM(MID(SUBSTITUTE(SUBSTITUTE(Registro!$H704,";",CHAR(10)),CHAR(10),REPT(" ",LEN(Registro!$H704))),({1,2,3,4,5,6,7,8,9,10,11,12,13,14,15,16,17,18,19,20,21,22,23,24,25,26,27,28,29,30}-1)*LEN(Registro!$H704)+1,LEN(Registro!$H704)))," ",REPT(" ",50)),50)))),"Revisar formato"))</f>
        <v/>
      </c>
      <c r="J704" s="24" t="str">
        <f>IF(Registro!$I704="","",IFERROR(SUMPRODUCT(--("0"&amp;TRIM(RIGHT(SUBSTITUTE(TRIM(MID(SUBSTITUTE(SUBSTITUTE(Registro!$I704,";",CHAR(10)),CHAR(10),REPT(" ",LEN(Registro!$I704))),({1,2,3,4,5,6,7,8,9,10,11,12,13,14,15,16,17,18,19,20,21,22,23,24,25,26,27,28,29,30}-1)*LEN(Registro!$I704)+1,LEN(Registro!$I704)))," ",REPT(" ",50)),50)))),"Revisar formato"))</f>
        <v/>
      </c>
      <c r="K704" s="24" t="str">
        <f>IF(AND(Registro!$G704="",Registro!$H704=""),"",IF(AND(ISTEXT(I704),I704&lt;&gt;""),"Revisar formato",N(Registro!$G704)-N(I704)))</f>
        <v/>
      </c>
      <c r="L704" s="24" t="str">
        <f t="shared" si="21"/>
        <v/>
      </c>
      <c r="M704" s="36" t="str">
        <f>IF(AND(A704=Consulta!$B$3,C704=Consulta!$H$3),B704*10000+ROW(),"")</f>
        <v/>
      </c>
    </row>
    <row r="705" spans="1:13" x14ac:dyDescent="0.25">
      <c r="A705" s="21" t="str">
        <f>IF(Registro!$A705="","",Registro!$A705)</f>
        <v/>
      </c>
      <c r="B705" s="20" t="str">
        <f>IF(Registro!$B705="","",Registro!$B705)</f>
        <v/>
      </c>
      <c r="C705" s="35" t="str">
        <f t="shared" si="20"/>
        <v/>
      </c>
      <c r="D705" s="23" t="str">
        <f>IF(Registro!$E705="","",IF(ISERROR(FIND("x",LOWER(Registro!$E705))),"-",IFERROR(SUMPRODUCT(--("0"&amp;LEFT(TRIM(MID(SUBSTITUTE(SUBSTITUTE(SUBSTITUTE(SUBSTITUTE(SUBSTITUTE(LOWER(Registro!$E705),"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",LEN(Registro!$E705))),({1,2,3,4,5,6,7,8,9,10,11,12,13,14,15,16,17,18,19,20,21,22,23,24,25,26,27,28,29,30}-1)*LEN(Registro!$E705)+1,LEN(Registro!$E705))),FIND("x",TRIM(MID(SUBSTITUTE(SUBSTITUTE(SUBSTITUTE(SUBSTITUTE(SUBSTITUTE(LOWER(Registro!$E705),"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",LEN(Registro!$E705))),({1,2,3,4,5,6,7,8,9,10,11,12,13,14,15,16,17,18,19,20,21,22,23,24,25,26,27,28,29,30}-1)*LEN(Registro!$E705)+1,LEN(Registro!$E705)))&amp;"x")-1))),"Revisar formato")))</f>
        <v/>
      </c>
      <c r="E705" s="24" t="str">
        <f>IF(Registro!$E705="","",IF(ISERROR(FIND("x",LOWER(Registro!$E705))),"-",IFERROR(SUMPRODUCT(--("0"&amp;LEFT(TRIM(MID(SUBSTITUTE(SUBSTITUTE(SUBSTITUTE(SUBSTITUTE(SUBSTITUTE(LOWER(Registro!$E705),"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",LEN(Registro!$E705))),({1,2,3,4,5,6,7,8,9,10,11,12,13,14,15,16,17,18,19,20,21,22,23,24,25,26,27,28,29,30}-1)*LEN(Registro!$E705)+1,LEN(Registro!$E705))),FIND("x",TRIM(MID(SUBSTITUTE(SUBSTITUTE(SUBSTITUTE(SUBSTITUTE(SUBSTITUTE(LOWER(Registro!$E705),"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",LEN(Registro!$E705))),({1,2,3,4,5,6,7,8,9,10,11,12,13,14,15,16,17,18,19,20,21,22,23,24,25,26,27,28,29,30}-1)*LEN(Registro!$E705)+1,LEN(Registro!$E705)))&amp;"x")-1)),--("0"&amp;MID(TRIM(MID(SUBSTITUTE(SUBSTITUTE(SUBSTITUTE(SUBSTITUTE(SUBSTITUTE(LOWER(Registro!$E705),"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",LEN(Registro!$E705))),({1,2,3,4,5,6,7,8,9,10,11,12,13,14,15,16,17,18,19,20,21,22,23,24,25,26,27,28,29,30}-1)*LEN(Registro!$E705)+1,LEN(Registro!$E705))),FIND("x",TRIM(MID(SUBSTITUTE(SUBSTITUTE(SUBSTITUTE(SUBSTITUTE(SUBSTITUTE(LOWER(Registro!$E705),"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",LEN(Registro!$E705))),({1,2,3,4,5,6,7,8,9,10,11,12,13,14,15,16,17,18,19,20,21,22,23,24,25,26,27,28,29,30}-1)*LEN(Registro!$E705)+1,LEN(Registro!$E705)))&amp;"x")+1,20))),"Revisar formato")))</f>
        <v/>
      </c>
      <c r="F705" s="23" t="str">
        <f>IF(Registro!$F705="","",IF(ISERROR(FIND("x",LOWER(Registro!$F705))),"-",IFERROR(SUMPRODUCT(--("0"&amp;LEFT(TRIM(MID(SUBSTITUTE(SUBSTITUTE(SUBSTITUTE(SUBSTITUTE(SUBSTITUTE(LOWER(Registro!$F705)," ",""),CHAR(10),"|"),";","|"),"+","|"),"|",REPT(" ",LEN(Registro!$F705))),({1,2,3,4,5,6,7,8,9,10,11,12,13,14,15,16,17,18,19,20,21,22,23,24,25,26,27,28,29,30}-1)*LEN(Registro!$F705)+1,LEN(Registro!$F705))),FIND("x",TRIM(MID(SUBSTITUTE(SUBSTITUTE(SUBSTITUTE(SUBSTITUTE(SUBSTITUTE(LOWER(Registro!$F705)," ",""),CHAR(10),"|"),";","|"),"+","|"),"|",REPT(" ",LEN(Registro!$F705))),({1,2,3,4,5,6,7,8,9,10,11,12,13,14,15,16,17,18,19,20,21,22,23,24,25,26,27,28,29,30}-1)*LEN(Registro!$F705)+1,LEN(Registro!$F705)))&amp;"x")-1))),"Revisar formato")))</f>
        <v/>
      </c>
      <c r="G705" s="24" t="str">
        <f>IF(Registro!$F705="","",IF(ISERROR(FIND("x",LOWER(Registro!$F705))),N(Registro!$G705),IFERROR(SUMPRODUCT(--("0"&amp;LEFT(TRIM(MID(SUBSTITUTE(SUBSTITUTE(SUBSTITUTE(SUBSTITUTE(SUBSTITUTE(LOWER(Registro!$F705)," ",""),CHAR(10),"|"),";","|"),"+","|"),"|",REPT(" ",LEN(Registro!$F705))),({1,2,3,4,5,6,7,8,9,10,11,12,13,14,15,16,17,18,19,20,21,22,23,24,25,26,27,28,29,30}-1)*LEN(Registro!$F705)+1,LEN(Registro!$F705))),FIND("x",TRIM(MID(SUBSTITUTE(SUBSTITUTE(SUBSTITUTE(SUBSTITUTE(SUBSTITUTE(LOWER(Registro!$F705)," ",""),CHAR(10),"|"),";","|"),"+","|"),"|",REPT(" ",LEN(Registro!$F705))),({1,2,3,4,5,6,7,8,9,10,11,12,13,14,15,16,17,18,19,20,21,22,23,24,25,26,27,28,29,30}-1)*LEN(Registro!$F705)+1,LEN(Registro!$F705)))&amp;"x")-1)),--("0"&amp;MID(TRIM(MID(SUBSTITUTE(SUBSTITUTE(SUBSTITUTE(SUBSTITUTE(SUBSTITUTE(LOWER(Registro!$F705)," ",""),CHAR(10),"|"),";","|"),"+","|"),"|",REPT(" ",LEN(Registro!$F705))),({1,2,3,4,5,6,7,8,9,10,11,12,13,14,15,16,17,18,19,20,21,22,23,24,25,26,27,28,29,30}-1)*LEN(Registro!$F705)+1,LEN(Registro!$F705))),FIND("x",TRIM(MID(SUBSTITUTE(SUBSTITUTE(SUBSTITUTE(SUBSTITUTE(SUBSTITUTE(LOWER(Registro!$F705)," ",""),CHAR(10),"|"),";","|"),"+","|"),"|",REPT(" ",LEN(Registro!$F705))),({1,2,3,4,5,6,7,8,9,10,11,12,13,14,15,16,17,18,19,20,21,22,23,24,25,26,27,28,29,30}-1)*LEN(Registro!$F705)+1,LEN(Registro!$F705)))&amp;"x")+1,20))),"Revisar formato")))</f>
        <v/>
      </c>
      <c r="H705" s="21" t="str">
        <f>IF(AND(Registro!$E705="",Registro!$F705=""),"",IF(NOT(AND(ISNUMBER(G705),ISNUMBER(Registro!$G705))),"",IF(G705&lt;Registro!$G705,"FALTA BOLETOS",IF(G705=Registro!$G705,"CONFORME","DIFERENCIA"))))</f>
        <v/>
      </c>
      <c r="I705" s="24" t="str">
        <f>IF(Registro!$H705="","",IFERROR(SUMPRODUCT(--("0"&amp;TRIM(RIGHT(SUBSTITUTE(TRIM(MID(SUBSTITUTE(SUBSTITUTE(Registro!$H705,";",CHAR(10)),CHAR(10),REPT(" ",LEN(Registro!$H705))),({1,2,3,4,5,6,7,8,9,10,11,12,13,14,15,16,17,18,19,20,21,22,23,24,25,26,27,28,29,30}-1)*LEN(Registro!$H705)+1,LEN(Registro!$H705)))," ",REPT(" ",50)),50)))),"Revisar formato"))</f>
        <v/>
      </c>
      <c r="J705" s="24" t="str">
        <f>IF(Registro!$I705="","",IFERROR(SUMPRODUCT(--("0"&amp;TRIM(RIGHT(SUBSTITUTE(TRIM(MID(SUBSTITUTE(SUBSTITUTE(Registro!$I705,";",CHAR(10)),CHAR(10),REPT(" ",LEN(Registro!$I705))),({1,2,3,4,5,6,7,8,9,10,11,12,13,14,15,16,17,18,19,20,21,22,23,24,25,26,27,28,29,30}-1)*LEN(Registro!$I705)+1,LEN(Registro!$I705)))," ",REPT(" ",50)),50)))),"Revisar formato"))</f>
        <v/>
      </c>
      <c r="K705" s="24" t="str">
        <f>IF(AND(Registro!$G705="",Registro!$H705=""),"",IF(AND(ISTEXT(I705),I705&lt;&gt;""),"Revisar formato",N(Registro!$G705)-N(I705)))</f>
        <v/>
      </c>
      <c r="L705" s="24" t="str">
        <f t="shared" si="21"/>
        <v/>
      </c>
      <c r="M705" s="36" t="str">
        <f>IF(AND(A705=Consulta!$B$3,C705=Consulta!$H$3),B705*10000+ROW(),"")</f>
        <v/>
      </c>
    </row>
    <row r="706" spans="1:13" x14ac:dyDescent="0.25">
      <c r="A706" s="21" t="str">
        <f>IF(Registro!$A706="","",Registro!$A706)</f>
        <v/>
      </c>
      <c r="B706" s="20" t="str">
        <f>IF(Registro!$B706="","",Registro!$B706)</f>
        <v/>
      </c>
      <c r="C706" s="35" t="str">
        <f t="shared" ref="C706:C769" si="22">IF(ISNUMBER(B706),YEAR(B706)*100+MONTH(B706),"")</f>
        <v/>
      </c>
      <c r="D706" s="23" t="str">
        <f>IF(Registro!$E706="","",IF(ISERROR(FIND("x",LOWER(Registro!$E706))),"-",IFERROR(SUMPRODUCT(--("0"&amp;LEFT(TRIM(MID(SUBSTITUTE(SUBSTITUTE(SUBSTITUTE(SUBSTITUTE(SUBSTITUTE(LOWER(Registro!$E706),"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",LEN(Registro!$E706))),({1,2,3,4,5,6,7,8,9,10,11,12,13,14,15,16,17,18,19,20,21,22,23,24,25,26,27,28,29,30}-1)*LEN(Registro!$E706)+1,LEN(Registro!$E706))),FIND("x",TRIM(MID(SUBSTITUTE(SUBSTITUTE(SUBSTITUTE(SUBSTITUTE(SUBSTITUTE(LOWER(Registro!$E706),"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",LEN(Registro!$E706))),({1,2,3,4,5,6,7,8,9,10,11,12,13,14,15,16,17,18,19,20,21,22,23,24,25,26,27,28,29,30}-1)*LEN(Registro!$E706)+1,LEN(Registro!$E706)))&amp;"x")-1))),"Revisar formato")))</f>
        <v/>
      </c>
      <c r="E706" s="24" t="str">
        <f>IF(Registro!$E706="","",IF(ISERROR(FIND("x",LOWER(Registro!$E706))),"-",IFERROR(SUMPRODUCT(--("0"&amp;LEFT(TRIM(MID(SUBSTITUTE(SUBSTITUTE(SUBSTITUTE(SUBSTITUTE(SUBSTITUTE(LOWER(Registro!$E706),"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",LEN(Registro!$E706))),({1,2,3,4,5,6,7,8,9,10,11,12,13,14,15,16,17,18,19,20,21,22,23,24,25,26,27,28,29,30}-1)*LEN(Registro!$E706)+1,LEN(Registro!$E706))),FIND("x",TRIM(MID(SUBSTITUTE(SUBSTITUTE(SUBSTITUTE(SUBSTITUTE(SUBSTITUTE(LOWER(Registro!$E706),"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",LEN(Registro!$E706))),({1,2,3,4,5,6,7,8,9,10,11,12,13,14,15,16,17,18,19,20,21,22,23,24,25,26,27,28,29,30}-1)*LEN(Registro!$E706)+1,LEN(Registro!$E706)))&amp;"x")-1)),--("0"&amp;MID(TRIM(MID(SUBSTITUTE(SUBSTITUTE(SUBSTITUTE(SUBSTITUTE(SUBSTITUTE(LOWER(Registro!$E706),"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",LEN(Registro!$E706))),({1,2,3,4,5,6,7,8,9,10,11,12,13,14,15,16,17,18,19,20,21,22,23,24,25,26,27,28,29,30}-1)*LEN(Registro!$E706)+1,LEN(Registro!$E706))),FIND("x",TRIM(MID(SUBSTITUTE(SUBSTITUTE(SUBSTITUTE(SUBSTITUTE(SUBSTITUTE(LOWER(Registro!$E706),"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",LEN(Registro!$E706))),({1,2,3,4,5,6,7,8,9,10,11,12,13,14,15,16,17,18,19,20,21,22,23,24,25,26,27,28,29,30}-1)*LEN(Registro!$E706)+1,LEN(Registro!$E706)))&amp;"x")+1,20))),"Revisar formato")))</f>
        <v/>
      </c>
      <c r="F706" s="23" t="str">
        <f>IF(Registro!$F706="","",IF(ISERROR(FIND("x",LOWER(Registro!$F706))),"-",IFERROR(SUMPRODUCT(--("0"&amp;LEFT(TRIM(MID(SUBSTITUTE(SUBSTITUTE(SUBSTITUTE(SUBSTITUTE(SUBSTITUTE(LOWER(Registro!$F706)," ",""),CHAR(10),"|"),";","|"),"+","|"),"|",REPT(" ",LEN(Registro!$F706))),({1,2,3,4,5,6,7,8,9,10,11,12,13,14,15,16,17,18,19,20,21,22,23,24,25,26,27,28,29,30}-1)*LEN(Registro!$F706)+1,LEN(Registro!$F706))),FIND("x",TRIM(MID(SUBSTITUTE(SUBSTITUTE(SUBSTITUTE(SUBSTITUTE(SUBSTITUTE(LOWER(Registro!$F706)," ",""),CHAR(10),"|"),";","|"),"+","|"),"|",REPT(" ",LEN(Registro!$F706))),({1,2,3,4,5,6,7,8,9,10,11,12,13,14,15,16,17,18,19,20,21,22,23,24,25,26,27,28,29,30}-1)*LEN(Registro!$F706)+1,LEN(Registro!$F706)))&amp;"x")-1))),"Revisar formato")))</f>
        <v/>
      </c>
      <c r="G706" s="24" t="str">
        <f>IF(Registro!$F706="","",IF(ISERROR(FIND("x",LOWER(Registro!$F706))),N(Registro!$G706),IFERROR(SUMPRODUCT(--("0"&amp;LEFT(TRIM(MID(SUBSTITUTE(SUBSTITUTE(SUBSTITUTE(SUBSTITUTE(SUBSTITUTE(LOWER(Registro!$F706)," ",""),CHAR(10),"|"),";","|"),"+","|"),"|",REPT(" ",LEN(Registro!$F706))),({1,2,3,4,5,6,7,8,9,10,11,12,13,14,15,16,17,18,19,20,21,22,23,24,25,26,27,28,29,30}-1)*LEN(Registro!$F706)+1,LEN(Registro!$F706))),FIND("x",TRIM(MID(SUBSTITUTE(SUBSTITUTE(SUBSTITUTE(SUBSTITUTE(SUBSTITUTE(LOWER(Registro!$F706)," ",""),CHAR(10),"|"),";","|"),"+","|"),"|",REPT(" ",LEN(Registro!$F706))),({1,2,3,4,5,6,7,8,9,10,11,12,13,14,15,16,17,18,19,20,21,22,23,24,25,26,27,28,29,30}-1)*LEN(Registro!$F706)+1,LEN(Registro!$F706)))&amp;"x")-1)),--("0"&amp;MID(TRIM(MID(SUBSTITUTE(SUBSTITUTE(SUBSTITUTE(SUBSTITUTE(SUBSTITUTE(LOWER(Registro!$F706)," ",""),CHAR(10),"|"),";","|"),"+","|"),"|",REPT(" ",LEN(Registro!$F706))),({1,2,3,4,5,6,7,8,9,10,11,12,13,14,15,16,17,18,19,20,21,22,23,24,25,26,27,28,29,30}-1)*LEN(Registro!$F706)+1,LEN(Registro!$F706))),FIND("x",TRIM(MID(SUBSTITUTE(SUBSTITUTE(SUBSTITUTE(SUBSTITUTE(SUBSTITUTE(LOWER(Registro!$F706)," ",""),CHAR(10),"|"),";","|"),"+","|"),"|",REPT(" ",LEN(Registro!$F706))),({1,2,3,4,5,6,7,8,9,10,11,12,13,14,15,16,17,18,19,20,21,22,23,24,25,26,27,28,29,30}-1)*LEN(Registro!$F706)+1,LEN(Registro!$F706)))&amp;"x")+1,20))),"Revisar formato")))</f>
        <v/>
      </c>
      <c r="H706" s="21" t="str">
        <f>IF(AND(Registro!$E706="",Registro!$F706=""),"",IF(NOT(AND(ISNUMBER(G706),ISNUMBER(Registro!$G706))),"",IF(G706&lt;Registro!$G706,"FALTA BOLETOS",IF(G706=Registro!$G706,"CONFORME","DIFERENCIA"))))</f>
        <v/>
      </c>
      <c r="I706" s="24" t="str">
        <f>IF(Registro!$H706="","",IFERROR(SUMPRODUCT(--("0"&amp;TRIM(RIGHT(SUBSTITUTE(TRIM(MID(SUBSTITUTE(SUBSTITUTE(Registro!$H706,";",CHAR(10)),CHAR(10),REPT(" ",LEN(Registro!$H706))),({1,2,3,4,5,6,7,8,9,10,11,12,13,14,15,16,17,18,19,20,21,22,23,24,25,26,27,28,29,30}-1)*LEN(Registro!$H706)+1,LEN(Registro!$H706)))," ",REPT(" ",50)),50)))),"Revisar formato"))</f>
        <v/>
      </c>
      <c r="J706" s="24" t="str">
        <f>IF(Registro!$I706="","",IFERROR(SUMPRODUCT(--("0"&amp;TRIM(RIGHT(SUBSTITUTE(TRIM(MID(SUBSTITUTE(SUBSTITUTE(Registro!$I706,";",CHAR(10)),CHAR(10),REPT(" ",LEN(Registro!$I706))),({1,2,3,4,5,6,7,8,9,10,11,12,13,14,15,16,17,18,19,20,21,22,23,24,25,26,27,28,29,30}-1)*LEN(Registro!$I706)+1,LEN(Registro!$I706)))," ",REPT(" ",50)),50)))),"Revisar formato"))</f>
        <v/>
      </c>
      <c r="K706" s="24" t="str">
        <f>IF(AND(Registro!$G706="",Registro!$H706=""),"",IF(AND(ISTEXT(I706),I706&lt;&gt;""),"Revisar formato",N(Registro!$G706)-N(I706)))</f>
        <v/>
      </c>
      <c r="L706" s="24" t="str">
        <f t="shared" ref="L706:L769" si="23">IF(K706="","",IF(OR(K706="Revisar formato",AND(ISTEXT(J706),J706&lt;&gt;"")),"Revisar formato",K706-N(J706)))</f>
        <v/>
      </c>
      <c r="M706" s="36" t="str">
        <f>IF(AND(A706=Consulta!$B$3,C706=Consulta!$H$3),B706*10000+ROW(),"")</f>
        <v/>
      </c>
    </row>
    <row r="707" spans="1:13" x14ac:dyDescent="0.25">
      <c r="A707" s="21" t="str">
        <f>IF(Registro!$A707="","",Registro!$A707)</f>
        <v/>
      </c>
      <c r="B707" s="20" t="str">
        <f>IF(Registro!$B707="","",Registro!$B707)</f>
        <v/>
      </c>
      <c r="C707" s="35" t="str">
        <f t="shared" si="22"/>
        <v/>
      </c>
      <c r="D707" s="23" t="str">
        <f>IF(Registro!$E707="","",IF(ISERROR(FIND("x",LOWER(Registro!$E707))),"-",IFERROR(SUMPRODUCT(--("0"&amp;LEFT(TRIM(MID(SUBSTITUTE(SUBSTITUTE(SUBSTITUTE(SUBSTITUTE(SUBSTITUTE(LOWER(Registro!$E707),"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",LEN(Registro!$E707))),({1,2,3,4,5,6,7,8,9,10,11,12,13,14,15,16,17,18,19,20,21,22,23,24,25,26,27,28,29,30}-1)*LEN(Registro!$E707)+1,LEN(Registro!$E707))),FIND("x",TRIM(MID(SUBSTITUTE(SUBSTITUTE(SUBSTITUTE(SUBSTITUTE(SUBSTITUTE(LOWER(Registro!$E707),"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",LEN(Registro!$E707))),({1,2,3,4,5,6,7,8,9,10,11,12,13,14,15,16,17,18,19,20,21,22,23,24,25,26,27,28,29,30}-1)*LEN(Registro!$E707)+1,LEN(Registro!$E707)))&amp;"x")-1))),"Revisar formato")))</f>
        <v/>
      </c>
      <c r="E707" s="24" t="str">
        <f>IF(Registro!$E707="","",IF(ISERROR(FIND("x",LOWER(Registro!$E707))),"-",IFERROR(SUMPRODUCT(--("0"&amp;LEFT(TRIM(MID(SUBSTITUTE(SUBSTITUTE(SUBSTITUTE(SUBSTITUTE(SUBSTITUTE(LOWER(Registro!$E707),"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",LEN(Registro!$E707))),({1,2,3,4,5,6,7,8,9,10,11,12,13,14,15,16,17,18,19,20,21,22,23,24,25,26,27,28,29,30}-1)*LEN(Registro!$E707)+1,LEN(Registro!$E707))),FIND("x",TRIM(MID(SUBSTITUTE(SUBSTITUTE(SUBSTITUTE(SUBSTITUTE(SUBSTITUTE(LOWER(Registro!$E707),"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",LEN(Registro!$E707))),({1,2,3,4,5,6,7,8,9,10,11,12,13,14,15,16,17,18,19,20,21,22,23,24,25,26,27,28,29,30}-1)*LEN(Registro!$E707)+1,LEN(Registro!$E707)))&amp;"x")-1)),--("0"&amp;MID(TRIM(MID(SUBSTITUTE(SUBSTITUTE(SUBSTITUTE(SUBSTITUTE(SUBSTITUTE(LOWER(Registro!$E707),"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",LEN(Registro!$E707))),({1,2,3,4,5,6,7,8,9,10,11,12,13,14,15,16,17,18,19,20,21,22,23,24,25,26,27,28,29,30}-1)*LEN(Registro!$E707)+1,LEN(Registro!$E707))),FIND("x",TRIM(MID(SUBSTITUTE(SUBSTITUTE(SUBSTITUTE(SUBSTITUTE(SUBSTITUTE(LOWER(Registro!$E707),"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",LEN(Registro!$E707))),({1,2,3,4,5,6,7,8,9,10,11,12,13,14,15,16,17,18,19,20,21,22,23,24,25,26,27,28,29,30}-1)*LEN(Registro!$E707)+1,LEN(Registro!$E707)))&amp;"x")+1,20))),"Revisar formato")))</f>
        <v/>
      </c>
      <c r="F707" s="23" t="str">
        <f>IF(Registro!$F707="","",IF(ISERROR(FIND("x",LOWER(Registro!$F707))),"-",IFERROR(SUMPRODUCT(--("0"&amp;LEFT(TRIM(MID(SUBSTITUTE(SUBSTITUTE(SUBSTITUTE(SUBSTITUTE(SUBSTITUTE(LOWER(Registro!$F707)," ",""),CHAR(10),"|"),";","|"),"+","|"),"|",REPT(" ",LEN(Registro!$F707))),({1,2,3,4,5,6,7,8,9,10,11,12,13,14,15,16,17,18,19,20,21,22,23,24,25,26,27,28,29,30}-1)*LEN(Registro!$F707)+1,LEN(Registro!$F707))),FIND("x",TRIM(MID(SUBSTITUTE(SUBSTITUTE(SUBSTITUTE(SUBSTITUTE(SUBSTITUTE(LOWER(Registro!$F707)," ",""),CHAR(10),"|"),";","|"),"+","|"),"|",REPT(" ",LEN(Registro!$F707))),({1,2,3,4,5,6,7,8,9,10,11,12,13,14,15,16,17,18,19,20,21,22,23,24,25,26,27,28,29,30}-1)*LEN(Registro!$F707)+1,LEN(Registro!$F707)))&amp;"x")-1))),"Revisar formato")))</f>
        <v/>
      </c>
      <c r="G707" s="24" t="str">
        <f>IF(Registro!$F707="","",IF(ISERROR(FIND("x",LOWER(Registro!$F707))),N(Registro!$G707),IFERROR(SUMPRODUCT(--("0"&amp;LEFT(TRIM(MID(SUBSTITUTE(SUBSTITUTE(SUBSTITUTE(SUBSTITUTE(SUBSTITUTE(LOWER(Registro!$F707)," ",""),CHAR(10),"|"),";","|"),"+","|"),"|",REPT(" ",LEN(Registro!$F707))),({1,2,3,4,5,6,7,8,9,10,11,12,13,14,15,16,17,18,19,20,21,22,23,24,25,26,27,28,29,30}-1)*LEN(Registro!$F707)+1,LEN(Registro!$F707))),FIND("x",TRIM(MID(SUBSTITUTE(SUBSTITUTE(SUBSTITUTE(SUBSTITUTE(SUBSTITUTE(LOWER(Registro!$F707)," ",""),CHAR(10),"|"),";","|"),"+","|"),"|",REPT(" ",LEN(Registro!$F707))),({1,2,3,4,5,6,7,8,9,10,11,12,13,14,15,16,17,18,19,20,21,22,23,24,25,26,27,28,29,30}-1)*LEN(Registro!$F707)+1,LEN(Registro!$F707)))&amp;"x")-1)),--("0"&amp;MID(TRIM(MID(SUBSTITUTE(SUBSTITUTE(SUBSTITUTE(SUBSTITUTE(SUBSTITUTE(LOWER(Registro!$F707)," ",""),CHAR(10),"|"),";","|"),"+","|"),"|",REPT(" ",LEN(Registro!$F707))),({1,2,3,4,5,6,7,8,9,10,11,12,13,14,15,16,17,18,19,20,21,22,23,24,25,26,27,28,29,30}-1)*LEN(Registro!$F707)+1,LEN(Registro!$F707))),FIND("x",TRIM(MID(SUBSTITUTE(SUBSTITUTE(SUBSTITUTE(SUBSTITUTE(SUBSTITUTE(LOWER(Registro!$F707)," ",""),CHAR(10),"|"),";","|"),"+","|"),"|",REPT(" ",LEN(Registro!$F707))),({1,2,3,4,5,6,7,8,9,10,11,12,13,14,15,16,17,18,19,20,21,22,23,24,25,26,27,28,29,30}-1)*LEN(Registro!$F707)+1,LEN(Registro!$F707)))&amp;"x")+1,20))),"Revisar formato")))</f>
        <v/>
      </c>
      <c r="H707" s="21" t="str">
        <f>IF(AND(Registro!$E707="",Registro!$F707=""),"",IF(NOT(AND(ISNUMBER(G707),ISNUMBER(Registro!$G707))),"",IF(G707&lt;Registro!$G707,"FALTA BOLETOS",IF(G707=Registro!$G707,"CONFORME","DIFERENCIA"))))</f>
        <v/>
      </c>
      <c r="I707" s="24" t="str">
        <f>IF(Registro!$H707="","",IFERROR(SUMPRODUCT(--("0"&amp;TRIM(RIGHT(SUBSTITUTE(TRIM(MID(SUBSTITUTE(SUBSTITUTE(Registro!$H707,";",CHAR(10)),CHAR(10),REPT(" ",LEN(Registro!$H707))),({1,2,3,4,5,6,7,8,9,10,11,12,13,14,15,16,17,18,19,20,21,22,23,24,25,26,27,28,29,30}-1)*LEN(Registro!$H707)+1,LEN(Registro!$H707)))," ",REPT(" ",50)),50)))),"Revisar formato"))</f>
        <v/>
      </c>
      <c r="J707" s="24" t="str">
        <f>IF(Registro!$I707="","",IFERROR(SUMPRODUCT(--("0"&amp;TRIM(RIGHT(SUBSTITUTE(TRIM(MID(SUBSTITUTE(SUBSTITUTE(Registro!$I707,";",CHAR(10)),CHAR(10),REPT(" ",LEN(Registro!$I707))),({1,2,3,4,5,6,7,8,9,10,11,12,13,14,15,16,17,18,19,20,21,22,23,24,25,26,27,28,29,30}-1)*LEN(Registro!$I707)+1,LEN(Registro!$I707)))," ",REPT(" ",50)),50)))),"Revisar formato"))</f>
        <v/>
      </c>
      <c r="K707" s="24" t="str">
        <f>IF(AND(Registro!$G707="",Registro!$H707=""),"",IF(AND(ISTEXT(I707),I707&lt;&gt;""),"Revisar formato",N(Registro!$G707)-N(I707)))</f>
        <v/>
      </c>
      <c r="L707" s="24" t="str">
        <f t="shared" si="23"/>
        <v/>
      </c>
      <c r="M707" s="36" t="str">
        <f>IF(AND(A707=Consulta!$B$3,C707=Consulta!$H$3),B707*10000+ROW(),"")</f>
        <v/>
      </c>
    </row>
    <row r="708" spans="1:13" x14ac:dyDescent="0.25">
      <c r="A708" s="21" t="str">
        <f>IF(Registro!$A708="","",Registro!$A708)</f>
        <v/>
      </c>
      <c r="B708" s="20" t="str">
        <f>IF(Registro!$B708="","",Registro!$B708)</f>
        <v/>
      </c>
      <c r="C708" s="35" t="str">
        <f t="shared" si="22"/>
        <v/>
      </c>
      <c r="D708" s="23" t="str">
        <f>IF(Registro!$E708="","",IF(ISERROR(FIND("x",LOWER(Registro!$E708))),"-",IFERROR(SUMPRODUCT(--("0"&amp;LEFT(TRIM(MID(SUBSTITUTE(SUBSTITUTE(SUBSTITUTE(SUBSTITUTE(SUBSTITUTE(LOWER(Registro!$E708),"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",LEN(Registro!$E708))),({1,2,3,4,5,6,7,8,9,10,11,12,13,14,15,16,17,18,19,20,21,22,23,24,25,26,27,28,29,30}-1)*LEN(Registro!$E708)+1,LEN(Registro!$E708))),FIND("x",TRIM(MID(SUBSTITUTE(SUBSTITUTE(SUBSTITUTE(SUBSTITUTE(SUBSTITUTE(LOWER(Registro!$E708),"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",LEN(Registro!$E708))),({1,2,3,4,5,6,7,8,9,10,11,12,13,14,15,16,17,18,19,20,21,22,23,24,25,26,27,28,29,30}-1)*LEN(Registro!$E708)+1,LEN(Registro!$E708)))&amp;"x")-1))),"Revisar formato")))</f>
        <v/>
      </c>
      <c r="E708" s="24" t="str">
        <f>IF(Registro!$E708="","",IF(ISERROR(FIND("x",LOWER(Registro!$E708))),"-",IFERROR(SUMPRODUCT(--("0"&amp;LEFT(TRIM(MID(SUBSTITUTE(SUBSTITUTE(SUBSTITUTE(SUBSTITUTE(SUBSTITUTE(LOWER(Registro!$E708),"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",LEN(Registro!$E708))),({1,2,3,4,5,6,7,8,9,10,11,12,13,14,15,16,17,18,19,20,21,22,23,24,25,26,27,28,29,30}-1)*LEN(Registro!$E708)+1,LEN(Registro!$E708))),FIND("x",TRIM(MID(SUBSTITUTE(SUBSTITUTE(SUBSTITUTE(SUBSTITUTE(SUBSTITUTE(LOWER(Registro!$E708),"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",LEN(Registro!$E708))),({1,2,3,4,5,6,7,8,9,10,11,12,13,14,15,16,17,18,19,20,21,22,23,24,25,26,27,28,29,30}-1)*LEN(Registro!$E708)+1,LEN(Registro!$E708)))&amp;"x")-1)),--("0"&amp;MID(TRIM(MID(SUBSTITUTE(SUBSTITUTE(SUBSTITUTE(SUBSTITUTE(SUBSTITUTE(LOWER(Registro!$E708),"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",LEN(Registro!$E708))),({1,2,3,4,5,6,7,8,9,10,11,12,13,14,15,16,17,18,19,20,21,22,23,24,25,26,27,28,29,30}-1)*LEN(Registro!$E708)+1,LEN(Registro!$E708))),FIND("x",TRIM(MID(SUBSTITUTE(SUBSTITUTE(SUBSTITUTE(SUBSTITUTE(SUBSTITUTE(LOWER(Registro!$E708),"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",LEN(Registro!$E708))),({1,2,3,4,5,6,7,8,9,10,11,12,13,14,15,16,17,18,19,20,21,22,23,24,25,26,27,28,29,30}-1)*LEN(Registro!$E708)+1,LEN(Registro!$E708)))&amp;"x")+1,20))),"Revisar formato")))</f>
        <v/>
      </c>
      <c r="F708" s="23" t="str">
        <f>IF(Registro!$F708="","",IF(ISERROR(FIND("x",LOWER(Registro!$F708))),"-",IFERROR(SUMPRODUCT(--("0"&amp;LEFT(TRIM(MID(SUBSTITUTE(SUBSTITUTE(SUBSTITUTE(SUBSTITUTE(SUBSTITUTE(LOWER(Registro!$F708)," ",""),CHAR(10),"|"),";","|"),"+","|"),"|",REPT(" ",LEN(Registro!$F708))),({1,2,3,4,5,6,7,8,9,10,11,12,13,14,15,16,17,18,19,20,21,22,23,24,25,26,27,28,29,30}-1)*LEN(Registro!$F708)+1,LEN(Registro!$F708))),FIND("x",TRIM(MID(SUBSTITUTE(SUBSTITUTE(SUBSTITUTE(SUBSTITUTE(SUBSTITUTE(LOWER(Registro!$F708)," ",""),CHAR(10),"|"),";","|"),"+","|"),"|",REPT(" ",LEN(Registro!$F708))),({1,2,3,4,5,6,7,8,9,10,11,12,13,14,15,16,17,18,19,20,21,22,23,24,25,26,27,28,29,30}-1)*LEN(Registro!$F708)+1,LEN(Registro!$F708)))&amp;"x")-1))),"Revisar formato")))</f>
        <v/>
      </c>
      <c r="G708" s="24" t="str">
        <f>IF(Registro!$F708="","",IF(ISERROR(FIND("x",LOWER(Registro!$F708))),N(Registro!$G708),IFERROR(SUMPRODUCT(--("0"&amp;LEFT(TRIM(MID(SUBSTITUTE(SUBSTITUTE(SUBSTITUTE(SUBSTITUTE(SUBSTITUTE(LOWER(Registro!$F708)," ",""),CHAR(10),"|"),";","|"),"+","|"),"|",REPT(" ",LEN(Registro!$F708))),({1,2,3,4,5,6,7,8,9,10,11,12,13,14,15,16,17,18,19,20,21,22,23,24,25,26,27,28,29,30}-1)*LEN(Registro!$F708)+1,LEN(Registro!$F708))),FIND("x",TRIM(MID(SUBSTITUTE(SUBSTITUTE(SUBSTITUTE(SUBSTITUTE(SUBSTITUTE(LOWER(Registro!$F708)," ",""),CHAR(10),"|"),";","|"),"+","|"),"|",REPT(" ",LEN(Registro!$F708))),({1,2,3,4,5,6,7,8,9,10,11,12,13,14,15,16,17,18,19,20,21,22,23,24,25,26,27,28,29,30}-1)*LEN(Registro!$F708)+1,LEN(Registro!$F708)))&amp;"x")-1)),--("0"&amp;MID(TRIM(MID(SUBSTITUTE(SUBSTITUTE(SUBSTITUTE(SUBSTITUTE(SUBSTITUTE(LOWER(Registro!$F708)," ",""),CHAR(10),"|"),";","|"),"+","|"),"|",REPT(" ",LEN(Registro!$F708))),({1,2,3,4,5,6,7,8,9,10,11,12,13,14,15,16,17,18,19,20,21,22,23,24,25,26,27,28,29,30}-1)*LEN(Registro!$F708)+1,LEN(Registro!$F708))),FIND("x",TRIM(MID(SUBSTITUTE(SUBSTITUTE(SUBSTITUTE(SUBSTITUTE(SUBSTITUTE(LOWER(Registro!$F708)," ",""),CHAR(10),"|"),";","|"),"+","|"),"|",REPT(" ",LEN(Registro!$F708))),({1,2,3,4,5,6,7,8,9,10,11,12,13,14,15,16,17,18,19,20,21,22,23,24,25,26,27,28,29,30}-1)*LEN(Registro!$F708)+1,LEN(Registro!$F708)))&amp;"x")+1,20))),"Revisar formato")))</f>
        <v/>
      </c>
      <c r="H708" s="21" t="str">
        <f>IF(AND(Registro!$E708="",Registro!$F708=""),"",IF(NOT(AND(ISNUMBER(G708),ISNUMBER(Registro!$G708))),"",IF(G708&lt;Registro!$G708,"FALTA BOLETOS",IF(G708=Registro!$G708,"CONFORME","DIFERENCIA"))))</f>
        <v/>
      </c>
      <c r="I708" s="24" t="str">
        <f>IF(Registro!$H708="","",IFERROR(SUMPRODUCT(--("0"&amp;TRIM(RIGHT(SUBSTITUTE(TRIM(MID(SUBSTITUTE(SUBSTITUTE(Registro!$H708,";",CHAR(10)),CHAR(10),REPT(" ",LEN(Registro!$H708))),({1,2,3,4,5,6,7,8,9,10,11,12,13,14,15,16,17,18,19,20,21,22,23,24,25,26,27,28,29,30}-1)*LEN(Registro!$H708)+1,LEN(Registro!$H708)))," ",REPT(" ",50)),50)))),"Revisar formato"))</f>
        <v/>
      </c>
      <c r="J708" s="24" t="str">
        <f>IF(Registro!$I708="","",IFERROR(SUMPRODUCT(--("0"&amp;TRIM(RIGHT(SUBSTITUTE(TRIM(MID(SUBSTITUTE(SUBSTITUTE(Registro!$I708,";",CHAR(10)),CHAR(10),REPT(" ",LEN(Registro!$I708))),({1,2,3,4,5,6,7,8,9,10,11,12,13,14,15,16,17,18,19,20,21,22,23,24,25,26,27,28,29,30}-1)*LEN(Registro!$I708)+1,LEN(Registro!$I708)))," ",REPT(" ",50)),50)))),"Revisar formato"))</f>
        <v/>
      </c>
      <c r="K708" s="24" t="str">
        <f>IF(AND(Registro!$G708="",Registro!$H708=""),"",IF(AND(ISTEXT(I708),I708&lt;&gt;""),"Revisar formato",N(Registro!$G708)-N(I708)))</f>
        <v/>
      </c>
      <c r="L708" s="24" t="str">
        <f t="shared" si="23"/>
        <v/>
      </c>
      <c r="M708" s="36" t="str">
        <f>IF(AND(A708=Consulta!$B$3,C708=Consulta!$H$3),B708*10000+ROW(),"")</f>
        <v/>
      </c>
    </row>
    <row r="709" spans="1:13" x14ac:dyDescent="0.25">
      <c r="A709" s="21" t="str">
        <f>IF(Registro!$A709="","",Registro!$A709)</f>
        <v/>
      </c>
      <c r="B709" s="20" t="str">
        <f>IF(Registro!$B709="","",Registro!$B709)</f>
        <v/>
      </c>
      <c r="C709" s="35" t="str">
        <f t="shared" si="22"/>
        <v/>
      </c>
      <c r="D709" s="23" t="str">
        <f>IF(Registro!$E709="","",IF(ISERROR(FIND("x",LOWER(Registro!$E709))),"-",IFERROR(SUMPRODUCT(--("0"&amp;LEFT(TRIM(MID(SUBSTITUTE(SUBSTITUTE(SUBSTITUTE(SUBSTITUTE(SUBSTITUTE(LOWER(Registro!$E709),"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",LEN(Registro!$E709))),({1,2,3,4,5,6,7,8,9,10,11,12,13,14,15,16,17,18,19,20,21,22,23,24,25,26,27,28,29,30}-1)*LEN(Registro!$E709)+1,LEN(Registro!$E709))),FIND("x",TRIM(MID(SUBSTITUTE(SUBSTITUTE(SUBSTITUTE(SUBSTITUTE(SUBSTITUTE(LOWER(Registro!$E709),"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",LEN(Registro!$E709))),({1,2,3,4,5,6,7,8,9,10,11,12,13,14,15,16,17,18,19,20,21,22,23,24,25,26,27,28,29,30}-1)*LEN(Registro!$E709)+1,LEN(Registro!$E709)))&amp;"x")-1))),"Revisar formato")))</f>
        <v/>
      </c>
      <c r="E709" s="24" t="str">
        <f>IF(Registro!$E709="","",IF(ISERROR(FIND("x",LOWER(Registro!$E709))),"-",IFERROR(SUMPRODUCT(--("0"&amp;LEFT(TRIM(MID(SUBSTITUTE(SUBSTITUTE(SUBSTITUTE(SUBSTITUTE(SUBSTITUTE(LOWER(Registro!$E709),"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",LEN(Registro!$E709))),({1,2,3,4,5,6,7,8,9,10,11,12,13,14,15,16,17,18,19,20,21,22,23,24,25,26,27,28,29,30}-1)*LEN(Registro!$E709)+1,LEN(Registro!$E709))),FIND("x",TRIM(MID(SUBSTITUTE(SUBSTITUTE(SUBSTITUTE(SUBSTITUTE(SUBSTITUTE(LOWER(Registro!$E709),"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",LEN(Registro!$E709))),({1,2,3,4,5,6,7,8,9,10,11,12,13,14,15,16,17,18,19,20,21,22,23,24,25,26,27,28,29,30}-1)*LEN(Registro!$E709)+1,LEN(Registro!$E709)))&amp;"x")-1)),--("0"&amp;MID(TRIM(MID(SUBSTITUTE(SUBSTITUTE(SUBSTITUTE(SUBSTITUTE(SUBSTITUTE(LOWER(Registro!$E709),"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",LEN(Registro!$E709))),({1,2,3,4,5,6,7,8,9,10,11,12,13,14,15,16,17,18,19,20,21,22,23,24,25,26,27,28,29,30}-1)*LEN(Registro!$E709)+1,LEN(Registro!$E709))),FIND("x",TRIM(MID(SUBSTITUTE(SUBSTITUTE(SUBSTITUTE(SUBSTITUTE(SUBSTITUTE(LOWER(Registro!$E709),"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",LEN(Registro!$E709))),({1,2,3,4,5,6,7,8,9,10,11,12,13,14,15,16,17,18,19,20,21,22,23,24,25,26,27,28,29,30}-1)*LEN(Registro!$E709)+1,LEN(Registro!$E709)))&amp;"x")+1,20))),"Revisar formato")))</f>
        <v/>
      </c>
      <c r="F709" s="23" t="str">
        <f>IF(Registro!$F709="","",IF(ISERROR(FIND("x",LOWER(Registro!$F709))),"-",IFERROR(SUMPRODUCT(--("0"&amp;LEFT(TRIM(MID(SUBSTITUTE(SUBSTITUTE(SUBSTITUTE(SUBSTITUTE(SUBSTITUTE(LOWER(Registro!$F709)," ",""),CHAR(10),"|"),";","|"),"+","|"),"|",REPT(" ",LEN(Registro!$F709))),({1,2,3,4,5,6,7,8,9,10,11,12,13,14,15,16,17,18,19,20,21,22,23,24,25,26,27,28,29,30}-1)*LEN(Registro!$F709)+1,LEN(Registro!$F709))),FIND("x",TRIM(MID(SUBSTITUTE(SUBSTITUTE(SUBSTITUTE(SUBSTITUTE(SUBSTITUTE(LOWER(Registro!$F709)," ",""),CHAR(10),"|"),";","|"),"+","|"),"|",REPT(" ",LEN(Registro!$F709))),({1,2,3,4,5,6,7,8,9,10,11,12,13,14,15,16,17,18,19,20,21,22,23,24,25,26,27,28,29,30}-1)*LEN(Registro!$F709)+1,LEN(Registro!$F709)))&amp;"x")-1))),"Revisar formato")))</f>
        <v/>
      </c>
      <c r="G709" s="24" t="str">
        <f>IF(Registro!$F709="","",IF(ISERROR(FIND("x",LOWER(Registro!$F709))),N(Registro!$G709),IFERROR(SUMPRODUCT(--("0"&amp;LEFT(TRIM(MID(SUBSTITUTE(SUBSTITUTE(SUBSTITUTE(SUBSTITUTE(SUBSTITUTE(LOWER(Registro!$F709)," ",""),CHAR(10),"|"),";","|"),"+","|"),"|",REPT(" ",LEN(Registro!$F709))),({1,2,3,4,5,6,7,8,9,10,11,12,13,14,15,16,17,18,19,20,21,22,23,24,25,26,27,28,29,30}-1)*LEN(Registro!$F709)+1,LEN(Registro!$F709))),FIND("x",TRIM(MID(SUBSTITUTE(SUBSTITUTE(SUBSTITUTE(SUBSTITUTE(SUBSTITUTE(LOWER(Registro!$F709)," ",""),CHAR(10),"|"),";","|"),"+","|"),"|",REPT(" ",LEN(Registro!$F709))),({1,2,3,4,5,6,7,8,9,10,11,12,13,14,15,16,17,18,19,20,21,22,23,24,25,26,27,28,29,30}-1)*LEN(Registro!$F709)+1,LEN(Registro!$F709)))&amp;"x")-1)),--("0"&amp;MID(TRIM(MID(SUBSTITUTE(SUBSTITUTE(SUBSTITUTE(SUBSTITUTE(SUBSTITUTE(LOWER(Registro!$F709)," ",""),CHAR(10),"|"),";","|"),"+","|"),"|",REPT(" ",LEN(Registro!$F709))),({1,2,3,4,5,6,7,8,9,10,11,12,13,14,15,16,17,18,19,20,21,22,23,24,25,26,27,28,29,30}-1)*LEN(Registro!$F709)+1,LEN(Registro!$F709))),FIND("x",TRIM(MID(SUBSTITUTE(SUBSTITUTE(SUBSTITUTE(SUBSTITUTE(SUBSTITUTE(LOWER(Registro!$F709)," ",""),CHAR(10),"|"),";","|"),"+","|"),"|",REPT(" ",LEN(Registro!$F709))),({1,2,3,4,5,6,7,8,9,10,11,12,13,14,15,16,17,18,19,20,21,22,23,24,25,26,27,28,29,30}-1)*LEN(Registro!$F709)+1,LEN(Registro!$F709)))&amp;"x")+1,20))),"Revisar formato")))</f>
        <v/>
      </c>
      <c r="H709" s="21" t="str">
        <f>IF(AND(Registro!$E709="",Registro!$F709=""),"",IF(NOT(AND(ISNUMBER(G709),ISNUMBER(Registro!$G709))),"",IF(G709&lt;Registro!$G709,"FALTA BOLETOS",IF(G709=Registro!$G709,"CONFORME","DIFERENCIA"))))</f>
        <v/>
      </c>
      <c r="I709" s="24" t="str">
        <f>IF(Registro!$H709="","",IFERROR(SUMPRODUCT(--("0"&amp;TRIM(RIGHT(SUBSTITUTE(TRIM(MID(SUBSTITUTE(SUBSTITUTE(Registro!$H709,";",CHAR(10)),CHAR(10),REPT(" ",LEN(Registro!$H709))),({1,2,3,4,5,6,7,8,9,10,11,12,13,14,15,16,17,18,19,20,21,22,23,24,25,26,27,28,29,30}-1)*LEN(Registro!$H709)+1,LEN(Registro!$H709)))," ",REPT(" ",50)),50)))),"Revisar formato"))</f>
        <v/>
      </c>
      <c r="J709" s="24" t="str">
        <f>IF(Registro!$I709="","",IFERROR(SUMPRODUCT(--("0"&amp;TRIM(RIGHT(SUBSTITUTE(TRIM(MID(SUBSTITUTE(SUBSTITUTE(Registro!$I709,";",CHAR(10)),CHAR(10),REPT(" ",LEN(Registro!$I709))),({1,2,3,4,5,6,7,8,9,10,11,12,13,14,15,16,17,18,19,20,21,22,23,24,25,26,27,28,29,30}-1)*LEN(Registro!$I709)+1,LEN(Registro!$I709)))," ",REPT(" ",50)),50)))),"Revisar formato"))</f>
        <v/>
      </c>
      <c r="K709" s="24" t="str">
        <f>IF(AND(Registro!$G709="",Registro!$H709=""),"",IF(AND(ISTEXT(I709),I709&lt;&gt;""),"Revisar formato",N(Registro!$G709)-N(I709)))</f>
        <v/>
      </c>
      <c r="L709" s="24" t="str">
        <f t="shared" si="23"/>
        <v/>
      </c>
      <c r="M709" s="36" t="str">
        <f>IF(AND(A709=Consulta!$B$3,C709=Consulta!$H$3),B709*10000+ROW(),"")</f>
        <v/>
      </c>
    </row>
    <row r="710" spans="1:13" x14ac:dyDescent="0.25">
      <c r="A710" s="21" t="str">
        <f>IF(Registro!$A710="","",Registro!$A710)</f>
        <v/>
      </c>
      <c r="B710" s="20" t="str">
        <f>IF(Registro!$B710="","",Registro!$B710)</f>
        <v/>
      </c>
      <c r="C710" s="35" t="str">
        <f t="shared" si="22"/>
        <v/>
      </c>
      <c r="D710" s="23" t="str">
        <f>IF(Registro!$E710="","",IF(ISERROR(FIND("x",LOWER(Registro!$E710))),"-",IFERROR(SUMPRODUCT(--("0"&amp;LEFT(TRIM(MID(SUBSTITUTE(SUBSTITUTE(SUBSTITUTE(SUBSTITUTE(SUBSTITUTE(LOWER(Registro!$E710),"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",LEN(Registro!$E710))),({1,2,3,4,5,6,7,8,9,10,11,12,13,14,15,16,17,18,19,20,21,22,23,24,25,26,27,28,29,30}-1)*LEN(Registro!$E710)+1,LEN(Registro!$E710))),FIND("x",TRIM(MID(SUBSTITUTE(SUBSTITUTE(SUBSTITUTE(SUBSTITUTE(SUBSTITUTE(LOWER(Registro!$E710),"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",LEN(Registro!$E710))),({1,2,3,4,5,6,7,8,9,10,11,12,13,14,15,16,17,18,19,20,21,22,23,24,25,26,27,28,29,30}-1)*LEN(Registro!$E710)+1,LEN(Registro!$E710)))&amp;"x")-1))),"Revisar formato")))</f>
        <v/>
      </c>
      <c r="E710" s="24" t="str">
        <f>IF(Registro!$E710="","",IF(ISERROR(FIND("x",LOWER(Registro!$E710))),"-",IFERROR(SUMPRODUCT(--("0"&amp;LEFT(TRIM(MID(SUBSTITUTE(SUBSTITUTE(SUBSTITUTE(SUBSTITUTE(SUBSTITUTE(LOWER(Registro!$E710),"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",LEN(Registro!$E710))),({1,2,3,4,5,6,7,8,9,10,11,12,13,14,15,16,17,18,19,20,21,22,23,24,25,26,27,28,29,30}-1)*LEN(Registro!$E710)+1,LEN(Registro!$E710))),FIND("x",TRIM(MID(SUBSTITUTE(SUBSTITUTE(SUBSTITUTE(SUBSTITUTE(SUBSTITUTE(LOWER(Registro!$E710),"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",LEN(Registro!$E710))),({1,2,3,4,5,6,7,8,9,10,11,12,13,14,15,16,17,18,19,20,21,22,23,24,25,26,27,28,29,30}-1)*LEN(Registro!$E710)+1,LEN(Registro!$E710)))&amp;"x")-1)),--("0"&amp;MID(TRIM(MID(SUBSTITUTE(SUBSTITUTE(SUBSTITUTE(SUBSTITUTE(SUBSTITUTE(LOWER(Registro!$E710),"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",LEN(Registro!$E710))),({1,2,3,4,5,6,7,8,9,10,11,12,13,14,15,16,17,18,19,20,21,22,23,24,25,26,27,28,29,30}-1)*LEN(Registro!$E710)+1,LEN(Registro!$E710))),FIND("x",TRIM(MID(SUBSTITUTE(SUBSTITUTE(SUBSTITUTE(SUBSTITUTE(SUBSTITUTE(LOWER(Registro!$E710),"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",LEN(Registro!$E710))),({1,2,3,4,5,6,7,8,9,10,11,12,13,14,15,16,17,18,19,20,21,22,23,24,25,26,27,28,29,30}-1)*LEN(Registro!$E710)+1,LEN(Registro!$E710)))&amp;"x")+1,20))),"Revisar formato")))</f>
        <v/>
      </c>
      <c r="F710" s="23" t="str">
        <f>IF(Registro!$F710="","",IF(ISERROR(FIND("x",LOWER(Registro!$F710))),"-",IFERROR(SUMPRODUCT(--("0"&amp;LEFT(TRIM(MID(SUBSTITUTE(SUBSTITUTE(SUBSTITUTE(SUBSTITUTE(SUBSTITUTE(LOWER(Registro!$F710)," ",""),CHAR(10),"|"),";","|"),"+","|"),"|",REPT(" ",LEN(Registro!$F710))),({1,2,3,4,5,6,7,8,9,10,11,12,13,14,15,16,17,18,19,20,21,22,23,24,25,26,27,28,29,30}-1)*LEN(Registro!$F710)+1,LEN(Registro!$F710))),FIND("x",TRIM(MID(SUBSTITUTE(SUBSTITUTE(SUBSTITUTE(SUBSTITUTE(SUBSTITUTE(LOWER(Registro!$F710)," ",""),CHAR(10),"|"),";","|"),"+","|"),"|",REPT(" ",LEN(Registro!$F710))),({1,2,3,4,5,6,7,8,9,10,11,12,13,14,15,16,17,18,19,20,21,22,23,24,25,26,27,28,29,30}-1)*LEN(Registro!$F710)+1,LEN(Registro!$F710)))&amp;"x")-1))),"Revisar formato")))</f>
        <v/>
      </c>
      <c r="G710" s="24" t="str">
        <f>IF(Registro!$F710="","",IF(ISERROR(FIND("x",LOWER(Registro!$F710))),N(Registro!$G710),IFERROR(SUMPRODUCT(--("0"&amp;LEFT(TRIM(MID(SUBSTITUTE(SUBSTITUTE(SUBSTITUTE(SUBSTITUTE(SUBSTITUTE(LOWER(Registro!$F710)," ",""),CHAR(10),"|"),";","|"),"+","|"),"|",REPT(" ",LEN(Registro!$F710))),({1,2,3,4,5,6,7,8,9,10,11,12,13,14,15,16,17,18,19,20,21,22,23,24,25,26,27,28,29,30}-1)*LEN(Registro!$F710)+1,LEN(Registro!$F710))),FIND("x",TRIM(MID(SUBSTITUTE(SUBSTITUTE(SUBSTITUTE(SUBSTITUTE(SUBSTITUTE(LOWER(Registro!$F710)," ",""),CHAR(10),"|"),";","|"),"+","|"),"|",REPT(" ",LEN(Registro!$F710))),({1,2,3,4,5,6,7,8,9,10,11,12,13,14,15,16,17,18,19,20,21,22,23,24,25,26,27,28,29,30}-1)*LEN(Registro!$F710)+1,LEN(Registro!$F710)))&amp;"x")-1)),--("0"&amp;MID(TRIM(MID(SUBSTITUTE(SUBSTITUTE(SUBSTITUTE(SUBSTITUTE(SUBSTITUTE(LOWER(Registro!$F710)," ",""),CHAR(10),"|"),";","|"),"+","|"),"|",REPT(" ",LEN(Registro!$F710))),({1,2,3,4,5,6,7,8,9,10,11,12,13,14,15,16,17,18,19,20,21,22,23,24,25,26,27,28,29,30}-1)*LEN(Registro!$F710)+1,LEN(Registro!$F710))),FIND("x",TRIM(MID(SUBSTITUTE(SUBSTITUTE(SUBSTITUTE(SUBSTITUTE(SUBSTITUTE(LOWER(Registro!$F710)," ",""),CHAR(10),"|"),";","|"),"+","|"),"|",REPT(" ",LEN(Registro!$F710))),({1,2,3,4,5,6,7,8,9,10,11,12,13,14,15,16,17,18,19,20,21,22,23,24,25,26,27,28,29,30}-1)*LEN(Registro!$F710)+1,LEN(Registro!$F710)))&amp;"x")+1,20))),"Revisar formato")))</f>
        <v/>
      </c>
      <c r="H710" s="21" t="str">
        <f>IF(AND(Registro!$E710="",Registro!$F710=""),"",IF(NOT(AND(ISNUMBER(G710),ISNUMBER(Registro!$G710))),"",IF(G710&lt;Registro!$G710,"FALTA BOLETOS",IF(G710=Registro!$G710,"CONFORME","DIFERENCIA"))))</f>
        <v/>
      </c>
      <c r="I710" s="24" t="str">
        <f>IF(Registro!$H710="","",IFERROR(SUMPRODUCT(--("0"&amp;TRIM(RIGHT(SUBSTITUTE(TRIM(MID(SUBSTITUTE(SUBSTITUTE(Registro!$H710,";",CHAR(10)),CHAR(10),REPT(" ",LEN(Registro!$H710))),({1,2,3,4,5,6,7,8,9,10,11,12,13,14,15,16,17,18,19,20,21,22,23,24,25,26,27,28,29,30}-1)*LEN(Registro!$H710)+1,LEN(Registro!$H710)))," ",REPT(" ",50)),50)))),"Revisar formato"))</f>
        <v/>
      </c>
      <c r="J710" s="24" t="str">
        <f>IF(Registro!$I710="","",IFERROR(SUMPRODUCT(--("0"&amp;TRIM(RIGHT(SUBSTITUTE(TRIM(MID(SUBSTITUTE(SUBSTITUTE(Registro!$I710,";",CHAR(10)),CHAR(10),REPT(" ",LEN(Registro!$I710))),({1,2,3,4,5,6,7,8,9,10,11,12,13,14,15,16,17,18,19,20,21,22,23,24,25,26,27,28,29,30}-1)*LEN(Registro!$I710)+1,LEN(Registro!$I710)))," ",REPT(" ",50)),50)))),"Revisar formato"))</f>
        <v/>
      </c>
      <c r="K710" s="24" t="str">
        <f>IF(AND(Registro!$G710="",Registro!$H710=""),"",IF(AND(ISTEXT(I710),I710&lt;&gt;""),"Revisar formato",N(Registro!$G710)-N(I710)))</f>
        <v/>
      </c>
      <c r="L710" s="24" t="str">
        <f t="shared" si="23"/>
        <v/>
      </c>
      <c r="M710" s="36" t="str">
        <f>IF(AND(A710=Consulta!$B$3,C710=Consulta!$H$3),B710*10000+ROW(),"")</f>
        <v/>
      </c>
    </row>
    <row r="711" spans="1:13" x14ac:dyDescent="0.25">
      <c r="A711" s="21" t="str">
        <f>IF(Registro!$A711="","",Registro!$A711)</f>
        <v/>
      </c>
      <c r="B711" s="20" t="str">
        <f>IF(Registro!$B711="","",Registro!$B711)</f>
        <v/>
      </c>
      <c r="C711" s="35" t="str">
        <f t="shared" si="22"/>
        <v/>
      </c>
      <c r="D711" s="23" t="str">
        <f>IF(Registro!$E711="","",IF(ISERROR(FIND("x",LOWER(Registro!$E711))),"-",IFERROR(SUMPRODUCT(--("0"&amp;LEFT(TRIM(MID(SUBSTITUTE(SUBSTITUTE(SUBSTITUTE(SUBSTITUTE(SUBSTITUTE(LOWER(Registro!$E711),"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",LEN(Registro!$E711))),({1,2,3,4,5,6,7,8,9,10,11,12,13,14,15,16,17,18,19,20,21,22,23,24,25,26,27,28,29,30}-1)*LEN(Registro!$E711)+1,LEN(Registro!$E711))),FIND("x",TRIM(MID(SUBSTITUTE(SUBSTITUTE(SUBSTITUTE(SUBSTITUTE(SUBSTITUTE(LOWER(Registro!$E711),"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",LEN(Registro!$E711))),({1,2,3,4,5,6,7,8,9,10,11,12,13,14,15,16,17,18,19,20,21,22,23,24,25,26,27,28,29,30}-1)*LEN(Registro!$E711)+1,LEN(Registro!$E711)))&amp;"x")-1))),"Revisar formato")))</f>
        <v/>
      </c>
      <c r="E711" s="24" t="str">
        <f>IF(Registro!$E711="","",IF(ISERROR(FIND("x",LOWER(Registro!$E711))),"-",IFERROR(SUMPRODUCT(--("0"&amp;LEFT(TRIM(MID(SUBSTITUTE(SUBSTITUTE(SUBSTITUTE(SUBSTITUTE(SUBSTITUTE(LOWER(Registro!$E711),"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",LEN(Registro!$E711))),({1,2,3,4,5,6,7,8,9,10,11,12,13,14,15,16,17,18,19,20,21,22,23,24,25,26,27,28,29,30}-1)*LEN(Registro!$E711)+1,LEN(Registro!$E711))),FIND("x",TRIM(MID(SUBSTITUTE(SUBSTITUTE(SUBSTITUTE(SUBSTITUTE(SUBSTITUTE(LOWER(Registro!$E711),"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",LEN(Registro!$E711))),({1,2,3,4,5,6,7,8,9,10,11,12,13,14,15,16,17,18,19,20,21,22,23,24,25,26,27,28,29,30}-1)*LEN(Registro!$E711)+1,LEN(Registro!$E711)))&amp;"x")-1)),--("0"&amp;MID(TRIM(MID(SUBSTITUTE(SUBSTITUTE(SUBSTITUTE(SUBSTITUTE(SUBSTITUTE(LOWER(Registro!$E711),"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",LEN(Registro!$E711))),({1,2,3,4,5,6,7,8,9,10,11,12,13,14,15,16,17,18,19,20,21,22,23,24,25,26,27,28,29,30}-1)*LEN(Registro!$E711)+1,LEN(Registro!$E711))),FIND("x",TRIM(MID(SUBSTITUTE(SUBSTITUTE(SUBSTITUTE(SUBSTITUTE(SUBSTITUTE(LOWER(Registro!$E711),"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",LEN(Registro!$E711))),({1,2,3,4,5,6,7,8,9,10,11,12,13,14,15,16,17,18,19,20,21,22,23,24,25,26,27,28,29,30}-1)*LEN(Registro!$E711)+1,LEN(Registro!$E711)))&amp;"x")+1,20))),"Revisar formato")))</f>
        <v/>
      </c>
      <c r="F711" s="23" t="str">
        <f>IF(Registro!$F711="","",IF(ISERROR(FIND("x",LOWER(Registro!$F711))),"-",IFERROR(SUMPRODUCT(--("0"&amp;LEFT(TRIM(MID(SUBSTITUTE(SUBSTITUTE(SUBSTITUTE(SUBSTITUTE(SUBSTITUTE(LOWER(Registro!$F711)," ",""),CHAR(10),"|"),";","|"),"+","|"),"|",REPT(" ",LEN(Registro!$F711))),({1,2,3,4,5,6,7,8,9,10,11,12,13,14,15,16,17,18,19,20,21,22,23,24,25,26,27,28,29,30}-1)*LEN(Registro!$F711)+1,LEN(Registro!$F711))),FIND("x",TRIM(MID(SUBSTITUTE(SUBSTITUTE(SUBSTITUTE(SUBSTITUTE(SUBSTITUTE(LOWER(Registro!$F711)," ",""),CHAR(10),"|"),";","|"),"+","|"),"|",REPT(" ",LEN(Registro!$F711))),({1,2,3,4,5,6,7,8,9,10,11,12,13,14,15,16,17,18,19,20,21,22,23,24,25,26,27,28,29,30}-1)*LEN(Registro!$F711)+1,LEN(Registro!$F711)))&amp;"x")-1))),"Revisar formato")))</f>
        <v/>
      </c>
      <c r="G711" s="24" t="str">
        <f>IF(Registro!$F711="","",IF(ISERROR(FIND("x",LOWER(Registro!$F711))),N(Registro!$G711),IFERROR(SUMPRODUCT(--("0"&amp;LEFT(TRIM(MID(SUBSTITUTE(SUBSTITUTE(SUBSTITUTE(SUBSTITUTE(SUBSTITUTE(LOWER(Registro!$F711)," ",""),CHAR(10),"|"),";","|"),"+","|"),"|",REPT(" ",LEN(Registro!$F711))),({1,2,3,4,5,6,7,8,9,10,11,12,13,14,15,16,17,18,19,20,21,22,23,24,25,26,27,28,29,30}-1)*LEN(Registro!$F711)+1,LEN(Registro!$F711))),FIND("x",TRIM(MID(SUBSTITUTE(SUBSTITUTE(SUBSTITUTE(SUBSTITUTE(SUBSTITUTE(LOWER(Registro!$F711)," ",""),CHAR(10),"|"),";","|"),"+","|"),"|",REPT(" ",LEN(Registro!$F711))),({1,2,3,4,5,6,7,8,9,10,11,12,13,14,15,16,17,18,19,20,21,22,23,24,25,26,27,28,29,30}-1)*LEN(Registro!$F711)+1,LEN(Registro!$F711)))&amp;"x")-1)),--("0"&amp;MID(TRIM(MID(SUBSTITUTE(SUBSTITUTE(SUBSTITUTE(SUBSTITUTE(SUBSTITUTE(LOWER(Registro!$F711)," ",""),CHAR(10),"|"),";","|"),"+","|"),"|",REPT(" ",LEN(Registro!$F711))),({1,2,3,4,5,6,7,8,9,10,11,12,13,14,15,16,17,18,19,20,21,22,23,24,25,26,27,28,29,30}-1)*LEN(Registro!$F711)+1,LEN(Registro!$F711))),FIND("x",TRIM(MID(SUBSTITUTE(SUBSTITUTE(SUBSTITUTE(SUBSTITUTE(SUBSTITUTE(LOWER(Registro!$F711)," ",""),CHAR(10),"|"),";","|"),"+","|"),"|",REPT(" ",LEN(Registro!$F711))),({1,2,3,4,5,6,7,8,9,10,11,12,13,14,15,16,17,18,19,20,21,22,23,24,25,26,27,28,29,30}-1)*LEN(Registro!$F711)+1,LEN(Registro!$F711)))&amp;"x")+1,20))),"Revisar formato")))</f>
        <v/>
      </c>
      <c r="H711" s="21" t="str">
        <f>IF(AND(Registro!$E711="",Registro!$F711=""),"",IF(NOT(AND(ISNUMBER(G711),ISNUMBER(Registro!$G711))),"",IF(G711&lt;Registro!$G711,"FALTA BOLETOS",IF(G711=Registro!$G711,"CONFORME","DIFERENCIA"))))</f>
        <v/>
      </c>
      <c r="I711" s="24" t="str">
        <f>IF(Registro!$H711="","",IFERROR(SUMPRODUCT(--("0"&amp;TRIM(RIGHT(SUBSTITUTE(TRIM(MID(SUBSTITUTE(SUBSTITUTE(Registro!$H711,";",CHAR(10)),CHAR(10),REPT(" ",LEN(Registro!$H711))),({1,2,3,4,5,6,7,8,9,10,11,12,13,14,15,16,17,18,19,20,21,22,23,24,25,26,27,28,29,30}-1)*LEN(Registro!$H711)+1,LEN(Registro!$H711)))," ",REPT(" ",50)),50)))),"Revisar formato"))</f>
        <v/>
      </c>
      <c r="J711" s="24" t="str">
        <f>IF(Registro!$I711="","",IFERROR(SUMPRODUCT(--("0"&amp;TRIM(RIGHT(SUBSTITUTE(TRIM(MID(SUBSTITUTE(SUBSTITUTE(Registro!$I711,";",CHAR(10)),CHAR(10),REPT(" ",LEN(Registro!$I711))),({1,2,3,4,5,6,7,8,9,10,11,12,13,14,15,16,17,18,19,20,21,22,23,24,25,26,27,28,29,30}-1)*LEN(Registro!$I711)+1,LEN(Registro!$I711)))," ",REPT(" ",50)),50)))),"Revisar formato"))</f>
        <v/>
      </c>
      <c r="K711" s="24" t="str">
        <f>IF(AND(Registro!$G711="",Registro!$H711=""),"",IF(AND(ISTEXT(I711),I711&lt;&gt;""),"Revisar formato",N(Registro!$G711)-N(I711)))</f>
        <v/>
      </c>
      <c r="L711" s="24" t="str">
        <f t="shared" si="23"/>
        <v/>
      </c>
      <c r="M711" s="36" t="str">
        <f>IF(AND(A711=Consulta!$B$3,C711=Consulta!$H$3),B711*10000+ROW(),"")</f>
        <v/>
      </c>
    </row>
    <row r="712" spans="1:13" x14ac:dyDescent="0.25">
      <c r="A712" s="21" t="str">
        <f>IF(Registro!$A712="","",Registro!$A712)</f>
        <v/>
      </c>
      <c r="B712" s="20" t="str">
        <f>IF(Registro!$B712="","",Registro!$B712)</f>
        <v/>
      </c>
      <c r="C712" s="35" t="str">
        <f t="shared" si="22"/>
        <v/>
      </c>
      <c r="D712" s="23" t="str">
        <f>IF(Registro!$E712="","",IF(ISERROR(FIND("x",LOWER(Registro!$E712))),"-",IFERROR(SUMPRODUCT(--("0"&amp;LEFT(TRIM(MID(SUBSTITUTE(SUBSTITUTE(SUBSTITUTE(SUBSTITUTE(SUBSTITUTE(LOWER(Registro!$E712),"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",LEN(Registro!$E712))),({1,2,3,4,5,6,7,8,9,10,11,12,13,14,15,16,17,18,19,20,21,22,23,24,25,26,27,28,29,30}-1)*LEN(Registro!$E712)+1,LEN(Registro!$E712))),FIND("x",TRIM(MID(SUBSTITUTE(SUBSTITUTE(SUBSTITUTE(SUBSTITUTE(SUBSTITUTE(LOWER(Registro!$E712),"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",LEN(Registro!$E712))),({1,2,3,4,5,6,7,8,9,10,11,12,13,14,15,16,17,18,19,20,21,22,23,24,25,26,27,28,29,30}-1)*LEN(Registro!$E712)+1,LEN(Registro!$E712)))&amp;"x")-1))),"Revisar formato")))</f>
        <v/>
      </c>
      <c r="E712" s="24" t="str">
        <f>IF(Registro!$E712="","",IF(ISERROR(FIND("x",LOWER(Registro!$E712))),"-",IFERROR(SUMPRODUCT(--("0"&amp;LEFT(TRIM(MID(SUBSTITUTE(SUBSTITUTE(SUBSTITUTE(SUBSTITUTE(SUBSTITUTE(LOWER(Registro!$E712),"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",LEN(Registro!$E712))),({1,2,3,4,5,6,7,8,9,10,11,12,13,14,15,16,17,18,19,20,21,22,23,24,25,26,27,28,29,30}-1)*LEN(Registro!$E712)+1,LEN(Registro!$E712))),FIND("x",TRIM(MID(SUBSTITUTE(SUBSTITUTE(SUBSTITUTE(SUBSTITUTE(SUBSTITUTE(LOWER(Registro!$E712),"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",LEN(Registro!$E712))),({1,2,3,4,5,6,7,8,9,10,11,12,13,14,15,16,17,18,19,20,21,22,23,24,25,26,27,28,29,30}-1)*LEN(Registro!$E712)+1,LEN(Registro!$E712)))&amp;"x")-1)),--("0"&amp;MID(TRIM(MID(SUBSTITUTE(SUBSTITUTE(SUBSTITUTE(SUBSTITUTE(SUBSTITUTE(LOWER(Registro!$E712),"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",LEN(Registro!$E712))),({1,2,3,4,5,6,7,8,9,10,11,12,13,14,15,16,17,18,19,20,21,22,23,24,25,26,27,28,29,30}-1)*LEN(Registro!$E712)+1,LEN(Registro!$E712))),FIND("x",TRIM(MID(SUBSTITUTE(SUBSTITUTE(SUBSTITUTE(SUBSTITUTE(SUBSTITUTE(LOWER(Registro!$E712),"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",LEN(Registro!$E712))),({1,2,3,4,5,6,7,8,9,10,11,12,13,14,15,16,17,18,19,20,21,22,23,24,25,26,27,28,29,30}-1)*LEN(Registro!$E712)+1,LEN(Registro!$E712)))&amp;"x")+1,20))),"Revisar formato")))</f>
        <v/>
      </c>
      <c r="F712" s="23" t="str">
        <f>IF(Registro!$F712="","",IF(ISERROR(FIND("x",LOWER(Registro!$F712))),"-",IFERROR(SUMPRODUCT(--("0"&amp;LEFT(TRIM(MID(SUBSTITUTE(SUBSTITUTE(SUBSTITUTE(SUBSTITUTE(SUBSTITUTE(LOWER(Registro!$F712)," ",""),CHAR(10),"|"),";","|"),"+","|"),"|",REPT(" ",LEN(Registro!$F712))),({1,2,3,4,5,6,7,8,9,10,11,12,13,14,15,16,17,18,19,20,21,22,23,24,25,26,27,28,29,30}-1)*LEN(Registro!$F712)+1,LEN(Registro!$F712))),FIND("x",TRIM(MID(SUBSTITUTE(SUBSTITUTE(SUBSTITUTE(SUBSTITUTE(SUBSTITUTE(LOWER(Registro!$F712)," ",""),CHAR(10),"|"),";","|"),"+","|"),"|",REPT(" ",LEN(Registro!$F712))),({1,2,3,4,5,6,7,8,9,10,11,12,13,14,15,16,17,18,19,20,21,22,23,24,25,26,27,28,29,30}-1)*LEN(Registro!$F712)+1,LEN(Registro!$F712)))&amp;"x")-1))),"Revisar formato")))</f>
        <v/>
      </c>
      <c r="G712" s="24" t="str">
        <f>IF(Registro!$F712="","",IF(ISERROR(FIND("x",LOWER(Registro!$F712))),N(Registro!$G712),IFERROR(SUMPRODUCT(--("0"&amp;LEFT(TRIM(MID(SUBSTITUTE(SUBSTITUTE(SUBSTITUTE(SUBSTITUTE(SUBSTITUTE(LOWER(Registro!$F712)," ",""),CHAR(10),"|"),";","|"),"+","|"),"|",REPT(" ",LEN(Registro!$F712))),({1,2,3,4,5,6,7,8,9,10,11,12,13,14,15,16,17,18,19,20,21,22,23,24,25,26,27,28,29,30}-1)*LEN(Registro!$F712)+1,LEN(Registro!$F712))),FIND("x",TRIM(MID(SUBSTITUTE(SUBSTITUTE(SUBSTITUTE(SUBSTITUTE(SUBSTITUTE(LOWER(Registro!$F712)," ",""),CHAR(10),"|"),";","|"),"+","|"),"|",REPT(" ",LEN(Registro!$F712))),({1,2,3,4,5,6,7,8,9,10,11,12,13,14,15,16,17,18,19,20,21,22,23,24,25,26,27,28,29,30}-1)*LEN(Registro!$F712)+1,LEN(Registro!$F712)))&amp;"x")-1)),--("0"&amp;MID(TRIM(MID(SUBSTITUTE(SUBSTITUTE(SUBSTITUTE(SUBSTITUTE(SUBSTITUTE(LOWER(Registro!$F712)," ",""),CHAR(10),"|"),";","|"),"+","|"),"|",REPT(" ",LEN(Registro!$F712))),({1,2,3,4,5,6,7,8,9,10,11,12,13,14,15,16,17,18,19,20,21,22,23,24,25,26,27,28,29,30}-1)*LEN(Registro!$F712)+1,LEN(Registro!$F712))),FIND("x",TRIM(MID(SUBSTITUTE(SUBSTITUTE(SUBSTITUTE(SUBSTITUTE(SUBSTITUTE(LOWER(Registro!$F712)," ",""),CHAR(10),"|"),";","|"),"+","|"),"|",REPT(" ",LEN(Registro!$F712))),({1,2,3,4,5,6,7,8,9,10,11,12,13,14,15,16,17,18,19,20,21,22,23,24,25,26,27,28,29,30}-1)*LEN(Registro!$F712)+1,LEN(Registro!$F712)))&amp;"x")+1,20))),"Revisar formato")))</f>
        <v/>
      </c>
      <c r="H712" s="21" t="str">
        <f>IF(AND(Registro!$E712="",Registro!$F712=""),"",IF(NOT(AND(ISNUMBER(G712),ISNUMBER(Registro!$G712))),"",IF(G712&lt;Registro!$G712,"FALTA BOLETOS",IF(G712=Registro!$G712,"CONFORME","DIFERENCIA"))))</f>
        <v/>
      </c>
      <c r="I712" s="24" t="str">
        <f>IF(Registro!$H712="","",IFERROR(SUMPRODUCT(--("0"&amp;TRIM(RIGHT(SUBSTITUTE(TRIM(MID(SUBSTITUTE(SUBSTITUTE(Registro!$H712,";",CHAR(10)),CHAR(10),REPT(" ",LEN(Registro!$H712))),({1,2,3,4,5,6,7,8,9,10,11,12,13,14,15,16,17,18,19,20,21,22,23,24,25,26,27,28,29,30}-1)*LEN(Registro!$H712)+1,LEN(Registro!$H712)))," ",REPT(" ",50)),50)))),"Revisar formato"))</f>
        <v/>
      </c>
      <c r="J712" s="24" t="str">
        <f>IF(Registro!$I712="","",IFERROR(SUMPRODUCT(--("0"&amp;TRIM(RIGHT(SUBSTITUTE(TRIM(MID(SUBSTITUTE(SUBSTITUTE(Registro!$I712,";",CHAR(10)),CHAR(10),REPT(" ",LEN(Registro!$I712))),({1,2,3,4,5,6,7,8,9,10,11,12,13,14,15,16,17,18,19,20,21,22,23,24,25,26,27,28,29,30}-1)*LEN(Registro!$I712)+1,LEN(Registro!$I712)))," ",REPT(" ",50)),50)))),"Revisar formato"))</f>
        <v/>
      </c>
      <c r="K712" s="24" t="str">
        <f>IF(AND(Registro!$G712="",Registro!$H712=""),"",IF(AND(ISTEXT(I712),I712&lt;&gt;""),"Revisar formato",N(Registro!$G712)-N(I712)))</f>
        <v/>
      </c>
      <c r="L712" s="24" t="str">
        <f t="shared" si="23"/>
        <v/>
      </c>
      <c r="M712" s="36" t="str">
        <f>IF(AND(A712=Consulta!$B$3,C712=Consulta!$H$3),B712*10000+ROW(),"")</f>
        <v/>
      </c>
    </row>
    <row r="713" spans="1:13" x14ac:dyDescent="0.25">
      <c r="A713" s="21" t="str">
        <f>IF(Registro!$A713="","",Registro!$A713)</f>
        <v/>
      </c>
      <c r="B713" s="20" t="str">
        <f>IF(Registro!$B713="","",Registro!$B713)</f>
        <v/>
      </c>
      <c r="C713" s="35" t="str">
        <f t="shared" si="22"/>
        <v/>
      </c>
      <c r="D713" s="23" t="str">
        <f>IF(Registro!$E713="","",IF(ISERROR(FIND("x",LOWER(Registro!$E713))),"-",IFERROR(SUMPRODUCT(--("0"&amp;LEFT(TRIM(MID(SUBSTITUTE(SUBSTITUTE(SUBSTITUTE(SUBSTITUTE(SUBSTITUTE(LOWER(Registro!$E713),"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",LEN(Registro!$E713))),({1,2,3,4,5,6,7,8,9,10,11,12,13,14,15,16,17,18,19,20,21,22,23,24,25,26,27,28,29,30}-1)*LEN(Registro!$E713)+1,LEN(Registro!$E713))),FIND("x",TRIM(MID(SUBSTITUTE(SUBSTITUTE(SUBSTITUTE(SUBSTITUTE(SUBSTITUTE(LOWER(Registro!$E713),"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",LEN(Registro!$E713))),({1,2,3,4,5,6,7,8,9,10,11,12,13,14,15,16,17,18,19,20,21,22,23,24,25,26,27,28,29,30}-1)*LEN(Registro!$E713)+1,LEN(Registro!$E713)))&amp;"x")-1))),"Revisar formato")))</f>
        <v/>
      </c>
      <c r="E713" s="24" t="str">
        <f>IF(Registro!$E713="","",IF(ISERROR(FIND("x",LOWER(Registro!$E713))),"-",IFERROR(SUMPRODUCT(--("0"&amp;LEFT(TRIM(MID(SUBSTITUTE(SUBSTITUTE(SUBSTITUTE(SUBSTITUTE(SUBSTITUTE(LOWER(Registro!$E713),"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",LEN(Registro!$E713))),({1,2,3,4,5,6,7,8,9,10,11,12,13,14,15,16,17,18,19,20,21,22,23,24,25,26,27,28,29,30}-1)*LEN(Registro!$E713)+1,LEN(Registro!$E713))),FIND("x",TRIM(MID(SUBSTITUTE(SUBSTITUTE(SUBSTITUTE(SUBSTITUTE(SUBSTITUTE(LOWER(Registro!$E713),"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",LEN(Registro!$E713))),({1,2,3,4,5,6,7,8,9,10,11,12,13,14,15,16,17,18,19,20,21,22,23,24,25,26,27,28,29,30}-1)*LEN(Registro!$E713)+1,LEN(Registro!$E713)))&amp;"x")-1)),--("0"&amp;MID(TRIM(MID(SUBSTITUTE(SUBSTITUTE(SUBSTITUTE(SUBSTITUTE(SUBSTITUTE(LOWER(Registro!$E713),"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",LEN(Registro!$E713))),({1,2,3,4,5,6,7,8,9,10,11,12,13,14,15,16,17,18,19,20,21,22,23,24,25,26,27,28,29,30}-1)*LEN(Registro!$E713)+1,LEN(Registro!$E713))),FIND("x",TRIM(MID(SUBSTITUTE(SUBSTITUTE(SUBSTITUTE(SUBSTITUTE(SUBSTITUTE(LOWER(Registro!$E713),"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",LEN(Registro!$E713))),({1,2,3,4,5,6,7,8,9,10,11,12,13,14,15,16,17,18,19,20,21,22,23,24,25,26,27,28,29,30}-1)*LEN(Registro!$E713)+1,LEN(Registro!$E713)))&amp;"x")+1,20))),"Revisar formato")))</f>
        <v/>
      </c>
      <c r="F713" s="23" t="str">
        <f>IF(Registro!$F713="","",IF(ISERROR(FIND("x",LOWER(Registro!$F713))),"-",IFERROR(SUMPRODUCT(--("0"&amp;LEFT(TRIM(MID(SUBSTITUTE(SUBSTITUTE(SUBSTITUTE(SUBSTITUTE(SUBSTITUTE(LOWER(Registro!$F713)," ",""),CHAR(10),"|"),";","|"),"+","|"),"|",REPT(" ",LEN(Registro!$F713))),({1,2,3,4,5,6,7,8,9,10,11,12,13,14,15,16,17,18,19,20,21,22,23,24,25,26,27,28,29,30}-1)*LEN(Registro!$F713)+1,LEN(Registro!$F713))),FIND("x",TRIM(MID(SUBSTITUTE(SUBSTITUTE(SUBSTITUTE(SUBSTITUTE(SUBSTITUTE(LOWER(Registro!$F713)," ",""),CHAR(10),"|"),";","|"),"+","|"),"|",REPT(" ",LEN(Registro!$F713))),({1,2,3,4,5,6,7,8,9,10,11,12,13,14,15,16,17,18,19,20,21,22,23,24,25,26,27,28,29,30}-1)*LEN(Registro!$F713)+1,LEN(Registro!$F713)))&amp;"x")-1))),"Revisar formato")))</f>
        <v/>
      </c>
      <c r="G713" s="24" t="str">
        <f>IF(Registro!$F713="","",IF(ISERROR(FIND("x",LOWER(Registro!$F713))),N(Registro!$G713),IFERROR(SUMPRODUCT(--("0"&amp;LEFT(TRIM(MID(SUBSTITUTE(SUBSTITUTE(SUBSTITUTE(SUBSTITUTE(SUBSTITUTE(LOWER(Registro!$F713)," ",""),CHAR(10),"|"),";","|"),"+","|"),"|",REPT(" ",LEN(Registro!$F713))),({1,2,3,4,5,6,7,8,9,10,11,12,13,14,15,16,17,18,19,20,21,22,23,24,25,26,27,28,29,30}-1)*LEN(Registro!$F713)+1,LEN(Registro!$F713))),FIND("x",TRIM(MID(SUBSTITUTE(SUBSTITUTE(SUBSTITUTE(SUBSTITUTE(SUBSTITUTE(LOWER(Registro!$F713)," ",""),CHAR(10),"|"),";","|"),"+","|"),"|",REPT(" ",LEN(Registro!$F713))),({1,2,3,4,5,6,7,8,9,10,11,12,13,14,15,16,17,18,19,20,21,22,23,24,25,26,27,28,29,30}-1)*LEN(Registro!$F713)+1,LEN(Registro!$F713)))&amp;"x")-1)),--("0"&amp;MID(TRIM(MID(SUBSTITUTE(SUBSTITUTE(SUBSTITUTE(SUBSTITUTE(SUBSTITUTE(LOWER(Registro!$F713)," ",""),CHAR(10),"|"),";","|"),"+","|"),"|",REPT(" ",LEN(Registro!$F713))),({1,2,3,4,5,6,7,8,9,10,11,12,13,14,15,16,17,18,19,20,21,22,23,24,25,26,27,28,29,30}-1)*LEN(Registro!$F713)+1,LEN(Registro!$F713))),FIND("x",TRIM(MID(SUBSTITUTE(SUBSTITUTE(SUBSTITUTE(SUBSTITUTE(SUBSTITUTE(LOWER(Registro!$F713)," ",""),CHAR(10),"|"),";","|"),"+","|"),"|",REPT(" ",LEN(Registro!$F713))),({1,2,3,4,5,6,7,8,9,10,11,12,13,14,15,16,17,18,19,20,21,22,23,24,25,26,27,28,29,30}-1)*LEN(Registro!$F713)+1,LEN(Registro!$F713)))&amp;"x")+1,20))),"Revisar formato")))</f>
        <v/>
      </c>
      <c r="H713" s="21" t="str">
        <f>IF(AND(Registro!$E713="",Registro!$F713=""),"",IF(NOT(AND(ISNUMBER(G713),ISNUMBER(Registro!$G713))),"",IF(G713&lt;Registro!$G713,"FALTA BOLETOS",IF(G713=Registro!$G713,"CONFORME","DIFERENCIA"))))</f>
        <v/>
      </c>
      <c r="I713" s="24" t="str">
        <f>IF(Registro!$H713="","",IFERROR(SUMPRODUCT(--("0"&amp;TRIM(RIGHT(SUBSTITUTE(TRIM(MID(SUBSTITUTE(SUBSTITUTE(Registro!$H713,";",CHAR(10)),CHAR(10),REPT(" ",LEN(Registro!$H713))),({1,2,3,4,5,6,7,8,9,10,11,12,13,14,15,16,17,18,19,20,21,22,23,24,25,26,27,28,29,30}-1)*LEN(Registro!$H713)+1,LEN(Registro!$H713)))," ",REPT(" ",50)),50)))),"Revisar formato"))</f>
        <v/>
      </c>
      <c r="J713" s="24" t="str">
        <f>IF(Registro!$I713="","",IFERROR(SUMPRODUCT(--("0"&amp;TRIM(RIGHT(SUBSTITUTE(TRIM(MID(SUBSTITUTE(SUBSTITUTE(Registro!$I713,";",CHAR(10)),CHAR(10),REPT(" ",LEN(Registro!$I713))),({1,2,3,4,5,6,7,8,9,10,11,12,13,14,15,16,17,18,19,20,21,22,23,24,25,26,27,28,29,30}-1)*LEN(Registro!$I713)+1,LEN(Registro!$I713)))," ",REPT(" ",50)),50)))),"Revisar formato"))</f>
        <v/>
      </c>
      <c r="K713" s="24" t="str">
        <f>IF(AND(Registro!$G713="",Registro!$H713=""),"",IF(AND(ISTEXT(I713),I713&lt;&gt;""),"Revisar formato",N(Registro!$G713)-N(I713)))</f>
        <v/>
      </c>
      <c r="L713" s="24" t="str">
        <f t="shared" si="23"/>
        <v/>
      </c>
      <c r="M713" s="36" t="str">
        <f>IF(AND(A713=Consulta!$B$3,C713=Consulta!$H$3),B713*10000+ROW(),"")</f>
        <v/>
      </c>
    </row>
    <row r="714" spans="1:13" x14ac:dyDescent="0.25">
      <c r="A714" s="21" t="str">
        <f>IF(Registro!$A714="","",Registro!$A714)</f>
        <v/>
      </c>
      <c r="B714" s="20" t="str">
        <f>IF(Registro!$B714="","",Registro!$B714)</f>
        <v/>
      </c>
      <c r="C714" s="35" t="str">
        <f t="shared" si="22"/>
        <v/>
      </c>
      <c r="D714" s="23" t="str">
        <f>IF(Registro!$E714="","",IF(ISERROR(FIND("x",LOWER(Registro!$E714))),"-",IFERROR(SUMPRODUCT(--("0"&amp;LEFT(TRIM(MID(SUBSTITUTE(SUBSTITUTE(SUBSTITUTE(SUBSTITUTE(SUBSTITUTE(LOWER(Registro!$E714),"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",LEN(Registro!$E714))),({1,2,3,4,5,6,7,8,9,10,11,12,13,14,15,16,17,18,19,20,21,22,23,24,25,26,27,28,29,30}-1)*LEN(Registro!$E714)+1,LEN(Registro!$E714))),FIND("x",TRIM(MID(SUBSTITUTE(SUBSTITUTE(SUBSTITUTE(SUBSTITUTE(SUBSTITUTE(LOWER(Registro!$E714),"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",LEN(Registro!$E714))),({1,2,3,4,5,6,7,8,9,10,11,12,13,14,15,16,17,18,19,20,21,22,23,24,25,26,27,28,29,30}-1)*LEN(Registro!$E714)+1,LEN(Registro!$E714)))&amp;"x")-1))),"Revisar formato")))</f>
        <v/>
      </c>
      <c r="E714" s="24" t="str">
        <f>IF(Registro!$E714="","",IF(ISERROR(FIND("x",LOWER(Registro!$E714))),"-",IFERROR(SUMPRODUCT(--("0"&amp;LEFT(TRIM(MID(SUBSTITUTE(SUBSTITUTE(SUBSTITUTE(SUBSTITUTE(SUBSTITUTE(LOWER(Registro!$E714),"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",LEN(Registro!$E714))),({1,2,3,4,5,6,7,8,9,10,11,12,13,14,15,16,17,18,19,20,21,22,23,24,25,26,27,28,29,30}-1)*LEN(Registro!$E714)+1,LEN(Registro!$E714))),FIND("x",TRIM(MID(SUBSTITUTE(SUBSTITUTE(SUBSTITUTE(SUBSTITUTE(SUBSTITUTE(LOWER(Registro!$E714),"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",LEN(Registro!$E714))),({1,2,3,4,5,6,7,8,9,10,11,12,13,14,15,16,17,18,19,20,21,22,23,24,25,26,27,28,29,30}-1)*LEN(Registro!$E714)+1,LEN(Registro!$E714)))&amp;"x")-1)),--("0"&amp;MID(TRIM(MID(SUBSTITUTE(SUBSTITUTE(SUBSTITUTE(SUBSTITUTE(SUBSTITUTE(LOWER(Registro!$E714),"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",LEN(Registro!$E714))),({1,2,3,4,5,6,7,8,9,10,11,12,13,14,15,16,17,18,19,20,21,22,23,24,25,26,27,28,29,30}-1)*LEN(Registro!$E714)+1,LEN(Registro!$E714))),FIND("x",TRIM(MID(SUBSTITUTE(SUBSTITUTE(SUBSTITUTE(SUBSTITUTE(SUBSTITUTE(LOWER(Registro!$E714),"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",LEN(Registro!$E714))),({1,2,3,4,5,6,7,8,9,10,11,12,13,14,15,16,17,18,19,20,21,22,23,24,25,26,27,28,29,30}-1)*LEN(Registro!$E714)+1,LEN(Registro!$E714)))&amp;"x")+1,20))),"Revisar formato")))</f>
        <v/>
      </c>
      <c r="F714" s="23" t="str">
        <f>IF(Registro!$F714="","",IF(ISERROR(FIND("x",LOWER(Registro!$F714))),"-",IFERROR(SUMPRODUCT(--("0"&amp;LEFT(TRIM(MID(SUBSTITUTE(SUBSTITUTE(SUBSTITUTE(SUBSTITUTE(SUBSTITUTE(LOWER(Registro!$F714)," ",""),CHAR(10),"|"),";","|"),"+","|"),"|",REPT(" ",LEN(Registro!$F714))),({1,2,3,4,5,6,7,8,9,10,11,12,13,14,15,16,17,18,19,20,21,22,23,24,25,26,27,28,29,30}-1)*LEN(Registro!$F714)+1,LEN(Registro!$F714))),FIND("x",TRIM(MID(SUBSTITUTE(SUBSTITUTE(SUBSTITUTE(SUBSTITUTE(SUBSTITUTE(LOWER(Registro!$F714)," ",""),CHAR(10),"|"),";","|"),"+","|"),"|",REPT(" ",LEN(Registro!$F714))),({1,2,3,4,5,6,7,8,9,10,11,12,13,14,15,16,17,18,19,20,21,22,23,24,25,26,27,28,29,30}-1)*LEN(Registro!$F714)+1,LEN(Registro!$F714)))&amp;"x")-1))),"Revisar formato")))</f>
        <v/>
      </c>
      <c r="G714" s="24" t="str">
        <f>IF(Registro!$F714="","",IF(ISERROR(FIND("x",LOWER(Registro!$F714))),N(Registro!$G714),IFERROR(SUMPRODUCT(--("0"&amp;LEFT(TRIM(MID(SUBSTITUTE(SUBSTITUTE(SUBSTITUTE(SUBSTITUTE(SUBSTITUTE(LOWER(Registro!$F714)," ",""),CHAR(10),"|"),";","|"),"+","|"),"|",REPT(" ",LEN(Registro!$F714))),({1,2,3,4,5,6,7,8,9,10,11,12,13,14,15,16,17,18,19,20,21,22,23,24,25,26,27,28,29,30}-1)*LEN(Registro!$F714)+1,LEN(Registro!$F714))),FIND("x",TRIM(MID(SUBSTITUTE(SUBSTITUTE(SUBSTITUTE(SUBSTITUTE(SUBSTITUTE(LOWER(Registro!$F714)," ",""),CHAR(10),"|"),";","|"),"+","|"),"|",REPT(" ",LEN(Registro!$F714))),({1,2,3,4,5,6,7,8,9,10,11,12,13,14,15,16,17,18,19,20,21,22,23,24,25,26,27,28,29,30}-1)*LEN(Registro!$F714)+1,LEN(Registro!$F714)))&amp;"x")-1)),--("0"&amp;MID(TRIM(MID(SUBSTITUTE(SUBSTITUTE(SUBSTITUTE(SUBSTITUTE(SUBSTITUTE(LOWER(Registro!$F714)," ",""),CHAR(10),"|"),";","|"),"+","|"),"|",REPT(" ",LEN(Registro!$F714))),({1,2,3,4,5,6,7,8,9,10,11,12,13,14,15,16,17,18,19,20,21,22,23,24,25,26,27,28,29,30}-1)*LEN(Registro!$F714)+1,LEN(Registro!$F714))),FIND("x",TRIM(MID(SUBSTITUTE(SUBSTITUTE(SUBSTITUTE(SUBSTITUTE(SUBSTITUTE(LOWER(Registro!$F714)," ",""),CHAR(10),"|"),";","|"),"+","|"),"|",REPT(" ",LEN(Registro!$F714))),({1,2,3,4,5,6,7,8,9,10,11,12,13,14,15,16,17,18,19,20,21,22,23,24,25,26,27,28,29,30}-1)*LEN(Registro!$F714)+1,LEN(Registro!$F714)))&amp;"x")+1,20))),"Revisar formato")))</f>
        <v/>
      </c>
      <c r="H714" s="21" t="str">
        <f>IF(AND(Registro!$E714="",Registro!$F714=""),"",IF(NOT(AND(ISNUMBER(G714),ISNUMBER(Registro!$G714))),"",IF(G714&lt;Registro!$G714,"FALTA BOLETOS",IF(G714=Registro!$G714,"CONFORME","DIFERENCIA"))))</f>
        <v/>
      </c>
      <c r="I714" s="24" t="str">
        <f>IF(Registro!$H714="","",IFERROR(SUMPRODUCT(--("0"&amp;TRIM(RIGHT(SUBSTITUTE(TRIM(MID(SUBSTITUTE(SUBSTITUTE(Registro!$H714,";",CHAR(10)),CHAR(10),REPT(" ",LEN(Registro!$H714))),({1,2,3,4,5,6,7,8,9,10,11,12,13,14,15,16,17,18,19,20,21,22,23,24,25,26,27,28,29,30}-1)*LEN(Registro!$H714)+1,LEN(Registro!$H714)))," ",REPT(" ",50)),50)))),"Revisar formato"))</f>
        <v/>
      </c>
      <c r="J714" s="24" t="str">
        <f>IF(Registro!$I714="","",IFERROR(SUMPRODUCT(--("0"&amp;TRIM(RIGHT(SUBSTITUTE(TRIM(MID(SUBSTITUTE(SUBSTITUTE(Registro!$I714,";",CHAR(10)),CHAR(10),REPT(" ",LEN(Registro!$I714))),({1,2,3,4,5,6,7,8,9,10,11,12,13,14,15,16,17,18,19,20,21,22,23,24,25,26,27,28,29,30}-1)*LEN(Registro!$I714)+1,LEN(Registro!$I714)))," ",REPT(" ",50)),50)))),"Revisar formato"))</f>
        <v/>
      </c>
      <c r="K714" s="24" t="str">
        <f>IF(AND(Registro!$G714="",Registro!$H714=""),"",IF(AND(ISTEXT(I714),I714&lt;&gt;""),"Revisar formato",N(Registro!$G714)-N(I714)))</f>
        <v/>
      </c>
      <c r="L714" s="24" t="str">
        <f t="shared" si="23"/>
        <v/>
      </c>
      <c r="M714" s="36" t="str">
        <f>IF(AND(A714=Consulta!$B$3,C714=Consulta!$H$3),B714*10000+ROW(),"")</f>
        <v/>
      </c>
    </row>
    <row r="715" spans="1:13" x14ac:dyDescent="0.25">
      <c r="A715" s="21" t="str">
        <f>IF(Registro!$A715="","",Registro!$A715)</f>
        <v/>
      </c>
      <c r="B715" s="20" t="str">
        <f>IF(Registro!$B715="","",Registro!$B715)</f>
        <v/>
      </c>
      <c r="C715" s="35" t="str">
        <f t="shared" si="22"/>
        <v/>
      </c>
      <c r="D715" s="23" t="str">
        <f>IF(Registro!$E715="","",IF(ISERROR(FIND("x",LOWER(Registro!$E715))),"-",IFERROR(SUMPRODUCT(--("0"&amp;LEFT(TRIM(MID(SUBSTITUTE(SUBSTITUTE(SUBSTITUTE(SUBSTITUTE(SUBSTITUTE(LOWER(Registro!$E715),"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",LEN(Registro!$E715))),({1,2,3,4,5,6,7,8,9,10,11,12,13,14,15,16,17,18,19,20,21,22,23,24,25,26,27,28,29,30}-1)*LEN(Registro!$E715)+1,LEN(Registro!$E715))),FIND("x",TRIM(MID(SUBSTITUTE(SUBSTITUTE(SUBSTITUTE(SUBSTITUTE(SUBSTITUTE(LOWER(Registro!$E715),"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",LEN(Registro!$E715))),({1,2,3,4,5,6,7,8,9,10,11,12,13,14,15,16,17,18,19,20,21,22,23,24,25,26,27,28,29,30}-1)*LEN(Registro!$E715)+1,LEN(Registro!$E715)))&amp;"x")-1))),"Revisar formato")))</f>
        <v/>
      </c>
      <c r="E715" s="24" t="str">
        <f>IF(Registro!$E715="","",IF(ISERROR(FIND("x",LOWER(Registro!$E715))),"-",IFERROR(SUMPRODUCT(--("0"&amp;LEFT(TRIM(MID(SUBSTITUTE(SUBSTITUTE(SUBSTITUTE(SUBSTITUTE(SUBSTITUTE(LOWER(Registro!$E715),"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",LEN(Registro!$E715))),({1,2,3,4,5,6,7,8,9,10,11,12,13,14,15,16,17,18,19,20,21,22,23,24,25,26,27,28,29,30}-1)*LEN(Registro!$E715)+1,LEN(Registro!$E715))),FIND("x",TRIM(MID(SUBSTITUTE(SUBSTITUTE(SUBSTITUTE(SUBSTITUTE(SUBSTITUTE(LOWER(Registro!$E715),"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",LEN(Registro!$E715))),({1,2,3,4,5,6,7,8,9,10,11,12,13,14,15,16,17,18,19,20,21,22,23,24,25,26,27,28,29,30}-1)*LEN(Registro!$E715)+1,LEN(Registro!$E715)))&amp;"x")-1)),--("0"&amp;MID(TRIM(MID(SUBSTITUTE(SUBSTITUTE(SUBSTITUTE(SUBSTITUTE(SUBSTITUTE(LOWER(Registro!$E715),"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",LEN(Registro!$E715))),({1,2,3,4,5,6,7,8,9,10,11,12,13,14,15,16,17,18,19,20,21,22,23,24,25,26,27,28,29,30}-1)*LEN(Registro!$E715)+1,LEN(Registro!$E715))),FIND("x",TRIM(MID(SUBSTITUTE(SUBSTITUTE(SUBSTITUTE(SUBSTITUTE(SUBSTITUTE(LOWER(Registro!$E715),"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",LEN(Registro!$E715))),({1,2,3,4,5,6,7,8,9,10,11,12,13,14,15,16,17,18,19,20,21,22,23,24,25,26,27,28,29,30}-1)*LEN(Registro!$E715)+1,LEN(Registro!$E715)))&amp;"x")+1,20))),"Revisar formato")))</f>
        <v/>
      </c>
      <c r="F715" s="23" t="str">
        <f>IF(Registro!$F715="","",IF(ISERROR(FIND("x",LOWER(Registro!$F715))),"-",IFERROR(SUMPRODUCT(--("0"&amp;LEFT(TRIM(MID(SUBSTITUTE(SUBSTITUTE(SUBSTITUTE(SUBSTITUTE(SUBSTITUTE(LOWER(Registro!$F715)," ",""),CHAR(10),"|"),";","|"),"+","|"),"|",REPT(" ",LEN(Registro!$F715))),({1,2,3,4,5,6,7,8,9,10,11,12,13,14,15,16,17,18,19,20,21,22,23,24,25,26,27,28,29,30}-1)*LEN(Registro!$F715)+1,LEN(Registro!$F715))),FIND("x",TRIM(MID(SUBSTITUTE(SUBSTITUTE(SUBSTITUTE(SUBSTITUTE(SUBSTITUTE(LOWER(Registro!$F715)," ",""),CHAR(10),"|"),";","|"),"+","|"),"|",REPT(" ",LEN(Registro!$F715))),({1,2,3,4,5,6,7,8,9,10,11,12,13,14,15,16,17,18,19,20,21,22,23,24,25,26,27,28,29,30}-1)*LEN(Registro!$F715)+1,LEN(Registro!$F715)))&amp;"x")-1))),"Revisar formato")))</f>
        <v/>
      </c>
      <c r="G715" s="24" t="str">
        <f>IF(Registro!$F715="","",IF(ISERROR(FIND("x",LOWER(Registro!$F715))),N(Registro!$G715),IFERROR(SUMPRODUCT(--("0"&amp;LEFT(TRIM(MID(SUBSTITUTE(SUBSTITUTE(SUBSTITUTE(SUBSTITUTE(SUBSTITUTE(LOWER(Registro!$F715)," ",""),CHAR(10),"|"),";","|"),"+","|"),"|",REPT(" ",LEN(Registro!$F715))),({1,2,3,4,5,6,7,8,9,10,11,12,13,14,15,16,17,18,19,20,21,22,23,24,25,26,27,28,29,30}-1)*LEN(Registro!$F715)+1,LEN(Registro!$F715))),FIND("x",TRIM(MID(SUBSTITUTE(SUBSTITUTE(SUBSTITUTE(SUBSTITUTE(SUBSTITUTE(LOWER(Registro!$F715)," ",""),CHAR(10),"|"),";","|"),"+","|"),"|",REPT(" ",LEN(Registro!$F715))),({1,2,3,4,5,6,7,8,9,10,11,12,13,14,15,16,17,18,19,20,21,22,23,24,25,26,27,28,29,30}-1)*LEN(Registro!$F715)+1,LEN(Registro!$F715)))&amp;"x")-1)),--("0"&amp;MID(TRIM(MID(SUBSTITUTE(SUBSTITUTE(SUBSTITUTE(SUBSTITUTE(SUBSTITUTE(LOWER(Registro!$F715)," ",""),CHAR(10),"|"),";","|"),"+","|"),"|",REPT(" ",LEN(Registro!$F715))),({1,2,3,4,5,6,7,8,9,10,11,12,13,14,15,16,17,18,19,20,21,22,23,24,25,26,27,28,29,30}-1)*LEN(Registro!$F715)+1,LEN(Registro!$F715))),FIND("x",TRIM(MID(SUBSTITUTE(SUBSTITUTE(SUBSTITUTE(SUBSTITUTE(SUBSTITUTE(LOWER(Registro!$F715)," ",""),CHAR(10),"|"),";","|"),"+","|"),"|",REPT(" ",LEN(Registro!$F715))),({1,2,3,4,5,6,7,8,9,10,11,12,13,14,15,16,17,18,19,20,21,22,23,24,25,26,27,28,29,30}-1)*LEN(Registro!$F715)+1,LEN(Registro!$F715)))&amp;"x")+1,20))),"Revisar formato")))</f>
        <v/>
      </c>
      <c r="H715" s="21" t="str">
        <f>IF(AND(Registro!$E715="",Registro!$F715=""),"",IF(NOT(AND(ISNUMBER(G715),ISNUMBER(Registro!$G715))),"",IF(G715&lt;Registro!$G715,"FALTA BOLETOS",IF(G715=Registro!$G715,"CONFORME","DIFERENCIA"))))</f>
        <v/>
      </c>
      <c r="I715" s="24" t="str">
        <f>IF(Registro!$H715="","",IFERROR(SUMPRODUCT(--("0"&amp;TRIM(RIGHT(SUBSTITUTE(TRIM(MID(SUBSTITUTE(SUBSTITUTE(Registro!$H715,";",CHAR(10)),CHAR(10),REPT(" ",LEN(Registro!$H715))),({1,2,3,4,5,6,7,8,9,10,11,12,13,14,15,16,17,18,19,20,21,22,23,24,25,26,27,28,29,30}-1)*LEN(Registro!$H715)+1,LEN(Registro!$H715)))," ",REPT(" ",50)),50)))),"Revisar formato"))</f>
        <v/>
      </c>
      <c r="J715" s="24" t="str">
        <f>IF(Registro!$I715="","",IFERROR(SUMPRODUCT(--("0"&amp;TRIM(RIGHT(SUBSTITUTE(TRIM(MID(SUBSTITUTE(SUBSTITUTE(Registro!$I715,";",CHAR(10)),CHAR(10),REPT(" ",LEN(Registro!$I715))),({1,2,3,4,5,6,7,8,9,10,11,12,13,14,15,16,17,18,19,20,21,22,23,24,25,26,27,28,29,30}-1)*LEN(Registro!$I715)+1,LEN(Registro!$I715)))," ",REPT(" ",50)),50)))),"Revisar formato"))</f>
        <v/>
      </c>
      <c r="K715" s="24" t="str">
        <f>IF(AND(Registro!$G715="",Registro!$H715=""),"",IF(AND(ISTEXT(I715),I715&lt;&gt;""),"Revisar formato",N(Registro!$G715)-N(I715)))</f>
        <v/>
      </c>
      <c r="L715" s="24" t="str">
        <f t="shared" si="23"/>
        <v/>
      </c>
      <c r="M715" s="36" t="str">
        <f>IF(AND(A715=Consulta!$B$3,C715=Consulta!$H$3),B715*10000+ROW(),"")</f>
        <v/>
      </c>
    </row>
    <row r="716" spans="1:13" x14ac:dyDescent="0.25">
      <c r="A716" s="21" t="str">
        <f>IF(Registro!$A716="","",Registro!$A716)</f>
        <v/>
      </c>
      <c r="B716" s="20" t="str">
        <f>IF(Registro!$B716="","",Registro!$B716)</f>
        <v/>
      </c>
      <c r="C716" s="35" t="str">
        <f t="shared" si="22"/>
        <v/>
      </c>
      <c r="D716" s="23" t="str">
        <f>IF(Registro!$E716="","",IF(ISERROR(FIND("x",LOWER(Registro!$E716))),"-",IFERROR(SUMPRODUCT(--("0"&amp;LEFT(TRIM(MID(SUBSTITUTE(SUBSTITUTE(SUBSTITUTE(SUBSTITUTE(SUBSTITUTE(LOWER(Registro!$E716),"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",LEN(Registro!$E716))),({1,2,3,4,5,6,7,8,9,10,11,12,13,14,15,16,17,18,19,20,21,22,23,24,25,26,27,28,29,30}-1)*LEN(Registro!$E716)+1,LEN(Registro!$E716))),FIND("x",TRIM(MID(SUBSTITUTE(SUBSTITUTE(SUBSTITUTE(SUBSTITUTE(SUBSTITUTE(LOWER(Registro!$E716),"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",LEN(Registro!$E716))),({1,2,3,4,5,6,7,8,9,10,11,12,13,14,15,16,17,18,19,20,21,22,23,24,25,26,27,28,29,30}-1)*LEN(Registro!$E716)+1,LEN(Registro!$E716)))&amp;"x")-1))),"Revisar formato")))</f>
        <v/>
      </c>
      <c r="E716" s="24" t="str">
        <f>IF(Registro!$E716="","",IF(ISERROR(FIND("x",LOWER(Registro!$E716))),"-",IFERROR(SUMPRODUCT(--("0"&amp;LEFT(TRIM(MID(SUBSTITUTE(SUBSTITUTE(SUBSTITUTE(SUBSTITUTE(SUBSTITUTE(LOWER(Registro!$E716),"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",LEN(Registro!$E716))),({1,2,3,4,5,6,7,8,9,10,11,12,13,14,15,16,17,18,19,20,21,22,23,24,25,26,27,28,29,30}-1)*LEN(Registro!$E716)+1,LEN(Registro!$E716))),FIND("x",TRIM(MID(SUBSTITUTE(SUBSTITUTE(SUBSTITUTE(SUBSTITUTE(SUBSTITUTE(LOWER(Registro!$E716),"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",LEN(Registro!$E716))),({1,2,3,4,5,6,7,8,9,10,11,12,13,14,15,16,17,18,19,20,21,22,23,24,25,26,27,28,29,30}-1)*LEN(Registro!$E716)+1,LEN(Registro!$E716)))&amp;"x")-1)),--("0"&amp;MID(TRIM(MID(SUBSTITUTE(SUBSTITUTE(SUBSTITUTE(SUBSTITUTE(SUBSTITUTE(LOWER(Registro!$E716),"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",LEN(Registro!$E716))),({1,2,3,4,5,6,7,8,9,10,11,12,13,14,15,16,17,18,19,20,21,22,23,24,25,26,27,28,29,30}-1)*LEN(Registro!$E716)+1,LEN(Registro!$E716))),FIND("x",TRIM(MID(SUBSTITUTE(SUBSTITUTE(SUBSTITUTE(SUBSTITUTE(SUBSTITUTE(LOWER(Registro!$E716),"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",LEN(Registro!$E716))),({1,2,3,4,5,6,7,8,9,10,11,12,13,14,15,16,17,18,19,20,21,22,23,24,25,26,27,28,29,30}-1)*LEN(Registro!$E716)+1,LEN(Registro!$E716)))&amp;"x")+1,20))),"Revisar formato")))</f>
        <v/>
      </c>
      <c r="F716" s="23" t="str">
        <f>IF(Registro!$F716="","",IF(ISERROR(FIND("x",LOWER(Registro!$F716))),"-",IFERROR(SUMPRODUCT(--("0"&amp;LEFT(TRIM(MID(SUBSTITUTE(SUBSTITUTE(SUBSTITUTE(SUBSTITUTE(SUBSTITUTE(LOWER(Registro!$F716)," ",""),CHAR(10),"|"),";","|"),"+","|"),"|",REPT(" ",LEN(Registro!$F716))),({1,2,3,4,5,6,7,8,9,10,11,12,13,14,15,16,17,18,19,20,21,22,23,24,25,26,27,28,29,30}-1)*LEN(Registro!$F716)+1,LEN(Registro!$F716))),FIND("x",TRIM(MID(SUBSTITUTE(SUBSTITUTE(SUBSTITUTE(SUBSTITUTE(SUBSTITUTE(LOWER(Registro!$F716)," ",""),CHAR(10),"|"),";","|"),"+","|"),"|",REPT(" ",LEN(Registro!$F716))),({1,2,3,4,5,6,7,8,9,10,11,12,13,14,15,16,17,18,19,20,21,22,23,24,25,26,27,28,29,30}-1)*LEN(Registro!$F716)+1,LEN(Registro!$F716)))&amp;"x")-1))),"Revisar formato")))</f>
        <v/>
      </c>
      <c r="G716" s="24" t="str">
        <f>IF(Registro!$F716="","",IF(ISERROR(FIND("x",LOWER(Registro!$F716))),N(Registro!$G716),IFERROR(SUMPRODUCT(--("0"&amp;LEFT(TRIM(MID(SUBSTITUTE(SUBSTITUTE(SUBSTITUTE(SUBSTITUTE(SUBSTITUTE(LOWER(Registro!$F716)," ",""),CHAR(10),"|"),";","|"),"+","|"),"|",REPT(" ",LEN(Registro!$F716))),({1,2,3,4,5,6,7,8,9,10,11,12,13,14,15,16,17,18,19,20,21,22,23,24,25,26,27,28,29,30}-1)*LEN(Registro!$F716)+1,LEN(Registro!$F716))),FIND("x",TRIM(MID(SUBSTITUTE(SUBSTITUTE(SUBSTITUTE(SUBSTITUTE(SUBSTITUTE(LOWER(Registro!$F716)," ",""),CHAR(10),"|"),";","|"),"+","|"),"|",REPT(" ",LEN(Registro!$F716))),({1,2,3,4,5,6,7,8,9,10,11,12,13,14,15,16,17,18,19,20,21,22,23,24,25,26,27,28,29,30}-1)*LEN(Registro!$F716)+1,LEN(Registro!$F716)))&amp;"x")-1)),--("0"&amp;MID(TRIM(MID(SUBSTITUTE(SUBSTITUTE(SUBSTITUTE(SUBSTITUTE(SUBSTITUTE(LOWER(Registro!$F716)," ",""),CHAR(10),"|"),";","|"),"+","|"),"|",REPT(" ",LEN(Registro!$F716))),({1,2,3,4,5,6,7,8,9,10,11,12,13,14,15,16,17,18,19,20,21,22,23,24,25,26,27,28,29,30}-1)*LEN(Registro!$F716)+1,LEN(Registro!$F716))),FIND("x",TRIM(MID(SUBSTITUTE(SUBSTITUTE(SUBSTITUTE(SUBSTITUTE(SUBSTITUTE(LOWER(Registro!$F716)," ",""),CHAR(10),"|"),";","|"),"+","|"),"|",REPT(" ",LEN(Registro!$F716))),({1,2,3,4,5,6,7,8,9,10,11,12,13,14,15,16,17,18,19,20,21,22,23,24,25,26,27,28,29,30}-1)*LEN(Registro!$F716)+1,LEN(Registro!$F716)))&amp;"x")+1,20))),"Revisar formato")))</f>
        <v/>
      </c>
      <c r="H716" s="21" t="str">
        <f>IF(AND(Registro!$E716="",Registro!$F716=""),"",IF(NOT(AND(ISNUMBER(G716),ISNUMBER(Registro!$G716))),"",IF(G716&lt;Registro!$G716,"FALTA BOLETOS",IF(G716=Registro!$G716,"CONFORME","DIFERENCIA"))))</f>
        <v/>
      </c>
      <c r="I716" s="24" t="str">
        <f>IF(Registro!$H716="","",IFERROR(SUMPRODUCT(--("0"&amp;TRIM(RIGHT(SUBSTITUTE(TRIM(MID(SUBSTITUTE(SUBSTITUTE(Registro!$H716,";",CHAR(10)),CHAR(10),REPT(" ",LEN(Registro!$H716))),({1,2,3,4,5,6,7,8,9,10,11,12,13,14,15,16,17,18,19,20,21,22,23,24,25,26,27,28,29,30}-1)*LEN(Registro!$H716)+1,LEN(Registro!$H716)))," ",REPT(" ",50)),50)))),"Revisar formato"))</f>
        <v/>
      </c>
      <c r="J716" s="24" t="str">
        <f>IF(Registro!$I716="","",IFERROR(SUMPRODUCT(--("0"&amp;TRIM(RIGHT(SUBSTITUTE(TRIM(MID(SUBSTITUTE(SUBSTITUTE(Registro!$I716,";",CHAR(10)),CHAR(10),REPT(" ",LEN(Registro!$I716))),({1,2,3,4,5,6,7,8,9,10,11,12,13,14,15,16,17,18,19,20,21,22,23,24,25,26,27,28,29,30}-1)*LEN(Registro!$I716)+1,LEN(Registro!$I716)))," ",REPT(" ",50)),50)))),"Revisar formato"))</f>
        <v/>
      </c>
      <c r="K716" s="24" t="str">
        <f>IF(AND(Registro!$G716="",Registro!$H716=""),"",IF(AND(ISTEXT(I716),I716&lt;&gt;""),"Revisar formato",N(Registro!$G716)-N(I716)))</f>
        <v/>
      </c>
      <c r="L716" s="24" t="str">
        <f t="shared" si="23"/>
        <v/>
      </c>
      <c r="M716" s="36" t="str">
        <f>IF(AND(A716=Consulta!$B$3,C716=Consulta!$H$3),B716*10000+ROW(),"")</f>
        <v/>
      </c>
    </row>
    <row r="717" spans="1:13" x14ac:dyDescent="0.25">
      <c r="A717" s="21" t="str">
        <f>IF(Registro!$A717="","",Registro!$A717)</f>
        <v/>
      </c>
      <c r="B717" s="20" t="str">
        <f>IF(Registro!$B717="","",Registro!$B717)</f>
        <v/>
      </c>
      <c r="C717" s="35" t="str">
        <f t="shared" si="22"/>
        <v/>
      </c>
      <c r="D717" s="23" t="str">
        <f>IF(Registro!$E717="","",IF(ISERROR(FIND("x",LOWER(Registro!$E717))),"-",IFERROR(SUMPRODUCT(--("0"&amp;LEFT(TRIM(MID(SUBSTITUTE(SUBSTITUTE(SUBSTITUTE(SUBSTITUTE(SUBSTITUTE(LOWER(Registro!$E717),"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",LEN(Registro!$E717))),({1,2,3,4,5,6,7,8,9,10,11,12,13,14,15,16,17,18,19,20,21,22,23,24,25,26,27,28,29,30}-1)*LEN(Registro!$E717)+1,LEN(Registro!$E717))),FIND("x",TRIM(MID(SUBSTITUTE(SUBSTITUTE(SUBSTITUTE(SUBSTITUTE(SUBSTITUTE(LOWER(Registro!$E717),"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",LEN(Registro!$E717))),({1,2,3,4,5,6,7,8,9,10,11,12,13,14,15,16,17,18,19,20,21,22,23,24,25,26,27,28,29,30}-1)*LEN(Registro!$E717)+1,LEN(Registro!$E717)))&amp;"x")-1))),"Revisar formato")))</f>
        <v/>
      </c>
      <c r="E717" s="24" t="str">
        <f>IF(Registro!$E717="","",IF(ISERROR(FIND("x",LOWER(Registro!$E717))),"-",IFERROR(SUMPRODUCT(--("0"&amp;LEFT(TRIM(MID(SUBSTITUTE(SUBSTITUTE(SUBSTITUTE(SUBSTITUTE(SUBSTITUTE(LOWER(Registro!$E717),"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",LEN(Registro!$E717))),({1,2,3,4,5,6,7,8,9,10,11,12,13,14,15,16,17,18,19,20,21,22,23,24,25,26,27,28,29,30}-1)*LEN(Registro!$E717)+1,LEN(Registro!$E717))),FIND("x",TRIM(MID(SUBSTITUTE(SUBSTITUTE(SUBSTITUTE(SUBSTITUTE(SUBSTITUTE(LOWER(Registro!$E717),"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",LEN(Registro!$E717))),({1,2,3,4,5,6,7,8,9,10,11,12,13,14,15,16,17,18,19,20,21,22,23,24,25,26,27,28,29,30}-1)*LEN(Registro!$E717)+1,LEN(Registro!$E717)))&amp;"x")-1)),--("0"&amp;MID(TRIM(MID(SUBSTITUTE(SUBSTITUTE(SUBSTITUTE(SUBSTITUTE(SUBSTITUTE(LOWER(Registro!$E717),"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",LEN(Registro!$E717))),({1,2,3,4,5,6,7,8,9,10,11,12,13,14,15,16,17,18,19,20,21,22,23,24,25,26,27,28,29,30}-1)*LEN(Registro!$E717)+1,LEN(Registro!$E717))),FIND("x",TRIM(MID(SUBSTITUTE(SUBSTITUTE(SUBSTITUTE(SUBSTITUTE(SUBSTITUTE(LOWER(Registro!$E717),"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",LEN(Registro!$E717))),({1,2,3,4,5,6,7,8,9,10,11,12,13,14,15,16,17,18,19,20,21,22,23,24,25,26,27,28,29,30}-1)*LEN(Registro!$E717)+1,LEN(Registro!$E717)))&amp;"x")+1,20))),"Revisar formato")))</f>
        <v/>
      </c>
      <c r="F717" s="23" t="str">
        <f>IF(Registro!$F717="","",IF(ISERROR(FIND("x",LOWER(Registro!$F717))),"-",IFERROR(SUMPRODUCT(--("0"&amp;LEFT(TRIM(MID(SUBSTITUTE(SUBSTITUTE(SUBSTITUTE(SUBSTITUTE(SUBSTITUTE(LOWER(Registro!$F717)," ",""),CHAR(10),"|"),";","|"),"+","|"),"|",REPT(" ",LEN(Registro!$F717))),({1,2,3,4,5,6,7,8,9,10,11,12,13,14,15,16,17,18,19,20,21,22,23,24,25,26,27,28,29,30}-1)*LEN(Registro!$F717)+1,LEN(Registro!$F717))),FIND("x",TRIM(MID(SUBSTITUTE(SUBSTITUTE(SUBSTITUTE(SUBSTITUTE(SUBSTITUTE(LOWER(Registro!$F717)," ",""),CHAR(10),"|"),";","|"),"+","|"),"|",REPT(" ",LEN(Registro!$F717))),({1,2,3,4,5,6,7,8,9,10,11,12,13,14,15,16,17,18,19,20,21,22,23,24,25,26,27,28,29,30}-1)*LEN(Registro!$F717)+1,LEN(Registro!$F717)))&amp;"x")-1))),"Revisar formato")))</f>
        <v/>
      </c>
      <c r="G717" s="24" t="str">
        <f>IF(Registro!$F717="","",IF(ISERROR(FIND("x",LOWER(Registro!$F717))),N(Registro!$G717),IFERROR(SUMPRODUCT(--("0"&amp;LEFT(TRIM(MID(SUBSTITUTE(SUBSTITUTE(SUBSTITUTE(SUBSTITUTE(SUBSTITUTE(LOWER(Registro!$F717)," ",""),CHAR(10),"|"),";","|"),"+","|"),"|",REPT(" ",LEN(Registro!$F717))),({1,2,3,4,5,6,7,8,9,10,11,12,13,14,15,16,17,18,19,20,21,22,23,24,25,26,27,28,29,30}-1)*LEN(Registro!$F717)+1,LEN(Registro!$F717))),FIND("x",TRIM(MID(SUBSTITUTE(SUBSTITUTE(SUBSTITUTE(SUBSTITUTE(SUBSTITUTE(LOWER(Registro!$F717)," ",""),CHAR(10),"|"),";","|"),"+","|"),"|",REPT(" ",LEN(Registro!$F717))),({1,2,3,4,5,6,7,8,9,10,11,12,13,14,15,16,17,18,19,20,21,22,23,24,25,26,27,28,29,30}-1)*LEN(Registro!$F717)+1,LEN(Registro!$F717)))&amp;"x")-1)),--("0"&amp;MID(TRIM(MID(SUBSTITUTE(SUBSTITUTE(SUBSTITUTE(SUBSTITUTE(SUBSTITUTE(LOWER(Registro!$F717)," ",""),CHAR(10),"|"),";","|"),"+","|"),"|",REPT(" ",LEN(Registro!$F717))),({1,2,3,4,5,6,7,8,9,10,11,12,13,14,15,16,17,18,19,20,21,22,23,24,25,26,27,28,29,30}-1)*LEN(Registro!$F717)+1,LEN(Registro!$F717))),FIND("x",TRIM(MID(SUBSTITUTE(SUBSTITUTE(SUBSTITUTE(SUBSTITUTE(SUBSTITUTE(LOWER(Registro!$F717)," ",""),CHAR(10),"|"),";","|"),"+","|"),"|",REPT(" ",LEN(Registro!$F717))),({1,2,3,4,5,6,7,8,9,10,11,12,13,14,15,16,17,18,19,20,21,22,23,24,25,26,27,28,29,30}-1)*LEN(Registro!$F717)+1,LEN(Registro!$F717)))&amp;"x")+1,20))),"Revisar formato")))</f>
        <v/>
      </c>
      <c r="H717" s="21" t="str">
        <f>IF(AND(Registro!$E717="",Registro!$F717=""),"",IF(NOT(AND(ISNUMBER(G717),ISNUMBER(Registro!$G717))),"",IF(G717&lt;Registro!$G717,"FALTA BOLETOS",IF(G717=Registro!$G717,"CONFORME","DIFERENCIA"))))</f>
        <v/>
      </c>
      <c r="I717" s="24" t="str">
        <f>IF(Registro!$H717="","",IFERROR(SUMPRODUCT(--("0"&amp;TRIM(RIGHT(SUBSTITUTE(TRIM(MID(SUBSTITUTE(SUBSTITUTE(Registro!$H717,";",CHAR(10)),CHAR(10),REPT(" ",LEN(Registro!$H717))),({1,2,3,4,5,6,7,8,9,10,11,12,13,14,15,16,17,18,19,20,21,22,23,24,25,26,27,28,29,30}-1)*LEN(Registro!$H717)+1,LEN(Registro!$H717)))," ",REPT(" ",50)),50)))),"Revisar formato"))</f>
        <v/>
      </c>
      <c r="J717" s="24" t="str">
        <f>IF(Registro!$I717="","",IFERROR(SUMPRODUCT(--("0"&amp;TRIM(RIGHT(SUBSTITUTE(TRIM(MID(SUBSTITUTE(SUBSTITUTE(Registro!$I717,";",CHAR(10)),CHAR(10),REPT(" ",LEN(Registro!$I717))),({1,2,3,4,5,6,7,8,9,10,11,12,13,14,15,16,17,18,19,20,21,22,23,24,25,26,27,28,29,30}-1)*LEN(Registro!$I717)+1,LEN(Registro!$I717)))," ",REPT(" ",50)),50)))),"Revisar formato"))</f>
        <v/>
      </c>
      <c r="K717" s="24" t="str">
        <f>IF(AND(Registro!$G717="",Registro!$H717=""),"",IF(AND(ISTEXT(I717),I717&lt;&gt;""),"Revisar formato",N(Registro!$G717)-N(I717)))</f>
        <v/>
      </c>
      <c r="L717" s="24" t="str">
        <f t="shared" si="23"/>
        <v/>
      </c>
      <c r="M717" s="36" t="str">
        <f>IF(AND(A717=Consulta!$B$3,C717=Consulta!$H$3),B717*10000+ROW(),"")</f>
        <v/>
      </c>
    </row>
    <row r="718" spans="1:13" x14ac:dyDescent="0.25">
      <c r="A718" s="21" t="str">
        <f>IF(Registro!$A718="","",Registro!$A718)</f>
        <v/>
      </c>
      <c r="B718" s="20" t="str">
        <f>IF(Registro!$B718="","",Registro!$B718)</f>
        <v/>
      </c>
      <c r="C718" s="35" t="str">
        <f t="shared" si="22"/>
        <v/>
      </c>
      <c r="D718" s="23" t="str">
        <f>IF(Registro!$E718="","",IF(ISERROR(FIND("x",LOWER(Registro!$E718))),"-",IFERROR(SUMPRODUCT(--("0"&amp;LEFT(TRIM(MID(SUBSTITUTE(SUBSTITUTE(SUBSTITUTE(SUBSTITUTE(SUBSTITUTE(LOWER(Registro!$E718),"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",LEN(Registro!$E718))),({1,2,3,4,5,6,7,8,9,10,11,12,13,14,15,16,17,18,19,20,21,22,23,24,25,26,27,28,29,30}-1)*LEN(Registro!$E718)+1,LEN(Registro!$E718))),FIND("x",TRIM(MID(SUBSTITUTE(SUBSTITUTE(SUBSTITUTE(SUBSTITUTE(SUBSTITUTE(LOWER(Registro!$E718),"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",LEN(Registro!$E718))),({1,2,3,4,5,6,7,8,9,10,11,12,13,14,15,16,17,18,19,20,21,22,23,24,25,26,27,28,29,30}-1)*LEN(Registro!$E718)+1,LEN(Registro!$E718)))&amp;"x")-1))),"Revisar formato")))</f>
        <v/>
      </c>
      <c r="E718" s="24" t="str">
        <f>IF(Registro!$E718="","",IF(ISERROR(FIND("x",LOWER(Registro!$E718))),"-",IFERROR(SUMPRODUCT(--("0"&amp;LEFT(TRIM(MID(SUBSTITUTE(SUBSTITUTE(SUBSTITUTE(SUBSTITUTE(SUBSTITUTE(LOWER(Registro!$E718),"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",LEN(Registro!$E718))),({1,2,3,4,5,6,7,8,9,10,11,12,13,14,15,16,17,18,19,20,21,22,23,24,25,26,27,28,29,30}-1)*LEN(Registro!$E718)+1,LEN(Registro!$E718))),FIND("x",TRIM(MID(SUBSTITUTE(SUBSTITUTE(SUBSTITUTE(SUBSTITUTE(SUBSTITUTE(LOWER(Registro!$E718),"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",LEN(Registro!$E718))),({1,2,3,4,5,6,7,8,9,10,11,12,13,14,15,16,17,18,19,20,21,22,23,24,25,26,27,28,29,30}-1)*LEN(Registro!$E718)+1,LEN(Registro!$E718)))&amp;"x")-1)),--("0"&amp;MID(TRIM(MID(SUBSTITUTE(SUBSTITUTE(SUBSTITUTE(SUBSTITUTE(SUBSTITUTE(LOWER(Registro!$E718),"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",LEN(Registro!$E718))),({1,2,3,4,5,6,7,8,9,10,11,12,13,14,15,16,17,18,19,20,21,22,23,24,25,26,27,28,29,30}-1)*LEN(Registro!$E718)+1,LEN(Registro!$E718))),FIND("x",TRIM(MID(SUBSTITUTE(SUBSTITUTE(SUBSTITUTE(SUBSTITUTE(SUBSTITUTE(LOWER(Registro!$E718),"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",LEN(Registro!$E718))),({1,2,3,4,5,6,7,8,9,10,11,12,13,14,15,16,17,18,19,20,21,22,23,24,25,26,27,28,29,30}-1)*LEN(Registro!$E718)+1,LEN(Registro!$E718)))&amp;"x")+1,20))),"Revisar formato")))</f>
        <v/>
      </c>
      <c r="F718" s="23" t="str">
        <f>IF(Registro!$F718="","",IF(ISERROR(FIND("x",LOWER(Registro!$F718))),"-",IFERROR(SUMPRODUCT(--("0"&amp;LEFT(TRIM(MID(SUBSTITUTE(SUBSTITUTE(SUBSTITUTE(SUBSTITUTE(SUBSTITUTE(LOWER(Registro!$F718)," ",""),CHAR(10),"|"),";","|"),"+","|"),"|",REPT(" ",LEN(Registro!$F718))),({1,2,3,4,5,6,7,8,9,10,11,12,13,14,15,16,17,18,19,20,21,22,23,24,25,26,27,28,29,30}-1)*LEN(Registro!$F718)+1,LEN(Registro!$F718))),FIND("x",TRIM(MID(SUBSTITUTE(SUBSTITUTE(SUBSTITUTE(SUBSTITUTE(SUBSTITUTE(LOWER(Registro!$F718)," ",""),CHAR(10),"|"),";","|"),"+","|"),"|",REPT(" ",LEN(Registro!$F718))),({1,2,3,4,5,6,7,8,9,10,11,12,13,14,15,16,17,18,19,20,21,22,23,24,25,26,27,28,29,30}-1)*LEN(Registro!$F718)+1,LEN(Registro!$F718)))&amp;"x")-1))),"Revisar formato")))</f>
        <v/>
      </c>
      <c r="G718" s="24" t="str">
        <f>IF(Registro!$F718="","",IF(ISERROR(FIND("x",LOWER(Registro!$F718))),N(Registro!$G718),IFERROR(SUMPRODUCT(--("0"&amp;LEFT(TRIM(MID(SUBSTITUTE(SUBSTITUTE(SUBSTITUTE(SUBSTITUTE(SUBSTITUTE(LOWER(Registro!$F718)," ",""),CHAR(10),"|"),";","|"),"+","|"),"|",REPT(" ",LEN(Registro!$F718))),({1,2,3,4,5,6,7,8,9,10,11,12,13,14,15,16,17,18,19,20,21,22,23,24,25,26,27,28,29,30}-1)*LEN(Registro!$F718)+1,LEN(Registro!$F718))),FIND("x",TRIM(MID(SUBSTITUTE(SUBSTITUTE(SUBSTITUTE(SUBSTITUTE(SUBSTITUTE(LOWER(Registro!$F718)," ",""),CHAR(10),"|"),";","|"),"+","|"),"|",REPT(" ",LEN(Registro!$F718))),({1,2,3,4,5,6,7,8,9,10,11,12,13,14,15,16,17,18,19,20,21,22,23,24,25,26,27,28,29,30}-1)*LEN(Registro!$F718)+1,LEN(Registro!$F718)))&amp;"x")-1)),--("0"&amp;MID(TRIM(MID(SUBSTITUTE(SUBSTITUTE(SUBSTITUTE(SUBSTITUTE(SUBSTITUTE(LOWER(Registro!$F718)," ",""),CHAR(10),"|"),";","|"),"+","|"),"|",REPT(" ",LEN(Registro!$F718))),({1,2,3,4,5,6,7,8,9,10,11,12,13,14,15,16,17,18,19,20,21,22,23,24,25,26,27,28,29,30}-1)*LEN(Registro!$F718)+1,LEN(Registro!$F718))),FIND("x",TRIM(MID(SUBSTITUTE(SUBSTITUTE(SUBSTITUTE(SUBSTITUTE(SUBSTITUTE(LOWER(Registro!$F718)," ",""),CHAR(10),"|"),";","|"),"+","|"),"|",REPT(" ",LEN(Registro!$F718))),({1,2,3,4,5,6,7,8,9,10,11,12,13,14,15,16,17,18,19,20,21,22,23,24,25,26,27,28,29,30}-1)*LEN(Registro!$F718)+1,LEN(Registro!$F718)))&amp;"x")+1,20))),"Revisar formato")))</f>
        <v/>
      </c>
      <c r="H718" s="21" t="str">
        <f>IF(AND(Registro!$E718="",Registro!$F718=""),"",IF(NOT(AND(ISNUMBER(G718),ISNUMBER(Registro!$G718))),"",IF(G718&lt;Registro!$G718,"FALTA BOLETOS",IF(G718=Registro!$G718,"CONFORME","DIFERENCIA"))))</f>
        <v/>
      </c>
      <c r="I718" s="24" t="str">
        <f>IF(Registro!$H718="","",IFERROR(SUMPRODUCT(--("0"&amp;TRIM(RIGHT(SUBSTITUTE(TRIM(MID(SUBSTITUTE(SUBSTITUTE(Registro!$H718,";",CHAR(10)),CHAR(10),REPT(" ",LEN(Registro!$H718))),({1,2,3,4,5,6,7,8,9,10,11,12,13,14,15,16,17,18,19,20,21,22,23,24,25,26,27,28,29,30}-1)*LEN(Registro!$H718)+1,LEN(Registro!$H718)))," ",REPT(" ",50)),50)))),"Revisar formato"))</f>
        <v/>
      </c>
      <c r="J718" s="24" t="str">
        <f>IF(Registro!$I718="","",IFERROR(SUMPRODUCT(--("0"&amp;TRIM(RIGHT(SUBSTITUTE(TRIM(MID(SUBSTITUTE(SUBSTITUTE(Registro!$I718,";",CHAR(10)),CHAR(10),REPT(" ",LEN(Registro!$I718))),({1,2,3,4,5,6,7,8,9,10,11,12,13,14,15,16,17,18,19,20,21,22,23,24,25,26,27,28,29,30}-1)*LEN(Registro!$I718)+1,LEN(Registro!$I718)))," ",REPT(" ",50)),50)))),"Revisar formato"))</f>
        <v/>
      </c>
      <c r="K718" s="24" t="str">
        <f>IF(AND(Registro!$G718="",Registro!$H718=""),"",IF(AND(ISTEXT(I718),I718&lt;&gt;""),"Revisar formato",N(Registro!$G718)-N(I718)))</f>
        <v/>
      </c>
      <c r="L718" s="24" t="str">
        <f t="shared" si="23"/>
        <v/>
      </c>
      <c r="M718" s="36" t="str">
        <f>IF(AND(A718=Consulta!$B$3,C718=Consulta!$H$3),B718*10000+ROW(),"")</f>
        <v/>
      </c>
    </row>
    <row r="719" spans="1:13" x14ac:dyDescent="0.25">
      <c r="A719" s="21" t="str">
        <f>IF(Registro!$A719="","",Registro!$A719)</f>
        <v/>
      </c>
      <c r="B719" s="20" t="str">
        <f>IF(Registro!$B719="","",Registro!$B719)</f>
        <v/>
      </c>
      <c r="C719" s="35" t="str">
        <f t="shared" si="22"/>
        <v/>
      </c>
      <c r="D719" s="23" t="str">
        <f>IF(Registro!$E719="","",IF(ISERROR(FIND("x",LOWER(Registro!$E719))),"-",IFERROR(SUMPRODUCT(--("0"&amp;LEFT(TRIM(MID(SUBSTITUTE(SUBSTITUTE(SUBSTITUTE(SUBSTITUTE(SUBSTITUTE(LOWER(Registro!$E719),"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",LEN(Registro!$E719))),({1,2,3,4,5,6,7,8,9,10,11,12,13,14,15,16,17,18,19,20,21,22,23,24,25,26,27,28,29,30}-1)*LEN(Registro!$E719)+1,LEN(Registro!$E719))),FIND("x",TRIM(MID(SUBSTITUTE(SUBSTITUTE(SUBSTITUTE(SUBSTITUTE(SUBSTITUTE(LOWER(Registro!$E719),"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",LEN(Registro!$E719))),({1,2,3,4,5,6,7,8,9,10,11,12,13,14,15,16,17,18,19,20,21,22,23,24,25,26,27,28,29,30}-1)*LEN(Registro!$E719)+1,LEN(Registro!$E719)))&amp;"x")-1))),"Revisar formato")))</f>
        <v/>
      </c>
      <c r="E719" s="24" t="str">
        <f>IF(Registro!$E719="","",IF(ISERROR(FIND("x",LOWER(Registro!$E719))),"-",IFERROR(SUMPRODUCT(--("0"&amp;LEFT(TRIM(MID(SUBSTITUTE(SUBSTITUTE(SUBSTITUTE(SUBSTITUTE(SUBSTITUTE(LOWER(Registro!$E719),"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",LEN(Registro!$E719))),({1,2,3,4,5,6,7,8,9,10,11,12,13,14,15,16,17,18,19,20,21,22,23,24,25,26,27,28,29,30}-1)*LEN(Registro!$E719)+1,LEN(Registro!$E719))),FIND("x",TRIM(MID(SUBSTITUTE(SUBSTITUTE(SUBSTITUTE(SUBSTITUTE(SUBSTITUTE(LOWER(Registro!$E719),"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",LEN(Registro!$E719))),({1,2,3,4,5,6,7,8,9,10,11,12,13,14,15,16,17,18,19,20,21,22,23,24,25,26,27,28,29,30}-1)*LEN(Registro!$E719)+1,LEN(Registro!$E719)))&amp;"x")-1)),--("0"&amp;MID(TRIM(MID(SUBSTITUTE(SUBSTITUTE(SUBSTITUTE(SUBSTITUTE(SUBSTITUTE(LOWER(Registro!$E719),"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",LEN(Registro!$E719))),({1,2,3,4,5,6,7,8,9,10,11,12,13,14,15,16,17,18,19,20,21,22,23,24,25,26,27,28,29,30}-1)*LEN(Registro!$E719)+1,LEN(Registro!$E719))),FIND("x",TRIM(MID(SUBSTITUTE(SUBSTITUTE(SUBSTITUTE(SUBSTITUTE(SUBSTITUTE(LOWER(Registro!$E719),"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",LEN(Registro!$E719))),({1,2,3,4,5,6,7,8,9,10,11,12,13,14,15,16,17,18,19,20,21,22,23,24,25,26,27,28,29,30}-1)*LEN(Registro!$E719)+1,LEN(Registro!$E719)))&amp;"x")+1,20))),"Revisar formato")))</f>
        <v/>
      </c>
      <c r="F719" s="23" t="str">
        <f>IF(Registro!$F719="","",IF(ISERROR(FIND("x",LOWER(Registro!$F719))),"-",IFERROR(SUMPRODUCT(--("0"&amp;LEFT(TRIM(MID(SUBSTITUTE(SUBSTITUTE(SUBSTITUTE(SUBSTITUTE(SUBSTITUTE(LOWER(Registro!$F719)," ",""),CHAR(10),"|"),";","|"),"+","|"),"|",REPT(" ",LEN(Registro!$F719))),({1,2,3,4,5,6,7,8,9,10,11,12,13,14,15,16,17,18,19,20,21,22,23,24,25,26,27,28,29,30}-1)*LEN(Registro!$F719)+1,LEN(Registro!$F719))),FIND("x",TRIM(MID(SUBSTITUTE(SUBSTITUTE(SUBSTITUTE(SUBSTITUTE(SUBSTITUTE(LOWER(Registro!$F719)," ",""),CHAR(10),"|"),";","|"),"+","|"),"|",REPT(" ",LEN(Registro!$F719))),({1,2,3,4,5,6,7,8,9,10,11,12,13,14,15,16,17,18,19,20,21,22,23,24,25,26,27,28,29,30}-1)*LEN(Registro!$F719)+1,LEN(Registro!$F719)))&amp;"x")-1))),"Revisar formato")))</f>
        <v/>
      </c>
      <c r="G719" s="24" t="str">
        <f>IF(Registro!$F719="","",IF(ISERROR(FIND("x",LOWER(Registro!$F719))),N(Registro!$G719),IFERROR(SUMPRODUCT(--("0"&amp;LEFT(TRIM(MID(SUBSTITUTE(SUBSTITUTE(SUBSTITUTE(SUBSTITUTE(SUBSTITUTE(LOWER(Registro!$F719)," ",""),CHAR(10),"|"),";","|"),"+","|"),"|",REPT(" ",LEN(Registro!$F719))),({1,2,3,4,5,6,7,8,9,10,11,12,13,14,15,16,17,18,19,20,21,22,23,24,25,26,27,28,29,30}-1)*LEN(Registro!$F719)+1,LEN(Registro!$F719))),FIND("x",TRIM(MID(SUBSTITUTE(SUBSTITUTE(SUBSTITUTE(SUBSTITUTE(SUBSTITUTE(LOWER(Registro!$F719)," ",""),CHAR(10),"|"),";","|"),"+","|"),"|",REPT(" ",LEN(Registro!$F719))),({1,2,3,4,5,6,7,8,9,10,11,12,13,14,15,16,17,18,19,20,21,22,23,24,25,26,27,28,29,30}-1)*LEN(Registro!$F719)+1,LEN(Registro!$F719)))&amp;"x")-1)),--("0"&amp;MID(TRIM(MID(SUBSTITUTE(SUBSTITUTE(SUBSTITUTE(SUBSTITUTE(SUBSTITUTE(LOWER(Registro!$F719)," ",""),CHAR(10),"|"),";","|"),"+","|"),"|",REPT(" ",LEN(Registro!$F719))),({1,2,3,4,5,6,7,8,9,10,11,12,13,14,15,16,17,18,19,20,21,22,23,24,25,26,27,28,29,30}-1)*LEN(Registro!$F719)+1,LEN(Registro!$F719))),FIND("x",TRIM(MID(SUBSTITUTE(SUBSTITUTE(SUBSTITUTE(SUBSTITUTE(SUBSTITUTE(LOWER(Registro!$F719)," ",""),CHAR(10),"|"),";","|"),"+","|"),"|",REPT(" ",LEN(Registro!$F719))),({1,2,3,4,5,6,7,8,9,10,11,12,13,14,15,16,17,18,19,20,21,22,23,24,25,26,27,28,29,30}-1)*LEN(Registro!$F719)+1,LEN(Registro!$F719)))&amp;"x")+1,20))),"Revisar formato")))</f>
        <v/>
      </c>
      <c r="H719" s="21" t="str">
        <f>IF(AND(Registro!$E719="",Registro!$F719=""),"",IF(NOT(AND(ISNUMBER(G719),ISNUMBER(Registro!$G719))),"",IF(G719&lt;Registro!$G719,"FALTA BOLETOS",IF(G719=Registro!$G719,"CONFORME","DIFERENCIA"))))</f>
        <v/>
      </c>
      <c r="I719" s="24" t="str">
        <f>IF(Registro!$H719="","",IFERROR(SUMPRODUCT(--("0"&amp;TRIM(RIGHT(SUBSTITUTE(TRIM(MID(SUBSTITUTE(SUBSTITUTE(Registro!$H719,";",CHAR(10)),CHAR(10),REPT(" ",LEN(Registro!$H719))),({1,2,3,4,5,6,7,8,9,10,11,12,13,14,15,16,17,18,19,20,21,22,23,24,25,26,27,28,29,30}-1)*LEN(Registro!$H719)+1,LEN(Registro!$H719)))," ",REPT(" ",50)),50)))),"Revisar formato"))</f>
        <v/>
      </c>
      <c r="J719" s="24" t="str">
        <f>IF(Registro!$I719="","",IFERROR(SUMPRODUCT(--("0"&amp;TRIM(RIGHT(SUBSTITUTE(TRIM(MID(SUBSTITUTE(SUBSTITUTE(Registro!$I719,";",CHAR(10)),CHAR(10),REPT(" ",LEN(Registro!$I719))),({1,2,3,4,5,6,7,8,9,10,11,12,13,14,15,16,17,18,19,20,21,22,23,24,25,26,27,28,29,30}-1)*LEN(Registro!$I719)+1,LEN(Registro!$I719)))," ",REPT(" ",50)),50)))),"Revisar formato"))</f>
        <v/>
      </c>
      <c r="K719" s="24" t="str">
        <f>IF(AND(Registro!$G719="",Registro!$H719=""),"",IF(AND(ISTEXT(I719),I719&lt;&gt;""),"Revisar formato",N(Registro!$G719)-N(I719)))</f>
        <v/>
      </c>
      <c r="L719" s="24" t="str">
        <f t="shared" si="23"/>
        <v/>
      </c>
      <c r="M719" s="36" t="str">
        <f>IF(AND(A719=Consulta!$B$3,C719=Consulta!$H$3),B719*10000+ROW(),"")</f>
        <v/>
      </c>
    </row>
    <row r="720" spans="1:13" x14ac:dyDescent="0.25">
      <c r="A720" s="21" t="str">
        <f>IF(Registro!$A720="","",Registro!$A720)</f>
        <v/>
      </c>
      <c r="B720" s="20" t="str">
        <f>IF(Registro!$B720="","",Registro!$B720)</f>
        <v/>
      </c>
      <c r="C720" s="35" t="str">
        <f t="shared" si="22"/>
        <v/>
      </c>
      <c r="D720" s="23" t="str">
        <f>IF(Registro!$E720="","",IF(ISERROR(FIND("x",LOWER(Registro!$E720))),"-",IFERROR(SUMPRODUCT(--("0"&amp;LEFT(TRIM(MID(SUBSTITUTE(SUBSTITUTE(SUBSTITUTE(SUBSTITUTE(SUBSTITUTE(LOWER(Registro!$E720),"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",LEN(Registro!$E720))),({1,2,3,4,5,6,7,8,9,10,11,12,13,14,15,16,17,18,19,20,21,22,23,24,25,26,27,28,29,30}-1)*LEN(Registro!$E720)+1,LEN(Registro!$E720))),FIND("x",TRIM(MID(SUBSTITUTE(SUBSTITUTE(SUBSTITUTE(SUBSTITUTE(SUBSTITUTE(LOWER(Registro!$E720),"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",LEN(Registro!$E720))),({1,2,3,4,5,6,7,8,9,10,11,12,13,14,15,16,17,18,19,20,21,22,23,24,25,26,27,28,29,30}-1)*LEN(Registro!$E720)+1,LEN(Registro!$E720)))&amp;"x")-1))),"Revisar formato")))</f>
        <v/>
      </c>
      <c r="E720" s="24" t="str">
        <f>IF(Registro!$E720="","",IF(ISERROR(FIND("x",LOWER(Registro!$E720))),"-",IFERROR(SUMPRODUCT(--("0"&amp;LEFT(TRIM(MID(SUBSTITUTE(SUBSTITUTE(SUBSTITUTE(SUBSTITUTE(SUBSTITUTE(LOWER(Registro!$E720),"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",LEN(Registro!$E720))),({1,2,3,4,5,6,7,8,9,10,11,12,13,14,15,16,17,18,19,20,21,22,23,24,25,26,27,28,29,30}-1)*LEN(Registro!$E720)+1,LEN(Registro!$E720))),FIND("x",TRIM(MID(SUBSTITUTE(SUBSTITUTE(SUBSTITUTE(SUBSTITUTE(SUBSTITUTE(LOWER(Registro!$E720),"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",LEN(Registro!$E720))),({1,2,3,4,5,6,7,8,9,10,11,12,13,14,15,16,17,18,19,20,21,22,23,24,25,26,27,28,29,30}-1)*LEN(Registro!$E720)+1,LEN(Registro!$E720)))&amp;"x")-1)),--("0"&amp;MID(TRIM(MID(SUBSTITUTE(SUBSTITUTE(SUBSTITUTE(SUBSTITUTE(SUBSTITUTE(LOWER(Registro!$E720),"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",LEN(Registro!$E720))),({1,2,3,4,5,6,7,8,9,10,11,12,13,14,15,16,17,18,19,20,21,22,23,24,25,26,27,28,29,30}-1)*LEN(Registro!$E720)+1,LEN(Registro!$E720))),FIND("x",TRIM(MID(SUBSTITUTE(SUBSTITUTE(SUBSTITUTE(SUBSTITUTE(SUBSTITUTE(LOWER(Registro!$E720),"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",LEN(Registro!$E720))),({1,2,3,4,5,6,7,8,9,10,11,12,13,14,15,16,17,18,19,20,21,22,23,24,25,26,27,28,29,30}-1)*LEN(Registro!$E720)+1,LEN(Registro!$E720)))&amp;"x")+1,20))),"Revisar formato")))</f>
        <v/>
      </c>
      <c r="F720" s="23" t="str">
        <f>IF(Registro!$F720="","",IF(ISERROR(FIND("x",LOWER(Registro!$F720))),"-",IFERROR(SUMPRODUCT(--("0"&amp;LEFT(TRIM(MID(SUBSTITUTE(SUBSTITUTE(SUBSTITUTE(SUBSTITUTE(SUBSTITUTE(LOWER(Registro!$F720)," ",""),CHAR(10),"|"),";","|"),"+","|"),"|",REPT(" ",LEN(Registro!$F720))),({1,2,3,4,5,6,7,8,9,10,11,12,13,14,15,16,17,18,19,20,21,22,23,24,25,26,27,28,29,30}-1)*LEN(Registro!$F720)+1,LEN(Registro!$F720))),FIND("x",TRIM(MID(SUBSTITUTE(SUBSTITUTE(SUBSTITUTE(SUBSTITUTE(SUBSTITUTE(LOWER(Registro!$F720)," ",""),CHAR(10),"|"),";","|"),"+","|"),"|",REPT(" ",LEN(Registro!$F720))),({1,2,3,4,5,6,7,8,9,10,11,12,13,14,15,16,17,18,19,20,21,22,23,24,25,26,27,28,29,30}-1)*LEN(Registro!$F720)+1,LEN(Registro!$F720)))&amp;"x")-1))),"Revisar formato")))</f>
        <v/>
      </c>
      <c r="G720" s="24" t="str">
        <f>IF(Registro!$F720="","",IF(ISERROR(FIND("x",LOWER(Registro!$F720))),N(Registro!$G720),IFERROR(SUMPRODUCT(--("0"&amp;LEFT(TRIM(MID(SUBSTITUTE(SUBSTITUTE(SUBSTITUTE(SUBSTITUTE(SUBSTITUTE(LOWER(Registro!$F720)," ",""),CHAR(10),"|"),";","|"),"+","|"),"|",REPT(" ",LEN(Registro!$F720))),({1,2,3,4,5,6,7,8,9,10,11,12,13,14,15,16,17,18,19,20,21,22,23,24,25,26,27,28,29,30}-1)*LEN(Registro!$F720)+1,LEN(Registro!$F720))),FIND("x",TRIM(MID(SUBSTITUTE(SUBSTITUTE(SUBSTITUTE(SUBSTITUTE(SUBSTITUTE(LOWER(Registro!$F720)," ",""),CHAR(10),"|"),";","|"),"+","|"),"|",REPT(" ",LEN(Registro!$F720))),({1,2,3,4,5,6,7,8,9,10,11,12,13,14,15,16,17,18,19,20,21,22,23,24,25,26,27,28,29,30}-1)*LEN(Registro!$F720)+1,LEN(Registro!$F720)))&amp;"x")-1)),--("0"&amp;MID(TRIM(MID(SUBSTITUTE(SUBSTITUTE(SUBSTITUTE(SUBSTITUTE(SUBSTITUTE(LOWER(Registro!$F720)," ",""),CHAR(10),"|"),";","|"),"+","|"),"|",REPT(" ",LEN(Registro!$F720))),({1,2,3,4,5,6,7,8,9,10,11,12,13,14,15,16,17,18,19,20,21,22,23,24,25,26,27,28,29,30}-1)*LEN(Registro!$F720)+1,LEN(Registro!$F720))),FIND("x",TRIM(MID(SUBSTITUTE(SUBSTITUTE(SUBSTITUTE(SUBSTITUTE(SUBSTITUTE(LOWER(Registro!$F720)," ",""),CHAR(10),"|"),";","|"),"+","|"),"|",REPT(" ",LEN(Registro!$F720))),({1,2,3,4,5,6,7,8,9,10,11,12,13,14,15,16,17,18,19,20,21,22,23,24,25,26,27,28,29,30}-1)*LEN(Registro!$F720)+1,LEN(Registro!$F720)))&amp;"x")+1,20))),"Revisar formato")))</f>
        <v/>
      </c>
      <c r="H720" s="21" t="str">
        <f>IF(AND(Registro!$E720="",Registro!$F720=""),"",IF(NOT(AND(ISNUMBER(G720),ISNUMBER(Registro!$G720))),"",IF(G720&lt;Registro!$G720,"FALTA BOLETOS",IF(G720=Registro!$G720,"CONFORME","DIFERENCIA"))))</f>
        <v/>
      </c>
      <c r="I720" s="24" t="str">
        <f>IF(Registro!$H720="","",IFERROR(SUMPRODUCT(--("0"&amp;TRIM(RIGHT(SUBSTITUTE(TRIM(MID(SUBSTITUTE(SUBSTITUTE(Registro!$H720,";",CHAR(10)),CHAR(10),REPT(" ",LEN(Registro!$H720))),({1,2,3,4,5,6,7,8,9,10,11,12,13,14,15,16,17,18,19,20,21,22,23,24,25,26,27,28,29,30}-1)*LEN(Registro!$H720)+1,LEN(Registro!$H720)))," ",REPT(" ",50)),50)))),"Revisar formato"))</f>
        <v/>
      </c>
      <c r="J720" s="24" t="str">
        <f>IF(Registro!$I720="","",IFERROR(SUMPRODUCT(--("0"&amp;TRIM(RIGHT(SUBSTITUTE(TRIM(MID(SUBSTITUTE(SUBSTITUTE(Registro!$I720,";",CHAR(10)),CHAR(10),REPT(" ",LEN(Registro!$I720))),({1,2,3,4,5,6,7,8,9,10,11,12,13,14,15,16,17,18,19,20,21,22,23,24,25,26,27,28,29,30}-1)*LEN(Registro!$I720)+1,LEN(Registro!$I720)))," ",REPT(" ",50)),50)))),"Revisar formato"))</f>
        <v/>
      </c>
      <c r="K720" s="24" t="str">
        <f>IF(AND(Registro!$G720="",Registro!$H720=""),"",IF(AND(ISTEXT(I720),I720&lt;&gt;""),"Revisar formato",N(Registro!$G720)-N(I720)))</f>
        <v/>
      </c>
      <c r="L720" s="24" t="str">
        <f t="shared" si="23"/>
        <v/>
      </c>
      <c r="M720" s="36" t="str">
        <f>IF(AND(A720=Consulta!$B$3,C720=Consulta!$H$3),B720*10000+ROW(),"")</f>
        <v/>
      </c>
    </row>
    <row r="721" spans="1:13" x14ac:dyDescent="0.25">
      <c r="A721" s="21" t="str">
        <f>IF(Registro!$A721="","",Registro!$A721)</f>
        <v/>
      </c>
      <c r="B721" s="20" t="str">
        <f>IF(Registro!$B721="","",Registro!$B721)</f>
        <v/>
      </c>
      <c r="C721" s="35" t="str">
        <f t="shared" si="22"/>
        <v/>
      </c>
      <c r="D721" s="23" t="str">
        <f>IF(Registro!$E721="","",IF(ISERROR(FIND("x",LOWER(Registro!$E721))),"-",IFERROR(SUMPRODUCT(--("0"&amp;LEFT(TRIM(MID(SUBSTITUTE(SUBSTITUTE(SUBSTITUTE(SUBSTITUTE(SUBSTITUTE(LOWER(Registro!$E721),"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",LEN(Registro!$E721))),({1,2,3,4,5,6,7,8,9,10,11,12,13,14,15,16,17,18,19,20,21,22,23,24,25,26,27,28,29,30}-1)*LEN(Registro!$E721)+1,LEN(Registro!$E721))),FIND("x",TRIM(MID(SUBSTITUTE(SUBSTITUTE(SUBSTITUTE(SUBSTITUTE(SUBSTITUTE(LOWER(Registro!$E721),"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",LEN(Registro!$E721))),({1,2,3,4,5,6,7,8,9,10,11,12,13,14,15,16,17,18,19,20,21,22,23,24,25,26,27,28,29,30}-1)*LEN(Registro!$E721)+1,LEN(Registro!$E721)))&amp;"x")-1))),"Revisar formato")))</f>
        <v/>
      </c>
      <c r="E721" s="24" t="str">
        <f>IF(Registro!$E721="","",IF(ISERROR(FIND("x",LOWER(Registro!$E721))),"-",IFERROR(SUMPRODUCT(--("0"&amp;LEFT(TRIM(MID(SUBSTITUTE(SUBSTITUTE(SUBSTITUTE(SUBSTITUTE(SUBSTITUTE(LOWER(Registro!$E721),"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",LEN(Registro!$E721))),({1,2,3,4,5,6,7,8,9,10,11,12,13,14,15,16,17,18,19,20,21,22,23,24,25,26,27,28,29,30}-1)*LEN(Registro!$E721)+1,LEN(Registro!$E721))),FIND("x",TRIM(MID(SUBSTITUTE(SUBSTITUTE(SUBSTITUTE(SUBSTITUTE(SUBSTITUTE(LOWER(Registro!$E721),"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",LEN(Registro!$E721))),({1,2,3,4,5,6,7,8,9,10,11,12,13,14,15,16,17,18,19,20,21,22,23,24,25,26,27,28,29,30}-1)*LEN(Registro!$E721)+1,LEN(Registro!$E721)))&amp;"x")-1)),--("0"&amp;MID(TRIM(MID(SUBSTITUTE(SUBSTITUTE(SUBSTITUTE(SUBSTITUTE(SUBSTITUTE(LOWER(Registro!$E721),"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",LEN(Registro!$E721))),({1,2,3,4,5,6,7,8,9,10,11,12,13,14,15,16,17,18,19,20,21,22,23,24,25,26,27,28,29,30}-1)*LEN(Registro!$E721)+1,LEN(Registro!$E721))),FIND("x",TRIM(MID(SUBSTITUTE(SUBSTITUTE(SUBSTITUTE(SUBSTITUTE(SUBSTITUTE(LOWER(Registro!$E721),"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",LEN(Registro!$E721))),({1,2,3,4,5,6,7,8,9,10,11,12,13,14,15,16,17,18,19,20,21,22,23,24,25,26,27,28,29,30}-1)*LEN(Registro!$E721)+1,LEN(Registro!$E721)))&amp;"x")+1,20))),"Revisar formato")))</f>
        <v/>
      </c>
      <c r="F721" s="23" t="str">
        <f>IF(Registro!$F721="","",IF(ISERROR(FIND("x",LOWER(Registro!$F721))),"-",IFERROR(SUMPRODUCT(--("0"&amp;LEFT(TRIM(MID(SUBSTITUTE(SUBSTITUTE(SUBSTITUTE(SUBSTITUTE(SUBSTITUTE(LOWER(Registro!$F721)," ",""),CHAR(10),"|"),";","|"),"+","|"),"|",REPT(" ",LEN(Registro!$F721))),({1,2,3,4,5,6,7,8,9,10,11,12,13,14,15,16,17,18,19,20,21,22,23,24,25,26,27,28,29,30}-1)*LEN(Registro!$F721)+1,LEN(Registro!$F721))),FIND("x",TRIM(MID(SUBSTITUTE(SUBSTITUTE(SUBSTITUTE(SUBSTITUTE(SUBSTITUTE(LOWER(Registro!$F721)," ",""),CHAR(10),"|"),";","|"),"+","|"),"|",REPT(" ",LEN(Registro!$F721))),({1,2,3,4,5,6,7,8,9,10,11,12,13,14,15,16,17,18,19,20,21,22,23,24,25,26,27,28,29,30}-1)*LEN(Registro!$F721)+1,LEN(Registro!$F721)))&amp;"x")-1))),"Revisar formato")))</f>
        <v/>
      </c>
      <c r="G721" s="24" t="str">
        <f>IF(Registro!$F721="","",IF(ISERROR(FIND("x",LOWER(Registro!$F721))),N(Registro!$G721),IFERROR(SUMPRODUCT(--("0"&amp;LEFT(TRIM(MID(SUBSTITUTE(SUBSTITUTE(SUBSTITUTE(SUBSTITUTE(SUBSTITUTE(LOWER(Registro!$F721)," ",""),CHAR(10),"|"),";","|"),"+","|"),"|",REPT(" ",LEN(Registro!$F721))),({1,2,3,4,5,6,7,8,9,10,11,12,13,14,15,16,17,18,19,20,21,22,23,24,25,26,27,28,29,30}-1)*LEN(Registro!$F721)+1,LEN(Registro!$F721))),FIND("x",TRIM(MID(SUBSTITUTE(SUBSTITUTE(SUBSTITUTE(SUBSTITUTE(SUBSTITUTE(LOWER(Registro!$F721)," ",""),CHAR(10),"|"),";","|"),"+","|"),"|",REPT(" ",LEN(Registro!$F721))),({1,2,3,4,5,6,7,8,9,10,11,12,13,14,15,16,17,18,19,20,21,22,23,24,25,26,27,28,29,30}-1)*LEN(Registro!$F721)+1,LEN(Registro!$F721)))&amp;"x")-1)),--("0"&amp;MID(TRIM(MID(SUBSTITUTE(SUBSTITUTE(SUBSTITUTE(SUBSTITUTE(SUBSTITUTE(LOWER(Registro!$F721)," ",""),CHAR(10),"|"),";","|"),"+","|"),"|",REPT(" ",LEN(Registro!$F721))),({1,2,3,4,5,6,7,8,9,10,11,12,13,14,15,16,17,18,19,20,21,22,23,24,25,26,27,28,29,30}-1)*LEN(Registro!$F721)+1,LEN(Registro!$F721))),FIND("x",TRIM(MID(SUBSTITUTE(SUBSTITUTE(SUBSTITUTE(SUBSTITUTE(SUBSTITUTE(LOWER(Registro!$F721)," ",""),CHAR(10),"|"),";","|"),"+","|"),"|",REPT(" ",LEN(Registro!$F721))),({1,2,3,4,5,6,7,8,9,10,11,12,13,14,15,16,17,18,19,20,21,22,23,24,25,26,27,28,29,30}-1)*LEN(Registro!$F721)+1,LEN(Registro!$F721)))&amp;"x")+1,20))),"Revisar formato")))</f>
        <v/>
      </c>
      <c r="H721" s="21" t="str">
        <f>IF(AND(Registro!$E721="",Registro!$F721=""),"",IF(NOT(AND(ISNUMBER(G721),ISNUMBER(Registro!$G721))),"",IF(G721&lt;Registro!$G721,"FALTA BOLETOS",IF(G721=Registro!$G721,"CONFORME","DIFERENCIA"))))</f>
        <v/>
      </c>
      <c r="I721" s="24" t="str">
        <f>IF(Registro!$H721="","",IFERROR(SUMPRODUCT(--("0"&amp;TRIM(RIGHT(SUBSTITUTE(TRIM(MID(SUBSTITUTE(SUBSTITUTE(Registro!$H721,";",CHAR(10)),CHAR(10),REPT(" ",LEN(Registro!$H721))),({1,2,3,4,5,6,7,8,9,10,11,12,13,14,15,16,17,18,19,20,21,22,23,24,25,26,27,28,29,30}-1)*LEN(Registro!$H721)+1,LEN(Registro!$H721)))," ",REPT(" ",50)),50)))),"Revisar formato"))</f>
        <v/>
      </c>
      <c r="J721" s="24" t="str">
        <f>IF(Registro!$I721="","",IFERROR(SUMPRODUCT(--("0"&amp;TRIM(RIGHT(SUBSTITUTE(TRIM(MID(SUBSTITUTE(SUBSTITUTE(Registro!$I721,";",CHAR(10)),CHAR(10),REPT(" ",LEN(Registro!$I721))),({1,2,3,4,5,6,7,8,9,10,11,12,13,14,15,16,17,18,19,20,21,22,23,24,25,26,27,28,29,30}-1)*LEN(Registro!$I721)+1,LEN(Registro!$I721)))," ",REPT(" ",50)),50)))),"Revisar formato"))</f>
        <v/>
      </c>
      <c r="K721" s="24" t="str">
        <f>IF(AND(Registro!$G721="",Registro!$H721=""),"",IF(AND(ISTEXT(I721),I721&lt;&gt;""),"Revisar formato",N(Registro!$G721)-N(I721)))</f>
        <v/>
      </c>
      <c r="L721" s="24" t="str">
        <f t="shared" si="23"/>
        <v/>
      </c>
      <c r="M721" s="36" t="str">
        <f>IF(AND(A721=Consulta!$B$3,C721=Consulta!$H$3),B721*10000+ROW(),"")</f>
        <v/>
      </c>
    </row>
    <row r="722" spans="1:13" x14ac:dyDescent="0.25">
      <c r="A722" s="21" t="str">
        <f>IF(Registro!$A722="","",Registro!$A722)</f>
        <v/>
      </c>
      <c r="B722" s="20" t="str">
        <f>IF(Registro!$B722="","",Registro!$B722)</f>
        <v/>
      </c>
      <c r="C722" s="35" t="str">
        <f t="shared" si="22"/>
        <v/>
      </c>
      <c r="D722" s="23" t="str">
        <f>IF(Registro!$E722="","",IF(ISERROR(FIND("x",LOWER(Registro!$E722))),"-",IFERROR(SUMPRODUCT(--("0"&amp;LEFT(TRIM(MID(SUBSTITUTE(SUBSTITUTE(SUBSTITUTE(SUBSTITUTE(SUBSTITUTE(LOWER(Registro!$E722),"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",LEN(Registro!$E722))),({1,2,3,4,5,6,7,8,9,10,11,12,13,14,15,16,17,18,19,20,21,22,23,24,25,26,27,28,29,30}-1)*LEN(Registro!$E722)+1,LEN(Registro!$E722))),FIND("x",TRIM(MID(SUBSTITUTE(SUBSTITUTE(SUBSTITUTE(SUBSTITUTE(SUBSTITUTE(LOWER(Registro!$E722),"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",LEN(Registro!$E722))),({1,2,3,4,5,6,7,8,9,10,11,12,13,14,15,16,17,18,19,20,21,22,23,24,25,26,27,28,29,30}-1)*LEN(Registro!$E722)+1,LEN(Registro!$E722)))&amp;"x")-1))),"Revisar formato")))</f>
        <v/>
      </c>
      <c r="E722" s="24" t="str">
        <f>IF(Registro!$E722="","",IF(ISERROR(FIND("x",LOWER(Registro!$E722))),"-",IFERROR(SUMPRODUCT(--("0"&amp;LEFT(TRIM(MID(SUBSTITUTE(SUBSTITUTE(SUBSTITUTE(SUBSTITUTE(SUBSTITUTE(LOWER(Registro!$E722),"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",LEN(Registro!$E722))),({1,2,3,4,5,6,7,8,9,10,11,12,13,14,15,16,17,18,19,20,21,22,23,24,25,26,27,28,29,30}-1)*LEN(Registro!$E722)+1,LEN(Registro!$E722))),FIND("x",TRIM(MID(SUBSTITUTE(SUBSTITUTE(SUBSTITUTE(SUBSTITUTE(SUBSTITUTE(LOWER(Registro!$E722),"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",LEN(Registro!$E722))),({1,2,3,4,5,6,7,8,9,10,11,12,13,14,15,16,17,18,19,20,21,22,23,24,25,26,27,28,29,30}-1)*LEN(Registro!$E722)+1,LEN(Registro!$E722)))&amp;"x")-1)),--("0"&amp;MID(TRIM(MID(SUBSTITUTE(SUBSTITUTE(SUBSTITUTE(SUBSTITUTE(SUBSTITUTE(LOWER(Registro!$E722),"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",LEN(Registro!$E722))),({1,2,3,4,5,6,7,8,9,10,11,12,13,14,15,16,17,18,19,20,21,22,23,24,25,26,27,28,29,30}-1)*LEN(Registro!$E722)+1,LEN(Registro!$E722))),FIND("x",TRIM(MID(SUBSTITUTE(SUBSTITUTE(SUBSTITUTE(SUBSTITUTE(SUBSTITUTE(LOWER(Registro!$E722),"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",LEN(Registro!$E722))),({1,2,3,4,5,6,7,8,9,10,11,12,13,14,15,16,17,18,19,20,21,22,23,24,25,26,27,28,29,30}-1)*LEN(Registro!$E722)+1,LEN(Registro!$E722)))&amp;"x")+1,20))),"Revisar formato")))</f>
        <v/>
      </c>
      <c r="F722" s="23" t="str">
        <f>IF(Registro!$F722="","",IF(ISERROR(FIND("x",LOWER(Registro!$F722))),"-",IFERROR(SUMPRODUCT(--("0"&amp;LEFT(TRIM(MID(SUBSTITUTE(SUBSTITUTE(SUBSTITUTE(SUBSTITUTE(SUBSTITUTE(LOWER(Registro!$F722)," ",""),CHAR(10),"|"),";","|"),"+","|"),"|",REPT(" ",LEN(Registro!$F722))),({1,2,3,4,5,6,7,8,9,10,11,12,13,14,15,16,17,18,19,20,21,22,23,24,25,26,27,28,29,30}-1)*LEN(Registro!$F722)+1,LEN(Registro!$F722))),FIND("x",TRIM(MID(SUBSTITUTE(SUBSTITUTE(SUBSTITUTE(SUBSTITUTE(SUBSTITUTE(LOWER(Registro!$F722)," ",""),CHAR(10),"|"),";","|"),"+","|"),"|",REPT(" ",LEN(Registro!$F722))),({1,2,3,4,5,6,7,8,9,10,11,12,13,14,15,16,17,18,19,20,21,22,23,24,25,26,27,28,29,30}-1)*LEN(Registro!$F722)+1,LEN(Registro!$F722)))&amp;"x")-1))),"Revisar formato")))</f>
        <v/>
      </c>
      <c r="G722" s="24" t="str">
        <f>IF(Registro!$F722="","",IF(ISERROR(FIND("x",LOWER(Registro!$F722))),N(Registro!$G722),IFERROR(SUMPRODUCT(--("0"&amp;LEFT(TRIM(MID(SUBSTITUTE(SUBSTITUTE(SUBSTITUTE(SUBSTITUTE(SUBSTITUTE(LOWER(Registro!$F722)," ",""),CHAR(10),"|"),";","|"),"+","|"),"|",REPT(" ",LEN(Registro!$F722))),({1,2,3,4,5,6,7,8,9,10,11,12,13,14,15,16,17,18,19,20,21,22,23,24,25,26,27,28,29,30}-1)*LEN(Registro!$F722)+1,LEN(Registro!$F722))),FIND("x",TRIM(MID(SUBSTITUTE(SUBSTITUTE(SUBSTITUTE(SUBSTITUTE(SUBSTITUTE(LOWER(Registro!$F722)," ",""),CHAR(10),"|"),";","|"),"+","|"),"|",REPT(" ",LEN(Registro!$F722))),({1,2,3,4,5,6,7,8,9,10,11,12,13,14,15,16,17,18,19,20,21,22,23,24,25,26,27,28,29,30}-1)*LEN(Registro!$F722)+1,LEN(Registro!$F722)))&amp;"x")-1)),--("0"&amp;MID(TRIM(MID(SUBSTITUTE(SUBSTITUTE(SUBSTITUTE(SUBSTITUTE(SUBSTITUTE(LOWER(Registro!$F722)," ",""),CHAR(10),"|"),";","|"),"+","|"),"|",REPT(" ",LEN(Registro!$F722))),({1,2,3,4,5,6,7,8,9,10,11,12,13,14,15,16,17,18,19,20,21,22,23,24,25,26,27,28,29,30}-1)*LEN(Registro!$F722)+1,LEN(Registro!$F722))),FIND("x",TRIM(MID(SUBSTITUTE(SUBSTITUTE(SUBSTITUTE(SUBSTITUTE(SUBSTITUTE(LOWER(Registro!$F722)," ",""),CHAR(10),"|"),";","|"),"+","|"),"|",REPT(" ",LEN(Registro!$F722))),({1,2,3,4,5,6,7,8,9,10,11,12,13,14,15,16,17,18,19,20,21,22,23,24,25,26,27,28,29,30}-1)*LEN(Registro!$F722)+1,LEN(Registro!$F722)))&amp;"x")+1,20))),"Revisar formato")))</f>
        <v/>
      </c>
      <c r="H722" s="21" t="str">
        <f>IF(AND(Registro!$E722="",Registro!$F722=""),"",IF(NOT(AND(ISNUMBER(G722),ISNUMBER(Registro!$G722))),"",IF(G722&lt;Registro!$G722,"FALTA BOLETOS",IF(G722=Registro!$G722,"CONFORME","DIFERENCIA"))))</f>
        <v/>
      </c>
      <c r="I722" s="24" t="str">
        <f>IF(Registro!$H722="","",IFERROR(SUMPRODUCT(--("0"&amp;TRIM(RIGHT(SUBSTITUTE(TRIM(MID(SUBSTITUTE(SUBSTITUTE(Registro!$H722,";",CHAR(10)),CHAR(10),REPT(" ",LEN(Registro!$H722))),({1,2,3,4,5,6,7,8,9,10,11,12,13,14,15,16,17,18,19,20,21,22,23,24,25,26,27,28,29,30}-1)*LEN(Registro!$H722)+1,LEN(Registro!$H722)))," ",REPT(" ",50)),50)))),"Revisar formato"))</f>
        <v/>
      </c>
      <c r="J722" s="24" t="str">
        <f>IF(Registro!$I722="","",IFERROR(SUMPRODUCT(--("0"&amp;TRIM(RIGHT(SUBSTITUTE(TRIM(MID(SUBSTITUTE(SUBSTITUTE(Registro!$I722,";",CHAR(10)),CHAR(10),REPT(" ",LEN(Registro!$I722))),({1,2,3,4,5,6,7,8,9,10,11,12,13,14,15,16,17,18,19,20,21,22,23,24,25,26,27,28,29,30}-1)*LEN(Registro!$I722)+1,LEN(Registro!$I722)))," ",REPT(" ",50)),50)))),"Revisar formato"))</f>
        <v/>
      </c>
      <c r="K722" s="24" t="str">
        <f>IF(AND(Registro!$G722="",Registro!$H722=""),"",IF(AND(ISTEXT(I722),I722&lt;&gt;""),"Revisar formato",N(Registro!$G722)-N(I722)))</f>
        <v/>
      </c>
      <c r="L722" s="24" t="str">
        <f t="shared" si="23"/>
        <v/>
      </c>
      <c r="M722" s="36" t="str">
        <f>IF(AND(A722=Consulta!$B$3,C722=Consulta!$H$3),B722*10000+ROW(),"")</f>
        <v/>
      </c>
    </row>
    <row r="723" spans="1:13" x14ac:dyDescent="0.25">
      <c r="A723" s="21" t="str">
        <f>IF(Registro!$A723="","",Registro!$A723)</f>
        <v/>
      </c>
      <c r="B723" s="20" t="str">
        <f>IF(Registro!$B723="","",Registro!$B723)</f>
        <v/>
      </c>
      <c r="C723" s="35" t="str">
        <f t="shared" si="22"/>
        <v/>
      </c>
      <c r="D723" s="23" t="str">
        <f>IF(Registro!$E723="","",IF(ISERROR(FIND("x",LOWER(Registro!$E723))),"-",IFERROR(SUMPRODUCT(--("0"&amp;LEFT(TRIM(MID(SUBSTITUTE(SUBSTITUTE(SUBSTITUTE(SUBSTITUTE(SUBSTITUTE(LOWER(Registro!$E723),"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",LEN(Registro!$E723))),({1,2,3,4,5,6,7,8,9,10,11,12,13,14,15,16,17,18,19,20,21,22,23,24,25,26,27,28,29,30}-1)*LEN(Registro!$E723)+1,LEN(Registro!$E723))),FIND("x",TRIM(MID(SUBSTITUTE(SUBSTITUTE(SUBSTITUTE(SUBSTITUTE(SUBSTITUTE(LOWER(Registro!$E723),"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",LEN(Registro!$E723))),({1,2,3,4,5,6,7,8,9,10,11,12,13,14,15,16,17,18,19,20,21,22,23,24,25,26,27,28,29,30}-1)*LEN(Registro!$E723)+1,LEN(Registro!$E723)))&amp;"x")-1))),"Revisar formato")))</f>
        <v/>
      </c>
      <c r="E723" s="24" t="str">
        <f>IF(Registro!$E723="","",IF(ISERROR(FIND("x",LOWER(Registro!$E723))),"-",IFERROR(SUMPRODUCT(--("0"&amp;LEFT(TRIM(MID(SUBSTITUTE(SUBSTITUTE(SUBSTITUTE(SUBSTITUTE(SUBSTITUTE(LOWER(Registro!$E723),"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",LEN(Registro!$E723))),({1,2,3,4,5,6,7,8,9,10,11,12,13,14,15,16,17,18,19,20,21,22,23,24,25,26,27,28,29,30}-1)*LEN(Registro!$E723)+1,LEN(Registro!$E723))),FIND("x",TRIM(MID(SUBSTITUTE(SUBSTITUTE(SUBSTITUTE(SUBSTITUTE(SUBSTITUTE(LOWER(Registro!$E723),"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",LEN(Registro!$E723))),({1,2,3,4,5,6,7,8,9,10,11,12,13,14,15,16,17,18,19,20,21,22,23,24,25,26,27,28,29,30}-1)*LEN(Registro!$E723)+1,LEN(Registro!$E723)))&amp;"x")-1)),--("0"&amp;MID(TRIM(MID(SUBSTITUTE(SUBSTITUTE(SUBSTITUTE(SUBSTITUTE(SUBSTITUTE(LOWER(Registro!$E723),"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",LEN(Registro!$E723))),({1,2,3,4,5,6,7,8,9,10,11,12,13,14,15,16,17,18,19,20,21,22,23,24,25,26,27,28,29,30}-1)*LEN(Registro!$E723)+1,LEN(Registro!$E723))),FIND("x",TRIM(MID(SUBSTITUTE(SUBSTITUTE(SUBSTITUTE(SUBSTITUTE(SUBSTITUTE(LOWER(Registro!$E723),"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",LEN(Registro!$E723))),({1,2,3,4,5,6,7,8,9,10,11,12,13,14,15,16,17,18,19,20,21,22,23,24,25,26,27,28,29,30}-1)*LEN(Registro!$E723)+1,LEN(Registro!$E723)))&amp;"x")+1,20))),"Revisar formato")))</f>
        <v/>
      </c>
      <c r="F723" s="23" t="str">
        <f>IF(Registro!$F723="","",IF(ISERROR(FIND("x",LOWER(Registro!$F723))),"-",IFERROR(SUMPRODUCT(--("0"&amp;LEFT(TRIM(MID(SUBSTITUTE(SUBSTITUTE(SUBSTITUTE(SUBSTITUTE(SUBSTITUTE(LOWER(Registro!$F723)," ",""),CHAR(10),"|"),";","|"),"+","|"),"|",REPT(" ",LEN(Registro!$F723))),({1,2,3,4,5,6,7,8,9,10,11,12,13,14,15,16,17,18,19,20,21,22,23,24,25,26,27,28,29,30}-1)*LEN(Registro!$F723)+1,LEN(Registro!$F723))),FIND("x",TRIM(MID(SUBSTITUTE(SUBSTITUTE(SUBSTITUTE(SUBSTITUTE(SUBSTITUTE(LOWER(Registro!$F723)," ",""),CHAR(10),"|"),";","|"),"+","|"),"|",REPT(" ",LEN(Registro!$F723))),({1,2,3,4,5,6,7,8,9,10,11,12,13,14,15,16,17,18,19,20,21,22,23,24,25,26,27,28,29,30}-1)*LEN(Registro!$F723)+1,LEN(Registro!$F723)))&amp;"x")-1))),"Revisar formato")))</f>
        <v/>
      </c>
      <c r="G723" s="24" t="str">
        <f>IF(Registro!$F723="","",IF(ISERROR(FIND("x",LOWER(Registro!$F723))),N(Registro!$G723),IFERROR(SUMPRODUCT(--("0"&amp;LEFT(TRIM(MID(SUBSTITUTE(SUBSTITUTE(SUBSTITUTE(SUBSTITUTE(SUBSTITUTE(LOWER(Registro!$F723)," ",""),CHAR(10),"|"),";","|"),"+","|"),"|",REPT(" ",LEN(Registro!$F723))),({1,2,3,4,5,6,7,8,9,10,11,12,13,14,15,16,17,18,19,20,21,22,23,24,25,26,27,28,29,30}-1)*LEN(Registro!$F723)+1,LEN(Registro!$F723))),FIND("x",TRIM(MID(SUBSTITUTE(SUBSTITUTE(SUBSTITUTE(SUBSTITUTE(SUBSTITUTE(LOWER(Registro!$F723)," ",""),CHAR(10),"|"),";","|"),"+","|"),"|",REPT(" ",LEN(Registro!$F723))),({1,2,3,4,5,6,7,8,9,10,11,12,13,14,15,16,17,18,19,20,21,22,23,24,25,26,27,28,29,30}-1)*LEN(Registro!$F723)+1,LEN(Registro!$F723)))&amp;"x")-1)),--("0"&amp;MID(TRIM(MID(SUBSTITUTE(SUBSTITUTE(SUBSTITUTE(SUBSTITUTE(SUBSTITUTE(LOWER(Registro!$F723)," ",""),CHAR(10),"|"),";","|"),"+","|"),"|",REPT(" ",LEN(Registro!$F723))),({1,2,3,4,5,6,7,8,9,10,11,12,13,14,15,16,17,18,19,20,21,22,23,24,25,26,27,28,29,30}-1)*LEN(Registro!$F723)+1,LEN(Registro!$F723))),FIND("x",TRIM(MID(SUBSTITUTE(SUBSTITUTE(SUBSTITUTE(SUBSTITUTE(SUBSTITUTE(LOWER(Registro!$F723)," ",""),CHAR(10),"|"),";","|"),"+","|"),"|",REPT(" ",LEN(Registro!$F723))),({1,2,3,4,5,6,7,8,9,10,11,12,13,14,15,16,17,18,19,20,21,22,23,24,25,26,27,28,29,30}-1)*LEN(Registro!$F723)+1,LEN(Registro!$F723)))&amp;"x")+1,20))),"Revisar formato")))</f>
        <v/>
      </c>
      <c r="H723" s="21" t="str">
        <f>IF(AND(Registro!$E723="",Registro!$F723=""),"",IF(NOT(AND(ISNUMBER(G723),ISNUMBER(Registro!$G723))),"",IF(G723&lt;Registro!$G723,"FALTA BOLETOS",IF(G723=Registro!$G723,"CONFORME","DIFERENCIA"))))</f>
        <v/>
      </c>
      <c r="I723" s="24" t="str">
        <f>IF(Registro!$H723="","",IFERROR(SUMPRODUCT(--("0"&amp;TRIM(RIGHT(SUBSTITUTE(TRIM(MID(SUBSTITUTE(SUBSTITUTE(Registro!$H723,";",CHAR(10)),CHAR(10),REPT(" ",LEN(Registro!$H723))),({1,2,3,4,5,6,7,8,9,10,11,12,13,14,15,16,17,18,19,20,21,22,23,24,25,26,27,28,29,30}-1)*LEN(Registro!$H723)+1,LEN(Registro!$H723)))," ",REPT(" ",50)),50)))),"Revisar formato"))</f>
        <v/>
      </c>
      <c r="J723" s="24" t="str">
        <f>IF(Registro!$I723="","",IFERROR(SUMPRODUCT(--("0"&amp;TRIM(RIGHT(SUBSTITUTE(TRIM(MID(SUBSTITUTE(SUBSTITUTE(Registro!$I723,";",CHAR(10)),CHAR(10),REPT(" ",LEN(Registro!$I723))),({1,2,3,4,5,6,7,8,9,10,11,12,13,14,15,16,17,18,19,20,21,22,23,24,25,26,27,28,29,30}-1)*LEN(Registro!$I723)+1,LEN(Registro!$I723)))," ",REPT(" ",50)),50)))),"Revisar formato"))</f>
        <v/>
      </c>
      <c r="K723" s="24" t="str">
        <f>IF(AND(Registro!$G723="",Registro!$H723=""),"",IF(AND(ISTEXT(I723),I723&lt;&gt;""),"Revisar formato",N(Registro!$G723)-N(I723)))</f>
        <v/>
      </c>
      <c r="L723" s="24" t="str">
        <f t="shared" si="23"/>
        <v/>
      </c>
      <c r="M723" s="36" t="str">
        <f>IF(AND(A723=Consulta!$B$3,C723=Consulta!$H$3),B723*10000+ROW(),"")</f>
        <v/>
      </c>
    </row>
    <row r="724" spans="1:13" x14ac:dyDescent="0.25">
      <c r="A724" s="21" t="str">
        <f>IF(Registro!$A724="","",Registro!$A724)</f>
        <v/>
      </c>
      <c r="B724" s="20" t="str">
        <f>IF(Registro!$B724="","",Registro!$B724)</f>
        <v/>
      </c>
      <c r="C724" s="35" t="str">
        <f t="shared" si="22"/>
        <v/>
      </c>
      <c r="D724" s="23" t="str">
        <f>IF(Registro!$E724="","",IF(ISERROR(FIND("x",LOWER(Registro!$E724))),"-",IFERROR(SUMPRODUCT(--("0"&amp;LEFT(TRIM(MID(SUBSTITUTE(SUBSTITUTE(SUBSTITUTE(SUBSTITUTE(SUBSTITUTE(LOWER(Registro!$E724),"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",LEN(Registro!$E724))),({1,2,3,4,5,6,7,8,9,10,11,12,13,14,15,16,17,18,19,20,21,22,23,24,25,26,27,28,29,30}-1)*LEN(Registro!$E724)+1,LEN(Registro!$E724))),FIND("x",TRIM(MID(SUBSTITUTE(SUBSTITUTE(SUBSTITUTE(SUBSTITUTE(SUBSTITUTE(LOWER(Registro!$E724),"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",LEN(Registro!$E724))),({1,2,3,4,5,6,7,8,9,10,11,12,13,14,15,16,17,18,19,20,21,22,23,24,25,26,27,28,29,30}-1)*LEN(Registro!$E724)+1,LEN(Registro!$E724)))&amp;"x")-1))),"Revisar formato")))</f>
        <v/>
      </c>
      <c r="E724" s="24" t="str">
        <f>IF(Registro!$E724="","",IF(ISERROR(FIND("x",LOWER(Registro!$E724))),"-",IFERROR(SUMPRODUCT(--("0"&amp;LEFT(TRIM(MID(SUBSTITUTE(SUBSTITUTE(SUBSTITUTE(SUBSTITUTE(SUBSTITUTE(LOWER(Registro!$E724),"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",LEN(Registro!$E724))),({1,2,3,4,5,6,7,8,9,10,11,12,13,14,15,16,17,18,19,20,21,22,23,24,25,26,27,28,29,30}-1)*LEN(Registro!$E724)+1,LEN(Registro!$E724))),FIND("x",TRIM(MID(SUBSTITUTE(SUBSTITUTE(SUBSTITUTE(SUBSTITUTE(SUBSTITUTE(LOWER(Registro!$E724),"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",LEN(Registro!$E724))),({1,2,3,4,5,6,7,8,9,10,11,12,13,14,15,16,17,18,19,20,21,22,23,24,25,26,27,28,29,30}-1)*LEN(Registro!$E724)+1,LEN(Registro!$E724)))&amp;"x")-1)),--("0"&amp;MID(TRIM(MID(SUBSTITUTE(SUBSTITUTE(SUBSTITUTE(SUBSTITUTE(SUBSTITUTE(LOWER(Registro!$E724),"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",LEN(Registro!$E724))),({1,2,3,4,5,6,7,8,9,10,11,12,13,14,15,16,17,18,19,20,21,22,23,24,25,26,27,28,29,30}-1)*LEN(Registro!$E724)+1,LEN(Registro!$E724))),FIND("x",TRIM(MID(SUBSTITUTE(SUBSTITUTE(SUBSTITUTE(SUBSTITUTE(SUBSTITUTE(LOWER(Registro!$E724),"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",LEN(Registro!$E724))),({1,2,3,4,5,6,7,8,9,10,11,12,13,14,15,16,17,18,19,20,21,22,23,24,25,26,27,28,29,30}-1)*LEN(Registro!$E724)+1,LEN(Registro!$E724)))&amp;"x")+1,20))),"Revisar formato")))</f>
        <v/>
      </c>
      <c r="F724" s="23" t="str">
        <f>IF(Registro!$F724="","",IF(ISERROR(FIND("x",LOWER(Registro!$F724))),"-",IFERROR(SUMPRODUCT(--("0"&amp;LEFT(TRIM(MID(SUBSTITUTE(SUBSTITUTE(SUBSTITUTE(SUBSTITUTE(SUBSTITUTE(LOWER(Registro!$F724)," ",""),CHAR(10),"|"),";","|"),"+","|"),"|",REPT(" ",LEN(Registro!$F724))),({1,2,3,4,5,6,7,8,9,10,11,12,13,14,15,16,17,18,19,20,21,22,23,24,25,26,27,28,29,30}-1)*LEN(Registro!$F724)+1,LEN(Registro!$F724))),FIND("x",TRIM(MID(SUBSTITUTE(SUBSTITUTE(SUBSTITUTE(SUBSTITUTE(SUBSTITUTE(LOWER(Registro!$F724)," ",""),CHAR(10),"|"),";","|"),"+","|"),"|",REPT(" ",LEN(Registro!$F724))),({1,2,3,4,5,6,7,8,9,10,11,12,13,14,15,16,17,18,19,20,21,22,23,24,25,26,27,28,29,30}-1)*LEN(Registro!$F724)+1,LEN(Registro!$F724)))&amp;"x")-1))),"Revisar formato")))</f>
        <v/>
      </c>
      <c r="G724" s="24" t="str">
        <f>IF(Registro!$F724="","",IF(ISERROR(FIND("x",LOWER(Registro!$F724))),N(Registro!$G724),IFERROR(SUMPRODUCT(--("0"&amp;LEFT(TRIM(MID(SUBSTITUTE(SUBSTITUTE(SUBSTITUTE(SUBSTITUTE(SUBSTITUTE(LOWER(Registro!$F724)," ",""),CHAR(10),"|"),";","|"),"+","|"),"|",REPT(" ",LEN(Registro!$F724))),({1,2,3,4,5,6,7,8,9,10,11,12,13,14,15,16,17,18,19,20,21,22,23,24,25,26,27,28,29,30}-1)*LEN(Registro!$F724)+1,LEN(Registro!$F724))),FIND("x",TRIM(MID(SUBSTITUTE(SUBSTITUTE(SUBSTITUTE(SUBSTITUTE(SUBSTITUTE(LOWER(Registro!$F724)," ",""),CHAR(10),"|"),";","|"),"+","|"),"|",REPT(" ",LEN(Registro!$F724))),({1,2,3,4,5,6,7,8,9,10,11,12,13,14,15,16,17,18,19,20,21,22,23,24,25,26,27,28,29,30}-1)*LEN(Registro!$F724)+1,LEN(Registro!$F724)))&amp;"x")-1)),--("0"&amp;MID(TRIM(MID(SUBSTITUTE(SUBSTITUTE(SUBSTITUTE(SUBSTITUTE(SUBSTITUTE(LOWER(Registro!$F724)," ",""),CHAR(10),"|"),";","|"),"+","|"),"|",REPT(" ",LEN(Registro!$F724))),({1,2,3,4,5,6,7,8,9,10,11,12,13,14,15,16,17,18,19,20,21,22,23,24,25,26,27,28,29,30}-1)*LEN(Registro!$F724)+1,LEN(Registro!$F724))),FIND("x",TRIM(MID(SUBSTITUTE(SUBSTITUTE(SUBSTITUTE(SUBSTITUTE(SUBSTITUTE(LOWER(Registro!$F724)," ",""),CHAR(10),"|"),";","|"),"+","|"),"|",REPT(" ",LEN(Registro!$F724))),({1,2,3,4,5,6,7,8,9,10,11,12,13,14,15,16,17,18,19,20,21,22,23,24,25,26,27,28,29,30}-1)*LEN(Registro!$F724)+1,LEN(Registro!$F724)))&amp;"x")+1,20))),"Revisar formato")))</f>
        <v/>
      </c>
      <c r="H724" s="21" t="str">
        <f>IF(AND(Registro!$E724="",Registro!$F724=""),"",IF(NOT(AND(ISNUMBER(G724),ISNUMBER(Registro!$G724))),"",IF(G724&lt;Registro!$G724,"FALTA BOLETOS",IF(G724=Registro!$G724,"CONFORME","DIFERENCIA"))))</f>
        <v/>
      </c>
      <c r="I724" s="24" t="str">
        <f>IF(Registro!$H724="","",IFERROR(SUMPRODUCT(--("0"&amp;TRIM(RIGHT(SUBSTITUTE(TRIM(MID(SUBSTITUTE(SUBSTITUTE(Registro!$H724,";",CHAR(10)),CHAR(10),REPT(" ",LEN(Registro!$H724))),({1,2,3,4,5,6,7,8,9,10,11,12,13,14,15,16,17,18,19,20,21,22,23,24,25,26,27,28,29,30}-1)*LEN(Registro!$H724)+1,LEN(Registro!$H724)))," ",REPT(" ",50)),50)))),"Revisar formato"))</f>
        <v/>
      </c>
      <c r="J724" s="24" t="str">
        <f>IF(Registro!$I724="","",IFERROR(SUMPRODUCT(--("0"&amp;TRIM(RIGHT(SUBSTITUTE(TRIM(MID(SUBSTITUTE(SUBSTITUTE(Registro!$I724,";",CHAR(10)),CHAR(10),REPT(" ",LEN(Registro!$I724))),({1,2,3,4,5,6,7,8,9,10,11,12,13,14,15,16,17,18,19,20,21,22,23,24,25,26,27,28,29,30}-1)*LEN(Registro!$I724)+1,LEN(Registro!$I724)))," ",REPT(" ",50)),50)))),"Revisar formato"))</f>
        <v/>
      </c>
      <c r="K724" s="24" t="str">
        <f>IF(AND(Registro!$G724="",Registro!$H724=""),"",IF(AND(ISTEXT(I724),I724&lt;&gt;""),"Revisar formato",N(Registro!$G724)-N(I724)))</f>
        <v/>
      </c>
      <c r="L724" s="24" t="str">
        <f t="shared" si="23"/>
        <v/>
      </c>
      <c r="M724" s="36" t="str">
        <f>IF(AND(A724=Consulta!$B$3,C724=Consulta!$H$3),B724*10000+ROW(),"")</f>
        <v/>
      </c>
    </row>
    <row r="725" spans="1:13" x14ac:dyDescent="0.25">
      <c r="A725" s="21" t="str">
        <f>IF(Registro!$A725="","",Registro!$A725)</f>
        <v/>
      </c>
      <c r="B725" s="20" t="str">
        <f>IF(Registro!$B725="","",Registro!$B725)</f>
        <v/>
      </c>
      <c r="C725" s="35" t="str">
        <f t="shared" si="22"/>
        <v/>
      </c>
      <c r="D725" s="23" t="str">
        <f>IF(Registro!$E725="","",IF(ISERROR(FIND("x",LOWER(Registro!$E725))),"-",IFERROR(SUMPRODUCT(--("0"&amp;LEFT(TRIM(MID(SUBSTITUTE(SUBSTITUTE(SUBSTITUTE(SUBSTITUTE(SUBSTITUTE(LOWER(Registro!$E725),"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",LEN(Registro!$E725))),({1,2,3,4,5,6,7,8,9,10,11,12,13,14,15,16,17,18,19,20,21,22,23,24,25,26,27,28,29,30}-1)*LEN(Registro!$E725)+1,LEN(Registro!$E725))),FIND("x",TRIM(MID(SUBSTITUTE(SUBSTITUTE(SUBSTITUTE(SUBSTITUTE(SUBSTITUTE(LOWER(Registro!$E725),"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",LEN(Registro!$E725))),({1,2,3,4,5,6,7,8,9,10,11,12,13,14,15,16,17,18,19,20,21,22,23,24,25,26,27,28,29,30}-1)*LEN(Registro!$E725)+1,LEN(Registro!$E725)))&amp;"x")-1))),"Revisar formato")))</f>
        <v/>
      </c>
      <c r="E725" s="24" t="str">
        <f>IF(Registro!$E725="","",IF(ISERROR(FIND("x",LOWER(Registro!$E725))),"-",IFERROR(SUMPRODUCT(--("0"&amp;LEFT(TRIM(MID(SUBSTITUTE(SUBSTITUTE(SUBSTITUTE(SUBSTITUTE(SUBSTITUTE(LOWER(Registro!$E725),"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",LEN(Registro!$E725))),({1,2,3,4,5,6,7,8,9,10,11,12,13,14,15,16,17,18,19,20,21,22,23,24,25,26,27,28,29,30}-1)*LEN(Registro!$E725)+1,LEN(Registro!$E725))),FIND("x",TRIM(MID(SUBSTITUTE(SUBSTITUTE(SUBSTITUTE(SUBSTITUTE(SUBSTITUTE(LOWER(Registro!$E725),"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",LEN(Registro!$E725))),({1,2,3,4,5,6,7,8,9,10,11,12,13,14,15,16,17,18,19,20,21,22,23,24,25,26,27,28,29,30}-1)*LEN(Registro!$E725)+1,LEN(Registro!$E725)))&amp;"x")-1)),--("0"&amp;MID(TRIM(MID(SUBSTITUTE(SUBSTITUTE(SUBSTITUTE(SUBSTITUTE(SUBSTITUTE(LOWER(Registro!$E725),"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",LEN(Registro!$E725))),({1,2,3,4,5,6,7,8,9,10,11,12,13,14,15,16,17,18,19,20,21,22,23,24,25,26,27,28,29,30}-1)*LEN(Registro!$E725)+1,LEN(Registro!$E725))),FIND("x",TRIM(MID(SUBSTITUTE(SUBSTITUTE(SUBSTITUTE(SUBSTITUTE(SUBSTITUTE(LOWER(Registro!$E725),"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",LEN(Registro!$E725))),({1,2,3,4,5,6,7,8,9,10,11,12,13,14,15,16,17,18,19,20,21,22,23,24,25,26,27,28,29,30}-1)*LEN(Registro!$E725)+1,LEN(Registro!$E725)))&amp;"x")+1,20))),"Revisar formato")))</f>
        <v/>
      </c>
      <c r="F725" s="23" t="str">
        <f>IF(Registro!$F725="","",IF(ISERROR(FIND("x",LOWER(Registro!$F725))),"-",IFERROR(SUMPRODUCT(--("0"&amp;LEFT(TRIM(MID(SUBSTITUTE(SUBSTITUTE(SUBSTITUTE(SUBSTITUTE(SUBSTITUTE(LOWER(Registro!$F725)," ",""),CHAR(10),"|"),";","|"),"+","|"),"|",REPT(" ",LEN(Registro!$F725))),({1,2,3,4,5,6,7,8,9,10,11,12,13,14,15,16,17,18,19,20,21,22,23,24,25,26,27,28,29,30}-1)*LEN(Registro!$F725)+1,LEN(Registro!$F725))),FIND("x",TRIM(MID(SUBSTITUTE(SUBSTITUTE(SUBSTITUTE(SUBSTITUTE(SUBSTITUTE(LOWER(Registro!$F725)," ",""),CHAR(10),"|"),";","|"),"+","|"),"|",REPT(" ",LEN(Registro!$F725))),({1,2,3,4,5,6,7,8,9,10,11,12,13,14,15,16,17,18,19,20,21,22,23,24,25,26,27,28,29,30}-1)*LEN(Registro!$F725)+1,LEN(Registro!$F725)))&amp;"x")-1))),"Revisar formato")))</f>
        <v/>
      </c>
      <c r="G725" s="24" t="str">
        <f>IF(Registro!$F725="","",IF(ISERROR(FIND("x",LOWER(Registro!$F725))),N(Registro!$G725),IFERROR(SUMPRODUCT(--("0"&amp;LEFT(TRIM(MID(SUBSTITUTE(SUBSTITUTE(SUBSTITUTE(SUBSTITUTE(SUBSTITUTE(LOWER(Registro!$F725)," ",""),CHAR(10),"|"),";","|"),"+","|"),"|",REPT(" ",LEN(Registro!$F725))),({1,2,3,4,5,6,7,8,9,10,11,12,13,14,15,16,17,18,19,20,21,22,23,24,25,26,27,28,29,30}-1)*LEN(Registro!$F725)+1,LEN(Registro!$F725))),FIND("x",TRIM(MID(SUBSTITUTE(SUBSTITUTE(SUBSTITUTE(SUBSTITUTE(SUBSTITUTE(LOWER(Registro!$F725)," ",""),CHAR(10),"|"),";","|"),"+","|"),"|",REPT(" ",LEN(Registro!$F725))),({1,2,3,4,5,6,7,8,9,10,11,12,13,14,15,16,17,18,19,20,21,22,23,24,25,26,27,28,29,30}-1)*LEN(Registro!$F725)+1,LEN(Registro!$F725)))&amp;"x")-1)),--("0"&amp;MID(TRIM(MID(SUBSTITUTE(SUBSTITUTE(SUBSTITUTE(SUBSTITUTE(SUBSTITUTE(LOWER(Registro!$F725)," ",""),CHAR(10),"|"),";","|"),"+","|"),"|",REPT(" ",LEN(Registro!$F725))),({1,2,3,4,5,6,7,8,9,10,11,12,13,14,15,16,17,18,19,20,21,22,23,24,25,26,27,28,29,30}-1)*LEN(Registro!$F725)+1,LEN(Registro!$F725))),FIND("x",TRIM(MID(SUBSTITUTE(SUBSTITUTE(SUBSTITUTE(SUBSTITUTE(SUBSTITUTE(LOWER(Registro!$F725)," ",""),CHAR(10),"|"),";","|"),"+","|"),"|",REPT(" ",LEN(Registro!$F725))),({1,2,3,4,5,6,7,8,9,10,11,12,13,14,15,16,17,18,19,20,21,22,23,24,25,26,27,28,29,30}-1)*LEN(Registro!$F725)+1,LEN(Registro!$F725)))&amp;"x")+1,20))),"Revisar formato")))</f>
        <v/>
      </c>
      <c r="H725" s="21" t="str">
        <f>IF(AND(Registro!$E725="",Registro!$F725=""),"",IF(NOT(AND(ISNUMBER(G725),ISNUMBER(Registro!$G725))),"",IF(G725&lt;Registro!$G725,"FALTA BOLETOS",IF(G725=Registro!$G725,"CONFORME","DIFERENCIA"))))</f>
        <v/>
      </c>
      <c r="I725" s="24" t="str">
        <f>IF(Registro!$H725="","",IFERROR(SUMPRODUCT(--("0"&amp;TRIM(RIGHT(SUBSTITUTE(TRIM(MID(SUBSTITUTE(SUBSTITUTE(Registro!$H725,";",CHAR(10)),CHAR(10),REPT(" ",LEN(Registro!$H725))),({1,2,3,4,5,6,7,8,9,10,11,12,13,14,15,16,17,18,19,20,21,22,23,24,25,26,27,28,29,30}-1)*LEN(Registro!$H725)+1,LEN(Registro!$H725)))," ",REPT(" ",50)),50)))),"Revisar formato"))</f>
        <v/>
      </c>
      <c r="J725" s="24" t="str">
        <f>IF(Registro!$I725="","",IFERROR(SUMPRODUCT(--("0"&amp;TRIM(RIGHT(SUBSTITUTE(TRIM(MID(SUBSTITUTE(SUBSTITUTE(Registro!$I725,";",CHAR(10)),CHAR(10),REPT(" ",LEN(Registro!$I725))),({1,2,3,4,5,6,7,8,9,10,11,12,13,14,15,16,17,18,19,20,21,22,23,24,25,26,27,28,29,30}-1)*LEN(Registro!$I725)+1,LEN(Registro!$I725)))," ",REPT(" ",50)),50)))),"Revisar formato"))</f>
        <v/>
      </c>
      <c r="K725" s="24" t="str">
        <f>IF(AND(Registro!$G725="",Registro!$H725=""),"",IF(AND(ISTEXT(I725),I725&lt;&gt;""),"Revisar formato",N(Registro!$G725)-N(I725)))</f>
        <v/>
      </c>
      <c r="L725" s="24" t="str">
        <f t="shared" si="23"/>
        <v/>
      </c>
      <c r="M725" s="36" t="str">
        <f>IF(AND(A725=Consulta!$B$3,C725=Consulta!$H$3),B725*10000+ROW(),"")</f>
        <v/>
      </c>
    </row>
    <row r="726" spans="1:13" x14ac:dyDescent="0.25">
      <c r="A726" s="21" t="str">
        <f>IF(Registro!$A726="","",Registro!$A726)</f>
        <v/>
      </c>
      <c r="B726" s="20" t="str">
        <f>IF(Registro!$B726="","",Registro!$B726)</f>
        <v/>
      </c>
      <c r="C726" s="35" t="str">
        <f t="shared" si="22"/>
        <v/>
      </c>
      <c r="D726" s="23" t="str">
        <f>IF(Registro!$E726="","",IF(ISERROR(FIND("x",LOWER(Registro!$E726))),"-",IFERROR(SUMPRODUCT(--("0"&amp;LEFT(TRIM(MID(SUBSTITUTE(SUBSTITUTE(SUBSTITUTE(SUBSTITUTE(SUBSTITUTE(LOWER(Registro!$E726),"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",LEN(Registro!$E726))),({1,2,3,4,5,6,7,8,9,10,11,12,13,14,15,16,17,18,19,20,21,22,23,24,25,26,27,28,29,30}-1)*LEN(Registro!$E726)+1,LEN(Registro!$E726))),FIND("x",TRIM(MID(SUBSTITUTE(SUBSTITUTE(SUBSTITUTE(SUBSTITUTE(SUBSTITUTE(LOWER(Registro!$E726),"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",LEN(Registro!$E726))),({1,2,3,4,5,6,7,8,9,10,11,12,13,14,15,16,17,18,19,20,21,22,23,24,25,26,27,28,29,30}-1)*LEN(Registro!$E726)+1,LEN(Registro!$E726)))&amp;"x")-1))),"Revisar formato")))</f>
        <v/>
      </c>
      <c r="E726" s="24" t="str">
        <f>IF(Registro!$E726="","",IF(ISERROR(FIND("x",LOWER(Registro!$E726))),"-",IFERROR(SUMPRODUCT(--("0"&amp;LEFT(TRIM(MID(SUBSTITUTE(SUBSTITUTE(SUBSTITUTE(SUBSTITUTE(SUBSTITUTE(LOWER(Registro!$E726),"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",LEN(Registro!$E726))),({1,2,3,4,5,6,7,8,9,10,11,12,13,14,15,16,17,18,19,20,21,22,23,24,25,26,27,28,29,30}-1)*LEN(Registro!$E726)+1,LEN(Registro!$E726))),FIND("x",TRIM(MID(SUBSTITUTE(SUBSTITUTE(SUBSTITUTE(SUBSTITUTE(SUBSTITUTE(LOWER(Registro!$E726),"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",LEN(Registro!$E726))),({1,2,3,4,5,6,7,8,9,10,11,12,13,14,15,16,17,18,19,20,21,22,23,24,25,26,27,28,29,30}-1)*LEN(Registro!$E726)+1,LEN(Registro!$E726)))&amp;"x")-1)),--("0"&amp;MID(TRIM(MID(SUBSTITUTE(SUBSTITUTE(SUBSTITUTE(SUBSTITUTE(SUBSTITUTE(LOWER(Registro!$E726),"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",LEN(Registro!$E726))),({1,2,3,4,5,6,7,8,9,10,11,12,13,14,15,16,17,18,19,20,21,22,23,24,25,26,27,28,29,30}-1)*LEN(Registro!$E726)+1,LEN(Registro!$E726))),FIND("x",TRIM(MID(SUBSTITUTE(SUBSTITUTE(SUBSTITUTE(SUBSTITUTE(SUBSTITUTE(LOWER(Registro!$E726),"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",LEN(Registro!$E726))),({1,2,3,4,5,6,7,8,9,10,11,12,13,14,15,16,17,18,19,20,21,22,23,24,25,26,27,28,29,30}-1)*LEN(Registro!$E726)+1,LEN(Registro!$E726)))&amp;"x")+1,20))),"Revisar formato")))</f>
        <v/>
      </c>
      <c r="F726" s="23" t="str">
        <f>IF(Registro!$F726="","",IF(ISERROR(FIND("x",LOWER(Registro!$F726))),"-",IFERROR(SUMPRODUCT(--("0"&amp;LEFT(TRIM(MID(SUBSTITUTE(SUBSTITUTE(SUBSTITUTE(SUBSTITUTE(SUBSTITUTE(LOWER(Registro!$F726)," ",""),CHAR(10),"|"),";","|"),"+","|"),"|",REPT(" ",LEN(Registro!$F726))),({1,2,3,4,5,6,7,8,9,10,11,12,13,14,15,16,17,18,19,20,21,22,23,24,25,26,27,28,29,30}-1)*LEN(Registro!$F726)+1,LEN(Registro!$F726))),FIND("x",TRIM(MID(SUBSTITUTE(SUBSTITUTE(SUBSTITUTE(SUBSTITUTE(SUBSTITUTE(LOWER(Registro!$F726)," ",""),CHAR(10),"|"),";","|"),"+","|"),"|",REPT(" ",LEN(Registro!$F726))),({1,2,3,4,5,6,7,8,9,10,11,12,13,14,15,16,17,18,19,20,21,22,23,24,25,26,27,28,29,30}-1)*LEN(Registro!$F726)+1,LEN(Registro!$F726)))&amp;"x")-1))),"Revisar formato")))</f>
        <v/>
      </c>
      <c r="G726" s="24" t="str">
        <f>IF(Registro!$F726="","",IF(ISERROR(FIND("x",LOWER(Registro!$F726))),N(Registro!$G726),IFERROR(SUMPRODUCT(--("0"&amp;LEFT(TRIM(MID(SUBSTITUTE(SUBSTITUTE(SUBSTITUTE(SUBSTITUTE(SUBSTITUTE(LOWER(Registro!$F726)," ",""),CHAR(10),"|"),";","|"),"+","|"),"|",REPT(" ",LEN(Registro!$F726))),({1,2,3,4,5,6,7,8,9,10,11,12,13,14,15,16,17,18,19,20,21,22,23,24,25,26,27,28,29,30}-1)*LEN(Registro!$F726)+1,LEN(Registro!$F726))),FIND("x",TRIM(MID(SUBSTITUTE(SUBSTITUTE(SUBSTITUTE(SUBSTITUTE(SUBSTITUTE(LOWER(Registro!$F726)," ",""),CHAR(10),"|"),";","|"),"+","|"),"|",REPT(" ",LEN(Registro!$F726))),({1,2,3,4,5,6,7,8,9,10,11,12,13,14,15,16,17,18,19,20,21,22,23,24,25,26,27,28,29,30}-1)*LEN(Registro!$F726)+1,LEN(Registro!$F726)))&amp;"x")-1)),--("0"&amp;MID(TRIM(MID(SUBSTITUTE(SUBSTITUTE(SUBSTITUTE(SUBSTITUTE(SUBSTITUTE(LOWER(Registro!$F726)," ",""),CHAR(10),"|"),";","|"),"+","|"),"|",REPT(" ",LEN(Registro!$F726))),({1,2,3,4,5,6,7,8,9,10,11,12,13,14,15,16,17,18,19,20,21,22,23,24,25,26,27,28,29,30}-1)*LEN(Registro!$F726)+1,LEN(Registro!$F726))),FIND("x",TRIM(MID(SUBSTITUTE(SUBSTITUTE(SUBSTITUTE(SUBSTITUTE(SUBSTITUTE(LOWER(Registro!$F726)," ",""),CHAR(10),"|"),";","|"),"+","|"),"|",REPT(" ",LEN(Registro!$F726))),({1,2,3,4,5,6,7,8,9,10,11,12,13,14,15,16,17,18,19,20,21,22,23,24,25,26,27,28,29,30}-1)*LEN(Registro!$F726)+1,LEN(Registro!$F726)))&amp;"x")+1,20))),"Revisar formato")))</f>
        <v/>
      </c>
      <c r="H726" s="21" t="str">
        <f>IF(AND(Registro!$E726="",Registro!$F726=""),"",IF(NOT(AND(ISNUMBER(G726),ISNUMBER(Registro!$G726))),"",IF(G726&lt;Registro!$G726,"FALTA BOLETOS",IF(G726=Registro!$G726,"CONFORME","DIFERENCIA"))))</f>
        <v/>
      </c>
      <c r="I726" s="24" t="str">
        <f>IF(Registro!$H726="","",IFERROR(SUMPRODUCT(--("0"&amp;TRIM(RIGHT(SUBSTITUTE(TRIM(MID(SUBSTITUTE(SUBSTITUTE(Registro!$H726,";",CHAR(10)),CHAR(10),REPT(" ",LEN(Registro!$H726))),({1,2,3,4,5,6,7,8,9,10,11,12,13,14,15,16,17,18,19,20,21,22,23,24,25,26,27,28,29,30}-1)*LEN(Registro!$H726)+1,LEN(Registro!$H726)))," ",REPT(" ",50)),50)))),"Revisar formato"))</f>
        <v/>
      </c>
      <c r="J726" s="24" t="str">
        <f>IF(Registro!$I726="","",IFERROR(SUMPRODUCT(--("0"&amp;TRIM(RIGHT(SUBSTITUTE(TRIM(MID(SUBSTITUTE(SUBSTITUTE(Registro!$I726,";",CHAR(10)),CHAR(10),REPT(" ",LEN(Registro!$I726))),({1,2,3,4,5,6,7,8,9,10,11,12,13,14,15,16,17,18,19,20,21,22,23,24,25,26,27,28,29,30}-1)*LEN(Registro!$I726)+1,LEN(Registro!$I726)))," ",REPT(" ",50)),50)))),"Revisar formato"))</f>
        <v/>
      </c>
      <c r="K726" s="24" t="str">
        <f>IF(AND(Registro!$G726="",Registro!$H726=""),"",IF(AND(ISTEXT(I726),I726&lt;&gt;""),"Revisar formato",N(Registro!$G726)-N(I726)))</f>
        <v/>
      </c>
      <c r="L726" s="24" t="str">
        <f t="shared" si="23"/>
        <v/>
      </c>
      <c r="M726" s="36" t="str">
        <f>IF(AND(A726=Consulta!$B$3,C726=Consulta!$H$3),B726*10000+ROW(),"")</f>
        <v/>
      </c>
    </row>
    <row r="727" spans="1:13" x14ac:dyDescent="0.25">
      <c r="A727" s="21" t="str">
        <f>IF(Registro!$A727="","",Registro!$A727)</f>
        <v/>
      </c>
      <c r="B727" s="20" t="str">
        <f>IF(Registro!$B727="","",Registro!$B727)</f>
        <v/>
      </c>
      <c r="C727" s="35" t="str">
        <f t="shared" si="22"/>
        <v/>
      </c>
      <c r="D727" s="23" t="str">
        <f>IF(Registro!$E727="","",IF(ISERROR(FIND("x",LOWER(Registro!$E727))),"-",IFERROR(SUMPRODUCT(--("0"&amp;LEFT(TRIM(MID(SUBSTITUTE(SUBSTITUTE(SUBSTITUTE(SUBSTITUTE(SUBSTITUTE(LOWER(Registro!$E727),"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",LEN(Registro!$E727))),({1,2,3,4,5,6,7,8,9,10,11,12,13,14,15,16,17,18,19,20,21,22,23,24,25,26,27,28,29,30}-1)*LEN(Registro!$E727)+1,LEN(Registro!$E727))),FIND("x",TRIM(MID(SUBSTITUTE(SUBSTITUTE(SUBSTITUTE(SUBSTITUTE(SUBSTITUTE(LOWER(Registro!$E727),"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",LEN(Registro!$E727))),({1,2,3,4,5,6,7,8,9,10,11,12,13,14,15,16,17,18,19,20,21,22,23,24,25,26,27,28,29,30}-1)*LEN(Registro!$E727)+1,LEN(Registro!$E727)))&amp;"x")-1))),"Revisar formato")))</f>
        <v/>
      </c>
      <c r="E727" s="24" t="str">
        <f>IF(Registro!$E727="","",IF(ISERROR(FIND("x",LOWER(Registro!$E727))),"-",IFERROR(SUMPRODUCT(--("0"&amp;LEFT(TRIM(MID(SUBSTITUTE(SUBSTITUTE(SUBSTITUTE(SUBSTITUTE(SUBSTITUTE(LOWER(Registro!$E727),"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",LEN(Registro!$E727))),({1,2,3,4,5,6,7,8,9,10,11,12,13,14,15,16,17,18,19,20,21,22,23,24,25,26,27,28,29,30}-1)*LEN(Registro!$E727)+1,LEN(Registro!$E727))),FIND("x",TRIM(MID(SUBSTITUTE(SUBSTITUTE(SUBSTITUTE(SUBSTITUTE(SUBSTITUTE(LOWER(Registro!$E727),"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",LEN(Registro!$E727))),({1,2,3,4,5,6,7,8,9,10,11,12,13,14,15,16,17,18,19,20,21,22,23,24,25,26,27,28,29,30}-1)*LEN(Registro!$E727)+1,LEN(Registro!$E727)))&amp;"x")-1)),--("0"&amp;MID(TRIM(MID(SUBSTITUTE(SUBSTITUTE(SUBSTITUTE(SUBSTITUTE(SUBSTITUTE(LOWER(Registro!$E727),"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",LEN(Registro!$E727))),({1,2,3,4,5,6,7,8,9,10,11,12,13,14,15,16,17,18,19,20,21,22,23,24,25,26,27,28,29,30}-1)*LEN(Registro!$E727)+1,LEN(Registro!$E727))),FIND("x",TRIM(MID(SUBSTITUTE(SUBSTITUTE(SUBSTITUTE(SUBSTITUTE(SUBSTITUTE(LOWER(Registro!$E727),"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",LEN(Registro!$E727))),({1,2,3,4,5,6,7,8,9,10,11,12,13,14,15,16,17,18,19,20,21,22,23,24,25,26,27,28,29,30}-1)*LEN(Registro!$E727)+1,LEN(Registro!$E727)))&amp;"x")+1,20))),"Revisar formato")))</f>
        <v/>
      </c>
      <c r="F727" s="23" t="str">
        <f>IF(Registro!$F727="","",IF(ISERROR(FIND("x",LOWER(Registro!$F727))),"-",IFERROR(SUMPRODUCT(--("0"&amp;LEFT(TRIM(MID(SUBSTITUTE(SUBSTITUTE(SUBSTITUTE(SUBSTITUTE(SUBSTITUTE(LOWER(Registro!$F727)," ",""),CHAR(10),"|"),";","|"),"+","|"),"|",REPT(" ",LEN(Registro!$F727))),({1,2,3,4,5,6,7,8,9,10,11,12,13,14,15,16,17,18,19,20,21,22,23,24,25,26,27,28,29,30}-1)*LEN(Registro!$F727)+1,LEN(Registro!$F727))),FIND("x",TRIM(MID(SUBSTITUTE(SUBSTITUTE(SUBSTITUTE(SUBSTITUTE(SUBSTITUTE(LOWER(Registro!$F727)," ",""),CHAR(10),"|"),";","|"),"+","|"),"|",REPT(" ",LEN(Registro!$F727))),({1,2,3,4,5,6,7,8,9,10,11,12,13,14,15,16,17,18,19,20,21,22,23,24,25,26,27,28,29,30}-1)*LEN(Registro!$F727)+1,LEN(Registro!$F727)))&amp;"x")-1))),"Revisar formato")))</f>
        <v/>
      </c>
      <c r="G727" s="24" t="str">
        <f>IF(Registro!$F727="","",IF(ISERROR(FIND("x",LOWER(Registro!$F727))),N(Registro!$G727),IFERROR(SUMPRODUCT(--("0"&amp;LEFT(TRIM(MID(SUBSTITUTE(SUBSTITUTE(SUBSTITUTE(SUBSTITUTE(SUBSTITUTE(LOWER(Registro!$F727)," ",""),CHAR(10),"|"),";","|"),"+","|"),"|",REPT(" ",LEN(Registro!$F727))),({1,2,3,4,5,6,7,8,9,10,11,12,13,14,15,16,17,18,19,20,21,22,23,24,25,26,27,28,29,30}-1)*LEN(Registro!$F727)+1,LEN(Registro!$F727))),FIND("x",TRIM(MID(SUBSTITUTE(SUBSTITUTE(SUBSTITUTE(SUBSTITUTE(SUBSTITUTE(LOWER(Registro!$F727)," ",""),CHAR(10),"|"),";","|"),"+","|"),"|",REPT(" ",LEN(Registro!$F727))),({1,2,3,4,5,6,7,8,9,10,11,12,13,14,15,16,17,18,19,20,21,22,23,24,25,26,27,28,29,30}-1)*LEN(Registro!$F727)+1,LEN(Registro!$F727)))&amp;"x")-1)),--("0"&amp;MID(TRIM(MID(SUBSTITUTE(SUBSTITUTE(SUBSTITUTE(SUBSTITUTE(SUBSTITUTE(LOWER(Registro!$F727)," ",""),CHAR(10),"|"),";","|"),"+","|"),"|",REPT(" ",LEN(Registro!$F727))),({1,2,3,4,5,6,7,8,9,10,11,12,13,14,15,16,17,18,19,20,21,22,23,24,25,26,27,28,29,30}-1)*LEN(Registro!$F727)+1,LEN(Registro!$F727))),FIND("x",TRIM(MID(SUBSTITUTE(SUBSTITUTE(SUBSTITUTE(SUBSTITUTE(SUBSTITUTE(LOWER(Registro!$F727)," ",""),CHAR(10),"|"),";","|"),"+","|"),"|",REPT(" ",LEN(Registro!$F727))),({1,2,3,4,5,6,7,8,9,10,11,12,13,14,15,16,17,18,19,20,21,22,23,24,25,26,27,28,29,30}-1)*LEN(Registro!$F727)+1,LEN(Registro!$F727)))&amp;"x")+1,20))),"Revisar formato")))</f>
        <v/>
      </c>
      <c r="H727" s="21" t="str">
        <f>IF(AND(Registro!$E727="",Registro!$F727=""),"",IF(NOT(AND(ISNUMBER(G727),ISNUMBER(Registro!$G727))),"",IF(G727&lt;Registro!$G727,"FALTA BOLETOS",IF(G727=Registro!$G727,"CONFORME","DIFERENCIA"))))</f>
        <v/>
      </c>
      <c r="I727" s="24" t="str">
        <f>IF(Registro!$H727="","",IFERROR(SUMPRODUCT(--("0"&amp;TRIM(RIGHT(SUBSTITUTE(TRIM(MID(SUBSTITUTE(SUBSTITUTE(Registro!$H727,";",CHAR(10)),CHAR(10),REPT(" ",LEN(Registro!$H727))),({1,2,3,4,5,6,7,8,9,10,11,12,13,14,15,16,17,18,19,20,21,22,23,24,25,26,27,28,29,30}-1)*LEN(Registro!$H727)+1,LEN(Registro!$H727)))," ",REPT(" ",50)),50)))),"Revisar formato"))</f>
        <v/>
      </c>
      <c r="J727" s="24" t="str">
        <f>IF(Registro!$I727="","",IFERROR(SUMPRODUCT(--("0"&amp;TRIM(RIGHT(SUBSTITUTE(TRIM(MID(SUBSTITUTE(SUBSTITUTE(Registro!$I727,";",CHAR(10)),CHAR(10),REPT(" ",LEN(Registro!$I727))),({1,2,3,4,5,6,7,8,9,10,11,12,13,14,15,16,17,18,19,20,21,22,23,24,25,26,27,28,29,30}-1)*LEN(Registro!$I727)+1,LEN(Registro!$I727)))," ",REPT(" ",50)),50)))),"Revisar formato"))</f>
        <v/>
      </c>
      <c r="K727" s="24" t="str">
        <f>IF(AND(Registro!$G727="",Registro!$H727=""),"",IF(AND(ISTEXT(I727),I727&lt;&gt;""),"Revisar formato",N(Registro!$G727)-N(I727)))</f>
        <v/>
      </c>
      <c r="L727" s="24" t="str">
        <f t="shared" si="23"/>
        <v/>
      </c>
      <c r="M727" s="36" t="str">
        <f>IF(AND(A727=Consulta!$B$3,C727=Consulta!$H$3),B727*10000+ROW(),"")</f>
        <v/>
      </c>
    </row>
    <row r="728" spans="1:13" x14ac:dyDescent="0.25">
      <c r="A728" s="21" t="str">
        <f>IF(Registro!$A728="","",Registro!$A728)</f>
        <v/>
      </c>
      <c r="B728" s="20" t="str">
        <f>IF(Registro!$B728="","",Registro!$B728)</f>
        <v/>
      </c>
      <c r="C728" s="35" t="str">
        <f t="shared" si="22"/>
        <v/>
      </c>
      <c r="D728" s="23" t="str">
        <f>IF(Registro!$E728="","",IF(ISERROR(FIND("x",LOWER(Registro!$E728))),"-",IFERROR(SUMPRODUCT(--("0"&amp;LEFT(TRIM(MID(SUBSTITUTE(SUBSTITUTE(SUBSTITUTE(SUBSTITUTE(SUBSTITUTE(LOWER(Registro!$E728),"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",LEN(Registro!$E728))),({1,2,3,4,5,6,7,8,9,10,11,12,13,14,15,16,17,18,19,20,21,22,23,24,25,26,27,28,29,30}-1)*LEN(Registro!$E728)+1,LEN(Registro!$E728))),FIND("x",TRIM(MID(SUBSTITUTE(SUBSTITUTE(SUBSTITUTE(SUBSTITUTE(SUBSTITUTE(LOWER(Registro!$E728),"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",LEN(Registro!$E728))),({1,2,3,4,5,6,7,8,9,10,11,12,13,14,15,16,17,18,19,20,21,22,23,24,25,26,27,28,29,30}-1)*LEN(Registro!$E728)+1,LEN(Registro!$E728)))&amp;"x")-1))),"Revisar formato")))</f>
        <v/>
      </c>
      <c r="E728" s="24" t="str">
        <f>IF(Registro!$E728="","",IF(ISERROR(FIND("x",LOWER(Registro!$E728))),"-",IFERROR(SUMPRODUCT(--("0"&amp;LEFT(TRIM(MID(SUBSTITUTE(SUBSTITUTE(SUBSTITUTE(SUBSTITUTE(SUBSTITUTE(LOWER(Registro!$E728),"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",LEN(Registro!$E728))),({1,2,3,4,5,6,7,8,9,10,11,12,13,14,15,16,17,18,19,20,21,22,23,24,25,26,27,28,29,30}-1)*LEN(Registro!$E728)+1,LEN(Registro!$E728))),FIND("x",TRIM(MID(SUBSTITUTE(SUBSTITUTE(SUBSTITUTE(SUBSTITUTE(SUBSTITUTE(LOWER(Registro!$E728),"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",LEN(Registro!$E728))),({1,2,3,4,5,6,7,8,9,10,11,12,13,14,15,16,17,18,19,20,21,22,23,24,25,26,27,28,29,30}-1)*LEN(Registro!$E728)+1,LEN(Registro!$E728)))&amp;"x")-1)),--("0"&amp;MID(TRIM(MID(SUBSTITUTE(SUBSTITUTE(SUBSTITUTE(SUBSTITUTE(SUBSTITUTE(LOWER(Registro!$E728),"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",LEN(Registro!$E728))),({1,2,3,4,5,6,7,8,9,10,11,12,13,14,15,16,17,18,19,20,21,22,23,24,25,26,27,28,29,30}-1)*LEN(Registro!$E728)+1,LEN(Registro!$E728))),FIND("x",TRIM(MID(SUBSTITUTE(SUBSTITUTE(SUBSTITUTE(SUBSTITUTE(SUBSTITUTE(LOWER(Registro!$E728),"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",LEN(Registro!$E728))),({1,2,3,4,5,6,7,8,9,10,11,12,13,14,15,16,17,18,19,20,21,22,23,24,25,26,27,28,29,30}-1)*LEN(Registro!$E728)+1,LEN(Registro!$E728)))&amp;"x")+1,20))),"Revisar formato")))</f>
        <v/>
      </c>
      <c r="F728" s="23" t="str">
        <f>IF(Registro!$F728="","",IF(ISERROR(FIND("x",LOWER(Registro!$F728))),"-",IFERROR(SUMPRODUCT(--("0"&amp;LEFT(TRIM(MID(SUBSTITUTE(SUBSTITUTE(SUBSTITUTE(SUBSTITUTE(SUBSTITUTE(LOWER(Registro!$F728)," ",""),CHAR(10),"|"),";","|"),"+","|"),"|",REPT(" ",LEN(Registro!$F728))),({1,2,3,4,5,6,7,8,9,10,11,12,13,14,15,16,17,18,19,20,21,22,23,24,25,26,27,28,29,30}-1)*LEN(Registro!$F728)+1,LEN(Registro!$F728))),FIND("x",TRIM(MID(SUBSTITUTE(SUBSTITUTE(SUBSTITUTE(SUBSTITUTE(SUBSTITUTE(LOWER(Registro!$F728)," ",""),CHAR(10),"|"),";","|"),"+","|"),"|",REPT(" ",LEN(Registro!$F728))),({1,2,3,4,5,6,7,8,9,10,11,12,13,14,15,16,17,18,19,20,21,22,23,24,25,26,27,28,29,30}-1)*LEN(Registro!$F728)+1,LEN(Registro!$F728)))&amp;"x")-1))),"Revisar formato")))</f>
        <v/>
      </c>
      <c r="G728" s="24" t="str">
        <f>IF(Registro!$F728="","",IF(ISERROR(FIND("x",LOWER(Registro!$F728))),N(Registro!$G728),IFERROR(SUMPRODUCT(--("0"&amp;LEFT(TRIM(MID(SUBSTITUTE(SUBSTITUTE(SUBSTITUTE(SUBSTITUTE(SUBSTITUTE(LOWER(Registro!$F728)," ",""),CHAR(10),"|"),";","|"),"+","|"),"|",REPT(" ",LEN(Registro!$F728))),({1,2,3,4,5,6,7,8,9,10,11,12,13,14,15,16,17,18,19,20,21,22,23,24,25,26,27,28,29,30}-1)*LEN(Registro!$F728)+1,LEN(Registro!$F728))),FIND("x",TRIM(MID(SUBSTITUTE(SUBSTITUTE(SUBSTITUTE(SUBSTITUTE(SUBSTITUTE(LOWER(Registro!$F728)," ",""),CHAR(10),"|"),";","|"),"+","|"),"|",REPT(" ",LEN(Registro!$F728))),({1,2,3,4,5,6,7,8,9,10,11,12,13,14,15,16,17,18,19,20,21,22,23,24,25,26,27,28,29,30}-1)*LEN(Registro!$F728)+1,LEN(Registro!$F728)))&amp;"x")-1)),--("0"&amp;MID(TRIM(MID(SUBSTITUTE(SUBSTITUTE(SUBSTITUTE(SUBSTITUTE(SUBSTITUTE(LOWER(Registro!$F728)," ",""),CHAR(10),"|"),";","|"),"+","|"),"|",REPT(" ",LEN(Registro!$F728))),({1,2,3,4,5,6,7,8,9,10,11,12,13,14,15,16,17,18,19,20,21,22,23,24,25,26,27,28,29,30}-1)*LEN(Registro!$F728)+1,LEN(Registro!$F728))),FIND("x",TRIM(MID(SUBSTITUTE(SUBSTITUTE(SUBSTITUTE(SUBSTITUTE(SUBSTITUTE(LOWER(Registro!$F728)," ",""),CHAR(10),"|"),";","|"),"+","|"),"|",REPT(" ",LEN(Registro!$F728))),({1,2,3,4,5,6,7,8,9,10,11,12,13,14,15,16,17,18,19,20,21,22,23,24,25,26,27,28,29,30}-1)*LEN(Registro!$F728)+1,LEN(Registro!$F728)))&amp;"x")+1,20))),"Revisar formato")))</f>
        <v/>
      </c>
      <c r="H728" s="21" t="str">
        <f>IF(AND(Registro!$E728="",Registro!$F728=""),"",IF(NOT(AND(ISNUMBER(G728),ISNUMBER(Registro!$G728))),"",IF(G728&lt;Registro!$G728,"FALTA BOLETOS",IF(G728=Registro!$G728,"CONFORME","DIFERENCIA"))))</f>
        <v/>
      </c>
      <c r="I728" s="24" t="str">
        <f>IF(Registro!$H728="","",IFERROR(SUMPRODUCT(--("0"&amp;TRIM(RIGHT(SUBSTITUTE(TRIM(MID(SUBSTITUTE(SUBSTITUTE(Registro!$H728,";",CHAR(10)),CHAR(10),REPT(" ",LEN(Registro!$H728))),({1,2,3,4,5,6,7,8,9,10,11,12,13,14,15,16,17,18,19,20,21,22,23,24,25,26,27,28,29,30}-1)*LEN(Registro!$H728)+1,LEN(Registro!$H728)))," ",REPT(" ",50)),50)))),"Revisar formato"))</f>
        <v/>
      </c>
      <c r="J728" s="24" t="str">
        <f>IF(Registro!$I728="","",IFERROR(SUMPRODUCT(--("0"&amp;TRIM(RIGHT(SUBSTITUTE(TRIM(MID(SUBSTITUTE(SUBSTITUTE(Registro!$I728,";",CHAR(10)),CHAR(10),REPT(" ",LEN(Registro!$I728))),({1,2,3,4,5,6,7,8,9,10,11,12,13,14,15,16,17,18,19,20,21,22,23,24,25,26,27,28,29,30}-1)*LEN(Registro!$I728)+1,LEN(Registro!$I728)))," ",REPT(" ",50)),50)))),"Revisar formato"))</f>
        <v/>
      </c>
      <c r="K728" s="24" t="str">
        <f>IF(AND(Registro!$G728="",Registro!$H728=""),"",IF(AND(ISTEXT(I728),I728&lt;&gt;""),"Revisar formato",N(Registro!$G728)-N(I728)))</f>
        <v/>
      </c>
      <c r="L728" s="24" t="str">
        <f t="shared" si="23"/>
        <v/>
      </c>
      <c r="M728" s="36" t="str">
        <f>IF(AND(A728=Consulta!$B$3,C728=Consulta!$H$3),B728*10000+ROW(),"")</f>
        <v/>
      </c>
    </row>
    <row r="729" spans="1:13" x14ac:dyDescent="0.25">
      <c r="A729" s="21" t="str">
        <f>IF(Registro!$A729="","",Registro!$A729)</f>
        <v/>
      </c>
      <c r="B729" s="20" t="str">
        <f>IF(Registro!$B729="","",Registro!$B729)</f>
        <v/>
      </c>
      <c r="C729" s="35" t="str">
        <f t="shared" si="22"/>
        <v/>
      </c>
      <c r="D729" s="23" t="str">
        <f>IF(Registro!$E729="","",IF(ISERROR(FIND("x",LOWER(Registro!$E729))),"-",IFERROR(SUMPRODUCT(--("0"&amp;LEFT(TRIM(MID(SUBSTITUTE(SUBSTITUTE(SUBSTITUTE(SUBSTITUTE(SUBSTITUTE(LOWER(Registro!$E729),"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",LEN(Registro!$E729))),({1,2,3,4,5,6,7,8,9,10,11,12,13,14,15,16,17,18,19,20,21,22,23,24,25,26,27,28,29,30}-1)*LEN(Registro!$E729)+1,LEN(Registro!$E729))),FIND("x",TRIM(MID(SUBSTITUTE(SUBSTITUTE(SUBSTITUTE(SUBSTITUTE(SUBSTITUTE(LOWER(Registro!$E729),"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",LEN(Registro!$E729))),({1,2,3,4,5,6,7,8,9,10,11,12,13,14,15,16,17,18,19,20,21,22,23,24,25,26,27,28,29,30}-1)*LEN(Registro!$E729)+1,LEN(Registro!$E729)))&amp;"x")-1))),"Revisar formato")))</f>
        <v/>
      </c>
      <c r="E729" s="24" t="str">
        <f>IF(Registro!$E729="","",IF(ISERROR(FIND("x",LOWER(Registro!$E729))),"-",IFERROR(SUMPRODUCT(--("0"&amp;LEFT(TRIM(MID(SUBSTITUTE(SUBSTITUTE(SUBSTITUTE(SUBSTITUTE(SUBSTITUTE(LOWER(Registro!$E729),"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",LEN(Registro!$E729))),({1,2,3,4,5,6,7,8,9,10,11,12,13,14,15,16,17,18,19,20,21,22,23,24,25,26,27,28,29,30}-1)*LEN(Registro!$E729)+1,LEN(Registro!$E729))),FIND("x",TRIM(MID(SUBSTITUTE(SUBSTITUTE(SUBSTITUTE(SUBSTITUTE(SUBSTITUTE(LOWER(Registro!$E729),"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",LEN(Registro!$E729))),({1,2,3,4,5,6,7,8,9,10,11,12,13,14,15,16,17,18,19,20,21,22,23,24,25,26,27,28,29,30}-1)*LEN(Registro!$E729)+1,LEN(Registro!$E729)))&amp;"x")-1)),--("0"&amp;MID(TRIM(MID(SUBSTITUTE(SUBSTITUTE(SUBSTITUTE(SUBSTITUTE(SUBSTITUTE(LOWER(Registro!$E729),"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",LEN(Registro!$E729))),({1,2,3,4,5,6,7,8,9,10,11,12,13,14,15,16,17,18,19,20,21,22,23,24,25,26,27,28,29,30}-1)*LEN(Registro!$E729)+1,LEN(Registro!$E729))),FIND("x",TRIM(MID(SUBSTITUTE(SUBSTITUTE(SUBSTITUTE(SUBSTITUTE(SUBSTITUTE(LOWER(Registro!$E729),"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",LEN(Registro!$E729))),({1,2,3,4,5,6,7,8,9,10,11,12,13,14,15,16,17,18,19,20,21,22,23,24,25,26,27,28,29,30}-1)*LEN(Registro!$E729)+1,LEN(Registro!$E729)))&amp;"x")+1,20))),"Revisar formato")))</f>
        <v/>
      </c>
      <c r="F729" s="23" t="str">
        <f>IF(Registro!$F729="","",IF(ISERROR(FIND("x",LOWER(Registro!$F729))),"-",IFERROR(SUMPRODUCT(--("0"&amp;LEFT(TRIM(MID(SUBSTITUTE(SUBSTITUTE(SUBSTITUTE(SUBSTITUTE(SUBSTITUTE(LOWER(Registro!$F729)," ",""),CHAR(10),"|"),";","|"),"+","|"),"|",REPT(" ",LEN(Registro!$F729))),({1,2,3,4,5,6,7,8,9,10,11,12,13,14,15,16,17,18,19,20,21,22,23,24,25,26,27,28,29,30}-1)*LEN(Registro!$F729)+1,LEN(Registro!$F729))),FIND("x",TRIM(MID(SUBSTITUTE(SUBSTITUTE(SUBSTITUTE(SUBSTITUTE(SUBSTITUTE(LOWER(Registro!$F729)," ",""),CHAR(10),"|"),";","|"),"+","|"),"|",REPT(" ",LEN(Registro!$F729))),({1,2,3,4,5,6,7,8,9,10,11,12,13,14,15,16,17,18,19,20,21,22,23,24,25,26,27,28,29,30}-1)*LEN(Registro!$F729)+1,LEN(Registro!$F729)))&amp;"x")-1))),"Revisar formato")))</f>
        <v/>
      </c>
      <c r="G729" s="24" t="str">
        <f>IF(Registro!$F729="","",IF(ISERROR(FIND("x",LOWER(Registro!$F729))),N(Registro!$G729),IFERROR(SUMPRODUCT(--("0"&amp;LEFT(TRIM(MID(SUBSTITUTE(SUBSTITUTE(SUBSTITUTE(SUBSTITUTE(SUBSTITUTE(LOWER(Registro!$F729)," ",""),CHAR(10),"|"),";","|"),"+","|"),"|",REPT(" ",LEN(Registro!$F729))),({1,2,3,4,5,6,7,8,9,10,11,12,13,14,15,16,17,18,19,20,21,22,23,24,25,26,27,28,29,30}-1)*LEN(Registro!$F729)+1,LEN(Registro!$F729))),FIND("x",TRIM(MID(SUBSTITUTE(SUBSTITUTE(SUBSTITUTE(SUBSTITUTE(SUBSTITUTE(LOWER(Registro!$F729)," ",""),CHAR(10),"|"),";","|"),"+","|"),"|",REPT(" ",LEN(Registro!$F729))),({1,2,3,4,5,6,7,8,9,10,11,12,13,14,15,16,17,18,19,20,21,22,23,24,25,26,27,28,29,30}-1)*LEN(Registro!$F729)+1,LEN(Registro!$F729)))&amp;"x")-1)),--("0"&amp;MID(TRIM(MID(SUBSTITUTE(SUBSTITUTE(SUBSTITUTE(SUBSTITUTE(SUBSTITUTE(LOWER(Registro!$F729)," ",""),CHAR(10),"|"),";","|"),"+","|"),"|",REPT(" ",LEN(Registro!$F729))),({1,2,3,4,5,6,7,8,9,10,11,12,13,14,15,16,17,18,19,20,21,22,23,24,25,26,27,28,29,30}-1)*LEN(Registro!$F729)+1,LEN(Registro!$F729))),FIND("x",TRIM(MID(SUBSTITUTE(SUBSTITUTE(SUBSTITUTE(SUBSTITUTE(SUBSTITUTE(LOWER(Registro!$F729)," ",""),CHAR(10),"|"),";","|"),"+","|"),"|",REPT(" ",LEN(Registro!$F729))),({1,2,3,4,5,6,7,8,9,10,11,12,13,14,15,16,17,18,19,20,21,22,23,24,25,26,27,28,29,30}-1)*LEN(Registro!$F729)+1,LEN(Registro!$F729)))&amp;"x")+1,20))),"Revisar formato")))</f>
        <v/>
      </c>
      <c r="H729" s="21" t="str">
        <f>IF(AND(Registro!$E729="",Registro!$F729=""),"",IF(NOT(AND(ISNUMBER(G729),ISNUMBER(Registro!$G729))),"",IF(G729&lt;Registro!$G729,"FALTA BOLETOS",IF(G729=Registro!$G729,"CONFORME","DIFERENCIA"))))</f>
        <v/>
      </c>
      <c r="I729" s="24" t="str">
        <f>IF(Registro!$H729="","",IFERROR(SUMPRODUCT(--("0"&amp;TRIM(RIGHT(SUBSTITUTE(TRIM(MID(SUBSTITUTE(SUBSTITUTE(Registro!$H729,";",CHAR(10)),CHAR(10),REPT(" ",LEN(Registro!$H729))),({1,2,3,4,5,6,7,8,9,10,11,12,13,14,15,16,17,18,19,20,21,22,23,24,25,26,27,28,29,30}-1)*LEN(Registro!$H729)+1,LEN(Registro!$H729)))," ",REPT(" ",50)),50)))),"Revisar formato"))</f>
        <v/>
      </c>
      <c r="J729" s="24" t="str">
        <f>IF(Registro!$I729="","",IFERROR(SUMPRODUCT(--("0"&amp;TRIM(RIGHT(SUBSTITUTE(TRIM(MID(SUBSTITUTE(SUBSTITUTE(Registro!$I729,";",CHAR(10)),CHAR(10),REPT(" ",LEN(Registro!$I729))),({1,2,3,4,5,6,7,8,9,10,11,12,13,14,15,16,17,18,19,20,21,22,23,24,25,26,27,28,29,30}-1)*LEN(Registro!$I729)+1,LEN(Registro!$I729)))," ",REPT(" ",50)),50)))),"Revisar formato"))</f>
        <v/>
      </c>
      <c r="K729" s="24" t="str">
        <f>IF(AND(Registro!$G729="",Registro!$H729=""),"",IF(AND(ISTEXT(I729),I729&lt;&gt;""),"Revisar formato",N(Registro!$G729)-N(I729)))</f>
        <v/>
      </c>
      <c r="L729" s="24" t="str">
        <f t="shared" si="23"/>
        <v/>
      </c>
      <c r="M729" s="36" t="str">
        <f>IF(AND(A729=Consulta!$B$3,C729=Consulta!$H$3),B729*10000+ROW(),"")</f>
        <v/>
      </c>
    </row>
    <row r="730" spans="1:13" x14ac:dyDescent="0.25">
      <c r="A730" s="21" t="str">
        <f>IF(Registro!$A730="","",Registro!$A730)</f>
        <v/>
      </c>
      <c r="B730" s="20" t="str">
        <f>IF(Registro!$B730="","",Registro!$B730)</f>
        <v/>
      </c>
      <c r="C730" s="35" t="str">
        <f t="shared" si="22"/>
        <v/>
      </c>
      <c r="D730" s="23" t="str">
        <f>IF(Registro!$E730="","",IF(ISERROR(FIND("x",LOWER(Registro!$E730))),"-",IFERROR(SUMPRODUCT(--("0"&amp;LEFT(TRIM(MID(SUBSTITUTE(SUBSTITUTE(SUBSTITUTE(SUBSTITUTE(SUBSTITUTE(LOWER(Registro!$E730),"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",LEN(Registro!$E730))),({1,2,3,4,5,6,7,8,9,10,11,12,13,14,15,16,17,18,19,20,21,22,23,24,25,26,27,28,29,30}-1)*LEN(Registro!$E730)+1,LEN(Registro!$E730))),FIND("x",TRIM(MID(SUBSTITUTE(SUBSTITUTE(SUBSTITUTE(SUBSTITUTE(SUBSTITUTE(LOWER(Registro!$E730),"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",LEN(Registro!$E730))),({1,2,3,4,5,6,7,8,9,10,11,12,13,14,15,16,17,18,19,20,21,22,23,24,25,26,27,28,29,30}-1)*LEN(Registro!$E730)+1,LEN(Registro!$E730)))&amp;"x")-1))),"Revisar formato")))</f>
        <v/>
      </c>
      <c r="E730" s="24" t="str">
        <f>IF(Registro!$E730="","",IF(ISERROR(FIND("x",LOWER(Registro!$E730))),"-",IFERROR(SUMPRODUCT(--("0"&amp;LEFT(TRIM(MID(SUBSTITUTE(SUBSTITUTE(SUBSTITUTE(SUBSTITUTE(SUBSTITUTE(LOWER(Registro!$E730),"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",LEN(Registro!$E730))),({1,2,3,4,5,6,7,8,9,10,11,12,13,14,15,16,17,18,19,20,21,22,23,24,25,26,27,28,29,30}-1)*LEN(Registro!$E730)+1,LEN(Registro!$E730))),FIND("x",TRIM(MID(SUBSTITUTE(SUBSTITUTE(SUBSTITUTE(SUBSTITUTE(SUBSTITUTE(LOWER(Registro!$E730),"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",LEN(Registro!$E730))),({1,2,3,4,5,6,7,8,9,10,11,12,13,14,15,16,17,18,19,20,21,22,23,24,25,26,27,28,29,30}-1)*LEN(Registro!$E730)+1,LEN(Registro!$E730)))&amp;"x")-1)),--("0"&amp;MID(TRIM(MID(SUBSTITUTE(SUBSTITUTE(SUBSTITUTE(SUBSTITUTE(SUBSTITUTE(LOWER(Registro!$E730),"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",LEN(Registro!$E730))),({1,2,3,4,5,6,7,8,9,10,11,12,13,14,15,16,17,18,19,20,21,22,23,24,25,26,27,28,29,30}-1)*LEN(Registro!$E730)+1,LEN(Registro!$E730))),FIND("x",TRIM(MID(SUBSTITUTE(SUBSTITUTE(SUBSTITUTE(SUBSTITUTE(SUBSTITUTE(LOWER(Registro!$E730),"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",LEN(Registro!$E730))),({1,2,3,4,5,6,7,8,9,10,11,12,13,14,15,16,17,18,19,20,21,22,23,24,25,26,27,28,29,30}-1)*LEN(Registro!$E730)+1,LEN(Registro!$E730)))&amp;"x")+1,20))),"Revisar formato")))</f>
        <v/>
      </c>
      <c r="F730" s="23" t="str">
        <f>IF(Registro!$F730="","",IF(ISERROR(FIND("x",LOWER(Registro!$F730))),"-",IFERROR(SUMPRODUCT(--("0"&amp;LEFT(TRIM(MID(SUBSTITUTE(SUBSTITUTE(SUBSTITUTE(SUBSTITUTE(SUBSTITUTE(LOWER(Registro!$F730)," ",""),CHAR(10),"|"),";","|"),"+","|"),"|",REPT(" ",LEN(Registro!$F730))),({1,2,3,4,5,6,7,8,9,10,11,12,13,14,15,16,17,18,19,20,21,22,23,24,25,26,27,28,29,30}-1)*LEN(Registro!$F730)+1,LEN(Registro!$F730))),FIND("x",TRIM(MID(SUBSTITUTE(SUBSTITUTE(SUBSTITUTE(SUBSTITUTE(SUBSTITUTE(LOWER(Registro!$F730)," ",""),CHAR(10),"|"),";","|"),"+","|"),"|",REPT(" ",LEN(Registro!$F730))),({1,2,3,4,5,6,7,8,9,10,11,12,13,14,15,16,17,18,19,20,21,22,23,24,25,26,27,28,29,30}-1)*LEN(Registro!$F730)+1,LEN(Registro!$F730)))&amp;"x")-1))),"Revisar formato")))</f>
        <v/>
      </c>
      <c r="G730" s="24" t="str">
        <f>IF(Registro!$F730="","",IF(ISERROR(FIND("x",LOWER(Registro!$F730))),N(Registro!$G730),IFERROR(SUMPRODUCT(--("0"&amp;LEFT(TRIM(MID(SUBSTITUTE(SUBSTITUTE(SUBSTITUTE(SUBSTITUTE(SUBSTITUTE(LOWER(Registro!$F730)," ",""),CHAR(10),"|"),";","|"),"+","|"),"|",REPT(" ",LEN(Registro!$F730))),({1,2,3,4,5,6,7,8,9,10,11,12,13,14,15,16,17,18,19,20,21,22,23,24,25,26,27,28,29,30}-1)*LEN(Registro!$F730)+1,LEN(Registro!$F730))),FIND("x",TRIM(MID(SUBSTITUTE(SUBSTITUTE(SUBSTITUTE(SUBSTITUTE(SUBSTITUTE(LOWER(Registro!$F730)," ",""),CHAR(10),"|"),";","|"),"+","|"),"|",REPT(" ",LEN(Registro!$F730))),({1,2,3,4,5,6,7,8,9,10,11,12,13,14,15,16,17,18,19,20,21,22,23,24,25,26,27,28,29,30}-1)*LEN(Registro!$F730)+1,LEN(Registro!$F730)))&amp;"x")-1)),--("0"&amp;MID(TRIM(MID(SUBSTITUTE(SUBSTITUTE(SUBSTITUTE(SUBSTITUTE(SUBSTITUTE(LOWER(Registro!$F730)," ",""),CHAR(10),"|"),";","|"),"+","|"),"|",REPT(" ",LEN(Registro!$F730))),({1,2,3,4,5,6,7,8,9,10,11,12,13,14,15,16,17,18,19,20,21,22,23,24,25,26,27,28,29,30}-1)*LEN(Registro!$F730)+1,LEN(Registro!$F730))),FIND("x",TRIM(MID(SUBSTITUTE(SUBSTITUTE(SUBSTITUTE(SUBSTITUTE(SUBSTITUTE(LOWER(Registro!$F730)," ",""),CHAR(10),"|"),";","|"),"+","|"),"|",REPT(" ",LEN(Registro!$F730))),({1,2,3,4,5,6,7,8,9,10,11,12,13,14,15,16,17,18,19,20,21,22,23,24,25,26,27,28,29,30}-1)*LEN(Registro!$F730)+1,LEN(Registro!$F730)))&amp;"x")+1,20))),"Revisar formato")))</f>
        <v/>
      </c>
      <c r="H730" s="21" t="str">
        <f>IF(AND(Registro!$E730="",Registro!$F730=""),"",IF(NOT(AND(ISNUMBER(G730),ISNUMBER(Registro!$G730))),"",IF(G730&lt;Registro!$G730,"FALTA BOLETOS",IF(G730=Registro!$G730,"CONFORME","DIFERENCIA"))))</f>
        <v/>
      </c>
      <c r="I730" s="24" t="str">
        <f>IF(Registro!$H730="","",IFERROR(SUMPRODUCT(--("0"&amp;TRIM(RIGHT(SUBSTITUTE(TRIM(MID(SUBSTITUTE(SUBSTITUTE(Registro!$H730,";",CHAR(10)),CHAR(10),REPT(" ",LEN(Registro!$H730))),({1,2,3,4,5,6,7,8,9,10,11,12,13,14,15,16,17,18,19,20,21,22,23,24,25,26,27,28,29,30}-1)*LEN(Registro!$H730)+1,LEN(Registro!$H730)))," ",REPT(" ",50)),50)))),"Revisar formato"))</f>
        <v/>
      </c>
      <c r="J730" s="24" t="str">
        <f>IF(Registro!$I730="","",IFERROR(SUMPRODUCT(--("0"&amp;TRIM(RIGHT(SUBSTITUTE(TRIM(MID(SUBSTITUTE(SUBSTITUTE(Registro!$I730,";",CHAR(10)),CHAR(10),REPT(" ",LEN(Registro!$I730))),({1,2,3,4,5,6,7,8,9,10,11,12,13,14,15,16,17,18,19,20,21,22,23,24,25,26,27,28,29,30}-1)*LEN(Registro!$I730)+1,LEN(Registro!$I730)))," ",REPT(" ",50)),50)))),"Revisar formato"))</f>
        <v/>
      </c>
      <c r="K730" s="24" t="str">
        <f>IF(AND(Registro!$G730="",Registro!$H730=""),"",IF(AND(ISTEXT(I730),I730&lt;&gt;""),"Revisar formato",N(Registro!$G730)-N(I730)))</f>
        <v/>
      </c>
      <c r="L730" s="24" t="str">
        <f t="shared" si="23"/>
        <v/>
      </c>
      <c r="M730" s="36" t="str">
        <f>IF(AND(A730=Consulta!$B$3,C730=Consulta!$H$3),B730*10000+ROW(),"")</f>
        <v/>
      </c>
    </row>
    <row r="731" spans="1:13" x14ac:dyDescent="0.25">
      <c r="A731" s="21" t="str">
        <f>IF(Registro!$A731="","",Registro!$A731)</f>
        <v/>
      </c>
      <c r="B731" s="20" t="str">
        <f>IF(Registro!$B731="","",Registro!$B731)</f>
        <v/>
      </c>
      <c r="C731" s="35" t="str">
        <f t="shared" si="22"/>
        <v/>
      </c>
      <c r="D731" s="23" t="str">
        <f>IF(Registro!$E731="","",IF(ISERROR(FIND("x",LOWER(Registro!$E731))),"-",IFERROR(SUMPRODUCT(--("0"&amp;LEFT(TRIM(MID(SUBSTITUTE(SUBSTITUTE(SUBSTITUTE(SUBSTITUTE(SUBSTITUTE(LOWER(Registro!$E731),"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",LEN(Registro!$E731))),({1,2,3,4,5,6,7,8,9,10,11,12,13,14,15,16,17,18,19,20,21,22,23,24,25,26,27,28,29,30}-1)*LEN(Registro!$E731)+1,LEN(Registro!$E731))),FIND("x",TRIM(MID(SUBSTITUTE(SUBSTITUTE(SUBSTITUTE(SUBSTITUTE(SUBSTITUTE(LOWER(Registro!$E731),"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",LEN(Registro!$E731))),({1,2,3,4,5,6,7,8,9,10,11,12,13,14,15,16,17,18,19,20,21,22,23,24,25,26,27,28,29,30}-1)*LEN(Registro!$E731)+1,LEN(Registro!$E731)))&amp;"x")-1))),"Revisar formato")))</f>
        <v/>
      </c>
      <c r="E731" s="24" t="str">
        <f>IF(Registro!$E731="","",IF(ISERROR(FIND("x",LOWER(Registro!$E731))),"-",IFERROR(SUMPRODUCT(--("0"&amp;LEFT(TRIM(MID(SUBSTITUTE(SUBSTITUTE(SUBSTITUTE(SUBSTITUTE(SUBSTITUTE(LOWER(Registro!$E731),"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",LEN(Registro!$E731))),({1,2,3,4,5,6,7,8,9,10,11,12,13,14,15,16,17,18,19,20,21,22,23,24,25,26,27,28,29,30}-1)*LEN(Registro!$E731)+1,LEN(Registro!$E731))),FIND("x",TRIM(MID(SUBSTITUTE(SUBSTITUTE(SUBSTITUTE(SUBSTITUTE(SUBSTITUTE(LOWER(Registro!$E731),"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",LEN(Registro!$E731))),({1,2,3,4,5,6,7,8,9,10,11,12,13,14,15,16,17,18,19,20,21,22,23,24,25,26,27,28,29,30}-1)*LEN(Registro!$E731)+1,LEN(Registro!$E731)))&amp;"x")-1)),--("0"&amp;MID(TRIM(MID(SUBSTITUTE(SUBSTITUTE(SUBSTITUTE(SUBSTITUTE(SUBSTITUTE(LOWER(Registro!$E731),"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",LEN(Registro!$E731))),({1,2,3,4,5,6,7,8,9,10,11,12,13,14,15,16,17,18,19,20,21,22,23,24,25,26,27,28,29,30}-1)*LEN(Registro!$E731)+1,LEN(Registro!$E731))),FIND("x",TRIM(MID(SUBSTITUTE(SUBSTITUTE(SUBSTITUTE(SUBSTITUTE(SUBSTITUTE(LOWER(Registro!$E731),"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",LEN(Registro!$E731))),({1,2,3,4,5,6,7,8,9,10,11,12,13,14,15,16,17,18,19,20,21,22,23,24,25,26,27,28,29,30}-1)*LEN(Registro!$E731)+1,LEN(Registro!$E731)))&amp;"x")+1,20))),"Revisar formato")))</f>
        <v/>
      </c>
      <c r="F731" s="23" t="str">
        <f>IF(Registro!$F731="","",IF(ISERROR(FIND("x",LOWER(Registro!$F731))),"-",IFERROR(SUMPRODUCT(--("0"&amp;LEFT(TRIM(MID(SUBSTITUTE(SUBSTITUTE(SUBSTITUTE(SUBSTITUTE(SUBSTITUTE(LOWER(Registro!$F731)," ",""),CHAR(10),"|"),";","|"),"+","|"),"|",REPT(" ",LEN(Registro!$F731))),({1,2,3,4,5,6,7,8,9,10,11,12,13,14,15,16,17,18,19,20,21,22,23,24,25,26,27,28,29,30}-1)*LEN(Registro!$F731)+1,LEN(Registro!$F731))),FIND("x",TRIM(MID(SUBSTITUTE(SUBSTITUTE(SUBSTITUTE(SUBSTITUTE(SUBSTITUTE(LOWER(Registro!$F731)," ",""),CHAR(10),"|"),";","|"),"+","|"),"|",REPT(" ",LEN(Registro!$F731))),({1,2,3,4,5,6,7,8,9,10,11,12,13,14,15,16,17,18,19,20,21,22,23,24,25,26,27,28,29,30}-1)*LEN(Registro!$F731)+1,LEN(Registro!$F731)))&amp;"x")-1))),"Revisar formato")))</f>
        <v/>
      </c>
      <c r="G731" s="24" t="str">
        <f>IF(Registro!$F731="","",IF(ISERROR(FIND("x",LOWER(Registro!$F731))),N(Registro!$G731),IFERROR(SUMPRODUCT(--("0"&amp;LEFT(TRIM(MID(SUBSTITUTE(SUBSTITUTE(SUBSTITUTE(SUBSTITUTE(SUBSTITUTE(LOWER(Registro!$F731)," ",""),CHAR(10),"|"),";","|"),"+","|"),"|",REPT(" ",LEN(Registro!$F731))),({1,2,3,4,5,6,7,8,9,10,11,12,13,14,15,16,17,18,19,20,21,22,23,24,25,26,27,28,29,30}-1)*LEN(Registro!$F731)+1,LEN(Registro!$F731))),FIND("x",TRIM(MID(SUBSTITUTE(SUBSTITUTE(SUBSTITUTE(SUBSTITUTE(SUBSTITUTE(LOWER(Registro!$F731)," ",""),CHAR(10),"|"),";","|"),"+","|"),"|",REPT(" ",LEN(Registro!$F731))),({1,2,3,4,5,6,7,8,9,10,11,12,13,14,15,16,17,18,19,20,21,22,23,24,25,26,27,28,29,30}-1)*LEN(Registro!$F731)+1,LEN(Registro!$F731)))&amp;"x")-1)),--("0"&amp;MID(TRIM(MID(SUBSTITUTE(SUBSTITUTE(SUBSTITUTE(SUBSTITUTE(SUBSTITUTE(LOWER(Registro!$F731)," ",""),CHAR(10),"|"),";","|"),"+","|"),"|",REPT(" ",LEN(Registro!$F731))),({1,2,3,4,5,6,7,8,9,10,11,12,13,14,15,16,17,18,19,20,21,22,23,24,25,26,27,28,29,30}-1)*LEN(Registro!$F731)+1,LEN(Registro!$F731))),FIND("x",TRIM(MID(SUBSTITUTE(SUBSTITUTE(SUBSTITUTE(SUBSTITUTE(SUBSTITUTE(LOWER(Registro!$F731)," ",""),CHAR(10),"|"),";","|"),"+","|"),"|",REPT(" ",LEN(Registro!$F731))),({1,2,3,4,5,6,7,8,9,10,11,12,13,14,15,16,17,18,19,20,21,22,23,24,25,26,27,28,29,30}-1)*LEN(Registro!$F731)+1,LEN(Registro!$F731)))&amp;"x")+1,20))),"Revisar formato")))</f>
        <v/>
      </c>
      <c r="H731" s="21" t="str">
        <f>IF(AND(Registro!$E731="",Registro!$F731=""),"",IF(NOT(AND(ISNUMBER(G731),ISNUMBER(Registro!$G731))),"",IF(G731&lt;Registro!$G731,"FALTA BOLETOS",IF(G731=Registro!$G731,"CONFORME","DIFERENCIA"))))</f>
        <v/>
      </c>
      <c r="I731" s="24" t="str">
        <f>IF(Registro!$H731="","",IFERROR(SUMPRODUCT(--("0"&amp;TRIM(RIGHT(SUBSTITUTE(TRIM(MID(SUBSTITUTE(SUBSTITUTE(Registro!$H731,";",CHAR(10)),CHAR(10),REPT(" ",LEN(Registro!$H731))),({1,2,3,4,5,6,7,8,9,10,11,12,13,14,15,16,17,18,19,20,21,22,23,24,25,26,27,28,29,30}-1)*LEN(Registro!$H731)+1,LEN(Registro!$H731)))," ",REPT(" ",50)),50)))),"Revisar formato"))</f>
        <v/>
      </c>
      <c r="J731" s="24" t="str">
        <f>IF(Registro!$I731="","",IFERROR(SUMPRODUCT(--("0"&amp;TRIM(RIGHT(SUBSTITUTE(TRIM(MID(SUBSTITUTE(SUBSTITUTE(Registro!$I731,";",CHAR(10)),CHAR(10),REPT(" ",LEN(Registro!$I731))),({1,2,3,4,5,6,7,8,9,10,11,12,13,14,15,16,17,18,19,20,21,22,23,24,25,26,27,28,29,30}-1)*LEN(Registro!$I731)+1,LEN(Registro!$I731)))," ",REPT(" ",50)),50)))),"Revisar formato"))</f>
        <v/>
      </c>
      <c r="K731" s="24" t="str">
        <f>IF(AND(Registro!$G731="",Registro!$H731=""),"",IF(AND(ISTEXT(I731),I731&lt;&gt;""),"Revisar formato",N(Registro!$G731)-N(I731)))</f>
        <v/>
      </c>
      <c r="L731" s="24" t="str">
        <f t="shared" si="23"/>
        <v/>
      </c>
      <c r="M731" s="36" t="str">
        <f>IF(AND(A731=Consulta!$B$3,C731=Consulta!$H$3),B731*10000+ROW(),"")</f>
        <v/>
      </c>
    </row>
    <row r="732" spans="1:13" x14ac:dyDescent="0.25">
      <c r="A732" s="21" t="str">
        <f>IF(Registro!$A732="","",Registro!$A732)</f>
        <v/>
      </c>
      <c r="B732" s="20" t="str">
        <f>IF(Registro!$B732="","",Registro!$B732)</f>
        <v/>
      </c>
      <c r="C732" s="35" t="str">
        <f t="shared" si="22"/>
        <v/>
      </c>
      <c r="D732" s="23" t="str">
        <f>IF(Registro!$E732="","",IF(ISERROR(FIND("x",LOWER(Registro!$E732))),"-",IFERROR(SUMPRODUCT(--("0"&amp;LEFT(TRIM(MID(SUBSTITUTE(SUBSTITUTE(SUBSTITUTE(SUBSTITUTE(SUBSTITUTE(LOWER(Registro!$E732),"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",LEN(Registro!$E732))),({1,2,3,4,5,6,7,8,9,10,11,12,13,14,15,16,17,18,19,20,21,22,23,24,25,26,27,28,29,30}-1)*LEN(Registro!$E732)+1,LEN(Registro!$E732))),FIND("x",TRIM(MID(SUBSTITUTE(SUBSTITUTE(SUBSTITUTE(SUBSTITUTE(SUBSTITUTE(LOWER(Registro!$E732),"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",LEN(Registro!$E732))),({1,2,3,4,5,6,7,8,9,10,11,12,13,14,15,16,17,18,19,20,21,22,23,24,25,26,27,28,29,30}-1)*LEN(Registro!$E732)+1,LEN(Registro!$E732)))&amp;"x")-1))),"Revisar formato")))</f>
        <v/>
      </c>
      <c r="E732" s="24" t="str">
        <f>IF(Registro!$E732="","",IF(ISERROR(FIND("x",LOWER(Registro!$E732))),"-",IFERROR(SUMPRODUCT(--("0"&amp;LEFT(TRIM(MID(SUBSTITUTE(SUBSTITUTE(SUBSTITUTE(SUBSTITUTE(SUBSTITUTE(LOWER(Registro!$E732),"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",LEN(Registro!$E732))),({1,2,3,4,5,6,7,8,9,10,11,12,13,14,15,16,17,18,19,20,21,22,23,24,25,26,27,28,29,30}-1)*LEN(Registro!$E732)+1,LEN(Registro!$E732))),FIND("x",TRIM(MID(SUBSTITUTE(SUBSTITUTE(SUBSTITUTE(SUBSTITUTE(SUBSTITUTE(LOWER(Registro!$E732),"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",LEN(Registro!$E732))),({1,2,3,4,5,6,7,8,9,10,11,12,13,14,15,16,17,18,19,20,21,22,23,24,25,26,27,28,29,30}-1)*LEN(Registro!$E732)+1,LEN(Registro!$E732)))&amp;"x")-1)),--("0"&amp;MID(TRIM(MID(SUBSTITUTE(SUBSTITUTE(SUBSTITUTE(SUBSTITUTE(SUBSTITUTE(LOWER(Registro!$E732),"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",LEN(Registro!$E732))),({1,2,3,4,5,6,7,8,9,10,11,12,13,14,15,16,17,18,19,20,21,22,23,24,25,26,27,28,29,30}-1)*LEN(Registro!$E732)+1,LEN(Registro!$E732))),FIND("x",TRIM(MID(SUBSTITUTE(SUBSTITUTE(SUBSTITUTE(SUBSTITUTE(SUBSTITUTE(LOWER(Registro!$E732),"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",LEN(Registro!$E732))),({1,2,3,4,5,6,7,8,9,10,11,12,13,14,15,16,17,18,19,20,21,22,23,24,25,26,27,28,29,30}-1)*LEN(Registro!$E732)+1,LEN(Registro!$E732)))&amp;"x")+1,20))),"Revisar formato")))</f>
        <v/>
      </c>
      <c r="F732" s="23" t="str">
        <f>IF(Registro!$F732="","",IF(ISERROR(FIND("x",LOWER(Registro!$F732))),"-",IFERROR(SUMPRODUCT(--("0"&amp;LEFT(TRIM(MID(SUBSTITUTE(SUBSTITUTE(SUBSTITUTE(SUBSTITUTE(SUBSTITUTE(LOWER(Registro!$F732)," ",""),CHAR(10),"|"),";","|"),"+","|"),"|",REPT(" ",LEN(Registro!$F732))),({1,2,3,4,5,6,7,8,9,10,11,12,13,14,15,16,17,18,19,20,21,22,23,24,25,26,27,28,29,30}-1)*LEN(Registro!$F732)+1,LEN(Registro!$F732))),FIND("x",TRIM(MID(SUBSTITUTE(SUBSTITUTE(SUBSTITUTE(SUBSTITUTE(SUBSTITUTE(LOWER(Registro!$F732)," ",""),CHAR(10),"|"),";","|"),"+","|"),"|",REPT(" ",LEN(Registro!$F732))),({1,2,3,4,5,6,7,8,9,10,11,12,13,14,15,16,17,18,19,20,21,22,23,24,25,26,27,28,29,30}-1)*LEN(Registro!$F732)+1,LEN(Registro!$F732)))&amp;"x")-1))),"Revisar formato")))</f>
        <v/>
      </c>
      <c r="G732" s="24" t="str">
        <f>IF(Registro!$F732="","",IF(ISERROR(FIND("x",LOWER(Registro!$F732))),N(Registro!$G732),IFERROR(SUMPRODUCT(--("0"&amp;LEFT(TRIM(MID(SUBSTITUTE(SUBSTITUTE(SUBSTITUTE(SUBSTITUTE(SUBSTITUTE(LOWER(Registro!$F732)," ",""),CHAR(10),"|"),";","|"),"+","|"),"|",REPT(" ",LEN(Registro!$F732))),({1,2,3,4,5,6,7,8,9,10,11,12,13,14,15,16,17,18,19,20,21,22,23,24,25,26,27,28,29,30}-1)*LEN(Registro!$F732)+1,LEN(Registro!$F732))),FIND("x",TRIM(MID(SUBSTITUTE(SUBSTITUTE(SUBSTITUTE(SUBSTITUTE(SUBSTITUTE(LOWER(Registro!$F732)," ",""),CHAR(10),"|"),";","|"),"+","|"),"|",REPT(" ",LEN(Registro!$F732))),({1,2,3,4,5,6,7,8,9,10,11,12,13,14,15,16,17,18,19,20,21,22,23,24,25,26,27,28,29,30}-1)*LEN(Registro!$F732)+1,LEN(Registro!$F732)))&amp;"x")-1)),--("0"&amp;MID(TRIM(MID(SUBSTITUTE(SUBSTITUTE(SUBSTITUTE(SUBSTITUTE(SUBSTITUTE(LOWER(Registro!$F732)," ",""),CHAR(10),"|"),";","|"),"+","|"),"|",REPT(" ",LEN(Registro!$F732))),({1,2,3,4,5,6,7,8,9,10,11,12,13,14,15,16,17,18,19,20,21,22,23,24,25,26,27,28,29,30}-1)*LEN(Registro!$F732)+1,LEN(Registro!$F732))),FIND("x",TRIM(MID(SUBSTITUTE(SUBSTITUTE(SUBSTITUTE(SUBSTITUTE(SUBSTITUTE(LOWER(Registro!$F732)," ",""),CHAR(10),"|"),";","|"),"+","|"),"|",REPT(" ",LEN(Registro!$F732))),({1,2,3,4,5,6,7,8,9,10,11,12,13,14,15,16,17,18,19,20,21,22,23,24,25,26,27,28,29,30}-1)*LEN(Registro!$F732)+1,LEN(Registro!$F732)))&amp;"x")+1,20))),"Revisar formato")))</f>
        <v/>
      </c>
      <c r="H732" s="21" t="str">
        <f>IF(AND(Registro!$E732="",Registro!$F732=""),"",IF(NOT(AND(ISNUMBER(G732),ISNUMBER(Registro!$G732))),"",IF(G732&lt;Registro!$G732,"FALTA BOLETOS",IF(G732=Registro!$G732,"CONFORME","DIFERENCIA"))))</f>
        <v/>
      </c>
      <c r="I732" s="24" t="str">
        <f>IF(Registro!$H732="","",IFERROR(SUMPRODUCT(--("0"&amp;TRIM(RIGHT(SUBSTITUTE(TRIM(MID(SUBSTITUTE(SUBSTITUTE(Registro!$H732,";",CHAR(10)),CHAR(10),REPT(" ",LEN(Registro!$H732))),({1,2,3,4,5,6,7,8,9,10,11,12,13,14,15,16,17,18,19,20,21,22,23,24,25,26,27,28,29,30}-1)*LEN(Registro!$H732)+1,LEN(Registro!$H732)))," ",REPT(" ",50)),50)))),"Revisar formato"))</f>
        <v/>
      </c>
      <c r="J732" s="24" t="str">
        <f>IF(Registro!$I732="","",IFERROR(SUMPRODUCT(--("0"&amp;TRIM(RIGHT(SUBSTITUTE(TRIM(MID(SUBSTITUTE(SUBSTITUTE(Registro!$I732,";",CHAR(10)),CHAR(10),REPT(" ",LEN(Registro!$I732))),({1,2,3,4,5,6,7,8,9,10,11,12,13,14,15,16,17,18,19,20,21,22,23,24,25,26,27,28,29,30}-1)*LEN(Registro!$I732)+1,LEN(Registro!$I732)))," ",REPT(" ",50)),50)))),"Revisar formato"))</f>
        <v/>
      </c>
      <c r="K732" s="24" t="str">
        <f>IF(AND(Registro!$G732="",Registro!$H732=""),"",IF(AND(ISTEXT(I732),I732&lt;&gt;""),"Revisar formato",N(Registro!$G732)-N(I732)))</f>
        <v/>
      </c>
      <c r="L732" s="24" t="str">
        <f t="shared" si="23"/>
        <v/>
      </c>
      <c r="M732" s="36" t="str">
        <f>IF(AND(A732=Consulta!$B$3,C732=Consulta!$H$3),B732*10000+ROW(),"")</f>
        <v/>
      </c>
    </row>
    <row r="733" spans="1:13" x14ac:dyDescent="0.25">
      <c r="A733" s="21" t="str">
        <f>IF(Registro!$A733="","",Registro!$A733)</f>
        <v/>
      </c>
      <c r="B733" s="20" t="str">
        <f>IF(Registro!$B733="","",Registro!$B733)</f>
        <v/>
      </c>
      <c r="C733" s="35" t="str">
        <f t="shared" si="22"/>
        <v/>
      </c>
      <c r="D733" s="23" t="str">
        <f>IF(Registro!$E733="","",IF(ISERROR(FIND("x",LOWER(Registro!$E733))),"-",IFERROR(SUMPRODUCT(--("0"&amp;LEFT(TRIM(MID(SUBSTITUTE(SUBSTITUTE(SUBSTITUTE(SUBSTITUTE(SUBSTITUTE(LOWER(Registro!$E733),"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",LEN(Registro!$E733))),({1,2,3,4,5,6,7,8,9,10,11,12,13,14,15,16,17,18,19,20,21,22,23,24,25,26,27,28,29,30}-1)*LEN(Registro!$E733)+1,LEN(Registro!$E733))),FIND("x",TRIM(MID(SUBSTITUTE(SUBSTITUTE(SUBSTITUTE(SUBSTITUTE(SUBSTITUTE(LOWER(Registro!$E733),"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",LEN(Registro!$E733))),({1,2,3,4,5,6,7,8,9,10,11,12,13,14,15,16,17,18,19,20,21,22,23,24,25,26,27,28,29,30}-1)*LEN(Registro!$E733)+1,LEN(Registro!$E733)))&amp;"x")-1))),"Revisar formato")))</f>
        <v/>
      </c>
      <c r="E733" s="24" t="str">
        <f>IF(Registro!$E733="","",IF(ISERROR(FIND("x",LOWER(Registro!$E733))),"-",IFERROR(SUMPRODUCT(--("0"&amp;LEFT(TRIM(MID(SUBSTITUTE(SUBSTITUTE(SUBSTITUTE(SUBSTITUTE(SUBSTITUTE(LOWER(Registro!$E733),"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",LEN(Registro!$E733))),({1,2,3,4,5,6,7,8,9,10,11,12,13,14,15,16,17,18,19,20,21,22,23,24,25,26,27,28,29,30}-1)*LEN(Registro!$E733)+1,LEN(Registro!$E733))),FIND("x",TRIM(MID(SUBSTITUTE(SUBSTITUTE(SUBSTITUTE(SUBSTITUTE(SUBSTITUTE(LOWER(Registro!$E733),"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",LEN(Registro!$E733))),({1,2,3,4,5,6,7,8,9,10,11,12,13,14,15,16,17,18,19,20,21,22,23,24,25,26,27,28,29,30}-1)*LEN(Registro!$E733)+1,LEN(Registro!$E733)))&amp;"x")-1)),--("0"&amp;MID(TRIM(MID(SUBSTITUTE(SUBSTITUTE(SUBSTITUTE(SUBSTITUTE(SUBSTITUTE(LOWER(Registro!$E733),"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",LEN(Registro!$E733))),({1,2,3,4,5,6,7,8,9,10,11,12,13,14,15,16,17,18,19,20,21,22,23,24,25,26,27,28,29,30}-1)*LEN(Registro!$E733)+1,LEN(Registro!$E733))),FIND("x",TRIM(MID(SUBSTITUTE(SUBSTITUTE(SUBSTITUTE(SUBSTITUTE(SUBSTITUTE(LOWER(Registro!$E733),"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",LEN(Registro!$E733))),({1,2,3,4,5,6,7,8,9,10,11,12,13,14,15,16,17,18,19,20,21,22,23,24,25,26,27,28,29,30}-1)*LEN(Registro!$E733)+1,LEN(Registro!$E733)))&amp;"x")+1,20))),"Revisar formato")))</f>
        <v/>
      </c>
      <c r="F733" s="23" t="str">
        <f>IF(Registro!$F733="","",IF(ISERROR(FIND("x",LOWER(Registro!$F733))),"-",IFERROR(SUMPRODUCT(--("0"&amp;LEFT(TRIM(MID(SUBSTITUTE(SUBSTITUTE(SUBSTITUTE(SUBSTITUTE(SUBSTITUTE(LOWER(Registro!$F733)," ",""),CHAR(10),"|"),";","|"),"+","|"),"|",REPT(" ",LEN(Registro!$F733))),({1,2,3,4,5,6,7,8,9,10,11,12,13,14,15,16,17,18,19,20,21,22,23,24,25,26,27,28,29,30}-1)*LEN(Registro!$F733)+1,LEN(Registro!$F733))),FIND("x",TRIM(MID(SUBSTITUTE(SUBSTITUTE(SUBSTITUTE(SUBSTITUTE(SUBSTITUTE(LOWER(Registro!$F733)," ",""),CHAR(10),"|"),";","|"),"+","|"),"|",REPT(" ",LEN(Registro!$F733))),({1,2,3,4,5,6,7,8,9,10,11,12,13,14,15,16,17,18,19,20,21,22,23,24,25,26,27,28,29,30}-1)*LEN(Registro!$F733)+1,LEN(Registro!$F733)))&amp;"x")-1))),"Revisar formato")))</f>
        <v/>
      </c>
      <c r="G733" s="24" t="str">
        <f>IF(Registro!$F733="","",IF(ISERROR(FIND("x",LOWER(Registro!$F733))),N(Registro!$G733),IFERROR(SUMPRODUCT(--("0"&amp;LEFT(TRIM(MID(SUBSTITUTE(SUBSTITUTE(SUBSTITUTE(SUBSTITUTE(SUBSTITUTE(LOWER(Registro!$F733)," ",""),CHAR(10),"|"),";","|"),"+","|"),"|",REPT(" ",LEN(Registro!$F733))),({1,2,3,4,5,6,7,8,9,10,11,12,13,14,15,16,17,18,19,20,21,22,23,24,25,26,27,28,29,30}-1)*LEN(Registro!$F733)+1,LEN(Registro!$F733))),FIND("x",TRIM(MID(SUBSTITUTE(SUBSTITUTE(SUBSTITUTE(SUBSTITUTE(SUBSTITUTE(LOWER(Registro!$F733)," ",""),CHAR(10),"|"),";","|"),"+","|"),"|",REPT(" ",LEN(Registro!$F733))),({1,2,3,4,5,6,7,8,9,10,11,12,13,14,15,16,17,18,19,20,21,22,23,24,25,26,27,28,29,30}-1)*LEN(Registro!$F733)+1,LEN(Registro!$F733)))&amp;"x")-1)),--("0"&amp;MID(TRIM(MID(SUBSTITUTE(SUBSTITUTE(SUBSTITUTE(SUBSTITUTE(SUBSTITUTE(LOWER(Registro!$F733)," ",""),CHAR(10),"|"),";","|"),"+","|"),"|",REPT(" ",LEN(Registro!$F733))),({1,2,3,4,5,6,7,8,9,10,11,12,13,14,15,16,17,18,19,20,21,22,23,24,25,26,27,28,29,30}-1)*LEN(Registro!$F733)+1,LEN(Registro!$F733))),FIND("x",TRIM(MID(SUBSTITUTE(SUBSTITUTE(SUBSTITUTE(SUBSTITUTE(SUBSTITUTE(LOWER(Registro!$F733)," ",""),CHAR(10),"|"),";","|"),"+","|"),"|",REPT(" ",LEN(Registro!$F733))),({1,2,3,4,5,6,7,8,9,10,11,12,13,14,15,16,17,18,19,20,21,22,23,24,25,26,27,28,29,30}-1)*LEN(Registro!$F733)+1,LEN(Registro!$F733)))&amp;"x")+1,20))),"Revisar formato")))</f>
        <v/>
      </c>
      <c r="H733" s="21" t="str">
        <f>IF(AND(Registro!$E733="",Registro!$F733=""),"",IF(NOT(AND(ISNUMBER(G733),ISNUMBER(Registro!$G733))),"",IF(G733&lt;Registro!$G733,"FALTA BOLETOS",IF(G733=Registro!$G733,"CONFORME","DIFERENCIA"))))</f>
        <v/>
      </c>
      <c r="I733" s="24" t="str">
        <f>IF(Registro!$H733="","",IFERROR(SUMPRODUCT(--("0"&amp;TRIM(RIGHT(SUBSTITUTE(TRIM(MID(SUBSTITUTE(SUBSTITUTE(Registro!$H733,";",CHAR(10)),CHAR(10),REPT(" ",LEN(Registro!$H733))),({1,2,3,4,5,6,7,8,9,10,11,12,13,14,15,16,17,18,19,20,21,22,23,24,25,26,27,28,29,30}-1)*LEN(Registro!$H733)+1,LEN(Registro!$H733)))," ",REPT(" ",50)),50)))),"Revisar formato"))</f>
        <v/>
      </c>
      <c r="J733" s="24" t="str">
        <f>IF(Registro!$I733="","",IFERROR(SUMPRODUCT(--("0"&amp;TRIM(RIGHT(SUBSTITUTE(TRIM(MID(SUBSTITUTE(SUBSTITUTE(Registro!$I733,";",CHAR(10)),CHAR(10),REPT(" ",LEN(Registro!$I733))),({1,2,3,4,5,6,7,8,9,10,11,12,13,14,15,16,17,18,19,20,21,22,23,24,25,26,27,28,29,30}-1)*LEN(Registro!$I733)+1,LEN(Registro!$I733)))," ",REPT(" ",50)),50)))),"Revisar formato"))</f>
        <v/>
      </c>
      <c r="K733" s="24" t="str">
        <f>IF(AND(Registro!$G733="",Registro!$H733=""),"",IF(AND(ISTEXT(I733),I733&lt;&gt;""),"Revisar formato",N(Registro!$G733)-N(I733)))</f>
        <v/>
      </c>
      <c r="L733" s="24" t="str">
        <f t="shared" si="23"/>
        <v/>
      </c>
      <c r="M733" s="36" t="str">
        <f>IF(AND(A733=Consulta!$B$3,C733=Consulta!$H$3),B733*10000+ROW(),"")</f>
        <v/>
      </c>
    </row>
    <row r="734" spans="1:13" x14ac:dyDescent="0.25">
      <c r="A734" s="21" t="str">
        <f>IF(Registro!$A734="","",Registro!$A734)</f>
        <v/>
      </c>
      <c r="B734" s="20" t="str">
        <f>IF(Registro!$B734="","",Registro!$B734)</f>
        <v/>
      </c>
      <c r="C734" s="35" t="str">
        <f t="shared" si="22"/>
        <v/>
      </c>
      <c r="D734" s="23" t="str">
        <f>IF(Registro!$E734="","",IF(ISERROR(FIND("x",LOWER(Registro!$E734))),"-",IFERROR(SUMPRODUCT(--("0"&amp;LEFT(TRIM(MID(SUBSTITUTE(SUBSTITUTE(SUBSTITUTE(SUBSTITUTE(SUBSTITUTE(LOWER(Registro!$E734),"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",LEN(Registro!$E734))),({1,2,3,4,5,6,7,8,9,10,11,12,13,14,15,16,17,18,19,20,21,22,23,24,25,26,27,28,29,30}-1)*LEN(Registro!$E734)+1,LEN(Registro!$E734))),FIND("x",TRIM(MID(SUBSTITUTE(SUBSTITUTE(SUBSTITUTE(SUBSTITUTE(SUBSTITUTE(LOWER(Registro!$E734),"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",LEN(Registro!$E734))),({1,2,3,4,5,6,7,8,9,10,11,12,13,14,15,16,17,18,19,20,21,22,23,24,25,26,27,28,29,30}-1)*LEN(Registro!$E734)+1,LEN(Registro!$E734)))&amp;"x")-1))),"Revisar formato")))</f>
        <v/>
      </c>
      <c r="E734" s="24" t="str">
        <f>IF(Registro!$E734="","",IF(ISERROR(FIND("x",LOWER(Registro!$E734))),"-",IFERROR(SUMPRODUCT(--("0"&amp;LEFT(TRIM(MID(SUBSTITUTE(SUBSTITUTE(SUBSTITUTE(SUBSTITUTE(SUBSTITUTE(LOWER(Registro!$E734),"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",LEN(Registro!$E734))),({1,2,3,4,5,6,7,8,9,10,11,12,13,14,15,16,17,18,19,20,21,22,23,24,25,26,27,28,29,30}-1)*LEN(Registro!$E734)+1,LEN(Registro!$E734))),FIND("x",TRIM(MID(SUBSTITUTE(SUBSTITUTE(SUBSTITUTE(SUBSTITUTE(SUBSTITUTE(LOWER(Registro!$E734),"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",LEN(Registro!$E734))),({1,2,3,4,5,6,7,8,9,10,11,12,13,14,15,16,17,18,19,20,21,22,23,24,25,26,27,28,29,30}-1)*LEN(Registro!$E734)+1,LEN(Registro!$E734)))&amp;"x")-1)),--("0"&amp;MID(TRIM(MID(SUBSTITUTE(SUBSTITUTE(SUBSTITUTE(SUBSTITUTE(SUBSTITUTE(LOWER(Registro!$E734),"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",LEN(Registro!$E734))),({1,2,3,4,5,6,7,8,9,10,11,12,13,14,15,16,17,18,19,20,21,22,23,24,25,26,27,28,29,30}-1)*LEN(Registro!$E734)+1,LEN(Registro!$E734))),FIND("x",TRIM(MID(SUBSTITUTE(SUBSTITUTE(SUBSTITUTE(SUBSTITUTE(SUBSTITUTE(LOWER(Registro!$E734),"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",LEN(Registro!$E734))),({1,2,3,4,5,6,7,8,9,10,11,12,13,14,15,16,17,18,19,20,21,22,23,24,25,26,27,28,29,30}-1)*LEN(Registro!$E734)+1,LEN(Registro!$E734)))&amp;"x")+1,20))),"Revisar formato")))</f>
        <v/>
      </c>
      <c r="F734" s="23" t="str">
        <f>IF(Registro!$F734="","",IF(ISERROR(FIND("x",LOWER(Registro!$F734))),"-",IFERROR(SUMPRODUCT(--("0"&amp;LEFT(TRIM(MID(SUBSTITUTE(SUBSTITUTE(SUBSTITUTE(SUBSTITUTE(SUBSTITUTE(LOWER(Registro!$F734)," ",""),CHAR(10),"|"),";","|"),"+","|"),"|",REPT(" ",LEN(Registro!$F734))),({1,2,3,4,5,6,7,8,9,10,11,12,13,14,15,16,17,18,19,20,21,22,23,24,25,26,27,28,29,30}-1)*LEN(Registro!$F734)+1,LEN(Registro!$F734))),FIND("x",TRIM(MID(SUBSTITUTE(SUBSTITUTE(SUBSTITUTE(SUBSTITUTE(SUBSTITUTE(LOWER(Registro!$F734)," ",""),CHAR(10),"|"),";","|"),"+","|"),"|",REPT(" ",LEN(Registro!$F734))),({1,2,3,4,5,6,7,8,9,10,11,12,13,14,15,16,17,18,19,20,21,22,23,24,25,26,27,28,29,30}-1)*LEN(Registro!$F734)+1,LEN(Registro!$F734)))&amp;"x")-1))),"Revisar formato")))</f>
        <v/>
      </c>
      <c r="G734" s="24" t="str">
        <f>IF(Registro!$F734="","",IF(ISERROR(FIND("x",LOWER(Registro!$F734))),N(Registro!$G734),IFERROR(SUMPRODUCT(--("0"&amp;LEFT(TRIM(MID(SUBSTITUTE(SUBSTITUTE(SUBSTITUTE(SUBSTITUTE(SUBSTITUTE(LOWER(Registro!$F734)," ",""),CHAR(10),"|"),";","|"),"+","|"),"|",REPT(" ",LEN(Registro!$F734))),({1,2,3,4,5,6,7,8,9,10,11,12,13,14,15,16,17,18,19,20,21,22,23,24,25,26,27,28,29,30}-1)*LEN(Registro!$F734)+1,LEN(Registro!$F734))),FIND("x",TRIM(MID(SUBSTITUTE(SUBSTITUTE(SUBSTITUTE(SUBSTITUTE(SUBSTITUTE(LOWER(Registro!$F734)," ",""),CHAR(10),"|"),";","|"),"+","|"),"|",REPT(" ",LEN(Registro!$F734))),({1,2,3,4,5,6,7,8,9,10,11,12,13,14,15,16,17,18,19,20,21,22,23,24,25,26,27,28,29,30}-1)*LEN(Registro!$F734)+1,LEN(Registro!$F734)))&amp;"x")-1)),--("0"&amp;MID(TRIM(MID(SUBSTITUTE(SUBSTITUTE(SUBSTITUTE(SUBSTITUTE(SUBSTITUTE(LOWER(Registro!$F734)," ",""),CHAR(10),"|"),";","|"),"+","|"),"|",REPT(" ",LEN(Registro!$F734))),({1,2,3,4,5,6,7,8,9,10,11,12,13,14,15,16,17,18,19,20,21,22,23,24,25,26,27,28,29,30}-1)*LEN(Registro!$F734)+1,LEN(Registro!$F734))),FIND("x",TRIM(MID(SUBSTITUTE(SUBSTITUTE(SUBSTITUTE(SUBSTITUTE(SUBSTITUTE(LOWER(Registro!$F734)," ",""),CHAR(10),"|"),";","|"),"+","|"),"|",REPT(" ",LEN(Registro!$F734))),({1,2,3,4,5,6,7,8,9,10,11,12,13,14,15,16,17,18,19,20,21,22,23,24,25,26,27,28,29,30}-1)*LEN(Registro!$F734)+1,LEN(Registro!$F734)))&amp;"x")+1,20))),"Revisar formato")))</f>
        <v/>
      </c>
      <c r="H734" s="21" t="str">
        <f>IF(AND(Registro!$E734="",Registro!$F734=""),"",IF(NOT(AND(ISNUMBER(G734),ISNUMBER(Registro!$G734))),"",IF(G734&lt;Registro!$G734,"FALTA BOLETOS",IF(G734=Registro!$G734,"CONFORME","DIFERENCIA"))))</f>
        <v/>
      </c>
      <c r="I734" s="24" t="str">
        <f>IF(Registro!$H734="","",IFERROR(SUMPRODUCT(--("0"&amp;TRIM(RIGHT(SUBSTITUTE(TRIM(MID(SUBSTITUTE(SUBSTITUTE(Registro!$H734,";",CHAR(10)),CHAR(10),REPT(" ",LEN(Registro!$H734))),({1,2,3,4,5,6,7,8,9,10,11,12,13,14,15,16,17,18,19,20,21,22,23,24,25,26,27,28,29,30}-1)*LEN(Registro!$H734)+1,LEN(Registro!$H734)))," ",REPT(" ",50)),50)))),"Revisar formato"))</f>
        <v/>
      </c>
      <c r="J734" s="24" t="str">
        <f>IF(Registro!$I734="","",IFERROR(SUMPRODUCT(--("0"&amp;TRIM(RIGHT(SUBSTITUTE(TRIM(MID(SUBSTITUTE(SUBSTITUTE(Registro!$I734,";",CHAR(10)),CHAR(10),REPT(" ",LEN(Registro!$I734))),({1,2,3,4,5,6,7,8,9,10,11,12,13,14,15,16,17,18,19,20,21,22,23,24,25,26,27,28,29,30}-1)*LEN(Registro!$I734)+1,LEN(Registro!$I734)))," ",REPT(" ",50)),50)))),"Revisar formato"))</f>
        <v/>
      </c>
      <c r="K734" s="24" t="str">
        <f>IF(AND(Registro!$G734="",Registro!$H734=""),"",IF(AND(ISTEXT(I734),I734&lt;&gt;""),"Revisar formato",N(Registro!$G734)-N(I734)))</f>
        <v/>
      </c>
      <c r="L734" s="24" t="str">
        <f t="shared" si="23"/>
        <v/>
      </c>
      <c r="M734" s="36" t="str">
        <f>IF(AND(A734=Consulta!$B$3,C734=Consulta!$H$3),B734*10000+ROW(),"")</f>
        <v/>
      </c>
    </row>
    <row r="735" spans="1:13" x14ac:dyDescent="0.25">
      <c r="A735" s="21" t="str">
        <f>IF(Registro!$A735="","",Registro!$A735)</f>
        <v/>
      </c>
      <c r="B735" s="20" t="str">
        <f>IF(Registro!$B735="","",Registro!$B735)</f>
        <v/>
      </c>
      <c r="C735" s="35" t="str">
        <f t="shared" si="22"/>
        <v/>
      </c>
      <c r="D735" s="23" t="str">
        <f>IF(Registro!$E735="","",IF(ISERROR(FIND("x",LOWER(Registro!$E735))),"-",IFERROR(SUMPRODUCT(--("0"&amp;LEFT(TRIM(MID(SUBSTITUTE(SUBSTITUTE(SUBSTITUTE(SUBSTITUTE(SUBSTITUTE(LOWER(Registro!$E735),"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",LEN(Registro!$E735))),({1,2,3,4,5,6,7,8,9,10,11,12,13,14,15,16,17,18,19,20,21,22,23,24,25,26,27,28,29,30}-1)*LEN(Registro!$E735)+1,LEN(Registro!$E735))),FIND("x",TRIM(MID(SUBSTITUTE(SUBSTITUTE(SUBSTITUTE(SUBSTITUTE(SUBSTITUTE(LOWER(Registro!$E735),"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",LEN(Registro!$E735))),({1,2,3,4,5,6,7,8,9,10,11,12,13,14,15,16,17,18,19,20,21,22,23,24,25,26,27,28,29,30}-1)*LEN(Registro!$E735)+1,LEN(Registro!$E735)))&amp;"x")-1))),"Revisar formato")))</f>
        <v/>
      </c>
      <c r="E735" s="24" t="str">
        <f>IF(Registro!$E735="","",IF(ISERROR(FIND("x",LOWER(Registro!$E735))),"-",IFERROR(SUMPRODUCT(--("0"&amp;LEFT(TRIM(MID(SUBSTITUTE(SUBSTITUTE(SUBSTITUTE(SUBSTITUTE(SUBSTITUTE(LOWER(Registro!$E735),"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",LEN(Registro!$E735))),({1,2,3,4,5,6,7,8,9,10,11,12,13,14,15,16,17,18,19,20,21,22,23,24,25,26,27,28,29,30}-1)*LEN(Registro!$E735)+1,LEN(Registro!$E735))),FIND("x",TRIM(MID(SUBSTITUTE(SUBSTITUTE(SUBSTITUTE(SUBSTITUTE(SUBSTITUTE(LOWER(Registro!$E735),"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",LEN(Registro!$E735))),({1,2,3,4,5,6,7,8,9,10,11,12,13,14,15,16,17,18,19,20,21,22,23,24,25,26,27,28,29,30}-1)*LEN(Registro!$E735)+1,LEN(Registro!$E735)))&amp;"x")-1)),--("0"&amp;MID(TRIM(MID(SUBSTITUTE(SUBSTITUTE(SUBSTITUTE(SUBSTITUTE(SUBSTITUTE(LOWER(Registro!$E735),"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",LEN(Registro!$E735))),({1,2,3,4,5,6,7,8,9,10,11,12,13,14,15,16,17,18,19,20,21,22,23,24,25,26,27,28,29,30}-1)*LEN(Registro!$E735)+1,LEN(Registro!$E735))),FIND("x",TRIM(MID(SUBSTITUTE(SUBSTITUTE(SUBSTITUTE(SUBSTITUTE(SUBSTITUTE(LOWER(Registro!$E735),"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",LEN(Registro!$E735))),({1,2,3,4,5,6,7,8,9,10,11,12,13,14,15,16,17,18,19,20,21,22,23,24,25,26,27,28,29,30}-1)*LEN(Registro!$E735)+1,LEN(Registro!$E735)))&amp;"x")+1,20))),"Revisar formato")))</f>
        <v/>
      </c>
      <c r="F735" s="23" t="str">
        <f>IF(Registro!$F735="","",IF(ISERROR(FIND("x",LOWER(Registro!$F735))),"-",IFERROR(SUMPRODUCT(--("0"&amp;LEFT(TRIM(MID(SUBSTITUTE(SUBSTITUTE(SUBSTITUTE(SUBSTITUTE(SUBSTITUTE(LOWER(Registro!$F735)," ",""),CHAR(10),"|"),";","|"),"+","|"),"|",REPT(" ",LEN(Registro!$F735))),({1,2,3,4,5,6,7,8,9,10,11,12,13,14,15,16,17,18,19,20,21,22,23,24,25,26,27,28,29,30}-1)*LEN(Registro!$F735)+1,LEN(Registro!$F735))),FIND("x",TRIM(MID(SUBSTITUTE(SUBSTITUTE(SUBSTITUTE(SUBSTITUTE(SUBSTITUTE(LOWER(Registro!$F735)," ",""),CHAR(10),"|"),";","|"),"+","|"),"|",REPT(" ",LEN(Registro!$F735))),({1,2,3,4,5,6,7,8,9,10,11,12,13,14,15,16,17,18,19,20,21,22,23,24,25,26,27,28,29,30}-1)*LEN(Registro!$F735)+1,LEN(Registro!$F735)))&amp;"x")-1))),"Revisar formato")))</f>
        <v/>
      </c>
      <c r="G735" s="24" t="str">
        <f>IF(Registro!$F735="","",IF(ISERROR(FIND("x",LOWER(Registro!$F735))),N(Registro!$G735),IFERROR(SUMPRODUCT(--("0"&amp;LEFT(TRIM(MID(SUBSTITUTE(SUBSTITUTE(SUBSTITUTE(SUBSTITUTE(SUBSTITUTE(LOWER(Registro!$F735)," ",""),CHAR(10),"|"),";","|"),"+","|"),"|",REPT(" ",LEN(Registro!$F735))),({1,2,3,4,5,6,7,8,9,10,11,12,13,14,15,16,17,18,19,20,21,22,23,24,25,26,27,28,29,30}-1)*LEN(Registro!$F735)+1,LEN(Registro!$F735))),FIND("x",TRIM(MID(SUBSTITUTE(SUBSTITUTE(SUBSTITUTE(SUBSTITUTE(SUBSTITUTE(LOWER(Registro!$F735)," ",""),CHAR(10),"|"),";","|"),"+","|"),"|",REPT(" ",LEN(Registro!$F735))),({1,2,3,4,5,6,7,8,9,10,11,12,13,14,15,16,17,18,19,20,21,22,23,24,25,26,27,28,29,30}-1)*LEN(Registro!$F735)+1,LEN(Registro!$F735)))&amp;"x")-1)),--("0"&amp;MID(TRIM(MID(SUBSTITUTE(SUBSTITUTE(SUBSTITUTE(SUBSTITUTE(SUBSTITUTE(LOWER(Registro!$F735)," ",""),CHAR(10),"|"),";","|"),"+","|"),"|",REPT(" ",LEN(Registro!$F735))),({1,2,3,4,5,6,7,8,9,10,11,12,13,14,15,16,17,18,19,20,21,22,23,24,25,26,27,28,29,30}-1)*LEN(Registro!$F735)+1,LEN(Registro!$F735))),FIND("x",TRIM(MID(SUBSTITUTE(SUBSTITUTE(SUBSTITUTE(SUBSTITUTE(SUBSTITUTE(LOWER(Registro!$F735)," ",""),CHAR(10),"|"),";","|"),"+","|"),"|",REPT(" ",LEN(Registro!$F735))),({1,2,3,4,5,6,7,8,9,10,11,12,13,14,15,16,17,18,19,20,21,22,23,24,25,26,27,28,29,30}-1)*LEN(Registro!$F735)+1,LEN(Registro!$F735)))&amp;"x")+1,20))),"Revisar formato")))</f>
        <v/>
      </c>
      <c r="H735" s="21" t="str">
        <f>IF(AND(Registro!$E735="",Registro!$F735=""),"",IF(NOT(AND(ISNUMBER(G735),ISNUMBER(Registro!$G735))),"",IF(G735&lt;Registro!$G735,"FALTA BOLETOS",IF(G735=Registro!$G735,"CONFORME","DIFERENCIA"))))</f>
        <v/>
      </c>
      <c r="I735" s="24" t="str">
        <f>IF(Registro!$H735="","",IFERROR(SUMPRODUCT(--("0"&amp;TRIM(RIGHT(SUBSTITUTE(TRIM(MID(SUBSTITUTE(SUBSTITUTE(Registro!$H735,";",CHAR(10)),CHAR(10),REPT(" ",LEN(Registro!$H735))),({1,2,3,4,5,6,7,8,9,10,11,12,13,14,15,16,17,18,19,20,21,22,23,24,25,26,27,28,29,30}-1)*LEN(Registro!$H735)+1,LEN(Registro!$H735)))," ",REPT(" ",50)),50)))),"Revisar formato"))</f>
        <v/>
      </c>
      <c r="J735" s="24" t="str">
        <f>IF(Registro!$I735="","",IFERROR(SUMPRODUCT(--("0"&amp;TRIM(RIGHT(SUBSTITUTE(TRIM(MID(SUBSTITUTE(SUBSTITUTE(Registro!$I735,";",CHAR(10)),CHAR(10),REPT(" ",LEN(Registro!$I735))),({1,2,3,4,5,6,7,8,9,10,11,12,13,14,15,16,17,18,19,20,21,22,23,24,25,26,27,28,29,30}-1)*LEN(Registro!$I735)+1,LEN(Registro!$I735)))," ",REPT(" ",50)),50)))),"Revisar formato"))</f>
        <v/>
      </c>
      <c r="K735" s="24" t="str">
        <f>IF(AND(Registro!$G735="",Registro!$H735=""),"",IF(AND(ISTEXT(I735),I735&lt;&gt;""),"Revisar formato",N(Registro!$G735)-N(I735)))</f>
        <v/>
      </c>
      <c r="L735" s="24" t="str">
        <f t="shared" si="23"/>
        <v/>
      </c>
      <c r="M735" s="36" t="str">
        <f>IF(AND(A735=Consulta!$B$3,C735=Consulta!$H$3),B735*10000+ROW(),"")</f>
        <v/>
      </c>
    </row>
    <row r="736" spans="1:13" x14ac:dyDescent="0.25">
      <c r="A736" s="21" t="str">
        <f>IF(Registro!$A736="","",Registro!$A736)</f>
        <v/>
      </c>
      <c r="B736" s="20" t="str">
        <f>IF(Registro!$B736="","",Registro!$B736)</f>
        <v/>
      </c>
      <c r="C736" s="35" t="str">
        <f t="shared" si="22"/>
        <v/>
      </c>
      <c r="D736" s="23" t="str">
        <f>IF(Registro!$E736="","",IF(ISERROR(FIND("x",LOWER(Registro!$E736))),"-",IFERROR(SUMPRODUCT(--("0"&amp;LEFT(TRIM(MID(SUBSTITUTE(SUBSTITUTE(SUBSTITUTE(SUBSTITUTE(SUBSTITUTE(LOWER(Registro!$E736),"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",LEN(Registro!$E736))),({1,2,3,4,5,6,7,8,9,10,11,12,13,14,15,16,17,18,19,20,21,22,23,24,25,26,27,28,29,30}-1)*LEN(Registro!$E736)+1,LEN(Registro!$E736))),FIND("x",TRIM(MID(SUBSTITUTE(SUBSTITUTE(SUBSTITUTE(SUBSTITUTE(SUBSTITUTE(LOWER(Registro!$E736),"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",LEN(Registro!$E736))),({1,2,3,4,5,6,7,8,9,10,11,12,13,14,15,16,17,18,19,20,21,22,23,24,25,26,27,28,29,30}-1)*LEN(Registro!$E736)+1,LEN(Registro!$E736)))&amp;"x")-1))),"Revisar formato")))</f>
        <v/>
      </c>
      <c r="E736" s="24" t="str">
        <f>IF(Registro!$E736="","",IF(ISERROR(FIND("x",LOWER(Registro!$E736))),"-",IFERROR(SUMPRODUCT(--("0"&amp;LEFT(TRIM(MID(SUBSTITUTE(SUBSTITUTE(SUBSTITUTE(SUBSTITUTE(SUBSTITUTE(LOWER(Registro!$E736),"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",LEN(Registro!$E736))),({1,2,3,4,5,6,7,8,9,10,11,12,13,14,15,16,17,18,19,20,21,22,23,24,25,26,27,28,29,30}-1)*LEN(Registro!$E736)+1,LEN(Registro!$E736))),FIND("x",TRIM(MID(SUBSTITUTE(SUBSTITUTE(SUBSTITUTE(SUBSTITUTE(SUBSTITUTE(LOWER(Registro!$E736),"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",LEN(Registro!$E736))),({1,2,3,4,5,6,7,8,9,10,11,12,13,14,15,16,17,18,19,20,21,22,23,24,25,26,27,28,29,30}-1)*LEN(Registro!$E736)+1,LEN(Registro!$E736)))&amp;"x")-1)),--("0"&amp;MID(TRIM(MID(SUBSTITUTE(SUBSTITUTE(SUBSTITUTE(SUBSTITUTE(SUBSTITUTE(LOWER(Registro!$E736),"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",LEN(Registro!$E736))),({1,2,3,4,5,6,7,8,9,10,11,12,13,14,15,16,17,18,19,20,21,22,23,24,25,26,27,28,29,30}-1)*LEN(Registro!$E736)+1,LEN(Registro!$E736))),FIND("x",TRIM(MID(SUBSTITUTE(SUBSTITUTE(SUBSTITUTE(SUBSTITUTE(SUBSTITUTE(LOWER(Registro!$E736),"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",LEN(Registro!$E736))),({1,2,3,4,5,6,7,8,9,10,11,12,13,14,15,16,17,18,19,20,21,22,23,24,25,26,27,28,29,30}-1)*LEN(Registro!$E736)+1,LEN(Registro!$E736)))&amp;"x")+1,20))),"Revisar formato")))</f>
        <v/>
      </c>
      <c r="F736" s="23" t="str">
        <f>IF(Registro!$F736="","",IF(ISERROR(FIND("x",LOWER(Registro!$F736))),"-",IFERROR(SUMPRODUCT(--("0"&amp;LEFT(TRIM(MID(SUBSTITUTE(SUBSTITUTE(SUBSTITUTE(SUBSTITUTE(SUBSTITUTE(LOWER(Registro!$F736)," ",""),CHAR(10),"|"),";","|"),"+","|"),"|",REPT(" ",LEN(Registro!$F736))),({1,2,3,4,5,6,7,8,9,10,11,12,13,14,15,16,17,18,19,20,21,22,23,24,25,26,27,28,29,30}-1)*LEN(Registro!$F736)+1,LEN(Registro!$F736))),FIND("x",TRIM(MID(SUBSTITUTE(SUBSTITUTE(SUBSTITUTE(SUBSTITUTE(SUBSTITUTE(LOWER(Registro!$F736)," ",""),CHAR(10),"|"),";","|"),"+","|"),"|",REPT(" ",LEN(Registro!$F736))),({1,2,3,4,5,6,7,8,9,10,11,12,13,14,15,16,17,18,19,20,21,22,23,24,25,26,27,28,29,30}-1)*LEN(Registro!$F736)+1,LEN(Registro!$F736)))&amp;"x")-1))),"Revisar formato")))</f>
        <v/>
      </c>
      <c r="G736" s="24" t="str">
        <f>IF(Registro!$F736="","",IF(ISERROR(FIND("x",LOWER(Registro!$F736))),N(Registro!$G736),IFERROR(SUMPRODUCT(--("0"&amp;LEFT(TRIM(MID(SUBSTITUTE(SUBSTITUTE(SUBSTITUTE(SUBSTITUTE(SUBSTITUTE(LOWER(Registro!$F736)," ",""),CHAR(10),"|"),";","|"),"+","|"),"|",REPT(" ",LEN(Registro!$F736))),({1,2,3,4,5,6,7,8,9,10,11,12,13,14,15,16,17,18,19,20,21,22,23,24,25,26,27,28,29,30}-1)*LEN(Registro!$F736)+1,LEN(Registro!$F736))),FIND("x",TRIM(MID(SUBSTITUTE(SUBSTITUTE(SUBSTITUTE(SUBSTITUTE(SUBSTITUTE(LOWER(Registro!$F736)," ",""),CHAR(10),"|"),";","|"),"+","|"),"|",REPT(" ",LEN(Registro!$F736))),({1,2,3,4,5,6,7,8,9,10,11,12,13,14,15,16,17,18,19,20,21,22,23,24,25,26,27,28,29,30}-1)*LEN(Registro!$F736)+1,LEN(Registro!$F736)))&amp;"x")-1)),--("0"&amp;MID(TRIM(MID(SUBSTITUTE(SUBSTITUTE(SUBSTITUTE(SUBSTITUTE(SUBSTITUTE(LOWER(Registro!$F736)," ",""),CHAR(10),"|"),";","|"),"+","|"),"|",REPT(" ",LEN(Registro!$F736))),({1,2,3,4,5,6,7,8,9,10,11,12,13,14,15,16,17,18,19,20,21,22,23,24,25,26,27,28,29,30}-1)*LEN(Registro!$F736)+1,LEN(Registro!$F736))),FIND("x",TRIM(MID(SUBSTITUTE(SUBSTITUTE(SUBSTITUTE(SUBSTITUTE(SUBSTITUTE(LOWER(Registro!$F736)," ",""),CHAR(10),"|"),";","|"),"+","|"),"|",REPT(" ",LEN(Registro!$F736))),({1,2,3,4,5,6,7,8,9,10,11,12,13,14,15,16,17,18,19,20,21,22,23,24,25,26,27,28,29,30}-1)*LEN(Registro!$F736)+1,LEN(Registro!$F736)))&amp;"x")+1,20))),"Revisar formato")))</f>
        <v/>
      </c>
      <c r="H736" s="21" t="str">
        <f>IF(AND(Registro!$E736="",Registro!$F736=""),"",IF(NOT(AND(ISNUMBER(G736),ISNUMBER(Registro!$G736))),"",IF(G736&lt;Registro!$G736,"FALTA BOLETOS",IF(G736=Registro!$G736,"CONFORME","DIFERENCIA"))))</f>
        <v/>
      </c>
      <c r="I736" s="24" t="str">
        <f>IF(Registro!$H736="","",IFERROR(SUMPRODUCT(--("0"&amp;TRIM(RIGHT(SUBSTITUTE(TRIM(MID(SUBSTITUTE(SUBSTITUTE(Registro!$H736,";",CHAR(10)),CHAR(10),REPT(" ",LEN(Registro!$H736))),({1,2,3,4,5,6,7,8,9,10,11,12,13,14,15,16,17,18,19,20,21,22,23,24,25,26,27,28,29,30}-1)*LEN(Registro!$H736)+1,LEN(Registro!$H736)))," ",REPT(" ",50)),50)))),"Revisar formato"))</f>
        <v/>
      </c>
      <c r="J736" s="24" t="str">
        <f>IF(Registro!$I736="","",IFERROR(SUMPRODUCT(--("0"&amp;TRIM(RIGHT(SUBSTITUTE(TRIM(MID(SUBSTITUTE(SUBSTITUTE(Registro!$I736,";",CHAR(10)),CHAR(10),REPT(" ",LEN(Registro!$I736))),({1,2,3,4,5,6,7,8,9,10,11,12,13,14,15,16,17,18,19,20,21,22,23,24,25,26,27,28,29,30}-1)*LEN(Registro!$I736)+1,LEN(Registro!$I736)))," ",REPT(" ",50)),50)))),"Revisar formato"))</f>
        <v/>
      </c>
      <c r="K736" s="24" t="str">
        <f>IF(AND(Registro!$G736="",Registro!$H736=""),"",IF(AND(ISTEXT(I736),I736&lt;&gt;""),"Revisar formato",N(Registro!$G736)-N(I736)))</f>
        <v/>
      </c>
      <c r="L736" s="24" t="str">
        <f t="shared" si="23"/>
        <v/>
      </c>
      <c r="M736" s="36" t="str">
        <f>IF(AND(A736=Consulta!$B$3,C736=Consulta!$H$3),B736*10000+ROW(),"")</f>
        <v/>
      </c>
    </row>
    <row r="737" spans="1:13" x14ac:dyDescent="0.25">
      <c r="A737" s="21" t="str">
        <f>IF(Registro!$A737="","",Registro!$A737)</f>
        <v/>
      </c>
      <c r="B737" s="20" t="str">
        <f>IF(Registro!$B737="","",Registro!$B737)</f>
        <v/>
      </c>
      <c r="C737" s="35" t="str">
        <f t="shared" si="22"/>
        <v/>
      </c>
      <c r="D737" s="23" t="str">
        <f>IF(Registro!$E737="","",IF(ISERROR(FIND("x",LOWER(Registro!$E737))),"-",IFERROR(SUMPRODUCT(--("0"&amp;LEFT(TRIM(MID(SUBSTITUTE(SUBSTITUTE(SUBSTITUTE(SUBSTITUTE(SUBSTITUTE(LOWER(Registro!$E737),"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",LEN(Registro!$E737))),({1,2,3,4,5,6,7,8,9,10,11,12,13,14,15,16,17,18,19,20,21,22,23,24,25,26,27,28,29,30}-1)*LEN(Registro!$E737)+1,LEN(Registro!$E737))),FIND("x",TRIM(MID(SUBSTITUTE(SUBSTITUTE(SUBSTITUTE(SUBSTITUTE(SUBSTITUTE(LOWER(Registro!$E737),"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",LEN(Registro!$E737))),({1,2,3,4,5,6,7,8,9,10,11,12,13,14,15,16,17,18,19,20,21,22,23,24,25,26,27,28,29,30}-1)*LEN(Registro!$E737)+1,LEN(Registro!$E737)))&amp;"x")-1))),"Revisar formato")))</f>
        <v/>
      </c>
      <c r="E737" s="24" t="str">
        <f>IF(Registro!$E737="","",IF(ISERROR(FIND("x",LOWER(Registro!$E737))),"-",IFERROR(SUMPRODUCT(--("0"&amp;LEFT(TRIM(MID(SUBSTITUTE(SUBSTITUTE(SUBSTITUTE(SUBSTITUTE(SUBSTITUTE(LOWER(Registro!$E737),"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",LEN(Registro!$E737))),({1,2,3,4,5,6,7,8,9,10,11,12,13,14,15,16,17,18,19,20,21,22,23,24,25,26,27,28,29,30}-1)*LEN(Registro!$E737)+1,LEN(Registro!$E737))),FIND("x",TRIM(MID(SUBSTITUTE(SUBSTITUTE(SUBSTITUTE(SUBSTITUTE(SUBSTITUTE(LOWER(Registro!$E737),"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",LEN(Registro!$E737))),({1,2,3,4,5,6,7,8,9,10,11,12,13,14,15,16,17,18,19,20,21,22,23,24,25,26,27,28,29,30}-1)*LEN(Registro!$E737)+1,LEN(Registro!$E737)))&amp;"x")-1)),--("0"&amp;MID(TRIM(MID(SUBSTITUTE(SUBSTITUTE(SUBSTITUTE(SUBSTITUTE(SUBSTITUTE(LOWER(Registro!$E737),"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",LEN(Registro!$E737))),({1,2,3,4,5,6,7,8,9,10,11,12,13,14,15,16,17,18,19,20,21,22,23,24,25,26,27,28,29,30}-1)*LEN(Registro!$E737)+1,LEN(Registro!$E737))),FIND("x",TRIM(MID(SUBSTITUTE(SUBSTITUTE(SUBSTITUTE(SUBSTITUTE(SUBSTITUTE(LOWER(Registro!$E737),"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",LEN(Registro!$E737))),({1,2,3,4,5,6,7,8,9,10,11,12,13,14,15,16,17,18,19,20,21,22,23,24,25,26,27,28,29,30}-1)*LEN(Registro!$E737)+1,LEN(Registro!$E737)))&amp;"x")+1,20))),"Revisar formato")))</f>
        <v/>
      </c>
      <c r="F737" s="23" t="str">
        <f>IF(Registro!$F737="","",IF(ISERROR(FIND("x",LOWER(Registro!$F737))),"-",IFERROR(SUMPRODUCT(--("0"&amp;LEFT(TRIM(MID(SUBSTITUTE(SUBSTITUTE(SUBSTITUTE(SUBSTITUTE(SUBSTITUTE(LOWER(Registro!$F737)," ",""),CHAR(10),"|"),";","|"),"+","|"),"|",REPT(" ",LEN(Registro!$F737))),({1,2,3,4,5,6,7,8,9,10,11,12,13,14,15,16,17,18,19,20,21,22,23,24,25,26,27,28,29,30}-1)*LEN(Registro!$F737)+1,LEN(Registro!$F737))),FIND("x",TRIM(MID(SUBSTITUTE(SUBSTITUTE(SUBSTITUTE(SUBSTITUTE(SUBSTITUTE(LOWER(Registro!$F737)," ",""),CHAR(10),"|"),";","|"),"+","|"),"|",REPT(" ",LEN(Registro!$F737))),({1,2,3,4,5,6,7,8,9,10,11,12,13,14,15,16,17,18,19,20,21,22,23,24,25,26,27,28,29,30}-1)*LEN(Registro!$F737)+1,LEN(Registro!$F737)))&amp;"x")-1))),"Revisar formato")))</f>
        <v/>
      </c>
      <c r="G737" s="24" t="str">
        <f>IF(Registro!$F737="","",IF(ISERROR(FIND("x",LOWER(Registro!$F737))),N(Registro!$G737),IFERROR(SUMPRODUCT(--("0"&amp;LEFT(TRIM(MID(SUBSTITUTE(SUBSTITUTE(SUBSTITUTE(SUBSTITUTE(SUBSTITUTE(LOWER(Registro!$F737)," ",""),CHAR(10),"|"),";","|"),"+","|"),"|",REPT(" ",LEN(Registro!$F737))),({1,2,3,4,5,6,7,8,9,10,11,12,13,14,15,16,17,18,19,20,21,22,23,24,25,26,27,28,29,30}-1)*LEN(Registro!$F737)+1,LEN(Registro!$F737))),FIND("x",TRIM(MID(SUBSTITUTE(SUBSTITUTE(SUBSTITUTE(SUBSTITUTE(SUBSTITUTE(LOWER(Registro!$F737)," ",""),CHAR(10),"|"),";","|"),"+","|"),"|",REPT(" ",LEN(Registro!$F737))),({1,2,3,4,5,6,7,8,9,10,11,12,13,14,15,16,17,18,19,20,21,22,23,24,25,26,27,28,29,30}-1)*LEN(Registro!$F737)+1,LEN(Registro!$F737)))&amp;"x")-1)),--("0"&amp;MID(TRIM(MID(SUBSTITUTE(SUBSTITUTE(SUBSTITUTE(SUBSTITUTE(SUBSTITUTE(LOWER(Registro!$F737)," ",""),CHAR(10),"|"),";","|"),"+","|"),"|",REPT(" ",LEN(Registro!$F737))),({1,2,3,4,5,6,7,8,9,10,11,12,13,14,15,16,17,18,19,20,21,22,23,24,25,26,27,28,29,30}-1)*LEN(Registro!$F737)+1,LEN(Registro!$F737))),FIND("x",TRIM(MID(SUBSTITUTE(SUBSTITUTE(SUBSTITUTE(SUBSTITUTE(SUBSTITUTE(LOWER(Registro!$F737)," ",""),CHAR(10),"|"),";","|"),"+","|"),"|",REPT(" ",LEN(Registro!$F737))),({1,2,3,4,5,6,7,8,9,10,11,12,13,14,15,16,17,18,19,20,21,22,23,24,25,26,27,28,29,30}-1)*LEN(Registro!$F737)+1,LEN(Registro!$F737)))&amp;"x")+1,20))),"Revisar formato")))</f>
        <v/>
      </c>
      <c r="H737" s="21" t="str">
        <f>IF(AND(Registro!$E737="",Registro!$F737=""),"",IF(NOT(AND(ISNUMBER(G737),ISNUMBER(Registro!$G737))),"",IF(G737&lt;Registro!$G737,"FALTA BOLETOS",IF(G737=Registro!$G737,"CONFORME","DIFERENCIA"))))</f>
        <v/>
      </c>
      <c r="I737" s="24" t="str">
        <f>IF(Registro!$H737="","",IFERROR(SUMPRODUCT(--("0"&amp;TRIM(RIGHT(SUBSTITUTE(TRIM(MID(SUBSTITUTE(SUBSTITUTE(Registro!$H737,";",CHAR(10)),CHAR(10),REPT(" ",LEN(Registro!$H737))),({1,2,3,4,5,6,7,8,9,10,11,12,13,14,15,16,17,18,19,20,21,22,23,24,25,26,27,28,29,30}-1)*LEN(Registro!$H737)+1,LEN(Registro!$H737)))," ",REPT(" ",50)),50)))),"Revisar formato"))</f>
        <v/>
      </c>
      <c r="J737" s="24" t="str">
        <f>IF(Registro!$I737="","",IFERROR(SUMPRODUCT(--("0"&amp;TRIM(RIGHT(SUBSTITUTE(TRIM(MID(SUBSTITUTE(SUBSTITUTE(Registro!$I737,";",CHAR(10)),CHAR(10),REPT(" ",LEN(Registro!$I737))),({1,2,3,4,5,6,7,8,9,10,11,12,13,14,15,16,17,18,19,20,21,22,23,24,25,26,27,28,29,30}-1)*LEN(Registro!$I737)+1,LEN(Registro!$I737)))," ",REPT(" ",50)),50)))),"Revisar formato"))</f>
        <v/>
      </c>
      <c r="K737" s="24" t="str">
        <f>IF(AND(Registro!$G737="",Registro!$H737=""),"",IF(AND(ISTEXT(I737),I737&lt;&gt;""),"Revisar formato",N(Registro!$G737)-N(I737)))</f>
        <v/>
      </c>
      <c r="L737" s="24" t="str">
        <f t="shared" si="23"/>
        <v/>
      </c>
      <c r="M737" s="36" t="str">
        <f>IF(AND(A737=Consulta!$B$3,C737=Consulta!$H$3),B737*10000+ROW(),"")</f>
        <v/>
      </c>
    </row>
    <row r="738" spans="1:13" x14ac:dyDescent="0.25">
      <c r="A738" s="21" t="str">
        <f>IF(Registro!$A738="","",Registro!$A738)</f>
        <v/>
      </c>
      <c r="B738" s="20" t="str">
        <f>IF(Registro!$B738="","",Registro!$B738)</f>
        <v/>
      </c>
      <c r="C738" s="35" t="str">
        <f t="shared" si="22"/>
        <v/>
      </c>
      <c r="D738" s="23" t="str">
        <f>IF(Registro!$E738="","",IF(ISERROR(FIND("x",LOWER(Registro!$E738))),"-",IFERROR(SUMPRODUCT(--("0"&amp;LEFT(TRIM(MID(SUBSTITUTE(SUBSTITUTE(SUBSTITUTE(SUBSTITUTE(SUBSTITUTE(LOWER(Registro!$E738),"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",LEN(Registro!$E738))),({1,2,3,4,5,6,7,8,9,10,11,12,13,14,15,16,17,18,19,20,21,22,23,24,25,26,27,28,29,30}-1)*LEN(Registro!$E738)+1,LEN(Registro!$E738))),FIND("x",TRIM(MID(SUBSTITUTE(SUBSTITUTE(SUBSTITUTE(SUBSTITUTE(SUBSTITUTE(LOWER(Registro!$E738),"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",LEN(Registro!$E738))),({1,2,3,4,5,6,7,8,9,10,11,12,13,14,15,16,17,18,19,20,21,22,23,24,25,26,27,28,29,30}-1)*LEN(Registro!$E738)+1,LEN(Registro!$E738)))&amp;"x")-1))),"Revisar formato")))</f>
        <v/>
      </c>
      <c r="E738" s="24" t="str">
        <f>IF(Registro!$E738="","",IF(ISERROR(FIND("x",LOWER(Registro!$E738))),"-",IFERROR(SUMPRODUCT(--("0"&amp;LEFT(TRIM(MID(SUBSTITUTE(SUBSTITUTE(SUBSTITUTE(SUBSTITUTE(SUBSTITUTE(LOWER(Registro!$E738),"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",LEN(Registro!$E738))),({1,2,3,4,5,6,7,8,9,10,11,12,13,14,15,16,17,18,19,20,21,22,23,24,25,26,27,28,29,30}-1)*LEN(Registro!$E738)+1,LEN(Registro!$E738))),FIND("x",TRIM(MID(SUBSTITUTE(SUBSTITUTE(SUBSTITUTE(SUBSTITUTE(SUBSTITUTE(LOWER(Registro!$E738),"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",LEN(Registro!$E738))),({1,2,3,4,5,6,7,8,9,10,11,12,13,14,15,16,17,18,19,20,21,22,23,24,25,26,27,28,29,30}-1)*LEN(Registro!$E738)+1,LEN(Registro!$E738)))&amp;"x")-1)),--("0"&amp;MID(TRIM(MID(SUBSTITUTE(SUBSTITUTE(SUBSTITUTE(SUBSTITUTE(SUBSTITUTE(LOWER(Registro!$E738),"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",LEN(Registro!$E738))),({1,2,3,4,5,6,7,8,9,10,11,12,13,14,15,16,17,18,19,20,21,22,23,24,25,26,27,28,29,30}-1)*LEN(Registro!$E738)+1,LEN(Registro!$E738))),FIND("x",TRIM(MID(SUBSTITUTE(SUBSTITUTE(SUBSTITUTE(SUBSTITUTE(SUBSTITUTE(LOWER(Registro!$E738),"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",LEN(Registro!$E738))),({1,2,3,4,5,6,7,8,9,10,11,12,13,14,15,16,17,18,19,20,21,22,23,24,25,26,27,28,29,30}-1)*LEN(Registro!$E738)+1,LEN(Registro!$E738)))&amp;"x")+1,20))),"Revisar formato")))</f>
        <v/>
      </c>
      <c r="F738" s="23" t="str">
        <f>IF(Registro!$F738="","",IF(ISERROR(FIND("x",LOWER(Registro!$F738))),"-",IFERROR(SUMPRODUCT(--("0"&amp;LEFT(TRIM(MID(SUBSTITUTE(SUBSTITUTE(SUBSTITUTE(SUBSTITUTE(SUBSTITUTE(LOWER(Registro!$F738)," ",""),CHAR(10),"|"),";","|"),"+","|"),"|",REPT(" ",LEN(Registro!$F738))),({1,2,3,4,5,6,7,8,9,10,11,12,13,14,15,16,17,18,19,20,21,22,23,24,25,26,27,28,29,30}-1)*LEN(Registro!$F738)+1,LEN(Registro!$F738))),FIND("x",TRIM(MID(SUBSTITUTE(SUBSTITUTE(SUBSTITUTE(SUBSTITUTE(SUBSTITUTE(LOWER(Registro!$F738)," ",""),CHAR(10),"|"),";","|"),"+","|"),"|",REPT(" ",LEN(Registro!$F738))),({1,2,3,4,5,6,7,8,9,10,11,12,13,14,15,16,17,18,19,20,21,22,23,24,25,26,27,28,29,30}-1)*LEN(Registro!$F738)+1,LEN(Registro!$F738)))&amp;"x")-1))),"Revisar formato")))</f>
        <v/>
      </c>
      <c r="G738" s="24" t="str">
        <f>IF(Registro!$F738="","",IF(ISERROR(FIND("x",LOWER(Registro!$F738))),N(Registro!$G738),IFERROR(SUMPRODUCT(--("0"&amp;LEFT(TRIM(MID(SUBSTITUTE(SUBSTITUTE(SUBSTITUTE(SUBSTITUTE(SUBSTITUTE(LOWER(Registro!$F738)," ",""),CHAR(10),"|"),";","|"),"+","|"),"|",REPT(" ",LEN(Registro!$F738))),({1,2,3,4,5,6,7,8,9,10,11,12,13,14,15,16,17,18,19,20,21,22,23,24,25,26,27,28,29,30}-1)*LEN(Registro!$F738)+1,LEN(Registro!$F738))),FIND("x",TRIM(MID(SUBSTITUTE(SUBSTITUTE(SUBSTITUTE(SUBSTITUTE(SUBSTITUTE(LOWER(Registro!$F738)," ",""),CHAR(10),"|"),";","|"),"+","|"),"|",REPT(" ",LEN(Registro!$F738))),({1,2,3,4,5,6,7,8,9,10,11,12,13,14,15,16,17,18,19,20,21,22,23,24,25,26,27,28,29,30}-1)*LEN(Registro!$F738)+1,LEN(Registro!$F738)))&amp;"x")-1)),--("0"&amp;MID(TRIM(MID(SUBSTITUTE(SUBSTITUTE(SUBSTITUTE(SUBSTITUTE(SUBSTITUTE(LOWER(Registro!$F738)," ",""),CHAR(10),"|"),";","|"),"+","|"),"|",REPT(" ",LEN(Registro!$F738))),({1,2,3,4,5,6,7,8,9,10,11,12,13,14,15,16,17,18,19,20,21,22,23,24,25,26,27,28,29,30}-1)*LEN(Registro!$F738)+1,LEN(Registro!$F738))),FIND("x",TRIM(MID(SUBSTITUTE(SUBSTITUTE(SUBSTITUTE(SUBSTITUTE(SUBSTITUTE(LOWER(Registro!$F738)," ",""),CHAR(10),"|"),";","|"),"+","|"),"|",REPT(" ",LEN(Registro!$F738))),({1,2,3,4,5,6,7,8,9,10,11,12,13,14,15,16,17,18,19,20,21,22,23,24,25,26,27,28,29,30}-1)*LEN(Registro!$F738)+1,LEN(Registro!$F738)))&amp;"x")+1,20))),"Revisar formato")))</f>
        <v/>
      </c>
      <c r="H738" s="21" t="str">
        <f>IF(AND(Registro!$E738="",Registro!$F738=""),"",IF(NOT(AND(ISNUMBER(G738),ISNUMBER(Registro!$G738))),"",IF(G738&lt;Registro!$G738,"FALTA BOLETOS",IF(G738=Registro!$G738,"CONFORME","DIFERENCIA"))))</f>
        <v/>
      </c>
      <c r="I738" s="24" t="str">
        <f>IF(Registro!$H738="","",IFERROR(SUMPRODUCT(--("0"&amp;TRIM(RIGHT(SUBSTITUTE(TRIM(MID(SUBSTITUTE(SUBSTITUTE(Registro!$H738,";",CHAR(10)),CHAR(10),REPT(" ",LEN(Registro!$H738))),({1,2,3,4,5,6,7,8,9,10,11,12,13,14,15,16,17,18,19,20,21,22,23,24,25,26,27,28,29,30}-1)*LEN(Registro!$H738)+1,LEN(Registro!$H738)))," ",REPT(" ",50)),50)))),"Revisar formato"))</f>
        <v/>
      </c>
      <c r="J738" s="24" t="str">
        <f>IF(Registro!$I738="","",IFERROR(SUMPRODUCT(--("0"&amp;TRIM(RIGHT(SUBSTITUTE(TRIM(MID(SUBSTITUTE(SUBSTITUTE(Registro!$I738,";",CHAR(10)),CHAR(10),REPT(" ",LEN(Registro!$I738))),({1,2,3,4,5,6,7,8,9,10,11,12,13,14,15,16,17,18,19,20,21,22,23,24,25,26,27,28,29,30}-1)*LEN(Registro!$I738)+1,LEN(Registro!$I738)))," ",REPT(" ",50)),50)))),"Revisar formato"))</f>
        <v/>
      </c>
      <c r="K738" s="24" t="str">
        <f>IF(AND(Registro!$G738="",Registro!$H738=""),"",IF(AND(ISTEXT(I738),I738&lt;&gt;""),"Revisar formato",N(Registro!$G738)-N(I738)))</f>
        <v/>
      </c>
      <c r="L738" s="24" t="str">
        <f t="shared" si="23"/>
        <v/>
      </c>
      <c r="M738" s="36" t="str">
        <f>IF(AND(A738=Consulta!$B$3,C738=Consulta!$H$3),B738*10000+ROW(),"")</f>
        <v/>
      </c>
    </row>
    <row r="739" spans="1:13" x14ac:dyDescent="0.25">
      <c r="A739" s="21" t="str">
        <f>IF(Registro!$A739="","",Registro!$A739)</f>
        <v/>
      </c>
      <c r="B739" s="20" t="str">
        <f>IF(Registro!$B739="","",Registro!$B739)</f>
        <v/>
      </c>
      <c r="C739" s="35" t="str">
        <f t="shared" si="22"/>
        <v/>
      </c>
      <c r="D739" s="23" t="str">
        <f>IF(Registro!$E739="","",IF(ISERROR(FIND("x",LOWER(Registro!$E739))),"-",IFERROR(SUMPRODUCT(--("0"&amp;LEFT(TRIM(MID(SUBSTITUTE(SUBSTITUTE(SUBSTITUTE(SUBSTITUTE(SUBSTITUTE(LOWER(Registro!$E739),"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",LEN(Registro!$E739))),({1,2,3,4,5,6,7,8,9,10,11,12,13,14,15,16,17,18,19,20,21,22,23,24,25,26,27,28,29,30}-1)*LEN(Registro!$E739)+1,LEN(Registro!$E739))),FIND("x",TRIM(MID(SUBSTITUTE(SUBSTITUTE(SUBSTITUTE(SUBSTITUTE(SUBSTITUTE(LOWER(Registro!$E739),"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",LEN(Registro!$E739))),({1,2,3,4,5,6,7,8,9,10,11,12,13,14,15,16,17,18,19,20,21,22,23,24,25,26,27,28,29,30}-1)*LEN(Registro!$E739)+1,LEN(Registro!$E739)))&amp;"x")-1))),"Revisar formato")))</f>
        <v/>
      </c>
      <c r="E739" s="24" t="str">
        <f>IF(Registro!$E739="","",IF(ISERROR(FIND("x",LOWER(Registro!$E739))),"-",IFERROR(SUMPRODUCT(--("0"&amp;LEFT(TRIM(MID(SUBSTITUTE(SUBSTITUTE(SUBSTITUTE(SUBSTITUTE(SUBSTITUTE(LOWER(Registro!$E739),"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",LEN(Registro!$E739))),({1,2,3,4,5,6,7,8,9,10,11,12,13,14,15,16,17,18,19,20,21,22,23,24,25,26,27,28,29,30}-1)*LEN(Registro!$E739)+1,LEN(Registro!$E739))),FIND("x",TRIM(MID(SUBSTITUTE(SUBSTITUTE(SUBSTITUTE(SUBSTITUTE(SUBSTITUTE(LOWER(Registro!$E739),"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",LEN(Registro!$E739))),({1,2,3,4,5,6,7,8,9,10,11,12,13,14,15,16,17,18,19,20,21,22,23,24,25,26,27,28,29,30}-1)*LEN(Registro!$E739)+1,LEN(Registro!$E739)))&amp;"x")-1)),--("0"&amp;MID(TRIM(MID(SUBSTITUTE(SUBSTITUTE(SUBSTITUTE(SUBSTITUTE(SUBSTITUTE(LOWER(Registro!$E739),"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",LEN(Registro!$E739))),({1,2,3,4,5,6,7,8,9,10,11,12,13,14,15,16,17,18,19,20,21,22,23,24,25,26,27,28,29,30}-1)*LEN(Registro!$E739)+1,LEN(Registro!$E739))),FIND("x",TRIM(MID(SUBSTITUTE(SUBSTITUTE(SUBSTITUTE(SUBSTITUTE(SUBSTITUTE(LOWER(Registro!$E739),"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",LEN(Registro!$E739))),({1,2,3,4,5,6,7,8,9,10,11,12,13,14,15,16,17,18,19,20,21,22,23,24,25,26,27,28,29,30}-1)*LEN(Registro!$E739)+1,LEN(Registro!$E739)))&amp;"x")+1,20))),"Revisar formato")))</f>
        <v/>
      </c>
      <c r="F739" s="23" t="str">
        <f>IF(Registro!$F739="","",IF(ISERROR(FIND("x",LOWER(Registro!$F739))),"-",IFERROR(SUMPRODUCT(--("0"&amp;LEFT(TRIM(MID(SUBSTITUTE(SUBSTITUTE(SUBSTITUTE(SUBSTITUTE(SUBSTITUTE(LOWER(Registro!$F739)," ",""),CHAR(10),"|"),";","|"),"+","|"),"|",REPT(" ",LEN(Registro!$F739))),({1,2,3,4,5,6,7,8,9,10,11,12,13,14,15,16,17,18,19,20,21,22,23,24,25,26,27,28,29,30}-1)*LEN(Registro!$F739)+1,LEN(Registro!$F739))),FIND("x",TRIM(MID(SUBSTITUTE(SUBSTITUTE(SUBSTITUTE(SUBSTITUTE(SUBSTITUTE(LOWER(Registro!$F739)," ",""),CHAR(10),"|"),";","|"),"+","|"),"|",REPT(" ",LEN(Registro!$F739))),({1,2,3,4,5,6,7,8,9,10,11,12,13,14,15,16,17,18,19,20,21,22,23,24,25,26,27,28,29,30}-1)*LEN(Registro!$F739)+1,LEN(Registro!$F739)))&amp;"x")-1))),"Revisar formato")))</f>
        <v/>
      </c>
      <c r="G739" s="24" t="str">
        <f>IF(Registro!$F739="","",IF(ISERROR(FIND("x",LOWER(Registro!$F739))),N(Registro!$G739),IFERROR(SUMPRODUCT(--("0"&amp;LEFT(TRIM(MID(SUBSTITUTE(SUBSTITUTE(SUBSTITUTE(SUBSTITUTE(SUBSTITUTE(LOWER(Registro!$F739)," ",""),CHAR(10),"|"),";","|"),"+","|"),"|",REPT(" ",LEN(Registro!$F739))),({1,2,3,4,5,6,7,8,9,10,11,12,13,14,15,16,17,18,19,20,21,22,23,24,25,26,27,28,29,30}-1)*LEN(Registro!$F739)+1,LEN(Registro!$F739))),FIND("x",TRIM(MID(SUBSTITUTE(SUBSTITUTE(SUBSTITUTE(SUBSTITUTE(SUBSTITUTE(LOWER(Registro!$F739)," ",""),CHAR(10),"|"),";","|"),"+","|"),"|",REPT(" ",LEN(Registro!$F739))),({1,2,3,4,5,6,7,8,9,10,11,12,13,14,15,16,17,18,19,20,21,22,23,24,25,26,27,28,29,30}-1)*LEN(Registro!$F739)+1,LEN(Registro!$F739)))&amp;"x")-1)),--("0"&amp;MID(TRIM(MID(SUBSTITUTE(SUBSTITUTE(SUBSTITUTE(SUBSTITUTE(SUBSTITUTE(LOWER(Registro!$F739)," ",""),CHAR(10),"|"),";","|"),"+","|"),"|",REPT(" ",LEN(Registro!$F739))),({1,2,3,4,5,6,7,8,9,10,11,12,13,14,15,16,17,18,19,20,21,22,23,24,25,26,27,28,29,30}-1)*LEN(Registro!$F739)+1,LEN(Registro!$F739))),FIND("x",TRIM(MID(SUBSTITUTE(SUBSTITUTE(SUBSTITUTE(SUBSTITUTE(SUBSTITUTE(LOWER(Registro!$F739)," ",""),CHAR(10),"|"),";","|"),"+","|"),"|",REPT(" ",LEN(Registro!$F739))),({1,2,3,4,5,6,7,8,9,10,11,12,13,14,15,16,17,18,19,20,21,22,23,24,25,26,27,28,29,30}-1)*LEN(Registro!$F739)+1,LEN(Registro!$F739)))&amp;"x")+1,20))),"Revisar formato")))</f>
        <v/>
      </c>
      <c r="H739" s="21" t="str">
        <f>IF(AND(Registro!$E739="",Registro!$F739=""),"",IF(NOT(AND(ISNUMBER(G739),ISNUMBER(Registro!$G739))),"",IF(G739&lt;Registro!$G739,"FALTA BOLETOS",IF(G739=Registro!$G739,"CONFORME","DIFERENCIA"))))</f>
        <v/>
      </c>
      <c r="I739" s="24" t="str">
        <f>IF(Registro!$H739="","",IFERROR(SUMPRODUCT(--("0"&amp;TRIM(RIGHT(SUBSTITUTE(TRIM(MID(SUBSTITUTE(SUBSTITUTE(Registro!$H739,";",CHAR(10)),CHAR(10),REPT(" ",LEN(Registro!$H739))),({1,2,3,4,5,6,7,8,9,10,11,12,13,14,15,16,17,18,19,20,21,22,23,24,25,26,27,28,29,30}-1)*LEN(Registro!$H739)+1,LEN(Registro!$H739)))," ",REPT(" ",50)),50)))),"Revisar formato"))</f>
        <v/>
      </c>
      <c r="J739" s="24" t="str">
        <f>IF(Registro!$I739="","",IFERROR(SUMPRODUCT(--("0"&amp;TRIM(RIGHT(SUBSTITUTE(TRIM(MID(SUBSTITUTE(SUBSTITUTE(Registro!$I739,";",CHAR(10)),CHAR(10),REPT(" ",LEN(Registro!$I739))),({1,2,3,4,5,6,7,8,9,10,11,12,13,14,15,16,17,18,19,20,21,22,23,24,25,26,27,28,29,30}-1)*LEN(Registro!$I739)+1,LEN(Registro!$I739)))," ",REPT(" ",50)),50)))),"Revisar formato"))</f>
        <v/>
      </c>
      <c r="K739" s="24" t="str">
        <f>IF(AND(Registro!$G739="",Registro!$H739=""),"",IF(AND(ISTEXT(I739),I739&lt;&gt;""),"Revisar formato",N(Registro!$G739)-N(I739)))</f>
        <v/>
      </c>
      <c r="L739" s="24" t="str">
        <f t="shared" si="23"/>
        <v/>
      </c>
      <c r="M739" s="36" t="str">
        <f>IF(AND(A739=Consulta!$B$3,C739=Consulta!$H$3),B739*10000+ROW(),"")</f>
        <v/>
      </c>
    </row>
    <row r="740" spans="1:13" x14ac:dyDescent="0.25">
      <c r="A740" s="21" t="str">
        <f>IF(Registro!$A740="","",Registro!$A740)</f>
        <v/>
      </c>
      <c r="B740" s="20" t="str">
        <f>IF(Registro!$B740="","",Registro!$B740)</f>
        <v/>
      </c>
      <c r="C740" s="35" t="str">
        <f t="shared" si="22"/>
        <v/>
      </c>
      <c r="D740" s="23" t="str">
        <f>IF(Registro!$E740="","",IF(ISERROR(FIND("x",LOWER(Registro!$E740))),"-",IFERROR(SUMPRODUCT(--("0"&amp;LEFT(TRIM(MID(SUBSTITUTE(SUBSTITUTE(SUBSTITUTE(SUBSTITUTE(SUBSTITUTE(LOWER(Registro!$E740),"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",LEN(Registro!$E740))),({1,2,3,4,5,6,7,8,9,10,11,12,13,14,15,16,17,18,19,20,21,22,23,24,25,26,27,28,29,30}-1)*LEN(Registro!$E740)+1,LEN(Registro!$E740))),FIND("x",TRIM(MID(SUBSTITUTE(SUBSTITUTE(SUBSTITUTE(SUBSTITUTE(SUBSTITUTE(LOWER(Registro!$E740),"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",LEN(Registro!$E740))),({1,2,3,4,5,6,7,8,9,10,11,12,13,14,15,16,17,18,19,20,21,22,23,24,25,26,27,28,29,30}-1)*LEN(Registro!$E740)+1,LEN(Registro!$E740)))&amp;"x")-1))),"Revisar formato")))</f>
        <v/>
      </c>
      <c r="E740" s="24" t="str">
        <f>IF(Registro!$E740="","",IF(ISERROR(FIND("x",LOWER(Registro!$E740))),"-",IFERROR(SUMPRODUCT(--("0"&amp;LEFT(TRIM(MID(SUBSTITUTE(SUBSTITUTE(SUBSTITUTE(SUBSTITUTE(SUBSTITUTE(LOWER(Registro!$E740),"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",LEN(Registro!$E740))),({1,2,3,4,5,6,7,8,9,10,11,12,13,14,15,16,17,18,19,20,21,22,23,24,25,26,27,28,29,30}-1)*LEN(Registro!$E740)+1,LEN(Registro!$E740))),FIND("x",TRIM(MID(SUBSTITUTE(SUBSTITUTE(SUBSTITUTE(SUBSTITUTE(SUBSTITUTE(LOWER(Registro!$E740),"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",LEN(Registro!$E740))),({1,2,3,4,5,6,7,8,9,10,11,12,13,14,15,16,17,18,19,20,21,22,23,24,25,26,27,28,29,30}-1)*LEN(Registro!$E740)+1,LEN(Registro!$E740)))&amp;"x")-1)),--("0"&amp;MID(TRIM(MID(SUBSTITUTE(SUBSTITUTE(SUBSTITUTE(SUBSTITUTE(SUBSTITUTE(LOWER(Registro!$E740),"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",LEN(Registro!$E740))),({1,2,3,4,5,6,7,8,9,10,11,12,13,14,15,16,17,18,19,20,21,22,23,24,25,26,27,28,29,30}-1)*LEN(Registro!$E740)+1,LEN(Registro!$E740))),FIND("x",TRIM(MID(SUBSTITUTE(SUBSTITUTE(SUBSTITUTE(SUBSTITUTE(SUBSTITUTE(LOWER(Registro!$E740),"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",LEN(Registro!$E740))),({1,2,3,4,5,6,7,8,9,10,11,12,13,14,15,16,17,18,19,20,21,22,23,24,25,26,27,28,29,30}-1)*LEN(Registro!$E740)+1,LEN(Registro!$E740)))&amp;"x")+1,20))),"Revisar formato")))</f>
        <v/>
      </c>
      <c r="F740" s="23" t="str">
        <f>IF(Registro!$F740="","",IF(ISERROR(FIND("x",LOWER(Registro!$F740))),"-",IFERROR(SUMPRODUCT(--("0"&amp;LEFT(TRIM(MID(SUBSTITUTE(SUBSTITUTE(SUBSTITUTE(SUBSTITUTE(SUBSTITUTE(LOWER(Registro!$F740)," ",""),CHAR(10),"|"),";","|"),"+","|"),"|",REPT(" ",LEN(Registro!$F740))),({1,2,3,4,5,6,7,8,9,10,11,12,13,14,15,16,17,18,19,20,21,22,23,24,25,26,27,28,29,30}-1)*LEN(Registro!$F740)+1,LEN(Registro!$F740))),FIND("x",TRIM(MID(SUBSTITUTE(SUBSTITUTE(SUBSTITUTE(SUBSTITUTE(SUBSTITUTE(LOWER(Registro!$F740)," ",""),CHAR(10),"|"),";","|"),"+","|"),"|",REPT(" ",LEN(Registro!$F740))),({1,2,3,4,5,6,7,8,9,10,11,12,13,14,15,16,17,18,19,20,21,22,23,24,25,26,27,28,29,30}-1)*LEN(Registro!$F740)+1,LEN(Registro!$F740)))&amp;"x")-1))),"Revisar formato")))</f>
        <v/>
      </c>
      <c r="G740" s="24" t="str">
        <f>IF(Registro!$F740="","",IF(ISERROR(FIND("x",LOWER(Registro!$F740))),N(Registro!$G740),IFERROR(SUMPRODUCT(--("0"&amp;LEFT(TRIM(MID(SUBSTITUTE(SUBSTITUTE(SUBSTITUTE(SUBSTITUTE(SUBSTITUTE(LOWER(Registro!$F740)," ",""),CHAR(10),"|"),";","|"),"+","|"),"|",REPT(" ",LEN(Registro!$F740))),({1,2,3,4,5,6,7,8,9,10,11,12,13,14,15,16,17,18,19,20,21,22,23,24,25,26,27,28,29,30}-1)*LEN(Registro!$F740)+1,LEN(Registro!$F740))),FIND("x",TRIM(MID(SUBSTITUTE(SUBSTITUTE(SUBSTITUTE(SUBSTITUTE(SUBSTITUTE(LOWER(Registro!$F740)," ",""),CHAR(10),"|"),";","|"),"+","|"),"|",REPT(" ",LEN(Registro!$F740))),({1,2,3,4,5,6,7,8,9,10,11,12,13,14,15,16,17,18,19,20,21,22,23,24,25,26,27,28,29,30}-1)*LEN(Registro!$F740)+1,LEN(Registro!$F740)))&amp;"x")-1)),--("0"&amp;MID(TRIM(MID(SUBSTITUTE(SUBSTITUTE(SUBSTITUTE(SUBSTITUTE(SUBSTITUTE(LOWER(Registro!$F740)," ",""),CHAR(10),"|"),";","|"),"+","|"),"|",REPT(" ",LEN(Registro!$F740))),({1,2,3,4,5,6,7,8,9,10,11,12,13,14,15,16,17,18,19,20,21,22,23,24,25,26,27,28,29,30}-1)*LEN(Registro!$F740)+1,LEN(Registro!$F740))),FIND("x",TRIM(MID(SUBSTITUTE(SUBSTITUTE(SUBSTITUTE(SUBSTITUTE(SUBSTITUTE(LOWER(Registro!$F740)," ",""),CHAR(10),"|"),";","|"),"+","|"),"|",REPT(" ",LEN(Registro!$F740))),({1,2,3,4,5,6,7,8,9,10,11,12,13,14,15,16,17,18,19,20,21,22,23,24,25,26,27,28,29,30}-1)*LEN(Registro!$F740)+1,LEN(Registro!$F740)))&amp;"x")+1,20))),"Revisar formato")))</f>
        <v/>
      </c>
      <c r="H740" s="21" t="str">
        <f>IF(AND(Registro!$E740="",Registro!$F740=""),"",IF(NOT(AND(ISNUMBER(G740),ISNUMBER(Registro!$G740))),"",IF(G740&lt;Registro!$G740,"FALTA BOLETOS",IF(G740=Registro!$G740,"CONFORME","DIFERENCIA"))))</f>
        <v/>
      </c>
      <c r="I740" s="24" t="str">
        <f>IF(Registro!$H740="","",IFERROR(SUMPRODUCT(--("0"&amp;TRIM(RIGHT(SUBSTITUTE(TRIM(MID(SUBSTITUTE(SUBSTITUTE(Registro!$H740,";",CHAR(10)),CHAR(10),REPT(" ",LEN(Registro!$H740))),({1,2,3,4,5,6,7,8,9,10,11,12,13,14,15,16,17,18,19,20,21,22,23,24,25,26,27,28,29,30}-1)*LEN(Registro!$H740)+1,LEN(Registro!$H740)))," ",REPT(" ",50)),50)))),"Revisar formato"))</f>
        <v/>
      </c>
      <c r="J740" s="24" t="str">
        <f>IF(Registro!$I740="","",IFERROR(SUMPRODUCT(--("0"&amp;TRIM(RIGHT(SUBSTITUTE(TRIM(MID(SUBSTITUTE(SUBSTITUTE(Registro!$I740,";",CHAR(10)),CHAR(10),REPT(" ",LEN(Registro!$I740))),({1,2,3,4,5,6,7,8,9,10,11,12,13,14,15,16,17,18,19,20,21,22,23,24,25,26,27,28,29,30}-1)*LEN(Registro!$I740)+1,LEN(Registro!$I740)))," ",REPT(" ",50)),50)))),"Revisar formato"))</f>
        <v/>
      </c>
      <c r="K740" s="24" t="str">
        <f>IF(AND(Registro!$G740="",Registro!$H740=""),"",IF(AND(ISTEXT(I740),I740&lt;&gt;""),"Revisar formato",N(Registro!$G740)-N(I740)))</f>
        <v/>
      </c>
      <c r="L740" s="24" t="str">
        <f t="shared" si="23"/>
        <v/>
      </c>
      <c r="M740" s="36" t="str">
        <f>IF(AND(A740=Consulta!$B$3,C740=Consulta!$H$3),B740*10000+ROW(),"")</f>
        <v/>
      </c>
    </row>
    <row r="741" spans="1:13" x14ac:dyDescent="0.25">
      <c r="A741" s="21" t="str">
        <f>IF(Registro!$A741="","",Registro!$A741)</f>
        <v/>
      </c>
      <c r="B741" s="20" t="str">
        <f>IF(Registro!$B741="","",Registro!$B741)</f>
        <v/>
      </c>
      <c r="C741" s="35" t="str">
        <f t="shared" si="22"/>
        <v/>
      </c>
      <c r="D741" s="23" t="str">
        <f>IF(Registro!$E741="","",IF(ISERROR(FIND("x",LOWER(Registro!$E741))),"-",IFERROR(SUMPRODUCT(--("0"&amp;LEFT(TRIM(MID(SUBSTITUTE(SUBSTITUTE(SUBSTITUTE(SUBSTITUTE(SUBSTITUTE(LOWER(Registro!$E741),"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",LEN(Registro!$E741))),({1,2,3,4,5,6,7,8,9,10,11,12,13,14,15,16,17,18,19,20,21,22,23,24,25,26,27,28,29,30}-1)*LEN(Registro!$E741)+1,LEN(Registro!$E741))),FIND("x",TRIM(MID(SUBSTITUTE(SUBSTITUTE(SUBSTITUTE(SUBSTITUTE(SUBSTITUTE(LOWER(Registro!$E741),"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",LEN(Registro!$E741))),({1,2,3,4,5,6,7,8,9,10,11,12,13,14,15,16,17,18,19,20,21,22,23,24,25,26,27,28,29,30}-1)*LEN(Registro!$E741)+1,LEN(Registro!$E741)))&amp;"x")-1))),"Revisar formato")))</f>
        <v/>
      </c>
      <c r="E741" s="24" t="str">
        <f>IF(Registro!$E741="","",IF(ISERROR(FIND("x",LOWER(Registro!$E741))),"-",IFERROR(SUMPRODUCT(--("0"&amp;LEFT(TRIM(MID(SUBSTITUTE(SUBSTITUTE(SUBSTITUTE(SUBSTITUTE(SUBSTITUTE(LOWER(Registro!$E741),"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",LEN(Registro!$E741))),({1,2,3,4,5,6,7,8,9,10,11,12,13,14,15,16,17,18,19,20,21,22,23,24,25,26,27,28,29,30}-1)*LEN(Registro!$E741)+1,LEN(Registro!$E741))),FIND("x",TRIM(MID(SUBSTITUTE(SUBSTITUTE(SUBSTITUTE(SUBSTITUTE(SUBSTITUTE(LOWER(Registro!$E741),"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",LEN(Registro!$E741))),({1,2,3,4,5,6,7,8,9,10,11,12,13,14,15,16,17,18,19,20,21,22,23,24,25,26,27,28,29,30}-1)*LEN(Registro!$E741)+1,LEN(Registro!$E741)))&amp;"x")-1)),--("0"&amp;MID(TRIM(MID(SUBSTITUTE(SUBSTITUTE(SUBSTITUTE(SUBSTITUTE(SUBSTITUTE(LOWER(Registro!$E741),"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",LEN(Registro!$E741))),({1,2,3,4,5,6,7,8,9,10,11,12,13,14,15,16,17,18,19,20,21,22,23,24,25,26,27,28,29,30}-1)*LEN(Registro!$E741)+1,LEN(Registro!$E741))),FIND("x",TRIM(MID(SUBSTITUTE(SUBSTITUTE(SUBSTITUTE(SUBSTITUTE(SUBSTITUTE(LOWER(Registro!$E741),"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",LEN(Registro!$E741))),({1,2,3,4,5,6,7,8,9,10,11,12,13,14,15,16,17,18,19,20,21,22,23,24,25,26,27,28,29,30}-1)*LEN(Registro!$E741)+1,LEN(Registro!$E741)))&amp;"x")+1,20))),"Revisar formato")))</f>
        <v/>
      </c>
      <c r="F741" s="23" t="str">
        <f>IF(Registro!$F741="","",IF(ISERROR(FIND("x",LOWER(Registro!$F741))),"-",IFERROR(SUMPRODUCT(--("0"&amp;LEFT(TRIM(MID(SUBSTITUTE(SUBSTITUTE(SUBSTITUTE(SUBSTITUTE(SUBSTITUTE(LOWER(Registro!$F741)," ",""),CHAR(10),"|"),";","|"),"+","|"),"|",REPT(" ",LEN(Registro!$F741))),({1,2,3,4,5,6,7,8,9,10,11,12,13,14,15,16,17,18,19,20,21,22,23,24,25,26,27,28,29,30}-1)*LEN(Registro!$F741)+1,LEN(Registro!$F741))),FIND("x",TRIM(MID(SUBSTITUTE(SUBSTITUTE(SUBSTITUTE(SUBSTITUTE(SUBSTITUTE(LOWER(Registro!$F741)," ",""),CHAR(10),"|"),";","|"),"+","|"),"|",REPT(" ",LEN(Registro!$F741))),({1,2,3,4,5,6,7,8,9,10,11,12,13,14,15,16,17,18,19,20,21,22,23,24,25,26,27,28,29,30}-1)*LEN(Registro!$F741)+1,LEN(Registro!$F741)))&amp;"x")-1))),"Revisar formato")))</f>
        <v/>
      </c>
      <c r="G741" s="24" t="str">
        <f>IF(Registro!$F741="","",IF(ISERROR(FIND("x",LOWER(Registro!$F741))),N(Registro!$G741),IFERROR(SUMPRODUCT(--("0"&amp;LEFT(TRIM(MID(SUBSTITUTE(SUBSTITUTE(SUBSTITUTE(SUBSTITUTE(SUBSTITUTE(LOWER(Registro!$F741)," ",""),CHAR(10),"|"),";","|"),"+","|"),"|",REPT(" ",LEN(Registro!$F741))),({1,2,3,4,5,6,7,8,9,10,11,12,13,14,15,16,17,18,19,20,21,22,23,24,25,26,27,28,29,30}-1)*LEN(Registro!$F741)+1,LEN(Registro!$F741))),FIND("x",TRIM(MID(SUBSTITUTE(SUBSTITUTE(SUBSTITUTE(SUBSTITUTE(SUBSTITUTE(LOWER(Registro!$F741)," ",""),CHAR(10),"|"),";","|"),"+","|"),"|",REPT(" ",LEN(Registro!$F741))),({1,2,3,4,5,6,7,8,9,10,11,12,13,14,15,16,17,18,19,20,21,22,23,24,25,26,27,28,29,30}-1)*LEN(Registro!$F741)+1,LEN(Registro!$F741)))&amp;"x")-1)),--("0"&amp;MID(TRIM(MID(SUBSTITUTE(SUBSTITUTE(SUBSTITUTE(SUBSTITUTE(SUBSTITUTE(LOWER(Registro!$F741)," ",""),CHAR(10),"|"),";","|"),"+","|"),"|",REPT(" ",LEN(Registro!$F741))),({1,2,3,4,5,6,7,8,9,10,11,12,13,14,15,16,17,18,19,20,21,22,23,24,25,26,27,28,29,30}-1)*LEN(Registro!$F741)+1,LEN(Registro!$F741))),FIND("x",TRIM(MID(SUBSTITUTE(SUBSTITUTE(SUBSTITUTE(SUBSTITUTE(SUBSTITUTE(LOWER(Registro!$F741)," ",""),CHAR(10),"|"),";","|"),"+","|"),"|",REPT(" ",LEN(Registro!$F741))),({1,2,3,4,5,6,7,8,9,10,11,12,13,14,15,16,17,18,19,20,21,22,23,24,25,26,27,28,29,30}-1)*LEN(Registro!$F741)+1,LEN(Registro!$F741)))&amp;"x")+1,20))),"Revisar formato")))</f>
        <v/>
      </c>
      <c r="H741" s="21" t="str">
        <f>IF(AND(Registro!$E741="",Registro!$F741=""),"",IF(NOT(AND(ISNUMBER(G741),ISNUMBER(Registro!$G741))),"",IF(G741&lt;Registro!$G741,"FALTA BOLETOS",IF(G741=Registro!$G741,"CONFORME","DIFERENCIA"))))</f>
        <v/>
      </c>
      <c r="I741" s="24" t="str">
        <f>IF(Registro!$H741="","",IFERROR(SUMPRODUCT(--("0"&amp;TRIM(RIGHT(SUBSTITUTE(TRIM(MID(SUBSTITUTE(SUBSTITUTE(Registro!$H741,";",CHAR(10)),CHAR(10),REPT(" ",LEN(Registro!$H741))),({1,2,3,4,5,6,7,8,9,10,11,12,13,14,15,16,17,18,19,20,21,22,23,24,25,26,27,28,29,30}-1)*LEN(Registro!$H741)+1,LEN(Registro!$H741)))," ",REPT(" ",50)),50)))),"Revisar formato"))</f>
        <v/>
      </c>
      <c r="J741" s="24" t="str">
        <f>IF(Registro!$I741="","",IFERROR(SUMPRODUCT(--("0"&amp;TRIM(RIGHT(SUBSTITUTE(TRIM(MID(SUBSTITUTE(SUBSTITUTE(Registro!$I741,";",CHAR(10)),CHAR(10),REPT(" ",LEN(Registro!$I741))),({1,2,3,4,5,6,7,8,9,10,11,12,13,14,15,16,17,18,19,20,21,22,23,24,25,26,27,28,29,30}-1)*LEN(Registro!$I741)+1,LEN(Registro!$I741)))," ",REPT(" ",50)),50)))),"Revisar formato"))</f>
        <v/>
      </c>
      <c r="K741" s="24" t="str">
        <f>IF(AND(Registro!$G741="",Registro!$H741=""),"",IF(AND(ISTEXT(I741),I741&lt;&gt;""),"Revisar formato",N(Registro!$G741)-N(I741)))</f>
        <v/>
      </c>
      <c r="L741" s="24" t="str">
        <f t="shared" si="23"/>
        <v/>
      </c>
      <c r="M741" s="36" t="str">
        <f>IF(AND(A741=Consulta!$B$3,C741=Consulta!$H$3),B741*10000+ROW(),"")</f>
        <v/>
      </c>
    </row>
    <row r="742" spans="1:13" x14ac:dyDescent="0.25">
      <c r="A742" s="21" t="str">
        <f>IF(Registro!$A742="","",Registro!$A742)</f>
        <v/>
      </c>
      <c r="B742" s="20" t="str">
        <f>IF(Registro!$B742="","",Registro!$B742)</f>
        <v/>
      </c>
      <c r="C742" s="35" t="str">
        <f t="shared" si="22"/>
        <v/>
      </c>
      <c r="D742" s="23" t="str">
        <f>IF(Registro!$E742="","",IF(ISERROR(FIND("x",LOWER(Registro!$E742))),"-",IFERROR(SUMPRODUCT(--("0"&amp;LEFT(TRIM(MID(SUBSTITUTE(SUBSTITUTE(SUBSTITUTE(SUBSTITUTE(SUBSTITUTE(LOWER(Registro!$E742),"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",LEN(Registro!$E742))),({1,2,3,4,5,6,7,8,9,10,11,12,13,14,15,16,17,18,19,20,21,22,23,24,25,26,27,28,29,30}-1)*LEN(Registro!$E742)+1,LEN(Registro!$E742))),FIND("x",TRIM(MID(SUBSTITUTE(SUBSTITUTE(SUBSTITUTE(SUBSTITUTE(SUBSTITUTE(LOWER(Registro!$E742),"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",LEN(Registro!$E742))),({1,2,3,4,5,6,7,8,9,10,11,12,13,14,15,16,17,18,19,20,21,22,23,24,25,26,27,28,29,30}-1)*LEN(Registro!$E742)+1,LEN(Registro!$E742)))&amp;"x")-1))),"Revisar formato")))</f>
        <v/>
      </c>
      <c r="E742" s="24" t="str">
        <f>IF(Registro!$E742="","",IF(ISERROR(FIND("x",LOWER(Registro!$E742))),"-",IFERROR(SUMPRODUCT(--("0"&amp;LEFT(TRIM(MID(SUBSTITUTE(SUBSTITUTE(SUBSTITUTE(SUBSTITUTE(SUBSTITUTE(LOWER(Registro!$E742),"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",LEN(Registro!$E742))),({1,2,3,4,5,6,7,8,9,10,11,12,13,14,15,16,17,18,19,20,21,22,23,24,25,26,27,28,29,30}-1)*LEN(Registro!$E742)+1,LEN(Registro!$E742))),FIND("x",TRIM(MID(SUBSTITUTE(SUBSTITUTE(SUBSTITUTE(SUBSTITUTE(SUBSTITUTE(LOWER(Registro!$E742),"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",LEN(Registro!$E742))),({1,2,3,4,5,6,7,8,9,10,11,12,13,14,15,16,17,18,19,20,21,22,23,24,25,26,27,28,29,30}-1)*LEN(Registro!$E742)+1,LEN(Registro!$E742)))&amp;"x")-1)),--("0"&amp;MID(TRIM(MID(SUBSTITUTE(SUBSTITUTE(SUBSTITUTE(SUBSTITUTE(SUBSTITUTE(LOWER(Registro!$E742),"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",LEN(Registro!$E742))),({1,2,3,4,5,6,7,8,9,10,11,12,13,14,15,16,17,18,19,20,21,22,23,24,25,26,27,28,29,30}-1)*LEN(Registro!$E742)+1,LEN(Registro!$E742))),FIND("x",TRIM(MID(SUBSTITUTE(SUBSTITUTE(SUBSTITUTE(SUBSTITUTE(SUBSTITUTE(LOWER(Registro!$E742),"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",LEN(Registro!$E742))),({1,2,3,4,5,6,7,8,9,10,11,12,13,14,15,16,17,18,19,20,21,22,23,24,25,26,27,28,29,30}-1)*LEN(Registro!$E742)+1,LEN(Registro!$E742)))&amp;"x")+1,20))),"Revisar formato")))</f>
        <v/>
      </c>
      <c r="F742" s="23" t="str">
        <f>IF(Registro!$F742="","",IF(ISERROR(FIND("x",LOWER(Registro!$F742))),"-",IFERROR(SUMPRODUCT(--("0"&amp;LEFT(TRIM(MID(SUBSTITUTE(SUBSTITUTE(SUBSTITUTE(SUBSTITUTE(SUBSTITUTE(LOWER(Registro!$F742)," ",""),CHAR(10),"|"),";","|"),"+","|"),"|",REPT(" ",LEN(Registro!$F742))),({1,2,3,4,5,6,7,8,9,10,11,12,13,14,15,16,17,18,19,20,21,22,23,24,25,26,27,28,29,30}-1)*LEN(Registro!$F742)+1,LEN(Registro!$F742))),FIND("x",TRIM(MID(SUBSTITUTE(SUBSTITUTE(SUBSTITUTE(SUBSTITUTE(SUBSTITUTE(LOWER(Registro!$F742)," ",""),CHAR(10),"|"),";","|"),"+","|"),"|",REPT(" ",LEN(Registro!$F742))),({1,2,3,4,5,6,7,8,9,10,11,12,13,14,15,16,17,18,19,20,21,22,23,24,25,26,27,28,29,30}-1)*LEN(Registro!$F742)+1,LEN(Registro!$F742)))&amp;"x")-1))),"Revisar formato")))</f>
        <v/>
      </c>
      <c r="G742" s="24" t="str">
        <f>IF(Registro!$F742="","",IF(ISERROR(FIND("x",LOWER(Registro!$F742))),N(Registro!$G742),IFERROR(SUMPRODUCT(--("0"&amp;LEFT(TRIM(MID(SUBSTITUTE(SUBSTITUTE(SUBSTITUTE(SUBSTITUTE(SUBSTITUTE(LOWER(Registro!$F742)," ",""),CHAR(10),"|"),";","|"),"+","|"),"|",REPT(" ",LEN(Registro!$F742))),({1,2,3,4,5,6,7,8,9,10,11,12,13,14,15,16,17,18,19,20,21,22,23,24,25,26,27,28,29,30}-1)*LEN(Registro!$F742)+1,LEN(Registro!$F742))),FIND("x",TRIM(MID(SUBSTITUTE(SUBSTITUTE(SUBSTITUTE(SUBSTITUTE(SUBSTITUTE(LOWER(Registro!$F742)," ",""),CHAR(10),"|"),";","|"),"+","|"),"|",REPT(" ",LEN(Registro!$F742))),({1,2,3,4,5,6,7,8,9,10,11,12,13,14,15,16,17,18,19,20,21,22,23,24,25,26,27,28,29,30}-1)*LEN(Registro!$F742)+1,LEN(Registro!$F742)))&amp;"x")-1)),--("0"&amp;MID(TRIM(MID(SUBSTITUTE(SUBSTITUTE(SUBSTITUTE(SUBSTITUTE(SUBSTITUTE(LOWER(Registro!$F742)," ",""),CHAR(10),"|"),";","|"),"+","|"),"|",REPT(" ",LEN(Registro!$F742))),({1,2,3,4,5,6,7,8,9,10,11,12,13,14,15,16,17,18,19,20,21,22,23,24,25,26,27,28,29,30}-1)*LEN(Registro!$F742)+1,LEN(Registro!$F742))),FIND("x",TRIM(MID(SUBSTITUTE(SUBSTITUTE(SUBSTITUTE(SUBSTITUTE(SUBSTITUTE(LOWER(Registro!$F742)," ",""),CHAR(10),"|"),";","|"),"+","|"),"|",REPT(" ",LEN(Registro!$F742))),({1,2,3,4,5,6,7,8,9,10,11,12,13,14,15,16,17,18,19,20,21,22,23,24,25,26,27,28,29,30}-1)*LEN(Registro!$F742)+1,LEN(Registro!$F742)))&amp;"x")+1,20))),"Revisar formato")))</f>
        <v/>
      </c>
      <c r="H742" s="21" t="str">
        <f>IF(AND(Registro!$E742="",Registro!$F742=""),"",IF(NOT(AND(ISNUMBER(G742),ISNUMBER(Registro!$G742))),"",IF(G742&lt;Registro!$G742,"FALTA BOLETOS",IF(G742=Registro!$G742,"CONFORME","DIFERENCIA"))))</f>
        <v/>
      </c>
      <c r="I742" s="24" t="str">
        <f>IF(Registro!$H742="","",IFERROR(SUMPRODUCT(--("0"&amp;TRIM(RIGHT(SUBSTITUTE(TRIM(MID(SUBSTITUTE(SUBSTITUTE(Registro!$H742,";",CHAR(10)),CHAR(10),REPT(" ",LEN(Registro!$H742))),({1,2,3,4,5,6,7,8,9,10,11,12,13,14,15,16,17,18,19,20,21,22,23,24,25,26,27,28,29,30}-1)*LEN(Registro!$H742)+1,LEN(Registro!$H742)))," ",REPT(" ",50)),50)))),"Revisar formato"))</f>
        <v/>
      </c>
      <c r="J742" s="24" t="str">
        <f>IF(Registro!$I742="","",IFERROR(SUMPRODUCT(--("0"&amp;TRIM(RIGHT(SUBSTITUTE(TRIM(MID(SUBSTITUTE(SUBSTITUTE(Registro!$I742,";",CHAR(10)),CHAR(10),REPT(" ",LEN(Registro!$I742))),({1,2,3,4,5,6,7,8,9,10,11,12,13,14,15,16,17,18,19,20,21,22,23,24,25,26,27,28,29,30}-1)*LEN(Registro!$I742)+1,LEN(Registro!$I742)))," ",REPT(" ",50)),50)))),"Revisar formato"))</f>
        <v/>
      </c>
      <c r="K742" s="24" t="str">
        <f>IF(AND(Registro!$G742="",Registro!$H742=""),"",IF(AND(ISTEXT(I742),I742&lt;&gt;""),"Revisar formato",N(Registro!$G742)-N(I742)))</f>
        <v/>
      </c>
      <c r="L742" s="24" t="str">
        <f t="shared" si="23"/>
        <v/>
      </c>
      <c r="M742" s="36" t="str">
        <f>IF(AND(A742=Consulta!$B$3,C742=Consulta!$H$3),B742*10000+ROW(),"")</f>
        <v/>
      </c>
    </row>
    <row r="743" spans="1:13" x14ac:dyDescent="0.25">
      <c r="A743" s="21" t="str">
        <f>IF(Registro!$A743="","",Registro!$A743)</f>
        <v/>
      </c>
      <c r="B743" s="20" t="str">
        <f>IF(Registro!$B743="","",Registro!$B743)</f>
        <v/>
      </c>
      <c r="C743" s="35" t="str">
        <f t="shared" si="22"/>
        <v/>
      </c>
      <c r="D743" s="23" t="str">
        <f>IF(Registro!$E743="","",IF(ISERROR(FIND("x",LOWER(Registro!$E743))),"-",IFERROR(SUMPRODUCT(--("0"&amp;LEFT(TRIM(MID(SUBSTITUTE(SUBSTITUTE(SUBSTITUTE(SUBSTITUTE(SUBSTITUTE(LOWER(Registro!$E743),"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",LEN(Registro!$E743))),({1,2,3,4,5,6,7,8,9,10,11,12,13,14,15,16,17,18,19,20,21,22,23,24,25,26,27,28,29,30}-1)*LEN(Registro!$E743)+1,LEN(Registro!$E743))),FIND("x",TRIM(MID(SUBSTITUTE(SUBSTITUTE(SUBSTITUTE(SUBSTITUTE(SUBSTITUTE(LOWER(Registro!$E743),"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",LEN(Registro!$E743))),({1,2,3,4,5,6,7,8,9,10,11,12,13,14,15,16,17,18,19,20,21,22,23,24,25,26,27,28,29,30}-1)*LEN(Registro!$E743)+1,LEN(Registro!$E743)))&amp;"x")-1))),"Revisar formato")))</f>
        <v/>
      </c>
      <c r="E743" s="24" t="str">
        <f>IF(Registro!$E743="","",IF(ISERROR(FIND("x",LOWER(Registro!$E743))),"-",IFERROR(SUMPRODUCT(--("0"&amp;LEFT(TRIM(MID(SUBSTITUTE(SUBSTITUTE(SUBSTITUTE(SUBSTITUTE(SUBSTITUTE(LOWER(Registro!$E743),"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",LEN(Registro!$E743))),({1,2,3,4,5,6,7,8,9,10,11,12,13,14,15,16,17,18,19,20,21,22,23,24,25,26,27,28,29,30}-1)*LEN(Registro!$E743)+1,LEN(Registro!$E743))),FIND("x",TRIM(MID(SUBSTITUTE(SUBSTITUTE(SUBSTITUTE(SUBSTITUTE(SUBSTITUTE(LOWER(Registro!$E743),"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",LEN(Registro!$E743))),({1,2,3,4,5,6,7,8,9,10,11,12,13,14,15,16,17,18,19,20,21,22,23,24,25,26,27,28,29,30}-1)*LEN(Registro!$E743)+1,LEN(Registro!$E743)))&amp;"x")-1)),--("0"&amp;MID(TRIM(MID(SUBSTITUTE(SUBSTITUTE(SUBSTITUTE(SUBSTITUTE(SUBSTITUTE(LOWER(Registro!$E743),"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",LEN(Registro!$E743))),({1,2,3,4,5,6,7,8,9,10,11,12,13,14,15,16,17,18,19,20,21,22,23,24,25,26,27,28,29,30}-1)*LEN(Registro!$E743)+1,LEN(Registro!$E743))),FIND("x",TRIM(MID(SUBSTITUTE(SUBSTITUTE(SUBSTITUTE(SUBSTITUTE(SUBSTITUTE(LOWER(Registro!$E743),"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",LEN(Registro!$E743))),({1,2,3,4,5,6,7,8,9,10,11,12,13,14,15,16,17,18,19,20,21,22,23,24,25,26,27,28,29,30}-1)*LEN(Registro!$E743)+1,LEN(Registro!$E743)))&amp;"x")+1,20))),"Revisar formato")))</f>
        <v/>
      </c>
      <c r="F743" s="23" t="str">
        <f>IF(Registro!$F743="","",IF(ISERROR(FIND("x",LOWER(Registro!$F743))),"-",IFERROR(SUMPRODUCT(--("0"&amp;LEFT(TRIM(MID(SUBSTITUTE(SUBSTITUTE(SUBSTITUTE(SUBSTITUTE(SUBSTITUTE(LOWER(Registro!$F743)," ",""),CHAR(10),"|"),";","|"),"+","|"),"|",REPT(" ",LEN(Registro!$F743))),({1,2,3,4,5,6,7,8,9,10,11,12,13,14,15,16,17,18,19,20,21,22,23,24,25,26,27,28,29,30}-1)*LEN(Registro!$F743)+1,LEN(Registro!$F743))),FIND("x",TRIM(MID(SUBSTITUTE(SUBSTITUTE(SUBSTITUTE(SUBSTITUTE(SUBSTITUTE(LOWER(Registro!$F743)," ",""),CHAR(10),"|"),";","|"),"+","|"),"|",REPT(" ",LEN(Registro!$F743))),({1,2,3,4,5,6,7,8,9,10,11,12,13,14,15,16,17,18,19,20,21,22,23,24,25,26,27,28,29,30}-1)*LEN(Registro!$F743)+1,LEN(Registro!$F743)))&amp;"x")-1))),"Revisar formato")))</f>
        <v/>
      </c>
      <c r="G743" s="24" t="str">
        <f>IF(Registro!$F743="","",IF(ISERROR(FIND("x",LOWER(Registro!$F743))),N(Registro!$G743),IFERROR(SUMPRODUCT(--("0"&amp;LEFT(TRIM(MID(SUBSTITUTE(SUBSTITUTE(SUBSTITUTE(SUBSTITUTE(SUBSTITUTE(LOWER(Registro!$F743)," ",""),CHAR(10),"|"),";","|"),"+","|"),"|",REPT(" ",LEN(Registro!$F743))),({1,2,3,4,5,6,7,8,9,10,11,12,13,14,15,16,17,18,19,20,21,22,23,24,25,26,27,28,29,30}-1)*LEN(Registro!$F743)+1,LEN(Registro!$F743))),FIND("x",TRIM(MID(SUBSTITUTE(SUBSTITUTE(SUBSTITUTE(SUBSTITUTE(SUBSTITUTE(LOWER(Registro!$F743)," ",""),CHAR(10),"|"),";","|"),"+","|"),"|",REPT(" ",LEN(Registro!$F743))),({1,2,3,4,5,6,7,8,9,10,11,12,13,14,15,16,17,18,19,20,21,22,23,24,25,26,27,28,29,30}-1)*LEN(Registro!$F743)+1,LEN(Registro!$F743)))&amp;"x")-1)),--("0"&amp;MID(TRIM(MID(SUBSTITUTE(SUBSTITUTE(SUBSTITUTE(SUBSTITUTE(SUBSTITUTE(LOWER(Registro!$F743)," ",""),CHAR(10),"|"),";","|"),"+","|"),"|",REPT(" ",LEN(Registro!$F743))),({1,2,3,4,5,6,7,8,9,10,11,12,13,14,15,16,17,18,19,20,21,22,23,24,25,26,27,28,29,30}-1)*LEN(Registro!$F743)+1,LEN(Registro!$F743))),FIND("x",TRIM(MID(SUBSTITUTE(SUBSTITUTE(SUBSTITUTE(SUBSTITUTE(SUBSTITUTE(LOWER(Registro!$F743)," ",""),CHAR(10),"|"),";","|"),"+","|"),"|",REPT(" ",LEN(Registro!$F743))),({1,2,3,4,5,6,7,8,9,10,11,12,13,14,15,16,17,18,19,20,21,22,23,24,25,26,27,28,29,30}-1)*LEN(Registro!$F743)+1,LEN(Registro!$F743)))&amp;"x")+1,20))),"Revisar formato")))</f>
        <v/>
      </c>
      <c r="H743" s="21" t="str">
        <f>IF(AND(Registro!$E743="",Registro!$F743=""),"",IF(NOT(AND(ISNUMBER(G743),ISNUMBER(Registro!$G743))),"",IF(G743&lt;Registro!$G743,"FALTA BOLETOS",IF(G743=Registro!$G743,"CONFORME","DIFERENCIA"))))</f>
        <v/>
      </c>
      <c r="I743" s="24" t="str">
        <f>IF(Registro!$H743="","",IFERROR(SUMPRODUCT(--("0"&amp;TRIM(RIGHT(SUBSTITUTE(TRIM(MID(SUBSTITUTE(SUBSTITUTE(Registro!$H743,";",CHAR(10)),CHAR(10),REPT(" ",LEN(Registro!$H743))),({1,2,3,4,5,6,7,8,9,10,11,12,13,14,15,16,17,18,19,20,21,22,23,24,25,26,27,28,29,30}-1)*LEN(Registro!$H743)+1,LEN(Registro!$H743)))," ",REPT(" ",50)),50)))),"Revisar formato"))</f>
        <v/>
      </c>
      <c r="J743" s="24" t="str">
        <f>IF(Registro!$I743="","",IFERROR(SUMPRODUCT(--("0"&amp;TRIM(RIGHT(SUBSTITUTE(TRIM(MID(SUBSTITUTE(SUBSTITUTE(Registro!$I743,";",CHAR(10)),CHAR(10),REPT(" ",LEN(Registro!$I743))),({1,2,3,4,5,6,7,8,9,10,11,12,13,14,15,16,17,18,19,20,21,22,23,24,25,26,27,28,29,30}-1)*LEN(Registro!$I743)+1,LEN(Registro!$I743)))," ",REPT(" ",50)),50)))),"Revisar formato"))</f>
        <v/>
      </c>
      <c r="K743" s="24" t="str">
        <f>IF(AND(Registro!$G743="",Registro!$H743=""),"",IF(AND(ISTEXT(I743),I743&lt;&gt;""),"Revisar formato",N(Registro!$G743)-N(I743)))</f>
        <v/>
      </c>
      <c r="L743" s="24" t="str">
        <f t="shared" si="23"/>
        <v/>
      </c>
      <c r="M743" s="36" t="str">
        <f>IF(AND(A743=Consulta!$B$3,C743=Consulta!$H$3),B743*10000+ROW(),"")</f>
        <v/>
      </c>
    </row>
    <row r="744" spans="1:13" x14ac:dyDescent="0.25">
      <c r="A744" s="21" t="str">
        <f>IF(Registro!$A744="","",Registro!$A744)</f>
        <v/>
      </c>
      <c r="B744" s="20" t="str">
        <f>IF(Registro!$B744="","",Registro!$B744)</f>
        <v/>
      </c>
      <c r="C744" s="35" t="str">
        <f t="shared" si="22"/>
        <v/>
      </c>
      <c r="D744" s="23" t="str">
        <f>IF(Registro!$E744="","",IF(ISERROR(FIND("x",LOWER(Registro!$E744))),"-",IFERROR(SUMPRODUCT(--("0"&amp;LEFT(TRIM(MID(SUBSTITUTE(SUBSTITUTE(SUBSTITUTE(SUBSTITUTE(SUBSTITUTE(LOWER(Registro!$E744),"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",LEN(Registro!$E744))),({1,2,3,4,5,6,7,8,9,10,11,12,13,14,15,16,17,18,19,20,21,22,23,24,25,26,27,28,29,30}-1)*LEN(Registro!$E744)+1,LEN(Registro!$E744))),FIND("x",TRIM(MID(SUBSTITUTE(SUBSTITUTE(SUBSTITUTE(SUBSTITUTE(SUBSTITUTE(LOWER(Registro!$E744),"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",LEN(Registro!$E744))),({1,2,3,4,5,6,7,8,9,10,11,12,13,14,15,16,17,18,19,20,21,22,23,24,25,26,27,28,29,30}-1)*LEN(Registro!$E744)+1,LEN(Registro!$E744)))&amp;"x")-1))),"Revisar formato")))</f>
        <v/>
      </c>
      <c r="E744" s="24" t="str">
        <f>IF(Registro!$E744="","",IF(ISERROR(FIND("x",LOWER(Registro!$E744))),"-",IFERROR(SUMPRODUCT(--("0"&amp;LEFT(TRIM(MID(SUBSTITUTE(SUBSTITUTE(SUBSTITUTE(SUBSTITUTE(SUBSTITUTE(LOWER(Registro!$E744),"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",LEN(Registro!$E744))),({1,2,3,4,5,6,7,8,9,10,11,12,13,14,15,16,17,18,19,20,21,22,23,24,25,26,27,28,29,30}-1)*LEN(Registro!$E744)+1,LEN(Registro!$E744))),FIND("x",TRIM(MID(SUBSTITUTE(SUBSTITUTE(SUBSTITUTE(SUBSTITUTE(SUBSTITUTE(LOWER(Registro!$E744),"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",LEN(Registro!$E744))),({1,2,3,4,5,6,7,8,9,10,11,12,13,14,15,16,17,18,19,20,21,22,23,24,25,26,27,28,29,30}-1)*LEN(Registro!$E744)+1,LEN(Registro!$E744)))&amp;"x")-1)),--("0"&amp;MID(TRIM(MID(SUBSTITUTE(SUBSTITUTE(SUBSTITUTE(SUBSTITUTE(SUBSTITUTE(LOWER(Registro!$E744),"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",LEN(Registro!$E744))),({1,2,3,4,5,6,7,8,9,10,11,12,13,14,15,16,17,18,19,20,21,22,23,24,25,26,27,28,29,30}-1)*LEN(Registro!$E744)+1,LEN(Registro!$E744))),FIND("x",TRIM(MID(SUBSTITUTE(SUBSTITUTE(SUBSTITUTE(SUBSTITUTE(SUBSTITUTE(LOWER(Registro!$E744),"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",LEN(Registro!$E744))),({1,2,3,4,5,6,7,8,9,10,11,12,13,14,15,16,17,18,19,20,21,22,23,24,25,26,27,28,29,30}-1)*LEN(Registro!$E744)+1,LEN(Registro!$E744)))&amp;"x")+1,20))),"Revisar formato")))</f>
        <v/>
      </c>
      <c r="F744" s="23" t="str">
        <f>IF(Registro!$F744="","",IF(ISERROR(FIND("x",LOWER(Registro!$F744))),"-",IFERROR(SUMPRODUCT(--("0"&amp;LEFT(TRIM(MID(SUBSTITUTE(SUBSTITUTE(SUBSTITUTE(SUBSTITUTE(SUBSTITUTE(LOWER(Registro!$F744)," ",""),CHAR(10),"|"),";","|"),"+","|"),"|",REPT(" ",LEN(Registro!$F744))),({1,2,3,4,5,6,7,8,9,10,11,12,13,14,15,16,17,18,19,20,21,22,23,24,25,26,27,28,29,30}-1)*LEN(Registro!$F744)+1,LEN(Registro!$F744))),FIND("x",TRIM(MID(SUBSTITUTE(SUBSTITUTE(SUBSTITUTE(SUBSTITUTE(SUBSTITUTE(LOWER(Registro!$F744)," ",""),CHAR(10),"|"),";","|"),"+","|"),"|",REPT(" ",LEN(Registro!$F744))),({1,2,3,4,5,6,7,8,9,10,11,12,13,14,15,16,17,18,19,20,21,22,23,24,25,26,27,28,29,30}-1)*LEN(Registro!$F744)+1,LEN(Registro!$F744)))&amp;"x")-1))),"Revisar formato")))</f>
        <v/>
      </c>
      <c r="G744" s="24" t="str">
        <f>IF(Registro!$F744="","",IF(ISERROR(FIND("x",LOWER(Registro!$F744))),N(Registro!$G744),IFERROR(SUMPRODUCT(--("0"&amp;LEFT(TRIM(MID(SUBSTITUTE(SUBSTITUTE(SUBSTITUTE(SUBSTITUTE(SUBSTITUTE(LOWER(Registro!$F744)," ",""),CHAR(10),"|"),";","|"),"+","|"),"|",REPT(" ",LEN(Registro!$F744))),({1,2,3,4,5,6,7,8,9,10,11,12,13,14,15,16,17,18,19,20,21,22,23,24,25,26,27,28,29,30}-1)*LEN(Registro!$F744)+1,LEN(Registro!$F744))),FIND("x",TRIM(MID(SUBSTITUTE(SUBSTITUTE(SUBSTITUTE(SUBSTITUTE(SUBSTITUTE(LOWER(Registro!$F744)," ",""),CHAR(10),"|"),";","|"),"+","|"),"|",REPT(" ",LEN(Registro!$F744))),({1,2,3,4,5,6,7,8,9,10,11,12,13,14,15,16,17,18,19,20,21,22,23,24,25,26,27,28,29,30}-1)*LEN(Registro!$F744)+1,LEN(Registro!$F744)))&amp;"x")-1)),--("0"&amp;MID(TRIM(MID(SUBSTITUTE(SUBSTITUTE(SUBSTITUTE(SUBSTITUTE(SUBSTITUTE(LOWER(Registro!$F744)," ",""),CHAR(10),"|"),";","|"),"+","|"),"|",REPT(" ",LEN(Registro!$F744))),({1,2,3,4,5,6,7,8,9,10,11,12,13,14,15,16,17,18,19,20,21,22,23,24,25,26,27,28,29,30}-1)*LEN(Registro!$F744)+1,LEN(Registro!$F744))),FIND("x",TRIM(MID(SUBSTITUTE(SUBSTITUTE(SUBSTITUTE(SUBSTITUTE(SUBSTITUTE(LOWER(Registro!$F744)," ",""),CHAR(10),"|"),";","|"),"+","|"),"|",REPT(" ",LEN(Registro!$F744))),({1,2,3,4,5,6,7,8,9,10,11,12,13,14,15,16,17,18,19,20,21,22,23,24,25,26,27,28,29,30}-1)*LEN(Registro!$F744)+1,LEN(Registro!$F744)))&amp;"x")+1,20))),"Revisar formato")))</f>
        <v/>
      </c>
      <c r="H744" s="21" t="str">
        <f>IF(AND(Registro!$E744="",Registro!$F744=""),"",IF(NOT(AND(ISNUMBER(G744),ISNUMBER(Registro!$G744))),"",IF(G744&lt;Registro!$G744,"FALTA BOLETOS",IF(G744=Registro!$G744,"CONFORME","DIFERENCIA"))))</f>
        <v/>
      </c>
      <c r="I744" s="24" t="str">
        <f>IF(Registro!$H744="","",IFERROR(SUMPRODUCT(--("0"&amp;TRIM(RIGHT(SUBSTITUTE(TRIM(MID(SUBSTITUTE(SUBSTITUTE(Registro!$H744,";",CHAR(10)),CHAR(10),REPT(" ",LEN(Registro!$H744))),({1,2,3,4,5,6,7,8,9,10,11,12,13,14,15,16,17,18,19,20,21,22,23,24,25,26,27,28,29,30}-1)*LEN(Registro!$H744)+1,LEN(Registro!$H744)))," ",REPT(" ",50)),50)))),"Revisar formato"))</f>
        <v/>
      </c>
      <c r="J744" s="24" t="str">
        <f>IF(Registro!$I744="","",IFERROR(SUMPRODUCT(--("0"&amp;TRIM(RIGHT(SUBSTITUTE(TRIM(MID(SUBSTITUTE(SUBSTITUTE(Registro!$I744,";",CHAR(10)),CHAR(10),REPT(" ",LEN(Registro!$I744))),({1,2,3,4,5,6,7,8,9,10,11,12,13,14,15,16,17,18,19,20,21,22,23,24,25,26,27,28,29,30}-1)*LEN(Registro!$I744)+1,LEN(Registro!$I744)))," ",REPT(" ",50)),50)))),"Revisar formato"))</f>
        <v/>
      </c>
      <c r="K744" s="24" t="str">
        <f>IF(AND(Registro!$G744="",Registro!$H744=""),"",IF(AND(ISTEXT(I744),I744&lt;&gt;""),"Revisar formato",N(Registro!$G744)-N(I744)))</f>
        <v/>
      </c>
      <c r="L744" s="24" t="str">
        <f t="shared" si="23"/>
        <v/>
      </c>
      <c r="M744" s="36" t="str">
        <f>IF(AND(A744=Consulta!$B$3,C744=Consulta!$H$3),B744*10000+ROW(),"")</f>
        <v/>
      </c>
    </row>
    <row r="745" spans="1:13" x14ac:dyDescent="0.25">
      <c r="A745" s="21" t="str">
        <f>IF(Registro!$A745="","",Registro!$A745)</f>
        <v/>
      </c>
      <c r="B745" s="20" t="str">
        <f>IF(Registro!$B745="","",Registro!$B745)</f>
        <v/>
      </c>
      <c r="C745" s="35" t="str">
        <f t="shared" si="22"/>
        <v/>
      </c>
      <c r="D745" s="23" t="str">
        <f>IF(Registro!$E745="","",IF(ISERROR(FIND("x",LOWER(Registro!$E745))),"-",IFERROR(SUMPRODUCT(--("0"&amp;LEFT(TRIM(MID(SUBSTITUTE(SUBSTITUTE(SUBSTITUTE(SUBSTITUTE(SUBSTITUTE(LOWER(Registro!$E745),"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",LEN(Registro!$E745))),({1,2,3,4,5,6,7,8,9,10,11,12,13,14,15,16,17,18,19,20,21,22,23,24,25,26,27,28,29,30}-1)*LEN(Registro!$E745)+1,LEN(Registro!$E745))),FIND("x",TRIM(MID(SUBSTITUTE(SUBSTITUTE(SUBSTITUTE(SUBSTITUTE(SUBSTITUTE(LOWER(Registro!$E745),"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",LEN(Registro!$E745))),({1,2,3,4,5,6,7,8,9,10,11,12,13,14,15,16,17,18,19,20,21,22,23,24,25,26,27,28,29,30}-1)*LEN(Registro!$E745)+1,LEN(Registro!$E745)))&amp;"x")-1))),"Revisar formato")))</f>
        <v/>
      </c>
      <c r="E745" s="24" t="str">
        <f>IF(Registro!$E745="","",IF(ISERROR(FIND("x",LOWER(Registro!$E745))),"-",IFERROR(SUMPRODUCT(--("0"&amp;LEFT(TRIM(MID(SUBSTITUTE(SUBSTITUTE(SUBSTITUTE(SUBSTITUTE(SUBSTITUTE(LOWER(Registro!$E745),"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",LEN(Registro!$E745))),({1,2,3,4,5,6,7,8,9,10,11,12,13,14,15,16,17,18,19,20,21,22,23,24,25,26,27,28,29,30}-1)*LEN(Registro!$E745)+1,LEN(Registro!$E745))),FIND("x",TRIM(MID(SUBSTITUTE(SUBSTITUTE(SUBSTITUTE(SUBSTITUTE(SUBSTITUTE(LOWER(Registro!$E745),"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",LEN(Registro!$E745))),({1,2,3,4,5,6,7,8,9,10,11,12,13,14,15,16,17,18,19,20,21,22,23,24,25,26,27,28,29,30}-1)*LEN(Registro!$E745)+1,LEN(Registro!$E745)))&amp;"x")-1)),--("0"&amp;MID(TRIM(MID(SUBSTITUTE(SUBSTITUTE(SUBSTITUTE(SUBSTITUTE(SUBSTITUTE(LOWER(Registro!$E745),"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",LEN(Registro!$E745))),({1,2,3,4,5,6,7,8,9,10,11,12,13,14,15,16,17,18,19,20,21,22,23,24,25,26,27,28,29,30}-1)*LEN(Registro!$E745)+1,LEN(Registro!$E745))),FIND("x",TRIM(MID(SUBSTITUTE(SUBSTITUTE(SUBSTITUTE(SUBSTITUTE(SUBSTITUTE(LOWER(Registro!$E745),"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",LEN(Registro!$E745))),({1,2,3,4,5,6,7,8,9,10,11,12,13,14,15,16,17,18,19,20,21,22,23,24,25,26,27,28,29,30}-1)*LEN(Registro!$E745)+1,LEN(Registro!$E745)))&amp;"x")+1,20))),"Revisar formato")))</f>
        <v/>
      </c>
      <c r="F745" s="23" t="str">
        <f>IF(Registro!$F745="","",IF(ISERROR(FIND("x",LOWER(Registro!$F745))),"-",IFERROR(SUMPRODUCT(--("0"&amp;LEFT(TRIM(MID(SUBSTITUTE(SUBSTITUTE(SUBSTITUTE(SUBSTITUTE(SUBSTITUTE(LOWER(Registro!$F745)," ",""),CHAR(10),"|"),";","|"),"+","|"),"|",REPT(" ",LEN(Registro!$F745))),({1,2,3,4,5,6,7,8,9,10,11,12,13,14,15,16,17,18,19,20,21,22,23,24,25,26,27,28,29,30}-1)*LEN(Registro!$F745)+1,LEN(Registro!$F745))),FIND("x",TRIM(MID(SUBSTITUTE(SUBSTITUTE(SUBSTITUTE(SUBSTITUTE(SUBSTITUTE(LOWER(Registro!$F745)," ",""),CHAR(10),"|"),";","|"),"+","|"),"|",REPT(" ",LEN(Registro!$F745))),({1,2,3,4,5,6,7,8,9,10,11,12,13,14,15,16,17,18,19,20,21,22,23,24,25,26,27,28,29,30}-1)*LEN(Registro!$F745)+1,LEN(Registro!$F745)))&amp;"x")-1))),"Revisar formato")))</f>
        <v/>
      </c>
      <c r="G745" s="24" t="str">
        <f>IF(Registro!$F745="","",IF(ISERROR(FIND("x",LOWER(Registro!$F745))),N(Registro!$G745),IFERROR(SUMPRODUCT(--("0"&amp;LEFT(TRIM(MID(SUBSTITUTE(SUBSTITUTE(SUBSTITUTE(SUBSTITUTE(SUBSTITUTE(LOWER(Registro!$F745)," ",""),CHAR(10),"|"),";","|"),"+","|"),"|",REPT(" ",LEN(Registro!$F745))),({1,2,3,4,5,6,7,8,9,10,11,12,13,14,15,16,17,18,19,20,21,22,23,24,25,26,27,28,29,30}-1)*LEN(Registro!$F745)+1,LEN(Registro!$F745))),FIND("x",TRIM(MID(SUBSTITUTE(SUBSTITUTE(SUBSTITUTE(SUBSTITUTE(SUBSTITUTE(LOWER(Registro!$F745)," ",""),CHAR(10),"|"),";","|"),"+","|"),"|",REPT(" ",LEN(Registro!$F745))),({1,2,3,4,5,6,7,8,9,10,11,12,13,14,15,16,17,18,19,20,21,22,23,24,25,26,27,28,29,30}-1)*LEN(Registro!$F745)+1,LEN(Registro!$F745)))&amp;"x")-1)),--("0"&amp;MID(TRIM(MID(SUBSTITUTE(SUBSTITUTE(SUBSTITUTE(SUBSTITUTE(SUBSTITUTE(LOWER(Registro!$F745)," ",""),CHAR(10),"|"),";","|"),"+","|"),"|",REPT(" ",LEN(Registro!$F745))),({1,2,3,4,5,6,7,8,9,10,11,12,13,14,15,16,17,18,19,20,21,22,23,24,25,26,27,28,29,30}-1)*LEN(Registro!$F745)+1,LEN(Registro!$F745))),FIND("x",TRIM(MID(SUBSTITUTE(SUBSTITUTE(SUBSTITUTE(SUBSTITUTE(SUBSTITUTE(LOWER(Registro!$F745)," ",""),CHAR(10),"|"),";","|"),"+","|"),"|",REPT(" ",LEN(Registro!$F745))),({1,2,3,4,5,6,7,8,9,10,11,12,13,14,15,16,17,18,19,20,21,22,23,24,25,26,27,28,29,30}-1)*LEN(Registro!$F745)+1,LEN(Registro!$F745)))&amp;"x")+1,20))),"Revisar formato")))</f>
        <v/>
      </c>
      <c r="H745" s="21" t="str">
        <f>IF(AND(Registro!$E745="",Registro!$F745=""),"",IF(NOT(AND(ISNUMBER(G745),ISNUMBER(Registro!$G745))),"",IF(G745&lt;Registro!$G745,"FALTA BOLETOS",IF(G745=Registro!$G745,"CONFORME","DIFERENCIA"))))</f>
        <v/>
      </c>
      <c r="I745" s="24" t="str">
        <f>IF(Registro!$H745="","",IFERROR(SUMPRODUCT(--("0"&amp;TRIM(RIGHT(SUBSTITUTE(TRIM(MID(SUBSTITUTE(SUBSTITUTE(Registro!$H745,";",CHAR(10)),CHAR(10),REPT(" ",LEN(Registro!$H745))),({1,2,3,4,5,6,7,8,9,10,11,12,13,14,15,16,17,18,19,20,21,22,23,24,25,26,27,28,29,30}-1)*LEN(Registro!$H745)+1,LEN(Registro!$H745)))," ",REPT(" ",50)),50)))),"Revisar formato"))</f>
        <v/>
      </c>
      <c r="J745" s="24" t="str">
        <f>IF(Registro!$I745="","",IFERROR(SUMPRODUCT(--("0"&amp;TRIM(RIGHT(SUBSTITUTE(TRIM(MID(SUBSTITUTE(SUBSTITUTE(Registro!$I745,";",CHAR(10)),CHAR(10),REPT(" ",LEN(Registro!$I745))),({1,2,3,4,5,6,7,8,9,10,11,12,13,14,15,16,17,18,19,20,21,22,23,24,25,26,27,28,29,30}-1)*LEN(Registro!$I745)+1,LEN(Registro!$I745)))," ",REPT(" ",50)),50)))),"Revisar formato"))</f>
        <v/>
      </c>
      <c r="K745" s="24" t="str">
        <f>IF(AND(Registro!$G745="",Registro!$H745=""),"",IF(AND(ISTEXT(I745),I745&lt;&gt;""),"Revisar formato",N(Registro!$G745)-N(I745)))</f>
        <v/>
      </c>
      <c r="L745" s="24" t="str">
        <f t="shared" si="23"/>
        <v/>
      </c>
      <c r="M745" s="36" t="str">
        <f>IF(AND(A745=Consulta!$B$3,C745=Consulta!$H$3),B745*10000+ROW(),"")</f>
        <v/>
      </c>
    </row>
    <row r="746" spans="1:13" x14ac:dyDescent="0.25">
      <c r="A746" s="21" t="str">
        <f>IF(Registro!$A746="","",Registro!$A746)</f>
        <v/>
      </c>
      <c r="B746" s="20" t="str">
        <f>IF(Registro!$B746="","",Registro!$B746)</f>
        <v/>
      </c>
      <c r="C746" s="35" t="str">
        <f t="shared" si="22"/>
        <v/>
      </c>
      <c r="D746" s="23" t="str">
        <f>IF(Registro!$E746="","",IF(ISERROR(FIND("x",LOWER(Registro!$E746))),"-",IFERROR(SUMPRODUCT(--("0"&amp;LEFT(TRIM(MID(SUBSTITUTE(SUBSTITUTE(SUBSTITUTE(SUBSTITUTE(SUBSTITUTE(LOWER(Registro!$E746),"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",LEN(Registro!$E746))),({1,2,3,4,5,6,7,8,9,10,11,12,13,14,15,16,17,18,19,20,21,22,23,24,25,26,27,28,29,30}-1)*LEN(Registro!$E746)+1,LEN(Registro!$E746))),FIND("x",TRIM(MID(SUBSTITUTE(SUBSTITUTE(SUBSTITUTE(SUBSTITUTE(SUBSTITUTE(LOWER(Registro!$E746),"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",LEN(Registro!$E746))),({1,2,3,4,5,6,7,8,9,10,11,12,13,14,15,16,17,18,19,20,21,22,23,24,25,26,27,28,29,30}-1)*LEN(Registro!$E746)+1,LEN(Registro!$E746)))&amp;"x")-1))),"Revisar formato")))</f>
        <v/>
      </c>
      <c r="E746" s="24" t="str">
        <f>IF(Registro!$E746="","",IF(ISERROR(FIND("x",LOWER(Registro!$E746))),"-",IFERROR(SUMPRODUCT(--("0"&amp;LEFT(TRIM(MID(SUBSTITUTE(SUBSTITUTE(SUBSTITUTE(SUBSTITUTE(SUBSTITUTE(LOWER(Registro!$E746),"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",LEN(Registro!$E746))),({1,2,3,4,5,6,7,8,9,10,11,12,13,14,15,16,17,18,19,20,21,22,23,24,25,26,27,28,29,30}-1)*LEN(Registro!$E746)+1,LEN(Registro!$E746))),FIND("x",TRIM(MID(SUBSTITUTE(SUBSTITUTE(SUBSTITUTE(SUBSTITUTE(SUBSTITUTE(LOWER(Registro!$E746),"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",LEN(Registro!$E746))),({1,2,3,4,5,6,7,8,9,10,11,12,13,14,15,16,17,18,19,20,21,22,23,24,25,26,27,28,29,30}-1)*LEN(Registro!$E746)+1,LEN(Registro!$E746)))&amp;"x")-1)),--("0"&amp;MID(TRIM(MID(SUBSTITUTE(SUBSTITUTE(SUBSTITUTE(SUBSTITUTE(SUBSTITUTE(LOWER(Registro!$E746),"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",LEN(Registro!$E746))),({1,2,3,4,5,6,7,8,9,10,11,12,13,14,15,16,17,18,19,20,21,22,23,24,25,26,27,28,29,30}-1)*LEN(Registro!$E746)+1,LEN(Registro!$E746))),FIND("x",TRIM(MID(SUBSTITUTE(SUBSTITUTE(SUBSTITUTE(SUBSTITUTE(SUBSTITUTE(LOWER(Registro!$E746),"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",LEN(Registro!$E746))),({1,2,3,4,5,6,7,8,9,10,11,12,13,14,15,16,17,18,19,20,21,22,23,24,25,26,27,28,29,30}-1)*LEN(Registro!$E746)+1,LEN(Registro!$E746)))&amp;"x")+1,20))),"Revisar formato")))</f>
        <v/>
      </c>
      <c r="F746" s="23" t="str">
        <f>IF(Registro!$F746="","",IF(ISERROR(FIND("x",LOWER(Registro!$F746))),"-",IFERROR(SUMPRODUCT(--("0"&amp;LEFT(TRIM(MID(SUBSTITUTE(SUBSTITUTE(SUBSTITUTE(SUBSTITUTE(SUBSTITUTE(LOWER(Registro!$F746)," ",""),CHAR(10),"|"),";","|"),"+","|"),"|",REPT(" ",LEN(Registro!$F746))),({1,2,3,4,5,6,7,8,9,10,11,12,13,14,15,16,17,18,19,20,21,22,23,24,25,26,27,28,29,30}-1)*LEN(Registro!$F746)+1,LEN(Registro!$F746))),FIND("x",TRIM(MID(SUBSTITUTE(SUBSTITUTE(SUBSTITUTE(SUBSTITUTE(SUBSTITUTE(LOWER(Registro!$F746)," ",""),CHAR(10),"|"),";","|"),"+","|"),"|",REPT(" ",LEN(Registro!$F746))),({1,2,3,4,5,6,7,8,9,10,11,12,13,14,15,16,17,18,19,20,21,22,23,24,25,26,27,28,29,30}-1)*LEN(Registro!$F746)+1,LEN(Registro!$F746)))&amp;"x")-1))),"Revisar formato")))</f>
        <v/>
      </c>
      <c r="G746" s="24" t="str">
        <f>IF(Registro!$F746="","",IF(ISERROR(FIND("x",LOWER(Registro!$F746))),N(Registro!$G746),IFERROR(SUMPRODUCT(--("0"&amp;LEFT(TRIM(MID(SUBSTITUTE(SUBSTITUTE(SUBSTITUTE(SUBSTITUTE(SUBSTITUTE(LOWER(Registro!$F746)," ",""),CHAR(10),"|"),";","|"),"+","|"),"|",REPT(" ",LEN(Registro!$F746))),({1,2,3,4,5,6,7,8,9,10,11,12,13,14,15,16,17,18,19,20,21,22,23,24,25,26,27,28,29,30}-1)*LEN(Registro!$F746)+1,LEN(Registro!$F746))),FIND("x",TRIM(MID(SUBSTITUTE(SUBSTITUTE(SUBSTITUTE(SUBSTITUTE(SUBSTITUTE(LOWER(Registro!$F746)," ",""),CHAR(10),"|"),";","|"),"+","|"),"|",REPT(" ",LEN(Registro!$F746))),({1,2,3,4,5,6,7,8,9,10,11,12,13,14,15,16,17,18,19,20,21,22,23,24,25,26,27,28,29,30}-1)*LEN(Registro!$F746)+1,LEN(Registro!$F746)))&amp;"x")-1)),--("0"&amp;MID(TRIM(MID(SUBSTITUTE(SUBSTITUTE(SUBSTITUTE(SUBSTITUTE(SUBSTITUTE(LOWER(Registro!$F746)," ",""),CHAR(10),"|"),";","|"),"+","|"),"|",REPT(" ",LEN(Registro!$F746))),({1,2,3,4,5,6,7,8,9,10,11,12,13,14,15,16,17,18,19,20,21,22,23,24,25,26,27,28,29,30}-1)*LEN(Registro!$F746)+1,LEN(Registro!$F746))),FIND("x",TRIM(MID(SUBSTITUTE(SUBSTITUTE(SUBSTITUTE(SUBSTITUTE(SUBSTITUTE(LOWER(Registro!$F746)," ",""),CHAR(10),"|"),";","|"),"+","|"),"|",REPT(" ",LEN(Registro!$F746))),({1,2,3,4,5,6,7,8,9,10,11,12,13,14,15,16,17,18,19,20,21,22,23,24,25,26,27,28,29,30}-1)*LEN(Registro!$F746)+1,LEN(Registro!$F746)))&amp;"x")+1,20))),"Revisar formato")))</f>
        <v/>
      </c>
      <c r="H746" s="21" t="str">
        <f>IF(AND(Registro!$E746="",Registro!$F746=""),"",IF(NOT(AND(ISNUMBER(G746),ISNUMBER(Registro!$G746))),"",IF(G746&lt;Registro!$G746,"FALTA BOLETOS",IF(G746=Registro!$G746,"CONFORME","DIFERENCIA"))))</f>
        <v/>
      </c>
      <c r="I746" s="24" t="str">
        <f>IF(Registro!$H746="","",IFERROR(SUMPRODUCT(--("0"&amp;TRIM(RIGHT(SUBSTITUTE(TRIM(MID(SUBSTITUTE(SUBSTITUTE(Registro!$H746,";",CHAR(10)),CHAR(10),REPT(" ",LEN(Registro!$H746))),({1,2,3,4,5,6,7,8,9,10,11,12,13,14,15,16,17,18,19,20,21,22,23,24,25,26,27,28,29,30}-1)*LEN(Registro!$H746)+1,LEN(Registro!$H746)))," ",REPT(" ",50)),50)))),"Revisar formato"))</f>
        <v/>
      </c>
      <c r="J746" s="24" t="str">
        <f>IF(Registro!$I746="","",IFERROR(SUMPRODUCT(--("0"&amp;TRIM(RIGHT(SUBSTITUTE(TRIM(MID(SUBSTITUTE(SUBSTITUTE(Registro!$I746,";",CHAR(10)),CHAR(10),REPT(" ",LEN(Registro!$I746))),({1,2,3,4,5,6,7,8,9,10,11,12,13,14,15,16,17,18,19,20,21,22,23,24,25,26,27,28,29,30}-1)*LEN(Registro!$I746)+1,LEN(Registro!$I746)))," ",REPT(" ",50)),50)))),"Revisar formato"))</f>
        <v/>
      </c>
      <c r="K746" s="24" t="str">
        <f>IF(AND(Registro!$G746="",Registro!$H746=""),"",IF(AND(ISTEXT(I746),I746&lt;&gt;""),"Revisar formato",N(Registro!$G746)-N(I746)))</f>
        <v/>
      </c>
      <c r="L746" s="24" t="str">
        <f t="shared" si="23"/>
        <v/>
      </c>
      <c r="M746" s="36" t="str">
        <f>IF(AND(A746=Consulta!$B$3,C746=Consulta!$H$3),B746*10000+ROW(),"")</f>
        <v/>
      </c>
    </row>
    <row r="747" spans="1:13" x14ac:dyDescent="0.25">
      <c r="A747" s="21" t="str">
        <f>IF(Registro!$A747="","",Registro!$A747)</f>
        <v/>
      </c>
      <c r="B747" s="20" t="str">
        <f>IF(Registro!$B747="","",Registro!$B747)</f>
        <v/>
      </c>
      <c r="C747" s="35" t="str">
        <f t="shared" si="22"/>
        <v/>
      </c>
      <c r="D747" s="23" t="str">
        <f>IF(Registro!$E747="","",IF(ISERROR(FIND("x",LOWER(Registro!$E747))),"-",IFERROR(SUMPRODUCT(--("0"&amp;LEFT(TRIM(MID(SUBSTITUTE(SUBSTITUTE(SUBSTITUTE(SUBSTITUTE(SUBSTITUTE(LOWER(Registro!$E747),"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",LEN(Registro!$E747))),({1,2,3,4,5,6,7,8,9,10,11,12,13,14,15,16,17,18,19,20,21,22,23,24,25,26,27,28,29,30}-1)*LEN(Registro!$E747)+1,LEN(Registro!$E747))),FIND("x",TRIM(MID(SUBSTITUTE(SUBSTITUTE(SUBSTITUTE(SUBSTITUTE(SUBSTITUTE(LOWER(Registro!$E747),"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",LEN(Registro!$E747))),({1,2,3,4,5,6,7,8,9,10,11,12,13,14,15,16,17,18,19,20,21,22,23,24,25,26,27,28,29,30}-1)*LEN(Registro!$E747)+1,LEN(Registro!$E747)))&amp;"x")-1))),"Revisar formato")))</f>
        <v/>
      </c>
      <c r="E747" s="24" t="str">
        <f>IF(Registro!$E747="","",IF(ISERROR(FIND("x",LOWER(Registro!$E747))),"-",IFERROR(SUMPRODUCT(--("0"&amp;LEFT(TRIM(MID(SUBSTITUTE(SUBSTITUTE(SUBSTITUTE(SUBSTITUTE(SUBSTITUTE(LOWER(Registro!$E747),"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",LEN(Registro!$E747))),({1,2,3,4,5,6,7,8,9,10,11,12,13,14,15,16,17,18,19,20,21,22,23,24,25,26,27,28,29,30}-1)*LEN(Registro!$E747)+1,LEN(Registro!$E747))),FIND("x",TRIM(MID(SUBSTITUTE(SUBSTITUTE(SUBSTITUTE(SUBSTITUTE(SUBSTITUTE(LOWER(Registro!$E747),"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",LEN(Registro!$E747))),({1,2,3,4,5,6,7,8,9,10,11,12,13,14,15,16,17,18,19,20,21,22,23,24,25,26,27,28,29,30}-1)*LEN(Registro!$E747)+1,LEN(Registro!$E747)))&amp;"x")-1)),--("0"&amp;MID(TRIM(MID(SUBSTITUTE(SUBSTITUTE(SUBSTITUTE(SUBSTITUTE(SUBSTITUTE(LOWER(Registro!$E747),"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",LEN(Registro!$E747))),({1,2,3,4,5,6,7,8,9,10,11,12,13,14,15,16,17,18,19,20,21,22,23,24,25,26,27,28,29,30}-1)*LEN(Registro!$E747)+1,LEN(Registro!$E747))),FIND("x",TRIM(MID(SUBSTITUTE(SUBSTITUTE(SUBSTITUTE(SUBSTITUTE(SUBSTITUTE(LOWER(Registro!$E747),"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",LEN(Registro!$E747))),({1,2,3,4,5,6,7,8,9,10,11,12,13,14,15,16,17,18,19,20,21,22,23,24,25,26,27,28,29,30}-1)*LEN(Registro!$E747)+1,LEN(Registro!$E747)))&amp;"x")+1,20))),"Revisar formato")))</f>
        <v/>
      </c>
      <c r="F747" s="23" t="str">
        <f>IF(Registro!$F747="","",IF(ISERROR(FIND("x",LOWER(Registro!$F747))),"-",IFERROR(SUMPRODUCT(--("0"&amp;LEFT(TRIM(MID(SUBSTITUTE(SUBSTITUTE(SUBSTITUTE(SUBSTITUTE(SUBSTITUTE(LOWER(Registro!$F747)," ",""),CHAR(10),"|"),";","|"),"+","|"),"|",REPT(" ",LEN(Registro!$F747))),({1,2,3,4,5,6,7,8,9,10,11,12,13,14,15,16,17,18,19,20,21,22,23,24,25,26,27,28,29,30}-1)*LEN(Registro!$F747)+1,LEN(Registro!$F747))),FIND("x",TRIM(MID(SUBSTITUTE(SUBSTITUTE(SUBSTITUTE(SUBSTITUTE(SUBSTITUTE(LOWER(Registro!$F747)," ",""),CHAR(10),"|"),";","|"),"+","|"),"|",REPT(" ",LEN(Registro!$F747))),({1,2,3,4,5,6,7,8,9,10,11,12,13,14,15,16,17,18,19,20,21,22,23,24,25,26,27,28,29,30}-1)*LEN(Registro!$F747)+1,LEN(Registro!$F747)))&amp;"x")-1))),"Revisar formato")))</f>
        <v/>
      </c>
      <c r="G747" s="24" t="str">
        <f>IF(Registro!$F747="","",IF(ISERROR(FIND("x",LOWER(Registro!$F747))),N(Registro!$G747),IFERROR(SUMPRODUCT(--("0"&amp;LEFT(TRIM(MID(SUBSTITUTE(SUBSTITUTE(SUBSTITUTE(SUBSTITUTE(SUBSTITUTE(LOWER(Registro!$F747)," ",""),CHAR(10),"|"),";","|"),"+","|"),"|",REPT(" ",LEN(Registro!$F747))),({1,2,3,4,5,6,7,8,9,10,11,12,13,14,15,16,17,18,19,20,21,22,23,24,25,26,27,28,29,30}-1)*LEN(Registro!$F747)+1,LEN(Registro!$F747))),FIND("x",TRIM(MID(SUBSTITUTE(SUBSTITUTE(SUBSTITUTE(SUBSTITUTE(SUBSTITUTE(LOWER(Registro!$F747)," ",""),CHAR(10),"|"),";","|"),"+","|"),"|",REPT(" ",LEN(Registro!$F747))),({1,2,3,4,5,6,7,8,9,10,11,12,13,14,15,16,17,18,19,20,21,22,23,24,25,26,27,28,29,30}-1)*LEN(Registro!$F747)+1,LEN(Registro!$F747)))&amp;"x")-1)),--("0"&amp;MID(TRIM(MID(SUBSTITUTE(SUBSTITUTE(SUBSTITUTE(SUBSTITUTE(SUBSTITUTE(LOWER(Registro!$F747)," ",""),CHAR(10),"|"),";","|"),"+","|"),"|",REPT(" ",LEN(Registro!$F747))),({1,2,3,4,5,6,7,8,9,10,11,12,13,14,15,16,17,18,19,20,21,22,23,24,25,26,27,28,29,30}-1)*LEN(Registro!$F747)+1,LEN(Registro!$F747))),FIND("x",TRIM(MID(SUBSTITUTE(SUBSTITUTE(SUBSTITUTE(SUBSTITUTE(SUBSTITUTE(LOWER(Registro!$F747)," ",""),CHAR(10),"|"),";","|"),"+","|"),"|",REPT(" ",LEN(Registro!$F747))),({1,2,3,4,5,6,7,8,9,10,11,12,13,14,15,16,17,18,19,20,21,22,23,24,25,26,27,28,29,30}-1)*LEN(Registro!$F747)+1,LEN(Registro!$F747)))&amp;"x")+1,20))),"Revisar formato")))</f>
        <v/>
      </c>
      <c r="H747" s="21" t="str">
        <f>IF(AND(Registro!$E747="",Registro!$F747=""),"",IF(NOT(AND(ISNUMBER(G747),ISNUMBER(Registro!$G747))),"",IF(G747&lt;Registro!$G747,"FALTA BOLETOS",IF(G747=Registro!$G747,"CONFORME","DIFERENCIA"))))</f>
        <v/>
      </c>
      <c r="I747" s="24" t="str">
        <f>IF(Registro!$H747="","",IFERROR(SUMPRODUCT(--("0"&amp;TRIM(RIGHT(SUBSTITUTE(TRIM(MID(SUBSTITUTE(SUBSTITUTE(Registro!$H747,";",CHAR(10)),CHAR(10),REPT(" ",LEN(Registro!$H747))),({1,2,3,4,5,6,7,8,9,10,11,12,13,14,15,16,17,18,19,20,21,22,23,24,25,26,27,28,29,30}-1)*LEN(Registro!$H747)+1,LEN(Registro!$H747)))," ",REPT(" ",50)),50)))),"Revisar formato"))</f>
        <v/>
      </c>
      <c r="J747" s="24" t="str">
        <f>IF(Registro!$I747="","",IFERROR(SUMPRODUCT(--("0"&amp;TRIM(RIGHT(SUBSTITUTE(TRIM(MID(SUBSTITUTE(SUBSTITUTE(Registro!$I747,";",CHAR(10)),CHAR(10),REPT(" ",LEN(Registro!$I747))),({1,2,3,4,5,6,7,8,9,10,11,12,13,14,15,16,17,18,19,20,21,22,23,24,25,26,27,28,29,30}-1)*LEN(Registro!$I747)+1,LEN(Registro!$I747)))," ",REPT(" ",50)),50)))),"Revisar formato"))</f>
        <v/>
      </c>
      <c r="K747" s="24" t="str">
        <f>IF(AND(Registro!$G747="",Registro!$H747=""),"",IF(AND(ISTEXT(I747),I747&lt;&gt;""),"Revisar formato",N(Registro!$G747)-N(I747)))</f>
        <v/>
      </c>
      <c r="L747" s="24" t="str">
        <f t="shared" si="23"/>
        <v/>
      </c>
      <c r="M747" s="36" t="str">
        <f>IF(AND(A747=Consulta!$B$3,C747=Consulta!$H$3),B747*10000+ROW(),"")</f>
        <v/>
      </c>
    </row>
    <row r="748" spans="1:13" x14ac:dyDescent="0.25">
      <c r="A748" s="21" t="str">
        <f>IF(Registro!$A748="","",Registro!$A748)</f>
        <v/>
      </c>
      <c r="B748" s="20" t="str">
        <f>IF(Registro!$B748="","",Registro!$B748)</f>
        <v/>
      </c>
      <c r="C748" s="35" t="str">
        <f t="shared" si="22"/>
        <v/>
      </c>
      <c r="D748" s="23" t="str">
        <f>IF(Registro!$E748="","",IF(ISERROR(FIND("x",LOWER(Registro!$E748))),"-",IFERROR(SUMPRODUCT(--("0"&amp;LEFT(TRIM(MID(SUBSTITUTE(SUBSTITUTE(SUBSTITUTE(SUBSTITUTE(SUBSTITUTE(LOWER(Registro!$E748),"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",LEN(Registro!$E748))),({1,2,3,4,5,6,7,8,9,10,11,12,13,14,15,16,17,18,19,20,21,22,23,24,25,26,27,28,29,30}-1)*LEN(Registro!$E748)+1,LEN(Registro!$E748))),FIND("x",TRIM(MID(SUBSTITUTE(SUBSTITUTE(SUBSTITUTE(SUBSTITUTE(SUBSTITUTE(LOWER(Registro!$E748),"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",LEN(Registro!$E748))),({1,2,3,4,5,6,7,8,9,10,11,12,13,14,15,16,17,18,19,20,21,22,23,24,25,26,27,28,29,30}-1)*LEN(Registro!$E748)+1,LEN(Registro!$E748)))&amp;"x")-1))),"Revisar formato")))</f>
        <v/>
      </c>
      <c r="E748" s="24" t="str">
        <f>IF(Registro!$E748="","",IF(ISERROR(FIND("x",LOWER(Registro!$E748))),"-",IFERROR(SUMPRODUCT(--("0"&amp;LEFT(TRIM(MID(SUBSTITUTE(SUBSTITUTE(SUBSTITUTE(SUBSTITUTE(SUBSTITUTE(LOWER(Registro!$E748),"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",LEN(Registro!$E748))),({1,2,3,4,5,6,7,8,9,10,11,12,13,14,15,16,17,18,19,20,21,22,23,24,25,26,27,28,29,30}-1)*LEN(Registro!$E748)+1,LEN(Registro!$E748))),FIND("x",TRIM(MID(SUBSTITUTE(SUBSTITUTE(SUBSTITUTE(SUBSTITUTE(SUBSTITUTE(LOWER(Registro!$E748),"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",LEN(Registro!$E748))),({1,2,3,4,5,6,7,8,9,10,11,12,13,14,15,16,17,18,19,20,21,22,23,24,25,26,27,28,29,30}-1)*LEN(Registro!$E748)+1,LEN(Registro!$E748)))&amp;"x")-1)),--("0"&amp;MID(TRIM(MID(SUBSTITUTE(SUBSTITUTE(SUBSTITUTE(SUBSTITUTE(SUBSTITUTE(LOWER(Registro!$E748),"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",LEN(Registro!$E748))),({1,2,3,4,5,6,7,8,9,10,11,12,13,14,15,16,17,18,19,20,21,22,23,24,25,26,27,28,29,30}-1)*LEN(Registro!$E748)+1,LEN(Registro!$E748))),FIND("x",TRIM(MID(SUBSTITUTE(SUBSTITUTE(SUBSTITUTE(SUBSTITUTE(SUBSTITUTE(LOWER(Registro!$E748),"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",LEN(Registro!$E748))),({1,2,3,4,5,6,7,8,9,10,11,12,13,14,15,16,17,18,19,20,21,22,23,24,25,26,27,28,29,30}-1)*LEN(Registro!$E748)+1,LEN(Registro!$E748)))&amp;"x")+1,20))),"Revisar formato")))</f>
        <v/>
      </c>
      <c r="F748" s="23" t="str">
        <f>IF(Registro!$F748="","",IF(ISERROR(FIND("x",LOWER(Registro!$F748))),"-",IFERROR(SUMPRODUCT(--("0"&amp;LEFT(TRIM(MID(SUBSTITUTE(SUBSTITUTE(SUBSTITUTE(SUBSTITUTE(SUBSTITUTE(LOWER(Registro!$F748)," ",""),CHAR(10),"|"),";","|"),"+","|"),"|",REPT(" ",LEN(Registro!$F748))),({1,2,3,4,5,6,7,8,9,10,11,12,13,14,15,16,17,18,19,20,21,22,23,24,25,26,27,28,29,30}-1)*LEN(Registro!$F748)+1,LEN(Registro!$F748))),FIND("x",TRIM(MID(SUBSTITUTE(SUBSTITUTE(SUBSTITUTE(SUBSTITUTE(SUBSTITUTE(LOWER(Registro!$F748)," ",""),CHAR(10),"|"),";","|"),"+","|"),"|",REPT(" ",LEN(Registro!$F748))),({1,2,3,4,5,6,7,8,9,10,11,12,13,14,15,16,17,18,19,20,21,22,23,24,25,26,27,28,29,30}-1)*LEN(Registro!$F748)+1,LEN(Registro!$F748)))&amp;"x")-1))),"Revisar formato")))</f>
        <v/>
      </c>
      <c r="G748" s="24" t="str">
        <f>IF(Registro!$F748="","",IF(ISERROR(FIND("x",LOWER(Registro!$F748))),N(Registro!$G748),IFERROR(SUMPRODUCT(--("0"&amp;LEFT(TRIM(MID(SUBSTITUTE(SUBSTITUTE(SUBSTITUTE(SUBSTITUTE(SUBSTITUTE(LOWER(Registro!$F748)," ",""),CHAR(10),"|"),";","|"),"+","|"),"|",REPT(" ",LEN(Registro!$F748))),({1,2,3,4,5,6,7,8,9,10,11,12,13,14,15,16,17,18,19,20,21,22,23,24,25,26,27,28,29,30}-1)*LEN(Registro!$F748)+1,LEN(Registro!$F748))),FIND("x",TRIM(MID(SUBSTITUTE(SUBSTITUTE(SUBSTITUTE(SUBSTITUTE(SUBSTITUTE(LOWER(Registro!$F748)," ",""),CHAR(10),"|"),";","|"),"+","|"),"|",REPT(" ",LEN(Registro!$F748))),({1,2,3,4,5,6,7,8,9,10,11,12,13,14,15,16,17,18,19,20,21,22,23,24,25,26,27,28,29,30}-1)*LEN(Registro!$F748)+1,LEN(Registro!$F748)))&amp;"x")-1)),--("0"&amp;MID(TRIM(MID(SUBSTITUTE(SUBSTITUTE(SUBSTITUTE(SUBSTITUTE(SUBSTITUTE(LOWER(Registro!$F748)," ",""),CHAR(10),"|"),";","|"),"+","|"),"|",REPT(" ",LEN(Registro!$F748))),({1,2,3,4,5,6,7,8,9,10,11,12,13,14,15,16,17,18,19,20,21,22,23,24,25,26,27,28,29,30}-1)*LEN(Registro!$F748)+1,LEN(Registro!$F748))),FIND("x",TRIM(MID(SUBSTITUTE(SUBSTITUTE(SUBSTITUTE(SUBSTITUTE(SUBSTITUTE(LOWER(Registro!$F748)," ",""),CHAR(10),"|"),";","|"),"+","|"),"|",REPT(" ",LEN(Registro!$F748))),({1,2,3,4,5,6,7,8,9,10,11,12,13,14,15,16,17,18,19,20,21,22,23,24,25,26,27,28,29,30}-1)*LEN(Registro!$F748)+1,LEN(Registro!$F748)))&amp;"x")+1,20))),"Revisar formato")))</f>
        <v/>
      </c>
      <c r="H748" s="21" t="str">
        <f>IF(AND(Registro!$E748="",Registro!$F748=""),"",IF(NOT(AND(ISNUMBER(G748),ISNUMBER(Registro!$G748))),"",IF(G748&lt;Registro!$G748,"FALTA BOLETOS",IF(G748=Registro!$G748,"CONFORME","DIFERENCIA"))))</f>
        <v/>
      </c>
      <c r="I748" s="24" t="str">
        <f>IF(Registro!$H748="","",IFERROR(SUMPRODUCT(--("0"&amp;TRIM(RIGHT(SUBSTITUTE(TRIM(MID(SUBSTITUTE(SUBSTITUTE(Registro!$H748,";",CHAR(10)),CHAR(10),REPT(" ",LEN(Registro!$H748))),({1,2,3,4,5,6,7,8,9,10,11,12,13,14,15,16,17,18,19,20,21,22,23,24,25,26,27,28,29,30}-1)*LEN(Registro!$H748)+1,LEN(Registro!$H748)))," ",REPT(" ",50)),50)))),"Revisar formato"))</f>
        <v/>
      </c>
      <c r="J748" s="24" t="str">
        <f>IF(Registro!$I748="","",IFERROR(SUMPRODUCT(--("0"&amp;TRIM(RIGHT(SUBSTITUTE(TRIM(MID(SUBSTITUTE(SUBSTITUTE(Registro!$I748,";",CHAR(10)),CHAR(10),REPT(" ",LEN(Registro!$I748))),({1,2,3,4,5,6,7,8,9,10,11,12,13,14,15,16,17,18,19,20,21,22,23,24,25,26,27,28,29,30}-1)*LEN(Registro!$I748)+1,LEN(Registro!$I748)))," ",REPT(" ",50)),50)))),"Revisar formato"))</f>
        <v/>
      </c>
      <c r="K748" s="24" t="str">
        <f>IF(AND(Registro!$G748="",Registro!$H748=""),"",IF(AND(ISTEXT(I748),I748&lt;&gt;""),"Revisar formato",N(Registro!$G748)-N(I748)))</f>
        <v/>
      </c>
      <c r="L748" s="24" t="str">
        <f t="shared" si="23"/>
        <v/>
      </c>
      <c r="M748" s="36" t="str">
        <f>IF(AND(A748=Consulta!$B$3,C748=Consulta!$H$3),B748*10000+ROW(),"")</f>
        <v/>
      </c>
    </row>
    <row r="749" spans="1:13" x14ac:dyDescent="0.25">
      <c r="A749" s="21" t="str">
        <f>IF(Registro!$A749="","",Registro!$A749)</f>
        <v/>
      </c>
      <c r="B749" s="20" t="str">
        <f>IF(Registro!$B749="","",Registro!$B749)</f>
        <v/>
      </c>
      <c r="C749" s="35" t="str">
        <f t="shared" si="22"/>
        <v/>
      </c>
      <c r="D749" s="23" t="str">
        <f>IF(Registro!$E749="","",IF(ISERROR(FIND("x",LOWER(Registro!$E749))),"-",IFERROR(SUMPRODUCT(--("0"&amp;LEFT(TRIM(MID(SUBSTITUTE(SUBSTITUTE(SUBSTITUTE(SUBSTITUTE(SUBSTITUTE(LOWER(Registro!$E749),"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",LEN(Registro!$E749))),({1,2,3,4,5,6,7,8,9,10,11,12,13,14,15,16,17,18,19,20,21,22,23,24,25,26,27,28,29,30}-1)*LEN(Registro!$E749)+1,LEN(Registro!$E749))),FIND("x",TRIM(MID(SUBSTITUTE(SUBSTITUTE(SUBSTITUTE(SUBSTITUTE(SUBSTITUTE(LOWER(Registro!$E749),"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",LEN(Registro!$E749))),({1,2,3,4,5,6,7,8,9,10,11,12,13,14,15,16,17,18,19,20,21,22,23,24,25,26,27,28,29,30}-1)*LEN(Registro!$E749)+1,LEN(Registro!$E749)))&amp;"x")-1))),"Revisar formato")))</f>
        <v/>
      </c>
      <c r="E749" s="24" t="str">
        <f>IF(Registro!$E749="","",IF(ISERROR(FIND("x",LOWER(Registro!$E749))),"-",IFERROR(SUMPRODUCT(--("0"&amp;LEFT(TRIM(MID(SUBSTITUTE(SUBSTITUTE(SUBSTITUTE(SUBSTITUTE(SUBSTITUTE(LOWER(Registro!$E749),"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",LEN(Registro!$E749))),({1,2,3,4,5,6,7,8,9,10,11,12,13,14,15,16,17,18,19,20,21,22,23,24,25,26,27,28,29,30}-1)*LEN(Registro!$E749)+1,LEN(Registro!$E749))),FIND("x",TRIM(MID(SUBSTITUTE(SUBSTITUTE(SUBSTITUTE(SUBSTITUTE(SUBSTITUTE(LOWER(Registro!$E749),"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",LEN(Registro!$E749))),({1,2,3,4,5,6,7,8,9,10,11,12,13,14,15,16,17,18,19,20,21,22,23,24,25,26,27,28,29,30}-1)*LEN(Registro!$E749)+1,LEN(Registro!$E749)))&amp;"x")-1)),--("0"&amp;MID(TRIM(MID(SUBSTITUTE(SUBSTITUTE(SUBSTITUTE(SUBSTITUTE(SUBSTITUTE(LOWER(Registro!$E749),"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",LEN(Registro!$E749))),({1,2,3,4,5,6,7,8,9,10,11,12,13,14,15,16,17,18,19,20,21,22,23,24,25,26,27,28,29,30}-1)*LEN(Registro!$E749)+1,LEN(Registro!$E749))),FIND("x",TRIM(MID(SUBSTITUTE(SUBSTITUTE(SUBSTITUTE(SUBSTITUTE(SUBSTITUTE(LOWER(Registro!$E749),"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",LEN(Registro!$E749))),({1,2,3,4,5,6,7,8,9,10,11,12,13,14,15,16,17,18,19,20,21,22,23,24,25,26,27,28,29,30}-1)*LEN(Registro!$E749)+1,LEN(Registro!$E749)))&amp;"x")+1,20))),"Revisar formato")))</f>
        <v/>
      </c>
      <c r="F749" s="23" t="str">
        <f>IF(Registro!$F749="","",IF(ISERROR(FIND("x",LOWER(Registro!$F749))),"-",IFERROR(SUMPRODUCT(--("0"&amp;LEFT(TRIM(MID(SUBSTITUTE(SUBSTITUTE(SUBSTITUTE(SUBSTITUTE(SUBSTITUTE(LOWER(Registro!$F749)," ",""),CHAR(10),"|"),";","|"),"+","|"),"|",REPT(" ",LEN(Registro!$F749))),({1,2,3,4,5,6,7,8,9,10,11,12,13,14,15,16,17,18,19,20,21,22,23,24,25,26,27,28,29,30}-1)*LEN(Registro!$F749)+1,LEN(Registro!$F749))),FIND("x",TRIM(MID(SUBSTITUTE(SUBSTITUTE(SUBSTITUTE(SUBSTITUTE(SUBSTITUTE(LOWER(Registro!$F749)," ",""),CHAR(10),"|"),";","|"),"+","|"),"|",REPT(" ",LEN(Registro!$F749))),({1,2,3,4,5,6,7,8,9,10,11,12,13,14,15,16,17,18,19,20,21,22,23,24,25,26,27,28,29,30}-1)*LEN(Registro!$F749)+1,LEN(Registro!$F749)))&amp;"x")-1))),"Revisar formato")))</f>
        <v/>
      </c>
      <c r="G749" s="24" t="str">
        <f>IF(Registro!$F749="","",IF(ISERROR(FIND("x",LOWER(Registro!$F749))),N(Registro!$G749),IFERROR(SUMPRODUCT(--("0"&amp;LEFT(TRIM(MID(SUBSTITUTE(SUBSTITUTE(SUBSTITUTE(SUBSTITUTE(SUBSTITUTE(LOWER(Registro!$F749)," ",""),CHAR(10),"|"),";","|"),"+","|"),"|",REPT(" ",LEN(Registro!$F749))),({1,2,3,4,5,6,7,8,9,10,11,12,13,14,15,16,17,18,19,20,21,22,23,24,25,26,27,28,29,30}-1)*LEN(Registro!$F749)+1,LEN(Registro!$F749))),FIND("x",TRIM(MID(SUBSTITUTE(SUBSTITUTE(SUBSTITUTE(SUBSTITUTE(SUBSTITUTE(LOWER(Registro!$F749)," ",""),CHAR(10),"|"),";","|"),"+","|"),"|",REPT(" ",LEN(Registro!$F749))),({1,2,3,4,5,6,7,8,9,10,11,12,13,14,15,16,17,18,19,20,21,22,23,24,25,26,27,28,29,30}-1)*LEN(Registro!$F749)+1,LEN(Registro!$F749)))&amp;"x")-1)),--("0"&amp;MID(TRIM(MID(SUBSTITUTE(SUBSTITUTE(SUBSTITUTE(SUBSTITUTE(SUBSTITUTE(LOWER(Registro!$F749)," ",""),CHAR(10),"|"),";","|"),"+","|"),"|",REPT(" ",LEN(Registro!$F749))),({1,2,3,4,5,6,7,8,9,10,11,12,13,14,15,16,17,18,19,20,21,22,23,24,25,26,27,28,29,30}-1)*LEN(Registro!$F749)+1,LEN(Registro!$F749))),FIND("x",TRIM(MID(SUBSTITUTE(SUBSTITUTE(SUBSTITUTE(SUBSTITUTE(SUBSTITUTE(LOWER(Registro!$F749)," ",""),CHAR(10),"|"),";","|"),"+","|"),"|",REPT(" ",LEN(Registro!$F749))),({1,2,3,4,5,6,7,8,9,10,11,12,13,14,15,16,17,18,19,20,21,22,23,24,25,26,27,28,29,30}-1)*LEN(Registro!$F749)+1,LEN(Registro!$F749)))&amp;"x")+1,20))),"Revisar formato")))</f>
        <v/>
      </c>
      <c r="H749" s="21" t="str">
        <f>IF(AND(Registro!$E749="",Registro!$F749=""),"",IF(NOT(AND(ISNUMBER(G749),ISNUMBER(Registro!$G749))),"",IF(G749&lt;Registro!$G749,"FALTA BOLETOS",IF(G749=Registro!$G749,"CONFORME","DIFERENCIA"))))</f>
        <v/>
      </c>
      <c r="I749" s="24" t="str">
        <f>IF(Registro!$H749="","",IFERROR(SUMPRODUCT(--("0"&amp;TRIM(RIGHT(SUBSTITUTE(TRIM(MID(SUBSTITUTE(SUBSTITUTE(Registro!$H749,";",CHAR(10)),CHAR(10),REPT(" ",LEN(Registro!$H749))),({1,2,3,4,5,6,7,8,9,10,11,12,13,14,15,16,17,18,19,20,21,22,23,24,25,26,27,28,29,30}-1)*LEN(Registro!$H749)+1,LEN(Registro!$H749)))," ",REPT(" ",50)),50)))),"Revisar formato"))</f>
        <v/>
      </c>
      <c r="J749" s="24" t="str">
        <f>IF(Registro!$I749="","",IFERROR(SUMPRODUCT(--("0"&amp;TRIM(RIGHT(SUBSTITUTE(TRIM(MID(SUBSTITUTE(SUBSTITUTE(Registro!$I749,";",CHAR(10)),CHAR(10),REPT(" ",LEN(Registro!$I749))),({1,2,3,4,5,6,7,8,9,10,11,12,13,14,15,16,17,18,19,20,21,22,23,24,25,26,27,28,29,30}-1)*LEN(Registro!$I749)+1,LEN(Registro!$I749)))," ",REPT(" ",50)),50)))),"Revisar formato"))</f>
        <v/>
      </c>
      <c r="K749" s="24" t="str">
        <f>IF(AND(Registro!$G749="",Registro!$H749=""),"",IF(AND(ISTEXT(I749),I749&lt;&gt;""),"Revisar formato",N(Registro!$G749)-N(I749)))</f>
        <v/>
      </c>
      <c r="L749" s="24" t="str">
        <f t="shared" si="23"/>
        <v/>
      </c>
      <c r="M749" s="36" t="str">
        <f>IF(AND(A749=Consulta!$B$3,C749=Consulta!$H$3),B749*10000+ROW(),"")</f>
        <v/>
      </c>
    </row>
    <row r="750" spans="1:13" x14ac:dyDescent="0.25">
      <c r="A750" s="21" t="str">
        <f>IF(Registro!$A750="","",Registro!$A750)</f>
        <v/>
      </c>
      <c r="B750" s="20" t="str">
        <f>IF(Registro!$B750="","",Registro!$B750)</f>
        <v/>
      </c>
      <c r="C750" s="35" t="str">
        <f t="shared" si="22"/>
        <v/>
      </c>
      <c r="D750" s="23" t="str">
        <f>IF(Registro!$E750="","",IF(ISERROR(FIND("x",LOWER(Registro!$E750))),"-",IFERROR(SUMPRODUCT(--("0"&amp;LEFT(TRIM(MID(SUBSTITUTE(SUBSTITUTE(SUBSTITUTE(SUBSTITUTE(SUBSTITUTE(LOWER(Registro!$E750),"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",LEN(Registro!$E750))),({1,2,3,4,5,6,7,8,9,10,11,12,13,14,15,16,17,18,19,20,21,22,23,24,25,26,27,28,29,30}-1)*LEN(Registro!$E750)+1,LEN(Registro!$E750))),FIND("x",TRIM(MID(SUBSTITUTE(SUBSTITUTE(SUBSTITUTE(SUBSTITUTE(SUBSTITUTE(LOWER(Registro!$E750),"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",LEN(Registro!$E750))),({1,2,3,4,5,6,7,8,9,10,11,12,13,14,15,16,17,18,19,20,21,22,23,24,25,26,27,28,29,30}-1)*LEN(Registro!$E750)+1,LEN(Registro!$E750)))&amp;"x")-1))),"Revisar formato")))</f>
        <v/>
      </c>
      <c r="E750" s="24" t="str">
        <f>IF(Registro!$E750="","",IF(ISERROR(FIND("x",LOWER(Registro!$E750))),"-",IFERROR(SUMPRODUCT(--("0"&amp;LEFT(TRIM(MID(SUBSTITUTE(SUBSTITUTE(SUBSTITUTE(SUBSTITUTE(SUBSTITUTE(LOWER(Registro!$E750),"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",LEN(Registro!$E750))),({1,2,3,4,5,6,7,8,9,10,11,12,13,14,15,16,17,18,19,20,21,22,23,24,25,26,27,28,29,30}-1)*LEN(Registro!$E750)+1,LEN(Registro!$E750))),FIND("x",TRIM(MID(SUBSTITUTE(SUBSTITUTE(SUBSTITUTE(SUBSTITUTE(SUBSTITUTE(LOWER(Registro!$E750),"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",LEN(Registro!$E750))),({1,2,3,4,5,6,7,8,9,10,11,12,13,14,15,16,17,18,19,20,21,22,23,24,25,26,27,28,29,30}-1)*LEN(Registro!$E750)+1,LEN(Registro!$E750)))&amp;"x")-1)),--("0"&amp;MID(TRIM(MID(SUBSTITUTE(SUBSTITUTE(SUBSTITUTE(SUBSTITUTE(SUBSTITUTE(LOWER(Registro!$E750),"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",LEN(Registro!$E750))),({1,2,3,4,5,6,7,8,9,10,11,12,13,14,15,16,17,18,19,20,21,22,23,24,25,26,27,28,29,30}-1)*LEN(Registro!$E750)+1,LEN(Registro!$E750))),FIND("x",TRIM(MID(SUBSTITUTE(SUBSTITUTE(SUBSTITUTE(SUBSTITUTE(SUBSTITUTE(LOWER(Registro!$E750),"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",LEN(Registro!$E750))),({1,2,3,4,5,6,7,8,9,10,11,12,13,14,15,16,17,18,19,20,21,22,23,24,25,26,27,28,29,30}-1)*LEN(Registro!$E750)+1,LEN(Registro!$E750)))&amp;"x")+1,20))),"Revisar formato")))</f>
        <v/>
      </c>
      <c r="F750" s="23" t="str">
        <f>IF(Registro!$F750="","",IF(ISERROR(FIND("x",LOWER(Registro!$F750))),"-",IFERROR(SUMPRODUCT(--("0"&amp;LEFT(TRIM(MID(SUBSTITUTE(SUBSTITUTE(SUBSTITUTE(SUBSTITUTE(SUBSTITUTE(LOWER(Registro!$F750)," ",""),CHAR(10),"|"),";","|"),"+","|"),"|",REPT(" ",LEN(Registro!$F750))),({1,2,3,4,5,6,7,8,9,10,11,12,13,14,15,16,17,18,19,20,21,22,23,24,25,26,27,28,29,30}-1)*LEN(Registro!$F750)+1,LEN(Registro!$F750))),FIND("x",TRIM(MID(SUBSTITUTE(SUBSTITUTE(SUBSTITUTE(SUBSTITUTE(SUBSTITUTE(LOWER(Registro!$F750)," ",""),CHAR(10),"|"),";","|"),"+","|"),"|",REPT(" ",LEN(Registro!$F750))),({1,2,3,4,5,6,7,8,9,10,11,12,13,14,15,16,17,18,19,20,21,22,23,24,25,26,27,28,29,30}-1)*LEN(Registro!$F750)+1,LEN(Registro!$F750)))&amp;"x")-1))),"Revisar formato")))</f>
        <v/>
      </c>
      <c r="G750" s="24" t="str">
        <f>IF(Registro!$F750="","",IF(ISERROR(FIND("x",LOWER(Registro!$F750))),N(Registro!$G750),IFERROR(SUMPRODUCT(--("0"&amp;LEFT(TRIM(MID(SUBSTITUTE(SUBSTITUTE(SUBSTITUTE(SUBSTITUTE(SUBSTITUTE(LOWER(Registro!$F750)," ",""),CHAR(10),"|"),";","|"),"+","|"),"|",REPT(" ",LEN(Registro!$F750))),({1,2,3,4,5,6,7,8,9,10,11,12,13,14,15,16,17,18,19,20,21,22,23,24,25,26,27,28,29,30}-1)*LEN(Registro!$F750)+1,LEN(Registro!$F750))),FIND("x",TRIM(MID(SUBSTITUTE(SUBSTITUTE(SUBSTITUTE(SUBSTITUTE(SUBSTITUTE(LOWER(Registro!$F750)," ",""),CHAR(10),"|"),";","|"),"+","|"),"|",REPT(" ",LEN(Registro!$F750))),({1,2,3,4,5,6,7,8,9,10,11,12,13,14,15,16,17,18,19,20,21,22,23,24,25,26,27,28,29,30}-1)*LEN(Registro!$F750)+1,LEN(Registro!$F750)))&amp;"x")-1)),--("0"&amp;MID(TRIM(MID(SUBSTITUTE(SUBSTITUTE(SUBSTITUTE(SUBSTITUTE(SUBSTITUTE(LOWER(Registro!$F750)," ",""),CHAR(10),"|"),";","|"),"+","|"),"|",REPT(" ",LEN(Registro!$F750))),({1,2,3,4,5,6,7,8,9,10,11,12,13,14,15,16,17,18,19,20,21,22,23,24,25,26,27,28,29,30}-1)*LEN(Registro!$F750)+1,LEN(Registro!$F750))),FIND("x",TRIM(MID(SUBSTITUTE(SUBSTITUTE(SUBSTITUTE(SUBSTITUTE(SUBSTITUTE(LOWER(Registro!$F750)," ",""),CHAR(10),"|"),";","|"),"+","|"),"|",REPT(" ",LEN(Registro!$F750))),({1,2,3,4,5,6,7,8,9,10,11,12,13,14,15,16,17,18,19,20,21,22,23,24,25,26,27,28,29,30}-1)*LEN(Registro!$F750)+1,LEN(Registro!$F750)))&amp;"x")+1,20))),"Revisar formato")))</f>
        <v/>
      </c>
      <c r="H750" s="21" t="str">
        <f>IF(AND(Registro!$E750="",Registro!$F750=""),"",IF(NOT(AND(ISNUMBER(G750),ISNUMBER(Registro!$G750))),"",IF(G750&lt;Registro!$G750,"FALTA BOLETOS",IF(G750=Registro!$G750,"CONFORME","DIFERENCIA"))))</f>
        <v/>
      </c>
      <c r="I750" s="24" t="str">
        <f>IF(Registro!$H750="","",IFERROR(SUMPRODUCT(--("0"&amp;TRIM(RIGHT(SUBSTITUTE(TRIM(MID(SUBSTITUTE(SUBSTITUTE(Registro!$H750,";",CHAR(10)),CHAR(10),REPT(" ",LEN(Registro!$H750))),({1,2,3,4,5,6,7,8,9,10,11,12,13,14,15,16,17,18,19,20,21,22,23,24,25,26,27,28,29,30}-1)*LEN(Registro!$H750)+1,LEN(Registro!$H750)))," ",REPT(" ",50)),50)))),"Revisar formato"))</f>
        <v/>
      </c>
      <c r="J750" s="24" t="str">
        <f>IF(Registro!$I750="","",IFERROR(SUMPRODUCT(--("0"&amp;TRIM(RIGHT(SUBSTITUTE(TRIM(MID(SUBSTITUTE(SUBSTITUTE(Registro!$I750,";",CHAR(10)),CHAR(10),REPT(" ",LEN(Registro!$I750))),({1,2,3,4,5,6,7,8,9,10,11,12,13,14,15,16,17,18,19,20,21,22,23,24,25,26,27,28,29,30}-1)*LEN(Registro!$I750)+1,LEN(Registro!$I750)))," ",REPT(" ",50)),50)))),"Revisar formato"))</f>
        <v/>
      </c>
      <c r="K750" s="24" t="str">
        <f>IF(AND(Registro!$G750="",Registro!$H750=""),"",IF(AND(ISTEXT(I750),I750&lt;&gt;""),"Revisar formato",N(Registro!$G750)-N(I750)))</f>
        <v/>
      </c>
      <c r="L750" s="24" t="str">
        <f t="shared" si="23"/>
        <v/>
      </c>
      <c r="M750" s="36" t="str">
        <f>IF(AND(A750=Consulta!$B$3,C750=Consulta!$H$3),B750*10000+ROW(),"")</f>
        <v/>
      </c>
    </row>
    <row r="751" spans="1:13" x14ac:dyDescent="0.25">
      <c r="A751" s="21" t="str">
        <f>IF(Registro!$A751="","",Registro!$A751)</f>
        <v/>
      </c>
      <c r="B751" s="20" t="str">
        <f>IF(Registro!$B751="","",Registro!$B751)</f>
        <v/>
      </c>
      <c r="C751" s="35" t="str">
        <f t="shared" si="22"/>
        <v/>
      </c>
      <c r="D751" s="23" t="str">
        <f>IF(Registro!$E751="","",IF(ISERROR(FIND("x",LOWER(Registro!$E751))),"-",IFERROR(SUMPRODUCT(--("0"&amp;LEFT(TRIM(MID(SUBSTITUTE(SUBSTITUTE(SUBSTITUTE(SUBSTITUTE(SUBSTITUTE(LOWER(Registro!$E751),"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",LEN(Registro!$E751))),({1,2,3,4,5,6,7,8,9,10,11,12,13,14,15,16,17,18,19,20,21,22,23,24,25,26,27,28,29,30}-1)*LEN(Registro!$E751)+1,LEN(Registro!$E751))),FIND("x",TRIM(MID(SUBSTITUTE(SUBSTITUTE(SUBSTITUTE(SUBSTITUTE(SUBSTITUTE(LOWER(Registro!$E751),"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",LEN(Registro!$E751))),({1,2,3,4,5,6,7,8,9,10,11,12,13,14,15,16,17,18,19,20,21,22,23,24,25,26,27,28,29,30}-1)*LEN(Registro!$E751)+1,LEN(Registro!$E751)))&amp;"x")-1))),"Revisar formato")))</f>
        <v/>
      </c>
      <c r="E751" s="24" t="str">
        <f>IF(Registro!$E751="","",IF(ISERROR(FIND("x",LOWER(Registro!$E751))),"-",IFERROR(SUMPRODUCT(--("0"&amp;LEFT(TRIM(MID(SUBSTITUTE(SUBSTITUTE(SUBSTITUTE(SUBSTITUTE(SUBSTITUTE(LOWER(Registro!$E751),"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",LEN(Registro!$E751))),({1,2,3,4,5,6,7,8,9,10,11,12,13,14,15,16,17,18,19,20,21,22,23,24,25,26,27,28,29,30}-1)*LEN(Registro!$E751)+1,LEN(Registro!$E751))),FIND("x",TRIM(MID(SUBSTITUTE(SUBSTITUTE(SUBSTITUTE(SUBSTITUTE(SUBSTITUTE(LOWER(Registro!$E751),"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",LEN(Registro!$E751))),({1,2,3,4,5,6,7,8,9,10,11,12,13,14,15,16,17,18,19,20,21,22,23,24,25,26,27,28,29,30}-1)*LEN(Registro!$E751)+1,LEN(Registro!$E751)))&amp;"x")-1)),--("0"&amp;MID(TRIM(MID(SUBSTITUTE(SUBSTITUTE(SUBSTITUTE(SUBSTITUTE(SUBSTITUTE(LOWER(Registro!$E751),"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",LEN(Registro!$E751))),({1,2,3,4,5,6,7,8,9,10,11,12,13,14,15,16,17,18,19,20,21,22,23,24,25,26,27,28,29,30}-1)*LEN(Registro!$E751)+1,LEN(Registro!$E751))),FIND("x",TRIM(MID(SUBSTITUTE(SUBSTITUTE(SUBSTITUTE(SUBSTITUTE(SUBSTITUTE(LOWER(Registro!$E751),"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",LEN(Registro!$E751))),({1,2,3,4,5,6,7,8,9,10,11,12,13,14,15,16,17,18,19,20,21,22,23,24,25,26,27,28,29,30}-1)*LEN(Registro!$E751)+1,LEN(Registro!$E751)))&amp;"x")+1,20))),"Revisar formato")))</f>
        <v/>
      </c>
      <c r="F751" s="23" t="str">
        <f>IF(Registro!$F751="","",IF(ISERROR(FIND("x",LOWER(Registro!$F751))),"-",IFERROR(SUMPRODUCT(--("0"&amp;LEFT(TRIM(MID(SUBSTITUTE(SUBSTITUTE(SUBSTITUTE(SUBSTITUTE(SUBSTITUTE(LOWER(Registro!$F751)," ",""),CHAR(10),"|"),";","|"),"+","|"),"|",REPT(" ",LEN(Registro!$F751))),({1,2,3,4,5,6,7,8,9,10,11,12,13,14,15,16,17,18,19,20,21,22,23,24,25,26,27,28,29,30}-1)*LEN(Registro!$F751)+1,LEN(Registro!$F751))),FIND("x",TRIM(MID(SUBSTITUTE(SUBSTITUTE(SUBSTITUTE(SUBSTITUTE(SUBSTITUTE(LOWER(Registro!$F751)," ",""),CHAR(10),"|"),";","|"),"+","|"),"|",REPT(" ",LEN(Registro!$F751))),({1,2,3,4,5,6,7,8,9,10,11,12,13,14,15,16,17,18,19,20,21,22,23,24,25,26,27,28,29,30}-1)*LEN(Registro!$F751)+1,LEN(Registro!$F751)))&amp;"x")-1))),"Revisar formato")))</f>
        <v/>
      </c>
      <c r="G751" s="24" t="str">
        <f>IF(Registro!$F751="","",IF(ISERROR(FIND("x",LOWER(Registro!$F751))),N(Registro!$G751),IFERROR(SUMPRODUCT(--("0"&amp;LEFT(TRIM(MID(SUBSTITUTE(SUBSTITUTE(SUBSTITUTE(SUBSTITUTE(SUBSTITUTE(LOWER(Registro!$F751)," ",""),CHAR(10),"|"),";","|"),"+","|"),"|",REPT(" ",LEN(Registro!$F751))),({1,2,3,4,5,6,7,8,9,10,11,12,13,14,15,16,17,18,19,20,21,22,23,24,25,26,27,28,29,30}-1)*LEN(Registro!$F751)+1,LEN(Registro!$F751))),FIND("x",TRIM(MID(SUBSTITUTE(SUBSTITUTE(SUBSTITUTE(SUBSTITUTE(SUBSTITUTE(LOWER(Registro!$F751)," ",""),CHAR(10),"|"),";","|"),"+","|"),"|",REPT(" ",LEN(Registro!$F751))),({1,2,3,4,5,6,7,8,9,10,11,12,13,14,15,16,17,18,19,20,21,22,23,24,25,26,27,28,29,30}-1)*LEN(Registro!$F751)+1,LEN(Registro!$F751)))&amp;"x")-1)),--("0"&amp;MID(TRIM(MID(SUBSTITUTE(SUBSTITUTE(SUBSTITUTE(SUBSTITUTE(SUBSTITUTE(LOWER(Registro!$F751)," ",""),CHAR(10),"|"),";","|"),"+","|"),"|",REPT(" ",LEN(Registro!$F751))),({1,2,3,4,5,6,7,8,9,10,11,12,13,14,15,16,17,18,19,20,21,22,23,24,25,26,27,28,29,30}-1)*LEN(Registro!$F751)+1,LEN(Registro!$F751))),FIND("x",TRIM(MID(SUBSTITUTE(SUBSTITUTE(SUBSTITUTE(SUBSTITUTE(SUBSTITUTE(LOWER(Registro!$F751)," ",""),CHAR(10),"|"),";","|"),"+","|"),"|",REPT(" ",LEN(Registro!$F751))),({1,2,3,4,5,6,7,8,9,10,11,12,13,14,15,16,17,18,19,20,21,22,23,24,25,26,27,28,29,30}-1)*LEN(Registro!$F751)+1,LEN(Registro!$F751)))&amp;"x")+1,20))),"Revisar formato")))</f>
        <v/>
      </c>
      <c r="H751" s="21" t="str">
        <f>IF(AND(Registro!$E751="",Registro!$F751=""),"",IF(NOT(AND(ISNUMBER(G751),ISNUMBER(Registro!$G751))),"",IF(G751&lt;Registro!$G751,"FALTA BOLETOS",IF(G751=Registro!$G751,"CONFORME","DIFERENCIA"))))</f>
        <v/>
      </c>
      <c r="I751" s="24" t="str">
        <f>IF(Registro!$H751="","",IFERROR(SUMPRODUCT(--("0"&amp;TRIM(RIGHT(SUBSTITUTE(TRIM(MID(SUBSTITUTE(SUBSTITUTE(Registro!$H751,";",CHAR(10)),CHAR(10),REPT(" ",LEN(Registro!$H751))),({1,2,3,4,5,6,7,8,9,10,11,12,13,14,15,16,17,18,19,20,21,22,23,24,25,26,27,28,29,30}-1)*LEN(Registro!$H751)+1,LEN(Registro!$H751)))," ",REPT(" ",50)),50)))),"Revisar formato"))</f>
        <v/>
      </c>
      <c r="J751" s="24" t="str">
        <f>IF(Registro!$I751="","",IFERROR(SUMPRODUCT(--("0"&amp;TRIM(RIGHT(SUBSTITUTE(TRIM(MID(SUBSTITUTE(SUBSTITUTE(Registro!$I751,";",CHAR(10)),CHAR(10),REPT(" ",LEN(Registro!$I751))),({1,2,3,4,5,6,7,8,9,10,11,12,13,14,15,16,17,18,19,20,21,22,23,24,25,26,27,28,29,30}-1)*LEN(Registro!$I751)+1,LEN(Registro!$I751)))," ",REPT(" ",50)),50)))),"Revisar formato"))</f>
        <v/>
      </c>
      <c r="K751" s="24" t="str">
        <f>IF(AND(Registro!$G751="",Registro!$H751=""),"",IF(AND(ISTEXT(I751),I751&lt;&gt;""),"Revisar formato",N(Registro!$G751)-N(I751)))</f>
        <v/>
      </c>
      <c r="L751" s="24" t="str">
        <f t="shared" si="23"/>
        <v/>
      </c>
      <c r="M751" s="36" t="str">
        <f>IF(AND(A751=Consulta!$B$3,C751=Consulta!$H$3),B751*10000+ROW(),"")</f>
        <v/>
      </c>
    </row>
    <row r="752" spans="1:13" x14ac:dyDescent="0.25">
      <c r="A752" s="21" t="str">
        <f>IF(Registro!$A752="","",Registro!$A752)</f>
        <v/>
      </c>
      <c r="B752" s="20" t="str">
        <f>IF(Registro!$B752="","",Registro!$B752)</f>
        <v/>
      </c>
      <c r="C752" s="35" t="str">
        <f t="shared" si="22"/>
        <v/>
      </c>
      <c r="D752" s="23" t="str">
        <f>IF(Registro!$E752="","",IF(ISERROR(FIND("x",LOWER(Registro!$E752))),"-",IFERROR(SUMPRODUCT(--("0"&amp;LEFT(TRIM(MID(SUBSTITUTE(SUBSTITUTE(SUBSTITUTE(SUBSTITUTE(SUBSTITUTE(LOWER(Registro!$E752),"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",LEN(Registro!$E752))),({1,2,3,4,5,6,7,8,9,10,11,12,13,14,15,16,17,18,19,20,21,22,23,24,25,26,27,28,29,30}-1)*LEN(Registro!$E752)+1,LEN(Registro!$E752))),FIND("x",TRIM(MID(SUBSTITUTE(SUBSTITUTE(SUBSTITUTE(SUBSTITUTE(SUBSTITUTE(LOWER(Registro!$E752),"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",LEN(Registro!$E752))),({1,2,3,4,5,6,7,8,9,10,11,12,13,14,15,16,17,18,19,20,21,22,23,24,25,26,27,28,29,30}-1)*LEN(Registro!$E752)+1,LEN(Registro!$E752)))&amp;"x")-1))),"Revisar formato")))</f>
        <v/>
      </c>
      <c r="E752" s="24" t="str">
        <f>IF(Registro!$E752="","",IF(ISERROR(FIND("x",LOWER(Registro!$E752))),"-",IFERROR(SUMPRODUCT(--("0"&amp;LEFT(TRIM(MID(SUBSTITUTE(SUBSTITUTE(SUBSTITUTE(SUBSTITUTE(SUBSTITUTE(LOWER(Registro!$E752),"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",LEN(Registro!$E752))),({1,2,3,4,5,6,7,8,9,10,11,12,13,14,15,16,17,18,19,20,21,22,23,24,25,26,27,28,29,30}-1)*LEN(Registro!$E752)+1,LEN(Registro!$E752))),FIND("x",TRIM(MID(SUBSTITUTE(SUBSTITUTE(SUBSTITUTE(SUBSTITUTE(SUBSTITUTE(LOWER(Registro!$E752),"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",LEN(Registro!$E752))),({1,2,3,4,5,6,7,8,9,10,11,12,13,14,15,16,17,18,19,20,21,22,23,24,25,26,27,28,29,30}-1)*LEN(Registro!$E752)+1,LEN(Registro!$E752)))&amp;"x")-1)),--("0"&amp;MID(TRIM(MID(SUBSTITUTE(SUBSTITUTE(SUBSTITUTE(SUBSTITUTE(SUBSTITUTE(LOWER(Registro!$E752),"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",LEN(Registro!$E752))),({1,2,3,4,5,6,7,8,9,10,11,12,13,14,15,16,17,18,19,20,21,22,23,24,25,26,27,28,29,30}-1)*LEN(Registro!$E752)+1,LEN(Registro!$E752))),FIND("x",TRIM(MID(SUBSTITUTE(SUBSTITUTE(SUBSTITUTE(SUBSTITUTE(SUBSTITUTE(LOWER(Registro!$E752),"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",LEN(Registro!$E752))),({1,2,3,4,5,6,7,8,9,10,11,12,13,14,15,16,17,18,19,20,21,22,23,24,25,26,27,28,29,30}-1)*LEN(Registro!$E752)+1,LEN(Registro!$E752)))&amp;"x")+1,20))),"Revisar formato")))</f>
        <v/>
      </c>
      <c r="F752" s="23" t="str">
        <f>IF(Registro!$F752="","",IF(ISERROR(FIND("x",LOWER(Registro!$F752))),"-",IFERROR(SUMPRODUCT(--("0"&amp;LEFT(TRIM(MID(SUBSTITUTE(SUBSTITUTE(SUBSTITUTE(SUBSTITUTE(SUBSTITUTE(LOWER(Registro!$F752)," ",""),CHAR(10),"|"),";","|"),"+","|"),"|",REPT(" ",LEN(Registro!$F752))),({1,2,3,4,5,6,7,8,9,10,11,12,13,14,15,16,17,18,19,20,21,22,23,24,25,26,27,28,29,30}-1)*LEN(Registro!$F752)+1,LEN(Registro!$F752))),FIND("x",TRIM(MID(SUBSTITUTE(SUBSTITUTE(SUBSTITUTE(SUBSTITUTE(SUBSTITUTE(LOWER(Registro!$F752)," ",""),CHAR(10),"|"),";","|"),"+","|"),"|",REPT(" ",LEN(Registro!$F752))),({1,2,3,4,5,6,7,8,9,10,11,12,13,14,15,16,17,18,19,20,21,22,23,24,25,26,27,28,29,30}-1)*LEN(Registro!$F752)+1,LEN(Registro!$F752)))&amp;"x")-1))),"Revisar formato")))</f>
        <v/>
      </c>
      <c r="G752" s="24" t="str">
        <f>IF(Registro!$F752="","",IF(ISERROR(FIND("x",LOWER(Registro!$F752))),N(Registro!$G752),IFERROR(SUMPRODUCT(--("0"&amp;LEFT(TRIM(MID(SUBSTITUTE(SUBSTITUTE(SUBSTITUTE(SUBSTITUTE(SUBSTITUTE(LOWER(Registro!$F752)," ",""),CHAR(10),"|"),";","|"),"+","|"),"|",REPT(" ",LEN(Registro!$F752))),({1,2,3,4,5,6,7,8,9,10,11,12,13,14,15,16,17,18,19,20,21,22,23,24,25,26,27,28,29,30}-1)*LEN(Registro!$F752)+1,LEN(Registro!$F752))),FIND("x",TRIM(MID(SUBSTITUTE(SUBSTITUTE(SUBSTITUTE(SUBSTITUTE(SUBSTITUTE(LOWER(Registro!$F752)," ",""),CHAR(10),"|"),";","|"),"+","|"),"|",REPT(" ",LEN(Registro!$F752))),({1,2,3,4,5,6,7,8,9,10,11,12,13,14,15,16,17,18,19,20,21,22,23,24,25,26,27,28,29,30}-1)*LEN(Registro!$F752)+1,LEN(Registro!$F752)))&amp;"x")-1)),--("0"&amp;MID(TRIM(MID(SUBSTITUTE(SUBSTITUTE(SUBSTITUTE(SUBSTITUTE(SUBSTITUTE(LOWER(Registro!$F752)," ",""),CHAR(10),"|"),";","|"),"+","|"),"|",REPT(" ",LEN(Registro!$F752))),({1,2,3,4,5,6,7,8,9,10,11,12,13,14,15,16,17,18,19,20,21,22,23,24,25,26,27,28,29,30}-1)*LEN(Registro!$F752)+1,LEN(Registro!$F752))),FIND("x",TRIM(MID(SUBSTITUTE(SUBSTITUTE(SUBSTITUTE(SUBSTITUTE(SUBSTITUTE(LOWER(Registro!$F752)," ",""),CHAR(10),"|"),";","|"),"+","|"),"|",REPT(" ",LEN(Registro!$F752))),({1,2,3,4,5,6,7,8,9,10,11,12,13,14,15,16,17,18,19,20,21,22,23,24,25,26,27,28,29,30}-1)*LEN(Registro!$F752)+1,LEN(Registro!$F752)))&amp;"x")+1,20))),"Revisar formato")))</f>
        <v/>
      </c>
      <c r="H752" s="21" t="str">
        <f>IF(AND(Registro!$E752="",Registro!$F752=""),"",IF(NOT(AND(ISNUMBER(G752),ISNUMBER(Registro!$G752))),"",IF(G752&lt;Registro!$G752,"FALTA BOLETOS",IF(G752=Registro!$G752,"CONFORME","DIFERENCIA"))))</f>
        <v/>
      </c>
      <c r="I752" s="24" t="str">
        <f>IF(Registro!$H752="","",IFERROR(SUMPRODUCT(--("0"&amp;TRIM(RIGHT(SUBSTITUTE(TRIM(MID(SUBSTITUTE(SUBSTITUTE(Registro!$H752,";",CHAR(10)),CHAR(10),REPT(" ",LEN(Registro!$H752))),({1,2,3,4,5,6,7,8,9,10,11,12,13,14,15,16,17,18,19,20,21,22,23,24,25,26,27,28,29,30}-1)*LEN(Registro!$H752)+1,LEN(Registro!$H752)))," ",REPT(" ",50)),50)))),"Revisar formato"))</f>
        <v/>
      </c>
      <c r="J752" s="24" t="str">
        <f>IF(Registro!$I752="","",IFERROR(SUMPRODUCT(--("0"&amp;TRIM(RIGHT(SUBSTITUTE(TRIM(MID(SUBSTITUTE(SUBSTITUTE(Registro!$I752,";",CHAR(10)),CHAR(10),REPT(" ",LEN(Registro!$I752))),({1,2,3,4,5,6,7,8,9,10,11,12,13,14,15,16,17,18,19,20,21,22,23,24,25,26,27,28,29,30}-1)*LEN(Registro!$I752)+1,LEN(Registro!$I752)))," ",REPT(" ",50)),50)))),"Revisar formato"))</f>
        <v/>
      </c>
      <c r="K752" s="24" t="str">
        <f>IF(AND(Registro!$G752="",Registro!$H752=""),"",IF(AND(ISTEXT(I752),I752&lt;&gt;""),"Revisar formato",N(Registro!$G752)-N(I752)))</f>
        <v/>
      </c>
      <c r="L752" s="24" t="str">
        <f t="shared" si="23"/>
        <v/>
      </c>
      <c r="M752" s="36" t="str">
        <f>IF(AND(A752=Consulta!$B$3,C752=Consulta!$H$3),B752*10000+ROW(),"")</f>
        <v/>
      </c>
    </row>
    <row r="753" spans="1:13" x14ac:dyDescent="0.25">
      <c r="A753" s="21" t="str">
        <f>IF(Registro!$A753="","",Registro!$A753)</f>
        <v/>
      </c>
      <c r="B753" s="20" t="str">
        <f>IF(Registro!$B753="","",Registro!$B753)</f>
        <v/>
      </c>
      <c r="C753" s="35" t="str">
        <f t="shared" si="22"/>
        <v/>
      </c>
      <c r="D753" s="23" t="str">
        <f>IF(Registro!$E753="","",IF(ISERROR(FIND("x",LOWER(Registro!$E753))),"-",IFERROR(SUMPRODUCT(--("0"&amp;LEFT(TRIM(MID(SUBSTITUTE(SUBSTITUTE(SUBSTITUTE(SUBSTITUTE(SUBSTITUTE(LOWER(Registro!$E753),"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",LEN(Registro!$E753))),({1,2,3,4,5,6,7,8,9,10,11,12,13,14,15,16,17,18,19,20,21,22,23,24,25,26,27,28,29,30}-1)*LEN(Registro!$E753)+1,LEN(Registro!$E753))),FIND("x",TRIM(MID(SUBSTITUTE(SUBSTITUTE(SUBSTITUTE(SUBSTITUTE(SUBSTITUTE(LOWER(Registro!$E753),"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",LEN(Registro!$E753))),({1,2,3,4,5,6,7,8,9,10,11,12,13,14,15,16,17,18,19,20,21,22,23,24,25,26,27,28,29,30}-1)*LEN(Registro!$E753)+1,LEN(Registro!$E753)))&amp;"x")-1))),"Revisar formato")))</f>
        <v/>
      </c>
      <c r="E753" s="24" t="str">
        <f>IF(Registro!$E753="","",IF(ISERROR(FIND("x",LOWER(Registro!$E753))),"-",IFERROR(SUMPRODUCT(--("0"&amp;LEFT(TRIM(MID(SUBSTITUTE(SUBSTITUTE(SUBSTITUTE(SUBSTITUTE(SUBSTITUTE(LOWER(Registro!$E753),"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",LEN(Registro!$E753))),({1,2,3,4,5,6,7,8,9,10,11,12,13,14,15,16,17,18,19,20,21,22,23,24,25,26,27,28,29,30}-1)*LEN(Registro!$E753)+1,LEN(Registro!$E753))),FIND("x",TRIM(MID(SUBSTITUTE(SUBSTITUTE(SUBSTITUTE(SUBSTITUTE(SUBSTITUTE(LOWER(Registro!$E753),"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",LEN(Registro!$E753))),({1,2,3,4,5,6,7,8,9,10,11,12,13,14,15,16,17,18,19,20,21,22,23,24,25,26,27,28,29,30}-1)*LEN(Registro!$E753)+1,LEN(Registro!$E753)))&amp;"x")-1)),--("0"&amp;MID(TRIM(MID(SUBSTITUTE(SUBSTITUTE(SUBSTITUTE(SUBSTITUTE(SUBSTITUTE(LOWER(Registro!$E753),"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",LEN(Registro!$E753))),({1,2,3,4,5,6,7,8,9,10,11,12,13,14,15,16,17,18,19,20,21,22,23,24,25,26,27,28,29,30}-1)*LEN(Registro!$E753)+1,LEN(Registro!$E753))),FIND("x",TRIM(MID(SUBSTITUTE(SUBSTITUTE(SUBSTITUTE(SUBSTITUTE(SUBSTITUTE(LOWER(Registro!$E753),"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",LEN(Registro!$E753))),({1,2,3,4,5,6,7,8,9,10,11,12,13,14,15,16,17,18,19,20,21,22,23,24,25,26,27,28,29,30}-1)*LEN(Registro!$E753)+1,LEN(Registro!$E753)))&amp;"x")+1,20))),"Revisar formato")))</f>
        <v/>
      </c>
      <c r="F753" s="23" t="str">
        <f>IF(Registro!$F753="","",IF(ISERROR(FIND("x",LOWER(Registro!$F753))),"-",IFERROR(SUMPRODUCT(--("0"&amp;LEFT(TRIM(MID(SUBSTITUTE(SUBSTITUTE(SUBSTITUTE(SUBSTITUTE(SUBSTITUTE(LOWER(Registro!$F753)," ",""),CHAR(10),"|"),";","|"),"+","|"),"|",REPT(" ",LEN(Registro!$F753))),({1,2,3,4,5,6,7,8,9,10,11,12,13,14,15,16,17,18,19,20,21,22,23,24,25,26,27,28,29,30}-1)*LEN(Registro!$F753)+1,LEN(Registro!$F753))),FIND("x",TRIM(MID(SUBSTITUTE(SUBSTITUTE(SUBSTITUTE(SUBSTITUTE(SUBSTITUTE(LOWER(Registro!$F753)," ",""),CHAR(10),"|"),";","|"),"+","|"),"|",REPT(" ",LEN(Registro!$F753))),({1,2,3,4,5,6,7,8,9,10,11,12,13,14,15,16,17,18,19,20,21,22,23,24,25,26,27,28,29,30}-1)*LEN(Registro!$F753)+1,LEN(Registro!$F753)))&amp;"x")-1))),"Revisar formato")))</f>
        <v/>
      </c>
      <c r="G753" s="24" t="str">
        <f>IF(Registro!$F753="","",IF(ISERROR(FIND("x",LOWER(Registro!$F753))),N(Registro!$G753),IFERROR(SUMPRODUCT(--("0"&amp;LEFT(TRIM(MID(SUBSTITUTE(SUBSTITUTE(SUBSTITUTE(SUBSTITUTE(SUBSTITUTE(LOWER(Registro!$F753)," ",""),CHAR(10),"|"),";","|"),"+","|"),"|",REPT(" ",LEN(Registro!$F753))),({1,2,3,4,5,6,7,8,9,10,11,12,13,14,15,16,17,18,19,20,21,22,23,24,25,26,27,28,29,30}-1)*LEN(Registro!$F753)+1,LEN(Registro!$F753))),FIND("x",TRIM(MID(SUBSTITUTE(SUBSTITUTE(SUBSTITUTE(SUBSTITUTE(SUBSTITUTE(LOWER(Registro!$F753)," ",""),CHAR(10),"|"),";","|"),"+","|"),"|",REPT(" ",LEN(Registro!$F753))),({1,2,3,4,5,6,7,8,9,10,11,12,13,14,15,16,17,18,19,20,21,22,23,24,25,26,27,28,29,30}-1)*LEN(Registro!$F753)+1,LEN(Registro!$F753)))&amp;"x")-1)),--("0"&amp;MID(TRIM(MID(SUBSTITUTE(SUBSTITUTE(SUBSTITUTE(SUBSTITUTE(SUBSTITUTE(LOWER(Registro!$F753)," ",""),CHAR(10),"|"),";","|"),"+","|"),"|",REPT(" ",LEN(Registro!$F753))),({1,2,3,4,5,6,7,8,9,10,11,12,13,14,15,16,17,18,19,20,21,22,23,24,25,26,27,28,29,30}-1)*LEN(Registro!$F753)+1,LEN(Registro!$F753))),FIND("x",TRIM(MID(SUBSTITUTE(SUBSTITUTE(SUBSTITUTE(SUBSTITUTE(SUBSTITUTE(LOWER(Registro!$F753)," ",""),CHAR(10),"|"),";","|"),"+","|"),"|",REPT(" ",LEN(Registro!$F753))),({1,2,3,4,5,6,7,8,9,10,11,12,13,14,15,16,17,18,19,20,21,22,23,24,25,26,27,28,29,30}-1)*LEN(Registro!$F753)+1,LEN(Registro!$F753)))&amp;"x")+1,20))),"Revisar formato")))</f>
        <v/>
      </c>
      <c r="H753" s="21" t="str">
        <f>IF(AND(Registro!$E753="",Registro!$F753=""),"",IF(NOT(AND(ISNUMBER(G753),ISNUMBER(Registro!$G753))),"",IF(G753&lt;Registro!$G753,"FALTA BOLETOS",IF(G753=Registro!$G753,"CONFORME","DIFERENCIA"))))</f>
        <v/>
      </c>
      <c r="I753" s="24" t="str">
        <f>IF(Registro!$H753="","",IFERROR(SUMPRODUCT(--("0"&amp;TRIM(RIGHT(SUBSTITUTE(TRIM(MID(SUBSTITUTE(SUBSTITUTE(Registro!$H753,";",CHAR(10)),CHAR(10),REPT(" ",LEN(Registro!$H753))),({1,2,3,4,5,6,7,8,9,10,11,12,13,14,15,16,17,18,19,20,21,22,23,24,25,26,27,28,29,30}-1)*LEN(Registro!$H753)+1,LEN(Registro!$H753)))," ",REPT(" ",50)),50)))),"Revisar formato"))</f>
        <v/>
      </c>
      <c r="J753" s="24" t="str">
        <f>IF(Registro!$I753="","",IFERROR(SUMPRODUCT(--("0"&amp;TRIM(RIGHT(SUBSTITUTE(TRIM(MID(SUBSTITUTE(SUBSTITUTE(Registro!$I753,";",CHAR(10)),CHAR(10),REPT(" ",LEN(Registro!$I753))),({1,2,3,4,5,6,7,8,9,10,11,12,13,14,15,16,17,18,19,20,21,22,23,24,25,26,27,28,29,30}-1)*LEN(Registro!$I753)+1,LEN(Registro!$I753)))," ",REPT(" ",50)),50)))),"Revisar formato"))</f>
        <v/>
      </c>
      <c r="K753" s="24" t="str">
        <f>IF(AND(Registro!$G753="",Registro!$H753=""),"",IF(AND(ISTEXT(I753),I753&lt;&gt;""),"Revisar formato",N(Registro!$G753)-N(I753)))</f>
        <v/>
      </c>
      <c r="L753" s="24" t="str">
        <f t="shared" si="23"/>
        <v/>
      </c>
      <c r="M753" s="36" t="str">
        <f>IF(AND(A753=Consulta!$B$3,C753=Consulta!$H$3),B753*10000+ROW(),"")</f>
        <v/>
      </c>
    </row>
    <row r="754" spans="1:13" x14ac:dyDescent="0.25">
      <c r="A754" s="21" t="str">
        <f>IF(Registro!$A754="","",Registro!$A754)</f>
        <v/>
      </c>
      <c r="B754" s="20" t="str">
        <f>IF(Registro!$B754="","",Registro!$B754)</f>
        <v/>
      </c>
      <c r="C754" s="35" t="str">
        <f t="shared" si="22"/>
        <v/>
      </c>
      <c r="D754" s="23" t="str">
        <f>IF(Registro!$E754="","",IF(ISERROR(FIND("x",LOWER(Registro!$E754))),"-",IFERROR(SUMPRODUCT(--("0"&amp;LEFT(TRIM(MID(SUBSTITUTE(SUBSTITUTE(SUBSTITUTE(SUBSTITUTE(SUBSTITUTE(LOWER(Registro!$E754),"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",LEN(Registro!$E754))),({1,2,3,4,5,6,7,8,9,10,11,12,13,14,15,16,17,18,19,20,21,22,23,24,25,26,27,28,29,30}-1)*LEN(Registro!$E754)+1,LEN(Registro!$E754))),FIND("x",TRIM(MID(SUBSTITUTE(SUBSTITUTE(SUBSTITUTE(SUBSTITUTE(SUBSTITUTE(LOWER(Registro!$E754),"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",LEN(Registro!$E754))),({1,2,3,4,5,6,7,8,9,10,11,12,13,14,15,16,17,18,19,20,21,22,23,24,25,26,27,28,29,30}-1)*LEN(Registro!$E754)+1,LEN(Registro!$E754)))&amp;"x")-1))),"Revisar formato")))</f>
        <v/>
      </c>
      <c r="E754" s="24" t="str">
        <f>IF(Registro!$E754="","",IF(ISERROR(FIND("x",LOWER(Registro!$E754))),"-",IFERROR(SUMPRODUCT(--("0"&amp;LEFT(TRIM(MID(SUBSTITUTE(SUBSTITUTE(SUBSTITUTE(SUBSTITUTE(SUBSTITUTE(LOWER(Registro!$E754),"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",LEN(Registro!$E754))),({1,2,3,4,5,6,7,8,9,10,11,12,13,14,15,16,17,18,19,20,21,22,23,24,25,26,27,28,29,30}-1)*LEN(Registro!$E754)+1,LEN(Registro!$E754))),FIND("x",TRIM(MID(SUBSTITUTE(SUBSTITUTE(SUBSTITUTE(SUBSTITUTE(SUBSTITUTE(LOWER(Registro!$E754),"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",LEN(Registro!$E754))),({1,2,3,4,5,6,7,8,9,10,11,12,13,14,15,16,17,18,19,20,21,22,23,24,25,26,27,28,29,30}-1)*LEN(Registro!$E754)+1,LEN(Registro!$E754)))&amp;"x")-1)),--("0"&amp;MID(TRIM(MID(SUBSTITUTE(SUBSTITUTE(SUBSTITUTE(SUBSTITUTE(SUBSTITUTE(LOWER(Registro!$E754),"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",LEN(Registro!$E754))),({1,2,3,4,5,6,7,8,9,10,11,12,13,14,15,16,17,18,19,20,21,22,23,24,25,26,27,28,29,30}-1)*LEN(Registro!$E754)+1,LEN(Registro!$E754))),FIND("x",TRIM(MID(SUBSTITUTE(SUBSTITUTE(SUBSTITUTE(SUBSTITUTE(SUBSTITUTE(LOWER(Registro!$E754),"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",LEN(Registro!$E754))),({1,2,3,4,5,6,7,8,9,10,11,12,13,14,15,16,17,18,19,20,21,22,23,24,25,26,27,28,29,30}-1)*LEN(Registro!$E754)+1,LEN(Registro!$E754)))&amp;"x")+1,20))),"Revisar formato")))</f>
        <v/>
      </c>
      <c r="F754" s="23" t="str">
        <f>IF(Registro!$F754="","",IF(ISERROR(FIND("x",LOWER(Registro!$F754))),"-",IFERROR(SUMPRODUCT(--("0"&amp;LEFT(TRIM(MID(SUBSTITUTE(SUBSTITUTE(SUBSTITUTE(SUBSTITUTE(SUBSTITUTE(LOWER(Registro!$F754)," ",""),CHAR(10),"|"),";","|"),"+","|"),"|",REPT(" ",LEN(Registro!$F754))),({1,2,3,4,5,6,7,8,9,10,11,12,13,14,15,16,17,18,19,20,21,22,23,24,25,26,27,28,29,30}-1)*LEN(Registro!$F754)+1,LEN(Registro!$F754))),FIND("x",TRIM(MID(SUBSTITUTE(SUBSTITUTE(SUBSTITUTE(SUBSTITUTE(SUBSTITUTE(LOWER(Registro!$F754)," ",""),CHAR(10),"|"),";","|"),"+","|"),"|",REPT(" ",LEN(Registro!$F754))),({1,2,3,4,5,6,7,8,9,10,11,12,13,14,15,16,17,18,19,20,21,22,23,24,25,26,27,28,29,30}-1)*LEN(Registro!$F754)+1,LEN(Registro!$F754)))&amp;"x")-1))),"Revisar formato")))</f>
        <v/>
      </c>
      <c r="G754" s="24" t="str">
        <f>IF(Registro!$F754="","",IF(ISERROR(FIND("x",LOWER(Registro!$F754))),N(Registro!$G754),IFERROR(SUMPRODUCT(--("0"&amp;LEFT(TRIM(MID(SUBSTITUTE(SUBSTITUTE(SUBSTITUTE(SUBSTITUTE(SUBSTITUTE(LOWER(Registro!$F754)," ",""),CHAR(10),"|"),";","|"),"+","|"),"|",REPT(" ",LEN(Registro!$F754))),({1,2,3,4,5,6,7,8,9,10,11,12,13,14,15,16,17,18,19,20,21,22,23,24,25,26,27,28,29,30}-1)*LEN(Registro!$F754)+1,LEN(Registro!$F754))),FIND("x",TRIM(MID(SUBSTITUTE(SUBSTITUTE(SUBSTITUTE(SUBSTITUTE(SUBSTITUTE(LOWER(Registro!$F754)," ",""),CHAR(10),"|"),";","|"),"+","|"),"|",REPT(" ",LEN(Registro!$F754))),({1,2,3,4,5,6,7,8,9,10,11,12,13,14,15,16,17,18,19,20,21,22,23,24,25,26,27,28,29,30}-1)*LEN(Registro!$F754)+1,LEN(Registro!$F754)))&amp;"x")-1)),--("0"&amp;MID(TRIM(MID(SUBSTITUTE(SUBSTITUTE(SUBSTITUTE(SUBSTITUTE(SUBSTITUTE(LOWER(Registro!$F754)," ",""),CHAR(10),"|"),";","|"),"+","|"),"|",REPT(" ",LEN(Registro!$F754))),({1,2,3,4,5,6,7,8,9,10,11,12,13,14,15,16,17,18,19,20,21,22,23,24,25,26,27,28,29,30}-1)*LEN(Registro!$F754)+1,LEN(Registro!$F754))),FIND("x",TRIM(MID(SUBSTITUTE(SUBSTITUTE(SUBSTITUTE(SUBSTITUTE(SUBSTITUTE(LOWER(Registro!$F754)," ",""),CHAR(10),"|"),";","|"),"+","|"),"|",REPT(" ",LEN(Registro!$F754))),({1,2,3,4,5,6,7,8,9,10,11,12,13,14,15,16,17,18,19,20,21,22,23,24,25,26,27,28,29,30}-1)*LEN(Registro!$F754)+1,LEN(Registro!$F754)))&amp;"x")+1,20))),"Revisar formato")))</f>
        <v/>
      </c>
      <c r="H754" s="21" t="str">
        <f>IF(AND(Registro!$E754="",Registro!$F754=""),"",IF(NOT(AND(ISNUMBER(G754),ISNUMBER(Registro!$G754))),"",IF(G754&lt;Registro!$G754,"FALTA BOLETOS",IF(G754=Registro!$G754,"CONFORME","DIFERENCIA"))))</f>
        <v/>
      </c>
      <c r="I754" s="24" t="str">
        <f>IF(Registro!$H754="","",IFERROR(SUMPRODUCT(--("0"&amp;TRIM(RIGHT(SUBSTITUTE(TRIM(MID(SUBSTITUTE(SUBSTITUTE(Registro!$H754,";",CHAR(10)),CHAR(10),REPT(" ",LEN(Registro!$H754))),({1,2,3,4,5,6,7,8,9,10,11,12,13,14,15,16,17,18,19,20,21,22,23,24,25,26,27,28,29,30}-1)*LEN(Registro!$H754)+1,LEN(Registro!$H754)))," ",REPT(" ",50)),50)))),"Revisar formato"))</f>
        <v/>
      </c>
      <c r="J754" s="24" t="str">
        <f>IF(Registro!$I754="","",IFERROR(SUMPRODUCT(--("0"&amp;TRIM(RIGHT(SUBSTITUTE(TRIM(MID(SUBSTITUTE(SUBSTITUTE(Registro!$I754,";",CHAR(10)),CHAR(10),REPT(" ",LEN(Registro!$I754))),({1,2,3,4,5,6,7,8,9,10,11,12,13,14,15,16,17,18,19,20,21,22,23,24,25,26,27,28,29,30}-1)*LEN(Registro!$I754)+1,LEN(Registro!$I754)))," ",REPT(" ",50)),50)))),"Revisar formato"))</f>
        <v/>
      </c>
      <c r="K754" s="24" t="str">
        <f>IF(AND(Registro!$G754="",Registro!$H754=""),"",IF(AND(ISTEXT(I754),I754&lt;&gt;""),"Revisar formato",N(Registro!$G754)-N(I754)))</f>
        <v/>
      </c>
      <c r="L754" s="24" t="str">
        <f t="shared" si="23"/>
        <v/>
      </c>
      <c r="M754" s="36" t="str">
        <f>IF(AND(A754=Consulta!$B$3,C754=Consulta!$H$3),B754*10000+ROW(),"")</f>
        <v/>
      </c>
    </row>
    <row r="755" spans="1:13" x14ac:dyDescent="0.25">
      <c r="A755" s="21" t="str">
        <f>IF(Registro!$A755="","",Registro!$A755)</f>
        <v/>
      </c>
      <c r="B755" s="20" t="str">
        <f>IF(Registro!$B755="","",Registro!$B755)</f>
        <v/>
      </c>
      <c r="C755" s="35" t="str">
        <f t="shared" si="22"/>
        <v/>
      </c>
      <c r="D755" s="23" t="str">
        <f>IF(Registro!$E755="","",IF(ISERROR(FIND("x",LOWER(Registro!$E755))),"-",IFERROR(SUMPRODUCT(--("0"&amp;LEFT(TRIM(MID(SUBSTITUTE(SUBSTITUTE(SUBSTITUTE(SUBSTITUTE(SUBSTITUTE(LOWER(Registro!$E755),"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",LEN(Registro!$E755))),({1,2,3,4,5,6,7,8,9,10,11,12,13,14,15,16,17,18,19,20,21,22,23,24,25,26,27,28,29,30}-1)*LEN(Registro!$E755)+1,LEN(Registro!$E755))),FIND("x",TRIM(MID(SUBSTITUTE(SUBSTITUTE(SUBSTITUTE(SUBSTITUTE(SUBSTITUTE(LOWER(Registro!$E755),"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",LEN(Registro!$E755))),({1,2,3,4,5,6,7,8,9,10,11,12,13,14,15,16,17,18,19,20,21,22,23,24,25,26,27,28,29,30}-1)*LEN(Registro!$E755)+1,LEN(Registro!$E755)))&amp;"x")-1))),"Revisar formato")))</f>
        <v/>
      </c>
      <c r="E755" s="24" t="str">
        <f>IF(Registro!$E755="","",IF(ISERROR(FIND("x",LOWER(Registro!$E755))),"-",IFERROR(SUMPRODUCT(--("0"&amp;LEFT(TRIM(MID(SUBSTITUTE(SUBSTITUTE(SUBSTITUTE(SUBSTITUTE(SUBSTITUTE(LOWER(Registro!$E755),"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",LEN(Registro!$E755))),({1,2,3,4,5,6,7,8,9,10,11,12,13,14,15,16,17,18,19,20,21,22,23,24,25,26,27,28,29,30}-1)*LEN(Registro!$E755)+1,LEN(Registro!$E755))),FIND("x",TRIM(MID(SUBSTITUTE(SUBSTITUTE(SUBSTITUTE(SUBSTITUTE(SUBSTITUTE(LOWER(Registro!$E755),"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",LEN(Registro!$E755))),({1,2,3,4,5,6,7,8,9,10,11,12,13,14,15,16,17,18,19,20,21,22,23,24,25,26,27,28,29,30}-1)*LEN(Registro!$E755)+1,LEN(Registro!$E755)))&amp;"x")-1)),--("0"&amp;MID(TRIM(MID(SUBSTITUTE(SUBSTITUTE(SUBSTITUTE(SUBSTITUTE(SUBSTITUTE(LOWER(Registro!$E755),"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",LEN(Registro!$E755))),({1,2,3,4,5,6,7,8,9,10,11,12,13,14,15,16,17,18,19,20,21,22,23,24,25,26,27,28,29,30}-1)*LEN(Registro!$E755)+1,LEN(Registro!$E755))),FIND("x",TRIM(MID(SUBSTITUTE(SUBSTITUTE(SUBSTITUTE(SUBSTITUTE(SUBSTITUTE(LOWER(Registro!$E755),"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",LEN(Registro!$E755))),({1,2,3,4,5,6,7,8,9,10,11,12,13,14,15,16,17,18,19,20,21,22,23,24,25,26,27,28,29,30}-1)*LEN(Registro!$E755)+1,LEN(Registro!$E755)))&amp;"x")+1,20))),"Revisar formato")))</f>
        <v/>
      </c>
      <c r="F755" s="23" t="str">
        <f>IF(Registro!$F755="","",IF(ISERROR(FIND("x",LOWER(Registro!$F755))),"-",IFERROR(SUMPRODUCT(--("0"&amp;LEFT(TRIM(MID(SUBSTITUTE(SUBSTITUTE(SUBSTITUTE(SUBSTITUTE(SUBSTITUTE(LOWER(Registro!$F755)," ",""),CHAR(10),"|"),";","|"),"+","|"),"|",REPT(" ",LEN(Registro!$F755))),({1,2,3,4,5,6,7,8,9,10,11,12,13,14,15,16,17,18,19,20,21,22,23,24,25,26,27,28,29,30}-1)*LEN(Registro!$F755)+1,LEN(Registro!$F755))),FIND("x",TRIM(MID(SUBSTITUTE(SUBSTITUTE(SUBSTITUTE(SUBSTITUTE(SUBSTITUTE(LOWER(Registro!$F755)," ",""),CHAR(10),"|"),";","|"),"+","|"),"|",REPT(" ",LEN(Registro!$F755))),({1,2,3,4,5,6,7,8,9,10,11,12,13,14,15,16,17,18,19,20,21,22,23,24,25,26,27,28,29,30}-1)*LEN(Registro!$F755)+1,LEN(Registro!$F755)))&amp;"x")-1))),"Revisar formato")))</f>
        <v/>
      </c>
      <c r="G755" s="24" t="str">
        <f>IF(Registro!$F755="","",IF(ISERROR(FIND("x",LOWER(Registro!$F755))),N(Registro!$G755),IFERROR(SUMPRODUCT(--("0"&amp;LEFT(TRIM(MID(SUBSTITUTE(SUBSTITUTE(SUBSTITUTE(SUBSTITUTE(SUBSTITUTE(LOWER(Registro!$F755)," ",""),CHAR(10),"|"),";","|"),"+","|"),"|",REPT(" ",LEN(Registro!$F755))),({1,2,3,4,5,6,7,8,9,10,11,12,13,14,15,16,17,18,19,20,21,22,23,24,25,26,27,28,29,30}-1)*LEN(Registro!$F755)+1,LEN(Registro!$F755))),FIND("x",TRIM(MID(SUBSTITUTE(SUBSTITUTE(SUBSTITUTE(SUBSTITUTE(SUBSTITUTE(LOWER(Registro!$F755)," ",""),CHAR(10),"|"),";","|"),"+","|"),"|",REPT(" ",LEN(Registro!$F755))),({1,2,3,4,5,6,7,8,9,10,11,12,13,14,15,16,17,18,19,20,21,22,23,24,25,26,27,28,29,30}-1)*LEN(Registro!$F755)+1,LEN(Registro!$F755)))&amp;"x")-1)),--("0"&amp;MID(TRIM(MID(SUBSTITUTE(SUBSTITUTE(SUBSTITUTE(SUBSTITUTE(SUBSTITUTE(LOWER(Registro!$F755)," ",""),CHAR(10),"|"),";","|"),"+","|"),"|",REPT(" ",LEN(Registro!$F755))),({1,2,3,4,5,6,7,8,9,10,11,12,13,14,15,16,17,18,19,20,21,22,23,24,25,26,27,28,29,30}-1)*LEN(Registro!$F755)+1,LEN(Registro!$F755))),FIND("x",TRIM(MID(SUBSTITUTE(SUBSTITUTE(SUBSTITUTE(SUBSTITUTE(SUBSTITUTE(LOWER(Registro!$F755)," ",""),CHAR(10),"|"),";","|"),"+","|"),"|",REPT(" ",LEN(Registro!$F755))),({1,2,3,4,5,6,7,8,9,10,11,12,13,14,15,16,17,18,19,20,21,22,23,24,25,26,27,28,29,30}-1)*LEN(Registro!$F755)+1,LEN(Registro!$F755)))&amp;"x")+1,20))),"Revisar formato")))</f>
        <v/>
      </c>
      <c r="H755" s="21" t="str">
        <f>IF(AND(Registro!$E755="",Registro!$F755=""),"",IF(NOT(AND(ISNUMBER(G755),ISNUMBER(Registro!$G755))),"",IF(G755&lt;Registro!$G755,"FALTA BOLETOS",IF(G755=Registro!$G755,"CONFORME","DIFERENCIA"))))</f>
        <v/>
      </c>
      <c r="I755" s="24" t="str">
        <f>IF(Registro!$H755="","",IFERROR(SUMPRODUCT(--("0"&amp;TRIM(RIGHT(SUBSTITUTE(TRIM(MID(SUBSTITUTE(SUBSTITUTE(Registro!$H755,";",CHAR(10)),CHAR(10),REPT(" ",LEN(Registro!$H755))),({1,2,3,4,5,6,7,8,9,10,11,12,13,14,15,16,17,18,19,20,21,22,23,24,25,26,27,28,29,30}-1)*LEN(Registro!$H755)+1,LEN(Registro!$H755)))," ",REPT(" ",50)),50)))),"Revisar formato"))</f>
        <v/>
      </c>
      <c r="J755" s="24" t="str">
        <f>IF(Registro!$I755="","",IFERROR(SUMPRODUCT(--("0"&amp;TRIM(RIGHT(SUBSTITUTE(TRIM(MID(SUBSTITUTE(SUBSTITUTE(Registro!$I755,";",CHAR(10)),CHAR(10),REPT(" ",LEN(Registro!$I755))),({1,2,3,4,5,6,7,8,9,10,11,12,13,14,15,16,17,18,19,20,21,22,23,24,25,26,27,28,29,30}-1)*LEN(Registro!$I755)+1,LEN(Registro!$I755)))," ",REPT(" ",50)),50)))),"Revisar formato"))</f>
        <v/>
      </c>
      <c r="K755" s="24" t="str">
        <f>IF(AND(Registro!$G755="",Registro!$H755=""),"",IF(AND(ISTEXT(I755),I755&lt;&gt;""),"Revisar formato",N(Registro!$G755)-N(I755)))</f>
        <v/>
      </c>
      <c r="L755" s="24" t="str">
        <f t="shared" si="23"/>
        <v/>
      </c>
      <c r="M755" s="36" t="str">
        <f>IF(AND(A755=Consulta!$B$3,C755=Consulta!$H$3),B755*10000+ROW(),"")</f>
        <v/>
      </c>
    </row>
    <row r="756" spans="1:13" x14ac:dyDescent="0.25">
      <c r="A756" s="21" t="str">
        <f>IF(Registro!$A756="","",Registro!$A756)</f>
        <v/>
      </c>
      <c r="B756" s="20" t="str">
        <f>IF(Registro!$B756="","",Registro!$B756)</f>
        <v/>
      </c>
      <c r="C756" s="35" t="str">
        <f t="shared" si="22"/>
        <v/>
      </c>
      <c r="D756" s="23" t="str">
        <f>IF(Registro!$E756="","",IF(ISERROR(FIND("x",LOWER(Registro!$E756))),"-",IFERROR(SUMPRODUCT(--("0"&amp;LEFT(TRIM(MID(SUBSTITUTE(SUBSTITUTE(SUBSTITUTE(SUBSTITUTE(SUBSTITUTE(LOWER(Registro!$E756),"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",LEN(Registro!$E756))),({1,2,3,4,5,6,7,8,9,10,11,12,13,14,15,16,17,18,19,20,21,22,23,24,25,26,27,28,29,30}-1)*LEN(Registro!$E756)+1,LEN(Registro!$E756))),FIND("x",TRIM(MID(SUBSTITUTE(SUBSTITUTE(SUBSTITUTE(SUBSTITUTE(SUBSTITUTE(LOWER(Registro!$E756),"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",LEN(Registro!$E756))),({1,2,3,4,5,6,7,8,9,10,11,12,13,14,15,16,17,18,19,20,21,22,23,24,25,26,27,28,29,30}-1)*LEN(Registro!$E756)+1,LEN(Registro!$E756)))&amp;"x")-1))),"Revisar formato")))</f>
        <v/>
      </c>
      <c r="E756" s="24" t="str">
        <f>IF(Registro!$E756="","",IF(ISERROR(FIND("x",LOWER(Registro!$E756))),"-",IFERROR(SUMPRODUCT(--("0"&amp;LEFT(TRIM(MID(SUBSTITUTE(SUBSTITUTE(SUBSTITUTE(SUBSTITUTE(SUBSTITUTE(LOWER(Registro!$E756),"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",LEN(Registro!$E756))),({1,2,3,4,5,6,7,8,9,10,11,12,13,14,15,16,17,18,19,20,21,22,23,24,25,26,27,28,29,30}-1)*LEN(Registro!$E756)+1,LEN(Registro!$E756))),FIND("x",TRIM(MID(SUBSTITUTE(SUBSTITUTE(SUBSTITUTE(SUBSTITUTE(SUBSTITUTE(LOWER(Registro!$E756),"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",LEN(Registro!$E756))),({1,2,3,4,5,6,7,8,9,10,11,12,13,14,15,16,17,18,19,20,21,22,23,24,25,26,27,28,29,30}-1)*LEN(Registro!$E756)+1,LEN(Registro!$E756)))&amp;"x")-1)),--("0"&amp;MID(TRIM(MID(SUBSTITUTE(SUBSTITUTE(SUBSTITUTE(SUBSTITUTE(SUBSTITUTE(LOWER(Registro!$E756),"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",LEN(Registro!$E756))),({1,2,3,4,5,6,7,8,9,10,11,12,13,14,15,16,17,18,19,20,21,22,23,24,25,26,27,28,29,30}-1)*LEN(Registro!$E756)+1,LEN(Registro!$E756))),FIND("x",TRIM(MID(SUBSTITUTE(SUBSTITUTE(SUBSTITUTE(SUBSTITUTE(SUBSTITUTE(LOWER(Registro!$E756),"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",LEN(Registro!$E756))),({1,2,3,4,5,6,7,8,9,10,11,12,13,14,15,16,17,18,19,20,21,22,23,24,25,26,27,28,29,30}-1)*LEN(Registro!$E756)+1,LEN(Registro!$E756)))&amp;"x")+1,20))),"Revisar formato")))</f>
        <v/>
      </c>
      <c r="F756" s="23" t="str">
        <f>IF(Registro!$F756="","",IF(ISERROR(FIND("x",LOWER(Registro!$F756))),"-",IFERROR(SUMPRODUCT(--("0"&amp;LEFT(TRIM(MID(SUBSTITUTE(SUBSTITUTE(SUBSTITUTE(SUBSTITUTE(SUBSTITUTE(LOWER(Registro!$F756)," ",""),CHAR(10),"|"),";","|"),"+","|"),"|",REPT(" ",LEN(Registro!$F756))),({1,2,3,4,5,6,7,8,9,10,11,12,13,14,15,16,17,18,19,20,21,22,23,24,25,26,27,28,29,30}-1)*LEN(Registro!$F756)+1,LEN(Registro!$F756))),FIND("x",TRIM(MID(SUBSTITUTE(SUBSTITUTE(SUBSTITUTE(SUBSTITUTE(SUBSTITUTE(LOWER(Registro!$F756)," ",""),CHAR(10),"|"),";","|"),"+","|"),"|",REPT(" ",LEN(Registro!$F756))),({1,2,3,4,5,6,7,8,9,10,11,12,13,14,15,16,17,18,19,20,21,22,23,24,25,26,27,28,29,30}-1)*LEN(Registro!$F756)+1,LEN(Registro!$F756)))&amp;"x")-1))),"Revisar formato")))</f>
        <v/>
      </c>
      <c r="G756" s="24" t="str">
        <f>IF(Registro!$F756="","",IF(ISERROR(FIND("x",LOWER(Registro!$F756))),N(Registro!$G756),IFERROR(SUMPRODUCT(--("0"&amp;LEFT(TRIM(MID(SUBSTITUTE(SUBSTITUTE(SUBSTITUTE(SUBSTITUTE(SUBSTITUTE(LOWER(Registro!$F756)," ",""),CHAR(10),"|"),";","|"),"+","|"),"|",REPT(" ",LEN(Registro!$F756))),({1,2,3,4,5,6,7,8,9,10,11,12,13,14,15,16,17,18,19,20,21,22,23,24,25,26,27,28,29,30}-1)*LEN(Registro!$F756)+1,LEN(Registro!$F756))),FIND("x",TRIM(MID(SUBSTITUTE(SUBSTITUTE(SUBSTITUTE(SUBSTITUTE(SUBSTITUTE(LOWER(Registro!$F756)," ",""),CHAR(10),"|"),";","|"),"+","|"),"|",REPT(" ",LEN(Registro!$F756))),({1,2,3,4,5,6,7,8,9,10,11,12,13,14,15,16,17,18,19,20,21,22,23,24,25,26,27,28,29,30}-1)*LEN(Registro!$F756)+1,LEN(Registro!$F756)))&amp;"x")-1)),--("0"&amp;MID(TRIM(MID(SUBSTITUTE(SUBSTITUTE(SUBSTITUTE(SUBSTITUTE(SUBSTITUTE(LOWER(Registro!$F756)," ",""),CHAR(10),"|"),";","|"),"+","|"),"|",REPT(" ",LEN(Registro!$F756))),({1,2,3,4,5,6,7,8,9,10,11,12,13,14,15,16,17,18,19,20,21,22,23,24,25,26,27,28,29,30}-1)*LEN(Registro!$F756)+1,LEN(Registro!$F756))),FIND("x",TRIM(MID(SUBSTITUTE(SUBSTITUTE(SUBSTITUTE(SUBSTITUTE(SUBSTITUTE(LOWER(Registro!$F756)," ",""),CHAR(10),"|"),";","|"),"+","|"),"|",REPT(" ",LEN(Registro!$F756))),({1,2,3,4,5,6,7,8,9,10,11,12,13,14,15,16,17,18,19,20,21,22,23,24,25,26,27,28,29,30}-1)*LEN(Registro!$F756)+1,LEN(Registro!$F756)))&amp;"x")+1,20))),"Revisar formato")))</f>
        <v/>
      </c>
      <c r="H756" s="21" t="str">
        <f>IF(AND(Registro!$E756="",Registro!$F756=""),"",IF(NOT(AND(ISNUMBER(G756),ISNUMBER(Registro!$G756))),"",IF(G756&lt;Registro!$G756,"FALTA BOLETOS",IF(G756=Registro!$G756,"CONFORME","DIFERENCIA"))))</f>
        <v/>
      </c>
      <c r="I756" s="24" t="str">
        <f>IF(Registro!$H756="","",IFERROR(SUMPRODUCT(--("0"&amp;TRIM(RIGHT(SUBSTITUTE(TRIM(MID(SUBSTITUTE(SUBSTITUTE(Registro!$H756,";",CHAR(10)),CHAR(10),REPT(" ",LEN(Registro!$H756))),({1,2,3,4,5,6,7,8,9,10,11,12,13,14,15,16,17,18,19,20,21,22,23,24,25,26,27,28,29,30}-1)*LEN(Registro!$H756)+1,LEN(Registro!$H756)))," ",REPT(" ",50)),50)))),"Revisar formato"))</f>
        <v/>
      </c>
      <c r="J756" s="24" t="str">
        <f>IF(Registro!$I756="","",IFERROR(SUMPRODUCT(--("0"&amp;TRIM(RIGHT(SUBSTITUTE(TRIM(MID(SUBSTITUTE(SUBSTITUTE(Registro!$I756,";",CHAR(10)),CHAR(10),REPT(" ",LEN(Registro!$I756))),({1,2,3,4,5,6,7,8,9,10,11,12,13,14,15,16,17,18,19,20,21,22,23,24,25,26,27,28,29,30}-1)*LEN(Registro!$I756)+1,LEN(Registro!$I756)))," ",REPT(" ",50)),50)))),"Revisar formato"))</f>
        <v/>
      </c>
      <c r="K756" s="24" t="str">
        <f>IF(AND(Registro!$G756="",Registro!$H756=""),"",IF(AND(ISTEXT(I756),I756&lt;&gt;""),"Revisar formato",N(Registro!$G756)-N(I756)))</f>
        <v/>
      </c>
      <c r="L756" s="24" t="str">
        <f t="shared" si="23"/>
        <v/>
      </c>
      <c r="M756" s="36" t="str">
        <f>IF(AND(A756=Consulta!$B$3,C756=Consulta!$H$3),B756*10000+ROW(),"")</f>
        <v/>
      </c>
    </row>
    <row r="757" spans="1:13" x14ac:dyDescent="0.25">
      <c r="A757" s="21" t="str">
        <f>IF(Registro!$A757="","",Registro!$A757)</f>
        <v/>
      </c>
      <c r="B757" s="20" t="str">
        <f>IF(Registro!$B757="","",Registro!$B757)</f>
        <v/>
      </c>
      <c r="C757" s="35" t="str">
        <f t="shared" si="22"/>
        <v/>
      </c>
      <c r="D757" s="23" t="str">
        <f>IF(Registro!$E757="","",IF(ISERROR(FIND("x",LOWER(Registro!$E757))),"-",IFERROR(SUMPRODUCT(--("0"&amp;LEFT(TRIM(MID(SUBSTITUTE(SUBSTITUTE(SUBSTITUTE(SUBSTITUTE(SUBSTITUTE(LOWER(Registro!$E757),"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",LEN(Registro!$E757))),({1,2,3,4,5,6,7,8,9,10,11,12,13,14,15,16,17,18,19,20,21,22,23,24,25,26,27,28,29,30}-1)*LEN(Registro!$E757)+1,LEN(Registro!$E757))),FIND("x",TRIM(MID(SUBSTITUTE(SUBSTITUTE(SUBSTITUTE(SUBSTITUTE(SUBSTITUTE(LOWER(Registro!$E757),"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",LEN(Registro!$E757))),({1,2,3,4,5,6,7,8,9,10,11,12,13,14,15,16,17,18,19,20,21,22,23,24,25,26,27,28,29,30}-1)*LEN(Registro!$E757)+1,LEN(Registro!$E757)))&amp;"x")-1))),"Revisar formato")))</f>
        <v/>
      </c>
      <c r="E757" s="24" t="str">
        <f>IF(Registro!$E757="","",IF(ISERROR(FIND("x",LOWER(Registro!$E757))),"-",IFERROR(SUMPRODUCT(--("0"&amp;LEFT(TRIM(MID(SUBSTITUTE(SUBSTITUTE(SUBSTITUTE(SUBSTITUTE(SUBSTITUTE(LOWER(Registro!$E757),"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",LEN(Registro!$E757))),({1,2,3,4,5,6,7,8,9,10,11,12,13,14,15,16,17,18,19,20,21,22,23,24,25,26,27,28,29,30}-1)*LEN(Registro!$E757)+1,LEN(Registro!$E757))),FIND("x",TRIM(MID(SUBSTITUTE(SUBSTITUTE(SUBSTITUTE(SUBSTITUTE(SUBSTITUTE(LOWER(Registro!$E757),"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",LEN(Registro!$E757))),({1,2,3,4,5,6,7,8,9,10,11,12,13,14,15,16,17,18,19,20,21,22,23,24,25,26,27,28,29,30}-1)*LEN(Registro!$E757)+1,LEN(Registro!$E757)))&amp;"x")-1)),--("0"&amp;MID(TRIM(MID(SUBSTITUTE(SUBSTITUTE(SUBSTITUTE(SUBSTITUTE(SUBSTITUTE(LOWER(Registro!$E757),"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",LEN(Registro!$E757))),({1,2,3,4,5,6,7,8,9,10,11,12,13,14,15,16,17,18,19,20,21,22,23,24,25,26,27,28,29,30}-1)*LEN(Registro!$E757)+1,LEN(Registro!$E757))),FIND("x",TRIM(MID(SUBSTITUTE(SUBSTITUTE(SUBSTITUTE(SUBSTITUTE(SUBSTITUTE(LOWER(Registro!$E757),"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",LEN(Registro!$E757))),({1,2,3,4,5,6,7,8,9,10,11,12,13,14,15,16,17,18,19,20,21,22,23,24,25,26,27,28,29,30}-1)*LEN(Registro!$E757)+1,LEN(Registro!$E757)))&amp;"x")+1,20))),"Revisar formato")))</f>
        <v/>
      </c>
      <c r="F757" s="23" t="str">
        <f>IF(Registro!$F757="","",IF(ISERROR(FIND("x",LOWER(Registro!$F757))),"-",IFERROR(SUMPRODUCT(--("0"&amp;LEFT(TRIM(MID(SUBSTITUTE(SUBSTITUTE(SUBSTITUTE(SUBSTITUTE(SUBSTITUTE(LOWER(Registro!$F757)," ",""),CHAR(10),"|"),";","|"),"+","|"),"|",REPT(" ",LEN(Registro!$F757))),({1,2,3,4,5,6,7,8,9,10,11,12,13,14,15,16,17,18,19,20,21,22,23,24,25,26,27,28,29,30}-1)*LEN(Registro!$F757)+1,LEN(Registro!$F757))),FIND("x",TRIM(MID(SUBSTITUTE(SUBSTITUTE(SUBSTITUTE(SUBSTITUTE(SUBSTITUTE(LOWER(Registro!$F757)," ",""),CHAR(10),"|"),";","|"),"+","|"),"|",REPT(" ",LEN(Registro!$F757))),({1,2,3,4,5,6,7,8,9,10,11,12,13,14,15,16,17,18,19,20,21,22,23,24,25,26,27,28,29,30}-1)*LEN(Registro!$F757)+1,LEN(Registro!$F757)))&amp;"x")-1))),"Revisar formato")))</f>
        <v/>
      </c>
      <c r="G757" s="24" t="str">
        <f>IF(Registro!$F757="","",IF(ISERROR(FIND("x",LOWER(Registro!$F757))),N(Registro!$G757),IFERROR(SUMPRODUCT(--("0"&amp;LEFT(TRIM(MID(SUBSTITUTE(SUBSTITUTE(SUBSTITUTE(SUBSTITUTE(SUBSTITUTE(LOWER(Registro!$F757)," ",""),CHAR(10),"|"),";","|"),"+","|"),"|",REPT(" ",LEN(Registro!$F757))),({1,2,3,4,5,6,7,8,9,10,11,12,13,14,15,16,17,18,19,20,21,22,23,24,25,26,27,28,29,30}-1)*LEN(Registro!$F757)+1,LEN(Registro!$F757))),FIND("x",TRIM(MID(SUBSTITUTE(SUBSTITUTE(SUBSTITUTE(SUBSTITUTE(SUBSTITUTE(LOWER(Registro!$F757)," ",""),CHAR(10),"|"),";","|"),"+","|"),"|",REPT(" ",LEN(Registro!$F757))),({1,2,3,4,5,6,7,8,9,10,11,12,13,14,15,16,17,18,19,20,21,22,23,24,25,26,27,28,29,30}-1)*LEN(Registro!$F757)+1,LEN(Registro!$F757)))&amp;"x")-1)),--("0"&amp;MID(TRIM(MID(SUBSTITUTE(SUBSTITUTE(SUBSTITUTE(SUBSTITUTE(SUBSTITUTE(LOWER(Registro!$F757)," ",""),CHAR(10),"|"),";","|"),"+","|"),"|",REPT(" ",LEN(Registro!$F757))),({1,2,3,4,5,6,7,8,9,10,11,12,13,14,15,16,17,18,19,20,21,22,23,24,25,26,27,28,29,30}-1)*LEN(Registro!$F757)+1,LEN(Registro!$F757))),FIND("x",TRIM(MID(SUBSTITUTE(SUBSTITUTE(SUBSTITUTE(SUBSTITUTE(SUBSTITUTE(LOWER(Registro!$F757)," ",""),CHAR(10),"|"),";","|"),"+","|"),"|",REPT(" ",LEN(Registro!$F757))),({1,2,3,4,5,6,7,8,9,10,11,12,13,14,15,16,17,18,19,20,21,22,23,24,25,26,27,28,29,30}-1)*LEN(Registro!$F757)+1,LEN(Registro!$F757)))&amp;"x")+1,20))),"Revisar formato")))</f>
        <v/>
      </c>
      <c r="H757" s="21" t="str">
        <f>IF(AND(Registro!$E757="",Registro!$F757=""),"",IF(NOT(AND(ISNUMBER(G757),ISNUMBER(Registro!$G757))),"",IF(G757&lt;Registro!$G757,"FALTA BOLETOS",IF(G757=Registro!$G757,"CONFORME","DIFERENCIA"))))</f>
        <v/>
      </c>
      <c r="I757" s="24" t="str">
        <f>IF(Registro!$H757="","",IFERROR(SUMPRODUCT(--("0"&amp;TRIM(RIGHT(SUBSTITUTE(TRIM(MID(SUBSTITUTE(SUBSTITUTE(Registro!$H757,";",CHAR(10)),CHAR(10),REPT(" ",LEN(Registro!$H757))),({1,2,3,4,5,6,7,8,9,10,11,12,13,14,15,16,17,18,19,20,21,22,23,24,25,26,27,28,29,30}-1)*LEN(Registro!$H757)+1,LEN(Registro!$H757)))," ",REPT(" ",50)),50)))),"Revisar formato"))</f>
        <v/>
      </c>
      <c r="J757" s="24" t="str">
        <f>IF(Registro!$I757="","",IFERROR(SUMPRODUCT(--("0"&amp;TRIM(RIGHT(SUBSTITUTE(TRIM(MID(SUBSTITUTE(SUBSTITUTE(Registro!$I757,";",CHAR(10)),CHAR(10),REPT(" ",LEN(Registro!$I757))),({1,2,3,4,5,6,7,8,9,10,11,12,13,14,15,16,17,18,19,20,21,22,23,24,25,26,27,28,29,30}-1)*LEN(Registro!$I757)+1,LEN(Registro!$I757)))," ",REPT(" ",50)),50)))),"Revisar formato"))</f>
        <v/>
      </c>
      <c r="K757" s="24" t="str">
        <f>IF(AND(Registro!$G757="",Registro!$H757=""),"",IF(AND(ISTEXT(I757),I757&lt;&gt;""),"Revisar formato",N(Registro!$G757)-N(I757)))</f>
        <v/>
      </c>
      <c r="L757" s="24" t="str">
        <f t="shared" si="23"/>
        <v/>
      </c>
      <c r="M757" s="36" t="str">
        <f>IF(AND(A757=Consulta!$B$3,C757=Consulta!$H$3),B757*10000+ROW(),"")</f>
        <v/>
      </c>
    </row>
    <row r="758" spans="1:13" x14ac:dyDescent="0.25">
      <c r="A758" s="21" t="str">
        <f>IF(Registro!$A758="","",Registro!$A758)</f>
        <v/>
      </c>
      <c r="B758" s="20" t="str">
        <f>IF(Registro!$B758="","",Registro!$B758)</f>
        <v/>
      </c>
      <c r="C758" s="35" t="str">
        <f t="shared" si="22"/>
        <v/>
      </c>
      <c r="D758" s="23" t="str">
        <f>IF(Registro!$E758="","",IF(ISERROR(FIND("x",LOWER(Registro!$E758))),"-",IFERROR(SUMPRODUCT(--("0"&amp;LEFT(TRIM(MID(SUBSTITUTE(SUBSTITUTE(SUBSTITUTE(SUBSTITUTE(SUBSTITUTE(LOWER(Registro!$E758),"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",LEN(Registro!$E758))),({1,2,3,4,5,6,7,8,9,10,11,12,13,14,15,16,17,18,19,20,21,22,23,24,25,26,27,28,29,30}-1)*LEN(Registro!$E758)+1,LEN(Registro!$E758))),FIND("x",TRIM(MID(SUBSTITUTE(SUBSTITUTE(SUBSTITUTE(SUBSTITUTE(SUBSTITUTE(LOWER(Registro!$E758),"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",LEN(Registro!$E758))),({1,2,3,4,5,6,7,8,9,10,11,12,13,14,15,16,17,18,19,20,21,22,23,24,25,26,27,28,29,30}-1)*LEN(Registro!$E758)+1,LEN(Registro!$E758)))&amp;"x")-1))),"Revisar formato")))</f>
        <v/>
      </c>
      <c r="E758" s="24" t="str">
        <f>IF(Registro!$E758="","",IF(ISERROR(FIND("x",LOWER(Registro!$E758))),"-",IFERROR(SUMPRODUCT(--("0"&amp;LEFT(TRIM(MID(SUBSTITUTE(SUBSTITUTE(SUBSTITUTE(SUBSTITUTE(SUBSTITUTE(LOWER(Registro!$E758),"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",LEN(Registro!$E758))),({1,2,3,4,5,6,7,8,9,10,11,12,13,14,15,16,17,18,19,20,21,22,23,24,25,26,27,28,29,30}-1)*LEN(Registro!$E758)+1,LEN(Registro!$E758))),FIND("x",TRIM(MID(SUBSTITUTE(SUBSTITUTE(SUBSTITUTE(SUBSTITUTE(SUBSTITUTE(LOWER(Registro!$E758),"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",LEN(Registro!$E758))),({1,2,3,4,5,6,7,8,9,10,11,12,13,14,15,16,17,18,19,20,21,22,23,24,25,26,27,28,29,30}-1)*LEN(Registro!$E758)+1,LEN(Registro!$E758)))&amp;"x")-1)),--("0"&amp;MID(TRIM(MID(SUBSTITUTE(SUBSTITUTE(SUBSTITUTE(SUBSTITUTE(SUBSTITUTE(LOWER(Registro!$E758),"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",LEN(Registro!$E758))),({1,2,3,4,5,6,7,8,9,10,11,12,13,14,15,16,17,18,19,20,21,22,23,24,25,26,27,28,29,30}-1)*LEN(Registro!$E758)+1,LEN(Registro!$E758))),FIND("x",TRIM(MID(SUBSTITUTE(SUBSTITUTE(SUBSTITUTE(SUBSTITUTE(SUBSTITUTE(LOWER(Registro!$E758),"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",LEN(Registro!$E758))),({1,2,3,4,5,6,7,8,9,10,11,12,13,14,15,16,17,18,19,20,21,22,23,24,25,26,27,28,29,30}-1)*LEN(Registro!$E758)+1,LEN(Registro!$E758)))&amp;"x")+1,20))),"Revisar formato")))</f>
        <v/>
      </c>
      <c r="F758" s="23" t="str">
        <f>IF(Registro!$F758="","",IF(ISERROR(FIND("x",LOWER(Registro!$F758))),"-",IFERROR(SUMPRODUCT(--("0"&amp;LEFT(TRIM(MID(SUBSTITUTE(SUBSTITUTE(SUBSTITUTE(SUBSTITUTE(SUBSTITUTE(LOWER(Registro!$F758)," ",""),CHAR(10),"|"),";","|"),"+","|"),"|",REPT(" ",LEN(Registro!$F758))),({1,2,3,4,5,6,7,8,9,10,11,12,13,14,15,16,17,18,19,20,21,22,23,24,25,26,27,28,29,30}-1)*LEN(Registro!$F758)+1,LEN(Registro!$F758))),FIND("x",TRIM(MID(SUBSTITUTE(SUBSTITUTE(SUBSTITUTE(SUBSTITUTE(SUBSTITUTE(LOWER(Registro!$F758)," ",""),CHAR(10),"|"),";","|"),"+","|"),"|",REPT(" ",LEN(Registro!$F758))),({1,2,3,4,5,6,7,8,9,10,11,12,13,14,15,16,17,18,19,20,21,22,23,24,25,26,27,28,29,30}-1)*LEN(Registro!$F758)+1,LEN(Registro!$F758)))&amp;"x")-1))),"Revisar formato")))</f>
        <v/>
      </c>
      <c r="G758" s="24" t="str">
        <f>IF(Registro!$F758="","",IF(ISERROR(FIND("x",LOWER(Registro!$F758))),N(Registro!$G758),IFERROR(SUMPRODUCT(--("0"&amp;LEFT(TRIM(MID(SUBSTITUTE(SUBSTITUTE(SUBSTITUTE(SUBSTITUTE(SUBSTITUTE(LOWER(Registro!$F758)," ",""),CHAR(10),"|"),";","|"),"+","|"),"|",REPT(" ",LEN(Registro!$F758))),({1,2,3,4,5,6,7,8,9,10,11,12,13,14,15,16,17,18,19,20,21,22,23,24,25,26,27,28,29,30}-1)*LEN(Registro!$F758)+1,LEN(Registro!$F758))),FIND("x",TRIM(MID(SUBSTITUTE(SUBSTITUTE(SUBSTITUTE(SUBSTITUTE(SUBSTITUTE(LOWER(Registro!$F758)," ",""),CHAR(10),"|"),";","|"),"+","|"),"|",REPT(" ",LEN(Registro!$F758))),({1,2,3,4,5,6,7,8,9,10,11,12,13,14,15,16,17,18,19,20,21,22,23,24,25,26,27,28,29,30}-1)*LEN(Registro!$F758)+1,LEN(Registro!$F758)))&amp;"x")-1)),--("0"&amp;MID(TRIM(MID(SUBSTITUTE(SUBSTITUTE(SUBSTITUTE(SUBSTITUTE(SUBSTITUTE(LOWER(Registro!$F758)," ",""),CHAR(10),"|"),";","|"),"+","|"),"|",REPT(" ",LEN(Registro!$F758))),({1,2,3,4,5,6,7,8,9,10,11,12,13,14,15,16,17,18,19,20,21,22,23,24,25,26,27,28,29,30}-1)*LEN(Registro!$F758)+1,LEN(Registro!$F758))),FIND("x",TRIM(MID(SUBSTITUTE(SUBSTITUTE(SUBSTITUTE(SUBSTITUTE(SUBSTITUTE(LOWER(Registro!$F758)," ",""),CHAR(10),"|"),";","|"),"+","|"),"|",REPT(" ",LEN(Registro!$F758))),({1,2,3,4,5,6,7,8,9,10,11,12,13,14,15,16,17,18,19,20,21,22,23,24,25,26,27,28,29,30}-1)*LEN(Registro!$F758)+1,LEN(Registro!$F758)))&amp;"x")+1,20))),"Revisar formato")))</f>
        <v/>
      </c>
      <c r="H758" s="21" t="str">
        <f>IF(AND(Registro!$E758="",Registro!$F758=""),"",IF(NOT(AND(ISNUMBER(G758),ISNUMBER(Registro!$G758))),"",IF(G758&lt;Registro!$G758,"FALTA BOLETOS",IF(G758=Registro!$G758,"CONFORME","DIFERENCIA"))))</f>
        <v/>
      </c>
      <c r="I758" s="24" t="str">
        <f>IF(Registro!$H758="","",IFERROR(SUMPRODUCT(--("0"&amp;TRIM(RIGHT(SUBSTITUTE(TRIM(MID(SUBSTITUTE(SUBSTITUTE(Registro!$H758,";",CHAR(10)),CHAR(10),REPT(" ",LEN(Registro!$H758))),({1,2,3,4,5,6,7,8,9,10,11,12,13,14,15,16,17,18,19,20,21,22,23,24,25,26,27,28,29,30}-1)*LEN(Registro!$H758)+1,LEN(Registro!$H758)))," ",REPT(" ",50)),50)))),"Revisar formato"))</f>
        <v/>
      </c>
      <c r="J758" s="24" t="str">
        <f>IF(Registro!$I758="","",IFERROR(SUMPRODUCT(--("0"&amp;TRIM(RIGHT(SUBSTITUTE(TRIM(MID(SUBSTITUTE(SUBSTITUTE(Registro!$I758,";",CHAR(10)),CHAR(10),REPT(" ",LEN(Registro!$I758))),({1,2,3,4,5,6,7,8,9,10,11,12,13,14,15,16,17,18,19,20,21,22,23,24,25,26,27,28,29,30}-1)*LEN(Registro!$I758)+1,LEN(Registro!$I758)))," ",REPT(" ",50)),50)))),"Revisar formato"))</f>
        <v/>
      </c>
      <c r="K758" s="24" t="str">
        <f>IF(AND(Registro!$G758="",Registro!$H758=""),"",IF(AND(ISTEXT(I758),I758&lt;&gt;""),"Revisar formato",N(Registro!$G758)-N(I758)))</f>
        <v/>
      </c>
      <c r="L758" s="24" t="str">
        <f t="shared" si="23"/>
        <v/>
      </c>
      <c r="M758" s="36" t="str">
        <f>IF(AND(A758=Consulta!$B$3,C758=Consulta!$H$3),B758*10000+ROW(),"")</f>
        <v/>
      </c>
    </row>
    <row r="759" spans="1:13" x14ac:dyDescent="0.25">
      <c r="A759" s="21" t="str">
        <f>IF(Registro!$A759="","",Registro!$A759)</f>
        <v/>
      </c>
      <c r="B759" s="20" t="str">
        <f>IF(Registro!$B759="","",Registro!$B759)</f>
        <v/>
      </c>
      <c r="C759" s="35" t="str">
        <f t="shared" si="22"/>
        <v/>
      </c>
      <c r="D759" s="23" t="str">
        <f>IF(Registro!$E759="","",IF(ISERROR(FIND("x",LOWER(Registro!$E759))),"-",IFERROR(SUMPRODUCT(--("0"&amp;LEFT(TRIM(MID(SUBSTITUTE(SUBSTITUTE(SUBSTITUTE(SUBSTITUTE(SUBSTITUTE(LOWER(Registro!$E759),"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",LEN(Registro!$E759))),({1,2,3,4,5,6,7,8,9,10,11,12,13,14,15,16,17,18,19,20,21,22,23,24,25,26,27,28,29,30}-1)*LEN(Registro!$E759)+1,LEN(Registro!$E759))),FIND("x",TRIM(MID(SUBSTITUTE(SUBSTITUTE(SUBSTITUTE(SUBSTITUTE(SUBSTITUTE(LOWER(Registro!$E759),"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",LEN(Registro!$E759))),({1,2,3,4,5,6,7,8,9,10,11,12,13,14,15,16,17,18,19,20,21,22,23,24,25,26,27,28,29,30}-1)*LEN(Registro!$E759)+1,LEN(Registro!$E759)))&amp;"x")-1))),"Revisar formato")))</f>
        <v/>
      </c>
      <c r="E759" s="24" t="str">
        <f>IF(Registro!$E759="","",IF(ISERROR(FIND("x",LOWER(Registro!$E759))),"-",IFERROR(SUMPRODUCT(--("0"&amp;LEFT(TRIM(MID(SUBSTITUTE(SUBSTITUTE(SUBSTITUTE(SUBSTITUTE(SUBSTITUTE(LOWER(Registro!$E759),"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",LEN(Registro!$E759))),({1,2,3,4,5,6,7,8,9,10,11,12,13,14,15,16,17,18,19,20,21,22,23,24,25,26,27,28,29,30}-1)*LEN(Registro!$E759)+1,LEN(Registro!$E759))),FIND("x",TRIM(MID(SUBSTITUTE(SUBSTITUTE(SUBSTITUTE(SUBSTITUTE(SUBSTITUTE(LOWER(Registro!$E759),"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",LEN(Registro!$E759))),({1,2,3,4,5,6,7,8,9,10,11,12,13,14,15,16,17,18,19,20,21,22,23,24,25,26,27,28,29,30}-1)*LEN(Registro!$E759)+1,LEN(Registro!$E759)))&amp;"x")-1)),--("0"&amp;MID(TRIM(MID(SUBSTITUTE(SUBSTITUTE(SUBSTITUTE(SUBSTITUTE(SUBSTITUTE(LOWER(Registro!$E759),"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",LEN(Registro!$E759))),({1,2,3,4,5,6,7,8,9,10,11,12,13,14,15,16,17,18,19,20,21,22,23,24,25,26,27,28,29,30}-1)*LEN(Registro!$E759)+1,LEN(Registro!$E759))),FIND("x",TRIM(MID(SUBSTITUTE(SUBSTITUTE(SUBSTITUTE(SUBSTITUTE(SUBSTITUTE(LOWER(Registro!$E759),"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",LEN(Registro!$E759))),({1,2,3,4,5,6,7,8,9,10,11,12,13,14,15,16,17,18,19,20,21,22,23,24,25,26,27,28,29,30}-1)*LEN(Registro!$E759)+1,LEN(Registro!$E759)))&amp;"x")+1,20))),"Revisar formato")))</f>
        <v/>
      </c>
      <c r="F759" s="23" t="str">
        <f>IF(Registro!$F759="","",IF(ISERROR(FIND("x",LOWER(Registro!$F759))),"-",IFERROR(SUMPRODUCT(--("0"&amp;LEFT(TRIM(MID(SUBSTITUTE(SUBSTITUTE(SUBSTITUTE(SUBSTITUTE(SUBSTITUTE(LOWER(Registro!$F759)," ",""),CHAR(10),"|"),";","|"),"+","|"),"|",REPT(" ",LEN(Registro!$F759))),({1,2,3,4,5,6,7,8,9,10,11,12,13,14,15,16,17,18,19,20,21,22,23,24,25,26,27,28,29,30}-1)*LEN(Registro!$F759)+1,LEN(Registro!$F759))),FIND("x",TRIM(MID(SUBSTITUTE(SUBSTITUTE(SUBSTITUTE(SUBSTITUTE(SUBSTITUTE(LOWER(Registro!$F759)," ",""),CHAR(10),"|"),";","|"),"+","|"),"|",REPT(" ",LEN(Registro!$F759))),({1,2,3,4,5,6,7,8,9,10,11,12,13,14,15,16,17,18,19,20,21,22,23,24,25,26,27,28,29,30}-1)*LEN(Registro!$F759)+1,LEN(Registro!$F759)))&amp;"x")-1))),"Revisar formato")))</f>
        <v/>
      </c>
      <c r="G759" s="24" t="str">
        <f>IF(Registro!$F759="","",IF(ISERROR(FIND("x",LOWER(Registro!$F759))),N(Registro!$G759),IFERROR(SUMPRODUCT(--("0"&amp;LEFT(TRIM(MID(SUBSTITUTE(SUBSTITUTE(SUBSTITUTE(SUBSTITUTE(SUBSTITUTE(LOWER(Registro!$F759)," ",""),CHAR(10),"|"),";","|"),"+","|"),"|",REPT(" ",LEN(Registro!$F759))),({1,2,3,4,5,6,7,8,9,10,11,12,13,14,15,16,17,18,19,20,21,22,23,24,25,26,27,28,29,30}-1)*LEN(Registro!$F759)+1,LEN(Registro!$F759))),FIND("x",TRIM(MID(SUBSTITUTE(SUBSTITUTE(SUBSTITUTE(SUBSTITUTE(SUBSTITUTE(LOWER(Registro!$F759)," ",""),CHAR(10),"|"),";","|"),"+","|"),"|",REPT(" ",LEN(Registro!$F759))),({1,2,3,4,5,6,7,8,9,10,11,12,13,14,15,16,17,18,19,20,21,22,23,24,25,26,27,28,29,30}-1)*LEN(Registro!$F759)+1,LEN(Registro!$F759)))&amp;"x")-1)),--("0"&amp;MID(TRIM(MID(SUBSTITUTE(SUBSTITUTE(SUBSTITUTE(SUBSTITUTE(SUBSTITUTE(LOWER(Registro!$F759)," ",""),CHAR(10),"|"),";","|"),"+","|"),"|",REPT(" ",LEN(Registro!$F759))),({1,2,3,4,5,6,7,8,9,10,11,12,13,14,15,16,17,18,19,20,21,22,23,24,25,26,27,28,29,30}-1)*LEN(Registro!$F759)+1,LEN(Registro!$F759))),FIND("x",TRIM(MID(SUBSTITUTE(SUBSTITUTE(SUBSTITUTE(SUBSTITUTE(SUBSTITUTE(LOWER(Registro!$F759)," ",""),CHAR(10),"|"),";","|"),"+","|"),"|",REPT(" ",LEN(Registro!$F759))),({1,2,3,4,5,6,7,8,9,10,11,12,13,14,15,16,17,18,19,20,21,22,23,24,25,26,27,28,29,30}-1)*LEN(Registro!$F759)+1,LEN(Registro!$F759)))&amp;"x")+1,20))),"Revisar formato")))</f>
        <v/>
      </c>
      <c r="H759" s="21" t="str">
        <f>IF(AND(Registro!$E759="",Registro!$F759=""),"",IF(NOT(AND(ISNUMBER(G759),ISNUMBER(Registro!$G759))),"",IF(G759&lt;Registro!$G759,"FALTA BOLETOS",IF(G759=Registro!$G759,"CONFORME","DIFERENCIA"))))</f>
        <v/>
      </c>
      <c r="I759" s="24" t="str">
        <f>IF(Registro!$H759="","",IFERROR(SUMPRODUCT(--("0"&amp;TRIM(RIGHT(SUBSTITUTE(TRIM(MID(SUBSTITUTE(SUBSTITUTE(Registro!$H759,";",CHAR(10)),CHAR(10),REPT(" ",LEN(Registro!$H759))),({1,2,3,4,5,6,7,8,9,10,11,12,13,14,15,16,17,18,19,20,21,22,23,24,25,26,27,28,29,30}-1)*LEN(Registro!$H759)+1,LEN(Registro!$H759)))," ",REPT(" ",50)),50)))),"Revisar formato"))</f>
        <v/>
      </c>
      <c r="J759" s="24" t="str">
        <f>IF(Registro!$I759="","",IFERROR(SUMPRODUCT(--("0"&amp;TRIM(RIGHT(SUBSTITUTE(TRIM(MID(SUBSTITUTE(SUBSTITUTE(Registro!$I759,";",CHAR(10)),CHAR(10),REPT(" ",LEN(Registro!$I759))),({1,2,3,4,5,6,7,8,9,10,11,12,13,14,15,16,17,18,19,20,21,22,23,24,25,26,27,28,29,30}-1)*LEN(Registro!$I759)+1,LEN(Registro!$I759)))," ",REPT(" ",50)),50)))),"Revisar formato"))</f>
        <v/>
      </c>
      <c r="K759" s="24" t="str">
        <f>IF(AND(Registro!$G759="",Registro!$H759=""),"",IF(AND(ISTEXT(I759),I759&lt;&gt;""),"Revisar formato",N(Registro!$G759)-N(I759)))</f>
        <v/>
      </c>
      <c r="L759" s="24" t="str">
        <f t="shared" si="23"/>
        <v/>
      </c>
      <c r="M759" s="36" t="str">
        <f>IF(AND(A759=Consulta!$B$3,C759=Consulta!$H$3),B759*10000+ROW(),"")</f>
        <v/>
      </c>
    </row>
    <row r="760" spans="1:13" x14ac:dyDescent="0.25">
      <c r="A760" s="21" t="str">
        <f>IF(Registro!$A760="","",Registro!$A760)</f>
        <v/>
      </c>
      <c r="B760" s="20" t="str">
        <f>IF(Registro!$B760="","",Registro!$B760)</f>
        <v/>
      </c>
      <c r="C760" s="35" t="str">
        <f t="shared" si="22"/>
        <v/>
      </c>
      <c r="D760" s="23" t="str">
        <f>IF(Registro!$E760="","",IF(ISERROR(FIND("x",LOWER(Registro!$E760))),"-",IFERROR(SUMPRODUCT(--("0"&amp;LEFT(TRIM(MID(SUBSTITUTE(SUBSTITUTE(SUBSTITUTE(SUBSTITUTE(SUBSTITUTE(LOWER(Registro!$E760),"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",LEN(Registro!$E760))),({1,2,3,4,5,6,7,8,9,10,11,12,13,14,15,16,17,18,19,20,21,22,23,24,25,26,27,28,29,30}-1)*LEN(Registro!$E760)+1,LEN(Registro!$E760))),FIND("x",TRIM(MID(SUBSTITUTE(SUBSTITUTE(SUBSTITUTE(SUBSTITUTE(SUBSTITUTE(LOWER(Registro!$E760),"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",LEN(Registro!$E760))),({1,2,3,4,5,6,7,8,9,10,11,12,13,14,15,16,17,18,19,20,21,22,23,24,25,26,27,28,29,30}-1)*LEN(Registro!$E760)+1,LEN(Registro!$E760)))&amp;"x")-1))),"Revisar formato")))</f>
        <v/>
      </c>
      <c r="E760" s="24" t="str">
        <f>IF(Registro!$E760="","",IF(ISERROR(FIND("x",LOWER(Registro!$E760))),"-",IFERROR(SUMPRODUCT(--("0"&amp;LEFT(TRIM(MID(SUBSTITUTE(SUBSTITUTE(SUBSTITUTE(SUBSTITUTE(SUBSTITUTE(LOWER(Registro!$E760),"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",LEN(Registro!$E760))),({1,2,3,4,5,6,7,8,9,10,11,12,13,14,15,16,17,18,19,20,21,22,23,24,25,26,27,28,29,30}-1)*LEN(Registro!$E760)+1,LEN(Registro!$E760))),FIND("x",TRIM(MID(SUBSTITUTE(SUBSTITUTE(SUBSTITUTE(SUBSTITUTE(SUBSTITUTE(LOWER(Registro!$E760),"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",LEN(Registro!$E760))),({1,2,3,4,5,6,7,8,9,10,11,12,13,14,15,16,17,18,19,20,21,22,23,24,25,26,27,28,29,30}-1)*LEN(Registro!$E760)+1,LEN(Registro!$E760)))&amp;"x")-1)),--("0"&amp;MID(TRIM(MID(SUBSTITUTE(SUBSTITUTE(SUBSTITUTE(SUBSTITUTE(SUBSTITUTE(LOWER(Registro!$E760),"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",LEN(Registro!$E760))),({1,2,3,4,5,6,7,8,9,10,11,12,13,14,15,16,17,18,19,20,21,22,23,24,25,26,27,28,29,30}-1)*LEN(Registro!$E760)+1,LEN(Registro!$E760))),FIND("x",TRIM(MID(SUBSTITUTE(SUBSTITUTE(SUBSTITUTE(SUBSTITUTE(SUBSTITUTE(LOWER(Registro!$E760),"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",LEN(Registro!$E760))),({1,2,3,4,5,6,7,8,9,10,11,12,13,14,15,16,17,18,19,20,21,22,23,24,25,26,27,28,29,30}-1)*LEN(Registro!$E760)+1,LEN(Registro!$E760)))&amp;"x")+1,20))),"Revisar formato")))</f>
        <v/>
      </c>
      <c r="F760" s="23" t="str">
        <f>IF(Registro!$F760="","",IF(ISERROR(FIND("x",LOWER(Registro!$F760))),"-",IFERROR(SUMPRODUCT(--("0"&amp;LEFT(TRIM(MID(SUBSTITUTE(SUBSTITUTE(SUBSTITUTE(SUBSTITUTE(SUBSTITUTE(LOWER(Registro!$F760)," ",""),CHAR(10),"|"),";","|"),"+","|"),"|",REPT(" ",LEN(Registro!$F760))),({1,2,3,4,5,6,7,8,9,10,11,12,13,14,15,16,17,18,19,20,21,22,23,24,25,26,27,28,29,30}-1)*LEN(Registro!$F760)+1,LEN(Registro!$F760))),FIND("x",TRIM(MID(SUBSTITUTE(SUBSTITUTE(SUBSTITUTE(SUBSTITUTE(SUBSTITUTE(LOWER(Registro!$F760)," ",""),CHAR(10),"|"),";","|"),"+","|"),"|",REPT(" ",LEN(Registro!$F760))),({1,2,3,4,5,6,7,8,9,10,11,12,13,14,15,16,17,18,19,20,21,22,23,24,25,26,27,28,29,30}-1)*LEN(Registro!$F760)+1,LEN(Registro!$F760)))&amp;"x")-1))),"Revisar formato")))</f>
        <v/>
      </c>
      <c r="G760" s="24" t="str">
        <f>IF(Registro!$F760="","",IF(ISERROR(FIND("x",LOWER(Registro!$F760))),N(Registro!$G760),IFERROR(SUMPRODUCT(--("0"&amp;LEFT(TRIM(MID(SUBSTITUTE(SUBSTITUTE(SUBSTITUTE(SUBSTITUTE(SUBSTITUTE(LOWER(Registro!$F760)," ",""),CHAR(10),"|"),";","|"),"+","|"),"|",REPT(" ",LEN(Registro!$F760))),({1,2,3,4,5,6,7,8,9,10,11,12,13,14,15,16,17,18,19,20,21,22,23,24,25,26,27,28,29,30}-1)*LEN(Registro!$F760)+1,LEN(Registro!$F760))),FIND("x",TRIM(MID(SUBSTITUTE(SUBSTITUTE(SUBSTITUTE(SUBSTITUTE(SUBSTITUTE(LOWER(Registro!$F760)," ",""),CHAR(10),"|"),";","|"),"+","|"),"|",REPT(" ",LEN(Registro!$F760))),({1,2,3,4,5,6,7,8,9,10,11,12,13,14,15,16,17,18,19,20,21,22,23,24,25,26,27,28,29,30}-1)*LEN(Registro!$F760)+1,LEN(Registro!$F760)))&amp;"x")-1)),--("0"&amp;MID(TRIM(MID(SUBSTITUTE(SUBSTITUTE(SUBSTITUTE(SUBSTITUTE(SUBSTITUTE(LOWER(Registro!$F760)," ",""),CHAR(10),"|"),";","|"),"+","|"),"|",REPT(" ",LEN(Registro!$F760))),({1,2,3,4,5,6,7,8,9,10,11,12,13,14,15,16,17,18,19,20,21,22,23,24,25,26,27,28,29,30}-1)*LEN(Registro!$F760)+1,LEN(Registro!$F760))),FIND("x",TRIM(MID(SUBSTITUTE(SUBSTITUTE(SUBSTITUTE(SUBSTITUTE(SUBSTITUTE(LOWER(Registro!$F760)," ",""),CHAR(10),"|"),";","|"),"+","|"),"|",REPT(" ",LEN(Registro!$F760))),({1,2,3,4,5,6,7,8,9,10,11,12,13,14,15,16,17,18,19,20,21,22,23,24,25,26,27,28,29,30}-1)*LEN(Registro!$F760)+1,LEN(Registro!$F760)))&amp;"x")+1,20))),"Revisar formato")))</f>
        <v/>
      </c>
      <c r="H760" s="21" t="str">
        <f>IF(AND(Registro!$E760="",Registro!$F760=""),"",IF(NOT(AND(ISNUMBER(G760),ISNUMBER(Registro!$G760))),"",IF(G760&lt;Registro!$G760,"FALTA BOLETOS",IF(G760=Registro!$G760,"CONFORME","DIFERENCIA"))))</f>
        <v/>
      </c>
      <c r="I760" s="24" t="str">
        <f>IF(Registro!$H760="","",IFERROR(SUMPRODUCT(--("0"&amp;TRIM(RIGHT(SUBSTITUTE(TRIM(MID(SUBSTITUTE(SUBSTITUTE(Registro!$H760,";",CHAR(10)),CHAR(10),REPT(" ",LEN(Registro!$H760))),({1,2,3,4,5,6,7,8,9,10,11,12,13,14,15,16,17,18,19,20,21,22,23,24,25,26,27,28,29,30}-1)*LEN(Registro!$H760)+1,LEN(Registro!$H760)))," ",REPT(" ",50)),50)))),"Revisar formato"))</f>
        <v/>
      </c>
      <c r="J760" s="24" t="str">
        <f>IF(Registro!$I760="","",IFERROR(SUMPRODUCT(--("0"&amp;TRIM(RIGHT(SUBSTITUTE(TRIM(MID(SUBSTITUTE(SUBSTITUTE(Registro!$I760,";",CHAR(10)),CHAR(10),REPT(" ",LEN(Registro!$I760))),({1,2,3,4,5,6,7,8,9,10,11,12,13,14,15,16,17,18,19,20,21,22,23,24,25,26,27,28,29,30}-1)*LEN(Registro!$I760)+1,LEN(Registro!$I760)))," ",REPT(" ",50)),50)))),"Revisar formato"))</f>
        <v/>
      </c>
      <c r="K760" s="24" t="str">
        <f>IF(AND(Registro!$G760="",Registro!$H760=""),"",IF(AND(ISTEXT(I760),I760&lt;&gt;""),"Revisar formato",N(Registro!$G760)-N(I760)))</f>
        <v/>
      </c>
      <c r="L760" s="24" t="str">
        <f t="shared" si="23"/>
        <v/>
      </c>
      <c r="M760" s="36" t="str">
        <f>IF(AND(A760=Consulta!$B$3,C760=Consulta!$H$3),B760*10000+ROW(),"")</f>
        <v/>
      </c>
    </row>
    <row r="761" spans="1:13" x14ac:dyDescent="0.25">
      <c r="A761" s="21" t="str">
        <f>IF(Registro!$A761="","",Registro!$A761)</f>
        <v/>
      </c>
      <c r="B761" s="20" t="str">
        <f>IF(Registro!$B761="","",Registro!$B761)</f>
        <v/>
      </c>
      <c r="C761" s="35" t="str">
        <f t="shared" si="22"/>
        <v/>
      </c>
      <c r="D761" s="23" t="str">
        <f>IF(Registro!$E761="","",IF(ISERROR(FIND("x",LOWER(Registro!$E761))),"-",IFERROR(SUMPRODUCT(--("0"&amp;LEFT(TRIM(MID(SUBSTITUTE(SUBSTITUTE(SUBSTITUTE(SUBSTITUTE(SUBSTITUTE(LOWER(Registro!$E761),"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",LEN(Registro!$E761))),({1,2,3,4,5,6,7,8,9,10,11,12,13,14,15,16,17,18,19,20,21,22,23,24,25,26,27,28,29,30}-1)*LEN(Registro!$E761)+1,LEN(Registro!$E761))),FIND("x",TRIM(MID(SUBSTITUTE(SUBSTITUTE(SUBSTITUTE(SUBSTITUTE(SUBSTITUTE(LOWER(Registro!$E761),"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",LEN(Registro!$E761))),({1,2,3,4,5,6,7,8,9,10,11,12,13,14,15,16,17,18,19,20,21,22,23,24,25,26,27,28,29,30}-1)*LEN(Registro!$E761)+1,LEN(Registro!$E761)))&amp;"x")-1))),"Revisar formato")))</f>
        <v/>
      </c>
      <c r="E761" s="24" t="str">
        <f>IF(Registro!$E761="","",IF(ISERROR(FIND("x",LOWER(Registro!$E761))),"-",IFERROR(SUMPRODUCT(--("0"&amp;LEFT(TRIM(MID(SUBSTITUTE(SUBSTITUTE(SUBSTITUTE(SUBSTITUTE(SUBSTITUTE(LOWER(Registro!$E761),"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",LEN(Registro!$E761))),({1,2,3,4,5,6,7,8,9,10,11,12,13,14,15,16,17,18,19,20,21,22,23,24,25,26,27,28,29,30}-1)*LEN(Registro!$E761)+1,LEN(Registro!$E761))),FIND("x",TRIM(MID(SUBSTITUTE(SUBSTITUTE(SUBSTITUTE(SUBSTITUTE(SUBSTITUTE(LOWER(Registro!$E761),"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",LEN(Registro!$E761))),({1,2,3,4,5,6,7,8,9,10,11,12,13,14,15,16,17,18,19,20,21,22,23,24,25,26,27,28,29,30}-1)*LEN(Registro!$E761)+1,LEN(Registro!$E761)))&amp;"x")-1)),--("0"&amp;MID(TRIM(MID(SUBSTITUTE(SUBSTITUTE(SUBSTITUTE(SUBSTITUTE(SUBSTITUTE(LOWER(Registro!$E761),"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",LEN(Registro!$E761))),({1,2,3,4,5,6,7,8,9,10,11,12,13,14,15,16,17,18,19,20,21,22,23,24,25,26,27,28,29,30}-1)*LEN(Registro!$E761)+1,LEN(Registro!$E761))),FIND("x",TRIM(MID(SUBSTITUTE(SUBSTITUTE(SUBSTITUTE(SUBSTITUTE(SUBSTITUTE(LOWER(Registro!$E761),"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",LEN(Registro!$E761))),({1,2,3,4,5,6,7,8,9,10,11,12,13,14,15,16,17,18,19,20,21,22,23,24,25,26,27,28,29,30}-1)*LEN(Registro!$E761)+1,LEN(Registro!$E761)))&amp;"x")+1,20))),"Revisar formato")))</f>
        <v/>
      </c>
      <c r="F761" s="23" t="str">
        <f>IF(Registro!$F761="","",IF(ISERROR(FIND("x",LOWER(Registro!$F761))),"-",IFERROR(SUMPRODUCT(--("0"&amp;LEFT(TRIM(MID(SUBSTITUTE(SUBSTITUTE(SUBSTITUTE(SUBSTITUTE(SUBSTITUTE(LOWER(Registro!$F761)," ",""),CHAR(10),"|"),";","|"),"+","|"),"|",REPT(" ",LEN(Registro!$F761))),({1,2,3,4,5,6,7,8,9,10,11,12,13,14,15,16,17,18,19,20,21,22,23,24,25,26,27,28,29,30}-1)*LEN(Registro!$F761)+1,LEN(Registro!$F761))),FIND("x",TRIM(MID(SUBSTITUTE(SUBSTITUTE(SUBSTITUTE(SUBSTITUTE(SUBSTITUTE(LOWER(Registro!$F761)," ",""),CHAR(10),"|"),";","|"),"+","|"),"|",REPT(" ",LEN(Registro!$F761))),({1,2,3,4,5,6,7,8,9,10,11,12,13,14,15,16,17,18,19,20,21,22,23,24,25,26,27,28,29,30}-1)*LEN(Registro!$F761)+1,LEN(Registro!$F761)))&amp;"x")-1))),"Revisar formato")))</f>
        <v/>
      </c>
      <c r="G761" s="24" t="str">
        <f>IF(Registro!$F761="","",IF(ISERROR(FIND("x",LOWER(Registro!$F761))),N(Registro!$G761),IFERROR(SUMPRODUCT(--("0"&amp;LEFT(TRIM(MID(SUBSTITUTE(SUBSTITUTE(SUBSTITUTE(SUBSTITUTE(SUBSTITUTE(LOWER(Registro!$F761)," ",""),CHAR(10),"|"),";","|"),"+","|"),"|",REPT(" ",LEN(Registro!$F761))),({1,2,3,4,5,6,7,8,9,10,11,12,13,14,15,16,17,18,19,20,21,22,23,24,25,26,27,28,29,30}-1)*LEN(Registro!$F761)+1,LEN(Registro!$F761))),FIND("x",TRIM(MID(SUBSTITUTE(SUBSTITUTE(SUBSTITUTE(SUBSTITUTE(SUBSTITUTE(LOWER(Registro!$F761)," ",""),CHAR(10),"|"),";","|"),"+","|"),"|",REPT(" ",LEN(Registro!$F761))),({1,2,3,4,5,6,7,8,9,10,11,12,13,14,15,16,17,18,19,20,21,22,23,24,25,26,27,28,29,30}-1)*LEN(Registro!$F761)+1,LEN(Registro!$F761)))&amp;"x")-1)),--("0"&amp;MID(TRIM(MID(SUBSTITUTE(SUBSTITUTE(SUBSTITUTE(SUBSTITUTE(SUBSTITUTE(LOWER(Registro!$F761)," ",""),CHAR(10),"|"),";","|"),"+","|"),"|",REPT(" ",LEN(Registro!$F761))),({1,2,3,4,5,6,7,8,9,10,11,12,13,14,15,16,17,18,19,20,21,22,23,24,25,26,27,28,29,30}-1)*LEN(Registro!$F761)+1,LEN(Registro!$F761))),FIND("x",TRIM(MID(SUBSTITUTE(SUBSTITUTE(SUBSTITUTE(SUBSTITUTE(SUBSTITUTE(LOWER(Registro!$F761)," ",""),CHAR(10),"|"),";","|"),"+","|"),"|",REPT(" ",LEN(Registro!$F761))),({1,2,3,4,5,6,7,8,9,10,11,12,13,14,15,16,17,18,19,20,21,22,23,24,25,26,27,28,29,30}-1)*LEN(Registro!$F761)+1,LEN(Registro!$F761)))&amp;"x")+1,20))),"Revisar formato")))</f>
        <v/>
      </c>
      <c r="H761" s="21" t="str">
        <f>IF(AND(Registro!$E761="",Registro!$F761=""),"",IF(NOT(AND(ISNUMBER(G761),ISNUMBER(Registro!$G761))),"",IF(G761&lt;Registro!$G761,"FALTA BOLETOS",IF(G761=Registro!$G761,"CONFORME","DIFERENCIA"))))</f>
        <v/>
      </c>
      <c r="I761" s="24" t="str">
        <f>IF(Registro!$H761="","",IFERROR(SUMPRODUCT(--("0"&amp;TRIM(RIGHT(SUBSTITUTE(TRIM(MID(SUBSTITUTE(SUBSTITUTE(Registro!$H761,";",CHAR(10)),CHAR(10),REPT(" ",LEN(Registro!$H761))),({1,2,3,4,5,6,7,8,9,10,11,12,13,14,15,16,17,18,19,20,21,22,23,24,25,26,27,28,29,30}-1)*LEN(Registro!$H761)+1,LEN(Registro!$H761)))," ",REPT(" ",50)),50)))),"Revisar formato"))</f>
        <v/>
      </c>
      <c r="J761" s="24" t="str">
        <f>IF(Registro!$I761="","",IFERROR(SUMPRODUCT(--("0"&amp;TRIM(RIGHT(SUBSTITUTE(TRIM(MID(SUBSTITUTE(SUBSTITUTE(Registro!$I761,";",CHAR(10)),CHAR(10),REPT(" ",LEN(Registro!$I761))),({1,2,3,4,5,6,7,8,9,10,11,12,13,14,15,16,17,18,19,20,21,22,23,24,25,26,27,28,29,30}-1)*LEN(Registro!$I761)+1,LEN(Registro!$I761)))," ",REPT(" ",50)),50)))),"Revisar formato"))</f>
        <v/>
      </c>
      <c r="K761" s="24" t="str">
        <f>IF(AND(Registro!$G761="",Registro!$H761=""),"",IF(AND(ISTEXT(I761),I761&lt;&gt;""),"Revisar formato",N(Registro!$G761)-N(I761)))</f>
        <v/>
      </c>
      <c r="L761" s="24" t="str">
        <f t="shared" si="23"/>
        <v/>
      </c>
      <c r="M761" s="36" t="str">
        <f>IF(AND(A761=Consulta!$B$3,C761=Consulta!$H$3),B761*10000+ROW(),"")</f>
        <v/>
      </c>
    </row>
    <row r="762" spans="1:13" x14ac:dyDescent="0.25">
      <c r="A762" s="21" t="str">
        <f>IF(Registro!$A762="","",Registro!$A762)</f>
        <v/>
      </c>
      <c r="B762" s="20" t="str">
        <f>IF(Registro!$B762="","",Registro!$B762)</f>
        <v/>
      </c>
      <c r="C762" s="35" t="str">
        <f t="shared" si="22"/>
        <v/>
      </c>
      <c r="D762" s="23" t="str">
        <f>IF(Registro!$E762="","",IF(ISERROR(FIND("x",LOWER(Registro!$E762))),"-",IFERROR(SUMPRODUCT(--("0"&amp;LEFT(TRIM(MID(SUBSTITUTE(SUBSTITUTE(SUBSTITUTE(SUBSTITUTE(SUBSTITUTE(LOWER(Registro!$E762),"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",LEN(Registro!$E762))),({1,2,3,4,5,6,7,8,9,10,11,12,13,14,15,16,17,18,19,20,21,22,23,24,25,26,27,28,29,30}-1)*LEN(Registro!$E762)+1,LEN(Registro!$E762))),FIND("x",TRIM(MID(SUBSTITUTE(SUBSTITUTE(SUBSTITUTE(SUBSTITUTE(SUBSTITUTE(LOWER(Registro!$E762),"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",LEN(Registro!$E762))),({1,2,3,4,5,6,7,8,9,10,11,12,13,14,15,16,17,18,19,20,21,22,23,24,25,26,27,28,29,30}-1)*LEN(Registro!$E762)+1,LEN(Registro!$E762)))&amp;"x")-1))),"Revisar formato")))</f>
        <v/>
      </c>
      <c r="E762" s="24" t="str">
        <f>IF(Registro!$E762="","",IF(ISERROR(FIND("x",LOWER(Registro!$E762))),"-",IFERROR(SUMPRODUCT(--("0"&amp;LEFT(TRIM(MID(SUBSTITUTE(SUBSTITUTE(SUBSTITUTE(SUBSTITUTE(SUBSTITUTE(LOWER(Registro!$E762),"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",LEN(Registro!$E762))),({1,2,3,4,5,6,7,8,9,10,11,12,13,14,15,16,17,18,19,20,21,22,23,24,25,26,27,28,29,30}-1)*LEN(Registro!$E762)+1,LEN(Registro!$E762))),FIND("x",TRIM(MID(SUBSTITUTE(SUBSTITUTE(SUBSTITUTE(SUBSTITUTE(SUBSTITUTE(LOWER(Registro!$E762),"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",LEN(Registro!$E762))),({1,2,3,4,5,6,7,8,9,10,11,12,13,14,15,16,17,18,19,20,21,22,23,24,25,26,27,28,29,30}-1)*LEN(Registro!$E762)+1,LEN(Registro!$E762)))&amp;"x")-1)),--("0"&amp;MID(TRIM(MID(SUBSTITUTE(SUBSTITUTE(SUBSTITUTE(SUBSTITUTE(SUBSTITUTE(LOWER(Registro!$E762),"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",LEN(Registro!$E762))),({1,2,3,4,5,6,7,8,9,10,11,12,13,14,15,16,17,18,19,20,21,22,23,24,25,26,27,28,29,30}-1)*LEN(Registro!$E762)+1,LEN(Registro!$E762))),FIND("x",TRIM(MID(SUBSTITUTE(SUBSTITUTE(SUBSTITUTE(SUBSTITUTE(SUBSTITUTE(LOWER(Registro!$E762),"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",LEN(Registro!$E762))),({1,2,3,4,5,6,7,8,9,10,11,12,13,14,15,16,17,18,19,20,21,22,23,24,25,26,27,28,29,30}-1)*LEN(Registro!$E762)+1,LEN(Registro!$E762)))&amp;"x")+1,20))),"Revisar formato")))</f>
        <v/>
      </c>
      <c r="F762" s="23" t="str">
        <f>IF(Registro!$F762="","",IF(ISERROR(FIND("x",LOWER(Registro!$F762))),"-",IFERROR(SUMPRODUCT(--("0"&amp;LEFT(TRIM(MID(SUBSTITUTE(SUBSTITUTE(SUBSTITUTE(SUBSTITUTE(SUBSTITUTE(LOWER(Registro!$F762)," ",""),CHAR(10),"|"),";","|"),"+","|"),"|",REPT(" ",LEN(Registro!$F762))),({1,2,3,4,5,6,7,8,9,10,11,12,13,14,15,16,17,18,19,20,21,22,23,24,25,26,27,28,29,30}-1)*LEN(Registro!$F762)+1,LEN(Registro!$F762))),FIND("x",TRIM(MID(SUBSTITUTE(SUBSTITUTE(SUBSTITUTE(SUBSTITUTE(SUBSTITUTE(LOWER(Registro!$F762)," ",""),CHAR(10),"|"),";","|"),"+","|"),"|",REPT(" ",LEN(Registro!$F762))),({1,2,3,4,5,6,7,8,9,10,11,12,13,14,15,16,17,18,19,20,21,22,23,24,25,26,27,28,29,30}-1)*LEN(Registro!$F762)+1,LEN(Registro!$F762)))&amp;"x")-1))),"Revisar formato")))</f>
        <v/>
      </c>
      <c r="G762" s="24" t="str">
        <f>IF(Registro!$F762="","",IF(ISERROR(FIND("x",LOWER(Registro!$F762))),N(Registro!$G762),IFERROR(SUMPRODUCT(--("0"&amp;LEFT(TRIM(MID(SUBSTITUTE(SUBSTITUTE(SUBSTITUTE(SUBSTITUTE(SUBSTITUTE(LOWER(Registro!$F762)," ",""),CHAR(10),"|"),";","|"),"+","|"),"|",REPT(" ",LEN(Registro!$F762))),({1,2,3,4,5,6,7,8,9,10,11,12,13,14,15,16,17,18,19,20,21,22,23,24,25,26,27,28,29,30}-1)*LEN(Registro!$F762)+1,LEN(Registro!$F762))),FIND("x",TRIM(MID(SUBSTITUTE(SUBSTITUTE(SUBSTITUTE(SUBSTITUTE(SUBSTITUTE(LOWER(Registro!$F762)," ",""),CHAR(10),"|"),";","|"),"+","|"),"|",REPT(" ",LEN(Registro!$F762))),({1,2,3,4,5,6,7,8,9,10,11,12,13,14,15,16,17,18,19,20,21,22,23,24,25,26,27,28,29,30}-1)*LEN(Registro!$F762)+1,LEN(Registro!$F762)))&amp;"x")-1)),--("0"&amp;MID(TRIM(MID(SUBSTITUTE(SUBSTITUTE(SUBSTITUTE(SUBSTITUTE(SUBSTITUTE(LOWER(Registro!$F762)," ",""),CHAR(10),"|"),";","|"),"+","|"),"|",REPT(" ",LEN(Registro!$F762))),({1,2,3,4,5,6,7,8,9,10,11,12,13,14,15,16,17,18,19,20,21,22,23,24,25,26,27,28,29,30}-1)*LEN(Registro!$F762)+1,LEN(Registro!$F762))),FIND("x",TRIM(MID(SUBSTITUTE(SUBSTITUTE(SUBSTITUTE(SUBSTITUTE(SUBSTITUTE(LOWER(Registro!$F762)," ",""),CHAR(10),"|"),";","|"),"+","|"),"|",REPT(" ",LEN(Registro!$F762))),({1,2,3,4,5,6,7,8,9,10,11,12,13,14,15,16,17,18,19,20,21,22,23,24,25,26,27,28,29,30}-1)*LEN(Registro!$F762)+1,LEN(Registro!$F762)))&amp;"x")+1,20))),"Revisar formato")))</f>
        <v/>
      </c>
      <c r="H762" s="21" t="str">
        <f>IF(AND(Registro!$E762="",Registro!$F762=""),"",IF(NOT(AND(ISNUMBER(G762),ISNUMBER(Registro!$G762))),"",IF(G762&lt;Registro!$G762,"FALTA BOLETOS",IF(G762=Registro!$G762,"CONFORME","DIFERENCIA"))))</f>
        <v/>
      </c>
      <c r="I762" s="24" t="str">
        <f>IF(Registro!$H762="","",IFERROR(SUMPRODUCT(--("0"&amp;TRIM(RIGHT(SUBSTITUTE(TRIM(MID(SUBSTITUTE(SUBSTITUTE(Registro!$H762,";",CHAR(10)),CHAR(10),REPT(" ",LEN(Registro!$H762))),({1,2,3,4,5,6,7,8,9,10,11,12,13,14,15,16,17,18,19,20,21,22,23,24,25,26,27,28,29,30}-1)*LEN(Registro!$H762)+1,LEN(Registro!$H762)))," ",REPT(" ",50)),50)))),"Revisar formato"))</f>
        <v/>
      </c>
      <c r="J762" s="24" t="str">
        <f>IF(Registro!$I762="","",IFERROR(SUMPRODUCT(--("0"&amp;TRIM(RIGHT(SUBSTITUTE(TRIM(MID(SUBSTITUTE(SUBSTITUTE(Registro!$I762,";",CHAR(10)),CHAR(10),REPT(" ",LEN(Registro!$I762))),({1,2,3,4,5,6,7,8,9,10,11,12,13,14,15,16,17,18,19,20,21,22,23,24,25,26,27,28,29,30}-1)*LEN(Registro!$I762)+1,LEN(Registro!$I762)))," ",REPT(" ",50)),50)))),"Revisar formato"))</f>
        <v/>
      </c>
      <c r="K762" s="24" t="str">
        <f>IF(AND(Registro!$G762="",Registro!$H762=""),"",IF(AND(ISTEXT(I762),I762&lt;&gt;""),"Revisar formato",N(Registro!$G762)-N(I762)))</f>
        <v/>
      </c>
      <c r="L762" s="24" t="str">
        <f t="shared" si="23"/>
        <v/>
      </c>
      <c r="M762" s="36" t="str">
        <f>IF(AND(A762=Consulta!$B$3,C762=Consulta!$H$3),B762*10000+ROW(),"")</f>
        <v/>
      </c>
    </row>
    <row r="763" spans="1:13" x14ac:dyDescent="0.25">
      <c r="A763" s="21" t="str">
        <f>IF(Registro!$A763="","",Registro!$A763)</f>
        <v/>
      </c>
      <c r="B763" s="20" t="str">
        <f>IF(Registro!$B763="","",Registro!$B763)</f>
        <v/>
      </c>
      <c r="C763" s="35" t="str">
        <f t="shared" si="22"/>
        <v/>
      </c>
      <c r="D763" s="23" t="str">
        <f>IF(Registro!$E763="","",IF(ISERROR(FIND("x",LOWER(Registro!$E763))),"-",IFERROR(SUMPRODUCT(--("0"&amp;LEFT(TRIM(MID(SUBSTITUTE(SUBSTITUTE(SUBSTITUTE(SUBSTITUTE(SUBSTITUTE(LOWER(Registro!$E763),"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",LEN(Registro!$E763))),({1,2,3,4,5,6,7,8,9,10,11,12,13,14,15,16,17,18,19,20,21,22,23,24,25,26,27,28,29,30}-1)*LEN(Registro!$E763)+1,LEN(Registro!$E763))),FIND("x",TRIM(MID(SUBSTITUTE(SUBSTITUTE(SUBSTITUTE(SUBSTITUTE(SUBSTITUTE(LOWER(Registro!$E763),"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",LEN(Registro!$E763))),({1,2,3,4,5,6,7,8,9,10,11,12,13,14,15,16,17,18,19,20,21,22,23,24,25,26,27,28,29,30}-1)*LEN(Registro!$E763)+1,LEN(Registro!$E763)))&amp;"x")-1))),"Revisar formato")))</f>
        <v/>
      </c>
      <c r="E763" s="24" t="str">
        <f>IF(Registro!$E763="","",IF(ISERROR(FIND("x",LOWER(Registro!$E763))),"-",IFERROR(SUMPRODUCT(--("0"&amp;LEFT(TRIM(MID(SUBSTITUTE(SUBSTITUTE(SUBSTITUTE(SUBSTITUTE(SUBSTITUTE(LOWER(Registro!$E763),"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",LEN(Registro!$E763))),({1,2,3,4,5,6,7,8,9,10,11,12,13,14,15,16,17,18,19,20,21,22,23,24,25,26,27,28,29,30}-1)*LEN(Registro!$E763)+1,LEN(Registro!$E763))),FIND("x",TRIM(MID(SUBSTITUTE(SUBSTITUTE(SUBSTITUTE(SUBSTITUTE(SUBSTITUTE(LOWER(Registro!$E763),"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",LEN(Registro!$E763))),({1,2,3,4,5,6,7,8,9,10,11,12,13,14,15,16,17,18,19,20,21,22,23,24,25,26,27,28,29,30}-1)*LEN(Registro!$E763)+1,LEN(Registro!$E763)))&amp;"x")-1)),--("0"&amp;MID(TRIM(MID(SUBSTITUTE(SUBSTITUTE(SUBSTITUTE(SUBSTITUTE(SUBSTITUTE(LOWER(Registro!$E763),"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",LEN(Registro!$E763))),({1,2,3,4,5,6,7,8,9,10,11,12,13,14,15,16,17,18,19,20,21,22,23,24,25,26,27,28,29,30}-1)*LEN(Registro!$E763)+1,LEN(Registro!$E763))),FIND("x",TRIM(MID(SUBSTITUTE(SUBSTITUTE(SUBSTITUTE(SUBSTITUTE(SUBSTITUTE(LOWER(Registro!$E763),"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",LEN(Registro!$E763))),({1,2,3,4,5,6,7,8,9,10,11,12,13,14,15,16,17,18,19,20,21,22,23,24,25,26,27,28,29,30}-1)*LEN(Registro!$E763)+1,LEN(Registro!$E763)))&amp;"x")+1,20))),"Revisar formato")))</f>
        <v/>
      </c>
      <c r="F763" s="23" t="str">
        <f>IF(Registro!$F763="","",IF(ISERROR(FIND("x",LOWER(Registro!$F763))),"-",IFERROR(SUMPRODUCT(--("0"&amp;LEFT(TRIM(MID(SUBSTITUTE(SUBSTITUTE(SUBSTITUTE(SUBSTITUTE(SUBSTITUTE(LOWER(Registro!$F763)," ",""),CHAR(10),"|"),";","|"),"+","|"),"|",REPT(" ",LEN(Registro!$F763))),({1,2,3,4,5,6,7,8,9,10,11,12,13,14,15,16,17,18,19,20,21,22,23,24,25,26,27,28,29,30}-1)*LEN(Registro!$F763)+1,LEN(Registro!$F763))),FIND("x",TRIM(MID(SUBSTITUTE(SUBSTITUTE(SUBSTITUTE(SUBSTITUTE(SUBSTITUTE(LOWER(Registro!$F763)," ",""),CHAR(10),"|"),";","|"),"+","|"),"|",REPT(" ",LEN(Registro!$F763))),({1,2,3,4,5,6,7,8,9,10,11,12,13,14,15,16,17,18,19,20,21,22,23,24,25,26,27,28,29,30}-1)*LEN(Registro!$F763)+1,LEN(Registro!$F763)))&amp;"x")-1))),"Revisar formato")))</f>
        <v/>
      </c>
      <c r="G763" s="24" t="str">
        <f>IF(Registro!$F763="","",IF(ISERROR(FIND("x",LOWER(Registro!$F763))),N(Registro!$G763),IFERROR(SUMPRODUCT(--("0"&amp;LEFT(TRIM(MID(SUBSTITUTE(SUBSTITUTE(SUBSTITUTE(SUBSTITUTE(SUBSTITUTE(LOWER(Registro!$F763)," ",""),CHAR(10),"|"),";","|"),"+","|"),"|",REPT(" ",LEN(Registro!$F763))),({1,2,3,4,5,6,7,8,9,10,11,12,13,14,15,16,17,18,19,20,21,22,23,24,25,26,27,28,29,30}-1)*LEN(Registro!$F763)+1,LEN(Registro!$F763))),FIND("x",TRIM(MID(SUBSTITUTE(SUBSTITUTE(SUBSTITUTE(SUBSTITUTE(SUBSTITUTE(LOWER(Registro!$F763)," ",""),CHAR(10),"|"),";","|"),"+","|"),"|",REPT(" ",LEN(Registro!$F763))),({1,2,3,4,5,6,7,8,9,10,11,12,13,14,15,16,17,18,19,20,21,22,23,24,25,26,27,28,29,30}-1)*LEN(Registro!$F763)+1,LEN(Registro!$F763)))&amp;"x")-1)),--("0"&amp;MID(TRIM(MID(SUBSTITUTE(SUBSTITUTE(SUBSTITUTE(SUBSTITUTE(SUBSTITUTE(LOWER(Registro!$F763)," ",""),CHAR(10),"|"),";","|"),"+","|"),"|",REPT(" ",LEN(Registro!$F763))),({1,2,3,4,5,6,7,8,9,10,11,12,13,14,15,16,17,18,19,20,21,22,23,24,25,26,27,28,29,30}-1)*LEN(Registro!$F763)+1,LEN(Registro!$F763))),FIND("x",TRIM(MID(SUBSTITUTE(SUBSTITUTE(SUBSTITUTE(SUBSTITUTE(SUBSTITUTE(LOWER(Registro!$F763)," ",""),CHAR(10),"|"),";","|"),"+","|"),"|",REPT(" ",LEN(Registro!$F763))),({1,2,3,4,5,6,7,8,9,10,11,12,13,14,15,16,17,18,19,20,21,22,23,24,25,26,27,28,29,30}-1)*LEN(Registro!$F763)+1,LEN(Registro!$F763)))&amp;"x")+1,20))),"Revisar formato")))</f>
        <v/>
      </c>
      <c r="H763" s="21" t="str">
        <f>IF(AND(Registro!$E763="",Registro!$F763=""),"",IF(NOT(AND(ISNUMBER(G763),ISNUMBER(Registro!$G763))),"",IF(G763&lt;Registro!$G763,"FALTA BOLETOS",IF(G763=Registro!$G763,"CONFORME","DIFERENCIA"))))</f>
        <v/>
      </c>
      <c r="I763" s="24" t="str">
        <f>IF(Registro!$H763="","",IFERROR(SUMPRODUCT(--("0"&amp;TRIM(RIGHT(SUBSTITUTE(TRIM(MID(SUBSTITUTE(SUBSTITUTE(Registro!$H763,";",CHAR(10)),CHAR(10),REPT(" ",LEN(Registro!$H763))),({1,2,3,4,5,6,7,8,9,10,11,12,13,14,15,16,17,18,19,20,21,22,23,24,25,26,27,28,29,30}-1)*LEN(Registro!$H763)+1,LEN(Registro!$H763)))," ",REPT(" ",50)),50)))),"Revisar formato"))</f>
        <v/>
      </c>
      <c r="J763" s="24" t="str">
        <f>IF(Registro!$I763="","",IFERROR(SUMPRODUCT(--("0"&amp;TRIM(RIGHT(SUBSTITUTE(TRIM(MID(SUBSTITUTE(SUBSTITUTE(Registro!$I763,";",CHAR(10)),CHAR(10),REPT(" ",LEN(Registro!$I763))),({1,2,3,4,5,6,7,8,9,10,11,12,13,14,15,16,17,18,19,20,21,22,23,24,25,26,27,28,29,30}-1)*LEN(Registro!$I763)+1,LEN(Registro!$I763)))," ",REPT(" ",50)),50)))),"Revisar formato"))</f>
        <v/>
      </c>
      <c r="K763" s="24" t="str">
        <f>IF(AND(Registro!$G763="",Registro!$H763=""),"",IF(AND(ISTEXT(I763),I763&lt;&gt;""),"Revisar formato",N(Registro!$G763)-N(I763)))</f>
        <v/>
      </c>
      <c r="L763" s="24" t="str">
        <f t="shared" si="23"/>
        <v/>
      </c>
      <c r="M763" s="36" t="str">
        <f>IF(AND(A763=Consulta!$B$3,C763=Consulta!$H$3),B763*10000+ROW(),"")</f>
        <v/>
      </c>
    </row>
    <row r="764" spans="1:13" x14ac:dyDescent="0.25">
      <c r="A764" s="21" t="str">
        <f>IF(Registro!$A764="","",Registro!$A764)</f>
        <v/>
      </c>
      <c r="B764" s="20" t="str">
        <f>IF(Registro!$B764="","",Registro!$B764)</f>
        <v/>
      </c>
      <c r="C764" s="35" t="str">
        <f t="shared" si="22"/>
        <v/>
      </c>
      <c r="D764" s="23" t="str">
        <f>IF(Registro!$E764="","",IF(ISERROR(FIND("x",LOWER(Registro!$E764))),"-",IFERROR(SUMPRODUCT(--("0"&amp;LEFT(TRIM(MID(SUBSTITUTE(SUBSTITUTE(SUBSTITUTE(SUBSTITUTE(SUBSTITUTE(LOWER(Registro!$E764),"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",LEN(Registro!$E764))),({1,2,3,4,5,6,7,8,9,10,11,12,13,14,15,16,17,18,19,20,21,22,23,24,25,26,27,28,29,30}-1)*LEN(Registro!$E764)+1,LEN(Registro!$E764))),FIND("x",TRIM(MID(SUBSTITUTE(SUBSTITUTE(SUBSTITUTE(SUBSTITUTE(SUBSTITUTE(LOWER(Registro!$E764),"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",LEN(Registro!$E764))),({1,2,3,4,5,6,7,8,9,10,11,12,13,14,15,16,17,18,19,20,21,22,23,24,25,26,27,28,29,30}-1)*LEN(Registro!$E764)+1,LEN(Registro!$E764)))&amp;"x")-1))),"Revisar formato")))</f>
        <v/>
      </c>
      <c r="E764" s="24" t="str">
        <f>IF(Registro!$E764="","",IF(ISERROR(FIND("x",LOWER(Registro!$E764))),"-",IFERROR(SUMPRODUCT(--("0"&amp;LEFT(TRIM(MID(SUBSTITUTE(SUBSTITUTE(SUBSTITUTE(SUBSTITUTE(SUBSTITUTE(LOWER(Registro!$E764),"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",LEN(Registro!$E764))),({1,2,3,4,5,6,7,8,9,10,11,12,13,14,15,16,17,18,19,20,21,22,23,24,25,26,27,28,29,30}-1)*LEN(Registro!$E764)+1,LEN(Registro!$E764))),FIND("x",TRIM(MID(SUBSTITUTE(SUBSTITUTE(SUBSTITUTE(SUBSTITUTE(SUBSTITUTE(LOWER(Registro!$E764),"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",LEN(Registro!$E764))),({1,2,3,4,5,6,7,8,9,10,11,12,13,14,15,16,17,18,19,20,21,22,23,24,25,26,27,28,29,30}-1)*LEN(Registro!$E764)+1,LEN(Registro!$E764)))&amp;"x")-1)),--("0"&amp;MID(TRIM(MID(SUBSTITUTE(SUBSTITUTE(SUBSTITUTE(SUBSTITUTE(SUBSTITUTE(LOWER(Registro!$E764),"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",LEN(Registro!$E764))),({1,2,3,4,5,6,7,8,9,10,11,12,13,14,15,16,17,18,19,20,21,22,23,24,25,26,27,28,29,30}-1)*LEN(Registro!$E764)+1,LEN(Registro!$E764))),FIND("x",TRIM(MID(SUBSTITUTE(SUBSTITUTE(SUBSTITUTE(SUBSTITUTE(SUBSTITUTE(LOWER(Registro!$E764),"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",LEN(Registro!$E764))),({1,2,3,4,5,6,7,8,9,10,11,12,13,14,15,16,17,18,19,20,21,22,23,24,25,26,27,28,29,30}-1)*LEN(Registro!$E764)+1,LEN(Registro!$E764)))&amp;"x")+1,20))),"Revisar formato")))</f>
        <v/>
      </c>
      <c r="F764" s="23" t="str">
        <f>IF(Registro!$F764="","",IF(ISERROR(FIND("x",LOWER(Registro!$F764))),"-",IFERROR(SUMPRODUCT(--("0"&amp;LEFT(TRIM(MID(SUBSTITUTE(SUBSTITUTE(SUBSTITUTE(SUBSTITUTE(SUBSTITUTE(LOWER(Registro!$F764)," ",""),CHAR(10),"|"),";","|"),"+","|"),"|",REPT(" ",LEN(Registro!$F764))),({1,2,3,4,5,6,7,8,9,10,11,12,13,14,15,16,17,18,19,20,21,22,23,24,25,26,27,28,29,30}-1)*LEN(Registro!$F764)+1,LEN(Registro!$F764))),FIND("x",TRIM(MID(SUBSTITUTE(SUBSTITUTE(SUBSTITUTE(SUBSTITUTE(SUBSTITUTE(LOWER(Registro!$F764)," ",""),CHAR(10),"|"),";","|"),"+","|"),"|",REPT(" ",LEN(Registro!$F764))),({1,2,3,4,5,6,7,8,9,10,11,12,13,14,15,16,17,18,19,20,21,22,23,24,25,26,27,28,29,30}-1)*LEN(Registro!$F764)+1,LEN(Registro!$F764)))&amp;"x")-1))),"Revisar formato")))</f>
        <v/>
      </c>
      <c r="G764" s="24" t="str">
        <f>IF(Registro!$F764="","",IF(ISERROR(FIND("x",LOWER(Registro!$F764))),N(Registro!$G764),IFERROR(SUMPRODUCT(--("0"&amp;LEFT(TRIM(MID(SUBSTITUTE(SUBSTITUTE(SUBSTITUTE(SUBSTITUTE(SUBSTITUTE(LOWER(Registro!$F764)," ",""),CHAR(10),"|"),";","|"),"+","|"),"|",REPT(" ",LEN(Registro!$F764))),({1,2,3,4,5,6,7,8,9,10,11,12,13,14,15,16,17,18,19,20,21,22,23,24,25,26,27,28,29,30}-1)*LEN(Registro!$F764)+1,LEN(Registro!$F764))),FIND("x",TRIM(MID(SUBSTITUTE(SUBSTITUTE(SUBSTITUTE(SUBSTITUTE(SUBSTITUTE(LOWER(Registro!$F764)," ",""),CHAR(10),"|"),";","|"),"+","|"),"|",REPT(" ",LEN(Registro!$F764))),({1,2,3,4,5,6,7,8,9,10,11,12,13,14,15,16,17,18,19,20,21,22,23,24,25,26,27,28,29,30}-1)*LEN(Registro!$F764)+1,LEN(Registro!$F764)))&amp;"x")-1)),--("0"&amp;MID(TRIM(MID(SUBSTITUTE(SUBSTITUTE(SUBSTITUTE(SUBSTITUTE(SUBSTITUTE(LOWER(Registro!$F764)," ",""),CHAR(10),"|"),";","|"),"+","|"),"|",REPT(" ",LEN(Registro!$F764))),({1,2,3,4,5,6,7,8,9,10,11,12,13,14,15,16,17,18,19,20,21,22,23,24,25,26,27,28,29,30}-1)*LEN(Registro!$F764)+1,LEN(Registro!$F764))),FIND("x",TRIM(MID(SUBSTITUTE(SUBSTITUTE(SUBSTITUTE(SUBSTITUTE(SUBSTITUTE(LOWER(Registro!$F764)," ",""),CHAR(10),"|"),";","|"),"+","|"),"|",REPT(" ",LEN(Registro!$F764))),({1,2,3,4,5,6,7,8,9,10,11,12,13,14,15,16,17,18,19,20,21,22,23,24,25,26,27,28,29,30}-1)*LEN(Registro!$F764)+1,LEN(Registro!$F764)))&amp;"x")+1,20))),"Revisar formato")))</f>
        <v/>
      </c>
      <c r="H764" s="21" t="str">
        <f>IF(AND(Registro!$E764="",Registro!$F764=""),"",IF(NOT(AND(ISNUMBER(G764),ISNUMBER(Registro!$G764))),"",IF(G764&lt;Registro!$G764,"FALTA BOLETOS",IF(G764=Registro!$G764,"CONFORME","DIFERENCIA"))))</f>
        <v/>
      </c>
      <c r="I764" s="24" t="str">
        <f>IF(Registro!$H764="","",IFERROR(SUMPRODUCT(--("0"&amp;TRIM(RIGHT(SUBSTITUTE(TRIM(MID(SUBSTITUTE(SUBSTITUTE(Registro!$H764,";",CHAR(10)),CHAR(10),REPT(" ",LEN(Registro!$H764))),({1,2,3,4,5,6,7,8,9,10,11,12,13,14,15,16,17,18,19,20,21,22,23,24,25,26,27,28,29,30}-1)*LEN(Registro!$H764)+1,LEN(Registro!$H764)))," ",REPT(" ",50)),50)))),"Revisar formato"))</f>
        <v/>
      </c>
      <c r="J764" s="24" t="str">
        <f>IF(Registro!$I764="","",IFERROR(SUMPRODUCT(--("0"&amp;TRIM(RIGHT(SUBSTITUTE(TRIM(MID(SUBSTITUTE(SUBSTITUTE(Registro!$I764,";",CHAR(10)),CHAR(10),REPT(" ",LEN(Registro!$I764))),({1,2,3,4,5,6,7,8,9,10,11,12,13,14,15,16,17,18,19,20,21,22,23,24,25,26,27,28,29,30}-1)*LEN(Registro!$I764)+1,LEN(Registro!$I764)))," ",REPT(" ",50)),50)))),"Revisar formato"))</f>
        <v/>
      </c>
      <c r="K764" s="24" t="str">
        <f>IF(AND(Registro!$G764="",Registro!$H764=""),"",IF(AND(ISTEXT(I764),I764&lt;&gt;""),"Revisar formato",N(Registro!$G764)-N(I764)))</f>
        <v/>
      </c>
      <c r="L764" s="24" t="str">
        <f t="shared" si="23"/>
        <v/>
      </c>
      <c r="M764" s="36" t="str">
        <f>IF(AND(A764=Consulta!$B$3,C764=Consulta!$H$3),B764*10000+ROW(),"")</f>
        <v/>
      </c>
    </row>
    <row r="765" spans="1:13" x14ac:dyDescent="0.25">
      <c r="A765" s="21" t="str">
        <f>IF(Registro!$A765="","",Registro!$A765)</f>
        <v/>
      </c>
      <c r="B765" s="20" t="str">
        <f>IF(Registro!$B765="","",Registro!$B765)</f>
        <v/>
      </c>
      <c r="C765" s="35" t="str">
        <f t="shared" si="22"/>
        <v/>
      </c>
      <c r="D765" s="23" t="str">
        <f>IF(Registro!$E765="","",IF(ISERROR(FIND("x",LOWER(Registro!$E765))),"-",IFERROR(SUMPRODUCT(--("0"&amp;LEFT(TRIM(MID(SUBSTITUTE(SUBSTITUTE(SUBSTITUTE(SUBSTITUTE(SUBSTITUTE(LOWER(Registro!$E765),"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",LEN(Registro!$E765))),({1,2,3,4,5,6,7,8,9,10,11,12,13,14,15,16,17,18,19,20,21,22,23,24,25,26,27,28,29,30}-1)*LEN(Registro!$E765)+1,LEN(Registro!$E765))),FIND("x",TRIM(MID(SUBSTITUTE(SUBSTITUTE(SUBSTITUTE(SUBSTITUTE(SUBSTITUTE(LOWER(Registro!$E765),"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",LEN(Registro!$E765))),({1,2,3,4,5,6,7,8,9,10,11,12,13,14,15,16,17,18,19,20,21,22,23,24,25,26,27,28,29,30}-1)*LEN(Registro!$E765)+1,LEN(Registro!$E765)))&amp;"x")-1))),"Revisar formato")))</f>
        <v/>
      </c>
      <c r="E765" s="24" t="str">
        <f>IF(Registro!$E765="","",IF(ISERROR(FIND("x",LOWER(Registro!$E765))),"-",IFERROR(SUMPRODUCT(--("0"&amp;LEFT(TRIM(MID(SUBSTITUTE(SUBSTITUTE(SUBSTITUTE(SUBSTITUTE(SUBSTITUTE(LOWER(Registro!$E765),"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",LEN(Registro!$E765))),({1,2,3,4,5,6,7,8,9,10,11,12,13,14,15,16,17,18,19,20,21,22,23,24,25,26,27,28,29,30}-1)*LEN(Registro!$E765)+1,LEN(Registro!$E765))),FIND("x",TRIM(MID(SUBSTITUTE(SUBSTITUTE(SUBSTITUTE(SUBSTITUTE(SUBSTITUTE(LOWER(Registro!$E765),"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",LEN(Registro!$E765))),({1,2,3,4,5,6,7,8,9,10,11,12,13,14,15,16,17,18,19,20,21,22,23,24,25,26,27,28,29,30}-1)*LEN(Registro!$E765)+1,LEN(Registro!$E765)))&amp;"x")-1)),--("0"&amp;MID(TRIM(MID(SUBSTITUTE(SUBSTITUTE(SUBSTITUTE(SUBSTITUTE(SUBSTITUTE(LOWER(Registro!$E765),"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",LEN(Registro!$E765))),({1,2,3,4,5,6,7,8,9,10,11,12,13,14,15,16,17,18,19,20,21,22,23,24,25,26,27,28,29,30}-1)*LEN(Registro!$E765)+1,LEN(Registro!$E765))),FIND("x",TRIM(MID(SUBSTITUTE(SUBSTITUTE(SUBSTITUTE(SUBSTITUTE(SUBSTITUTE(LOWER(Registro!$E765),"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",LEN(Registro!$E765))),({1,2,3,4,5,6,7,8,9,10,11,12,13,14,15,16,17,18,19,20,21,22,23,24,25,26,27,28,29,30}-1)*LEN(Registro!$E765)+1,LEN(Registro!$E765)))&amp;"x")+1,20))),"Revisar formato")))</f>
        <v/>
      </c>
      <c r="F765" s="23" t="str">
        <f>IF(Registro!$F765="","",IF(ISERROR(FIND("x",LOWER(Registro!$F765))),"-",IFERROR(SUMPRODUCT(--("0"&amp;LEFT(TRIM(MID(SUBSTITUTE(SUBSTITUTE(SUBSTITUTE(SUBSTITUTE(SUBSTITUTE(LOWER(Registro!$F765)," ",""),CHAR(10),"|"),";","|"),"+","|"),"|",REPT(" ",LEN(Registro!$F765))),({1,2,3,4,5,6,7,8,9,10,11,12,13,14,15,16,17,18,19,20,21,22,23,24,25,26,27,28,29,30}-1)*LEN(Registro!$F765)+1,LEN(Registro!$F765))),FIND("x",TRIM(MID(SUBSTITUTE(SUBSTITUTE(SUBSTITUTE(SUBSTITUTE(SUBSTITUTE(LOWER(Registro!$F765)," ",""),CHAR(10),"|"),";","|"),"+","|"),"|",REPT(" ",LEN(Registro!$F765))),({1,2,3,4,5,6,7,8,9,10,11,12,13,14,15,16,17,18,19,20,21,22,23,24,25,26,27,28,29,30}-1)*LEN(Registro!$F765)+1,LEN(Registro!$F765)))&amp;"x")-1))),"Revisar formato")))</f>
        <v/>
      </c>
      <c r="G765" s="24" t="str">
        <f>IF(Registro!$F765="","",IF(ISERROR(FIND("x",LOWER(Registro!$F765))),N(Registro!$G765),IFERROR(SUMPRODUCT(--("0"&amp;LEFT(TRIM(MID(SUBSTITUTE(SUBSTITUTE(SUBSTITUTE(SUBSTITUTE(SUBSTITUTE(LOWER(Registro!$F765)," ",""),CHAR(10),"|"),";","|"),"+","|"),"|",REPT(" ",LEN(Registro!$F765))),({1,2,3,4,5,6,7,8,9,10,11,12,13,14,15,16,17,18,19,20,21,22,23,24,25,26,27,28,29,30}-1)*LEN(Registro!$F765)+1,LEN(Registro!$F765))),FIND("x",TRIM(MID(SUBSTITUTE(SUBSTITUTE(SUBSTITUTE(SUBSTITUTE(SUBSTITUTE(LOWER(Registro!$F765)," ",""),CHAR(10),"|"),";","|"),"+","|"),"|",REPT(" ",LEN(Registro!$F765))),({1,2,3,4,5,6,7,8,9,10,11,12,13,14,15,16,17,18,19,20,21,22,23,24,25,26,27,28,29,30}-1)*LEN(Registro!$F765)+1,LEN(Registro!$F765)))&amp;"x")-1)),--("0"&amp;MID(TRIM(MID(SUBSTITUTE(SUBSTITUTE(SUBSTITUTE(SUBSTITUTE(SUBSTITUTE(LOWER(Registro!$F765)," ",""),CHAR(10),"|"),";","|"),"+","|"),"|",REPT(" ",LEN(Registro!$F765))),({1,2,3,4,5,6,7,8,9,10,11,12,13,14,15,16,17,18,19,20,21,22,23,24,25,26,27,28,29,30}-1)*LEN(Registro!$F765)+1,LEN(Registro!$F765))),FIND("x",TRIM(MID(SUBSTITUTE(SUBSTITUTE(SUBSTITUTE(SUBSTITUTE(SUBSTITUTE(LOWER(Registro!$F765)," ",""),CHAR(10),"|"),";","|"),"+","|"),"|",REPT(" ",LEN(Registro!$F765))),({1,2,3,4,5,6,7,8,9,10,11,12,13,14,15,16,17,18,19,20,21,22,23,24,25,26,27,28,29,30}-1)*LEN(Registro!$F765)+1,LEN(Registro!$F765)))&amp;"x")+1,20))),"Revisar formato")))</f>
        <v/>
      </c>
      <c r="H765" s="21" t="str">
        <f>IF(AND(Registro!$E765="",Registro!$F765=""),"",IF(NOT(AND(ISNUMBER(G765),ISNUMBER(Registro!$G765))),"",IF(G765&lt;Registro!$G765,"FALTA BOLETOS",IF(G765=Registro!$G765,"CONFORME","DIFERENCIA"))))</f>
        <v/>
      </c>
      <c r="I765" s="24" t="str">
        <f>IF(Registro!$H765="","",IFERROR(SUMPRODUCT(--("0"&amp;TRIM(RIGHT(SUBSTITUTE(TRIM(MID(SUBSTITUTE(SUBSTITUTE(Registro!$H765,";",CHAR(10)),CHAR(10),REPT(" ",LEN(Registro!$H765))),({1,2,3,4,5,6,7,8,9,10,11,12,13,14,15,16,17,18,19,20,21,22,23,24,25,26,27,28,29,30}-1)*LEN(Registro!$H765)+1,LEN(Registro!$H765)))," ",REPT(" ",50)),50)))),"Revisar formato"))</f>
        <v/>
      </c>
      <c r="J765" s="24" t="str">
        <f>IF(Registro!$I765="","",IFERROR(SUMPRODUCT(--("0"&amp;TRIM(RIGHT(SUBSTITUTE(TRIM(MID(SUBSTITUTE(SUBSTITUTE(Registro!$I765,";",CHAR(10)),CHAR(10),REPT(" ",LEN(Registro!$I765))),({1,2,3,4,5,6,7,8,9,10,11,12,13,14,15,16,17,18,19,20,21,22,23,24,25,26,27,28,29,30}-1)*LEN(Registro!$I765)+1,LEN(Registro!$I765)))," ",REPT(" ",50)),50)))),"Revisar formato"))</f>
        <v/>
      </c>
      <c r="K765" s="24" t="str">
        <f>IF(AND(Registro!$G765="",Registro!$H765=""),"",IF(AND(ISTEXT(I765),I765&lt;&gt;""),"Revisar formato",N(Registro!$G765)-N(I765)))</f>
        <v/>
      </c>
      <c r="L765" s="24" t="str">
        <f t="shared" si="23"/>
        <v/>
      </c>
      <c r="M765" s="36" t="str">
        <f>IF(AND(A765=Consulta!$B$3,C765=Consulta!$H$3),B765*10000+ROW(),"")</f>
        <v/>
      </c>
    </row>
    <row r="766" spans="1:13" x14ac:dyDescent="0.25">
      <c r="A766" s="21" t="str">
        <f>IF(Registro!$A766="","",Registro!$A766)</f>
        <v/>
      </c>
      <c r="B766" s="20" t="str">
        <f>IF(Registro!$B766="","",Registro!$B766)</f>
        <v/>
      </c>
      <c r="C766" s="35" t="str">
        <f t="shared" si="22"/>
        <v/>
      </c>
      <c r="D766" s="23" t="str">
        <f>IF(Registro!$E766="","",IF(ISERROR(FIND("x",LOWER(Registro!$E766))),"-",IFERROR(SUMPRODUCT(--("0"&amp;LEFT(TRIM(MID(SUBSTITUTE(SUBSTITUTE(SUBSTITUTE(SUBSTITUTE(SUBSTITUTE(LOWER(Registro!$E766),"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",LEN(Registro!$E766))),({1,2,3,4,5,6,7,8,9,10,11,12,13,14,15,16,17,18,19,20,21,22,23,24,25,26,27,28,29,30}-1)*LEN(Registro!$E766)+1,LEN(Registro!$E766))),FIND("x",TRIM(MID(SUBSTITUTE(SUBSTITUTE(SUBSTITUTE(SUBSTITUTE(SUBSTITUTE(LOWER(Registro!$E766),"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",LEN(Registro!$E766))),({1,2,3,4,5,6,7,8,9,10,11,12,13,14,15,16,17,18,19,20,21,22,23,24,25,26,27,28,29,30}-1)*LEN(Registro!$E766)+1,LEN(Registro!$E766)))&amp;"x")-1))),"Revisar formato")))</f>
        <v/>
      </c>
      <c r="E766" s="24" t="str">
        <f>IF(Registro!$E766="","",IF(ISERROR(FIND("x",LOWER(Registro!$E766))),"-",IFERROR(SUMPRODUCT(--("0"&amp;LEFT(TRIM(MID(SUBSTITUTE(SUBSTITUTE(SUBSTITUTE(SUBSTITUTE(SUBSTITUTE(LOWER(Registro!$E766),"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",LEN(Registro!$E766))),({1,2,3,4,5,6,7,8,9,10,11,12,13,14,15,16,17,18,19,20,21,22,23,24,25,26,27,28,29,30}-1)*LEN(Registro!$E766)+1,LEN(Registro!$E766))),FIND("x",TRIM(MID(SUBSTITUTE(SUBSTITUTE(SUBSTITUTE(SUBSTITUTE(SUBSTITUTE(LOWER(Registro!$E766),"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",LEN(Registro!$E766))),({1,2,3,4,5,6,7,8,9,10,11,12,13,14,15,16,17,18,19,20,21,22,23,24,25,26,27,28,29,30}-1)*LEN(Registro!$E766)+1,LEN(Registro!$E766)))&amp;"x")-1)),--("0"&amp;MID(TRIM(MID(SUBSTITUTE(SUBSTITUTE(SUBSTITUTE(SUBSTITUTE(SUBSTITUTE(LOWER(Registro!$E766),"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",LEN(Registro!$E766))),({1,2,3,4,5,6,7,8,9,10,11,12,13,14,15,16,17,18,19,20,21,22,23,24,25,26,27,28,29,30}-1)*LEN(Registro!$E766)+1,LEN(Registro!$E766))),FIND("x",TRIM(MID(SUBSTITUTE(SUBSTITUTE(SUBSTITUTE(SUBSTITUTE(SUBSTITUTE(LOWER(Registro!$E766),"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",LEN(Registro!$E766))),({1,2,3,4,5,6,7,8,9,10,11,12,13,14,15,16,17,18,19,20,21,22,23,24,25,26,27,28,29,30}-1)*LEN(Registro!$E766)+1,LEN(Registro!$E766)))&amp;"x")+1,20))),"Revisar formato")))</f>
        <v/>
      </c>
      <c r="F766" s="23" t="str">
        <f>IF(Registro!$F766="","",IF(ISERROR(FIND("x",LOWER(Registro!$F766))),"-",IFERROR(SUMPRODUCT(--("0"&amp;LEFT(TRIM(MID(SUBSTITUTE(SUBSTITUTE(SUBSTITUTE(SUBSTITUTE(SUBSTITUTE(LOWER(Registro!$F766)," ",""),CHAR(10),"|"),";","|"),"+","|"),"|",REPT(" ",LEN(Registro!$F766))),({1,2,3,4,5,6,7,8,9,10,11,12,13,14,15,16,17,18,19,20,21,22,23,24,25,26,27,28,29,30}-1)*LEN(Registro!$F766)+1,LEN(Registro!$F766))),FIND("x",TRIM(MID(SUBSTITUTE(SUBSTITUTE(SUBSTITUTE(SUBSTITUTE(SUBSTITUTE(LOWER(Registro!$F766)," ",""),CHAR(10),"|"),";","|"),"+","|"),"|",REPT(" ",LEN(Registro!$F766))),({1,2,3,4,5,6,7,8,9,10,11,12,13,14,15,16,17,18,19,20,21,22,23,24,25,26,27,28,29,30}-1)*LEN(Registro!$F766)+1,LEN(Registro!$F766)))&amp;"x")-1))),"Revisar formato")))</f>
        <v/>
      </c>
      <c r="G766" s="24" t="str">
        <f>IF(Registro!$F766="","",IF(ISERROR(FIND("x",LOWER(Registro!$F766))),N(Registro!$G766),IFERROR(SUMPRODUCT(--("0"&amp;LEFT(TRIM(MID(SUBSTITUTE(SUBSTITUTE(SUBSTITUTE(SUBSTITUTE(SUBSTITUTE(LOWER(Registro!$F766)," ",""),CHAR(10),"|"),";","|"),"+","|"),"|",REPT(" ",LEN(Registro!$F766))),({1,2,3,4,5,6,7,8,9,10,11,12,13,14,15,16,17,18,19,20,21,22,23,24,25,26,27,28,29,30}-1)*LEN(Registro!$F766)+1,LEN(Registro!$F766))),FIND("x",TRIM(MID(SUBSTITUTE(SUBSTITUTE(SUBSTITUTE(SUBSTITUTE(SUBSTITUTE(LOWER(Registro!$F766)," ",""),CHAR(10),"|"),";","|"),"+","|"),"|",REPT(" ",LEN(Registro!$F766))),({1,2,3,4,5,6,7,8,9,10,11,12,13,14,15,16,17,18,19,20,21,22,23,24,25,26,27,28,29,30}-1)*LEN(Registro!$F766)+1,LEN(Registro!$F766)))&amp;"x")-1)),--("0"&amp;MID(TRIM(MID(SUBSTITUTE(SUBSTITUTE(SUBSTITUTE(SUBSTITUTE(SUBSTITUTE(LOWER(Registro!$F766)," ",""),CHAR(10),"|"),";","|"),"+","|"),"|",REPT(" ",LEN(Registro!$F766))),({1,2,3,4,5,6,7,8,9,10,11,12,13,14,15,16,17,18,19,20,21,22,23,24,25,26,27,28,29,30}-1)*LEN(Registro!$F766)+1,LEN(Registro!$F766))),FIND("x",TRIM(MID(SUBSTITUTE(SUBSTITUTE(SUBSTITUTE(SUBSTITUTE(SUBSTITUTE(LOWER(Registro!$F766)," ",""),CHAR(10),"|"),";","|"),"+","|"),"|",REPT(" ",LEN(Registro!$F766))),({1,2,3,4,5,6,7,8,9,10,11,12,13,14,15,16,17,18,19,20,21,22,23,24,25,26,27,28,29,30}-1)*LEN(Registro!$F766)+1,LEN(Registro!$F766)))&amp;"x")+1,20))),"Revisar formato")))</f>
        <v/>
      </c>
      <c r="H766" s="21" t="str">
        <f>IF(AND(Registro!$E766="",Registro!$F766=""),"",IF(NOT(AND(ISNUMBER(G766),ISNUMBER(Registro!$G766))),"",IF(G766&lt;Registro!$G766,"FALTA BOLETOS",IF(G766=Registro!$G766,"CONFORME","DIFERENCIA"))))</f>
        <v/>
      </c>
      <c r="I766" s="24" t="str">
        <f>IF(Registro!$H766="","",IFERROR(SUMPRODUCT(--("0"&amp;TRIM(RIGHT(SUBSTITUTE(TRIM(MID(SUBSTITUTE(SUBSTITUTE(Registro!$H766,";",CHAR(10)),CHAR(10),REPT(" ",LEN(Registro!$H766))),({1,2,3,4,5,6,7,8,9,10,11,12,13,14,15,16,17,18,19,20,21,22,23,24,25,26,27,28,29,30}-1)*LEN(Registro!$H766)+1,LEN(Registro!$H766)))," ",REPT(" ",50)),50)))),"Revisar formato"))</f>
        <v/>
      </c>
      <c r="J766" s="24" t="str">
        <f>IF(Registro!$I766="","",IFERROR(SUMPRODUCT(--("0"&amp;TRIM(RIGHT(SUBSTITUTE(TRIM(MID(SUBSTITUTE(SUBSTITUTE(Registro!$I766,";",CHAR(10)),CHAR(10),REPT(" ",LEN(Registro!$I766))),({1,2,3,4,5,6,7,8,9,10,11,12,13,14,15,16,17,18,19,20,21,22,23,24,25,26,27,28,29,30}-1)*LEN(Registro!$I766)+1,LEN(Registro!$I766)))," ",REPT(" ",50)),50)))),"Revisar formato"))</f>
        <v/>
      </c>
      <c r="K766" s="24" t="str">
        <f>IF(AND(Registro!$G766="",Registro!$H766=""),"",IF(AND(ISTEXT(I766),I766&lt;&gt;""),"Revisar formato",N(Registro!$G766)-N(I766)))</f>
        <v/>
      </c>
      <c r="L766" s="24" t="str">
        <f t="shared" si="23"/>
        <v/>
      </c>
      <c r="M766" s="36" t="str">
        <f>IF(AND(A766=Consulta!$B$3,C766=Consulta!$H$3),B766*10000+ROW(),"")</f>
        <v/>
      </c>
    </row>
    <row r="767" spans="1:13" x14ac:dyDescent="0.25">
      <c r="A767" s="21" t="str">
        <f>IF(Registro!$A767="","",Registro!$A767)</f>
        <v/>
      </c>
      <c r="B767" s="20" t="str">
        <f>IF(Registro!$B767="","",Registro!$B767)</f>
        <v/>
      </c>
      <c r="C767" s="35" t="str">
        <f t="shared" si="22"/>
        <v/>
      </c>
      <c r="D767" s="23" t="str">
        <f>IF(Registro!$E767="","",IF(ISERROR(FIND("x",LOWER(Registro!$E767))),"-",IFERROR(SUMPRODUCT(--("0"&amp;LEFT(TRIM(MID(SUBSTITUTE(SUBSTITUTE(SUBSTITUTE(SUBSTITUTE(SUBSTITUTE(LOWER(Registro!$E767),"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",LEN(Registro!$E767))),({1,2,3,4,5,6,7,8,9,10,11,12,13,14,15,16,17,18,19,20,21,22,23,24,25,26,27,28,29,30}-1)*LEN(Registro!$E767)+1,LEN(Registro!$E767))),FIND("x",TRIM(MID(SUBSTITUTE(SUBSTITUTE(SUBSTITUTE(SUBSTITUTE(SUBSTITUTE(LOWER(Registro!$E767),"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",LEN(Registro!$E767))),({1,2,3,4,5,6,7,8,9,10,11,12,13,14,15,16,17,18,19,20,21,22,23,24,25,26,27,28,29,30}-1)*LEN(Registro!$E767)+1,LEN(Registro!$E767)))&amp;"x")-1))),"Revisar formato")))</f>
        <v/>
      </c>
      <c r="E767" s="24" t="str">
        <f>IF(Registro!$E767="","",IF(ISERROR(FIND("x",LOWER(Registro!$E767))),"-",IFERROR(SUMPRODUCT(--("0"&amp;LEFT(TRIM(MID(SUBSTITUTE(SUBSTITUTE(SUBSTITUTE(SUBSTITUTE(SUBSTITUTE(LOWER(Registro!$E767),"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",LEN(Registro!$E767))),({1,2,3,4,5,6,7,8,9,10,11,12,13,14,15,16,17,18,19,20,21,22,23,24,25,26,27,28,29,30}-1)*LEN(Registro!$E767)+1,LEN(Registro!$E767))),FIND("x",TRIM(MID(SUBSTITUTE(SUBSTITUTE(SUBSTITUTE(SUBSTITUTE(SUBSTITUTE(LOWER(Registro!$E767),"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",LEN(Registro!$E767))),({1,2,3,4,5,6,7,8,9,10,11,12,13,14,15,16,17,18,19,20,21,22,23,24,25,26,27,28,29,30}-1)*LEN(Registro!$E767)+1,LEN(Registro!$E767)))&amp;"x")-1)),--("0"&amp;MID(TRIM(MID(SUBSTITUTE(SUBSTITUTE(SUBSTITUTE(SUBSTITUTE(SUBSTITUTE(LOWER(Registro!$E767),"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",LEN(Registro!$E767))),({1,2,3,4,5,6,7,8,9,10,11,12,13,14,15,16,17,18,19,20,21,22,23,24,25,26,27,28,29,30}-1)*LEN(Registro!$E767)+1,LEN(Registro!$E767))),FIND("x",TRIM(MID(SUBSTITUTE(SUBSTITUTE(SUBSTITUTE(SUBSTITUTE(SUBSTITUTE(LOWER(Registro!$E767),"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",LEN(Registro!$E767))),({1,2,3,4,5,6,7,8,9,10,11,12,13,14,15,16,17,18,19,20,21,22,23,24,25,26,27,28,29,30}-1)*LEN(Registro!$E767)+1,LEN(Registro!$E767)))&amp;"x")+1,20))),"Revisar formato")))</f>
        <v/>
      </c>
      <c r="F767" s="23" t="str">
        <f>IF(Registro!$F767="","",IF(ISERROR(FIND("x",LOWER(Registro!$F767))),"-",IFERROR(SUMPRODUCT(--("0"&amp;LEFT(TRIM(MID(SUBSTITUTE(SUBSTITUTE(SUBSTITUTE(SUBSTITUTE(SUBSTITUTE(LOWER(Registro!$F767)," ",""),CHAR(10),"|"),";","|"),"+","|"),"|",REPT(" ",LEN(Registro!$F767))),({1,2,3,4,5,6,7,8,9,10,11,12,13,14,15,16,17,18,19,20,21,22,23,24,25,26,27,28,29,30}-1)*LEN(Registro!$F767)+1,LEN(Registro!$F767))),FIND("x",TRIM(MID(SUBSTITUTE(SUBSTITUTE(SUBSTITUTE(SUBSTITUTE(SUBSTITUTE(LOWER(Registro!$F767)," ",""),CHAR(10),"|"),";","|"),"+","|"),"|",REPT(" ",LEN(Registro!$F767))),({1,2,3,4,5,6,7,8,9,10,11,12,13,14,15,16,17,18,19,20,21,22,23,24,25,26,27,28,29,30}-1)*LEN(Registro!$F767)+1,LEN(Registro!$F767)))&amp;"x")-1))),"Revisar formato")))</f>
        <v/>
      </c>
      <c r="G767" s="24" t="str">
        <f>IF(Registro!$F767="","",IF(ISERROR(FIND("x",LOWER(Registro!$F767))),N(Registro!$G767),IFERROR(SUMPRODUCT(--("0"&amp;LEFT(TRIM(MID(SUBSTITUTE(SUBSTITUTE(SUBSTITUTE(SUBSTITUTE(SUBSTITUTE(LOWER(Registro!$F767)," ",""),CHAR(10),"|"),";","|"),"+","|"),"|",REPT(" ",LEN(Registro!$F767))),({1,2,3,4,5,6,7,8,9,10,11,12,13,14,15,16,17,18,19,20,21,22,23,24,25,26,27,28,29,30}-1)*LEN(Registro!$F767)+1,LEN(Registro!$F767))),FIND("x",TRIM(MID(SUBSTITUTE(SUBSTITUTE(SUBSTITUTE(SUBSTITUTE(SUBSTITUTE(LOWER(Registro!$F767)," ",""),CHAR(10),"|"),";","|"),"+","|"),"|",REPT(" ",LEN(Registro!$F767))),({1,2,3,4,5,6,7,8,9,10,11,12,13,14,15,16,17,18,19,20,21,22,23,24,25,26,27,28,29,30}-1)*LEN(Registro!$F767)+1,LEN(Registro!$F767)))&amp;"x")-1)),--("0"&amp;MID(TRIM(MID(SUBSTITUTE(SUBSTITUTE(SUBSTITUTE(SUBSTITUTE(SUBSTITUTE(LOWER(Registro!$F767)," ",""),CHAR(10),"|"),";","|"),"+","|"),"|",REPT(" ",LEN(Registro!$F767))),({1,2,3,4,5,6,7,8,9,10,11,12,13,14,15,16,17,18,19,20,21,22,23,24,25,26,27,28,29,30}-1)*LEN(Registro!$F767)+1,LEN(Registro!$F767))),FIND("x",TRIM(MID(SUBSTITUTE(SUBSTITUTE(SUBSTITUTE(SUBSTITUTE(SUBSTITUTE(LOWER(Registro!$F767)," ",""),CHAR(10),"|"),";","|"),"+","|"),"|",REPT(" ",LEN(Registro!$F767))),({1,2,3,4,5,6,7,8,9,10,11,12,13,14,15,16,17,18,19,20,21,22,23,24,25,26,27,28,29,30}-1)*LEN(Registro!$F767)+1,LEN(Registro!$F767)))&amp;"x")+1,20))),"Revisar formato")))</f>
        <v/>
      </c>
      <c r="H767" s="21" t="str">
        <f>IF(AND(Registro!$E767="",Registro!$F767=""),"",IF(NOT(AND(ISNUMBER(G767),ISNUMBER(Registro!$G767))),"",IF(G767&lt;Registro!$G767,"FALTA BOLETOS",IF(G767=Registro!$G767,"CONFORME","DIFERENCIA"))))</f>
        <v/>
      </c>
      <c r="I767" s="24" t="str">
        <f>IF(Registro!$H767="","",IFERROR(SUMPRODUCT(--("0"&amp;TRIM(RIGHT(SUBSTITUTE(TRIM(MID(SUBSTITUTE(SUBSTITUTE(Registro!$H767,";",CHAR(10)),CHAR(10),REPT(" ",LEN(Registro!$H767))),({1,2,3,4,5,6,7,8,9,10,11,12,13,14,15,16,17,18,19,20,21,22,23,24,25,26,27,28,29,30}-1)*LEN(Registro!$H767)+1,LEN(Registro!$H767)))," ",REPT(" ",50)),50)))),"Revisar formato"))</f>
        <v/>
      </c>
      <c r="J767" s="24" t="str">
        <f>IF(Registro!$I767="","",IFERROR(SUMPRODUCT(--("0"&amp;TRIM(RIGHT(SUBSTITUTE(TRIM(MID(SUBSTITUTE(SUBSTITUTE(Registro!$I767,";",CHAR(10)),CHAR(10),REPT(" ",LEN(Registro!$I767))),({1,2,3,4,5,6,7,8,9,10,11,12,13,14,15,16,17,18,19,20,21,22,23,24,25,26,27,28,29,30}-1)*LEN(Registro!$I767)+1,LEN(Registro!$I767)))," ",REPT(" ",50)),50)))),"Revisar formato"))</f>
        <v/>
      </c>
      <c r="K767" s="24" t="str">
        <f>IF(AND(Registro!$G767="",Registro!$H767=""),"",IF(AND(ISTEXT(I767),I767&lt;&gt;""),"Revisar formato",N(Registro!$G767)-N(I767)))</f>
        <v/>
      </c>
      <c r="L767" s="24" t="str">
        <f t="shared" si="23"/>
        <v/>
      </c>
      <c r="M767" s="36" t="str">
        <f>IF(AND(A767=Consulta!$B$3,C767=Consulta!$H$3),B767*10000+ROW(),"")</f>
        <v/>
      </c>
    </row>
    <row r="768" spans="1:13" x14ac:dyDescent="0.25">
      <c r="A768" s="21" t="str">
        <f>IF(Registro!$A768="","",Registro!$A768)</f>
        <v/>
      </c>
      <c r="B768" s="20" t="str">
        <f>IF(Registro!$B768="","",Registro!$B768)</f>
        <v/>
      </c>
      <c r="C768" s="35" t="str">
        <f t="shared" si="22"/>
        <v/>
      </c>
      <c r="D768" s="23" t="str">
        <f>IF(Registro!$E768="","",IF(ISERROR(FIND("x",LOWER(Registro!$E768))),"-",IFERROR(SUMPRODUCT(--("0"&amp;LEFT(TRIM(MID(SUBSTITUTE(SUBSTITUTE(SUBSTITUTE(SUBSTITUTE(SUBSTITUTE(LOWER(Registro!$E768),"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",LEN(Registro!$E768))),({1,2,3,4,5,6,7,8,9,10,11,12,13,14,15,16,17,18,19,20,21,22,23,24,25,26,27,28,29,30}-1)*LEN(Registro!$E768)+1,LEN(Registro!$E768))),FIND("x",TRIM(MID(SUBSTITUTE(SUBSTITUTE(SUBSTITUTE(SUBSTITUTE(SUBSTITUTE(LOWER(Registro!$E768),"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",LEN(Registro!$E768))),({1,2,3,4,5,6,7,8,9,10,11,12,13,14,15,16,17,18,19,20,21,22,23,24,25,26,27,28,29,30}-1)*LEN(Registro!$E768)+1,LEN(Registro!$E768)))&amp;"x")-1))),"Revisar formato")))</f>
        <v/>
      </c>
      <c r="E768" s="24" t="str">
        <f>IF(Registro!$E768="","",IF(ISERROR(FIND("x",LOWER(Registro!$E768))),"-",IFERROR(SUMPRODUCT(--("0"&amp;LEFT(TRIM(MID(SUBSTITUTE(SUBSTITUTE(SUBSTITUTE(SUBSTITUTE(SUBSTITUTE(LOWER(Registro!$E768),"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",LEN(Registro!$E768))),({1,2,3,4,5,6,7,8,9,10,11,12,13,14,15,16,17,18,19,20,21,22,23,24,25,26,27,28,29,30}-1)*LEN(Registro!$E768)+1,LEN(Registro!$E768))),FIND("x",TRIM(MID(SUBSTITUTE(SUBSTITUTE(SUBSTITUTE(SUBSTITUTE(SUBSTITUTE(LOWER(Registro!$E768),"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",LEN(Registro!$E768))),({1,2,3,4,5,6,7,8,9,10,11,12,13,14,15,16,17,18,19,20,21,22,23,24,25,26,27,28,29,30}-1)*LEN(Registro!$E768)+1,LEN(Registro!$E768)))&amp;"x")-1)),--("0"&amp;MID(TRIM(MID(SUBSTITUTE(SUBSTITUTE(SUBSTITUTE(SUBSTITUTE(SUBSTITUTE(LOWER(Registro!$E768),"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",LEN(Registro!$E768))),({1,2,3,4,5,6,7,8,9,10,11,12,13,14,15,16,17,18,19,20,21,22,23,24,25,26,27,28,29,30}-1)*LEN(Registro!$E768)+1,LEN(Registro!$E768))),FIND("x",TRIM(MID(SUBSTITUTE(SUBSTITUTE(SUBSTITUTE(SUBSTITUTE(SUBSTITUTE(LOWER(Registro!$E768),"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",LEN(Registro!$E768))),({1,2,3,4,5,6,7,8,9,10,11,12,13,14,15,16,17,18,19,20,21,22,23,24,25,26,27,28,29,30}-1)*LEN(Registro!$E768)+1,LEN(Registro!$E768)))&amp;"x")+1,20))),"Revisar formato")))</f>
        <v/>
      </c>
      <c r="F768" s="23" t="str">
        <f>IF(Registro!$F768="","",IF(ISERROR(FIND("x",LOWER(Registro!$F768))),"-",IFERROR(SUMPRODUCT(--("0"&amp;LEFT(TRIM(MID(SUBSTITUTE(SUBSTITUTE(SUBSTITUTE(SUBSTITUTE(SUBSTITUTE(LOWER(Registro!$F768)," ",""),CHAR(10),"|"),";","|"),"+","|"),"|",REPT(" ",LEN(Registro!$F768))),({1,2,3,4,5,6,7,8,9,10,11,12,13,14,15,16,17,18,19,20,21,22,23,24,25,26,27,28,29,30}-1)*LEN(Registro!$F768)+1,LEN(Registro!$F768))),FIND("x",TRIM(MID(SUBSTITUTE(SUBSTITUTE(SUBSTITUTE(SUBSTITUTE(SUBSTITUTE(LOWER(Registro!$F768)," ",""),CHAR(10),"|"),";","|"),"+","|"),"|",REPT(" ",LEN(Registro!$F768))),({1,2,3,4,5,6,7,8,9,10,11,12,13,14,15,16,17,18,19,20,21,22,23,24,25,26,27,28,29,30}-1)*LEN(Registro!$F768)+1,LEN(Registro!$F768)))&amp;"x")-1))),"Revisar formato")))</f>
        <v/>
      </c>
      <c r="G768" s="24" t="str">
        <f>IF(Registro!$F768="","",IF(ISERROR(FIND("x",LOWER(Registro!$F768))),N(Registro!$G768),IFERROR(SUMPRODUCT(--("0"&amp;LEFT(TRIM(MID(SUBSTITUTE(SUBSTITUTE(SUBSTITUTE(SUBSTITUTE(SUBSTITUTE(LOWER(Registro!$F768)," ",""),CHAR(10),"|"),";","|"),"+","|"),"|",REPT(" ",LEN(Registro!$F768))),({1,2,3,4,5,6,7,8,9,10,11,12,13,14,15,16,17,18,19,20,21,22,23,24,25,26,27,28,29,30}-1)*LEN(Registro!$F768)+1,LEN(Registro!$F768))),FIND("x",TRIM(MID(SUBSTITUTE(SUBSTITUTE(SUBSTITUTE(SUBSTITUTE(SUBSTITUTE(LOWER(Registro!$F768)," ",""),CHAR(10),"|"),";","|"),"+","|"),"|",REPT(" ",LEN(Registro!$F768))),({1,2,3,4,5,6,7,8,9,10,11,12,13,14,15,16,17,18,19,20,21,22,23,24,25,26,27,28,29,30}-1)*LEN(Registro!$F768)+1,LEN(Registro!$F768)))&amp;"x")-1)),--("0"&amp;MID(TRIM(MID(SUBSTITUTE(SUBSTITUTE(SUBSTITUTE(SUBSTITUTE(SUBSTITUTE(LOWER(Registro!$F768)," ",""),CHAR(10),"|"),";","|"),"+","|"),"|",REPT(" ",LEN(Registro!$F768))),({1,2,3,4,5,6,7,8,9,10,11,12,13,14,15,16,17,18,19,20,21,22,23,24,25,26,27,28,29,30}-1)*LEN(Registro!$F768)+1,LEN(Registro!$F768))),FIND("x",TRIM(MID(SUBSTITUTE(SUBSTITUTE(SUBSTITUTE(SUBSTITUTE(SUBSTITUTE(LOWER(Registro!$F768)," ",""),CHAR(10),"|"),";","|"),"+","|"),"|",REPT(" ",LEN(Registro!$F768))),({1,2,3,4,5,6,7,8,9,10,11,12,13,14,15,16,17,18,19,20,21,22,23,24,25,26,27,28,29,30}-1)*LEN(Registro!$F768)+1,LEN(Registro!$F768)))&amp;"x")+1,20))),"Revisar formato")))</f>
        <v/>
      </c>
      <c r="H768" s="21" t="str">
        <f>IF(AND(Registro!$E768="",Registro!$F768=""),"",IF(NOT(AND(ISNUMBER(G768),ISNUMBER(Registro!$G768))),"",IF(G768&lt;Registro!$G768,"FALTA BOLETOS",IF(G768=Registro!$G768,"CONFORME","DIFERENCIA"))))</f>
        <v/>
      </c>
      <c r="I768" s="24" t="str">
        <f>IF(Registro!$H768="","",IFERROR(SUMPRODUCT(--("0"&amp;TRIM(RIGHT(SUBSTITUTE(TRIM(MID(SUBSTITUTE(SUBSTITUTE(Registro!$H768,";",CHAR(10)),CHAR(10),REPT(" ",LEN(Registro!$H768))),({1,2,3,4,5,6,7,8,9,10,11,12,13,14,15,16,17,18,19,20,21,22,23,24,25,26,27,28,29,30}-1)*LEN(Registro!$H768)+1,LEN(Registro!$H768)))," ",REPT(" ",50)),50)))),"Revisar formato"))</f>
        <v/>
      </c>
      <c r="J768" s="24" t="str">
        <f>IF(Registro!$I768="","",IFERROR(SUMPRODUCT(--("0"&amp;TRIM(RIGHT(SUBSTITUTE(TRIM(MID(SUBSTITUTE(SUBSTITUTE(Registro!$I768,";",CHAR(10)),CHAR(10),REPT(" ",LEN(Registro!$I768))),({1,2,3,4,5,6,7,8,9,10,11,12,13,14,15,16,17,18,19,20,21,22,23,24,25,26,27,28,29,30}-1)*LEN(Registro!$I768)+1,LEN(Registro!$I768)))," ",REPT(" ",50)),50)))),"Revisar formato"))</f>
        <v/>
      </c>
      <c r="K768" s="24" t="str">
        <f>IF(AND(Registro!$G768="",Registro!$H768=""),"",IF(AND(ISTEXT(I768),I768&lt;&gt;""),"Revisar formato",N(Registro!$G768)-N(I768)))</f>
        <v/>
      </c>
      <c r="L768" s="24" t="str">
        <f t="shared" si="23"/>
        <v/>
      </c>
      <c r="M768" s="36" t="str">
        <f>IF(AND(A768=Consulta!$B$3,C768=Consulta!$H$3),B768*10000+ROW(),"")</f>
        <v/>
      </c>
    </row>
    <row r="769" spans="1:13" x14ac:dyDescent="0.25">
      <c r="A769" s="21" t="str">
        <f>IF(Registro!$A769="","",Registro!$A769)</f>
        <v/>
      </c>
      <c r="B769" s="20" t="str">
        <f>IF(Registro!$B769="","",Registro!$B769)</f>
        <v/>
      </c>
      <c r="C769" s="35" t="str">
        <f t="shared" si="22"/>
        <v/>
      </c>
      <c r="D769" s="23" t="str">
        <f>IF(Registro!$E769="","",IF(ISERROR(FIND("x",LOWER(Registro!$E769))),"-",IFERROR(SUMPRODUCT(--("0"&amp;LEFT(TRIM(MID(SUBSTITUTE(SUBSTITUTE(SUBSTITUTE(SUBSTITUTE(SUBSTITUTE(LOWER(Registro!$E769),"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",LEN(Registro!$E769))),({1,2,3,4,5,6,7,8,9,10,11,12,13,14,15,16,17,18,19,20,21,22,23,24,25,26,27,28,29,30}-1)*LEN(Registro!$E769)+1,LEN(Registro!$E769))),FIND("x",TRIM(MID(SUBSTITUTE(SUBSTITUTE(SUBSTITUTE(SUBSTITUTE(SUBSTITUTE(LOWER(Registro!$E769),"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",LEN(Registro!$E769))),({1,2,3,4,5,6,7,8,9,10,11,12,13,14,15,16,17,18,19,20,21,22,23,24,25,26,27,28,29,30}-1)*LEN(Registro!$E769)+1,LEN(Registro!$E769)))&amp;"x")-1))),"Revisar formato")))</f>
        <v/>
      </c>
      <c r="E769" s="24" t="str">
        <f>IF(Registro!$E769="","",IF(ISERROR(FIND("x",LOWER(Registro!$E769))),"-",IFERROR(SUMPRODUCT(--("0"&amp;LEFT(TRIM(MID(SUBSTITUTE(SUBSTITUTE(SUBSTITUTE(SUBSTITUTE(SUBSTITUTE(LOWER(Registro!$E769),"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",LEN(Registro!$E769))),({1,2,3,4,5,6,7,8,9,10,11,12,13,14,15,16,17,18,19,20,21,22,23,24,25,26,27,28,29,30}-1)*LEN(Registro!$E769)+1,LEN(Registro!$E769))),FIND("x",TRIM(MID(SUBSTITUTE(SUBSTITUTE(SUBSTITUTE(SUBSTITUTE(SUBSTITUTE(LOWER(Registro!$E769),"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",LEN(Registro!$E769))),({1,2,3,4,5,6,7,8,9,10,11,12,13,14,15,16,17,18,19,20,21,22,23,24,25,26,27,28,29,30}-1)*LEN(Registro!$E769)+1,LEN(Registro!$E769)))&amp;"x")-1)),--("0"&amp;MID(TRIM(MID(SUBSTITUTE(SUBSTITUTE(SUBSTITUTE(SUBSTITUTE(SUBSTITUTE(LOWER(Registro!$E769),"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",LEN(Registro!$E769))),({1,2,3,4,5,6,7,8,9,10,11,12,13,14,15,16,17,18,19,20,21,22,23,24,25,26,27,28,29,30}-1)*LEN(Registro!$E769)+1,LEN(Registro!$E769))),FIND("x",TRIM(MID(SUBSTITUTE(SUBSTITUTE(SUBSTITUTE(SUBSTITUTE(SUBSTITUTE(LOWER(Registro!$E769),"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",LEN(Registro!$E769))),({1,2,3,4,5,6,7,8,9,10,11,12,13,14,15,16,17,18,19,20,21,22,23,24,25,26,27,28,29,30}-1)*LEN(Registro!$E769)+1,LEN(Registro!$E769)))&amp;"x")+1,20))),"Revisar formato")))</f>
        <v/>
      </c>
      <c r="F769" s="23" t="str">
        <f>IF(Registro!$F769="","",IF(ISERROR(FIND("x",LOWER(Registro!$F769))),"-",IFERROR(SUMPRODUCT(--("0"&amp;LEFT(TRIM(MID(SUBSTITUTE(SUBSTITUTE(SUBSTITUTE(SUBSTITUTE(SUBSTITUTE(LOWER(Registro!$F769)," ",""),CHAR(10),"|"),";","|"),"+","|"),"|",REPT(" ",LEN(Registro!$F769))),({1,2,3,4,5,6,7,8,9,10,11,12,13,14,15,16,17,18,19,20,21,22,23,24,25,26,27,28,29,30}-1)*LEN(Registro!$F769)+1,LEN(Registro!$F769))),FIND("x",TRIM(MID(SUBSTITUTE(SUBSTITUTE(SUBSTITUTE(SUBSTITUTE(SUBSTITUTE(LOWER(Registro!$F769)," ",""),CHAR(10),"|"),";","|"),"+","|"),"|",REPT(" ",LEN(Registro!$F769))),({1,2,3,4,5,6,7,8,9,10,11,12,13,14,15,16,17,18,19,20,21,22,23,24,25,26,27,28,29,30}-1)*LEN(Registro!$F769)+1,LEN(Registro!$F769)))&amp;"x")-1))),"Revisar formato")))</f>
        <v/>
      </c>
      <c r="G769" s="24" t="str">
        <f>IF(Registro!$F769="","",IF(ISERROR(FIND("x",LOWER(Registro!$F769))),N(Registro!$G769),IFERROR(SUMPRODUCT(--("0"&amp;LEFT(TRIM(MID(SUBSTITUTE(SUBSTITUTE(SUBSTITUTE(SUBSTITUTE(SUBSTITUTE(LOWER(Registro!$F769)," ",""),CHAR(10),"|"),";","|"),"+","|"),"|",REPT(" ",LEN(Registro!$F769))),({1,2,3,4,5,6,7,8,9,10,11,12,13,14,15,16,17,18,19,20,21,22,23,24,25,26,27,28,29,30}-1)*LEN(Registro!$F769)+1,LEN(Registro!$F769))),FIND("x",TRIM(MID(SUBSTITUTE(SUBSTITUTE(SUBSTITUTE(SUBSTITUTE(SUBSTITUTE(LOWER(Registro!$F769)," ",""),CHAR(10),"|"),";","|"),"+","|"),"|",REPT(" ",LEN(Registro!$F769))),({1,2,3,4,5,6,7,8,9,10,11,12,13,14,15,16,17,18,19,20,21,22,23,24,25,26,27,28,29,30}-1)*LEN(Registro!$F769)+1,LEN(Registro!$F769)))&amp;"x")-1)),--("0"&amp;MID(TRIM(MID(SUBSTITUTE(SUBSTITUTE(SUBSTITUTE(SUBSTITUTE(SUBSTITUTE(LOWER(Registro!$F769)," ",""),CHAR(10),"|"),";","|"),"+","|"),"|",REPT(" ",LEN(Registro!$F769))),({1,2,3,4,5,6,7,8,9,10,11,12,13,14,15,16,17,18,19,20,21,22,23,24,25,26,27,28,29,30}-1)*LEN(Registro!$F769)+1,LEN(Registro!$F769))),FIND("x",TRIM(MID(SUBSTITUTE(SUBSTITUTE(SUBSTITUTE(SUBSTITUTE(SUBSTITUTE(LOWER(Registro!$F769)," ",""),CHAR(10),"|"),";","|"),"+","|"),"|",REPT(" ",LEN(Registro!$F769))),({1,2,3,4,5,6,7,8,9,10,11,12,13,14,15,16,17,18,19,20,21,22,23,24,25,26,27,28,29,30}-1)*LEN(Registro!$F769)+1,LEN(Registro!$F769)))&amp;"x")+1,20))),"Revisar formato")))</f>
        <v/>
      </c>
      <c r="H769" s="21" t="str">
        <f>IF(AND(Registro!$E769="",Registro!$F769=""),"",IF(NOT(AND(ISNUMBER(G769),ISNUMBER(Registro!$G769))),"",IF(G769&lt;Registro!$G769,"FALTA BOLETOS",IF(G769=Registro!$G769,"CONFORME","DIFERENCIA"))))</f>
        <v/>
      </c>
      <c r="I769" s="24" t="str">
        <f>IF(Registro!$H769="","",IFERROR(SUMPRODUCT(--("0"&amp;TRIM(RIGHT(SUBSTITUTE(TRIM(MID(SUBSTITUTE(SUBSTITUTE(Registro!$H769,";",CHAR(10)),CHAR(10),REPT(" ",LEN(Registro!$H769))),({1,2,3,4,5,6,7,8,9,10,11,12,13,14,15,16,17,18,19,20,21,22,23,24,25,26,27,28,29,30}-1)*LEN(Registro!$H769)+1,LEN(Registro!$H769)))," ",REPT(" ",50)),50)))),"Revisar formato"))</f>
        <v/>
      </c>
      <c r="J769" s="24" t="str">
        <f>IF(Registro!$I769="","",IFERROR(SUMPRODUCT(--("0"&amp;TRIM(RIGHT(SUBSTITUTE(TRIM(MID(SUBSTITUTE(SUBSTITUTE(Registro!$I769,";",CHAR(10)),CHAR(10),REPT(" ",LEN(Registro!$I769))),({1,2,3,4,5,6,7,8,9,10,11,12,13,14,15,16,17,18,19,20,21,22,23,24,25,26,27,28,29,30}-1)*LEN(Registro!$I769)+1,LEN(Registro!$I769)))," ",REPT(" ",50)),50)))),"Revisar formato"))</f>
        <v/>
      </c>
      <c r="K769" s="24" t="str">
        <f>IF(AND(Registro!$G769="",Registro!$H769=""),"",IF(AND(ISTEXT(I769),I769&lt;&gt;""),"Revisar formato",N(Registro!$G769)-N(I769)))</f>
        <v/>
      </c>
      <c r="L769" s="24" t="str">
        <f t="shared" si="23"/>
        <v/>
      </c>
      <c r="M769" s="36" t="str">
        <f>IF(AND(A769=Consulta!$B$3,C769=Consulta!$H$3),B769*10000+ROW(),"")</f>
        <v/>
      </c>
    </row>
    <row r="770" spans="1:13" x14ac:dyDescent="0.25">
      <c r="A770" s="21" t="str">
        <f>IF(Registro!$A770="","",Registro!$A770)</f>
        <v/>
      </c>
      <c r="B770" s="20" t="str">
        <f>IF(Registro!$B770="","",Registro!$B770)</f>
        <v/>
      </c>
      <c r="C770" s="35" t="str">
        <f t="shared" ref="C770:C833" si="24">IF(ISNUMBER(B770),YEAR(B770)*100+MONTH(B770),"")</f>
        <v/>
      </c>
      <c r="D770" s="23" t="str">
        <f>IF(Registro!$E770="","",IF(ISERROR(FIND("x",LOWER(Registro!$E770))),"-",IFERROR(SUMPRODUCT(--("0"&amp;LEFT(TRIM(MID(SUBSTITUTE(SUBSTITUTE(SUBSTITUTE(SUBSTITUTE(SUBSTITUTE(LOWER(Registro!$E770),"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",LEN(Registro!$E770))),({1,2,3,4,5,6,7,8,9,10,11,12,13,14,15,16,17,18,19,20,21,22,23,24,25,26,27,28,29,30}-1)*LEN(Registro!$E770)+1,LEN(Registro!$E770))),FIND("x",TRIM(MID(SUBSTITUTE(SUBSTITUTE(SUBSTITUTE(SUBSTITUTE(SUBSTITUTE(LOWER(Registro!$E770),"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",LEN(Registro!$E770))),({1,2,3,4,5,6,7,8,9,10,11,12,13,14,15,16,17,18,19,20,21,22,23,24,25,26,27,28,29,30}-1)*LEN(Registro!$E770)+1,LEN(Registro!$E770)))&amp;"x")-1))),"Revisar formato")))</f>
        <v/>
      </c>
      <c r="E770" s="24" t="str">
        <f>IF(Registro!$E770="","",IF(ISERROR(FIND("x",LOWER(Registro!$E770))),"-",IFERROR(SUMPRODUCT(--("0"&amp;LEFT(TRIM(MID(SUBSTITUTE(SUBSTITUTE(SUBSTITUTE(SUBSTITUTE(SUBSTITUTE(LOWER(Registro!$E770),"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",LEN(Registro!$E770))),({1,2,3,4,5,6,7,8,9,10,11,12,13,14,15,16,17,18,19,20,21,22,23,24,25,26,27,28,29,30}-1)*LEN(Registro!$E770)+1,LEN(Registro!$E770))),FIND("x",TRIM(MID(SUBSTITUTE(SUBSTITUTE(SUBSTITUTE(SUBSTITUTE(SUBSTITUTE(LOWER(Registro!$E770),"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",LEN(Registro!$E770))),({1,2,3,4,5,6,7,8,9,10,11,12,13,14,15,16,17,18,19,20,21,22,23,24,25,26,27,28,29,30}-1)*LEN(Registro!$E770)+1,LEN(Registro!$E770)))&amp;"x")-1)),--("0"&amp;MID(TRIM(MID(SUBSTITUTE(SUBSTITUTE(SUBSTITUTE(SUBSTITUTE(SUBSTITUTE(LOWER(Registro!$E770),"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",LEN(Registro!$E770))),({1,2,3,4,5,6,7,8,9,10,11,12,13,14,15,16,17,18,19,20,21,22,23,24,25,26,27,28,29,30}-1)*LEN(Registro!$E770)+1,LEN(Registro!$E770))),FIND("x",TRIM(MID(SUBSTITUTE(SUBSTITUTE(SUBSTITUTE(SUBSTITUTE(SUBSTITUTE(LOWER(Registro!$E770),"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",LEN(Registro!$E770))),({1,2,3,4,5,6,7,8,9,10,11,12,13,14,15,16,17,18,19,20,21,22,23,24,25,26,27,28,29,30}-1)*LEN(Registro!$E770)+1,LEN(Registro!$E770)))&amp;"x")+1,20))),"Revisar formato")))</f>
        <v/>
      </c>
      <c r="F770" s="23" t="str">
        <f>IF(Registro!$F770="","",IF(ISERROR(FIND("x",LOWER(Registro!$F770))),"-",IFERROR(SUMPRODUCT(--("0"&amp;LEFT(TRIM(MID(SUBSTITUTE(SUBSTITUTE(SUBSTITUTE(SUBSTITUTE(SUBSTITUTE(LOWER(Registro!$F770)," ",""),CHAR(10),"|"),";","|"),"+","|"),"|",REPT(" ",LEN(Registro!$F770))),({1,2,3,4,5,6,7,8,9,10,11,12,13,14,15,16,17,18,19,20,21,22,23,24,25,26,27,28,29,30}-1)*LEN(Registro!$F770)+1,LEN(Registro!$F770))),FIND("x",TRIM(MID(SUBSTITUTE(SUBSTITUTE(SUBSTITUTE(SUBSTITUTE(SUBSTITUTE(LOWER(Registro!$F770)," ",""),CHAR(10),"|"),";","|"),"+","|"),"|",REPT(" ",LEN(Registro!$F770))),({1,2,3,4,5,6,7,8,9,10,11,12,13,14,15,16,17,18,19,20,21,22,23,24,25,26,27,28,29,30}-1)*LEN(Registro!$F770)+1,LEN(Registro!$F770)))&amp;"x")-1))),"Revisar formato")))</f>
        <v/>
      </c>
      <c r="G770" s="24" t="str">
        <f>IF(Registro!$F770="","",IF(ISERROR(FIND("x",LOWER(Registro!$F770))),N(Registro!$G770),IFERROR(SUMPRODUCT(--("0"&amp;LEFT(TRIM(MID(SUBSTITUTE(SUBSTITUTE(SUBSTITUTE(SUBSTITUTE(SUBSTITUTE(LOWER(Registro!$F770)," ",""),CHAR(10),"|"),";","|"),"+","|"),"|",REPT(" ",LEN(Registro!$F770))),({1,2,3,4,5,6,7,8,9,10,11,12,13,14,15,16,17,18,19,20,21,22,23,24,25,26,27,28,29,30}-1)*LEN(Registro!$F770)+1,LEN(Registro!$F770))),FIND("x",TRIM(MID(SUBSTITUTE(SUBSTITUTE(SUBSTITUTE(SUBSTITUTE(SUBSTITUTE(LOWER(Registro!$F770)," ",""),CHAR(10),"|"),";","|"),"+","|"),"|",REPT(" ",LEN(Registro!$F770))),({1,2,3,4,5,6,7,8,9,10,11,12,13,14,15,16,17,18,19,20,21,22,23,24,25,26,27,28,29,30}-1)*LEN(Registro!$F770)+1,LEN(Registro!$F770)))&amp;"x")-1)),--("0"&amp;MID(TRIM(MID(SUBSTITUTE(SUBSTITUTE(SUBSTITUTE(SUBSTITUTE(SUBSTITUTE(LOWER(Registro!$F770)," ",""),CHAR(10),"|"),";","|"),"+","|"),"|",REPT(" ",LEN(Registro!$F770))),({1,2,3,4,5,6,7,8,9,10,11,12,13,14,15,16,17,18,19,20,21,22,23,24,25,26,27,28,29,30}-1)*LEN(Registro!$F770)+1,LEN(Registro!$F770))),FIND("x",TRIM(MID(SUBSTITUTE(SUBSTITUTE(SUBSTITUTE(SUBSTITUTE(SUBSTITUTE(LOWER(Registro!$F770)," ",""),CHAR(10),"|"),";","|"),"+","|"),"|",REPT(" ",LEN(Registro!$F770))),({1,2,3,4,5,6,7,8,9,10,11,12,13,14,15,16,17,18,19,20,21,22,23,24,25,26,27,28,29,30}-1)*LEN(Registro!$F770)+1,LEN(Registro!$F770)))&amp;"x")+1,20))),"Revisar formato")))</f>
        <v/>
      </c>
      <c r="H770" s="21" t="str">
        <f>IF(AND(Registro!$E770="",Registro!$F770=""),"",IF(NOT(AND(ISNUMBER(G770),ISNUMBER(Registro!$G770))),"",IF(G770&lt;Registro!$G770,"FALTA BOLETOS",IF(G770=Registro!$G770,"CONFORME","DIFERENCIA"))))</f>
        <v/>
      </c>
      <c r="I770" s="24" t="str">
        <f>IF(Registro!$H770="","",IFERROR(SUMPRODUCT(--("0"&amp;TRIM(RIGHT(SUBSTITUTE(TRIM(MID(SUBSTITUTE(SUBSTITUTE(Registro!$H770,";",CHAR(10)),CHAR(10),REPT(" ",LEN(Registro!$H770))),({1,2,3,4,5,6,7,8,9,10,11,12,13,14,15,16,17,18,19,20,21,22,23,24,25,26,27,28,29,30}-1)*LEN(Registro!$H770)+1,LEN(Registro!$H770)))," ",REPT(" ",50)),50)))),"Revisar formato"))</f>
        <v/>
      </c>
      <c r="J770" s="24" t="str">
        <f>IF(Registro!$I770="","",IFERROR(SUMPRODUCT(--("0"&amp;TRIM(RIGHT(SUBSTITUTE(TRIM(MID(SUBSTITUTE(SUBSTITUTE(Registro!$I770,";",CHAR(10)),CHAR(10),REPT(" ",LEN(Registro!$I770))),({1,2,3,4,5,6,7,8,9,10,11,12,13,14,15,16,17,18,19,20,21,22,23,24,25,26,27,28,29,30}-1)*LEN(Registro!$I770)+1,LEN(Registro!$I770)))," ",REPT(" ",50)),50)))),"Revisar formato"))</f>
        <v/>
      </c>
      <c r="K770" s="24" t="str">
        <f>IF(AND(Registro!$G770="",Registro!$H770=""),"",IF(AND(ISTEXT(I770),I770&lt;&gt;""),"Revisar formato",N(Registro!$G770)-N(I770)))</f>
        <v/>
      </c>
      <c r="L770" s="24" t="str">
        <f t="shared" ref="L770:L833" si="25">IF(K770="","",IF(OR(K770="Revisar formato",AND(ISTEXT(J770),J770&lt;&gt;"")),"Revisar formato",K770-N(J770)))</f>
        <v/>
      </c>
      <c r="M770" s="36" t="str">
        <f>IF(AND(A770=Consulta!$B$3,C770=Consulta!$H$3),B770*10000+ROW(),"")</f>
        <v/>
      </c>
    </row>
    <row r="771" spans="1:13" x14ac:dyDescent="0.25">
      <c r="A771" s="21" t="str">
        <f>IF(Registro!$A771="","",Registro!$A771)</f>
        <v/>
      </c>
      <c r="B771" s="20" t="str">
        <f>IF(Registro!$B771="","",Registro!$B771)</f>
        <v/>
      </c>
      <c r="C771" s="35" t="str">
        <f t="shared" si="24"/>
        <v/>
      </c>
      <c r="D771" s="23" t="str">
        <f>IF(Registro!$E771="","",IF(ISERROR(FIND("x",LOWER(Registro!$E771))),"-",IFERROR(SUMPRODUCT(--("0"&amp;LEFT(TRIM(MID(SUBSTITUTE(SUBSTITUTE(SUBSTITUTE(SUBSTITUTE(SUBSTITUTE(LOWER(Registro!$E771),"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",LEN(Registro!$E771))),({1,2,3,4,5,6,7,8,9,10,11,12,13,14,15,16,17,18,19,20,21,22,23,24,25,26,27,28,29,30}-1)*LEN(Registro!$E771)+1,LEN(Registro!$E771))),FIND("x",TRIM(MID(SUBSTITUTE(SUBSTITUTE(SUBSTITUTE(SUBSTITUTE(SUBSTITUTE(LOWER(Registro!$E771),"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",LEN(Registro!$E771))),({1,2,3,4,5,6,7,8,9,10,11,12,13,14,15,16,17,18,19,20,21,22,23,24,25,26,27,28,29,30}-1)*LEN(Registro!$E771)+1,LEN(Registro!$E771)))&amp;"x")-1))),"Revisar formato")))</f>
        <v/>
      </c>
      <c r="E771" s="24" t="str">
        <f>IF(Registro!$E771="","",IF(ISERROR(FIND("x",LOWER(Registro!$E771))),"-",IFERROR(SUMPRODUCT(--("0"&amp;LEFT(TRIM(MID(SUBSTITUTE(SUBSTITUTE(SUBSTITUTE(SUBSTITUTE(SUBSTITUTE(LOWER(Registro!$E771),"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",LEN(Registro!$E771))),({1,2,3,4,5,6,7,8,9,10,11,12,13,14,15,16,17,18,19,20,21,22,23,24,25,26,27,28,29,30}-1)*LEN(Registro!$E771)+1,LEN(Registro!$E771))),FIND("x",TRIM(MID(SUBSTITUTE(SUBSTITUTE(SUBSTITUTE(SUBSTITUTE(SUBSTITUTE(LOWER(Registro!$E771),"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",LEN(Registro!$E771))),({1,2,3,4,5,6,7,8,9,10,11,12,13,14,15,16,17,18,19,20,21,22,23,24,25,26,27,28,29,30}-1)*LEN(Registro!$E771)+1,LEN(Registro!$E771)))&amp;"x")-1)),--("0"&amp;MID(TRIM(MID(SUBSTITUTE(SUBSTITUTE(SUBSTITUTE(SUBSTITUTE(SUBSTITUTE(LOWER(Registro!$E771),"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",LEN(Registro!$E771))),({1,2,3,4,5,6,7,8,9,10,11,12,13,14,15,16,17,18,19,20,21,22,23,24,25,26,27,28,29,30}-1)*LEN(Registro!$E771)+1,LEN(Registro!$E771))),FIND("x",TRIM(MID(SUBSTITUTE(SUBSTITUTE(SUBSTITUTE(SUBSTITUTE(SUBSTITUTE(LOWER(Registro!$E771),"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",LEN(Registro!$E771))),({1,2,3,4,5,6,7,8,9,10,11,12,13,14,15,16,17,18,19,20,21,22,23,24,25,26,27,28,29,30}-1)*LEN(Registro!$E771)+1,LEN(Registro!$E771)))&amp;"x")+1,20))),"Revisar formato")))</f>
        <v/>
      </c>
      <c r="F771" s="23" t="str">
        <f>IF(Registro!$F771="","",IF(ISERROR(FIND("x",LOWER(Registro!$F771))),"-",IFERROR(SUMPRODUCT(--("0"&amp;LEFT(TRIM(MID(SUBSTITUTE(SUBSTITUTE(SUBSTITUTE(SUBSTITUTE(SUBSTITUTE(LOWER(Registro!$F771)," ",""),CHAR(10),"|"),";","|"),"+","|"),"|",REPT(" ",LEN(Registro!$F771))),({1,2,3,4,5,6,7,8,9,10,11,12,13,14,15,16,17,18,19,20,21,22,23,24,25,26,27,28,29,30}-1)*LEN(Registro!$F771)+1,LEN(Registro!$F771))),FIND("x",TRIM(MID(SUBSTITUTE(SUBSTITUTE(SUBSTITUTE(SUBSTITUTE(SUBSTITUTE(LOWER(Registro!$F771)," ",""),CHAR(10),"|"),";","|"),"+","|"),"|",REPT(" ",LEN(Registro!$F771))),({1,2,3,4,5,6,7,8,9,10,11,12,13,14,15,16,17,18,19,20,21,22,23,24,25,26,27,28,29,30}-1)*LEN(Registro!$F771)+1,LEN(Registro!$F771)))&amp;"x")-1))),"Revisar formato")))</f>
        <v/>
      </c>
      <c r="G771" s="24" t="str">
        <f>IF(Registro!$F771="","",IF(ISERROR(FIND("x",LOWER(Registro!$F771))),N(Registro!$G771),IFERROR(SUMPRODUCT(--("0"&amp;LEFT(TRIM(MID(SUBSTITUTE(SUBSTITUTE(SUBSTITUTE(SUBSTITUTE(SUBSTITUTE(LOWER(Registro!$F771)," ",""),CHAR(10),"|"),";","|"),"+","|"),"|",REPT(" ",LEN(Registro!$F771))),({1,2,3,4,5,6,7,8,9,10,11,12,13,14,15,16,17,18,19,20,21,22,23,24,25,26,27,28,29,30}-1)*LEN(Registro!$F771)+1,LEN(Registro!$F771))),FIND("x",TRIM(MID(SUBSTITUTE(SUBSTITUTE(SUBSTITUTE(SUBSTITUTE(SUBSTITUTE(LOWER(Registro!$F771)," ",""),CHAR(10),"|"),";","|"),"+","|"),"|",REPT(" ",LEN(Registro!$F771))),({1,2,3,4,5,6,7,8,9,10,11,12,13,14,15,16,17,18,19,20,21,22,23,24,25,26,27,28,29,30}-1)*LEN(Registro!$F771)+1,LEN(Registro!$F771)))&amp;"x")-1)),--("0"&amp;MID(TRIM(MID(SUBSTITUTE(SUBSTITUTE(SUBSTITUTE(SUBSTITUTE(SUBSTITUTE(LOWER(Registro!$F771)," ",""),CHAR(10),"|"),";","|"),"+","|"),"|",REPT(" ",LEN(Registro!$F771))),({1,2,3,4,5,6,7,8,9,10,11,12,13,14,15,16,17,18,19,20,21,22,23,24,25,26,27,28,29,30}-1)*LEN(Registro!$F771)+1,LEN(Registro!$F771))),FIND("x",TRIM(MID(SUBSTITUTE(SUBSTITUTE(SUBSTITUTE(SUBSTITUTE(SUBSTITUTE(LOWER(Registro!$F771)," ",""),CHAR(10),"|"),";","|"),"+","|"),"|",REPT(" ",LEN(Registro!$F771))),({1,2,3,4,5,6,7,8,9,10,11,12,13,14,15,16,17,18,19,20,21,22,23,24,25,26,27,28,29,30}-1)*LEN(Registro!$F771)+1,LEN(Registro!$F771)))&amp;"x")+1,20))),"Revisar formato")))</f>
        <v/>
      </c>
      <c r="H771" s="21" t="str">
        <f>IF(AND(Registro!$E771="",Registro!$F771=""),"",IF(NOT(AND(ISNUMBER(G771),ISNUMBER(Registro!$G771))),"",IF(G771&lt;Registro!$G771,"FALTA BOLETOS",IF(G771=Registro!$G771,"CONFORME","DIFERENCIA"))))</f>
        <v/>
      </c>
      <c r="I771" s="24" t="str">
        <f>IF(Registro!$H771="","",IFERROR(SUMPRODUCT(--("0"&amp;TRIM(RIGHT(SUBSTITUTE(TRIM(MID(SUBSTITUTE(SUBSTITUTE(Registro!$H771,";",CHAR(10)),CHAR(10),REPT(" ",LEN(Registro!$H771))),({1,2,3,4,5,6,7,8,9,10,11,12,13,14,15,16,17,18,19,20,21,22,23,24,25,26,27,28,29,30}-1)*LEN(Registro!$H771)+1,LEN(Registro!$H771)))," ",REPT(" ",50)),50)))),"Revisar formato"))</f>
        <v/>
      </c>
      <c r="J771" s="24" t="str">
        <f>IF(Registro!$I771="","",IFERROR(SUMPRODUCT(--("0"&amp;TRIM(RIGHT(SUBSTITUTE(TRIM(MID(SUBSTITUTE(SUBSTITUTE(Registro!$I771,";",CHAR(10)),CHAR(10),REPT(" ",LEN(Registro!$I771))),({1,2,3,4,5,6,7,8,9,10,11,12,13,14,15,16,17,18,19,20,21,22,23,24,25,26,27,28,29,30}-1)*LEN(Registro!$I771)+1,LEN(Registro!$I771)))," ",REPT(" ",50)),50)))),"Revisar formato"))</f>
        <v/>
      </c>
      <c r="K771" s="24" t="str">
        <f>IF(AND(Registro!$G771="",Registro!$H771=""),"",IF(AND(ISTEXT(I771),I771&lt;&gt;""),"Revisar formato",N(Registro!$G771)-N(I771)))</f>
        <v/>
      </c>
      <c r="L771" s="24" t="str">
        <f t="shared" si="25"/>
        <v/>
      </c>
      <c r="M771" s="36" t="str">
        <f>IF(AND(A771=Consulta!$B$3,C771=Consulta!$H$3),B771*10000+ROW(),"")</f>
        <v/>
      </c>
    </row>
    <row r="772" spans="1:13" x14ac:dyDescent="0.25">
      <c r="A772" s="21" t="str">
        <f>IF(Registro!$A772="","",Registro!$A772)</f>
        <v/>
      </c>
      <c r="B772" s="20" t="str">
        <f>IF(Registro!$B772="","",Registro!$B772)</f>
        <v/>
      </c>
      <c r="C772" s="35" t="str">
        <f t="shared" si="24"/>
        <v/>
      </c>
      <c r="D772" s="23" t="str">
        <f>IF(Registro!$E772="","",IF(ISERROR(FIND("x",LOWER(Registro!$E772))),"-",IFERROR(SUMPRODUCT(--("0"&amp;LEFT(TRIM(MID(SUBSTITUTE(SUBSTITUTE(SUBSTITUTE(SUBSTITUTE(SUBSTITUTE(LOWER(Registro!$E772),"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",LEN(Registro!$E772))),({1,2,3,4,5,6,7,8,9,10,11,12,13,14,15,16,17,18,19,20,21,22,23,24,25,26,27,28,29,30}-1)*LEN(Registro!$E772)+1,LEN(Registro!$E772))),FIND("x",TRIM(MID(SUBSTITUTE(SUBSTITUTE(SUBSTITUTE(SUBSTITUTE(SUBSTITUTE(LOWER(Registro!$E772),"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",LEN(Registro!$E772))),({1,2,3,4,5,6,7,8,9,10,11,12,13,14,15,16,17,18,19,20,21,22,23,24,25,26,27,28,29,30}-1)*LEN(Registro!$E772)+1,LEN(Registro!$E772)))&amp;"x")-1))),"Revisar formato")))</f>
        <v/>
      </c>
      <c r="E772" s="24" t="str">
        <f>IF(Registro!$E772="","",IF(ISERROR(FIND("x",LOWER(Registro!$E772))),"-",IFERROR(SUMPRODUCT(--("0"&amp;LEFT(TRIM(MID(SUBSTITUTE(SUBSTITUTE(SUBSTITUTE(SUBSTITUTE(SUBSTITUTE(LOWER(Registro!$E772),"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",LEN(Registro!$E772))),({1,2,3,4,5,6,7,8,9,10,11,12,13,14,15,16,17,18,19,20,21,22,23,24,25,26,27,28,29,30}-1)*LEN(Registro!$E772)+1,LEN(Registro!$E772))),FIND("x",TRIM(MID(SUBSTITUTE(SUBSTITUTE(SUBSTITUTE(SUBSTITUTE(SUBSTITUTE(LOWER(Registro!$E772),"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",LEN(Registro!$E772))),({1,2,3,4,5,6,7,8,9,10,11,12,13,14,15,16,17,18,19,20,21,22,23,24,25,26,27,28,29,30}-1)*LEN(Registro!$E772)+1,LEN(Registro!$E772)))&amp;"x")-1)),--("0"&amp;MID(TRIM(MID(SUBSTITUTE(SUBSTITUTE(SUBSTITUTE(SUBSTITUTE(SUBSTITUTE(LOWER(Registro!$E772),"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",LEN(Registro!$E772))),({1,2,3,4,5,6,7,8,9,10,11,12,13,14,15,16,17,18,19,20,21,22,23,24,25,26,27,28,29,30}-1)*LEN(Registro!$E772)+1,LEN(Registro!$E772))),FIND("x",TRIM(MID(SUBSTITUTE(SUBSTITUTE(SUBSTITUTE(SUBSTITUTE(SUBSTITUTE(LOWER(Registro!$E772),"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",LEN(Registro!$E772))),({1,2,3,4,5,6,7,8,9,10,11,12,13,14,15,16,17,18,19,20,21,22,23,24,25,26,27,28,29,30}-1)*LEN(Registro!$E772)+1,LEN(Registro!$E772)))&amp;"x")+1,20))),"Revisar formato")))</f>
        <v/>
      </c>
      <c r="F772" s="23" t="str">
        <f>IF(Registro!$F772="","",IF(ISERROR(FIND("x",LOWER(Registro!$F772))),"-",IFERROR(SUMPRODUCT(--("0"&amp;LEFT(TRIM(MID(SUBSTITUTE(SUBSTITUTE(SUBSTITUTE(SUBSTITUTE(SUBSTITUTE(LOWER(Registro!$F772)," ",""),CHAR(10),"|"),";","|"),"+","|"),"|",REPT(" ",LEN(Registro!$F772))),({1,2,3,4,5,6,7,8,9,10,11,12,13,14,15,16,17,18,19,20,21,22,23,24,25,26,27,28,29,30}-1)*LEN(Registro!$F772)+1,LEN(Registro!$F772))),FIND("x",TRIM(MID(SUBSTITUTE(SUBSTITUTE(SUBSTITUTE(SUBSTITUTE(SUBSTITUTE(LOWER(Registro!$F772)," ",""),CHAR(10),"|"),";","|"),"+","|"),"|",REPT(" ",LEN(Registro!$F772))),({1,2,3,4,5,6,7,8,9,10,11,12,13,14,15,16,17,18,19,20,21,22,23,24,25,26,27,28,29,30}-1)*LEN(Registro!$F772)+1,LEN(Registro!$F772)))&amp;"x")-1))),"Revisar formato")))</f>
        <v/>
      </c>
      <c r="G772" s="24" t="str">
        <f>IF(Registro!$F772="","",IF(ISERROR(FIND("x",LOWER(Registro!$F772))),N(Registro!$G772),IFERROR(SUMPRODUCT(--("0"&amp;LEFT(TRIM(MID(SUBSTITUTE(SUBSTITUTE(SUBSTITUTE(SUBSTITUTE(SUBSTITUTE(LOWER(Registro!$F772)," ",""),CHAR(10),"|"),";","|"),"+","|"),"|",REPT(" ",LEN(Registro!$F772))),({1,2,3,4,5,6,7,8,9,10,11,12,13,14,15,16,17,18,19,20,21,22,23,24,25,26,27,28,29,30}-1)*LEN(Registro!$F772)+1,LEN(Registro!$F772))),FIND("x",TRIM(MID(SUBSTITUTE(SUBSTITUTE(SUBSTITUTE(SUBSTITUTE(SUBSTITUTE(LOWER(Registro!$F772)," ",""),CHAR(10),"|"),";","|"),"+","|"),"|",REPT(" ",LEN(Registro!$F772))),({1,2,3,4,5,6,7,8,9,10,11,12,13,14,15,16,17,18,19,20,21,22,23,24,25,26,27,28,29,30}-1)*LEN(Registro!$F772)+1,LEN(Registro!$F772)))&amp;"x")-1)),--("0"&amp;MID(TRIM(MID(SUBSTITUTE(SUBSTITUTE(SUBSTITUTE(SUBSTITUTE(SUBSTITUTE(LOWER(Registro!$F772)," ",""),CHAR(10),"|"),";","|"),"+","|"),"|",REPT(" ",LEN(Registro!$F772))),({1,2,3,4,5,6,7,8,9,10,11,12,13,14,15,16,17,18,19,20,21,22,23,24,25,26,27,28,29,30}-1)*LEN(Registro!$F772)+1,LEN(Registro!$F772))),FIND("x",TRIM(MID(SUBSTITUTE(SUBSTITUTE(SUBSTITUTE(SUBSTITUTE(SUBSTITUTE(LOWER(Registro!$F772)," ",""),CHAR(10),"|"),";","|"),"+","|"),"|",REPT(" ",LEN(Registro!$F772))),({1,2,3,4,5,6,7,8,9,10,11,12,13,14,15,16,17,18,19,20,21,22,23,24,25,26,27,28,29,30}-1)*LEN(Registro!$F772)+1,LEN(Registro!$F772)))&amp;"x")+1,20))),"Revisar formato")))</f>
        <v/>
      </c>
      <c r="H772" s="21" t="str">
        <f>IF(AND(Registro!$E772="",Registro!$F772=""),"",IF(NOT(AND(ISNUMBER(G772),ISNUMBER(Registro!$G772))),"",IF(G772&lt;Registro!$G772,"FALTA BOLETOS",IF(G772=Registro!$G772,"CONFORME","DIFERENCIA"))))</f>
        <v/>
      </c>
      <c r="I772" s="24" t="str">
        <f>IF(Registro!$H772="","",IFERROR(SUMPRODUCT(--("0"&amp;TRIM(RIGHT(SUBSTITUTE(TRIM(MID(SUBSTITUTE(SUBSTITUTE(Registro!$H772,";",CHAR(10)),CHAR(10),REPT(" ",LEN(Registro!$H772))),({1,2,3,4,5,6,7,8,9,10,11,12,13,14,15,16,17,18,19,20,21,22,23,24,25,26,27,28,29,30}-1)*LEN(Registro!$H772)+1,LEN(Registro!$H772)))," ",REPT(" ",50)),50)))),"Revisar formato"))</f>
        <v/>
      </c>
      <c r="J772" s="24" t="str">
        <f>IF(Registro!$I772="","",IFERROR(SUMPRODUCT(--("0"&amp;TRIM(RIGHT(SUBSTITUTE(TRIM(MID(SUBSTITUTE(SUBSTITUTE(Registro!$I772,";",CHAR(10)),CHAR(10),REPT(" ",LEN(Registro!$I772))),({1,2,3,4,5,6,7,8,9,10,11,12,13,14,15,16,17,18,19,20,21,22,23,24,25,26,27,28,29,30}-1)*LEN(Registro!$I772)+1,LEN(Registro!$I772)))," ",REPT(" ",50)),50)))),"Revisar formato"))</f>
        <v/>
      </c>
      <c r="K772" s="24" t="str">
        <f>IF(AND(Registro!$G772="",Registro!$H772=""),"",IF(AND(ISTEXT(I772),I772&lt;&gt;""),"Revisar formato",N(Registro!$G772)-N(I772)))</f>
        <v/>
      </c>
      <c r="L772" s="24" t="str">
        <f t="shared" si="25"/>
        <v/>
      </c>
      <c r="M772" s="36" t="str">
        <f>IF(AND(A772=Consulta!$B$3,C772=Consulta!$H$3),B772*10000+ROW(),"")</f>
        <v/>
      </c>
    </row>
    <row r="773" spans="1:13" x14ac:dyDescent="0.25">
      <c r="A773" s="21" t="str">
        <f>IF(Registro!$A773="","",Registro!$A773)</f>
        <v/>
      </c>
      <c r="B773" s="20" t="str">
        <f>IF(Registro!$B773="","",Registro!$B773)</f>
        <v/>
      </c>
      <c r="C773" s="35" t="str">
        <f t="shared" si="24"/>
        <v/>
      </c>
      <c r="D773" s="23" t="str">
        <f>IF(Registro!$E773="","",IF(ISERROR(FIND("x",LOWER(Registro!$E773))),"-",IFERROR(SUMPRODUCT(--("0"&amp;LEFT(TRIM(MID(SUBSTITUTE(SUBSTITUTE(SUBSTITUTE(SUBSTITUTE(SUBSTITUTE(LOWER(Registro!$E773),"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",LEN(Registro!$E773))),({1,2,3,4,5,6,7,8,9,10,11,12,13,14,15,16,17,18,19,20,21,22,23,24,25,26,27,28,29,30}-1)*LEN(Registro!$E773)+1,LEN(Registro!$E773))),FIND("x",TRIM(MID(SUBSTITUTE(SUBSTITUTE(SUBSTITUTE(SUBSTITUTE(SUBSTITUTE(LOWER(Registro!$E773),"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",LEN(Registro!$E773))),({1,2,3,4,5,6,7,8,9,10,11,12,13,14,15,16,17,18,19,20,21,22,23,24,25,26,27,28,29,30}-1)*LEN(Registro!$E773)+1,LEN(Registro!$E773)))&amp;"x")-1))),"Revisar formato")))</f>
        <v/>
      </c>
      <c r="E773" s="24" t="str">
        <f>IF(Registro!$E773="","",IF(ISERROR(FIND("x",LOWER(Registro!$E773))),"-",IFERROR(SUMPRODUCT(--("0"&amp;LEFT(TRIM(MID(SUBSTITUTE(SUBSTITUTE(SUBSTITUTE(SUBSTITUTE(SUBSTITUTE(LOWER(Registro!$E773),"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",LEN(Registro!$E773))),({1,2,3,4,5,6,7,8,9,10,11,12,13,14,15,16,17,18,19,20,21,22,23,24,25,26,27,28,29,30}-1)*LEN(Registro!$E773)+1,LEN(Registro!$E773))),FIND("x",TRIM(MID(SUBSTITUTE(SUBSTITUTE(SUBSTITUTE(SUBSTITUTE(SUBSTITUTE(LOWER(Registro!$E773),"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",LEN(Registro!$E773))),({1,2,3,4,5,6,7,8,9,10,11,12,13,14,15,16,17,18,19,20,21,22,23,24,25,26,27,28,29,30}-1)*LEN(Registro!$E773)+1,LEN(Registro!$E773)))&amp;"x")-1)),--("0"&amp;MID(TRIM(MID(SUBSTITUTE(SUBSTITUTE(SUBSTITUTE(SUBSTITUTE(SUBSTITUTE(LOWER(Registro!$E773),"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",LEN(Registro!$E773))),({1,2,3,4,5,6,7,8,9,10,11,12,13,14,15,16,17,18,19,20,21,22,23,24,25,26,27,28,29,30}-1)*LEN(Registro!$E773)+1,LEN(Registro!$E773))),FIND("x",TRIM(MID(SUBSTITUTE(SUBSTITUTE(SUBSTITUTE(SUBSTITUTE(SUBSTITUTE(LOWER(Registro!$E773),"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",LEN(Registro!$E773))),({1,2,3,4,5,6,7,8,9,10,11,12,13,14,15,16,17,18,19,20,21,22,23,24,25,26,27,28,29,30}-1)*LEN(Registro!$E773)+1,LEN(Registro!$E773)))&amp;"x")+1,20))),"Revisar formato")))</f>
        <v/>
      </c>
      <c r="F773" s="23" t="str">
        <f>IF(Registro!$F773="","",IF(ISERROR(FIND("x",LOWER(Registro!$F773))),"-",IFERROR(SUMPRODUCT(--("0"&amp;LEFT(TRIM(MID(SUBSTITUTE(SUBSTITUTE(SUBSTITUTE(SUBSTITUTE(SUBSTITUTE(LOWER(Registro!$F773)," ",""),CHAR(10),"|"),";","|"),"+","|"),"|",REPT(" ",LEN(Registro!$F773))),({1,2,3,4,5,6,7,8,9,10,11,12,13,14,15,16,17,18,19,20,21,22,23,24,25,26,27,28,29,30}-1)*LEN(Registro!$F773)+1,LEN(Registro!$F773))),FIND("x",TRIM(MID(SUBSTITUTE(SUBSTITUTE(SUBSTITUTE(SUBSTITUTE(SUBSTITUTE(LOWER(Registro!$F773)," ",""),CHAR(10),"|"),";","|"),"+","|"),"|",REPT(" ",LEN(Registro!$F773))),({1,2,3,4,5,6,7,8,9,10,11,12,13,14,15,16,17,18,19,20,21,22,23,24,25,26,27,28,29,30}-1)*LEN(Registro!$F773)+1,LEN(Registro!$F773)))&amp;"x")-1))),"Revisar formato")))</f>
        <v/>
      </c>
      <c r="G773" s="24" t="str">
        <f>IF(Registro!$F773="","",IF(ISERROR(FIND("x",LOWER(Registro!$F773))),N(Registro!$G773),IFERROR(SUMPRODUCT(--("0"&amp;LEFT(TRIM(MID(SUBSTITUTE(SUBSTITUTE(SUBSTITUTE(SUBSTITUTE(SUBSTITUTE(LOWER(Registro!$F773)," ",""),CHAR(10),"|"),";","|"),"+","|"),"|",REPT(" ",LEN(Registro!$F773))),({1,2,3,4,5,6,7,8,9,10,11,12,13,14,15,16,17,18,19,20,21,22,23,24,25,26,27,28,29,30}-1)*LEN(Registro!$F773)+1,LEN(Registro!$F773))),FIND("x",TRIM(MID(SUBSTITUTE(SUBSTITUTE(SUBSTITUTE(SUBSTITUTE(SUBSTITUTE(LOWER(Registro!$F773)," ",""),CHAR(10),"|"),";","|"),"+","|"),"|",REPT(" ",LEN(Registro!$F773))),({1,2,3,4,5,6,7,8,9,10,11,12,13,14,15,16,17,18,19,20,21,22,23,24,25,26,27,28,29,30}-1)*LEN(Registro!$F773)+1,LEN(Registro!$F773)))&amp;"x")-1)),--("0"&amp;MID(TRIM(MID(SUBSTITUTE(SUBSTITUTE(SUBSTITUTE(SUBSTITUTE(SUBSTITUTE(LOWER(Registro!$F773)," ",""),CHAR(10),"|"),";","|"),"+","|"),"|",REPT(" ",LEN(Registro!$F773))),({1,2,3,4,5,6,7,8,9,10,11,12,13,14,15,16,17,18,19,20,21,22,23,24,25,26,27,28,29,30}-1)*LEN(Registro!$F773)+1,LEN(Registro!$F773))),FIND("x",TRIM(MID(SUBSTITUTE(SUBSTITUTE(SUBSTITUTE(SUBSTITUTE(SUBSTITUTE(LOWER(Registro!$F773)," ",""),CHAR(10),"|"),";","|"),"+","|"),"|",REPT(" ",LEN(Registro!$F773))),({1,2,3,4,5,6,7,8,9,10,11,12,13,14,15,16,17,18,19,20,21,22,23,24,25,26,27,28,29,30}-1)*LEN(Registro!$F773)+1,LEN(Registro!$F773)))&amp;"x")+1,20))),"Revisar formato")))</f>
        <v/>
      </c>
      <c r="H773" s="21" t="str">
        <f>IF(AND(Registro!$E773="",Registro!$F773=""),"",IF(NOT(AND(ISNUMBER(G773),ISNUMBER(Registro!$G773))),"",IF(G773&lt;Registro!$G773,"FALTA BOLETOS",IF(G773=Registro!$G773,"CONFORME","DIFERENCIA"))))</f>
        <v/>
      </c>
      <c r="I773" s="24" t="str">
        <f>IF(Registro!$H773="","",IFERROR(SUMPRODUCT(--("0"&amp;TRIM(RIGHT(SUBSTITUTE(TRIM(MID(SUBSTITUTE(SUBSTITUTE(Registro!$H773,";",CHAR(10)),CHAR(10),REPT(" ",LEN(Registro!$H773))),({1,2,3,4,5,6,7,8,9,10,11,12,13,14,15,16,17,18,19,20,21,22,23,24,25,26,27,28,29,30}-1)*LEN(Registro!$H773)+1,LEN(Registro!$H773)))," ",REPT(" ",50)),50)))),"Revisar formato"))</f>
        <v/>
      </c>
      <c r="J773" s="24" t="str">
        <f>IF(Registro!$I773="","",IFERROR(SUMPRODUCT(--("0"&amp;TRIM(RIGHT(SUBSTITUTE(TRIM(MID(SUBSTITUTE(SUBSTITUTE(Registro!$I773,";",CHAR(10)),CHAR(10),REPT(" ",LEN(Registro!$I773))),({1,2,3,4,5,6,7,8,9,10,11,12,13,14,15,16,17,18,19,20,21,22,23,24,25,26,27,28,29,30}-1)*LEN(Registro!$I773)+1,LEN(Registro!$I773)))," ",REPT(" ",50)),50)))),"Revisar formato"))</f>
        <v/>
      </c>
      <c r="K773" s="24" t="str">
        <f>IF(AND(Registro!$G773="",Registro!$H773=""),"",IF(AND(ISTEXT(I773),I773&lt;&gt;""),"Revisar formato",N(Registro!$G773)-N(I773)))</f>
        <v/>
      </c>
      <c r="L773" s="24" t="str">
        <f t="shared" si="25"/>
        <v/>
      </c>
      <c r="M773" s="36" t="str">
        <f>IF(AND(A773=Consulta!$B$3,C773=Consulta!$H$3),B773*10000+ROW(),"")</f>
        <v/>
      </c>
    </row>
    <row r="774" spans="1:13" x14ac:dyDescent="0.25">
      <c r="A774" s="21" t="str">
        <f>IF(Registro!$A774="","",Registro!$A774)</f>
        <v/>
      </c>
      <c r="B774" s="20" t="str">
        <f>IF(Registro!$B774="","",Registro!$B774)</f>
        <v/>
      </c>
      <c r="C774" s="35" t="str">
        <f t="shared" si="24"/>
        <v/>
      </c>
      <c r="D774" s="23" t="str">
        <f>IF(Registro!$E774="","",IF(ISERROR(FIND("x",LOWER(Registro!$E774))),"-",IFERROR(SUMPRODUCT(--("0"&amp;LEFT(TRIM(MID(SUBSTITUTE(SUBSTITUTE(SUBSTITUTE(SUBSTITUTE(SUBSTITUTE(LOWER(Registro!$E774),"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",LEN(Registro!$E774))),({1,2,3,4,5,6,7,8,9,10,11,12,13,14,15,16,17,18,19,20,21,22,23,24,25,26,27,28,29,30}-1)*LEN(Registro!$E774)+1,LEN(Registro!$E774))),FIND("x",TRIM(MID(SUBSTITUTE(SUBSTITUTE(SUBSTITUTE(SUBSTITUTE(SUBSTITUTE(LOWER(Registro!$E774),"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",LEN(Registro!$E774))),({1,2,3,4,5,6,7,8,9,10,11,12,13,14,15,16,17,18,19,20,21,22,23,24,25,26,27,28,29,30}-1)*LEN(Registro!$E774)+1,LEN(Registro!$E774)))&amp;"x")-1))),"Revisar formato")))</f>
        <v/>
      </c>
      <c r="E774" s="24" t="str">
        <f>IF(Registro!$E774="","",IF(ISERROR(FIND("x",LOWER(Registro!$E774))),"-",IFERROR(SUMPRODUCT(--("0"&amp;LEFT(TRIM(MID(SUBSTITUTE(SUBSTITUTE(SUBSTITUTE(SUBSTITUTE(SUBSTITUTE(LOWER(Registro!$E774),"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",LEN(Registro!$E774))),({1,2,3,4,5,6,7,8,9,10,11,12,13,14,15,16,17,18,19,20,21,22,23,24,25,26,27,28,29,30}-1)*LEN(Registro!$E774)+1,LEN(Registro!$E774))),FIND("x",TRIM(MID(SUBSTITUTE(SUBSTITUTE(SUBSTITUTE(SUBSTITUTE(SUBSTITUTE(LOWER(Registro!$E774),"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",LEN(Registro!$E774))),({1,2,3,4,5,6,7,8,9,10,11,12,13,14,15,16,17,18,19,20,21,22,23,24,25,26,27,28,29,30}-1)*LEN(Registro!$E774)+1,LEN(Registro!$E774)))&amp;"x")-1)),--("0"&amp;MID(TRIM(MID(SUBSTITUTE(SUBSTITUTE(SUBSTITUTE(SUBSTITUTE(SUBSTITUTE(LOWER(Registro!$E774),"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",LEN(Registro!$E774))),({1,2,3,4,5,6,7,8,9,10,11,12,13,14,15,16,17,18,19,20,21,22,23,24,25,26,27,28,29,30}-1)*LEN(Registro!$E774)+1,LEN(Registro!$E774))),FIND("x",TRIM(MID(SUBSTITUTE(SUBSTITUTE(SUBSTITUTE(SUBSTITUTE(SUBSTITUTE(LOWER(Registro!$E774),"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",LEN(Registro!$E774))),({1,2,3,4,5,6,7,8,9,10,11,12,13,14,15,16,17,18,19,20,21,22,23,24,25,26,27,28,29,30}-1)*LEN(Registro!$E774)+1,LEN(Registro!$E774)))&amp;"x")+1,20))),"Revisar formato")))</f>
        <v/>
      </c>
      <c r="F774" s="23" t="str">
        <f>IF(Registro!$F774="","",IF(ISERROR(FIND("x",LOWER(Registro!$F774))),"-",IFERROR(SUMPRODUCT(--("0"&amp;LEFT(TRIM(MID(SUBSTITUTE(SUBSTITUTE(SUBSTITUTE(SUBSTITUTE(SUBSTITUTE(LOWER(Registro!$F774)," ",""),CHAR(10),"|"),";","|"),"+","|"),"|",REPT(" ",LEN(Registro!$F774))),({1,2,3,4,5,6,7,8,9,10,11,12,13,14,15,16,17,18,19,20,21,22,23,24,25,26,27,28,29,30}-1)*LEN(Registro!$F774)+1,LEN(Registro!$F774))),FIND("x",TRIM(MID(SUBSTITUTE(SUBSTITUTE(SUBSTITUTE(SUBSTITUTE(SUBSTITUTE(LOWER(Registro!$F774)," ",""),CHAR(10),"|"),";","|"),"+","|"),"|",REPT(" ",LEN(Registro!$F774))),({1,2,3,4,5,6,7,8,9,10,11,12,13,14,15,16,17,18,19,20,21,22,23,24,25,26,27,28,29,30}-1)*LEN(Registro!$F774)+1,LEN(Registro!$F774)))&amp;"x")-1))),"Revisar formato")))</f>
        <v/>
      </c>
      <c r="G774" s="24" t="str">
        <f>IF(Registro!$F774="","",IF(ISERROR(FIND("x",LOWER(Registro!$F774))),N(Registro!$G774),IFERROR(SUMPRODUCT(--("0"&amp;LEFT(TRIM(MID(SUBSTITUTE(SUBSTITUTE(SUBSTITUTE(SUBSTITUTE(SUBSTITUTE(LOWER(Registro!$F774)," ",""),CHAR(10),"|"),";","|"),"+","|"),"|",REPT(" ",LEN(Registro!$F774))),({1,2,3,4,5,6,7,8,9,10,11,12,13,14,15,16,17,18,19,20,21,22,23,24,25,26,27,28,29,30}-1)*LEN(Registro!$F774)+1,LEN(Registro!$F774))),FIND("x",TRIM(MID(SUBSTITUTE(SUBSTITUTE(SUBSTITUTE(SUBSTITUTE(SUBSTITUTE(LOWER(Registro!$F774)," ",""),CHAR(10),"|"),";","|"),"+","|"),"|",REPT(" ",LEN(Registro!$F774))),({1,2,3,4,5,6,7,8,9,10,11,12,13,14,15,16,17,18,19,20,21,22,23,24,25,26,27,28,29,30}-1)*LEN(Registro!$F774)+1,LEN(Registro!$F774)))&amp;"x")-1)),--("0"&amp;MID(TRIM(MID(SUBSTITUTE(SUBSTITUTE(SUBSTITUTE(SUBSTITUTE(SUBSTITUTE(LOWER(Registro!$F774)," ",""),CHAR(10),"|"),";","|"),"+","|"),"|",REPT(" ",LEN(Registro!$F774))),({1,2,3,4,5,6,7,8,9,10,11,12,13,14,15,16,17,18,19,20,21,22,23,24,25,26,27,28,29,30}-1)*LEN(Registro!$F774)+1,LEN(Registro!$F774))),FIND("x",TRIM(MID(SUBSTITUTE(SUBSTITUTE(SUBSTITUTE(SUBSTITUTE(SUBSTITUTE(LOWER(Registro!$F774)," ",""),CHAR(10),"|"),";","|"),"+","|"),"|",REPT(" ",LEN(Registro!$F774))),({1,2,3,4,5,6,7,8,9,10,11,12,13,14,15,16,17,18,19,20,21,22,23,24,25,26,27,28,29,30}-1)*LEN(Registro!$F774)+1,LEN(Registro!$F774)))&amp;"x")+1,20))),"Revisar formato")))</f>
        <v/>
      </c>
      <c r="H774" s="21" t="str">
        <f>IF(AND(Registro!$E774="",Registro!$F774=""),"",IF(NOT(AND(ISNUMBER(G774),ISNUMBER(Registro!$G774))),"",IF(G774&lt;Registro!$G774,"FALTA BOLETOS",IF(G774=Registro!$G774,"CONFORME","DIFERENCIA"))))</f>
        <v/>
      </c>
      <c r="I774" s="24" t="str">
        <f>IF(Registro!$H774="","",IFERROR(SUMPRODUCT(--("0"&amp;TRIM(RIGHT(SUBSTITUTE(TRIM(MID(SUBSTITUTE(SUBSTITUTE(Registro!$H774,";",CHAR(10)),CHAR(10),REPT(" ",LEN(Registro!$H774))),({1,2,3,4,5,6,7,8,9,10,11,12,13,14,15,16,17,18,19,20,21,22,23,24,25,26,27,28,29,30}-1)*LEN(Registro!$H774)+1,LEN(Registro!$H774)))," ",REPT(" ",50)),50)))),"Revisar formato"))</f>
        <v/>
      </c>
      <c r="J774" s="24" t="str">
        <f>IF(Registro!$I774="","",IFERROR(SUMPRODUCT(--("0"&amp;TRIM(RIGHT(SUBSTITUTE(TRIM(MID(SUBSTITUTE(SUBSTITUTE(Registro!$I774,";",CHAR(10)),CHAR(10),REPT(" ",LEN(Registro!$I774))),({1,2,3,4,5,6,7,8,9,10,11,12,13,14,15,16,17,18,19,20,21,22,23,24,25,26,27,28,29,30}-1)*LEN(Registro!$I774)+1,LEN(Registro!$I774)))," ",REPT(" ",50)),50)))),"Revisar formato"))</f>
        <v/>
      </c>
      <c r="K774" s="24" t="str">
        <f>IF(AND(Registro!$G774="",Registro!$H774=""),"",IF(AND(ISTEXT(I774),I774&lt;&gt;""),"Revisar formato",N(Registro!$G774)-N(I774)))</f>
        <v/>
      </c>
      <c r="L774" s="24" t="str">
        <f t="shared" si="25"/>
        <v/>
      </c>
      <c r="M774" s="36" t="str">
        <f>IF(AND(A774=Consulta!$B$3,C774=Consulta!$H$3),B774*10000+ROW(),"")</f>
        <v/>
      </c>
    </row>
    <row r="775" spans="1:13" x14ac:dyDescent="0.25">
      <c r="A775" s="21" t="str">
        <f>IF(Registro!$A775="","",Registro!$A775)</f>
        <v/>
      </c>
      <c r="B775" s="20" t="str">
        <f>IF(Registro!$B775="","",Registro!$B775)</f>
        <v/>
      </c>
      <c r="C775" s="35" t="str">
        <f t="shared" si="24"/>
        <v/>
      </c>
      <c r="D775" s="23" t="str">
        <f>IF(Registro!$E775="","",IF(ISERROR(FIND("x",LOWER(Registro!$E775))),"-",IFERROR(SUMPRODUCT(--("0"&amp;LEFT(TRIM(MID(SUBSTITUTE(SUBSTITUTE(SUBSTITUTE(SUBSTITUTE(SUBSTITUTE(LOWER(Registro!$E775),"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",LEN(Registro!$E775))),({1,2,3,4,5,6,7,8,9,10,11,12,13,14,15,16,17,18,19,20,21,22,23,24,25,26,27,28,29,30}-1)*LEN(Registro!$E775)+1,LEN(Registro!$E775))),FIND("x",TRIM(MID(SUBSTITUTE(SUBSTITUTE(SUBSTITUTE(SUBSTITUTE(SUBSTITUTE(LOWER(Registro!$E775),"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",LEN(Registro!$E775))),({1,2,3,4,5,6,7,8,9,10,11,12,13,14,15,16,17,18,19,20,21,22,23,24,25,26,27,28,29,30}-1)*LEN(Registro!$E775)+1,LEN(Registro!$E775)))&amp;"x")-1))),"Revisar formato")))</f>
        <v/>
      </c>
      <c r="E775" s="24" t="str">
        <f>IF(Registro!$E775="","",IF(ISERROR(FIND("x",LOWER(Registro!$E775))),"-",IFERROR(SUMPRODUCT(--("0"&amp;LEFT(TRIM(MID(SUBSTITUTE(SUBSTITUTE(SUBSTITUTE(SUBSTITUTE(SUBSTITUTE(LOWER(Registro!$E775),"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",LEN(Registro!$E775))),({1,2,3,4,5,6,7,8,9,10,11,12,13,14,15,16,17,18,19,20,21,22,23,24,25,26,27,28,29,30}-1)*LEN(Registro!$E775)+1,LEN(Registro!$E775))),FIND("x",TRIM(MID(SUBSTITUTE(SUBSTITUTE(SUBSTITUTE(SUBSTITUTE(SUBSTITUTE(LOWER(Registro!$E775),"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",LEN(Registro!$E775))),({1,2,3,4,5,6,7,8,9,10,11,12,13,14,15,16,17,18,19,20,21,22,23,24,25,26,27,28,29,30}-1)*LEN(Registro!$E775)+1,LEN(Registro!$E775)))&amp;"x")-1)),--("0"&amp;MID(TRIM(MID(SUBSTITUTE(SUBSTITUTE(SUBSTITUTE(SUBSTITUTE(SUBSTITUTE(LOWER(Registro!$E775),"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",LEN(Registro!$E775))),({1,2,3,4,5,6,7,8,9,10,11,12,13,14,15,16,17,18,19,20,21,22,23,24,25,26,27,28,29,30}-1)*LEN(Registro!$E775)+1,LEN(Registro!$E775))),FIND("x",TRIM(MID(SUBSTITUTE(SUBSTITUTE(SUBSTITUTE(SUBSTITUTE(SUBSTITUTE(LOWER(Registro!$E775),"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",LEN(Registro!$E775))),({1,2,3,4,5,6,7,8,9,10,11,12,13,14,15,16,17,18,19,20,21,22,23,24,25,26,27,28,29,30}-1)*LEN(Registro!$E775)+1,LEN(Registro!$E775)))&amp;"x")+1,20))),"Revisar formato")))</f>
        <v/>
      </c>
      <c r="F775" s="23" t="str">
        <f>IF(Registro!$F775="","",IF(ISERROR(FIND("x",LOWER(Registro!$F775))),"-",IFERROR(SUMPRODUCT(--("0"&amp;LEFT(TRIM(MID(SUBSTITUTE(SUBSTITUTE(SUBSTITUTE(SUBSTITUTE(SUBSTITUTE(LOWER(Registro!$F775)," ",""),CHAR(10),"|"),";","|"),"+","|"),"|",REPT(" ",LEN(Registro!$F775))),({1,2,3,4,5,6,7,8,9,10,11,12,13,14,15,16,17,18,19,20,21,22,23,24,25,26,27,28,29,30}-1)*LEN(Registro!$F775)+1,LEN(Registro!$F775))),FIND("x",TRIM(MID(SUBSTITUTE(SUBSTITUTE(SUBSTITUTE(SUBSTITUTE(SUBSTITUTE(LOWER(Registro!$F775)," ",""),CHAR(10),"|"),";","|"),"+","|"),"|",REPT(" ",LEN(Registro!$F775))),({1,2,3,4,5,6,7,8,9,10,11,12,13,14,15,16,17,18,19,20,21,22,23,24,25,26,27,28,29,30}-1)*LEN(Registro!$F775)+1,LEN(Registro!$F775)))&amp;"x")-1))),"Revisar formato")))</f>
        <v/>
      </c>
      <c r="G775" s="24" t="str">
        <f>IF(Registro!$F775="","",IF(ISERROR(FIND("x",LOWER(Registro!$F775))),N(Registro!$G775),IFERROR(SUMPRODUCT(--("0"&amp;LEFT(TRIM(MID(SUBSTITUTE(SUBSTITUTE(SUBSTITUTE(SUBSTITUTE(SUBSTITUTE(LOWER(Registro!$F775)," ",""),CHAR(10),"|"),";","|"),"+","|"),"|",REPT(" ",LEN(Registro!$F775))),({1,2,3,4,5,6,7,8,9,10,11,12,13,14,15,16,17,18,19,20,21,22,23,24,25,26,27,28,29,30}-1)*LEN(Registro!$F775)+1,LEN(Registro!$F775))),FIND("x",TRIM(MID(SUBSTITUTE(SUBSTITUTE(SUBSTITUTE(SUBSTITUTE(SUBSTITUTE(LOWER(Registro!$F775)," ",""),CHAR(10),"|"),";","|"),"+","|"),"|",REPT(" ",LEN(Registro!$F775))),({1,2,3,4,5,6,7,8,9,10,11,12,13,14,15,16,17,18,19,20,21,22,23,24,25,26,27,28,29,30}-1)*LEN(Registro!$F775)+1,LEN(Registro!$F775)))&amp;"x")-1)),--("0"&amp;MID(TRIM(MID(SUBSTITUTE(SUBSTITUTE(SUBSTITUTE(SUBSTITUTE(SUBSTITUTE(LOWER(Registro!$F775)," ",""),CHAR(10),"|"),";","|"),"+","|"),"|",REPT(" ",LEN(Registro!$F775))),({1,2,3,4,5,6,7,8,9,10,11,12,13,14,15,16,17,18,19,20,21,22,23,24,25,26,27,28,29,30}-1)*LEN(Registro!$F775)+1,LEN(Registro!$F775))),FIND("x",TRIM(MID(SUBSTITUTE(SUBSTITUTE(SUBSTITUTE(SUBSTITUTE(SUBSTITUTE(LOWER(Registro!$F775)," ",""),CHAR(10),"|"),";","|"),"+","|"),"|",REPT(" ",LEN(Registro!$F775))),({1,2,3,4,5,6,7,8,9,10,11,12,13,14,15,16,17,18,19,20,21,22,23,24,25,26,27,28,29,30}-1)*LEN(Registro!$F775)+1,LEN(Registro!$F775)))&amp;"x")+1,20))),"Revisar formato")))</f>
        <v/>
      </c>
      <c r="H775" s="21" t="str">
        <f>IF(AND(Registro!$E775="",Registro!$F775=""),"",IF(NOT(AND(ISNUMBER(G775),ISNUMBER(Registro!$G775))),"",IF(G775&lt;Registro!$G775,"FALTA BOLETOS",IF(G775=Registro!$G775,"CONFORME","DIFERENCIA"))))</f>
        <v/>
      </c>
      <c r="I775" s="24" t="str">
        <f>IF(Registro!$H775="","",IFERROR(SUMPRODUCT(--("0"&amp;TRIM(RIGHT(SUBSTITUTE(TRIM(MID(SUBSTITUTE(SUBSTITUTE(Registro!$H775,";",CHAR(10)),CHAR(10),REPT(" ",LEN(Registro!$H775))),({1,2,3,4,5,6,7,8,9,10,11,12,13,14,15,16,17,18,19,20,21,22,23,24,25,26,27,28,29,30}-1)*LEN(Registro!$H775)+1,LEN(Registro!$H775)))," ",REPT(" ",50)),50)))),"Revisar formato"))</f>
        <v/>
      </c>
      <c r="J775" s="24" t="str">
        <f>IF(Registro!$I775="","",IFERROR(SUMPRODUCT(--("0"&amp;TRIM(RIGHT(SUBSTITUTE(TRIM(MID(SUBSTITUTE(SUBSTITUTE(Registro!$I775,";",CHAR(10)),CHAR(10),REPT(" ",LEN(Registro!$I775))),({1,2,3,4,5,6,7,8,9,10,11,12,13,14,15,16,17,18,19,20,21,22,23,24,25,26,27,28,29,30}-1)*LEN(Registro!$I775)+1,LEN(Registro!$I775)))," ",REPT(" ",50)),50)))),"Revisar formato"))</f>
        <v/>
      </c>
      <c r="K775" s="24" t="str">
        <f>IF(AND(Registro!$G775="",Registro!$H775=""),"",IF(AND(ISTEXT(I775),I775&lt;&gt;""),"Revisar formato",N(Registro!$G775)-N(I775)))</f>
        <v/>
      </c>
      <c r="L775" s="24" t="str">
        <f t="shared" si="25"/>
        <v/>
      </c>
      <c r="M775" s="36" t="str">
        <f>IF(AND(A775=Consulta!$B$3,C775=Consulta!$H$3),B775*10000+ROW(),"")</f>
        <v/>
      </c>
    </row>
    <row r="776" spans="1:13" x14ac:dyDescent="0.25">
      <c r="A776" s="21" t="str">
        <f>IF(Registro!$A776="","",Registro!$A776)</f>
        <v/>
      </c>
      <c r="B776" s="20" t="str">
        <f>IF(Registro!$B776="","",Registro!$B776)</f>
        <v/>
      </c>
      <c r="C776" s="35" t="str">
        <f t="shared" si="24"/>
        <v/>
      </c>
      <c r="D776" s="23" t="str">
        <f>IF(Registro!$E776="","",IF(ISERROR(FIND("x",LOWER(Registro!$E776))),"-",IFERROR(SUMPRODUCT(--("0"&amp;LEFT(TRIM(MID(SUBSTITUTE(SUBSTITUTE(SUBSTITUTE(SUBSTITUTE(SUBSTITUTE(LOWER(Registro!$E776),"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",LEN(Registro!$E776))),({1,2,3,4,5,6,7,8,9,10,11,12,13,14,15,16,17,18,19,20,21,22,23,24,25,26,27,28,29,30}-1)*LEN(Registro!$E776)+1,LEN(Registro!$E776))),FIND("x",TRIM(MID(SUBSTITUTE(SUBSTITUTE(SUBSTITUTE(SUBSTITUTE(SUBSTITUTE(LOWER(Registro!$E776),"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",LEN(Registro!$E776))),({1,2,3,4,5,6,7,8,9,10,11,12,13,14,15,16,17,18,19,20,21,22,23,24,25,26,27,28,29,30}-1)*LEN(Registro!$E776)+1,LEN(Registro!$E776)))&amp;"x")-1))),"Revisar formato")))</f>
        <v/>
      </c>
      <c r="E776" s="24" t="str">
        <f>IF(Registro!$E776="","",IF(ISERROR(FIND("x",LOWER(Registro!$E776))),"-",IFERROR(SUMPRODUCT(--("0"&amp;LEFT(TRIM(MID(SUBSTITUTE(SUBSTITUTE(SUBSTITUTE(SUBSTITUTE(SUBSTITUTE(LOWER(Registro!$E776),"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",LEN(Registro!$E776))),({1,2,3,4,5,6,7,8,9,10,11,12,13,14,15,16,17,18,19,20,21,22,23,24,25,26,27,28,29,30}-1)*LEN(Registro!$E776)+1,LEN(Registro!$E776))),FIND("x",TRIM(MID(SUBSTITUTE(SUBSTITUTE(SUBSTITUTE(SUBSTITUTE(SUBSTITUTE(LOWER(Registro!$E776),"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",LEN(Registro!$E776))),({1,2,3,4,5,6,7,8,9,10,11,12,13,14,15,16,17,18,19,20,21,22,23,24,25,26,27,28,29,30}-1)*LEN(Registro!$E776)+1,LEN(Registro!$E776)))&amp;"x")-1)),--("0"&amp;MID(TRIM(MID(SUBSTITUTE(SUBSTITUTE(SUBSTITUTE(SUBSTITUTE(SUBSTITUTE(LOWER(Registro!$E776),"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",LEN(Registro!$E776))),({1,2,3,4,5,6,7,8,9,10,11,12,13,14,15,16,17,18,19,20,21,22,23,24,25,26,27,28,29,30}-1)*LEN(Registro!$E776)+1,LEN(Registro!$E776))),FIND("x",TRIM(MID(SUBSTITUTE(SUBSTITUTE(SUBSTITUTE(SUBSTITUTE(SUBSTITUTE(LOWER(Registro!$E776),"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",LEN(Registro!$E776))),({1,2,3,4,5,6,7,8,9,10,11,12,13,14,15,16,17,18,19,20,21,22,23,24,25,26,27,28,29,30}-1)*LEN(Registro!$E776)+1,LEN(Registro!$E776)))&amp;"x")+1,20))),"Revisar formato")))</f>
        <v/>
      </c>
      <c r="F776" s="23" t="str">
        <f>IF(Registro!$F776="","",IF(ISERROR(FIND("x",LOWER(Registro!$F776))),"-",IFERROR(SUMPRODUCT(--("0"&amp;LEFT(TRIM(MID(SUBSTITUTE(SUBSTITUTE(SUBSTITUTE(SUBSTITUTE(SUBSTITUTE(LOWER(Registro!$F776)," ",""),CHAR(10),"|"),";","|"),"+","|"),"|",REPT(" ",LEN(Registro!$F776))),({1,2,3,4,5,6,7,8,9,10,11,12,13,14,15,16,17,18,19,20,21,22,23,24,25,26,27,28,29,30}-1)*LEN(Registro!$F776)+1,LEN(Registro!$F776))),FIND("x",TRIM(MID(SUBSTITUTE(SUBSTITUTE(SUBSTITUTE(SUBSTITUTE(SUBSTITUTE(LOWER(Registro!$F776)," ",""),CHAR(10),"|"),";","|"),"+","|"),"|",REPT(" ",LEN(Registro!$F776))),({1,2,3,4,5,6,7,8,9,10,11,12,13,14,15,16,17,18,19,20,21,22,23,24,25,26,27,28,29,30}-1)*LEN(Registro!$F776)+1,LEN(Registro!$F776)))&amp;"x")-1))),"Revisar formato")))</f>
        <v/>
      </c>
      <c r="G776" s="24" t="str">
        <f>IF(Registro!$F776="","",IF(ISERROR(FIND("x",LOWER(Registro!$F776))),N(Registro!$G776),IFERROR(SUMPRODUCT(--("0"&amp;LEFT(TRIM(MID(SUBSTITUTE(SUBSTITUTE(SUBSTITUTE(SUBSTITUTE(SUBSTITUTE(LOWER(Registro!$F776)," ",""),CHAR(10),"|"),";","|"),"+","|"),"|",REPT(" ",LEN(Registro!$F776))),({1,2,3,4,5,6,7,8,9,10,11,12,13,14,15,16,17,18,19,20,21,22,23,24,25,26,27,28,29,30}-1)*LEN(Registro!$F776)+1,LEN(Registro!$F776))),FIND("x",TRIM(MID(SUBSTITUTE(SUBSTITUTE(SUBSTITUTE(SUBSTITUTE(SUBSTITUTE(LOWER(Registro!$F776)," ",""),CHAR(10),"|"),";","|"),"+","|"),"|",REPT(" ",LEN(Registro!$F776))),({1,2,3,4,5,6,7,8,9,10,11,12,13,14,15,16,17,18,19,20,21,22,23,24,25,26,27,28,29,30}-1)*LEN(Registro!$F776)+1,LEN(Registro!$F776)))&amp;"x")-1)),--("0"&amp;MID(TRIM(MID(SUBSTITUTE(SUBSTITUTE(SUBSTITUTE(SUBSTITUTE(SUBSTITUTE(LOWER(Registro!$F776)," ",""),CHAR(10),"|"),";","|"),"+","|"),"|",REPT(" ",LEN(Registro!$F776))),({1,2,3,4,5,6,7,8,9,10,11,12,13,14,15,16,17,18,19,20,21,22,23,24,25,26,27,28,29,30}-1)*LEN(Registro!$F776)+1,LEN(Registro!$F776))),FIND("x",TRIM(MID(SUBSTITUTE(SUBSTITUTE(SUBSTITUTE(SUBSTITUTE(SUBSTITUTE(LOWER(Registro!$F776)," ",""),CHAR(10),"|"),";","|"),"+","|"),"|",REPT(" ",LEN(Registro!$F776))),({1,2,3,4,5,6,7,8,9,10,11,12,13,14,15,16,17,18,19,20,21,22,23,24,25,26,27,28,29,30}-1)*LEN(Registro!$F776)+1,LEN(Registro!$F776)))&amp;"x")+1,20))),"Revisar formato")))</f>
        <v/>
      </c>
      <c r="H776" s="21" t="str">
        <f>IF(AND(Registro!$E776="",Registro!$F776=""),"",IF(NOT(AND(ISNUMBER(G776),ISNUMBER(Registro!$G776))),"",IF(G776&lt;Registro!$G776,"FALTA BOLETOS",IF(G776=Registro!$G776,"CONFORME","DIFERENCIA"))))</f>
        <v/>
      </c>
      <c r="I776" s="24" t="str">
        <f>IF(Registro!$H776="","",IFERROR(SUMPRODUCT(--("0"&amp;TRIM(RIGHT(SUBSTITUTE(TRIM(MID(SUBSTITUTE(SUBSTITUTE(Registro!$H776,";",CHAR(10)),CHAR(10),REPT(" ",LEN(Registro!$H776))),({1,2,3,4,5,6,7,8,9,10,11,12,13,14,15,16,17,18,19,20,21,22,23,24,25,26,27,28,29,30}-1)*LEN(Registro!$H776)+1,LEN(Registro!$H776)))," ",REPT(" ",50)),50)))),"Revisar formato"))</f>
        <v/>
      </c>
      <c r="J776" s="24" t="str">
        <f>IF(Registro!$I776="","",IFERROR(SUMPRODUCT(--("0"&amp;TRIM(RIGHT(SUBSTITUTE(TRIM(MID(SUBSTITUTE(SUBSTITUTE(Registro!$I776,";",CHAR(10)),CHAR(10),REPT(" ",LEN(Registro!$I776))),({1,2,3,4,5,6,7,8,9,10,11,12,13,14,15,16,17,18,19,20,21,22,23,24,25,26,27,28,29,30}-1)*LEN(Registro!$I776)+1,LEN(Registro!$I776)))," ",REPT(" ",50)),50)))),"Revisar formato"))</f>
        <v/>
      </c>
      <c r="K776" s="24" t="str">
        <f>IF(AND(Registro!$G776="",Registro!$H776=""),"",IF(AND(ISTEXT(I776),I776&lt;&gt;""),"Revisar formato",N(Registro!$G776)-N(I776)))</f>
        <v/>
      </c>
      <c r="L776" s="24" t="str">
        <f t="shared" si="25"/>
        <v/>
      </c>
      <c r="M776" s="36" t="str">
        <f>IF(AND(A776=Consulta!$B$3,C776=Consulta!$H$3),B776*10000+ROW(),"")</f>
        <v/>
      </c>
    </row>
    <row r="777" spans="1:13" x14ac:dyDescent="0.25">
      <c r="A777" s="21" t="str">
        <f>IF(Registro!$A777="","",Registro!$A777)</f>
        <v/>
      </c>
      <c r="B777" s="20" t="str">
        <f>IF(Registro!$B777="","",Registro!$B777)</f>
        <v/>
      </c>
      <c r="C777" s="35" t="str">
        <f t="shared" si="24"/>
        <v/>
      </c>
      <c r="D777" s="23" t="str">
        <f>IF(Registro!$E777="","",IF(ISERROR(FIND("x",LOWER(Registro!$E777))),"-",IFERROR(SUMPRODUCT(--("0"&amp;LEFT(TRIM(MID(SUBSTITUTE(SUBSTITUTE(SUBSTITUTE(SUBSTITUTE(SUBSTITUTE(LOWER(Registro!$E777),"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",LEN(Registro!$E777))),({1,2,3,4,5,6,7,8,9,10,11,12,13,14,15,16,17,18,19,20,21,22,23,24,25,26,27,28,29,30}-1)*LEN(Registro!$E777)+1,LEN(Registro!$E777))),FIND("x",TRIM(MID(SUBSTITUTE(SUBSTITUTE(SUBSTITUTE(SUBSTITUTE(SUBSTITUTE(LOWER(Registro!$E777),"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",LEN(Registro!$E777))),({1,2,3,4,5,6,7,8,9,10,11,12,13,14,15,16,17,18,19,20,21,22,23,24,25,26,27,28,29,30}-1)*LEN(Registro!$E777)+1,LEN(Registro!$E777)))&amp;"x")-1))),"Revisar formato")))</f>
        <v/>
      </c>
      <c r="E777" s="24" t="str">
        <f>IF(Registro!$E777="","",IF(ISERROR(FIND("x",LOWER(Registro!$E777))),"-",IFERROR(SUMPRODUCT(--("0"&amp;LEFT(TRIM(MID(SUBSTITUTE(SUBSTITUTE(SUBSTITUTE(SUBSTITUTE(SUBSTITUTE(LOWER(Registro!$E777),"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",LEN(Registro!$E777))),({1,2,3,4,5,6,7,8,9,10,11,12,13,14,15,16,17,18,19,20,21,22,23,24,25,26,27,28,29,30}-1)*LEN(Registro!$E777)+1,LEN(Registro!$E777))),FIND("x",TRIM(MID(SUBSTITUTE(SUBSTITUTE(SUBSTITUTE(SUBSTITUTE(SUBSTITUTE(LOWER(Registro!$E777),"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",LEN(Registro!$E777))),({1,2,3,4,5,6,7,8,9,10,11,12,13,14,15,16,17,18,19,20,21,22,23,24,25,26,27,28,29,30}-1)*LEN(Registro!$E777)+1,LEN(Registro!$E777)))&amp;"x")-1)),--("0"&amp;MID(TRIM(MID(SUBSTITUTE(SUBSTITUTE(SUBSTITUTE(SUBSTITUTE(SUBSTITUTE(LOWER(Registro!$E777),"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",LEN(Registro!$E777))),({1,2,3,4,5,6,7,8,9,10,11,12,13,14,15,16,17,18,19,20,21,22,23,24,25,26,27,28,29,30}-1)*LEN(Registro!$E777)+1,LEN(Registro!$E777))),FIND("x",TRIM(MID(SUBSTITUTE(SUBSTITUTE(SUBSTITUTE(SUBSTITUTE(SUBSTITUTE(LOWER(Registro!$E777),"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",LEN(Registro!$E777))),({1,2,3,4,5,6,7,8,9,10,11,12,13,14,15,16,17,18,19,20,21,22,23,24,25,26,27,28,29,30}-1)*LEN(Registro!$E777)+1,LEN(Registro!$E777)))&amp;"x")+1,20))),"Revisar formato")))</f>
        <v/>
      </c>
      <c r="F777" s="23" t="str">
        <f>IF(Registro!$F777="","",IF(ISERROR(FIND("x",LOWER(Registro!$F777))),"-",IFERROR(SUMPRODUCT(--("0"&amp;LEFT(TRIM(MID(SUBSTITUTE(SUBSTITUTE(SUBSTITUTE(SUBSTITUTE(SUBSTITUTE(LOWER(Registro!$F777)," ",""),CHAR(10),"|"),";","|"),"+","|"),"|",REPT(" ",LEN(Registro!$F777))),({1,2,3,4,5,6,7,8,9,10,11,12,13,14,15,16,17,18,19,20,21,22,23,24,25,26,27,28,29,30}-1)*LEN(Registro!$F777)+1,LEN(Registro!$F777))),FIND("x",TRIM(MID(SUBSTITUTE(SUBSTITUTE(SUBSTITUTE(SUBSTITUTE(SUBSTITUTE(LOWER(Registro!$F777)," ",""),CHAR(10),"|"),";","|"),"+","|"),"|",REPT(" ",LEN(Registro!$F777))),({1,2,3,4,5,6,7,8,9,10,11,12,13,14,15,16,17,18,19,20,21,22,23,24,25,26,27,28,29,30}-1)*LEN(Registro!$F777)+1,LEN(Registro!$F777)))&amp;"x")-1))),"Revisar formato")))</f>
        <v/>
      </c>
      <c r="G777" s="24" t="str">
        <f>IF(Registro!$F777="","",IF(ISERROR(FIND("x",LOWER(Registro!$F777))),N(Registro!$G777),IFERROR(SUMPRODUCT(--("0"&amp;LEFT(TRIM(MID(SUBSTITUTE(SUBSTITUTE(SUBSTITUTE(SUBSTITUTE(SUBSTITUTE(LOWER(Registro!$F777)," ",""),CHAR(10),"|"),";","|"),"+","|"),"|",REPT(" ",LEN(Registro!$F777))),({1,2,3,4,5,6,7,8,9,10,11,12,13,14,15,16,17,18,19,20,21,22,23,24,25,26,27,28,29,30}-1)*LEN(Registro!$F777)+1,LEN(Registro!$F777))),FIND("x",TRIM(MID(SUBSTITUTE(SUBSTITUTE(SUBSTITUTE(SUBSTITUTE(SUBSTITUTE(LOWER(Registro!$F777)," ",""),CHAR(10),"|"),";","|"),"+","|"),"|",REPT(" ",LEN(Registro!$F777))),({1,2,3,4,5,6,7,8,9,10,11,12,13,14,15,16,17,18,19,20,21,22,23,24,25,26,27,28,29,30}-1)*LEN(Registro!$F777)+1,LEN(Registro!$F777)))&amp;"x")-1)),--("0"&amp;MID(TRIM(MID(SUBSTITUTE(SUBSTITUTE(SUBSTITUTE(SUBSTITUTE(SUBSTITUTE(LOWER(Registro!$F777)," ",""),CHAR(10),"|"),";","|"),"+","|"),"|",REPT(" ",LEN(Registro!$F777))),({1,2,3,4,5,6,7,8,9,10,11,12,13,14,15,16,17,18,19,20,21,22,23,24,25,26,27,28,29,30}-1)*LEN(Registro!$F777)+1,LEN(Registro!$F777))),FIND("x",TRIM(MID(SUBSTITUTE(SUBSTITUTE(SUBSTITUTE(SUBSTITUTE(SUBSTITUTE(LOWER(Registro!$F777)," ",""),CHAR(10),"|"),";","|"),"+","|"),"|",REPT(" ",LEN(Registro!$F777))),({1,2,3,4,5,6,7,8,9,10,11,12,13,14,15,16,17,18,19,20,21,22,23,24,25,26,27,28,29,30}-1)*LEN(Registro!$F777)+1,LEN(Registro!$F777)))&amp;"x")+1,20))),"Revisar formato")))</f>
        <v/>
      </c>
      <c r="H777" s="21" t="str">
        <f>IF(AND(Registro!$E777="",Registro!$F777=""),"",IF(NOT(AND(ISNUMBER(G777),ISNUMBER(Registro!$G777))),"",IF(G777&lt;Registro!$G777,"FALTA BOLETOS",IF(G777=Registro!$G777,"CONFORME","DIFERENCIA"))))</f>
        <v/>
      </c>
      <c r="I777" s="24" t="str">
        <f>IF(Registro!$H777="","",IFERROR(SUMPRODUCT(--("0"&amp;TRIM(RIGHT(SUBSTITUTE(TRIM(MID(SUBSTITUTE(SUBSTITUTE(Registro!$H777,";",CHAR(10)),CHAR(10),REPT(" ",LEN(Registro!$H777))),({1,2,3,4,5,6,7,8,9,10,11,12,13,14,15,16,17,18,19,20,21,22,23,24,25,26,27,28,29,30}-1)*LEN(Registro!$H777)+1,LEN(Registro!$H777)))," ",REPT(" ",50)),50)))),"Revisar formato"))</f>
        <v/>
      </c>
      <c r="J777" s="24" t="str">
        <f>IF(Registro!$I777="","",IFERROR(SUMPRODUCT(--("0"&amp;TRIM(RIGHT(SUBSTITUTE(TRIM(MID(SUBSTITUTE(SUBSTITUTE(Registro!$I777,";",CHAR(10)),CHAR(10),REPT(" ",LEN(Registro!$I777))),({1,2,3,4,5,6,7,8,9,10,11,12,13,14,15,16,17,18,19,20,21,22,23,24,25,26,27,28,29,30}-1)*LEN(Registro!$I777)+1,LEN(Registro!$I777)))," ",REPT(" ",50)),50)))),"Revisar formato"))</f>
        <v/>
      </c>
      <c r="K777" s="24" t="str">
        <f>IF(AND(Registro!$G777="",Registro!$H777=""),"",IF(AND(ISTEXT(I777),I777&lt;&gt;""),"Revisar formato",N(Registro!$G777)-N(I777)))</f>
        <v/>
      </c>
      <c r="L777" s="24" t="str">
        <f t="shared" si="25"/>
        <v/>
      </c>
      <c r="M777" s="36" t="str">
        <f>IF(AND(A777=Consulta!$B$3,C777=Consulta!$H$3),B777*10000+ROW(),"")</f>
        <v/>
      </c>
    </row>
    <row r="778" spans="1:13" x14ac:dyDescent="0.25">
      <c r="A778" s="21" t="str">
        <f>IF(Registro!$A778="","",Registro!$A778)</f>
        <v/>
      </c>
      <c r="B778" s="20" t="str">
        <f>IF(Registro!$B778="","",Registro!$B778)</f>
        <v/>
      </c>
      <c r="C778" s="35" t="str">
        <f t="shared" si="24"/>
        <v/>
      </c>
      <c r="D778" s="23" t="str">
        <f>IF(Registro!$E778="","",IF(ISERROR(FIND("x",LOWER(Registro!$E778))),"-",IFERROR(SUMPRODUCT(--("0"&amp;LEFT(TRIM(MID(SUBSTITUTE(SUBSTITUTE(SUBSTITUTE(SUBSTITUTE(SUBSTITUTE(LOWER(Registro!$E778),"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",LEN(Registro!$E778))),({1,2,3,4,5,6,7,8,9,10,11,12,13,14,15,16,17,18,19,20,21,22,23,24,25,26,27,28,29,30}-1)*LEN(Registro!$E778)+1,LEN(Registro!$E778))),FIND("x",TRIM(MID(SUBSTITUTE(SUBSTITUTE(SUBSTITUTE(SUBSTITUTE(SUBSTITUTE(LOWER(Registro!$E778),"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",LEN(Registro!$E778))),({1,2,3,4,5,6,7,8,9,10,11,12,13,14,15,16,17,18,19,20,21,22,23,24,25,26,27,28,29,30}-1)*LEN(Registro!$E778)+1,LEN(Registro!$E778)))&amp;"x")-1))),"Revisar formato")))</f>
        <v/>
      </c>
      <c r="E778" s="24" t="str">
        <f>IF(Registro!$E778="","",IF(ISERROR(FIND("x",LOWER(Registro!$E778))),"-",IFERROR(SUMPRODUCT(--("0"&amp;LEFT(TRIM(MID(SUBSTITUTE(SUBSTITUTE(SUBSTITUTE(SUBSTITUTE(SUBSTITUTE(LOWER(Registro!$E778),"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",LEN(Registro!$E778))),({1,2,3,4,5,6,7,8,9,10,11,12,13,14,15,16,17,18,19,20,21,22,23,24,25,26,27,28,29,30}-1)*LEN(Registro!$E778)+1,LEN(Registro!$E778))),FIND("x",TRIM(MID(SUBSTITUTE(SUBSTITUTE(SUBSTITUTE(SUBSTITUTE(SUBSTITUTE(LOWER(Registro!$E778),"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",LEN(Registro!$E778))),({1,2,3,4,5,6,7,8,9,10,11,12,13,14,15,16,17,18,19,20,21,22,23,24,25,26,27,28,29,30}-1)*LEN(Registro!$E778)+1,LEN(Registro!$E778)))&amp;"x")-1)),--("0"&amp;MID(TRIM(MID(SUBSTITUTE(SUBSTITUTE(SUBSTITUTE(SUBSTITUTE(SUBSTITUTE(LOWER(Registro!$E778),"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",LEN(Registro!$E778))),({1,2,3,4,5,6,7,8,9,10,11,12,13,14,15,16,17,18,19,20,21,22,23,24,25,26,27,28,29,30}-1)*LEN(Registro!$E778)+1,LEN(Registro!$E778))),FIND("x",TRIM(MID(SUBSTITUTE(SUBSTITUTE(SUBSTITUTE(SUBSTITUTE(SUBSTITUTE(LOWER(Registro!$E778),"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",LEN(Registro!$E778))),({1,2,3,4,5,6,7,8,9,10,11,12,13,14,15,16,17,18,19,20,21,22,23,24,25,26,27,28,29,30}-1)*LEN(Registro!$E778)+1,LEN(Registro!$E778)))&amp;"x")+1,20))),"Revisar formato")))</f>
        <v/>
      </c>
      <c r="F778" s="23" t="str">
        <f>IF(Registro!$F778="","",IF(ISERROR(FIND("x",LOWER(Registro!$F778))),"-",IFERROR(SUMPRODUCT(--("0"&amp;LEFT(TRIM(MID(SUBSTITUTE(SUBSTITUTE(SUBSTITUTE(SUBSTITUTE(SUBSTITUTE(LOWER(Registro!$F778)," ",""),CHAR(10),"|"),";","|"),"+","|"),"|",REPT(" ",LEN(Registro!$F778))),({1,2,3,4,5,6,7,8,9,10,11,12,13,14,15,16,17,18,19,20,21,22,23,24,25,26,27,28,29,30}-1)*LEN(Registro!$F778)+1,LEN(Registro!$F778))),FIND("x",TRIM(MID(SUBSTITUTE(SUBSTITUTE(SUBSTITUTE(SUBSTITUTE(SUBSTITUTE(LOWER(Registro!$F778)," ",""),CHAR(10),"|"),";","|"),"+","|"),"|",REPT(" ",LEN(Registro!$F778))),({1,2,3,4,5,6,7,8,9,10,11,12,13,14,15,16,17,18,19,20,21,22,23,24,25,26,27,28,29,30}-1)*LEN(Registro!$F778)+1,LEN(Registro!$F778)))&amp;"x")-1))),"Revisar formato")))</f>
        <v/>
      </c>
      <c r="G778" s="24" t="str">
        <f>IF(Registro!$F778="","",IF(ISERROR(FIND("x",LOWER(Registro!$F778))),N(Registro!$G778),IFERROR(SUMPRODUCT(--("0"&amp;LEFT(TRIM(MID(SUBSTITUTE(SUBSTITUTE(SUBSTITUTE(SUBSTITUTE(SUBSTITUTE(LOWER(Registro!$F778)," ",""),CHAR(10),"|"),";","|"),"+","|"),"|",REPT(" ",LEN(Registro!$F778))),({1,2,3,4,5,6,7,8,9,10,11,12,13,14,15,16,17,18,19,20,21,22,23,24,25,26,27,28,29,30}-1)*LEN(Registro!$F778)+1,LEN(Registro!$F778))),FIND("x",TRIM(MID(SUBSTITUTE(SUBSTITUTE(SUBSTITUTE(SUBSTITUTE(SUBSTITUTE(LOWER(Registro!$F778)," ",""),CHAR(10),"|"),";","|"),"+","|"),"|",REPT(" ",LEN(Registro!$F778))),({1,2,3,4,5,6,7,8,9,10,11,12,13,14,15,16,17,18,19,20,21,22,23,24,25,26,27,28,29,30}-1)*LEN(Registro!$F778)+1,LEN(Registro!$F778)))&amp;"x")-1)),--("0"&amp;MID(TRIM(MID(SUBSTITUTE(SUBSTITUTE(SUBSTITUTE(SUBSTITUTE(SUBSTITUTE(LOWER(Registro!$F778)," ",""),CHAR(10),"|"),";","|"),"+","|"),"|",REPT(" ",LEN(Registro!$F778))),({1,2,3,4,5,6,7,8,9,10,11,12,13,14,15,16,17,18,19,20,21,22,23,24,25,26,27,28,29,30}-1)*LEN(Registro!$F778)+1,LEN(Registro!$F778))),FIND("x",TRIM(MID(SUBSTITUTE(SUBSTITUTE(SUBSTITUTE(SUBSTITUTE(SUBSTITUTE(LOWER(Registro!$F778)," ",""),CHAR(10),"|"),";","|"),"+","|"),"|",REPT(" ",LEN(Registro!$F778))),({1,2,3,4,5,6,7,8,9,10,11,12,13,14,15,16,17,18,19,20,21,22,23,24,25,26,27,28,29,30}-1)*LEN(Registro!$F778)+1,LEN(Registro!$F778)))&amp;"x")+1,20))),"Revisar formato")))</f>
        <v/>
      </c>
      <c r="H778" s="21" t="str">
        <f>IF(AND(Registro!$E778="",Registro!$F778=""),"",IF(NOT(AND(ISNUMBER(G778),ISNUMBER(Registro!$G778))),"",IF(G778&lt;Registro!$G778,"FALTA BOLETOS",IF(G778=Registro!$G778,"CONFORME","DIFERENCIA"))))</f>
        <v/>
      </c>
      <c r="I778" s="24" t="str">
        <f>IF(Registro!$H778="","",IFERROR(SUMPRODUCT(--("0"&amp;TRIM(RIGHT(SUBSTITUTE(TRIM(MID(SUBSTITUTE(SUBSTITUTE(Registro!$H778,";",CHAR(10)),CHAR(10),REPT(" ",LEN(Registro!$H778))),({1,2,3,4,5,6,7,8,9,10,11,12,13,14,15,16,17,18,19,20,21,22,23,24,25,26,27,28,29,30}-1)*LEN(Registro!$H778)+1,LEN(Registro!$H778)))," ",REPT(" ",50)),50)))),"Revisar formato"))</f>
        <v/>
      </c>
      <c r="J778" s="24" t="str">
        <f>IF(Registro!$I778="","",IFERROR(SUMPRODUCT(--("0"&amp;TRIM(RIGHT(SUBSTITUTE(TRIM(MID(SUBSTITUTE(SUBSTITUTE(Registro!$I778,";",CHAR(10)),CHAR(10),REPT(" ",LEN(Registro!$I778))),({1,2,3,4,5,6,7,8,9,10,11,12,13,14,15,16,17,18,19,20,21,22,23,24,25,26,27,28,29,30}-1)*LEN(Registro!$I778)+1,LEN(Registro!$I778)))," ",REPT(" ",50)),50)))),"Revisar formato"))</f>
        <v/>
      </c>
      <c r="K778" s="24" t="str">
        <f>IF(AND(Registro!$G778="",Registro!$H778=""),"",IF(AND(ISTEXT(I778),I778&lt;&gt;""),"Revisar formato",N(Registro!$G778)-N(I778)))</f>
        <v/>
      </c>
      <c r="L778" s="24" t="str">
        <f t="shared" si="25"/>
        <v/>
      </c>
      <c r="M778" s="36" t="str">
        <f>IF(AND(A778=Consulta!$B$3,C778=Consulta!$H$3),B778*10000+ROW(),"")</f>
        <v/>
      </c>
    </row>
    <row r="779" spans="1:13" x14ac:dyDescent="0.25">
      <c r="A779" s="21" t="str">
        <f>IF(Registro!$A779="","",Registro!$A779)</f>
        <v/>
      </c>
      <c r="B779" s="20" t="str">
        <f>IF(Registro!$B779="","",Registro!$B779)</f>
        <v/>
      </c>
      <c r="C779" s="35" t="str">
        <f t="shared" si="24"/>
        <v/>
      </c>
      <c r="D779" s="23" t="str">
        <f>IF(Registro!$E779="","",IF(ISERROR(FIND("x",LOWER(Registro!$E779))),"-",IFERROR(SUMPRODUCT(--("0"&amp;LEFT(TRIM(MID(SUBSTITUTE(SUBSTITUTE(SUBSTITUTE(SUBSTITUTE(SUBSTITUTE(LOWER(Registro!$E779),"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",LEN(Registro!$E779))),({1,2,3,4,5,6,7,8,9,10,11,12,13,14,15,16,17,18,19,20,21,22,23,24,25,26,27,28,29,30}-1)*LEN(Registro!$E779)+1,LEN(Registro!$E779))),FIND("x",TRIM(MID(SUBSTITUTE(SUBSTITUTE(SUBSTITUTE(SUBSTITUTE(SUBSTITUTE(LOWER(Registro!$E779),"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",LEN(Registro!$E779))),({1,2,3,4,5,6,7,8,9,10,11,12,13,14,15,16,17,18,19,20,21,22,23,24,25,26,27,28,29,30}-1)*LEN(Registro!$E779)+1,LEN(Registro!$E779)))&amp;"x")-1))),"Revisar formato")))</f>
        <v/>
      </c>
      <c r="E779" s="24" t="str">
        <f>IF(Registro!$E779="","",IF(ISERROR(FIND("x",LOWER(Registro!$E779))),"-",IFERROR(SUMPRODUCT(--("0"&amp;LEFT(TRIM(MID(SUBSTITUTE(SUBSTITUTE(SUBSTITUTE(SUBSTITUTE(SUBSTITUTE(LOWER(Registro!$E779),"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",LEN(Registro!$E779))),({1,2,3,4,5,6,7,8,9,10,11,12,13,14,15,16,17,18,19,20,21,22,23,24,25,26,27,28,29,30}-1)*LEN(Registro!$E779)+1,LEN(Registro!$E779))),FIND("x",TRIM(MID(SUBSTITUTE(SUBSTITUTE(SUBSTITUTE(SUBSTITUTE(SUBSTITUTE(LOWER(Registro!$E779),"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",LEN(Registro!$E779))),({1,2,3,4,5,6,7,8,9,10,11,12,13,14,15,16,17,18,19,20,21,22,23,24,25,26,27,28,29,30}-1)*LEN(Registro!$E779)+1,LEN(Registro!$E779)))&amp;"x")-1)),--("0"&amp;MID(TRIM(MID(SUBSTITUTE(SUBSTITUTE(SUBSTITUTE(SUBSTITUTE(SUBSTITUTE(LOWER(Registro!$E779),"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",LEN(Registro!$E779))),({1,2,3,4,5,6,7,8,9,10,11,12,13,14,15,16,17,18,19,20,21,22,23,24,25,26,27,28,29,30}-1)*LEN(Registro!$E779)+1,LEN(Registro!$E779))),FIND("x",TRIM(MID(SUBSTITUTE(SUBSTITUTE(SUBSTITUTE(SUBSTITUTE(SUBSTITUTE(LOWER(Registro!$E779),"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",LEN(Registro!$E779))),({1,2,3,4,5,6,7,8,9,10,11,12,13,14,15,16,17,18,19,20,21,22,23,24,25,26,27,28,29,30}-1)*LEN(Registro!$E779)+1,LEN(Registro!$E779)))&amp;"x")+1,20))),"Revisar formato")))</f>
        <v/>
      </c>
      <c r="F779" s="23" t="str">
        <f>IF(Registro!$F779="","",IF(ISERROR(FIND("x",LOWER(Registro!$F779))),"-",IFERROR(SUMPRODUCT(--("0"&amp;LEFT(TRIM(MID(SUBSTITUTE(SUBSTITUTE(SUBSTITUTE(SUBSTITUTE(SUBSTITUTE(LOWER(Registro!$F779)," ",""),CHAR(10),"|"),";","|"),"+","|"),"|",REPT(" ",LEN(Registro!$F779))),({1,2,3,4,5,6,7,8,9,10,11,12,13,14,15,16,17,18,19,20,21,22,23,24,25,26,27,28,29,30}-1)*LEN(Registro!$F779)+1,LEN(Registro!$F779))),FIND("x",TRIM(MID(SUBSTITUTE(SUBSTITUTE(SUBSTITUTE(SUBSTITUTE(SUBSTITUTE(LOWER(Registro!$F779)," ",""),CHAR(10),"|"),";","|"),"+","|"),"|",REPT(" ",LEN(Registro!$F779))),({1,2,3,4,5,6,7,8,9,10,11,12,13,14,15,16,17,18,19,20,21,22,23,24,25,26,27,28,29,30}-1)*LEN(Registro!$F779)+1,LEN(Registro!$F779)))&amp;"x")-1))),"Revisar formato")))</f>
        <v/>
      </c>
      <c r="G779" s="24" t="str">
        <f>IF(Registro!$F779="","",IF(ISERROR(FIND("x",LOWER(Registro!$F779))),N(Registro!$G779),IFERROR(SUMPRODUCT(--("0"&amp;LEFT(TRIM(MID(SUBSTITUTE(SUBSTITUTE(SUBSTITUTE(SUBSTITUTE(SUBSTITUTE(LOWER(Registro!$F779)," ",""),CHAR(10),"|"),";","|"),"+","|"),"|",REPT(" ",LEN(Registro!$F779))),({1,2,3,4,5,6,7,8,9,10,11,12,13,14,15,16,17,18,19,20,21,22,23,24,25,26,27,28,29,30}-1)*LEN(Registro!$F779)+1,LEN(Registro!$F779))),FIND("x",TRIM(MID(SUBSTITUTE(SUBSTITUTE(SUBSTITUTE(SUBSTITUTE(SUBSTITUTE(LOWER(Registro!$F779)," ",""),CHAR(10),"|"),";","|"),"+","|"),"|",REPT(" ",LEN(Registro!$F779))),({1,2,3,4,5,6,7,8,9,10,11,12,13,14,15,16,17,18,19,20,21,22,23,24,25,26,27,28,29,30}-1)*LEN(Registro!$F779)+1,LEN(Registro!$F779)))&amp;"x")-1)),--("0"&amp;MID(TRIM(MID(SUBSTITUTE(SUBSTITUTE(SUBSTITUTE(SUBSTITUTE(SUBSTITUTE(LOWER(Registro!$F779)," ",""),CHAR(10),"|"),";","|"),"+","|"),"|",REPT(" ",LEN(Registro!$F779))),({1,2,3,4,5,6,7,8,9,10,11,12,13,14,15,16,17,18,19,20,21,22,23,24,25,26,27,28,29,30}-1)*LEN(Registro!$F779)+1,LEN(Registro!$F779))),FIND("x",TRIM(MID(SUBSTITUTE(SUBSTITUTE(SUBSTITUTE(SUBSTITUTE(SUBSTITUTE(LOWER(Registro!$F779)," ",""),CHAR(10),"|"),";","|"),"+","|"),"|",REPT(" ",LEN(Registro!$F779))),({1,2,3,4,5,6,7,8,9,10,11,12,13,14,15,16,17,18,19,20,21,22,23,24,25,26,27,28,29,30}-1)*LEN(Registro!$F779)+1,LEN(Registro!$F779)))&amp;"x")+1,20))),"Revisar formato")))</f>
        <v/>
      </c>
      <c r="H779" s="21" t="str">
        <f>IF(AND(Registro!$E779="",Registro!$F779=""),"",IF(NOT(AND(ISNUMBER(G779),ISNUMBER(Registro!$G779))),"",IF(G779&lt;Registro!$G779,"FALTA BOLETOS",IF(G779=Registro!$G779,"CONFORME","DIFERENCIA"))))</f>
        <v/>
      </c>
      <c r="I779" s="24" t="str">
        <f>IF(Registro!$H779="","",IFERROR(SUMPRODUCT(--("0"&amp;TRIM(RIGHT(SUBSTITUTE(TRIM(MID(SUBSTITUTE(SUBSTITUTE(Registro!$H779,";",CHAR(10)),CHAR(10),REPT(" ",LEN(Registro!$H779))),({1,2,3,4,5,6,7,8,9,10,11,12,13,14,15,16,17,18,19,20,21,22,23,24,25,26,27,28,29,30}-1)*LEN(Registro!$H779)+1,LEN(Registro!$H779)))," ",REPT(" ",50)),50)))),"Revisar formato"))</f>
        <v/>
      </c>
      <c r="J779" s="24" t="str">
        <f>IF(Registro!$I779="","",IFERROR(SUMPRODUCT(--("0"&amp;TRIM(RIGHT(SUBSTITUTE(TRIM(MID(SUBSTITUTE(SUBSTITUTE(Registro!$I779,";",CHAR(10)),CHAR(10),REPT(" ",LEN(Registro!$I779))),({1,2,3,4,5,6,7,8,9,10,11,12,13,14,15,16,17,18,19,20,21,22,23,24,25,26,27,28,29,30}-1)*LEN(Registro!$I779)+1,LEN(Registro!$I779)))," ",REPT(" ",50)),50)))),"Revisar formato"))</f>
        <v/>
      </c>
      <c r="K779" s="24" t="str">
        <f>IF(AND(Registro!$G779="",Registro!$H779=""),"",IF(AND(ISTEXT(I779),I779&lt;&gt;""),"Revisar formato",N(Registro!$G779)-N(I779)))</f>
        <v/>
      </c>
      <c r="L779" s="24" t="str">
        <f t="shared" si="25"/>
        <v/>
      </c>
      <c r="M779" s="36" t="str">
        <f>IF(AND(A779=Consulta!$B$3,C779=Consulta!$H$3),B779*10000+ROW(),"")</f>
        <v/>
      </c>
    </row>
    <row r="780" spans="1:13" x14ac:dyDescent="0.25">
      <c r="A780" s="21" t="str">
        <f>IF(Registro!$A780="","",Registro!$A780)</f>
        <v/>
      </c>
      <c r="B780" s="20" t="str">
        <f>IF(Registro!$B780="","",Registro!$B780)</f>
        <v/>
      </c>
      <c r="C780" s="35" t="str">
        <f t="shared" si="24"/>
        <v/>
      </c>
      <c r="D780" s="23" t="str">
        <f>IF(Registro!$E780="","",IF(ISERROR(FIND("x",LOWER(Registro!$E780))),"-",IFERROR(SUMPRODUCT(--("0"&amp;LEFT(TRIM(MID(SUBSTITUTE(SUBSTITUTE(SUBSTITUTE(SUBSTITUTE(SUBSTITUTE(LOWER(Registro!$E780),"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",LEN(Registro!$E780))),({1,2,3,4,5,6,7,8,9,10,11,12,13,14,15,16,17,18,19,20,21,22,23,24,25,26,27,28,29,30}-1)*LEN(Registro!$E780)+1,LEN(Registro!$E780))),FIND("x",TRIM(MID(SUBSTITUTE(SUBSTITUTE(SUBSTITUTE(SUBSTITUTE(SUBSTITUTE(LOWER(Registro!$E780),"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",LEN(Registro!$E780))),({1,2,3,4,5,6,7,8,9,10,11,12,13,14,15,16,17,18,19,20,21,22,23,24,25,26,27,28,29,30}-1)*LEN(Registro!$E780)+1,LEN(Registro!$E780)))&amp;"x")-1))),"Revisar formato")))</f>
        <v/>
      </c>
      <c r="E780" s="24" t="str">
        <f>IF(Registro!$E780="","",IF(ISERROR(FIND("x",LOWER(Registro!$E780))),"-",IFERROR(SUMPRODUCT(--("0"&amp;LEFT(TRIM(MID(SUBSTITUTE(SUBSTITUTE(SUBSTITUTE(SUBSTITUTE(SUBSTITUTE(LOWER(Registro!$E780),"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",LEN(Registro!$E780))),({1,2,3,4,5,6,7,8,9,10,11,12,13,14,15,16,17,18,19,20,21,22,23,24,25,26,27,28,29,30}-1)*LEN(Registro!$E780)+1,LEN(Registro!$E780))),FIND("x",TRIM(MID(SUBSTITUTE(SUBSTITUTE(SUBSTITUTE(SUBSTITUTE(SUBSTITUTE(LOWER(Registro!$E780),"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",LEN(Registro!$E780))),({1,2,3,4,5,6,7,8,9,10,11,12,13,14,15,16,17,18,19,20,21,22,23,24,25,26,27,28,29,30}-1)*LEN(Registro!$E780)+1,LEN(Registro!$E780)))&amp;"x")-1)),--("0"&amp;MID(TRIM(MID(SUBSTITUTE(SUBSTITUTE(SUBSTITUTE(SUBSTITUTE(SUBSTITUTE(LOWER(Registro!$E780),"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",LEN(Registro!$E780))),({1,2,3,4,5,6,7,8,9,10,11,12,13,14,15,16,17,18,19,20,21,22,23,24,25,26,27,28,29,30}-1)*LEN(Registro!$E780)+1,LEN(Registro!$E780))),FIND("x",TRIM(MID(SUBSTITUTE(SUBSTITUTE(SUBSTITUTE(SUBSTITUTE(SUBSTITUTE(LOWER(Registro!$E780),"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",LEN(Registro!$E780))),({1,2,3,4,5,6,7,8,9,10,11,12,13,14,15,16,17,18,19,20,21,22,23,24,25,26,27,28,29,30}-1)*LEN(Registro!$E780)+1,LEN(Registro!$E780)))&amp;"x")+1,20))),"Revisar formato")))</f>
        <v/>
      </c>
      <c r="F780" s="23" t="str">
        <f>IF(Registro!$F780="","",IF(ISERROR(FIND("x",LOWER(Registro!$F780))),"-",IFERROR(SUMPRODUCT(--("0"&amp;LEFT(TRIM(MID(SUBSTITUTE(SUBSTITUTE(SUBSTITUTE(SUBSTITUTE(SUBSTITUTE(LOWER(Registro!$F780)," ",""),CHAR(10),"|"),";","|"),"+","|"),"|",REPT(" ",LEN(Registro!$F780))),({1,2,3,4,5,6,7,8,9,10,11,12,13,14,15,16,17,18,19,20,21,22,23,24,25,26,27,28,29,30}-1)*LEN(Registro!$F780)+1,LEN(Registro!$F780))),FIND("x",TRIM(MID(SUBSTITUTE(SUBSTITUTE(SUBSTITUTE(SUBSTITUTE(SUBSTITUTE(LOWER(Registro!$F780)," ",""),CHAR(10),"|"),";","|"),"+","|"),"|",REPT(" ",LEN(Registro!$F780))),({1,2,3,4,5,6,7,8,9,10,11,12,13,14,15,16,17,18,19,20,21,22,23,24,25,26,27,28,29,30}-1)*LEN(Registro!$F780)+1,LEN(Registro!$F780)))&amp;"x")-1))),"Revisar formato")))</f>
        <v/>
      </c>
      <c r="G780" s="24" t="str">
        <f>IF(Registro!$F780="","",IF(ISERROR(FIND("x",LOWER(Registro!$F780))),N(Registro!$G780),IFERROR(SUMPRODUCT(--("0"&amp;LEFT(TRIM(MID(SUBSTITUTE(SUBSTITUTE(SUBSTITUTE(SUBSTITUTE(SUBSTITUTE(LOWER(Registro!$F780)," ",""),CHAR(10),"|"),";","|"),"+","|"),"|",REPT(" ",LEN(Registro!$F780))),({1,2,3,4,5,6,7,8,9,10,11,12,13,14,15,16,17,18,19,20,21,22,23,24,25,26,27,28,29,30}-1)*LEN(Registro!$F780)+1,LEN(Registro!$F780))),FIND("x",TRIM(MID(SUBSTITUTE(SUBSTITUTE(SUBSTITUTE(SUBSTITUTE(SUBSTITUTE(LOWER(Registro!$F780)," ",""),CHAR(10),"|"),";","|"),"+","|"),"|",REPT(" ",LEN(Registro!$F780))),({1,2,3,4,5,6,7,8,9,10,11,12,13,14,15,16,17,18,19,20,21,22,23,24,25,26,27,28,29,30}-1)*LEN(Registro!$F780)+1,LEN(Registro!$F780)))&amp;"x")-1)),--("0"&amp;MID(TRIM(MID(SUBSTITUTE(SUBSTITUTE(SUBSTITUTE(SUBSTITUTE(SUBSTITUTE(LOWER(Registro!$F780)," ",""),CHAR(10),"|"),";","|"),"+","|"),"|",REPT(" ",LEN(Registro!$F780))),({1,2,3,4,5,6,7,8,9,10,11,12,13,14,15,16,17,18,19,20,21,22,23,24,25,26,27,28,29,30}-1)*LEN(Registro!$F780)+1,LEN(Registro!$F780))),FIND("x",TRIM(MID(SUBSTITUTE(SUBSTITUTE(SUBSTITUTE(SUBSTITUTE(SUBSTITUTE(LOWER(Registro!$F780)," ",""),CHAR(10),"|"),";","|"),"+","|"),"|",REPT(" ",LEN(Registro!$F780))),({1,2,3,4,5,6,7,8,9,10,11,12,13,14,15,16,17,18,19,20,21,22,23,24,25,26,27,28,29,30}-1)*LEN(Registro!$F780)+1,LEN(Registro!$F780)))&amp;"x")+1,20))),"Revisar formato")))</f>
        <v/>
      </c>
      <c r="H780" s="21" t="str">
        <f>IF(AND(Registro!$E780="",Registro!$F780=""),"",IF(NOT(AND(ISNUMBER(G780),ISNUMBER(Registro!$G780))),"",IF(G780&lt;Registro!$G780,"FALTA BOLETOS",IF(G780=Registro!$G780,"CONFORME","DIFERENCIA"))))</f>
        <v/>
      </c>
      <c r="I780" s="24" t="str">
        <f>IF(Registro!$H780="","",IFERROR(SUMPRODUCT(--("0"&amp;TRIM(RIGHT(SUBSTITUTE(TRIM(MID(SUBSTITUTE(SUBSTITUTE(Registro!$H780,";",CHAR(10)),CHAR(10),REPT(" ",LEN(Registro!$H780))),({1,2,3,4,5,6,7,8,9,10,11,12,13,14,15,16,17,18,19,20,21,22,23,24,25,26,27,28,29,30}-1)*LEN(Registro!$H780)+1,LEN(Registro!$H780)))," ",REPT(" ",50)),50)))),"Revisar formato"))</f>
        <v/>
      </c>
      <c r="J780" s="24" t="str">
        <f>IF(Registro!$I780="","",IFERROR(SUMPRODUCT(--("0"&amp;TRIM(RIGHT(SUBSTITUTE(TRIM(MID(SUBSTITUTE(SUBSTITUTE(Registro!$I780,";",CHAR(10)),CHAR(10),REPT(" ",LEN(Registro!$I780))),({1,2,3,4,5,6,7,8,9,10,11,12,13,14,15,16,17,18,19,20,21,22,23,24,25,26,27,28,29,30}-1)*LEN(Registro!$I780)+1,LEN(Registro!$I780)))," ",REPT(" ",50)),50)))),"Revisar formato"))</f>
        <v/>
      </c>
      <c r="K780" s="24" t="str">
        <f>IF(AND(Registro!$G780="",Registro!$H780=""),"",IF(AND(ISTEXT(I780),I780&lt;&gt;""),"Revisar formato",N(Registro!$G780)-N(I780)))</f>
        <v/>
      </c>
      <c r="L780" s="24" t="str">
        <f t="shared" si="25"/>
        <v/>
      </c>
      <c r="M780" s="36" t="str">
        <f>IF(AND(A780=Consulta!$B$3,C780=Consulta!$H$3),B780*10000+ROW(),"")</f>
        <v/>
      </c>
    </row>
    <row r="781" spans="1:13" x14ac:dyDescent="0.25">
      <c r="A781" s="21" t="str">
        <f>IF(Registro!$A781="","",Registro!$A781)</f>
        <v/>
      </c>
      <c r="B781" s="20" t="str">
        <f>IF(Registro!$B781="","",Registro!$B781)</f>
        <v/>
      </c>
      <c r="C781" s="35" t="str">
        <f t="shared" si="24"/>
        <v/>
      </c>
      <c r="D781" s="23" t="str">
        <f>IF(Registro!$E781="","",IF(ISERROR(FIND("x",LOWER(Registro!$E781))),"-",IFERROR(SUMPRODUCT(--("0"&amp;LEFT(TRIM(MID(SUBSTITUTE(SUBSTITUTE(SUBSTITUTE(SUBSTITUTE(SUBSTITUTE(LOWER(Registro!$E781),"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",LEN(Registro!$E781))),({1,2,3,4,5,6,7,8,9,10,11,12,13,14,15,16,17,18,19,20,21,22,23,24,25,26,27,28,29,30}-1)*LEN(Registro!$E781)+1,LEN(Registro!$E781))),FIND("x",TRIM(MID(SUBSTITUTE(SUBSTITUTE(SUBSTITUTE(SUBSTITUTE(SUBSTITUTE(LOWER(Registro!$E781),"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",LEN(Registro!$E781))),({1,2,3,4,5,6,7,8,9,10,11,12,13,14,15,16,17,18,19,20,21,22,23,24,25,26,27,28,29,30}-1)*LEN(Registro!$E781)+1,LEN(Registro!$E781)))&amp;"x")-1))),"Revisar formato")))</f>
        <v/>
      </c>
      <c r="E781" s="24" t="str">
        <f>IF(Registro!$E781="","",IF(ISERROR(FIND("x",LOWER(Registro!$E781))),"-",IFERROR(SUMPRODUCT(--("0"&amp;LEFT(TRIM(MID(SUBSTITUTE(SUBSTITUTE(SUBSTITUTE(SUBSTITUTE(SUBSTITUTE(LOWER(Registro!$E781),"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",LEN(Registro!$E781))),({1,2,3,4,5,6,7,8,9,10,11,12,13,14,15,16,17,18,19,20,21,22,23,24,25,26,27,28,29,30}-1)*LEN(Registro!$E781)+1,LEN(Registro!$E781))),FIND("x",TRIM(MID(SUBSTITUTE(SUBSTITUTE(SUBSTITUTE(SUBSTITUTE(SUBSTITUTE(LOWER(Registro!$E781),"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",LEN(Registro!$E781))),({1,2,3,4,5,6,7,8,9,10,11,12,13,14,15,16,17,18,19,20,21,22,23,24,25,26,27,28,29,30}-1)*LEN(Registro!$E781)+1,LEN(Registro!$E781)))&amp;"x")-1)),--("0"&amp;MID(TRIM(MID(SUBSTITUTE(SUBSTITUTE(SUBSTITUTE(SUBSTITUTE(SUBSTITUTE(LOWER(Registro!$E781),"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",LEN(Registro!$E781))),({1,2,3,4,5,6,7,8,9,10,11,12,13,14,15,16,17,18,19,20,21,22,23,24,25,26,27,28,29,30}-1)*LEN(Registro!$E781)+1,LEN(Registro!$E781))),FIND("x",TRIM(MID(SUBSTITUTE(SUBSTITUTE(SUBSTITUTE(SUBSTITUTE(SUBSTITUTE(LOWER(Registro!$E781),"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",LEN(Registro!$E781))),({1,2,3,4,5,6,7,8,9,10,11,12,13,14,15,16,17,18,19,20,21,22,23,24,25,26,27,28,29,30}-1)*LEN(Registro!$E781)+1,LEN(Registro!$E781)))&amp;"x")+1,20))),"Revisar formato")))</f>
        <v/>
      </c>
      <c r="F781" s="23" t="str">
        <f>IF(Registro!$F781="","",IF(ISERROR(FIND("x",LOWER(Registro!$F781))),"-",IFERROR(SUMPRODUCT(--("0"&amp;LEFT(TRIM(MID(SUBSTITUTE(SUBSTITUTE(SUBSTITUTE(SUBSTITUTE(SUBSTITUTE(LOWER(Registro!$F781)," ",""),CHAR(10),"|"),";","|"),"+","|"),"|",REPT(" ",LEN(Registro!$F781))),({1,2,3,4,5,6,7,8,9,10,11,12,13,14,15,16,17,18,19,20,21,22,23,24,25,26,27,28,29,30}-1)*LEN(Registro!$F781)+1,LEN(Registro!$F781))),FIND("x",TRIM(MID(SUBSTITUTE(SUBSTITUTE(SUBSTITUTE(SUBSTITUTE(SUBSTITUTE(LOWER(Registro!$F781)," ",""),CHAR(10),"|"),";","|"),"+","|"),"|",REPT(" ",LEN(Registro!$F781))),({1,2,3,4,5,6,7,8,9,10,11,12,13,14,15,16,17,18,19,20,21,22,23,24,25,26,27,28,29,30}-1)*LEN(Registro!$F781)+1,LEN(Registro!$F781)))&amp;"x")-1))),"Revisar formato")))</f>
        <v/>
      </c>
      <c r="G781" s="24" t="str">
        <f>IF(Registro!$F781="","",IF(ISERROR(FIND("x",LOWER(Registro!$F781))),N(Registro!$G781),IFERROR(SUMPRODUCT(--("0"&amp;LEFT(TRIM(MID(SUBSTITUTE(SUBSTITUTE(SUBSTITUTE(SUBSTITUTE(SUBSTITUTE(LOWER(Registro!$F781)," ",""),CHAR(10),"|"),";","|"),"+","|"),"|",REPT(" ",LEN(Registro!$F781))),({1,2,3,4,5,6,7,8,9,10,11,12,13,14,15,16,17,18,19,20,21,22,23,24,25,26,27,28,29,30}-1)*LEN(Registro!$F781)+1,LEN(Registro!$F781))),FIND("x",TRIM(MID(SUBSTITUTE(SUBSTITUTE(SUBSTITUTE(SUBSTITUTE(SUBSTITUTE(LOWER(Registro!$F781)," ",""),CHAR(10),"|"),";","|"),"+","|"),"|",REPT(" ",LEN(Registro!$F781))),({1,2,3,4,5,6,7,8,9,10,11,12,13,14,15,16,17,18,19,20,21,22,23,24,25,26,27,28,29,30}-1)*LEN(Registro!$F781)+1,LEN(Registro!$F781)))&amp;"x")-1)),--("0"&amp;MID(TRIM(MID(SUBSTITUTE(SUBSTITUTE(SUBSTITUTE(SUBSTITUTE(SUBSTITUTE(LOWER(Registro!$F781)," ",""),CHAR(10),"|"),";","|"),"+","|"),"|",REPT(" ",LEN(Registro!$F781))),({1,2,3,4,5,6,7,8,9,10,11,12,13,14,15,16,17,18,19,20,21,22,23,24,25,26,27,28,29,30}-1)*LEN(Registro!$F781)+1,LEN(Registro!$F781))),FIND("x",TRIM(MID(SUBSTITUTE(SUBSTITUTE(SUBSTITUTE(SUBSTITUTE(SUBSTITUTE(LOWER(Registro!$F781)," ",""),CHAR(10),"|"),";","|"),"+","|"),"|",REPT(" ",LEN(Registro!$F781))),({1,2,3,4,5,6,7,8,9,10,11,12,13,14,15,16,17,18,19,20,21,22,23,24,25,26,27,28,29,30}-1)*LEN(Registro!$F781)+1,LEN(Registro!$F781)))&amp;"x")+1,20))),"Revisar formato")))</f>
        <v/>
      </c>
      <c r="H781" s="21" t="str">
        <f>IF(AND(Registro!$E781="",Registro!$F781=""),"",IF(NOT(AND(ISNUMBER(G781),ISNUMBER(Registro!$G781))),"",IF(G781&lt;Registro!$G781,"FALTA BOLETOS",IF(G781=Registro!$G781,"CONFORME","DIFERENCIA"))))</f>
        <v/>
      </c>
      <c r="I781" s="24" t="str">
        <f>IF(Registro!$H781="","",IFERROR(SUMPRODUCT(--("0"&amp;TRIM(RIGHT(SUBSTITUTE(TRIM(MID(SUBSTITUTE(SUBSTITUTE(Registro!$H781,";",CHAR(10)),CHAR(10),REPT(" ",LEN(Registro!$H781))),({1,2,3,4,5,6,7,8,9,10,11,12,13,14,15,16,17,18,19,20,21,22,23,24,25,26,27,28,29,30}-1)*LEN(Registro!$H781)+1,LEN(Registro!$H781)))," ",REPT(" ",50)),50)))),"Revisar formato"))</f>
        <v/>
      </c>
      <c r="J781" s="24" t="str">
        <f>IF(Registro!$I781="","",IFERROR(SUMPRODUCT(--("0"&amp;TRIM(RIGHT(SUBSTITUTE(TRIM(MID(SUBSTITUTE(SUBSTITUTE(Registro!$I781,";",CHAR(10)),CHAR(10),REPT(" ",LEN(Registro!$I781))),({1,2,3,4,5,6,7,8,9,10,11,12,13,14,15,16,17,18,19,20,21,22,23,24,25,26,27,28,29,30}-1)*LEN(Registro!$I781)+1,LEN(Registro!$I781)))," ",REPT(" ",50)),50)))),"Revisar formato"))</f>
        <v/>
      </c>
      <c r="K781" s="24" t="str">
        <f>IF(AND(Registro!$G781="",Registro!$H781=""),"",IF(AND(ISTEXT(I781),I781&lt;&gt;""),"Revisar formato",N(Registro!$G781)-N(I781)))</f>
        <v/>
      </c>
      <c r="L781" s="24" t="str">
        <f t="shared" si="25"/>
        <v/>
      </c>
      <c r="M781" s="36" t="str">
        <f>IF(AND(A781=Consulta!$B$3,C781=Consulta!$H$3),B781*10000+ROW(),"")</f>
        <v/>
      </c>
    </row>
    <row r="782" spans="1:13" x14ac:dyDescent="0.25">
      <c r="A782" s="21" t="str">
        <f>IF(Registro!$A782="","",Registro!$A782)</f>
        <v/>
      </c>
      <c r="B782" s="20" t="str">
        <f>IF(Registro!$B782="","",Registro!$B782)</f>
        <v/>
      </c>
      <c r="C782" s="35" t="str">
        <f t="shared" si="24"/>
        <v/>
      </c>
      <c r="D782" s="23" t="str">
        <f>IF(Registro!$E782="","",IF(ISERROR(FIND("x",LOWER(Registro!$E782))),"-",IFERROR(SUMPRODUCT(--("0"&amp;LEFT(TRIM(MID(SUBSTITUTE(SUBSTITUTE(SUBSTITUTE(SUBSTITUTE(SUBSTITUTE(LOWER(Registro!$E782),"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",LEN(Registro!$E782))),({1,2,3,4,5,6,7,8,9,10,11,12,13,14,15,16,17,18,19,20,21,22,23,24,25,26,27,28,29,30}-1)*LEN(Registro!$E782)+1,LEN(Registro!$E782))),FIND("x",TRIM(MID(SUBSTITUTE(SUBSTITUTE(SUBSTITUTE(SUBSTITUTE(SUBSTITUTE(LOWER(Registro!$E782),"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",LEN(Registro!$E782))),({1,2,3,4,5,6,7,8,9,10,11,12,13,14,15,16,17,18,19,20,21,22,23,24,25,26,27,28,29,30}-1)*LEN(Registro!$E782)+1,LEN(Registro!$E782)))&amp;"x")-1))),"Revisar formato")))</f>
        <v/>
      </c>
      <c r="E782" s="24" t="str">
        <f>IF(Registro!$E782="","",IF(ISERROR(FIND("x",LOWER(Registro!$E782))),"-",IFERROR(SUMPRODUCT(--("0"&amp;LEFT(TRIM(MID(SUBSTITUTE(SUBSTITUTE(SUBSTITUTE(SUBSTITUTE(SUBSTITUTE(LOWER(Registro!$E782),"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",LEN(Registro!$E782))),({1,2,3,4,5,6,7,8,9,10,11,12,13,14,15,16,17,18,19,20,21,22,23,24,25,26,27,28,29,30}-1)*LEN(Registro!$E782)+1,LEN(Registro!$E782))),FIND("x",TRIM(MID(SUBSTITUTE(SUBSTITUTE(SUBSTITUTE(SUBSTITUTE(SUBSTITUTE(LOWER(Registro!$E782),"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",LEN(Registro!$E782))),({1,2,3,4,5,6,7,8,9,10,11,12,13,14,15,16,17,18,19,20,21,22,23,24,25,26,27,28,29,30}-1)*LEN(Registro!$E782)+1,LEN(Registro!$E782)))&amp;"x")-1)),--("0"&amp;MID(TRIM(MID(SUBSTITUTE(SUBSTITUTE(SUBSTITUTE(SUBSTITUTE(SUBSTITUTE(LOWER(Registro!$E782),"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",LEN(Registro!$E782))),({1,2,3,4,5,6,7,8,9,10,11,12,13,14,15,16,17,18,19,20,21,22,23,24,25,26,27,28,29,30}-1)*LEN(Registro!$E782)+1,LEN(Registro!$E782))),FIND("x",TRIM(MID(SUBSTITUTE(SUBSTITUTE(SUBSTITUTE(SUBSTITUTE(SUBSTITUTE(LOWER(Registro!$E782),"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",LEN(Registro!$E782))),({1,2,3,4,5,6,7,8,9,10,11,12,13,14,15,16,17,18,19,20,21,22,23,24,25,26,27,28,29,30}-1)*LEN(Registro!$E782)+1,LEN(Registro!$E782)))&amp;"x")+1,20))),"Revisar formato")))</f>
        <v/>
      </c>
      <c r="F782" s="23" t="str">
        <f>IF(Registro!$F782="","",IF(ISERROR(FIND("x",LOWER(Registro!$F782))),"-",IFERROR(SUMPRODUCT(--("0"&amp;LEFT(TRIM(MID(SUBSTITUTE(SUBSTITUTE(SUBSTITUTE(SUBSTITUTE(SUBSTITUTE(LOWER(Registro!$F782)," ",""),CHAR(10),"|"),";","|"),"+","|"),"|",REPT(" ",LEN(Registro!$F782))),({1,2,3,4,5,6,7,8,9,10,11,12,13,14,15,16,17,18,19,20,21,22,23,24,25,26,27,28,29,30}-1)*LEN(Registro!$F782)+1,LEN(Registro!$F782))),FIND("x",TRIM(MID(SUBSTITUTE(SUBSTITUTE(SUBSTITUTE(SUBSTITUTE(SUBSTITUTE(LOWER(Registro!$F782)," ",""),CHAR(10),"|"),";","|"),"+","|"),"|",REPT(" ",LEN(Registro!$F782))),({1,2,3,4,5,6,7,8,9,10,11,12,13,14,15,16,17,18,19,20,21,22,23,24,25,26,27,28,29,30}-1)*LEN(Registro!$F782)+1,LEN(Registro!$F782)))&amp;"x")-1))),"Revisar formato")))</f>
        <v/>
      </c>
      <c r="G782" s="24" t="str">
        <f>IF(Registro!$F782="","",IF(ISERROR(FIND("x",LOWER(Registro!$F782))),N(Registro!$G782),IFERROR(SUMPRODUCT(--("0"&amp;LEFT(TRIM(MID(SUBSTITUTE(SUBSTITUTE(SUBSTITUTE(SUBSTITUTE(SUBSTITUTE(LOWER(Registro!$F782)," ",""),CHAR(10),"|"),";","|"),"+","|"),"|",REPT(" ",LEN(Registro!$F782))),({1,2,3,4,5,6,7,8,9,10,11,12,13,14,15,16,17,18,19,20,21,22,23,24,25,26,27,28,29,30}-1)*LEN(Registro!$F782)+1,LEN(Registro!$F782))),FIND("x",TRIM(MID(SUBSTITUTE(SUBSTITUTE(SUBSTITUTE(SUBSTITUTE(SUBSTITUTE(LOWER(Registro!$F782)," ",""),CHAR(10),"|"),";","|"),"+","|"),"|",REPT(" ",LEN(Registro!$F782))),({1,2,3,4,5,6,7,8,9,10,11,12,13,14,15,16,17,18,19,20,21,22,23,24,25,26,27,28,29,30}-1)*LEN(Registro!$F782)+1,LEN(Registro!$F782)))&amp;"x")-1)),--("0"&amp;MID(TRIM(MID(SUBSTITUTE(SUBSTITUTE(SUBSTITUTE(SUBSTITUTE(SUBSTITUTE(LOWER(Registro!$F782)," ",""),CHAR(10),"|"),";","|"),"+","|"),"|",REPT(" ",LEN(Registro!$F782))),({1,2,3,4,5,6,7,8,9,10,11,12,13,14,15,16,17,18,19,20,21,22,23,24,25,26,27,28,29,30}-1)*LEN(Registro!$F782)+1,LEN(Registro!$F782))),FIND("x",TRIM(MID(SUBSTITUTE(SUBSTITUTE(SUBSTITUTE(SUBSTITUTE(SUBSTITUTE(LOWER(Registro!$F782)," ",""),CHAR(10),"|"),";","|"),"+","|"),"|",REPT(" ",LEN(Registro!$F782))),({1,2,3,4,5,6,7,8,9,10,11,12,13,14,15,16,17,18,19,20,21,22,23,24,25,26,27,28,29,30}-1)*LEN(Registro!$F782)+1,LEN(Registro!$F782)))&amp;"x")+1,20))),"Revisar formato")))</f>
        <v/>
      </c>
      <c r="H782" s="21" t="str">
        <f>IF(AND(Registro!$E782="",Registro!$F782=""),"",IF(NOT(AND(ISNUMBER(G782),ISNUMBER(Registro!$G782))),"",IF(G782&lt;Registro!$G782,"FALTA BOLETOS",IF(G782=Registro!$G782,"CONFORME","DIFERENCIA"))))</f>
        <v/>
      </c>
      <c r="I782" s="24" t="str">
        <f>IF(Registro!$H782="","",IFERROR(SUMPRODUCT(--("0"&amp;TRIM(RIGHT(SUBSTITUTE(TRIM(MID(SUBSTITUTE(SUBSTITUTE(Registro!$H782,";",CHAR(10)),CHAR(10),REPT(" ",LEN(Registro!$H782))),({1,2,3,4,5,6,7,8,9,10,11,12,13,14,15,16,17,18,19,20,21,22,23,24,25,26,27,28,29,30}-1)*LEN(Registro!$H782)+1,LEN(Registro!$H782)))," ",REPT(" ",50)),50)))),"Revisar formato"))</f>
        <v/>
      </c>
      <c r="J782" s="24" t="str">
        <f>IF(Registro!$I782="","",IFERROR(SUMPRODUCT(--("0"&amp;TRIM(RIGHT(SUBSTITUTE(TRIM(MID(SUBSTITUTE(SUBSTITUTE(Registro!$I782,";",CHAR(10)),CHAR(10),REPT(" ",LEN(Registro!$I782))),({1,2,3,4,5,6,7,8,9,10,11,12,13,14,15,16,17,18,19,20,21,22,23,24,25,26,27,28,29,30}-1)*LEN(Registro!$I782)+1,LEN(Registro!$I782)))," ",REPT(" ",50)),50)))),"Revisar formato"))</f>
        <v/>
      </c>
      <c r="K782" s="24" t="str">
        <f>IF(AND(Registro!$G782="",Registro!$H782=""),"",IF(AND(ISTEXT(I782),I782&lt;&gt;""),"Revisar formato",N(Registro!$G782)-N(I782)))</f>
        <v/>
      </c>
      <c r="L782" s="24" t="str">
        <f t="shared" si="25"/>
        <v/>
      </c>
      <c r="M782" s="36" t="str">
        <f>IF(AND(A782=Consulta!$B$3,C782=Consulta!$H$3),B782*10000+ROW(),"")</f>
        <v/>
      </c>
    </row>
    <row r="783" spans="1:13" x14ac:dyDescent="0.25">
      <c r="A783" s="21" t="str">
        <f>IF(Registro!$A783="","",Registro!$A783)</f>
        <v/>
      </c>
      <c r="B783" s="20" t="str">
        <f>IF(Registro!$B783="","",Registro!$B783)</f>
        <v/>
      </c>
      <c r="C783" s="35" t="str">
        <f t="shared" si="24"/>
        <v/>
      </c>
      <c r="D783" s="23" t="str">
        <f>IF(Registro!$E783="","",IF(ISERROR(FIND("x",LOWER(Registro!$E783))),"-",IFERROR(SUMPRODUCT(--("0"&amp;LEFT(TRIM(MID(SUBSTITUTE(SUBSTITUTE(SUBSTITUTE(SUBSTITUTE(SUBSTITUTE(LOWER(Registro!$E783),"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",LEN(Registro!$E783))),({1,2,3,4,5,6,7,8,9,10,11,12,13,14,15,16,17,18,19,20,21,22,23,24,25,26,27,28,29,30}-1)*LEN(Registro!$E783)+1,LEN(Registro!$E783))),FIND("x",TRIM(MID(SUBSTITUTE(SUBSTITUTE(SUBSTITUTE(SUBSTITUTE(SUBSTITUTE(LOWER(Registro!$E783),"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",LEN(Registro!$E783))),({1,2,3,4,5,6,7,8,9,10,11,12,13,14,15,16,17,18,19,20,21,22,23,24,25,26,27,28,29,30}-1)*LEN(Registro!$E783)+1,LEN(Registro!$E783)))&amp;"x")-1))),"Revisar formato")))</f>
        <v/>
      </c>
      <c r="E783" s="24" t="str">
        <f>IF(Registro!$E783="","",IF(ISERROR(FIND("x",LOWER(Registro!$E783))),"-",IFERROR(SUMPRODUCT(--("0"&amp;LEFT(TRIM(MID(SUBSTITUTE(SUBSTITUTE(SUBSTITUTE(SUBSTITUTE(SUBSTITUTE(LOWER(Registro!$E783),"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",LEN(Registro!$E783))),({1,2,3,4,5,6,7,8,9,10,11,12,13,14,15,16,17,18,19,20,21,22,23,24,25,26,27,28,29,30}-1)*LEN(Registro!$E783)+1,LEN(Registro!$E783))),FIND("x",TRIM(MID(SUBSTITUTE(SUBSTITUTE(SUBSTITUTE(SUBSTITUTE(SUBSTITUTE(LOWER(Registro!$E783),"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",LEN(Registro!$E783))),({1,2,3,4,5,6,7,8,9,10,11,12,13,14,15,16,17,18,19,20,21,22,23,24,25,26,27,28,29,30}-1)*LEN(Registro!$E783)+1,LEN(Registro!$E783)))&amp;"x")-1)),--("0"&amp;MID(TRIM(MID(SUBSTITUTE(SUBSTITUTE(SUBSTITUTE(SUBSTITUTE(SUBSTITUTE(LOWER(Registro!$E783),"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",LEN(Registro!$E783))),({1,2,3,4,5,6,7,8,9,10,11,12,13,14,15,16,17,18,19,20,21,22,23,24,25,26,27,28,29,30}-1)*LEN(Registro!$E783)+1,LEN(Registro!$E783))),FIND("x",TRIM(MID(SUBSTITUTE(SUBSTITUTE(SUBSTITUTE(SUBSTITUTE(SUBSTITUTE(LOWER(Registro!$E783),"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",LEN(Registro!$E783))),({1,2,3,4,5,6,7,8,9,10,11,12,13,14,15,16,17,18,19,20,21,22,23,24,25,26,27,28,29,30}-1)*LEN(Registro!$E783)+1,LEN(Registro!$E783)))&amp;"x")+1,20))),"Revisar formato")))</f>
        <v/>
      </c>
      <c r="F783" s="23" t="str">
        <f>IF(Registro!$F783="","",IF(ISERROR(FIND("x",LOWER(Registro!$F783))),"-",IFERROR(SUMPRODUCT(--("0"&amp;LEFT(TRIM(MID(SUBSTITUTE(SUBSTITUTE(SUBSTITUTE(SUBSTITUTE(SUBSTITUTE(LOWER(Registro!$F783)," ",""),CHAR(10),"|"),";","|"),"+","|"),"|",REPT(" ",LEN(Registro!$F783))),({1,2,3,4,5,6,7,8,9,10,11,12,13,14,15,16,17,18,19,20,21,22,23,24,25,26,27,28,29,30}-1)*LEN(Registro!$F783)+1,LEN(Registro!$F783))),FIND("x",TRIM(MID(SUBSTITUTE(SUBSTITUTE(SUBSTITUTE(SUBSTITUTE(SUBSTITUTE(LOWER(Registro!$F783)," ",""),CHAR(10),"|"),";","|"),"+","|"),"|",REPT(" ",LEN(Registro!$F783))),({1,2,3,4,5,6,7,8,9,10,11,12,13,14,15,16,17,18,19,20,21,22,23,24,25,26,27,28,29,30}-1)*LEN(Registro!$F783)+1,LEN(Registro!$F783)))&amp;"x")-1))),"Revisar formato")))</f>
        <v/>
      </c>
      <c r="G783" s="24" t="str">
        <f>IF(Registro!$F783="","",IF(ISERROR(FIND("x",LOWER(Registro!$F783))),N(Registro!$G783),IFERROR(SUMPRODUCT(--("0"&amp;LEFT(TRIM(MID(SUBSTITUTE(SUBSTITUTE(SUBSTITUTE(SUBSTITUTE(SUBSTITUTE(LOWER(Registro!$F783)," ",""),CHAR(10),"|"),";","|"),"+","|"),"|",REPT(" ",LEN(Registro!$F783))),({1,2,3,4,5,6,7,8,9,10,11,12,13,14,15,16,17,18,19,20,21,22,23,24,25,26,27,28,29,30}-1)*LEN(Registro!$F783)+1,LEN(Registro!$F783))),FIND("x",TRIM(MID(SUBSTITUTE(SUBSTITUTE(SUBSTITUTE(SUBSTITUTE(SUBSTITUTE(LOWER(Registro!$F783)," ",""),CHAR(10),"|"),";","|"),"+","|"),"|",REPT(" ",LEN(Registro!$F783))),({1,2,3,4,5,6,7,8,9,10,11,12,13,14,15,16,17,18,19,20,21,22,23,24,25,26,27,28,29,30}-1)*LEN(Registro!$F783)+1,LEN(Registro!$F783)))&amp;"x")-1)),--("0"&amp;MID(TRIM(MID(SUBSTITUTE(SUBSTITUTE(SUBSTITUTE(SUBSTITUTE(SUBSTITUTE(LOWER(Registro!$F783)," ",""),CHAR(10),"|"),";","|"),"+","|"),"|",REPT(" ",LEN(Registro!$F783))),({1,2,3,4,5,6,7,8,9,10,11,12,13,14,15,16,17,18,19,20,21,22,23,24,25,26,27,28,29,30}-1)*LEN(Registro!$F783)+1,LEN(Registro!$F783))),FIND("x",TRIM(MID(SUBSTITUTE(SUBSTITUTE(SUBSTITUTE(SUBSTITUTE(SUBSTITUTE(LOWER(Registro!$F783)," ",""),CHAR(10),"|"),";","|"),"+","|"),"|",REPT(" ",LEN(Registro!$F783))),({1,2,3,4,5,6,7,8,9,10,11,12,13,14,15,16,17,18,19,20,21,22,23,24,25,26,27,28,29,30}-1)*LEN(Registro!$F783)+1,LEN(Registro!$F783)))&amp;"x")+1,20))),"Revisar formato")))</f>
        <v/>
      </c>
      <c r="H783" s="21" t="str">
        <f>IF(AND(Registro!$E783="",Registro!$F783=""),"",IF(NOT(AND(ISNUMBER(G783),ISNUMBER(Registro!$G783))),"",IF(G783&lt;Registro!$G783,"FALTA BOLETOS",IF(G783=Registro!$G783,"CONFORME","DIFERENCIA"))))</f>
        <v/>
      </c>
      <c r="I783" s="24" t="str">
        <f>IF(Registro!$H783="","",IFERROR(SUMPRODUCT(--("0"&amp;TRIM(RIGHT(SUBSTITUTE(TRIM(MID(SUBSTITUTE(SUBSTITUTE(Registro!$H783,";",CHAR(10)),CHAR(10),REPT(" ",LEN(Registro!$H783))),({1,2,3,4,5,6,7,8,9,10,11,12,13,14,15,16,17,18,19,20,21,22,23,24,25,26,27,28,29,30}-1)*LEN(Registro!$H783)+1,LEN(Registro!$H783)))," ",REPT(" ",50)),50)))),"Revisar formato"))</f>
        <v/>
      </c>
      <c r="J783" s="24" t="str">
        <f>IF(Registro!$I783="","",IFERROR(SUMPRODUCT(--("0"&amp;TRIM(RIGHT(SUBSTITUTE(TRIM(MID(SUBSTITUTE(SUBSTITUTE(Registro!$I783,";",CHAR(10)),CHAR(10),REPT(" ",LEN(Registro!$I783))),({1,2,3,4,5,6,7,8,9,10,11,12,13,14,15,16,17,18,19,20,21,22,23,24,25,26,27,28,29,30}-1)*LEN(Registro!$I783)+1,LEN(Registro!$I783)))," ",REPT(" ",50)),50)))),"Revisar formato"))</f>
        <v/>
      </c>
      <c r="K783" s="24" t="str">
        <f>IF(AND(Registro!$G783="",Registro!$H783=""),"",IF(AND(ISTEXT(I783),I783&lt;&gt;""),"Revisar formato",N(Registro!$G783)-N(I783)))</f>
        <v/>
      </c>
      <c r="L783" s="24" t="str">
        <f t="shared" si="25"/>
        <v/>
      </c>
      <c r="M783" s="36" t="str">
        <f>IF(AND(A783=Consulta!$B$3,C783=Consulta!$H$3),B783*10000+ROW(),"")</f>
        <v/>
      </c>
    </row>
    <row r="784" spans="1:13" x14ac:dyDescent="0.25">
      <c r="A784" s="21" t="str">
        <f>IF(Registro!$A784="","",Registro!$A784)</f>
        <v/>
      </c>
      <c r="B784" s="20" t="str">
        <f>IF(Registro!$B784="","",Registro!$B784)</f>
        <v/>
      </c>
      <c r="C784" s="35" t="str">
        <f t="shared" si="24"/>
        <v/>
      </c>
      <c r="D784" s="23" t="str">
        <f>IF(Registro!$E784="","",IF(ISERROR(FIND("x",LOWER(Registro!$E784))),"-",IFERROR(SUMPRODUCT(--("0"&amp;LEFT(TRIM(MID(SUBSTITUTE(SUBSTITUTE(SUBSTITUTE(SUBSTITUTE(SUBSTITUTE(LOWER(Registro!$E784),"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",LEN(Registro!$E784))),({1,2,3,4,5,6,7,8,9,10,11,12,13,14,15,16,17,18,19,20,21,22,23,24,25,26,27,28,29,30}-1)*LEN(Registro!$E784)+1,LEN(Registro!$E784))),FIND("x",TRIM(MID(SUBSTITUTE(SUBSTITUTE(SUBSTITUTE(SUBSTITUTE(SUBSTITUTE(LOWER(Registro!$E784),"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",LEN(Registro!$E784))),({1,2,3,4,5,6,7,8,9,10,11,12,13,14,15,16,17,18,19,20,21,22,23,24,25,26,27,28,29,30}-1)*LEN(Registro!$E784)+1,LEN(Registro!$E784)))&amp;"x")-1))),"Revisar formato")))</f>
        <v/>
      </c>
      <c r="E784" s="24" t="str">
        <f>IF(Registro!$E784="","",IF(ISERROR(FIND("x",LOWER(Registro!$E784))),"-",IFERROR(SUMPRODUCT(--("0"&amp;LEFT(TRIM(MID(SUBSTITUTE(SUBSTITUTE(SUBSTITUTE(SUBSTITUTE(SUBSTITUTE(LOWER(Registro!$E784),"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",LEN(Registro!$E784))),({1,2,3,4,5,6,7,8,9,10,11,12,13,14,15,16,17,18,19,20,21,22,23,24,25,26,27,28,29,30}-1)*LEN(Registro!$E784)+1,LEN(Registro!$E784))),FIND("x",TRIM(MID(SUBSTITUTE(SUBSTITUTE(SUBSTITUTE(SUBSTITUTE(SUBSTITUTE(LOWER(Registro!$E784),"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",LEN(Registro!$E784))),({1,2,3,4,5,6,7,8,9,10,11,12,13,14,15,16,17,18,19,20,21,22,23,24,25,26,27,28,29,30}-1)*LEN(Registro!$E784)+1,LEN(Registro!$E784)))&amp;"x")-1)),--("0"&amp;MID(TRIM(MID(SUBSTITUTE(SUBSTITUTE(SUBSTITUTE(SUBSTITUTE(SUBSTITUTE(LOWER(Registro!$E784),"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",LEN(Registro!$E784))),({1,2,3,4,5,6,7,8,9,10,11,12,13,14,15,16,17,18,19,20,21,22,23,24,25,26,27,28,29,30}-1)*LEN(Registro!$E784)+1,LEN(Registro!$E784))),FIND("x",TRIM(MID(SUBSTITUTE(SUBSTITUTE(SUBSTITUTE(SUBSTITUTE(SUBSTITUTE(LOWER(Registro!$E784),"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",LEN(Registro!$E784))),({1,2,3,4,5,6,7,8,9,10,11,12,13,14,15,16,17,18,19,20,21,22,23,24,25,26,27,28,29,30}-1)*LEN(Registro!$E784)+1,LEN(Registro!$E784)))&amp;"x")+1,20))),"Revisar formato")))</f>
        <v/>
      </c>
      <c r="F784" s="23" t="str">
        <f>IF(Registro!$F784="","",IF(ISERROR(FIND("x",LOWER(Registro!$F784))),"-",IFERROR(SUMPRODUCT(--("0"&amp;LEFT(TRIM(MID(SUBSTITUTE(SUBSTITUTE(SUBSTITUTE(SUBSTITUTE(SUBSTITUTE(LOWER(Registro!$F784)," ",""),CHAR(10),"|"),";","|"),"+","|"),"|",REPT(" ",LEN(Registro!$F784))),({1,2,3,4,5,6,7,8,9,10,11,12,13,14,15,16,17,18,19,20,21,22,23,24,25,26,27,28,29,30}-1)*LEN(Registro!$F784)+1,LEN(Registro!$F784))),FIND("x",TRIM(MID(SUBSTITUTE(SUBSTITUTE(SUBSTITUTE(SUBSTITUTE(SUBSTITUTE(LOWER(Registro!$F784)," ",""),CHAR(10),"|"),";","|"),"+","|"),"|",REPT(" ",LEN(Registro!$F784))),({1,2,3,4,5,6,7,8,9,10,11,12,13,14,15,16,17,18,19,20,21,22,23,24,25,26,27,28,29,30}-1)*LEN(Registro!$F784)+1,LEN(Registro!$F784)))&amp;"x")-1))),"Revisar formato")))</f>
        <v/>
      </c>
      <c r="G784" s="24" t="str">
        <f>IF(Registro!$F784="","",IF(ISERROR(FIND("x",LOWER(Registro!$F784))),N(Registro!$G784),IFERROR(SUMPRODUCT(--("0"&amp;LEFT(TRIM(MID(SUBSTITUTE(SUBSTITUTE(SUBSTITUTE(SUBSTITUTE(SUBSTITUTE(LOWER(Registro!$F784)," ",""),CHAR(10),"|"),";","|"),"+","|"),"|",REPT(" ",LEN(Registro!$F784))),({1,2,3,4,5,6,7,8,9,10,11,12,13,14,15,16,17,18,19,20,21,22,23,24,25,26,27,28,29,30}-1)*LEN(Registro!$F784)+1,LEN(Registro!$F784))),FIND("x",TRIM(MID(SUBSTITUTE(SUBSTITUTE(SUBSTITUTE(SUBSTITUTE(SUBSTITUTE(LOWER(Registro!$F784)," ",""),CHAR(10),"|"),";","|"),"+","|"),"|",REPT(" ",LEN(Registro!$F784))),({1,2,3,4,5,6,7,8,9,10,11,12,13,14,15,16,17,18,19,20,21,22,23,24,25,26,27,28,29,30}-1)*LEN(Registro!$F784)+1,LEN(Registro!$F784)))&amp;"x")-1)),--("0"&amp;MID(TRIM(MID(SUBSTITUTE(SUBSTITUTE(SUBSTITUTE(SUBSTITUTE(SUBSTITUTE(LOWER(Registro!$F784)," ",""),CHAR(10),"|"),";","|"),"+","|"),"|",REPT(" ",LEN(Registro!$F784))),({1,2,3,4,5,6,7,8,9,10,11,12,13,14,15,16,17,18,19,20,21,22,23,24,25,26,27,28,29,30}-1)*LEN(Registro!$F784)+1,LEN(Registro!$F784))),FIND("x",TRIM(MID(SUBSTITUTE(SUBSTITUTE(SUBSTITUTE(SUBSTITUTE(SUBSTITUTE(LOWER(Registro!$F784)," ",""),CHAR(10),"|"),";","|"),"+","|"),"|",REPT(" ",LEN(Registro!$F784))),({1,2,3,4,5,6,7,8,9,10,11,12,13,14,15,16,17,18,19,20,21,22,23,24,25,26,27,28,29,30}-1)*LEN(Registro!$F784)+1,LEN(Registro!$F784)))&amp;"x")+1,20))),"Revisar formato")))</f>
        <v/>
      </c>
      <c r="H784" s="21" t="str">
        <f>IF(AND(Registro!$E784="",Registro!$F784=""),"",IF(NOT(AND(ISNUMBER(G784),ISNUMBER(Registro!$G784))),"",IF(G784&lt;Registro!$G784,"FALTA BOLETOS",IF(G784=Registro!$G784,"CONFORME","DIFERENCIA"))))</f>
        <v/>
      </c>
      <c r="I784" s="24" t="str">
        <f>IF(Registro!$H784="","",IFERROR(SUMPRODUCT(--("0"&amp;TRIM(RIGHT(SUBSTITUTE(TRIM(MID(SUBSTITUTE(SUBSTITUTE(Registro!$H784,";",CHAR(10)),CHAR(10),REPT(" ",LEN(Registro!$H784))),({1,2,3,4,5,6,7,8,9,10,11,12,13,14,15,16,17,18,19,20,21,22,23,24,25,26,27,28,29,30}-1)*LEN(Registro!$H784)+1,LEN(Registro!$H784)))," ",REPT(" ",50)),50)))),"Revisar formato"))</f>
        <v/>
      </c>
      <c r="J784" s="24" t="str">
        <f>IF(Registro!$I784="","",IFERROR(SUMPRODUCT(--("0"&amp;TRIM(RIGHT(SUBSTITUTE(TRIM(MID(SUBSTITUTE(SUBSTITUTE(Registro!$I784,";",CHAR(10)),CHAR(10),REPT(" ",LEN(Registro!$I784))),({1,2,3,4,5,6,7,8,9,10,11,12,13,14,15,16,17,18,19,20,21,22,23,24,25,26,27,28,29,30}-1)*LEN(Registro!$I784)+1,LEN(Registro!$I784)))," ",REPT(" ",50)),50)))),"Revisar formato"))</f>
        <v/>
      </c>
      <c r="K784" s="24" t="str">
        <f>IF(AND(Registro!$G784="",Registro!$H784=""),"",IF(AND(ISTEXT(I784),I784&lt;&gt;""),"Revisar formato",N(Registro!$G784)-N(I784)))</f>
        <v/>
      </c>
      <c r="L784" s="24" t="str">
        <f t="shared" si="25"/>
        <v/>
      </c>
      <c r="M784" s="36" t="str">
        <f>IF(AND(A784=Consulta!$B$3,C784=Consulta!$H$3),B784*10000+ROW(),"")</f>
        <v/>
      </c>
    </row>
    <row r="785" spans="1:13" x14ac:dyDescent="0.25">
      <c r="A785" s="21" t="str">
        <f>IF(Registro!$A785="","",Registro!$A785)</f>
        <v/>
      </c>
      <c r="B785" s="20" t="str">
        <f>IF(Registro!$B785="","",Registro!$B785)</f>
        <v/>
      </c>
      <c r="C785" s="35" t="str">
        <f t="shared" si="24"/>
        <v/>
      </c>
      <c r="D785" s="23" t="str">
        <f>IF(Registro!$E785="","",IF(ISERROR(FIND("x",LOWER(Registro!$E785))),"-",IFERROR(SUMPRODUCT(--("0"&amp;LEFT(TRIM(MID(SUBSTITUTE(SUBSTITUTE(SUBSTITUTE(SUBSTITUTE(SUBSTITUTE(LOWER(Registro!$E785),"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",LEN(Registro!$E785))),({1,2,3,4,5,6,7,8,9,10,11,12,13,14,15,16,17,18,19,20,21,22,23,24,25,26,27,28,29,30}-1)*LEN(Registro!$E785)+1,LEN(Registro!$E785))),FIND("x",TRIM(MID(SUBSTITUTE(SUBSTITUTE(SUBSTITUTE(SUBSTITUTE(SUBSTITUTE(LOWER(Registro!$E785),"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",LEN(Registro!$E785))),({1,2,3,4,5,6,7,8,9,10,11,12,13,14,15,16,17,18,19,20,21,22,23,24,25,26,27,28,29,30}-1)*LEN(Registro!$E785)+1,LEN(Registro!$E785)))&amp;"x")-1))),"Revisar formato")))</f>
        <v/>
      </c>
      <c r="E785" s="24" t="str">
        <f>IF(Registro!$E785="","",IF(ISERROR(FIND("x",LOWER(Registro!$E785))),"-",IFERROR(SUMPRODUCT(--("0"&amp;LEFT(TRIM(MID(SUBSTITUTE(SUBSTITUTE(SUBSTITUTE(SUBSTITUTE(SUBSTITUTE(LOWER(Registro!$E785),"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",LEN(Registro!$E785))),({1,2,3,4,5,6,7,8,9,10,11,12,13,14,15,16,17,18,19,20,21,22,23,24,25,26,27,28,29,30}-1)*LEN(Registro!$E785)+1,LEN(Registro!$E785))),FIND("x",TRIM(MID(SUBSTITUTE(SUBSTITUTE(SUBSTITUTE(SUBSTITUTE(SUBSTITUTE(LOWER(Registro!$E785),"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",LEN(Registro!$E785))),({1,2,3,4,5,6,7,8,9,10,11,12,13,14,15,16,17,18,19,20,21,22,23,24,25,26,27,28,29,30}-1)*LEN(Registro!$E785)+1,LEN(Registro!$E785)))&amp;"x")-1)),--("0"&amp;MID(TRIM(MID(SUBSTITUTE(SUBSTITUTE(SUBSTITUTE(SUBSTITUTE(SUBSTITUTE(LOWER(Registro!$E785),"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",LEN(Registro!$E785))),({1,2,3,4,5,6,7,8,9,10,11,12,13,14,15,16,17,18,19,20,21,22,23,24,25,26,27,28,29,30}-1)*LEN(Registro!$E785)+1,LEN(Registro!$E785))),FIND("x",TRIM(MID(SUBSTITUTE(SUBSTITUTE(SUBSTITUTE(SUBSTITUTE(SUBSTITUTE(LOWER(Registro!$E785),"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",LEN(Registro!$E785))),({1,2,3,4,5,6,7,8,9,10,11,12,13,14,15,16,17,18,19,20,21,22,23,24,25,26,27,28,29,30}-1)*LEN(Registro!$E785)+1,LEN(Registro!$E785)))&amp;"x")+1,20))),"Revisar formato")))</f>
        <v/>
      </c>
      <c r="F785" s="23" t="str">
        <f>IF(Registro!$F785="","",IF(ISERROR(FIND("x",LOWER(Registro!$F785))),"-",IFERROR(SUMPRODUCT(--("0"&amp;LEFT(TRIM(MID(SUBSTITUTE(SUBSTITUTE(SUBSTITUTE(SUBSTITUTE(SUBSTITUTE(LOWER(Registro!$F785)," ",""),CHAR(10),"|"),";","|"),"+","|"),"|",REPT(" ",LEN(Registro!$F785))),({1,2,3,4,5,6,7,8,9,10,11,12,13,14,15,16,17,18,19,20,21,22,23,24,25,26,27,28,29,30}-1)*LEN(Registro!$F785)+1,LEN(Registro!$F785))),FIND("x",TRIM(MID(SUBSTITUTE(SUBSTITUTE(SUBSTITUTE(SUBSTITUTE(SUBSTITUTE(LOWER(Registro!$F785)," ",""),CHAR(10),"|"),";","|"),"+","|"),"|",REPT(" ",LEN(Registro!$F785))),({1,2,3,4,5,6,7,8,9,10,11,12,13,14,15,16,17,18,19,20,21,22,23,24,25,26,27,28,29,30}-1)*LEN(Registro!$F785)+1,LEN(Registro!$F785)))&amp;"x")-1))),"Revisar formato")))</f>
        <v/>
      </c>
      <c r="G785" s="24" t="str">
        <f>IF(Registro!$F785="","",IF(ISERROR(FIND("x",LOWER(Registro!$F785))),N(Registro!$G785),IFERROR(SUMPRODUCT(--("0"&amp;LEFT(TRIM(MID(SUBSTITUTE(SUBSTITUTE(SUBSTITUTE(SUBSTITUTE(SUBSTITUTE(LOWER(Registro!$F785)," ",""),CHAR(10),"|"),";","|"),"+","|"),"|",REPT(" ",LEN(Registro!$F785))),({1,2,3,4,5,6,7,8,9,10,11,12,13,14,15,16,17,18,19,20,21,22,23,24,25,26,27,28,29,30}-1)*LEN(Registro!$F785)+1,LEN(Registro!$F785))),FIND("x",TRIM(MID(SUBSTITUTE(SUBSTITUTE(SUBSTITUTE(SUBSTITUTE(SUBSTITUTE(LOWER(Registro!$F785)," ",""),CHAR(10),"|"),";","|"),"+","|"),"|",REPT(" ",LEN(Registro!$F785))),({1,2,3,4,5,6,7,8,9,10,11,12,13,14,15,16,17,18,19,20,21,22,23,24,25,26,27,28,29,30}-1)*LEN(Registro!$F785)+1,LEN(Registro!$F785)))&amp;"x")-1)),--("0"&amp;MID(TRIM(MID(SUBSTITUTE(SUBSTITUTE(SUBSTITUTE(SUBSTITUTE(SUBSTITUTE(LOWER(Registro!$F785)," ",""),CHAR(10),"|"),";","|"),"+","|"),"|",REPT(" ",LEN(Registro!$F785))),({1,2,3,4,5,6,7,8,9,10,11,12,13,14,15,16,17,18,19,20,21,22,23,24,25,26,27,28,29,30}-1)*LEN(Registro!$F785)+1,LEN(Registro!$F785))),FIND("x",TRIM(MID(SUBSTITUTE(SUBSTITUTE(SUBSTITUTE(SUBSTITUTE(SUBSTITUTE(LOWER(Registro!$F785)," ",""),CHAR(10),"|"),";","|"),"+","|"),"|",REPT(" ",LEN(Registro!$F785))),({1,2,3,4,5,6,7,8,9,10,11,12,13,14,15,16,17,18,19,20,21,22,23,24,25,26,27,28,29,30}-1)*LEN(Registro!$F785)+1,LEN(Registro!$F785)))&amp;"x")+1,20))),"Revisar formato")))</f>
        <v/>
      </c>
      <c r="H785" s="21" t="str">
        <f>IF(AND(Registro!$E785="",Registro!$F785=""),"",IF(NOT(AND(ISNUMBER(G785),ISNUMBER(Registro!$G785))),"",IF(G785&lt;Registro!$G785,"FALTA BOLETOS",IF(G785=Registro!$G785,"CONFORME","DIFERENCIA"))))</f>
        <v/>
      </c>
      <c r="I785" s="24" t="str">
        <f>IF(Registro!$H785="","",IFERROR(SUMPRODUCT(--("0"&amp;TRIM(RIGHT(SUBSTITUTE(TRIM(MID(SUBSTITUTE(SUBSTITUTE(Registro!$H785,";",CHAR(10)),CHAR(10),REPT(" ",LEN(Registro!$H785))),({1,2,3,4,5,6,7,8,9,10,11,12,13,14,15,16,17,18,19,20,21,22,23,24,25,26,27,28,29,30}-1)*LEN(Registro!$H785)+1,LEN(Registro!$H785)))," ",REPT(" ",50)),50)))),"Revisar formato"))</f>
        <v/>
      </c>
      <c r="J785" s="24" t="str">
        <f>IF(Registro!$I785="","",IFERROR(SUMPRODUCT(--("0"&amp;TRIM(RIGHT(SUBSTITUTE(TRIM(MID(SUBSTITUTE(SUBSTITUTE(Registro!$I785,";",CHAR(10)),CHAR(10),REPT(" ",LEN(Registro!$I785))),({1,2,3,4,5,6,7,8,9,10,11,12,13,14,15,16,17,18,19,20,21,22,23,24,25,26,27,28,29,30}-1)*LEN(Registro!$I785)+1,LEN(Registro!$I785)))," ",REPT(" ",50)),50)))),"Revisar formato"))</f>
        <v/>
      </c>
      <c r="K785" s="24" t="str">
        <f>IF(AND(Registro!$G785="",Registro!$H785=""),"",IF(AND(ISTEXT(I785),I785&lt;&gt;""),"Revisar formato",N(Registro!$G785)-N(I785)))</f>
        <v/>
      </c>
      <c r="L785" s="24" t="str">
        <f t="shared" si="25"/>
        <v/>
      </c>
      <c r="M785" s="36" t="str">
        <f>IF(AND(A785=Consulta!$B$3,C785=Consulta!$H$3),B785*10000+ROW(),"")</f>
        <v/>
      </c>
    </row>
    <row r="786" spans="1:13" x14ac:dyDescent="0.25">
      <c r="A786" s="21" t="str">
        <f>IF(Registro!$A786="","",Registro!$A786)</f>
        <v/>
      </c>
      <c r="B786" s="20" t="str">
        <f>IF(Registro!$B786="","",Registro!$B786)</f>
        <v/>
      </c>
      <c r="C786" s="35" t="str">
        <f t="shared" si="24"/>
        <v/>
      </c>
      <c r="D786" s="23" t="str">
        <f>IF(Registro!$E786="","",IF(ISERROR(FIND("x",LOWER(Registro!$E786))),"-",IFERROR(SUMPRODUCT(--("0"&amp;LEFT(TRIM(MID(SUBSTITUTE(SUBSTITUTE(SUBSTITUTE(SUBSTITUTE(SUBSTITUTE(LOWER(Registro!$E786),"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",LEN(Registro!$E786))),({1,2,3,4,5,6,7,8,9,10,11,12,13,14,15,16,17,18,19,20,21,22,23,24,25,26,27,28,29,30}-1)*LEN(Registro!$E786)+1,LEN(Registro!$E786))),FIND("x",TRIM(MID(SUBSTITUTE(SUBSTITUTE(SUBSTITUTE(SUBSTITUTE(SUBSTITUTE(LOWER(Registro!$E786),"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",LEN(Registro!$E786))),({1,2,3,4,5,6,7,8,9,10,11,12,13,14,15,16,17,18,19,20,21,22,23,24,25,26,27,28,29,30}-1)*LEN(Registro!$E786)+1,LEN(Registro!$E786)))&amp;"x")-1))),"Revisar formato")))</f>
        <v/>
      </c>
      <c r="E786" s="24" t="str">
        <f>IF(Registro!$E786="","",IF(ISERROR(FIND("x",LOWER(Registro!$E786))),"-",IFERROR(SUMPRODUCT(--("0"&amp;LEFT(TRIM(MID(SUBSTITUTE(SUBSTITUTE(SUBSTITUTE(SUBSTITUTE(SUBSTITUTE(LOWER(Registro!$E786),"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",LEN(Registro!$E786))),({1,2,3,4,5,6,7,8,9,10,11,12,13,14,15,16,17,18,19,20,21,22,23,24,25,26,27,28,29,30}-1)*LEN(Registro!$E786)+1,LEN(Registro!$E786))),FIND("x",TRIM(MID(SUBSTITUTE(SUBSTITUTE(SUBSTITUTE(SUBSTITUTE(SUBSTITUTE(LOWER(Registro!$E786),"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",LEN(Registro!$E786))),({1,2,3,4,5,6,7,8,9,10,11,12,13,14,15,16,17,18,19,20,21,22,23,24,25,26,27,28,29,30}-1)*LEN(Registro!$E786)+1,LEN(Registro!$E786)))&amp;"x")-1)),--("0"&amp;MID(TRIM(MID(SUBSTITUTE(SUBSTITUTE(SUBSTITUTE(SUBSTITUTE(SUBSTITUTE(LOWER(Registro!$E786),"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",LEN(Registro!$E786))),({1,2,3,4,5,6,7,8,9,10,11,12,13,14,15,16,17,18,19,20,21,22,23,24,25,26,27,28,29,30}-1)*LEN(Registro!$E786)+1,LEN(Registro!$E786))),FIND("x",TRIM(MID(SUBSTITUTE(SUBSTITUTE(SUBSTITUTE(SUBSTITUTE(SUBSTITUTE(LOWER(Registro!$E786),"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",LEN(Registro!$E786))),({1,2,3,4,5,6,7,8,9,10,11,12,13,14,15,16,17,18,19,20,21,22,23,24,25,26,27,28,29,30}-1)*LEN(Registro!$E786)+1,LEN(Registro!$E786)))&amp;"x")+1,20))),"Revisar formato")))</f>
        <v/>
      </c>
      <c r="F786" s="23" t="str">
        <f>IF(Registro!$F786="","",IF(ISERROR(FIND("x",LOWER(Registro!$F786))),"-",IFERROR(SUMPRODUCT(--("0"&amp;LEFT(TRIM(MID(SUBSTITUTE(SUBSTITUTE(SUBSTITUTE(SUBSTITUTE(SUBSTITUTE(LOWER(Registro!$F786)," ",""),CHAR(10),"|"),";","|"),"+","|"),"|",REPT(" ",LEN(Registro!$F786))),({1,2,3,4,5,6,7,8,9,10,11,12,13,14,15,16,17,18,19,20,21,22,23,24,25,26,27,28,29,30}-1)*LEN(Registro!$F786)+1,LEN(Registro!$F786))),FIND("x",TRIM(MID(SUBSTITUTE(SUBSTITUTE(SUBSTITUTE(SUBSTITUTE(SUBSTITUTE(LOWER(Registro!$F786)," ",""),CHAR(10),"|"),";","|"),"+","|"),"|",REPT(" ",LEN(Registro!$F786))),({1,2,3,4,5,6,7,8,9,10,11,12,13,14,15,16,17,18,19,20,21,22,23,24,25,26,27,28,29,30}-1)*LEN(Registro!$F786)+1,LEN(Registro!$F786)))&amp;"x")-1))),"Revisar formato")))</f>
        <v/>
      </c>
      <c r="G786" s="24" t="str">
        <f>IF(Registro!$F786="","",IF(ISERROR(FIND("x",LOWER(Registro!$F786))),N(Registro!$G786),IFERROR(SUMPRODUCT(--("0"&amp;LEFT(TRIM(MID(SUBSTITUTE(SUBSTITUTE(SUBSTITUTE(SUBSTITUTE(SUBSTITUTE(LOWER(Registro!$F786)," ",""),CHAR(10),"|"),";","|"),"+","|"),"|",REPT(" ",LEN(Registro!$F786))),({1,2,3,4,5,6,7,8,9,10,11,12,13,14,15,16,17,18,19,20,21,22,23,24,25,26,27,28,29,30}-1)*LEN(Registro!$F786)+1,LEN(Registro!$F786))),FIND("x",TRIM(MID(SUBSTITUTE(SUBSTITUTE(SUBSTITUTE(SUBSTITUTE(SUBSTITUTE(LOWER(Registro!$F786)," ",""),CHAR(10),"|"),";","|"),"+","|"),"|",REPT(" ",LEN(Registro!$F786))),({1,2,3,4,5,6,7,8,9,10,11,12,13,14,15,16,17,18,19,20,21,22,23,24,25,26,27,28,29,30}-1)*LEN(Registro!$F786)+1,LEN(Registro!$F786)))&amp;"x")-1)),--("0"&amp;MID(TRIM(MID(SUBSTITUTE(SUBSTITUTE(SUBSTITUTE(SUBSTITUTE(SUBSTITUTE(LOWER(Registro!$F786)," ",""),CHAR(10),"|"),";","|"),"+","|"),"|",REPT(" ",LEN(Registro!$F786))),({1,2,3,4,5,6,7,8,9,10,11,12,13,14,15,16,17,18,19,20,21,22,23,24,25,26,27,28,29,30}-1)*LEN(Registro!$F786)+1,LEN(Registro!$F786))),FIND("x",TRIM(MID(SUBSTITUTE(SUBSTITUTE(SUBSTITUTE(SUBSTITUTE(SUBSTITUTE(LOWER(Registro!$F786)," ",""),CHAR(10),"|"),";","|"),"+","|"),"|",REPT(" ",LEN(Registro!$F786))),({1,2,3,4,5,6,7,8,9,10,11,12,13,14,15,16,17,18,19,20,21,22,23,24,25,26,27,28,29,30}-1)*LEN(Registro!$F786)+1,LEN(Registro!$F786)))&amp;"x")+1,20))),"Revisar formato")))</f>
        <v/>
      </c>
      <c r="H786" s="21" t="str">
        <f>IF(AND(Registro!$E786="",Registro!$F786=""),"",IF(NOT(AND(ISNUMBER(G786),ISNUMBER(Registro!$G786))),"",IF(G786&lt;Registro!$G786,"FALTA BOLETOS",IF(G786=Registro!$G786,"CONFORME","DIFERENCIA"))))</f>
        <v/>
      </c>
      <c r="I786" s="24" t="str">
        <f>IF(Registro!$H786="","",IFERROR(SUMPRODUCT(--("0"&amp;TRIM(RIGHT(SUBSTITUTE(TRIM(MID(SUBSTITUTE(SUBSTITUTE(Registro!$H786,";",CHAR(10)),CHAR(10),REPT(" ",LEN(Registro!$H786))),({1,2,3,4,5,6,7,8,9,10,11,12,13,14,15,16,17,18,19,20,21,22,23,24,25,26,27,28,29,30}-1)*LEN(Registro!$H786)+1,LEN(Registro!$H786)))," ",REPT(" ",50)),50)))),"Revisar formato"))</f>
        <v/>
      </c>
      <c r="J786" s="24" t="str">
        <f>IF(Registro!$I786="","",IFERROR(SUMPRODUCT(--("0"&amp;TRIM(RIGHT(SUBSTITUTE(TRIM(MID(SUBSTITUTE(SUBSTITUTE(Registro!$I786,";",CHAR(10)),CHAR(10),REPT(" ",LEN(Registro!$I786))),({1,2,3,4,5,6,7,8,9,10,11,12,13,14,15,16,17,18,19,20,21,22,23,24,25,26,27,28,29,30}-1)*LEN(Registro!$I786)+1,LEN(Registro!$I786)))," ",REPT(" ",50)),50)))),"Revisar formato"))</f>
        <v/>
      </c>
      <c r="K786" s="24" t="str">
        <f>IF(AND(Registro!$G786="",Registro!$H786=""),"",IF(AND(ISTEXT(I786),I786&lt;&gt;""),"Revisar formato",N(Registro!$G786)-N(I786)))</f>
        <v/>
      </c>
      <c r="L786" s="24" t="str">
        <f t="shared" si="25"/>
        <v/>
      </c>
      <c r="M786" s="36" t="str">
        <f>IF(AND(A786=Consulta!$B$3,C786=Consulta!$H$3),B786*10000+ROW(),"")</f>
        <v/>
      </c>
    </row>
    <row r="787" spans="1:13" x14ac:dyDescent="0.25">
      <c r="A787" s="21" t="str">
        <f>IF(Registro!$A787="","",Registro!$A787)</f>
        <v/>
      </c>
      <c r="B787" s="20" t="str">
        <f>IF(Registro!$B787="","",Registro!$B787)</f>
        <v/>
      </c>
      <c r="C787" s="35" t="str">
        <f t="shared" si="24"/>
        <v/>
      </c>
      <c r="D787" s="23" t="str">
        <f>IF(Registro!$E787="","",IF(ISERROR(FIND("x",LOWER(Registro!$E787))),"-",IFERROR(SUMPRODUCT(--("0"&amp;LEFT(TRIM(MID(SUBSTITUTE(SUBSTITUTE(SUBSTITUTE(SUBSTITUTE(SUBSTITUTE(LOWER(Registro!$E787),"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",LEN(Registro!$E787))),({1,2,3,4,5,6,7,8,9,10,11,12,13,14,15,16,17,18,19,20,21,22,23,24,25,26,27,28,29,30}-1)*LEN(Registro!$E787)+1,LEN(Registro!$E787))),FIND("x",TRIM(MID(SUBSTITUTE(SUBSTITUTE(SUBSTITUTE(SUBSTITUTE(SUBSTITUTE(LOWER(Registro!$E787),"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",LEN(Registro!$E787))),({1,2,3,4,5,6,7,8,9,10,11,12,13,14,15,16,17,18,19,20,21,22,23,24,25,26,27,28,29,30}-1)*LEN(Registro!$E787)+1,LEN(Registro!$E787)))&amp;"x")-1))),"Revisar formato")))</f>
        <v/>
      </c>
      <c r="E787" s="24" t="str">
        <f>IF(Registro!$E787="","",IF(ISERROR(FIND("x",LOWER(Registro!$E787))),"-",IFERROR(SUMPRODUCT(--("0"&amp;LEFT(TRIM(MID(SUBSTITUTE(SUBSTITUTE(SUBSTITUTE(SUBSTITUTE(SUBSTITUTE(LOWER(Registro!$E787),"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",LEN(Registro!$E787))),({1,2,3,4,5,6,7,8,9,10,11,12,13,14,15,16,17,18,19,20,21,22,23,24,25,26,27,28,29,30}-1)*LEN(Registro!$E787)+1,LEN(Registro!$E787))),FIND("x",TRIM(MID(SUBSTITUTE(SUBSTITUTE(SUBSTITUTE(SUBSTITUTE(SUBSTITUTE(LOWER(Registro!$E787),"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",LEN(Registro!$E787))),({1,2,3,4,5,6,7,8,9,10,11,12,13,14,15,16,17,18,19,20,21,22,23,24,25,26,27,28,29,30}-1)*LEN(Registro!$E787)+1,LEN(Registro!$E787)))&amp;"x")-1)),--("0"&amp;MID(TRIM(MID(SUBSTITUTE(SUBSTITUTE(SUBSTITUTE(SUBSTITUTE(SUBSTITUTE(LOWER(Registro!$E787),"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",LEN(Registro!$E787))),({1,2,3,4,5,6,7,8,9,10,11,12,13,14,15,16,17,18,19,20,21,22,23,24,25,26,27,28,29,30}-1)*LEN(Registro!$E787)+1,LEN(Registro!$E787))),FIND("x",TRIM(MID(SUBSTITUTE(SUBSTITUTE(SUBSTITUTE(SUBSTITUTE(SUBSTITUTE(LOWER(Registro!$E787),"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",LEN(Registro!$E787))),({1,2,3,4,5,6,7,8,9,10,11,12,13,14,15,16,17,18,19,20,21,22,23,24,25,26,27,28,29,30}-1)*LEN(Registro!$E787)+1,LEN(Registro!$E787)))&amp;"x")+1,20))),"Revisar formato")))</f>
        <v/>
      </c>
      <c r="F787" s="23" t="str">
        <f>IF(Registro!$F787="","",IF(ISERROR(FIND("x",LOWER(Registro!$F787))),"-",IFERROR(SUMPRODUCT(--("0"&amp;LEFT(TRIM(MID(SUBSTITUTE(SUBSTITUTE(SUBSTITUTE(SUBSTITUTE(SUBSTITUTE(LOWER(Registro!$F787)," ",""),CHAR(10),"|"),";","|"),"+","|"),"|",REPT(" ",LEN(Registro!$F787))),({1,2,3,4,5,6,7,8,9,10,11,12,13,14,15,16,17,18,19,20,21,22,23,24,25,26,27,28,29,30}-1)*LEN(Registro!$F787)+1,LEN(Registro!$F787))),FIND("x",TRIM(MID(SUBSTITUTE(SUBSTITUTE(SUBSTITUTE(SUBSTITUTE(SUBSTITUTE(LOWER(Registro!$F787)," ",""),CHAR(10),"|"),";","|"),"+","|"),"|",REPT(" ",LEN(Registro!$F787))),({1,2,3,4,5,6,7,8,9,10,11,12,13,14,15,16,17,18,19,20,21,22,23,24,25,26,27,28,29,30}-1)*LEN(Registro!$F787)+1,LEN(Registro!$F787)))&amp;"x")-1))),"Revisar formato")))</f>
        <v/>
      </c>
      <c r="G787" s="24" t="str">
        <f>IF(Registro!$F787="","",IF(ISERROR(FIND("x",LOWER(Registro!$F787))),N(Registro!$G787),IFERROR(SUMPRODUCT(--("0"&amp;LEFT(TRIM(MID(SUBSTITUTE(SUBSTITUTE(SUBSTITUTE(SUBSTITUTE(SUBSTITUTE(LOWER(Registro!$F787)," ",""),CHAR(10),"|"),";","|"),"+","|"),"|",REPT(" ",LEN(Registro!$F787))),({1,2,3,4,5,6,7,8,9,10,11,12,13,14,15,16,17,18,19,20,21,22,23,24,25,26,27,28,29,30}-1)*LEN(Registro!$F787)+1,LEN(Registro!$F787))),FIND("x",TRIM(MID(SUBSTITUTE(SUBSTITUTE(SUBSTITUTE(SUBSTITUTE(SUBSTITUTE(LOWER(Registro!$F787)," ",""),CHAR(10),"|"),";","|"),"+","|"),"|",REPT(" ",LEN(Registro!$F787))),({1,2,3,4,5,6,7,8,9,10,11,12,13,14,15,16,17,18,19,20,21,22,23,24,25,26,27,28,29,30}-1)*LEN(Registro!$F787)+1,LEN(Registro!$F787)))&amp;"x")-1)),--("0"&amp;MID(TRIM(MID(SUBSTITUTE(SUBSTITUTE(SUBSTITUTE(SUBSTITUTE(SUBSTITUTE(LOWER(Registro!$F787)," ",""),CHAR(10),"|"),";","|"),"+","|"),"|",REPT(" ",LEN(Registro!$F787))),({1,2,3,4,5,6,7,8,9,10,11,12,13,14,15,16,17,18,19,20,21,22,23,24,25,26,27,28,29,30}-1)*LEN(Registro!$F787)+1,LEN(Registro!$F787))),FIND("x",TRIM(MID(SUBSTITUTE(SUBSTITUTE(SUBSTITUTE(SUBSTITUTE(SUBSTITUTE(LOWER(Registro!$F787)," ",""),CHAR(10),"|"),";","|"),"+","|"),"|",REPT(" ",LEN(Registro!$F787))),({1,2,3,4,5,6,7,8,9,10,11,12,13,14,15,16,17,18,19,20,21,22,23,24,25,26,27,28,29,30}-1)*LEN(Registro!$F787)+1,LEN(Registro!$F787)))&amp;"x")+1,20))),"Revisar formato")))</f>
        <v/>
      </c>
      <c r="H787" s="21" t="str">
        <f>IF(AND(Registro!$E787="",Registro!$F787=""),"",IF(NOT(AND(ISNUMBER(G787),ISNUMBER(Registro!$G787))),"",IF(G787&lt;Registro!$G787,"FALTA BOLETOS",IF(G787=Registro!$G787,"CONFORME","DIFERENCIA"))))</f>
        <v/>
      </c>
      <c r="I787" s="24" t="str">
        <f>IF(Registro!$H787="","",IFERROR(SUMPRODUCT(--("0"&amp;TRIM(RIGHT(SUBSTITUTE(TRIM(MID(SUBSTITUTE(SUBSTITUTE(Registro!$H787,";",CHAR(10)),CHAR(10),REPT(" ",LEN(Registro!$H787))),({1,2,3,4,5,6,7,8,9,10,11,12,13,14,15,16,17,18,19,20,21,22,23,24,25,26,27,28,29,30}-1)*LEN(Registro!$H787)+1,LEN(Registro!$H787)))," ",REPT(" ",50)),50)))),"Revisar formato"))</f>
        <v/>
      </c>
      <c r="J787" s="24" t="str">
        <f>IF(Registro!$I787="","",IFERROR(SUMPRODUCT(--("0"&amp;TRIM(RIGHT(SUBSTITUTE(TRIM(MID(SUBSTITUTE(SUBSTITUTE(Registro!$I787,";",CHAR(10)),CHAR(10),REPT(" ",LEN(Registro!$I787))),({1,2,3,4,5,6,7,8,9,10,11,12,13,14,15,16,17,18,19,20,21,22,23,24,25,26,27,28,29,30}-1)*LEN(Registro!$I787)+1,LEN(Registro!$I787)))," ",REPT(" ",50)),50)))),"Revisar formato"))</f>
        <v/>
      </c>
      <c r="K787" s="24" t="str">
        <f>IF(AND(Registro!$G787="",Registro!$H787=""),"",IF(AND(ISTEXT(I787),I787&lt;&gt;""),"Revisar formato",N(Registro!$G787)-N(I787)))</f>
        <v/>
      </c>
      <c r="L787" s="24" t="str">
        <f t="shared" si="25"/>
        <v/>
      </c>
      <c r="M787" s="36" t="str">
        <f>IF(AND(A787=Consulta!$B$3,C787=Consulta!$H$3),B787*10000+ROW(),"")</f>
        <v/>
      </c>
    </row>
    <row r="788" spans="1:13" x14ac:dyDescent="0.25">
      <c r="A788" s="21" t="str">
        <f>IF(Registro!$A788="","",Registro!$A788)</f>
        <v/>
      </c>
      <c r="B788" s="20" t="str">
        <f>IF(Registro!$B788="","",Registro!$B788)</f>
        <v/>
      </c>
      <c r="C788" s="35" t="str">
        <f t="shared" si="24"/>
        <v/>
      </c>
      <c r="D788" s="23" t="str">
        <f>IF(Registro!$E788="","",IF(ISERROR(FIND("x",LOWER(Registro!$E788))),"-",IFERROR(SUMPRODUCT(--("0"&amp;LEFT(TRIM(MID(SUBSTITUTE(SUBSTITUTE(SUBSTITUTE(SUBSTITUTE(SUBSTITUTE(LOWER(Registro!$E788),"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",LEN(Registro!$E788))),({1,2,3,4,5,6,7,8,9,10,11,12,13,14,15,16,17,18,19,20,21,22,23,24,25,26,27,28,29,30}-1)*LEN(Registro!$E788)+1,LEN(Registro!$E788))),FIND("x",TRIM(MID(SUBSTITUTE(SUBSTITUTE(SUBSTITUTE(SUBSTITUTE(SUBSTITUTE(LOWER(Registro!$E788),"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",LEN(Registro!$E788))),({1,2,3,4,5,6,7,8,9,10,11,12,13,14,15,16,17,18,19,20,21,22,23,24,25,26,27,28,29,30}-1)*LEN(Registro!$E788)+1,LEN(Registro!$E788)))&amp;"x")-1))),"Revisar formato")))</f>
        <v/>
      </c>
      <c r="E788" s="24" t="str">
        <f>IF(Registro!$E788="","",IF(ISERROR(FIND("x",LOWER(Registro!$E788))),"-",IFERROR(SUMPRODUCT(--("0"&amp;LEFT(TRIM(MID(SUBSTITUTE(SUBSTITUTE(SUBSTITUTE(SUBSTITUTE(SUBSTITUTE(LOWER(Registro!$E788),"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",LEN(Registro!$E788))),({1,2,3,4,5,6,7,8,9,10,11,12,13,14,15,16,17,18,19,20,21,22,23,24,25,26,27,28,29,30}-1)*LEN(Registro!$E788)+1,LEN(Registro!$E788))),FIND("x",TRIM(MID(SUBSTITUTE(SUBSTITUTE(SUBSTITUTE(SUBSTITUTE(SUBSTITUTE(LOWER(Registro!$E788),"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",LEN(Registro!$E788))),({1,2,3,4,5,6,7,8,9,10,11,12,13,14,15,16,17,18,19,20,21,22,23,24,25,26,27,28,29,30}-1)*LEN(Registro!$E788)+1,LEN(Registro!$E788)))&amp;"x")-1)),--("0"&amp;MID(TRIM(MID(SUBSTITUTE(SUBSTITUTE(SUBSTITUTE(SUBSTITUTE(SUBSTITUTE(LOWER(Registro!$E788),"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",LEN(Registro!$E788))),({1,2,3,4,5,6,7,8,9,10,11,12,13,14,15,16,17,18,19,20,21,22,23,24,25,26,27,28,29,30}-1)*LEN(Registro!$E788)+1,LEN(Registro!$E788))),FIND("x",TRIM(MID(SUBSTITUTE(SUBSTITUTE(SUBSTITUTE(SUBSTITUTE(SUBSTITUTE(LOWER(Registro!$E788),"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",LEN(Registro!$E788))),({1,2,3,4,5,6,7,8,9,10,11,12,13,14,15,16,17,18,19,20,21,22,23,24,25,26,27,28,29,30}-1)*LEN(Registro!$E788)+1,LEN(Registro!$E788)))&amp;"x")+1,20))),"Revisar formato")))</f>
        <v/>
      </c>
      <c r="F788" s="23" t="str">
        <f>IF(Registro!$F788="","",IF(ISERROR(FIND("x",LOWER(Registro!$F788))),"-",IFERROR(SUMPRODUCT(--("0"&amp;LEFT(TRIM(MID(SUBSTITUTE(SUBSTITUTE(SUBSTITUTE(SUBSTITUTE(SUBSTITUTE(LOWER(Registro!$F788)," ",""),CHAR(10),"|"),";","|"),"+","|"),"|",REPT(" ",LEN(Registro!$F788))),({1,2,3,4,5,6,7,8,9,10,11,12,13,14,15,16,17,18,19,20,21,22,23,24,25,26,27,28,29,30}-1)*LEN(Registro!$F788)+1,LEN(Registro!$F788))),FIND("x",TRIM(MID(SUBSTITUTE(SUBSTITUTE(SUBSTITUTE(SUBSTITUTE(SUBSTITUTE(LOWER(Registro!$F788)," ",""),CHAR(10),"|"),";","|"),"+","|"),"|",REPT(" ",LEN(Registro!$F788))),({1,2,3,4,5,6,7,8,9,10,11,12,13,14,15,16,17,18,19,20,21,22,23,24,25,26,27,28,29,30}-1)*LEN(Registro!$F788)+1,LEN(Registro!$F788)))&amp;"x")-1))),"Revisar formato")))</f>
        <v/>
      </c>
      <c r="G788" s="24" t="str">
        <f>IF(Registro!$F788="","",IF(ISERROR(FIND("x",LOWER(Registro!$F788))),N(Registro!$G788),IFERROR(SUMPRODUCT(--("0"&amp;LEFT(TRIM(MID(SUBSTITUTE(SUBSTITUTE(SUBSTITUTE(SUBSTITUTE(SUBSTITUTE(LOWER(Registro!$F788)," ",""),CHAR(10),"|"),";","|"),"+","|"),"|",REPT(" ",LEN(Registro!$F788))),({1,2,3,4,5,6,7,8,9,10,11,12,13,14,15,16,17,18,19,20,21,22,23,24,25,26,27,28,29,30}-1)*LEN(Registro!$F788)+1,LEN(Registro!$F788))),FIND("x",TRIM(MID(SUBSTITUTE(SUBSTITUTE(SUBSTITUTE(SUBSTITUTE(SUBSTITUTE(LOWER(Registro!$F788)," ",""),CHAR(10),"|"),";","|"),"+","|"),"|",REPT(" ",LEN(Registro!$F788))),({1,2,3,4,5,6,7,8,9,10,11,12,13,14,15,16,17,18,19,20,21,22,23,24,25,26,27,28,29,30}-1)*LEN(Registro!$F788)+1,LEN(Registro!$F788)))&amp;"x")-1)),--("0"&amp;MID(TRIM(MID(SUBSTITUTE(SUBSTITUTE(SUBSTITUTE(SUBSTITUTE(SUBSTITUTE(LOWER(Registro!$F788)," ",""),CHAR(10),"|"),";","|"),"+","|"),"|",REPT(" ",LEN(Registro!$F788))),({1,2,3,4,5,6,7,8,9,10,11,12,13,14,15,16,17,18,19,20,21,22,23,24,25,26,27,28,29,30}-1)*LEN(Registro!$F788)+1,LEN(Registro!$F788))),FIND("x",TRIM(MID(SUBSTITUTE(SUBSTITUTE(SUBSTITUTE(SUBSTITUTE(SUBSTITUTE(LOWER(Registro!$F788)," ",""),CHAR(10),"|"),";","|"),"+","|"),"|",REPT(" ",LEN(Registro!$F788))),({1,2,3,4,5,6,7,8,9,10,11,12,13,14,15,16,17,18,19,20,21,22,23,24,25,26,27,28,29,30}-1)*LEN(Registro!$F788)+1,LEN(Registro!$F788)))&amp;"x")+1,20))),"Revisar formato")))</f>
        <v/>
      </c>
      <c r="H788" s="21" t="str">
        <f>IF(AND(Registro!$E788="",Registro!$F788=""),"",IF(NOT(AND(ISNUMBER(G788),ISNUMBER(Registro!$G788))),"",IF(G788&lt;Registro!$G788,"FALTA BOLETOS",IF(G788=Registro!$G788,"CONFORME","DIFERENCIA"))))</f>
        <v/>
      </c>
      <c r="I788" s="24" t="str">
        <f>IF(Registro!$H788="","",IFERROR(SUMPRODUCT(--("0"&amp;TRIM(RIGHT(SUBSTITUTE(TRIM(MID(SUBSTITUTE(SUBSTITUTE(Registro!$H788,";",CHAR(10)),CHAR(10),REPT(" ",LEN(Registro!$H788))),({1,2,3,4,5,6,7,8,9,10,11,12,13,14,15,16,17,18,19,20,21,22,23,24,25,26,27,28,29,30}-1)*LEN(Registro!$H788)+1,LEN(Registro!$H788)))," ",REPT(" ",50)),50)))),"Revisar formato"))</f>
        <v/>
      </c>
      <c r="J788" s="24" t="str">
        <f>IF(Registro!$I788="","",IFERROR(SUMPRODUCT(--("0"&amp;TRIM(RIGHT(SUBSTITUTE(TRIM(MID(SUBSTITUTE(SUBSTITUTE(Registro!$I788,";",CHAR(10)),CHAR(10),REPT(" ",LEN(Registro!$I788))),({1,2,3,4,5,6,7,8,9,10,11,12,13,14,15,16,17,18,19,20,21,22,23,24,25,26,27,28,29,30}-1)*LEN(Registro!$I788)+1,LEN(Registro!$I788)))," ",REPT(" ",50)),50)))),"Revisar formato"))</f>
        <v/>
      </c>
      <c r="K788" s="24" t="str">
        <f>IF(AND(Registro!$G788="",Registro!$H788=""),"",IF(AND(ISTEXT(I788),I788&lt;&gt;""),"Revisar formato",N(Registro!$G788)-N(I788)))</f>
        <v/>
      </c>
      <c r="L788" s="24" t="str">
        <f t="shared" si="25"/>
        <v/>
      </c>
      <c r="M788" s="36" t="str">
        <f>IF(AND(A788=Consulta!$B$3,C788=Consulta!$H$3),B788*10000+ROW(),"")</f>
        <v/>
      </c>
    </row>
    <row r="789" spans="1:13" x14ac:dyDescent="0.25">
      <c r="A789" s="21" t="str">
        <f>IF(Registro!$A789="","",Registro!$A789)</f>
        <v/>
      </c>
      <c r="B789" s="20" t="str">
        <f>IF(Registro!$B789="","",Registro!$B789)</f>
        <v/>
      </c>
      <c r="C789" s="35" t="str">
        <f t="shared" si="24"/>
        <v/>
      </c>
      <c r="D789" s="23" t="str">
        <f>IF(Registro!$E789="","",IF(ISERROR(FIND("x",LOWER(Registro!$E789))),"-",IFERROR(SUMPRODUCT(--("0"&amp;LEFT(TRIM(MID(SUBSTITUTE(SUBSTITUTE(SUBSTITUTE(SUBSTITUTE(SUBSTITUTE(LOWER(Registro!$E789),"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",LEN(Registro!$E789))),({1,2,3,4,5,6,7,8,9,10,11,12,13,14,15,16,17,18,19,20,21,22,23,24,25,26,27,28,29,30}-1)*LEN(Registro!$E789)+1,LEN(Registro!$E789))),FIND("x",TRIM(MID(SUBSTITUTE(SUBSTITUTE(SUBSTITUTE(SUBSTITUTE(SUBSTITUTE(LOWER(Registro!$E789),"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",LEN(Registro!$E789))),({1,2,3,4,5,6,7,8,9,10,11,12,13,14,15,16,17,18,19,20,21,22,23,24,25,26,27,28,29,30}-1)*LEN(Registro!$E789)+1,LEN(Registro!$E789)))&amp;"x")-1))),"Revisar formato")))</f>
        <v/>
      </c>
      <c r="E789" s="24" t="str">
        <f>IF(Registro!$E789="","",IF(ISERROR(FIND("x",LOWER(Registro!$E789))),"-",IFERROR(SUMPRODUCT(--("0"&amp;LEFT(TRIM(MID(SUBSTITUTE(SUBSTITUTE(SUBSTITUTE(SUBSTITUTE(SUBSTITUTE(LOWER(Registro!$E789),"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",LEN(Registro!$E789))),({1,2,3,4,5,6,7,8,9,10,11,12,13,14,15,16,17,18,19,20,21,22,23,24,25,26,27,28,29,30}-1)*LEN(Registro!$E789)+1,LEN(Registro!$E789))),FIND("x",TRIM(MID(SUBSTITUTE(SUBSTITUTE(SUBSTITUTE(SUBSTITUTE(SUBSTITUTE(LOWER(Registro!$E789),"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",LEN(Registro!$E789))),({1,2,3,4,5,6,7,8,9,10,11,12,13,14,15,16,17,18,19,20,21,22,23,24,25,26,27,28,29,30}-1)*LEN(Registro!$E789)+1,LEN(Registro!$E789)))&amp;"x")-1)),--("0"&amp;MID(TRIM(MID(SUBSTITUTE(SUBSTITUTE(SUBSTITUTE(SUBSTITUTE(SUBSTITUTE(LOWER(Registro!$E789),"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",LEN(Registro!$E789))),({1,2,3,4,5,6,7,8,9,10,11,12,13,14,15,16,17,18,19,20,21,22,23,24,25,26,27,28,29,30}-1)*LEN(Registro!$E789)+1,LEN(Registro!$E789))),FIND("x",TRIM(MID(SUBSTITUTE(SUBSTITUTE(SUBSTITUTE(SUBSTITUTE(SUBSTITUTE(LOWER(Registro!$E789),"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",LEN(Registro!$E789))),({1,2,3,4,5,6,7,8,9,10,11,12,13,14,15,16,17,18,19,20,21,22,23,24,25,26,27,28,29,30}-1)*LEN(Registro!$E789)+1,LEN(Registro!$E789)))&amp;"x")+1,20))),"Revisar formato")))</f>
        <v/>
      </c>
      <c r="F789" s="23" t="str">
        <f>IF(Registro!$F789="","",IF(ISERROR(FIND("x",LOWER(Registro!$F789))),"-",IFERROR(SUMPRODUCT(--("0"&amp;LEFT(TRIM(MID(SUBSTITUTE(SUBSTITUTE(SUBSTITUTE(SUBSTITUTE(SUBSTITUTE(LOWER(Registro!$F789)," ",""),CHAR(10),"|"),";","|"),"+","|"),"|",REPT(" ",LEN(Registro!$F789))),({1,2,3,4,5,6,7,8,9,10,11,12,13,14,15,16,17,18,19,20,21,22,23,24,25,26,27,28,29,30}-1)*LEN(Registro!$F789)+1,LEN(Registro!$F789))),FIND("x",TRIM(MID(SUBSTITUTE(SUBSTITUTE(SUBSTITUTE(SUBSTITUTE(SUBSTITUTE(LOWER(Registro!$F789)," ",""),CHAR(10),"|"),";","|"),"+","|"),"|",REPT(" ",LEN(Registro!$F789))),({1,2,3,4,5,6,7,8,9,10,11,12,13,14,15,16,17,18,19,20,21,22,23,24,25,26,27,28,29,30}-1)*LEN(Registro!$F789)+1,LEN(Registro!$F789)))&amp;"x")-1))),"Revisar formato")))</f>
        <v/>
      </c>
      <c r="G789" s="24" t="str">
        <f>IF(Registro!$F789="","",IF(ISERROR(FIND("x",LOWER(Registro!$F789))),N(Registro!$G789),IFERROR(SUMPRODUCT(--("0"&amp;LEFT(TRIM(MID(SUBSTITUTE(SUBSTITUTE(SUBSTITUTE(SUBSTITUTE(SUBSTITUTE(LOWER(Registro!$F789)," ",""),CHAR(10),"|"),";","|"),"+","|"),"|",REPT(" ",LEN(Registro!$F789))),({1,2,3,4,5,6,7,8,9,10,11,12,13,14,15,16,17,18,19,20,21,22,23,24,25,26,27,28,29,30}-1)*LEN(Registro!$F789)+1,LEN(Registro!$F789))),FIND("x",TRIM(MID(SUBSTITUTE(SUBSTITUTE(SUBSTITUTE(SUBSTITUTE(SUBSTITUTE(LOWER(Registro!$F789)," ",""),CHAR(10),"|"),";","|"),"+","|"),"|",REPT(" ",LEN(Registro!$F789))),({1,2,3,4,5,6,7,8,9,10,11,12,13,14,15,16,17,18,19,20,21,22,23,24,25,26,27,28,29,30}-1)*LEN(Registro!$F789)+1,LEN(Registro!$F789)))&amp;"x")-1)),--("0"&amp;MID(TRIM(MID(SUBSTITUTE(SUBSTITUTE(SUBSTITUTE(SUBSTITUTE(SUBSTITUTE(LOWER(Registro!$F789)," ",""),CHAR(10),"|"),";","|"),"+","|"),"|",REPT(" ",LEN(Registro!$F789))),({1,2,3,4,5,6,7,8,9,10,11,12,13,14,15,16,17,18,19,20,21,22,23,24,25,26,27,28,29,30}-1)*LEN(Registro!$F789)+1,LEN(Registro!$F789))),FIND("x",TRIM(MID(SUBSTITUTE(SUBSTITUTE(SUBSTITUTE(SUBSTITUTE(SUBSTITUTE(LOWER(Registro!$F789)," ",""),CHAR(10),"|"),";","|"),"+","|"),"|",REPT(" ",LEN(Registro!$F789))),({1,2,3,4,5,6,7,8,9,10,11,12,13,14,15,16,17,18,19,20,21,22,23,24,25,26,27,28,29,30}-1)*LEN(Registro!$F789)+1,LEN(Registro!$F789)))&amp;"x")+1,20))),"Revisar formato")))</f>
        <v/>
      </c>
      <c r="H789" s="21" t="str">
        <f>IF(AND(Registro!$E789="",Registro!$F789=""),"",IF(NOT(AND(ISNUMBER(G789),ISNUMBER(Registro!$G789))),"",IF(G789&lt;Registro!$G789,"FALTA BOLETOS",IF(G789=Registro!$G789,"CONFORME","DIFERENCIA"))))</f>
        <v/>
      </c>
      <c r="I789" s="24" t="str">
        <f>IF(Registro!$H789="","",IFERROR(SUMPRODUCT(--("0"&amp;TRIM(RIGHT(SUBSTITUTE(TRIM(MID(SUBSTITUTE(SUBSTITUTE(Registro!$H789,";",CHAR(10)),CHAR(10),REPT(" ",LEN(Registro!$H789))),({1,2,3,4,5,6,7,8,9,10,11,12,13,14,15,16,17,18,19,20,21,22,23,24,25,26,27,28,29,30}-1)*LEN(Registro!$H789)+1,LEN(Registro!$H789)))," ",REPT(" ",50)),50)))),"Revisar formato"))</f>
        <v/>
      </c>
      <c r="J789" s="24" t="str">
        <f>IF(Registro!$I789="","",IFERROR(SUMPRODUCT(--("0"&amp;TRIM(RIGHT(SUBSTITUTE(TRIM(MID(SUBSTITUTE(SUBSTITUTE(Registro!$I789,";",CHAR(10)),CHAR(10),REPT(" ",LEN(Registro!$I789))),({1,2,3,4,5,6,7,8,9,10,11,12,13,14,15,16,17,18,19,20,21,22,23,24,25,26,27,28,29,30}-1)*LEN(Registro!$I789)+1,LEN(Registro!$I789)))," ",REPT(" ",50)),50)))),"Revisar formato"))</f>
        <v/>
      </c>
      <c r="K789" s="24" t="str">
        <f>IF(AND(Registro!$G789="",Registro!$H789=""),"",IF(AND(ISTEXT(I789),I789&lt;&gt;""),"Revisar formato",N(Registro!$G789)-N(I789)))</f>
        <v/>
      </c>
      <c r="L789" s="24" t="str">
        <f t="shared" si="25"/>
        <v/>
      </c>
      <c r="M789" s="36" t="str">
        <f>IF(AND(A789=Consulta!$B$3,C789=Consulta!$H$3),B789*10000+ROW(),"")</f>
        <v/>
      </c>
    </row>
    <row r="790" spans="1:13" x14ac:dyDescent="0.25">
      <c r="A790" s="21" t="str">
        <f>IF(Registro!$A790="","",Registro!$A790)</f>
        <v/>
      </c>
      <c r="B790" s="20" t="str">
        <f>IF(Registro!$B790="","",Registro!$B790)</f>
        <v/>
      </c>
      <c r="C790" s="35" t="str">
        <f t="shared" si="24"/>
        <v/>
      </c>
      <c r="D790" s="23" t="str">
        <f>IF(Registro!$E790="","",IF(ISERROR(FIND("x",LOWER(Registro!$E790))),"-",IFERROR(SUMPRODUCT(--("0"&amp;LEFT(TRIM(MID(SUBSTITUTE(SUBSTITUTE(SUBSTITUTE(SUBSTITUTE(SUBSTITUTE(LOWER(Registro!$E790),"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",LEN(Registro!$E790))),({1,2,3,4,5,6,7,8,9,10,11,12,13,14,15,16,17,18,19,20,21,22,23,24,25,26,27,28,29,30}-1)*LEN(Registro!$E790)+1,LEN(Registro!$E790))),FIND("x",TRIM(MID(SUBSTITUTE(SUBSTITUTE(SUBSTITUTE(SUBSTITUTE(SUBSTITUTE(LOWER(Registro!$E790),"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",LEN(Registro!$E790))),({1,2,3,4,5,6,7,8,9,10,11,12,13,14,15,16,17,18,19,20,21,22,23,24,25,26,27,28,29,30}-1)*LEN(Registro!$E790)+1,LEN(Registro!$E790)))&amp;"x")-1))),"Revisar formato")))</f>
        <v/>
      </c>
      <c r="E790" s="24" t="str">
        <f>IF(Registro!$E790="","",IF(ISERROR(FIND("x",LOWER(Registro!$E790))),"-",IFERROR(SUMPRODUCT(--("0"&amp;LEFT(TRIM(MID(SUBSTITUTE(SUBSTITUTE(SUBSTITUTE(SUBSTITUTE(SUBSTITUTE(LOWER(Registro!$E790),"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",LEN(Registro!$E790))),({1,2,3,4,5,6,7,8,9,10,11,12,13,14,15,16,17,18,19,20,21,22,23,24,25,26,27,28,29,30}-1)*LEN(Registro!$E790)+1,LEN(Registro!$E790))),FIND("x",TRIM(MID(SUBSTITUTE(SUBSTITUTE(SUBSTITUTE(SUBSTITUTE(SUBSTITUTE(LOWER(Registro!$E790),"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",LEN(Registro!$E790))),({1,2,3,4,5,6,7,8,9,10,11,12,13,14,15,16,17,18,19,20,21,22,23,24,25,26,27,28,29,30}-1)*LEN(Registro!$E790)+1,LEN(Registro!$E790)))&amp;"x")-1)),--("0"&amp;MID(TRIM(MID(SUBSTITUTE(SUBSTITUTE(SUBSTITUTE(SUBSTITUTE(SUBSTITUTE(LOWER(Registro!$E790),"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",LEN(Registro!$E790))),({1,2,3,4,5,6,7,8,9,10,11,12,13,14,15,16,17,18,19,20,21,22,23,24,25,26,27,28,29,30}-1)*LEN(Registro!$E790)+1,LEN(Registro!$E790))),FIND("x",TRIM(MID(SUBSTITUTE(SUBSTITUTE(SUBSTITUTE(SUBSTITUTE(SUBSTITUTE(LOWER(Registro!$E790),"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",LEN(Registro!$E790))),({1,2,3,4,5,6,7,8,9,10,11,12,13,14,15,16,17,18,19,20,21,22,23,24,25,26,27,28,29,30}-1)*LEN(Registro!$E790)+1,LEN(Registro!$E790)))&amp;"x")+1,20))),"Revisar formato")))</f>
        <v/>
      </c>
      <c r="F790" s="23" t="str">
        <f>IF(Registro!$F790="","",IF(ISERROR(FIND("x",LOWER(Registro!$F790))),"-",IFERROR(SUMPRODUCT(--("0"&amp;LEFT(TRIM(MID(SUBSTITUTE(SUBSTITUTE(SUBSTITUTE(SUBSTITUTE(SUBSTITUTE(LOWER(Registro!$F790)," ",""),CHAR(10),"|"),";","|"),"+","|"),"|",REPT(" ",LEN(Registro!$F790))),({1,2,3,4,5,6,7,8,9,10,11,12,13,14,15,16,17,18,19,20,21,22,23,24,25,26,27,28,29,30}-1)*LEN(Registro!$F790)+1,LEN(Registro!$F790))),FIND("x",TRIM(MID(SUBSTITUTE(SUBSTITUTE(SUBSTITUTE(SUBSTITUTE(SUBSTITUTE(LOWER(Registro!$F790)," ",""),CHAR(10),"|"),";","|"),"+","|"),"|",REPT(" ",LEN(Registro!$F790))),({1,2,3,4,5,6,7,8,9,10,11,12,13,14,15,16,17,18,19,20,21,22,23,24,25,26,27,28,29,30}-1)*LEN(Registro!$F790)+1,LEN(Registro!$F790)))&amp;"x")-1))),"Revisar formato")))</f>
        <v/>
      </c>
      <c r="G790" s="24" t="str">
        <f>IF(Registro!$F790="","",IF(ISERROR(FIND("x",LOWER(Registro!$F790))),N(Registro!$G790),IFERROR(SUMPRODUCT(--("0"&amp;LEFT(TRIM(MID(SUBSTITUTE(SUBSTITUTE(SUBSTITUTE(SUBSTITUTE(SUBSTITUTE(LOWER(Registro!$F790)," ",""),CHAR(10),"|"),";","|"),"+","|"),"|",REPT(" ",LEN(Registro!$F790))),({1,2,3,4,5,6,7,8,9,10,11,12,13,14,15,16,17,18,19,20,21,22,23,24,25,26,27,28,29,30}-1)*LEN(Registro!$F790)+1,LEN(Registro!$F790))),FIND("x",TRIM(MID(SUBSTITUTE(SUBSTITUTE(SUBSTITUTE(SUBSTITUTE(SUBSTITUTE(LOWER(Registro!$F790)," ",""),CHAR(10),"|"),";","|"),"+","|"),"|",REPT(" ",LEN(Registro!$F790))),({1,2,3,4,5,6,7,8,9,10,11,12,13,14,15,16,17,18,19,20,21,22,23,24,25,26,27,28,29,30}-1)*LEN(Registro!$F790)+1,LEN(Registro!$F790)))&amp;"x")-1)),--("0"&amp;MID(TRIM(MID(SUBSTITUTE(SUBSTITUTE(SUBSTITUTE(SUBSTITUTE(SUBSTITUTE(LOWER(Registro!$F790)," ",""),CHAR(10),"|"),";","|"),"+","|"),"|",REPT(" ",LEN(Registro!$F790))),({1,2,3,4,5,6,7,8,9,10,11,12,13,14,15,16,17,18,19,20,21,22,23,24,25,26,27,28,29,30}-1)*LEN(Registro!$F790)+1,LEN(Registro!$F790))),FIND("x",TRIM(MID(SUBSTITUTE(SUBSTITUTE(SUBSTITUTE(SUBSTITUTE(SUBSTITUTE(LOWER(Registro!$F790)," ",""),CHAR(10),"|"),";","|"),"+","|"),"|",REPT(" ",LEN(Registro!$F790))),({1,2,3,4,5,6,7,8,9,10,11,12,13,14,15,16,17,18,19,20,21,22,23,24,25,26,27,28,29,30}-1)*LEN(Registro!$F790)+1,LEN(Registro!$F790)))&amp;"x")+1,20))),"Revisar formato")))</f>
        <v/>
      </c>
      <c r="H790" s="21" t="str">
        <f>IF(AND(Registro!$E790="",Registro!$F790=""),"",IF(NOT(AND(ISNUMBER(G790),ISNUMBER(Registro!$G790))),"",IF(G790&lt;Registro!$G790,"FALTA BOLETOS",IF(G790=Registro!$G790,"CONFORME","DIFERENCIA"))))</f>
        <v/>
      </c>
      <c r="I790" s="24" t="str">
        <f>IF(Registro!$H790="","",IFERROR(SUMPRODUCT(--("0"&amp;TRIM(RIGHT(SUBSTITUTE(TRIM(MID(SUBSTITUTE(SUBSTITUTE(Registro!$H790,";",CHAR(10)),CHAR(10),REPT(" ",LEN(Registro!$H790))),({1,2,3,4,5,6,7,8,9,10,11,12,13,14,15,16,17,18,19,20,21,22,23,24,25,26,27,28,29,30}-1)*LEN(Registro!$H790)+1,LEN(Registro!$H790)))," ",REPT(" ",50)),50)))),"Revisar formato"))</f>
        <v/>
      </c>
      <c r="J790" s="24" t="str">
        <f>IF(Registro!$I790="","",IFERROR(SUMPRODUCT(--("0"&amp;TRIM(RIGHT(SUBSTITUTE(TRIM(MID(SUBSTITUTE(SUBSTITUTE(Registro!$I790,";",CHAR(10)),CHAR(10),REPT(" ",LEN(Registro!$I790))),({1,2,3,4,5,6,7,8,9,10,11,12,13,14,15,16,17,18,19,20,21,22,23,24,25,26,27,28,29,30}-1)*LEN(Registro!$I790)+1,LEN(Registro!$I790)))," ",REPT(" ",50)),50)))),"Revisar formato"))</f>
        <v/>
      </c>
      <c r="K790" s="24" t="str">
        <f>IF(AND(Registro!$G790="",Registro!$H790=""),"",IF(AND(ISTEXT(I790),I790&lt;&gt;""),"Revisar formato",N(Registro!$G790)-N(I790)))</f>
        <v/>
      </c>
      <c r="L790" s="24" t="str">
        <f t="shared" si="25"/>
        <v/>
      </c>
      <c r="M790" s="36" t="str">
        <f>IF(AND(A790=Consulta!$B$3,C790=Consulta!$H$3),B790*10000+ROW(),"")</f>
        <v/>
      </c>
    </row>
    <row r="791" spans="1:13" x14ac:dyDescent="0.25">
      <c r="A791" s="21" t="str">
        <f>IF(Registro!$A791="","",Registro!$A791)</f>
        <v/>
      </c>
      <c r="B791" s="20" t="str">
        <f>IF(Registro!$B791="","",Registro!$B791)</f>
        <v/>
      </c>
      <c r="C791" s="35" t="str">
        <f t="shared" si="24"/>
        <v/>
      </c>
      <c r="D791" s="23" t="str">
        <f>IF(Registro!$E791="","",IF(ISERROR(FIND("x",LOWER(Registro!$E791))),"-",IFERROR(SUMPRODUCT(--("0"&amp;LEFT(TRIM(MID(SUBSTITUTE(SUBSTITUTE(SUBSTITUTE(SUBSTITUTE(SUBSTITUTE(LOWER(Registro!$E791),"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",LEN(Registro!$E791))),({1,2,3,4,5,6,7,8,9,10,11,12,13,14,15,16,17,18,19,20,21,22,23,24,25,26,27,28,29,30}-1)*LEN(Registro!$E791)+1,LEN(Registro!$E791))),FIND("x",TRIM(MID(SUBSTITUTE(SUBSTITUTE(SUBSTITUTE(SUBSTITUTE(SUBSTITUTE(LOWER(Registro!$E791),"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",LEN(Registro!$E791))),({1,2,3,4,5,6,7,8,9,10,11,12,13,14,15,16,17,18,19,20,21,22,23,24,25,26,27,28,29,30}-1)*LEN(Registro!$E791)+1,LEN(Registro!$E791)))&amp;"x")-1))),"Revisar formato")))</f>
        <v/>
      </c>
      <c r="E791" s="24" t="str">
        <f>IF(Registro!$E791="","",IF(ISERROR(FIND("x",LOWER(Registro!$E791))),"-",IFERROR(SUMPRODUCT(--("0"&amp;LEFT(TRIM(MID(SUBSTITUTE(SUBSTITUTE(SUBSTITUTE(SUBSTITUTE(SUBSTITUTE(LOWER(Registro!$E791),"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",LEN(Registro!$E791))),({1,2,3,4,5,6,7,8,9,10,11,12,13,14,15,16,17,18,19,20,21,22,23,24,25,26,27,28,29,30}-1)*LEN(Registro!$E791)+1,LEN(Registro!$E791))),FIND("x",TRIM(MID(SUBSTITUTE(SUBSTITUTE(SUBSTITUTE(SUBSTITUTE(SUBSTITUTE(LOWER(Registro!$E791),"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",LEN(Registro!$E791))),({1,2,3,4,5,6,7,8,9,10,11,12,13,14,15,16,17,18,19,20,21,22,23,24,25,26,27,28,29,30}-1)*LEN(Registro!$E791)+1,LEN(Registro!$E791)))&amp;"x")-1)),--("0"&amp;MID(TRIM(MID(SUBSTITUTE(SUBSTITUTE(SUBSTITUTE(SUBSTITUTE(SUBSTITUTE(LOWER(Registro!$E791),"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",LEN(Registro!$E791))),({1,2,3,4,5,6,7,8,9,10,11,12,13,14,15,16,17,18,19,20,21,22,23,24,25,26,27,28,29,30}-1)*LEN(Registro!$E791)+1,LEN(Registro!$E791))),FIND("x",TRIM(MID(SUBSTITUTE(SUBSTITUTE(SUBSTITUTE(SUBSTITUTE(SUBSTITUTE(LOWER(Registro!$E791),"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",LEN(Registro!$E791))),({1,2,3,4,5,6,7,8,9,10,11,12,13,14,15,16,17,18,19,20,21,22,23,24,25,26,27,28,29,30}-1)*LEN(Registro!$E791)+1,LEN(Registro!$E791)))&amp;"x")+1,20))),"Revisar formato")))</f>
        <v/>
      </c>
      <c r="F791" s="23" t="str">
        <f>IF(Registro!$F791="","",IF(ISERROR(FIND("x",LOWER(Registro!$F791))),"-",IFERROR(SUMPRODUCT(--("0"&amp;LEFT(TRIM(MID(SUBSTITUTE(SUBSTITUTE(SUBSTITUTE(SUBSTITUTE(SUBSTITUTE(LOWER(Registro!$F791)," ",""),CHAR(10),"|"),";","|"),"+","|"),"|",REPT(" ",LEN(Registro!$F791))),({1,2,3,4,5,6,7,8,9,10,11,12,13,14,15,16,17,18,19,20,21,22,23,24,25,26,27,28,29,30}-1)*LEN(Registro!$F791)+1,LEN(Registro!$F791))),FIND("x",TRIM(MID(SUBSTITUTE(SUBSTITUTE(SUBSTITUTE(SUBSTITUTE(SUBSTITUTE(LOWER(Registro!$F791)," ",""),CHAR(10),"|"),";","|"),"+","|"),"|",REPT(" ",LEN(Registro!$F791))),({1,2,3,4,5,6,7,8,9,10,11,12,13,14,15,16,17,18,19,20,21,22,23,24,25,26,27,28,29,30}-1)*LEN(Registro!$F791)+1,LEN(Registro!$F791)))&amp;"x")-1))),"Revisar formato")))</f>
        <v/>
      </c>
      <c r="G791" s="24" t="str">
        <f>IF(Registro!$F791="","",IF(ISERROR(FIND("x",LOWER(Registro!$F791))),N(Registro!$G791),IFERROR(SUMPRODUCT(--("0"&amp;LEFT(TRIM(MID(SUBSTITUTE(SUBSTITUTE(SUBSTITUTE(SUBSTITUTE(SUBSTITUTE(LOWER(Registro!$F791)," ",""),CHAR(10),"|"),";","|"),"+","|"),"|",REPT(" ",LEN(Registro!$F791))),({1,2,3,4,5,6,7,8,9,10,11,12,13,14,15,16,17,18,19,20,21,22,23,24,25,26,27,28,29,30}-1)*LEN(Registro!$F791)+1,LEN(Registro!$F791))),FIND("x",TRIM(MID(SUBSTITUTE(SUBSTITUTE(SUBSTITUTE(SUBSTITUTE(SUBSTITUTE(LOWER(Registro!$F791)," ",""),CHAR(10),"|"),";","|"),"+","|"),"|",REPT(" ",LEN(Registro!$F791))),({1,2,3,4,5,6,7,8,9,10,11,12,13,14,15,16,17,18,19,20,21,22,23,24,25,26,27,28,29,30}-1)*LEN(Registro!$F791)+1,LEN(Registro!$F791)))&amp;"x")-1)),--("0"&amp;MID(TRIM(MID(SUBSTITUTE(SUBSTITUTE(SUBSTITUTE(SUBSTITUTE(SUBSTITUTE(LOWER(Registro!$F791)," ",""),CHAR(10),"|"),";","|"),"+","|"),"|",REPT(" ",LEN(Registro!$F791))),({1,2,3,4,5,6,7,8,9,10,11,12,13,14,15,16,17,18,19,20,21,22,23,24,25,26,27,28,29,30}-1)*LEN(Registro!$F791)+1,LEN(Registro!$F791))),FIND("x",TRIM(MID(SUBSTITUTE(SUBSTITUTE(SUBSTITUTE(SUBSTITUTE(SUBSTITUTE(LOWER(Registro!$F791)," ",""),CHAR(10),"|"),";","|"),"+","|"),"|",REPT(" ",LEN(Registro!$F791))),({1,2,3,4,5,6,7,8,9,10,11,12,13,14,15,16,17,18,19,20,21,22,23,24,25,26,27,28,29,30}-1)*LEN(Registro!$F791)+1,LEN(Registro!$F791)))&amp;"x")+1,20))),"Revisar formato")))</f>
        <v/>
      </c>
      <c r="H791" s="21" t="str">
        <f>IF(AND(Registro!$E791="",Registro!$F791=""),"",IF(NOT(AND(ISNUMBER(G791),ISNUMBER(Registro!$G791))),"",IF(G791&lt;Registro!$G791,"FALTA BOLETOS",IF(G791=Registro!$G791,"CONFORME","DIFERENCIA"))))</f>
        <v/>
      </c>
      <c r="I791" s="24" t="str">
        <f>IF(Registro!$H791="","",IFERROR(SUMPRODUCT(--("0"&amp;TRIM(RIGHT(SUBSTITUTE(TRIM(MID(SUBSTITUTE(SUBSTITUTE(Registro!$H791,";",CHAR(10)),CHAR(10),REPT(" ",LEN(Registro!$H791))),({1,2,3,4,5,6,7,8,9,10,11,12,13,14,15,16,17,18,19,20,21,22,23,24,25,26,27,28,29,30}-1)*LEN(Registro!$H791)+1,LEN(Registro!$H791)))," ",REPT(" ",50)),50)))),"Revisar formato"))</f>
        <v/>
      </c>
      <c r="J791" s="24" t="str">
        <f>IF(Registro!$I791="","",IFERROR(SUMPRODUCT(--("0"&amp;TRIM(RIGHT(SUBSTITUTE(TRIM(MID(SUBSTITUTE(SUBSTITUTE(Registro!$I791,";",CHAR(10)),CHAR(10),REPT(" ",LEN(Registro!$I791))),({1,2,3,4,5,6,7,8,9,10,11,12,13,14,15,16,17,18,19,20,21,22,23,24,25,26,27,28,29,30}-1)*LEN(Registro!$I791)+1,LEN(Registro!$I791)))," ",REPT(" ",50)),50)))),"Revisar formato"))</f>
        <v/>
      </c>
      <c r="K791" s="24" t="str">
        <f>IF(AND(Registro!$G791="",Registro!$H791=""),"",IF(AND(ISTEXT(I791),I791&lt;&gt;""),"Revisar formato",N(Registro!$G791)-N(I791)))</f>
        <v/>
      </c>
      <c r="L791" s="24" t="str">
        <f t="shared" si="25"/>
        <v/>
      </c>
      <c r="M791" s="36" t="str">
        <f>IF(AND(A791=Consulta!$B$3,C791=Consulta!$H$3),B791*10000+ROW(),"")</f>
        <v/>
      </c>
    </row>
    <row r="792" spans="1:13" x14ac:dyDescent="0.25">
      <c r="A792" s="21" t="str">
        <f>IF(Registro!$A792="","",Registro!$A792)</f>
        <v/>
      </c>
      <c r="B792" s="20" t="str">
        <f>IF(Registro!$B792="","",Registro!$B792)</f>
        <v/>
      </c>
      <c r="C792" s="35" t="str">
        <f t="shared" si="24"/>
        <v/>
      </c>
      <c r="D792" s="23" t="str">
        <f>IF(Registro!$E792="","",IF(ISERROR(FIND("x",LOWER(Registro!$E792))),"-",IFERROR(SUMPRODUCT(--("0"&amp;LEFT(TRIM(MID(SUBSTITUTE(SUBSTITUTE(SUBSTITUTE(SUBSTITUTE(SUBSTITUTE(LOWER(Registro!$E792),"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",LEN(Registro!$E792))),({1,2,3,4,5,6,7,8,9,10,11,12,13,14,15,16,17,18,19,20,21,22,23,24,25,26,27,28,29,30}-1)*LEN(Registro!$E792)+1,LEN(Registro!$E792))),FIND("x",TRIM(MID(SUBSTITUTE(SUBSTITUTE(SUBSTITUTE(SUBSTITUTE(SUBSTITUTE(LOWER(Registro!$E792),"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",LEN(Registro!$E792))),({1,2,3,4,5,6,7,8,9,10,11,12,13,14,15,16,17,18,19,20,21,22,23,24,25,26,27,28,29,30}-1)*LEN(Registro!$E792)+1,LEN(Registro!$E792)))&amp;"x")-1))),"Revisar formato")))</f>
        <v/>
      </c>
      <c r="E792" s="24" t="str">
        <f>IF(Registro!$E792="","",IF(ISERROR(FIND("x",LOWER(Registro!$E792))),"-",IFERROR(SUMPRODUCT(--("0"&amp;LEFT(TRIM(MID(SUBSTITUTE(SUBSTITUTE(SUBSTITUTE(SUBSTITUTE(SUBSTITUTE(LOWER(Registro!$E792),"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",LEN(Registro!$E792))),({1,2,3,4,5,6,7,8,9,10,11,12,13,14,15,16,17,18,19,20,21,22,23,24,25,26,27,28,29,30}-1)*LEN(Registro!$E792)+1,LEN(Registro!$E792))),FIND("x",TRIM(MID(SUBSTITUTE(SUBSTITUTE(SUBSTITUTE(SUBSTITUTE(SUBSTITUTE(LOWER(Registro!$E792),"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",LEN(Registro!$E792))),({1,2,3,4,5,6,7,8,9,10,11,12,13,14,15,16,17,18,19,20,21,22,23,24,25,26,27,28,29,30}-1)*LEN(Registro!$E792)+1,LEN(Registro!$E792)))&amp;"x")-1)),--("0"&amp;MID(TRIM(MID(SUBSTITUTE(SUBSTITUTE(SUBSTITUTE(SUBSTITUTE(SUBSTITUTE(LOWER(Registro!$E792),"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",LEN(Registro!$E792))),({1,2,3,4,5,6,7,8,9,10,11,12,13,14,15,16,17,18,19,20,21,22,23,24,25,26,27,28,29,30}-1)*LEN(Registro!$E792)+1,LEN(Registro!$E792))),FIND("x",TRIM(MID(SUBSTITUTE(SUBSTITUTE(SUBSTITUTE(SUBSTITUTE(SUBSTITUTE(LOWER(Registro!$E792),"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",LEN(Registro!$E792))),({1,2,3,4,5,6,7,8,9,10,11,12,13,14,15,16,17,18,19,20,21,22,23,24,25,26,27,28,29,30}-1)*LEN(Registro!$E792)+1,LEN(Registro!$E792)))&amp;"x")+1,20))),"Revisar formato")))</f>
        <v/>
      </c>
      <c r="F792" s="23" t="str">
        <f>IF(Registro!$F792="","",IF(ISERROR(FIND("x",LOWER(Registro!$F792))),"-",IFERROR(SUMPRODUCT(--("0"&amp;LEFT(TRIM(MID(SUBSTITUTE(SUBSTITUTE(SUBSTITUTE(SUBSTITUTE(SUBSTITUTE(LOWER(Registro!$F792)," ",""),CHAR(10),"|"),";","|"),"+","|"),"|",REPT(" ",LEN(Registro!$F792))),({1,2,3,4,5,6,7,8,9,10,11,12,13,14,15,16,17,18,19,20,21,22,23,24,25,26,27,28,29,30}-1)*LEN(Registro!$F792)+1,LEN(Registro!$F792))),FIND("x",TRIM(MID(SUBSTITUTE(SUBSTITUTE(SUBSTITUTE(SUBSTITUTE(SUBSTITUTE(LOWER(Registro!$F792)," ",""),CHAR(10),"|"),";","|"),"+","|"),"|",REPT(" ",LEN(Registro!$F792))),({1,2,3,4,5,6,7,8,9,10,11,12,13,14,15,16,17,18,19,20,21,22,23,24,25,26,27,28,29,30}-1)*LEN(Registro!$F792)+1,LEN(Registro!$F792)))&amp;"x")-1))),"Revisar formato")))</f>
        <v/>
      </c>
      <c r="G792" s="24" t="str">
        <f>IF(Registro!$F792="","",IF(ISERROR(FIND("x",LOWER(Registro!$F792))),N(Registro!$G792),IFERROR(SUMPRODUCT(--("0"&amp;LEFT(TRIM(MID(SUBSTITUTE(SUBSTITUTE(SUBSTITUTE(SUBSTITUTE(SUBSTITUTE(LOWER(Registro!$F792)," ",""),CHAR(10),"|"),";","|"),"+","|"),"|",REPT(" ",LEN(Registro!$F792))),({1,2,3,4,5,6,7,8,9,10,11,12,13,14,15,16,17,18,19,20,21,22,23,24,25,26,27,28,29,30}-1)*LEN(Registro!$F792)+1,LEN(Registro!$F792))),FIND("x",TRIM(MID(SUBSTITUTE(SUBSTITUTE(SUBSTITUTE(SUBSTITUTE(SUBSTITUTE(LOWER(Registro!$F792)," ",""),CHAR(10),"|"),";","|"),"+","|"),"|",REPT(" ",LEN(Registro!$F792))),({1,2,3,4,5,6,7,8,9,10,11,12,13,14,15,16,17,18,19,20,21,22,23,24,25,26,27,28,29,30}-1)*LEN(Registro!$F792)+1,LEN(Registro!$F792)))&amp;"x")-1)),--("0"&amp;MID(TRIM(MID(SUBSTITUTE(SUBSTITUTE(SUBSTITUTE(SUBSTITUTE(SUBSTITUTE(LOWER(Registro!$F792)," ",""),CHAR(10),"|"),";","|"),"+","|"),"|",REPT(" ",LEN(Registro!$F792))),({1,2,3,4,5,6,7,8,9,10,11,12,13,14,15,16,17,18,19,20,21,22,23,24,25,26,27,28,29,30}-1)*LEN(Registro!$F792)+1,LEN(Registro!$F792))),FIND("x",TRIM(MID(SUBSTITUTE(SUBSTITUTE(SUBSTITUTE(SUBSTITUTE(SUBSTITUTE(LOWER(Registro!$F792)," ",""),CHAR(10),"|"),";","|"),"+","|"),"|",REPT(" ",LEN(Registro!$F792))),({1,2,3,4,5,6,7,8,9,10,11,12,13,14,15,16,17,18,19,20,21,22,23,24,25,26,27,28,29,30}-1)*LEN(Registro!$F792)+1,LEN(Registro!$F792)))&amp;"x")+1,20))),"Revisar formato")))</f>
        <v/>
      </c>
      <c r="H792" s="21" t="str">
        <f>IF(AND(Registro!$E792="",Registro!$F792=""),"",IF(NOT(AND(ISNUMBER(G792),ISNUMBER(Registro!$G792))),"",IF(G792&lt;Registro!$G792,"FALTA BOLETOS",IF(G792=Registro!$G792,"CONFORME","DIFERENCIA"))))</f>
        <v/>
      </c>
      <c r="I792" s="24" t="str">
        <f>IF(Registro!$H792="","",IFERROR(SUMPRODUCT(--("0"&amp;TRIM(RIGHT(SUBSTITUTE(TRIM(MID(SUBSTITUTE(SUBSTITUTE(Registro!$H792,";",CHAR(10)),CHAR(10),REPT(" ",LEN(Registro!$H792))),({1,2,3,4,5,6,7,8,9,10,11,12,13,14,15,16,17,18,19,20,21,22,23,24,25,26,27,28,29,30}-1)*LEN(Registro!$H792)+1,LEN(Registro!$H792)))," ",REPT(" ",50)),50)))),"Revisar formato"))</f>
        <v/>
      </c>
      <c r="J792" s="24" t="str">
        <f>IF(Registro!$I792="","",IFERROR(SUMPRODUCT(--("0"&amp;TRIM(RIGHT(SUBSTITUTE(TRIM(MID(SUBSTITUTE(SUBSTITUTE(Registro!$I792,";",CHAR(10)),CHAR(10),REPT(" ",LEN(Registro!$I792))),({1,2,3,4,5,6,7,8,9,10,11,12,13,14,15,16,17,18,19,20,21,22,23,24,25,26,27,28,29,30}-1)*LEN(Registro!$I792)+1,LEN(Registro!$I792)))," ",REPT(" ",50)),50)))),"Revisar formato"))</f>
        <v/>
      </c>
      <c r="K792" s="24" t="str">
        <f>IF(AND(Registro!$G792="",Registro!$H792=""),"",IF(AND(ISTEXT(I792),I792&lt;&gt;""),"Revisar formato",N(Registro!$G792)-N(I792)))</f>
        <v/>
      </c>
      <c r="L792" s="24" t="str">
        <f t="shared" si="25"/>
        <v/>
      </c>
      <c r="M792" s="36" t="str">
        <f>IF(AND(A792=Consulta!$B$3,C792=Consulta!$H$3),B792*10000+ROW(),"")</f>
        <v/>
      </c>
    </row>
    <row r="793" spans="1:13" x14ac:dyDescent="0.25">
      <c r="A793" s="21" t="str">
        <f>IF(Registro!$A793="","",Registro!$A793)</f>
        <v/>
      </c>
      <c r="B793" s="20" t="str">
        <f>IF(Registro!$B793="","",Registro!$B793)</f>
        <v/>
      </c>
      <c r="C793" s="35" t="str">
        <f t="shared" si="24"/>
        <v/>
      </c>
      <c r="D793" s="23" t="str">
        <f>IF(Registro!$E793="","",IF(ISERROR(FIND("x",LOWER(Registro!$E793))),"-",IFERROR(SUMPRODUCT(--("0"&amp;LEFT(TRIM(MID(SUBSTITUTE(SUBSTITUTE(SUBSTITUTE(SUBSTITUTE(SUBSTITUTE(LOWER(Registro!$E793),"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",LEN(Registro!$E793))),({1,2,3,4,5,6,7,8,9,10,11,12,13,14,15,16,17,18,19,20,21,22,23,24,25,26,27,28,29,30}-1)*LEN(Registro!$E793)+1,LEN(Registro!$E793))),FIND("x",TRIM(MID(SUBSTITUTE(SUBSTITUTE(SUBSTITUTE(SUBSTITUTE(SUBSTITUTE(LOWER(Registro!$E793),"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",LEN(Registro!$E793))),({1,2,3,4,5,6,7,8,9,10,11,12,13,14,15,16,17,18,19,20,21,22,23,24,25,26,27,28,29,30}-1)*LEN(Registro!$E793)+1,LEN(Registro!$E793)))&amp;"x")-1))),"Revisar formato")))</f>
        <v/>
      </c>
      <c r="E793" s="24" t="str">
        <f>IF(Registro!$E793="","",IF(ISERROR(FIND("x",LOWER(Registro!$E793))),"-",IFERROR(SUMPRODUCT(--("0"&amp;LEFT(TRIM(MID(SUBSTITUTE(SUBSTITUTE(SUBSTITUTE(SUBSTITUTE(SUBSTITUTE(LOWER(Registro!$E793),"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",LEN(Registro!$E793))),({1,2,3,4,5,6,7,8,9,10,11,12,13,14,15,16,17,18,19,20,21,22,23,24,25,26,27,28,29,30}-1)*LEN(Registro!$E793)+1,LEN(Registro!$E793))),FIND("x",TRIM(MID(SUBSTITUTE(SUBSTITUTE(SUBSTITUTE(SUBSTITUTE(SUBSTITUTE(LOWER(Registro!$E793),"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",LEN(Registro!$E793))),({1,2,3,4,5,6,7,8,9,10,11,12,13,14,15,16,17,18,19,20,21,22,23,24,25,26,27,28,29,30}-1)*LEN(Registro!$E793)+1,LEN(Registro!$E793)))&amp;"x")-1)),--("0"&amp;MID(TRIM(MID(SUBSTITUTE(SUBSTITUTE(SUBSTITUTE(SUBSTITUTE(SUBSTITUTE(LOWER(Registro!$E793),"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",LEN(Registro!$E793))),({1,2,3,4,5,6,7,8,9,10,11,12,13,14,15,16,17,18,19,20,21,22,23,24,25,26,27,28,29,30}-1)*LEN(Registro!$E793)+1,LEN(Registro!$E793))),FIND("x",TRIM(MID(SUBSTITUTE(SUBSTITUTE(SUBSTITUTE(SUBSTITUTE(SUBSTITUTE(LOWER(Registro!$E793),"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",LEN(Registro!$E793))),({1,2,3,4,5,6,7,8,9,10,11,12,13,14,15,16,17,18,19,20,21,22,23,24,25,26,27,28,29,30}-1)*LEN(Registro!$E793)+1,LEN(Registro!$E793)))&amp;"x")+1,20))),"Revisar formato")))</f>
        <v/>
      </c>
      <c r="F793" s="23" t="str">
        <f>IF(Registro!$F793="","",IF(ISERROR(FIND("x",LOWER(Registro!$F793))),"-",IFERROR(SUMPRODUCT(--("0"&amp;LEFT(TRIM(MID(SUBSTITUTE(SUBSTITUTE(SUBSTITUTE(SUBSTITUTE(SUBSTITUTE(LOWER(Registro!$F793)," ",""),CHAR(10),"|"),";","|"),"+","|"),"|",REPT(" ",LEN(Registro!$F793))),({1,2,3,4,5,6,7,8,9,10,11,12,13,14,15,16,17,18,19,20,21,22,23,24,25,26,27,28,29,30}-1)*LEN(Registro!$F793)+1,LEN(Registro!$F793))),FIND("x",TRIM(MID(SUBSTITUTE(SUBSTITUTE(SUBSTITUTE(SUBSTITUTE(SUBSTITUTE(LOWER(Registro!$F793)," ",""),CHAR(10),"|"),";","|"),"+","|"),"|",REPT(" ",LEN(Registro!$F793))),({1,2,3,4,5,6,7,8,9,10,11,12,13,14,15,16,17,18,19,20,21,22,23,24,25,26,27,28,29,30}-1)*LEN(Registro!$F793)+1,LEN(Registro!$F793)))&amp;"x")-1))),"Revisar formato")))</f>
        <v/>
      </c>
      <c r="G793" s="24" t="str">
        <f>IF(Registro!$F793="","",IF(ISERROR(FIND("x",LOWER(Registro!$F793))),N(Registro!$G793),IFERROR(SUMPRODUCT(--("0"&amp;LEFT(TRIM(MID(SUBSTITUTE(SUBSTITUTE(SUBSTITUTE(SUBSTITUTE(SUBSTITUTE(LOWER(Registro!$F793)," ",""),CHAR(10),"|"),";","|"),"+","|"),"|",REPT(" ",LEN(Registro!$F793))),({1,2,3,4,5,6,7,8,9,10,11,12,13,14,15,16,17,18,19,20,21,22,23,24,25,26,27,28,29,30}-1)*LEN(Registro!$F793)+1,LEN(Registro!$F793))),FIND("x",TRIM(MID(SUBSTITUTE(SUBSTITUTE(SUBSTITUTE(SUBSTITUTE(SUBSTITUTE(LOWER(Registro!$F793)," ",""),CHAR(10),"|"),";","|"),"+","|"),"|",REPT(" ",LEN(Registro!$F793))),({1,2,3,4,5,6,7,8,9,10,11,12,13,14,15,16,17,18,19,20,21,22,23,24,25,26,27,28,29,30}-1)*LEN(Registro!$F793)+1,LEN(Registro!$F793)))&amp;"x")-1)),--("0"&amp;MID(TRIM(MID(SUBSTITUTE(SUBSTITUTE(SUBSTITUTE(SUBSTITUTE(SUBSTITUTE(LOWER(Registro!$F793)," ",""),CHAR(10),"|"),";","|"),"+","|"),"|",REPT(" ",LEN(Registro!$F793))),({1,2,3,4,5,6,7,8,9,10,11,12,13,14,15,16,17,18,19,20,21,22,23,24,25,26,27,28,29,30}-1)*LEN(Registro!$F793)+1,LEN(Registro!$F793))),FIND("x",TRIM(MID(SUBSTITUTE(SUBSTITUTE(SUBSTITUTE(SUBSTITUTE(SUBSTITUTE(LOWER(Registro!$F793)," ",""),CHAR(10),"|"),";","|"),"+","|"),"|",REPT(" ",LEN(Registro!$F793))),({1,2,3,4,5,6,7,8,9,10,11,12,13,14,15,16,17,18,19,20,21,22,23,24,25,26,27,28,29,30}-1)*LEN(Registro!$F793)+1,LEN(Registro!$F793)))&amp;"x")+1,20))),"Revisar formato")))</f>
        <v/>
      </c>
      <c r="H793" s="21" t="str">
        <f>IF(AND(Registro!$E793="",Registro!$F793=""),"",IF(NOT(AND(ISNUMBER(G793),ISNUMBER(Registro!$G793))),"",IF(G793&lt;Registro!$G793,"FALTA BOLETOS",IF(G793=Registro!$G793,"CONFORME","DIFERENCIA"))))</f>
        <v/>
      </c>
      <c r="I793" s="24" t="str">
        <f>IF(Registro!$H793="","",IFERROR(SUMPRODUCT(--("0"&amp;TRIM(RIGHT(SUBSTITUTE(TRIM(MID(SUBSTITUTE(SUBSTITUTE(Registro!$H793,";",CHAR(10)),CHAR(10),REPT(" ",LEN(Registro!$H793))),({1,2,3,4,5,6,7,8,9,10,11,12,13,14,15,16,17,18,19,20,21,22,23,24,25,26,27,28,29,30}-1)*LEN(Registro!$H793)+1,LEN(Registro!$H793)))," ",REPT(" ",50)),50)))),"Revisar formato"))</f>
        <v/>
      </c>
      <c r="J793" s="24" t="str">
        <f>IF(Registro!$I793="","",IFERROR(SUMPRODUCT(--("0"&amp;TRIM(RIGHT(SUBSTITUTE(TRIM(MID(SUBSTITUTE(SUBSTITUTE(Registro!$I793,";",CHAR(10)),CHAR(10),REPT(" ",LEN(Registro!$I793))),({1,2,3,4,5,6,7,8,9,10,11,12,13,14,15,16,17,18,19,20,21,22,23,24,25,26,27,28,29,30}-1)*LEN(Registro!$I793)+1,LEN(Registro!$I793)))," ",REPT(" ",50)),50)))),"Revisar formato"))</f>
        <v/>
      </c>
      <c r="K793" s="24" t="str">
        <f>IF(AND(Registro!$G793="",Registro!$H793=""),"",IF(AND(ISTEXT(I793),I793&lt;&gt;""),"Revisar formato",N(Registro!$G793)-N(I793)))</f>
        <v/>
      </c>
      <c r="L793" s="24" t="str">
        <f t="shared" si="25"/>
        <v/>
      </c>
      <c r="M793" s="36" t="str">
        <f>IF(AND(A793=Consulta!$B$3,C793=Consulta!$H$3),B793*10000+ROW(),"")</f>
        <v/>
      </c>
    </row>
    <row r="794" spans="1:13" x14ac:dyDescent="0.25">
      <c r="A794" s="21" t="str">
        <f>IF(Registro!$A794="","",Registro!$A794)</f>
        <v/>
      </c>
      <c r="B794" s="20" t="str">
        <f>IF(Registro!$B794="","",Registro!$B794)</f>
        <v/>
      </c>
      <c r="C794" s="35" t="str">
        <f t="shared" si="24"/>
        <v/>
      </c>
      <c r="D794" s="23" t="str">
        <f>IF(Registro!$E794="","",IF(ISERROR(FIND("x",LOWER(Registro!$E794))),"-",IFERROR(SUMPRODUCT(--("0"&amp;LEFT(TRIM(MID(SUBSTITUTE(SUBSTITUTE(SUBSTITUTE(SUBSTITUTE(SUBSTITUTE(LOWER(Registro!$E794),"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",LEN(Registro!$E794))),({1,2,3,4,5,6,7,8,9,10,11,12,13,14,15,16,17,18,19,20,21,22,23,24,25,26,27,28,29,30}-1)*LEN(Registro!$E794)+1,LEN(Registro!$E794))),FIND("x",TRIM(MID(SUBSTITUTE(SUBSTITUTE(SUBSTITUTE(SUBSTITUTE(SUBSTITUTE(LOWER(Registro!$E794),"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",LEN(Registro!$E794))),({1,2,3,4,5,6,7,8,9,10,11,12,13,14,15,16,17,18,19,20,21,22,23,24,25,26,27,28,29,30}-1)*LEN(Registro!$E794)+1,LEN(Registro!$E794)))&amp;"x")-1))),"Revisar formato")))</f>
        <v/>
      </c>
      <c r="E794" s="24" t="str">
        <f>IF(Registro!$E794="","",IF(ISERROR(FIND("x",LOWER(Registro!$E794))),"-",IFERROR(SUMPRODUCT(--("0"&amp;LEFT(TRIM(MID(SUBSTITUTE(SUBSTITUTE(SUBSTITUTE(SUBSTITUTE(SUBSTITUTE(LOWER(Registro!$E794),"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",LEN(Registro!$E794))),({1,2,3,4,5,6,7,8,9,10,11,12,13,14,15,16,17,18,19,20,21,22,23,24,25,26,27,28,29,30}-1)*LEN(Registro!$E794)+1,LEN(Registro!$E794))),FIND("x",TRIM(MID(SUBSTITUTE(SUBSTITUTE(SUBSTITUTE(SUBSTITUTE(SUBSTITUTE(LOWER(Registro!$E794),"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",LEN(Registro!$E794))),({1,2,3,4,5,6,7,8,9,10,11,12,13,14,15,16,17,18,19,20,21,22,23,24,25,26,27,28,29,30}-1)*LEN(Registro!$E794)+1,LEN(Registro!$E794)))&amp;"x")-1)),--("0"&amp;MID(TRIM(MID(SUBSTITUTE(SUBSTITUTE(SUBSTITUTE(SUBSTITUTE(SUBSTITUTE(LOWER(Registro!$E794),"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",LEN(Registro!$E794))),({1,2,3,4,5,6,7,8,9,10,11,12,13,14,15,16,17,18,19,20,21,22,23,24,25,26,27,28,29,30}-1)*LEN(Registro!$E794)+1,LEN(Registro!$E794))),FIND("x",TRIM(MID(SUBSTITUTE(SUBSTITUTE(SUBSTITUTE(SUBSTITUTE(SUBSTITUTE(LOWER(Registro!$E794),"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",LEN(Registro!$E794))),({1,2,3,4,5,6,7,8,9,10,11,12,13,14,15,16,17,18,19,20,21,22,23,24,25,26,27,28,29,30}-1)*LEN(Registro!$E794)+1,LEN(Registro!$E794)))&amp;"x")+1,20))),"Revisar formato")))</f>
        <v/>
      </c>
      <c r="F794" s="23" t="str">
        <f>IF(Registro!$F794="","",IF(ISERROR(FIND("x",LOWER(Registro!$F794))),"-",IFERROR(SUMPRODUCT(--("0"&amp;LEFT(TRIM(MID(SUBSTITUTE(SUBSTITUTE(SUBSTITUTE(SUBSTITUTE(SUBSTITUTE(LOWER(Registro!$F794)," ",""),CHAR(10),"|"),";","|"),"+","|"),"|",REPT(" ",LEN(Registro!$F794))),({1,2,3,4,5,6,7,8,9,10,11,12,13,14,15,16,17,18,19,20,21,22,23,24,25,26,27,28,29,30}-1)*LEN(Registro!$F794)+1,LEN(Registro!$F794))),FIND("x",TRIM(MID(SUBSTITUTE(SUBSTITUTE(SUBSTITUTE(SUBSTITUTE(SUBSTITUTE(LOWER(Registro!$F794)," ",""),CHAR(10),"|"),";","|"),"+","|"),"|",REPT(" ",LEN(Registro!$F794))),({1,2,3,4,5,6,7,8,9,10,11,12,13,14,15,16,17,18,19,20,21,22,23,24,25,26,27,28,29,30}-1)*LEN(Registro!$F794)+1,LEN(Registro!$F794)))&amp;"x")-1))),"Revisar formato")))</f>
        <v/>
      </c>
      <c r="G794" s="24" t="str">
        <f>IF(Registro!$F794="","",IF(ISERROR(FIND("x",LOWER(Registro!$F794))),N(Registro!$G794),IFERROR(SUMPRODUCT(--("0"&amp;LEFT(TRIM(MID(SUBSTITUTE(SUBSTITUTE(SUBSTITUTE(SUBSTITUTE(SUBSTITUTE(LOWER(Registro!$F794)," ",""),CHAR(10),"|"),";","|"),"+","|"),"|",REPT(" ",LEN(Registro!$F794))),({1,2,3,4,5,6,7,8,9,10,11,12,13,14,15,16,17,18,19,20,21,22,23,24,25,26,27,28,29,30}-1)*LEN(Registro!$F794)+1,LEN(Registro!$F794))),FIND("x",TRIM(MID(SUBSTITUTE(SUBSTITUTE(SUBSTITUTE(SUBSTITUTE(SUBSTITUTE(LOWER(Registro!$F794)," ",""),CHAR(10),"|"),";","|"),"+","|"),"|",REPT(" ",LEN(Registro!$F794))),({1,2,3,4,5,6,7,8,9,10,11,12,13,14,15,16,17,18,19,20,21,22,23,24,25,26,27,28,29,30}-1)*LEN(Registro!$F794)+1,LEN(Registro!$F794)))&amp;"x")-1)),--("0"&amp;MID(TRIM(MID(SUBSTITUTE(SUBSTITUTE(SUBSTITUTE(SUBSTITUTE(SUBSTITUTE(LOWER(Registro!$F794)," ",""),CHAR(10),"|"),";","|"),"+","|"),"|",REPT(" ",LEN(Registro!$F794))),({1,2,3,4,5,6,7,8,9,10,11,12,13,14,15,16,17,18,19,20,21,22,23,24,25,26,27,28,29,30}-1)*LEN(Registro!$F794)+1,LEN(Registro!$F794))),FIND("x",TRIM(MID(SUBSTITUTE(SUBSTITUTE(SUBSTITUTE(SUBSTITUTE(SUBSTITUTE(LOWER(Registro!$F794)," ",""),CHAR(10),"|"),";","|"),"+","|"),"|",REPT(" ",LEN(Registro!$F794))),({1,2,3,4,5,6,7,8,9,10,11,12,13,14,15,16,17,18,19,20,21,22,23,24,25,26,27,28,29,30}-1)*LEN(Registro!$F794)+1,LEN(Registro!$F794)))&amp;"x")+1,20))),"Revisar formato")))</f>
        <v/>
      </c>
      <c r="H794" s="21" t="str">
        <f>IF(AND(Registro!$E794="",Registro!$F794=""),"",IF(NOT(AND(ISNUMBER(G794),ISNUMBER(Registro!$G794))),"",IF(G794&lt;Registro!$G794,"FALTA BOLETOS",IF(G794=Registro!$G794,"CONFORME","DIFERENCIA"))))</f>
        <v/>
      </c>
      <c r="I794" s="24" t="str">
        <f>IF(Registro!$H794="","",IFERROR(SUMPRODUCT(--("0"&amp;TRIM(RIGHT(SUBSTITUTE(TRIM(MID(SUBSTITUTE(SUBSTITUTE(Registro!$H794,";",CHAR(10)),CHAR(10),REPT(" ",LEN(Registro!$H794))),({1,2,3,4,5,6,7,8,9,10,11,12,13,14,15,16,17,18,19,20,21,22,23,24,25,26,27,28,29,30}-1)*LEN(Registro!$H794)+1,LEN(Registro!$H794)))," ",REPT(" ",50)),50)))),"Revisar formato"))</f>
        <v/>
      </c>
      <c r="J794" s="24" t="str">
        <f>IF(Registro!$I794="","",IFERROR(SUMPRODUCT(--("0"&amp;TRIM(RIGHT(SUBSTITUTE(TRIM(MID(SUBSTITUTE(SUBSTITUTE(Registro!$I794,";",CHAR(10)),CHAR(10),REPT(" ",LEN(Registro!$I794))),({1,2,3,4,5,6,7,8,9,10,11,12,13,14,15,16,17,18,19,20,21,22,23,24,25,26,27,28,29,30}-1)*LEN(Registro!$I794)+1,LEN(Registro!$I794)))," ",REPT(" ",50)),50)))),"Revisar formato"))</f>
        <v/>
      </c>
      <c r="K794" s="24" t="str">
        <f>IF(AND(Registro!$G794="",Registro!$H794=""),"",IF(AND(ISTEXT(I794),I794&lt;&gt;""),"Revisar formato",N(Registro!$G794)-N(I794)))</f>
        <v/>
      </c>
      <c r="L794" s="24" t="str">
        <f t="shared" si="25"/>
        <v/>
      </c>
      <c r="M794" s="36" t="str">
        <f>IF(AND(A794=Consulta!$B$3,C794=Consulta!$H$3),B794*10000+ROW(),"")</f>
        <v/>
      </c>
    </row>
    <row r="795" spans="1:13" x14ac:dyDescent="0.25">
      <c r="A795" s="21" t="str">
        <f>IF(Registro!$A795="","",Registro!$A795)</f>
        <v/>
      </c>
      <c r="B795" s="20" t="str">
        <f>IF(Registro!$B795="","",Registro!$B795)</f>
        <v/>
      </c>
      <c r="C795" s="35" t="str">
        <f t="shared" si="24"/>
        <v/>
      </c>
      <c r="D795" s="23" t="str">
        <f>IF(Registro!$E795="","",IF(ISERROR(FIND("x",LOWER(Registro!$E795))),"-",IFERROR(SUMPRODUCT(--("0"&amp;LEFT(TRIM(MID(SUBSTITUTE(SUBSTITUTE(SUBSTITUTE(SUBSTITUTE(SUBSTITUTE(LOWER(Registro!$E795),"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",LEN(Registro!$E795))),({1,2,3,4,5,6,7,8,9,10,11,12,13,14,15,16,17,18,19,20,21,22,23,24,25,26,27,28,29,30}-1)*LEN(Registro!$E795)+1,LEN(Registro!$E795))),FIND("x",TRIM(MID(SUBSTITUTE(SUBSTITUTE(SUBSTITUTE(SUBSTITUTE(SUBSTITUTE(LOWER(Registro!$E795),"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",LEN(Registro!$E795))),({1,2,3,4,5,6,7,8,9,10,11,12,13,14,15,16,17,18,19,20,21,22,23,24,25,26,27,28,29,30}-1)*LEN(Registro!$E795)+1,LEN(Registro!$E795)))&amp;"x")-1))),"Revisar formato")))</f>
        <v/>
      </c>
      <c r="E795" s="24" t="str">
        <f>IF(Registro!$E795="","",IF(ISERROR(FIND("x",LOWER(Registro!$E795))),"-",IFERROR(SUMPRODUCT(--("0"&amp;LEFT(TRIM(MID(SUBSTITUTE(SUBSTITUTE(SUBSTITUTE(SUBSTITUTE(SUBSTITUTE(LOWER(Registro!$E795),"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",LEN(Registro!$E795))),({1,2,3,4,5,6,7,8,9,10,11,12,13,14,15,16,17,18,19,20,21,22,23,24,25,26,27,28,29,30}-1)*LEN(Registro!$E795)+1,LEN(Registro!$E795))),FIND("x",TRIM(MID(SUBSTITUTE(SUBSTITUTE(SUBSTITUTE(SUBSTITUTE(SUBSTITUTE(LOWER(Registro!$E795),"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",LEN(Registro!$E795))),({1,2,3,4,5,6,7,8,9,10,11,12,13,14,15,16,17,18,19,20,21,22,23,24,25,26,27,28,29,30}-1)*LEN(Registro!$E795)+1,LEN(Registro!$E795)))&amp;"x")-1)),--("0"&amp;MID(TRIM(MID(SUBSTITUTE(SUBSTITUTE(SUBSTITUTE(SUBSTITUTE(SUBSTITUTE(LOWER(Registro!$E795),"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",LEN(Registro!$E795))),({1,2,3,4,5,6,7,8,9,10,11,12,13,14,15,16,17,18,19,20,21,22,23,24,25,26,27,28,29,30}-1)*LEN(Registro!$E795)+1,LEN(Registro!$E795))),FIND("x",TRIM(MID(SUBSTITUTE(SUBSTITUTE(SUBSTITUTE(SUBSTITUTE(SUBSTITUTE(LOWER(Registro!$E795),"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",LEN(Registro!$E795))),({1,2,3,4,5,6,7,8,9,10,11,12,13,14,15,16,17,18,19,20,21,22,23,24,25,26,27,28,29,30}-1)*LEN(Registro!$E795)+1,LEN(Registro!$E795)))&amp;"x")+1,20))),"Revisar formato")))</f>
        <v/>
      </c>
      <c r="F795" s="23" t="str">
        <f>IF(Registro!$F795="","",IF(ISERROR(FIND("x",LOWER(Registro!$F795))),"-",IFERROR(SUMPRODUCT(--("0"&amp;LEFT(TRIM(MID(SUBSTITUTE(SUBSTITUTE(SUBSTITUTE(SUBSTITUTE(SUBSTITUTE(LOWER(Registro!$F795)," ",""),CHAR(10),"|"),";","|"),"+","|"),"|",REPT(" ",LEN(Registro!$F795))),({1,2,3,4,5,6,7,8,9,10,11,12,13,14,15,16,17,18,19,20,21,22,23,24,25,26,27,28,29,30}-1)*LEN(Registro!$F795)+1,LEN(Registro!$F795))),FIND("x",TRIM(MID(SUBSTITUTE(SUBSTITUTE(SUBSTITUTE(SUBSTITUTE(SUBSTITUTE(LOWER(Registro!$F795)," ",""),CHAR(10),"|"),";","|"),"+","|"),"|",REPT(" ",LEN(Registro!$F795))),({1,2,3,4,5,6,7,8,9,10,11,12,13,14,15,16,17,18,19,20,21,22,23,24,25,26,27,28,29,30}-1)*LEN(Registro!$F795)+1,LEN(Registro!$F795)))&amp;"x")-1))),"Revisar formato")))</f>
        <v/>
      </c>
      <c r="G795" s="24" t="str">
        <f>IF(Registro!$F795="","",IF(ISERROR(FIND("x",LOWER(Registro!$F795))),N(Registro!$G795),IFERROR(SUMPRODUCT(--("0"&amp;LEFT(TRIM(MID(SUBSTITUTE(SUBSTITUTE(SUBSTITUTE(SUBSTITUTE(SUBSTITUTE(LOWER(Registro!$F795)," ",""),CHAR(10),"|"),";","|"),"+","|"),"|",REPT(" ",LEN(Registro!$F795))),({1,2,3,4,5,6,7,8,9,10,11,12,13,14,15,16,17,18,19,20,21,22,23,24,25,26,27,28,29,30}-1)*LEN(Registro!$F795)+1,LEN(Registro!$F795))),FIND("x",TRIM(MID(SUBSTITUTE(SUBSTITUTE(SUBSTITUTE(SUBSTITUTE(SUBSTITUTE(LOWER(Registro!$F795)," ",""),CHAR(10),"|"),";","|"),"+","|"),"|",REPT(" ",LEN(Registro!$F795))),({1,2,3,4,5,6,7,8,9,10,11,12,13,14,15,16,17,18,19,20,21,22,23,24,25,26,27,28,29,30}-1)*LEN(Registro!$F795)+1,LEN(Registro!$F795)))&amp;"x")-1)),--("0"&amp;MID(TRIM(MID(SUBSTITUTE(SUBSTITUTE(SUBSTITUTE(SUBSTITUTE(SUBSTITUTE(LOWER(Registro!$F795)," ",""),CHAR(10),"|"),";","|"),"+","|"),"|",REPT(" ",LEN(Registro!$F795))),({1,2,3,4,5,6,7,8,9,10,11,12,13,14,15,16,17,18,19,20,21,22,23,24,25,26,27,28,29,30}-1)*LEN(Registro!$F795)+1,LEN(Registro!$F795))),FIND("x",TRIM(MID(SUBSTITUTE(SUBSTITUTE(SUBSTITUTE(SUBSTITUTE(SUBSTITUTE(LOWER(Registro!$F795)," ",""),CHAR(10),"|"),";","|"),"+","|"),"|",REPT(" ",LEN(Registro!$F795))),({1,2,3,4,5,6,7,8,9,10,11,12,13,14,15,16,17,18,19,20,21,22,23,24,25,26,27,28,29,30}-1)*LEN(Registro!$F795)+1,LEN(Registro!$F795)))&amp;"x")+1,20))),"Revisar formato")))</f>
        <v/>
      </c>
      <c r="H795" s="21" t="str">
        <f>IF(AND(Registro!$E795="",Registro!$F795=""),"",IF(NOT(AND(ISNUMBER(G795),ISNUMBER(Registro!$G795))),"",IF(G795&lt;Registro!$G795,"FALTA BOLETOS",IF(G795=Registro!$G795,"CONFORME","DIFERENCIA"))))</f>
        <v/>
      </c>
      <c r="I795" s="24" t="str">
        <f>IF(Registro!$H795="","",IFERROR(SUMPRODUCT(--("0"&amp;TRIM(RIGHT(SUBSTITUTE(TRIM(MID(SUBSTITUTE(SUBSTITUTE(Registro!$H795,";",CHAR(10)),CHAR(10),REPT(" ",LEN(Registro!$H795))),({1,2,3,4,5,6,7,8,9,10,11,12,13,14,15,16,17,18,19,20,21,22,23,24,25,26,27,28,29,30}-1)*LEN(Registro!$H795)+1,LEN(Registro!$H795)))," ",REPT(" ",50)),50)))),"Revisar formato"))</f>
        <v/>
      </c>
      <c r="J795" s="24" t="str">
        <f>IF(Registro!$I795="","",IFERROR(SUMPRODUCT(--("0"&amp;TRIM(RIGHT(SUBSTITUTE(TRIM(MID(SUBSTITUTE(SUBSTITUTE(Registro!$I795,";",CHAR(10)),CHAR(10),REPT(" ",LEN(Registro!$I795))),({1,2,3,4,5,6,7,8,9,10,11,12,13,14,15,16,17,18,19,20,21,22,23,24,25,26,27,28,29,30}-1)*LEN(Registro!$I795)+1,LEN(Registro!$I795)))," ",REPT(" ",50)),50)))),"Revisar formato"))</f>
        <v/>
      </c>
      <c r="K795" s="24" t="str">
        <f>IF(AND(Registro!$G795="",Registro!$H795=""),"",IF(AND(ISTEXT(I795),I795&lt;&gt;""),"Revisar formato",N(Registro!$G795)-N(I795)))</f>
        <v/>
      </c>
      <c r="L795" s="24" t="str">
        <f t="shared" si="25"/>
        <v/>
      </c>
      <c r="M795" s="36" t="str">
        <f>IF(AND(A795=Consulta!$B$3,C795=Consulta!$H$3),B795*10000+ROW(),"")</f>
        <v/>
      </c>
    </row>
    <row r="796" spans="1:13" x14ac:dyDescent="0.25">
      <c r="A796" s="21" t="str">
        <f>IF(Registro!$A796="","",Registro!$A796)</f>
        <v/>
      </c>
      <c r="B796" s="20" t="str">
        <f>IF(Registro!$B796="","",Registro!$B796)</f>
        <v/>
      </c>
      <c r="C796" s="35" t="str">
        <f t="shared" si="24"/>
        <v/>
      </c>
      <c r="D796" s="23" t="str">
        <f>IF(Registro!$E796="","",IF(ISERROR(FIND("x",LOWER(Registro!$E796))),"-",IFERROR(SUMPRODUCT(--("0"&amp;LEFT(TRIM(MID(SUBSTITUTE(SUBSTITUTE(SUBSTITUTE(SUBSTITUTE(SUBSTITUTE(LOWER(Registro!$E796),"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",LEN(Registro!$E796))),({1,2,3,4,5,6,7,8,9,10,11,12,13,14,15,16,17,18,19,20,21,22,23,24,25,26,27,28,29,30}-1)*LEN(Registro!$E796)+1,LEN(Registro!$E796))),FIND("x",TRIM(MID(SUBSTITUTE(SUBSTITUTE(SUBSTITUTE(SUBSTITUTE(SUBSTITUTE(LOWER(Registro!$E796),"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",LEN(Registro!$E796))),({1,2,3,4,5,6,7,8,9,10,11,12,13,14,15,16,17,18,19,20,21,22,23,24,25,26,27,28,29,30}-1)*LEN(Registro!$E796)+1,LEN(Registro!$E796)))&amp;"x")-1))),"Revisar formato")))</f>
        <v/>
      </c>
      <c r="E796" s="24" t="str">
        <f>IF(Registro!$E796="","",IF(ISERROR(FIND("x",LOWER(Registro!$E796))),"-",IFERROR(SUMPRODUCT(--("0"&amp;LEFT(TRIM(MID(SUBSTITUTE(SUBSTITUTE(SUBSTITUTE(SUBSTITUTE(SUBSTITUTE(LOWER(Registro!$E796),"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",LEN(Registro!$E796))),({1,2,3,4,5,6,7,8,9,10,11,12,13,14,15,16,17,18,19,20,21,22,23,24,25,26,27,28,29,30}-1)*LEN(Registro!$E796)+1,LEN(Registro!$E796))),FIND("x",TRIM(MID(SUBSTITUTE(SUBSTITUTE(SUBSTITUTE(SUBSTITUTE(SUBSTITUTE(LOWER(Registro!$E796),"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",LEN(Registro!$E796))),({1,2,3,4,5,6,7,8,9,10,11,12,13,14,15,16,17,18,19,20,21,22,23,24,25,26,27,28,29,30}-1)*LEN(Registro!$E796)+1,LEN(Registro!$E796)))&amp;"x")-1)),--("0"&amp;MID(TRIM(MID(SUBSTITUTE(SUBSTITUTE(SUBSTITUTE(SUBSTITUTE(SUBSTITUTE(LOWER(Registro!$E796),"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",LEN(Registro!$E796))),({1,2,3,4,5,6,7,8,9,10,11,12,13,14,15,16,17,18,19,20,21,22,23,24,25,26,27,28,29,30}-1)*LEN(Registro!$E796)+1,LEN(Registro!$E796))),FIND("x",TRIM(MID(SUBSTITUTE(SUBSTITUTE(SUBSTITUTE(SUBSTITUTE(SUBSTITUTE(LOWER(Registro!$E796),"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",LEN(Registro!$E796))),({1,2,3,4,5,6,7,8,9,10,11,12,13,14,15,16,17,18,19,20,21,22,23,24,25,26,27,28,29,30}-1)*LEN(Registro!$E796)+1,LEN(Registro!$E796)))&amp;"x")+1,20))),"Revisar formato")))</f>
        <v/>
      </c>
      <c r="F796" s="23" t="str">
        <f>IF(Registro!$F796="","",IF(ISERROR(FIND("x",LOWER(Registro!$F796))),"-",IFERROR(SUMPRODUCT(--("0"&amp;LEFT(TRIM(MID(SUBSTITUTE(SUBSTITUTE(SUBSTITUTE(SUBSTITUTE(SUBSTITUTE(LOWER(Registro!$F796)," ",""),CHAR(10),"|"),";","|"),"+","|"),"|",REPT(" ",LEN(Registro!$F796))),({1,2,3,4,5,6,7,8,9,10,11,12,13,14,15,16,17,18,19,20,21,22,23,24,25,26,27,28,29,30}-1)*LEN(Registro!$F796)+1,LEN(Registro!$F796))),FIND("x",TRIM(MID(SUBSTITUTE(SUBSTITUTE(SUBSTITUTE(SUBSTITUTE(SUBSTITUTE(LOWER(Registro!$F796)," ",""),CHAR(10),"|"),";","|"),"+","|"),"|",REPT(" ",LEN(Registro!$F796))),({1,2,3,4,5,6,7,8,9,10,11,12,13,14,15,16,17,18,19,20,21,22,23,24,25,26,27,28,29,30}-1)*LEN(Registro!$F796)+1,LEN(Registro!$F796)))&amp;"x")-1))),"Revisar formato")))</f>
        <v/>
      </c>
      <c r="G796" s="24" t="str">
        <f>IF(Registro!$F796="","",IF(ISERROR(FIND("x",LOWER(Registro!$F796))),N(Registro!$G796),IFERROR(SUMPRODUCT(--("0"&amp;LEFT(TRIM(MID(SUBSTITUTE(SUBSTITUTE(SUBSTITUTE(SUBSTITUTE(SUBSTITUTE(LOWER(Registro!$F796)," ",""),CHAR(10),"|"),";","|"),"+","|"),"|",REPT(" ",LEN(Registro!$F796))),({1,2,3,4,5,6,7,8,9,10,11,12,13,14,15,16,17,18,19,20,21,22,23,24,25,26,27,28,29,30}-1)*LEN(Registro!$F796)+1,LEN(Registro!$F796))),FIND("x",TRIM(MID(SUBSTITUTE(SUBSTITUTE(SUBSTITUTE(SUBSTITUTE(SUBSTITUTE(LOWER(Registro!$F796)," ",""),CHAR(10),"|"),";","|"),"+","|"),"|",REPT(" ",LEN(Registro!$F796))),({1,2,3,4,5,6,7,8,9,10,11,12,13,14,15,16,17,18,19,20,21,22,23,24,25,26,27,28,29,30}-1)*LEN(Registro!$F796)+1,LEN(Registro!$F796)))&amp;"x")-1)),--("0"&amp;MID(TRIM(MID(SUBSTITUTE(SUBSTITUTE(SUBSTITUTE(SUBSTITUTE(SUBSTITUTE(LOWER(Registro!$F796)," ",""),CHAR(10),"|"),";","|"),"+","|"),"|",REPT(" ",LEN(Registro!$F796))),({1,2,3,4,5,6,7,8,9,10,11,12,13,14,15,16,17,18,19,20,21,22,23,24,25,26,27,28,29,30}-1)*LEN(Registro!$F796)+1,LEN(Registro!$F796))),FIND("x",TRIM(MID(SUBSTITUTE(SUBSTITUTE(SUBSTITUTE(SUBSTITUTE(SUBSTITUTE(LOWER(Registro!$F796)," ",""),CHAR(10),"|"),";","|"),"+","|"),"|",REPT(" ",LEN(Registro!$F796))),({1,2,3,4,5,6,7,8,9,10,11,12,13,14,15,16,17,18,19,20,21,22,23,24,25,26,27,28,29,30}-1)*LEN(Registro!$F796)+1,LEN(Registro!$F796)))&amp;"x")+1,20))),"Revisar formato")))</f>
        <v/>
      </c>
      <c r="H796" s="21" t="str">
        <f>IF(AND(Registro!$E796="",Registro!$F796=""),"",IF(NOT(AND(ISNUMBER(G796),ISNUMBER(Registro!$G796))),"",IF(G796&lt;Registro!$G796,"FALTA BOLETOS",IF(G796=Registro!$G796,"CONFORME","DIFERENCIA"))))</f>
        <v/>
      </c>
      <c r="I796" s="24" t="str">
        <f>IF(Registro!$H796="","",IFERROR(SUMPRODUCT(--("0"&amp;TRIM(RIGHT(SUBSTITUTE(TRIM(MID(SUBSTITUTE(SUBSTITUTE(Registro!$H796,";",CHAR(10)),CHAR(10),REPT(" ",LEN(Registro!$H796))),({1,2,3,4,5,6,7,8,9,10,11,12,13,14,15,16,17,18,19,20,21,22,23,24,25,26,27,28,29,30}-1)*LEN(Registro!$H796)+1,LEN(Registro!$H796)))," ",REPT(" ",50)),50)))),"Revisar formato"))</f>
        <v/>
      </c>
      <c r="J796" s="24" t="str">
        <f>IF(Registro!$I796="","",IFERROR(SUMPRODUCT(--("0"&amp;TRIM(RIGHT(SUBSTITUTE(TRIM(MID(SUBSTITUTE(SUBSTITUTE(Registro!$I796,";",CHAR(10)),CHAR(10),REPT(" ",LEN(Registro!$I796))),({1,2,3,4,5,6,7,8,9,10,11,12,13,14,15,16,17,18,19,20,21,22,23,24,25,26,27,28,29,30}-1)*LEN(Registro!$I796)+1,LEN(Registro!$I796)))," ",REPT(" ",50)),50)))),"Revisar formato"))</f>
        <v/>
      </c>
      <c r="K796" s="24" t="str">
        <f>IF(AND(Registro!$G796="",Registro!$H796=""),"",IF(AND(ISTEXT(I796),I796&lt;&gt;""),"Revisar formato",N(Registro!$G796)-N(I796)))</f>
        <v/>
      </c>
      <c r="L796" s="24" t="str">
        <f t="shared" si="25"/>
        <v/>
      </c>
      <c r="M796" s="36" t="str">
        <f>IF(AND(A796=Consulta!$B$3,C796=Consulta!$H$3),B796*10000+ROW(),"")</f>
        <v/>
      </c>
    </row>
    <row r="797" spans="1:13" x14ac:dyDescent="0.25">
      <c r="A797" s="21" t="str">
        <f>IF(Registro!$A797="","",Registro!$A797)</f>
        <v/>
      </c>
      <c r="B797" s="20" t="str">
        <f>IF(Registro!$B797="","",Registro!$B797)</f>
        <v/>
      </c>
      <c r="C797" s="35" t="str">
        <f t="shared" si="24"/>
        <v/>
      </c>
      <c r="D797" s="23" t="str">
        <f>IF(Registro!$E797="","",IF(ISERROR(FIND("x",LOWER(Registro!$E797))),"-",IFERROR(SUMPRODUCT(--("0"&amp;LEFT(TRIM(MID(SUBSTITUTE(SUBSTITUTE(SUBSTITUTE(SUBSTITUTE(SUBSTITUTE(LOWER(Registro!$E797),"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",LEN(Registro!$E797))),({1,2,3,4,5,6,7,8,9,10,11,12,13,14,15,16,17,18,19,20,21,22,23,24,25,26,27,28,29,30}-1)*LEN(Registro!$E797)+1,LEN(Registro!$E797))),FIND("x",TRIM(MID(SUBSTITUTE(SUBSTITUTE(SUBSTITUTE(SUBSTITUTE(SUBSTITUTE(LOWER(Registro!$E797),"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",LEN(Registro!$E797))),({1,2,3,4,5,6,7,8,9,10,11,12,13,14,15,16,17,18,19,20,21,22,23,24,25,26,27,28,29,30}-1)*LEN(Registro!$E797)+1,LEN(Registro!$E797)))&amp;"x")-1))),"Revisar formato")))</f>
        <v/>
      </c>
      <c r="E797" s="24" t="str">
        <f>IF(Registro!$E797="","",IF(ISERROR(FIND("x",LOWER(Registro!$E797))),"-",IFERROR(SUMPRODUCT(--("0"&amp;LEFT(TRIM(MID(SUBSTITUTE(SUBSTITUTE(SUBSTITUTE(SUBSTITUTE(SUBSTITUTE(LOWER(Registro!$E797),"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",LEN(Registro!$E797))),({1,2,3,4,5,6,7,8,9,10,11,12,13,14,15,16,17,18,19,20,21,22,23,24,25,26,27,28,29,30}-1)*LEN(Registro!$E797)+1,LEN(Registro!$E797))),FIND("x",TRIM(MID(SUBSTITUTE(SUBSTITUTE(SUBSTITUTE(SUBSTITUTE(SUBSTITUTE(LOWER(Registro!$E797),"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",LEN(Registro!$E797))),({1,2,3,4,5,6,7,8,9,10,11,12,13,14,15,16,17,18,19,20,21,22,23,24,25,26,27,28,29,30}-1)*LEN(Registro!$E797)+1,LEN(Registro!$E797)))&amp;"x")-1)),--("0"&amp;MID(TRIM(MID(SUBSTITUTE(SUBSTITUTE(SUBSTITUTE(SUBSTITUTE(SUBSTITUTE(LOWER(Registro!$E797),"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",LEN(Registro!$E797))),({1,2,3,4,5,6,7,8,9,10,11,12,13,14,15,16,17,18,19,20,21,22,23,24,25,26,27,28,29,30}-1)*LEN(Registro!$E797)+1,LEN(Registro!$E797))),FIND("x",TRIM(MID(SUBSTITUTE(SUBSTITUTE(SUBSTITUTE(SUBSTITUTE(SUBSTITUTE(LOWER(Registro!$E797),"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",LEN(Registro!$E797))),({1,2,3,4,5,6,7,8,9,10,11,12,13,14,15,16,17,18,19,20,21,22,23,24,25,26,27,28,29,30}-1)*LEN(Registro!$E797)+1,LEN(Registro!$E797)))&amp;"x")+1,20))),"Revisar formato")))</f>
        <v/>
      </c>
      <c r="F797" s="23" t="str">
        <f>IF(Registro!$F797="","",IF(ISERROR(FIND("x",LOWER(Registro!$F797))),"-",IFERROR(SUMPRODUCT(--("0"&amp;LEFT(TRIM(MID(SUBSTITUTE(SUBSTITUTE(SUBSTITUTE(SUBSTITUTE(SUBSTITUTE(LOWER(Registro!$F797)," ",""),CHAR(10),"|"),";","|"),"+","|"),"|",REPT(" ",LEN(Registro!$F797))),({1,2,3,4,5,6,7,8,9,10,11,12,13,14,15,16,17,18,19,20,21,22,23,24,25,26,27,28,29,30}-1)*LEN(Registro!$F797)+1,LEN(Registro!$F797))),FIND("x",TRIM(MID(SUBSTITUTE(SUBSTITUTE(SUBSTITUTE(SUBSTITUTE(SUBSTITUTE(LOWER(Registro!$F797)," ",""),CHAR(10),"|"),";","|"),"+","|"),"|",REPT(" ",LEN(Registro!$F797))),({1,2,3,4,5,6,7,8,9,10,11,12,13,14,15,16,17,18,19,20,21,22,23,24,25,26,27,28,29,30}-1)*LEN(Registro!$F797)+1,LEN(Registro!$F797)))&amp;"x")-1))),"Revisar formato")))</f>
        <v/>
      </c>
      <c r="G797" s="24" t="str">
        <f>IF(Registro!$F797="","",IF(ISERROR(FIND("x",LOWER(Registro!$F797))),N(Registro!$G797),IFERROR(SUMPRODUCT(--("0"&amp;LEFT(TRIM(MID(SUBSTITUTE(SUBSTITUTE(SUBSTITUTE(SUBSTITUTE(SUBSTITUTE(LOWER(Registro!$F797)," ",""),CHAR(10),"|"),";","|"),"+","|"),"|",REPT(" ",LEN(Registro!$F797))),({1,2,3,4,5,6,7,8,9,10,11,12,13,14,15,16,17,18,19,20,21,22,23,24,25,26,27,28,29,30}-1)*LEN(Registro!$F797)+1,LEN(Registro!$F797))),FIND("x",TRIM(MID(SUBSTITUTE(SUBSTITUTE(SUBSTITUTE(SUBSTITUTE(SUBSTITUTE(LOWER(Registro!$F797)," ",""),CHAR(10),"|"),";","|"),"+","|"),"|",REPT(" ",LEN(Registro!$F797))),({1,2,3,4,5,6,7,8,9,10,11,12,13,14,15,16,17,18,19,20,21,22,23,24,25,26,27,28,29,30}-1)*LEN(Registro!$F797)+1,LEN(Registro!$F797)))&amp;"x")-1)),--("0"&amp;MID(TRIM(MID(SUBSTITUTE(SUBSTITUTE(SUBSTITUTE(SUBSTITUTE(SUBSTITUTE(LOWER(Registro!$F797)," ",""),CHAR(10),"|"),";","|"),"+","|"),"|",REPT(" ",LEN(Registro!$F797))),({1,2,3,4,5,6,7,8,9,10,11,12,13,14,15,16,17,18,19,20,21,22,23,24,25,26,27,28,29,30}-1)*LEN(Registro!$F797)+1,LEN(Registro!$F797))),FIND("x",TRIM(MID(SUBSTITUTE(SUBSTITUTE(SUBSTITUTE(SUBSTITUTE(SUBSTITUTE(LOWER(Registro!$F797)," ",""),CHAR(10),"|"),";","|"),"+","|"),"|",REPT(" ",LEN(Registro!$F797))),({1,2,3,4,5,6,7,8,9,10,11,12,13,14,15,16,17,18,19,20,21,22,23,24,25,26,27,28,29,30}-1)*LEN(Registro!$F797)+1,LEN(Registro!$F797)))&amp;"x")+1,20))),"Revisar formato")))</f>
        <v/>
      </c>
      <c r="H797" s="21" t="str">
        <f>IF(AND(Registro!$E797="",Registro!$F797=""),"",IF(NOT(AND(ISNUMBER(G797),ISNUMBER(Registro!$G797))),"",IF(G797&lt;Registro!$G797,"FALTA BOLETOS",IF(G797=Registro!$G797,"CONFORME","DIFERENCIA"))))</f>
        <v/>
      </c>
      <c r="I797" s="24" t="str">
        <f>IF(Registro!$H797="","",IFERROR(SUMPRODUCT(--("0"&amp;TRIM(RIGHT(SUBSTITUTE(TRIM(MID(SUBSTITUTE(SUBSTITUTE(Registro!$H797,";",CHAR(10)),CHAR(10),REPT(" ",LEN(Registro!$H797))),({1,2,3,4,5,6,7,8,9,10,11,12,13,14,15,16,17,18,19,20,21,22,23,24,25,26,27,28,29,30}-1)*LEN(Registro!$H797)+1,LEN(Registro!$H797)))," ",REPT(" ",50)),50)))),"Revisar formato"))</f>
        <v/>
      </c>
      <c r="J797" s="24" t="str">
        <f>IF(Registro!$I797="","",IFERROR(SUMPRODUCT(--("0"&amp;TRIM(RIGHT(SUBSTITUTE(TRIM(MID(SUBSTITUTE(SUBSTITUTE(Registro!$I797,";",CHAR(10)),CHAR(10),REPT(" ",LEN(Registro!$I797))),({1,2,3,4,5,6,7,8,9,10,11,12,13,14,15,16,17,18,19,20,21,22,23,24,25,26,27,28,29,30}-1)*LEN(Registro!$I797)+1,LEN(Registro!$I797)))," ",REPT(" ",50)),50)))),"Revisar formato"))</f>
        <v/>
      </c>
      <c r="K797" s="24" t="str">
        <f>IF(AND(Registro!$G797="",Registro!$H797=""),"",IF(AND(ISTEXT(I797),I797&lt;&gt;""),"Revisar formato",N(Registro!$G797)-N(I797)))</f>
        <v/>
      </c>
      <c r="L797" s="24" t="str">
        <f t="shared" si="25"/>
        <v/>
      </c>
      <c r="M797" s="36" t="str">
        <f>IF(AND(A797=Consulta!$B$3,C797=Consulta!$H$3),B797*10000+ROW(),"")</f>
        <v/>
      </c>
    </row>
    <row r="798" spans="1:13" x14ac:dyDescent="0.25">
      <c r="A798" s="21" t="str">
        <f>IF(Registro!$A798="","",Registro!$A798)</f>
        <v/>
      </c>
      <c r="B798" s="20" t="str">
        <f>IF(Registro!$B798="","",Registro!$B798)</f>
        <v/>
      </c>
      <c r="C798" s="35" t="str">
        <f t="shared" si="24"/>
        <v/>
      </c>
      <c r="D798" s="23" t="str">
        <f>IF(Registro!$E798="","",IF(ISERROR(FIND("x",LOWER(Registro!$E798))),"-",IFERROR(SUMPRODUCT(--("0"&amp;LEFT(TRIM(MID(SUBSTITUTE(SUBSTITUTE(SUBSTITUTE(SUBSTITUTE(SUBSTITUTE(LOWER(Registro!$E798),"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",LEN(Registro!$E798))),({1,2,3,4,5,6,7,8,9,10,11,12,13,14,15,16,17,18,19,20,21,22,23,24,25,26,27,28,29,30}-1)*LEN(Registro!$E798)+1,LEN(Registro!$E798))),FIND("x",TRIM(MID(SUBSTITUTE(SUBSTITUTE(SUBSTITUTE(SUBSTITUTE(SUBSTITUTE(LOWER(Registro!$E798),"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",LEN(Registro!$E798))),({1,2,3,4,5,6,7,8,9,10,11,12,13,14,15,16,17,18,19,20,21,22,23,24,25,26,27,28,29,30}-1)*LEN(Registro!$E798)+1,LEN(Registro!$E798)))&amp;"x")-1))),"Revisar formato")))</f>
        <v/>
      </c>
      <c r="E798" s="24" t="str">
        <f>IF(Registro!$E798="","",IF(ISERROR(FIND("x",LOWER(Registro!$E798))),"-",IFERROR(SUMPRODUCT(--("0"&amp;LEFT(TRIM(MID(SUBSTITUTE(SUBSTITUTE(SUBSTITUTE(SUBSTITUTE(SUBSTITUTE(LOWER(Registro!$E798),"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",LEN(Registro!$E798))),({1,2,3,4,5,6,7,8,9,10,11,12,13,14,15,16,17,18,19,20,21,22,23,24,25,26,27,28,29,30}-1)*LEN(Registro!$E798)+1,LEN(Registro!$E798))),FIND("x",TRIM(MID(SUBSTITUTE(SUBSTITUTE(SUBSTITUTE(SUBSTITUTE(SUBSTITUTE(LOWER(Registro!$E798),"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",LEN(Registro!$E798))),({1,2,3,4,5,6,7,8,9,10,11,12,13,14,15,16,17,18,19,20,21,22,23,24,25,26,27,28,29,30}-1)*LEN(Registro!$E798)+1,LEN(Registro!$E798)))&amp;"x")-1)),--("0"&amp;MID(TRIM(MID(SUBSTITUTE(SUBSTITUTE(SUBSTITUTE(SUBSTITUTE(SUBSTITUTE(LOWER(Registro!$E798),"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",LEN(Registro!$E798))),({1,2,3,4,5,6,7,8,9,10,11,12,13,14,15,16,17,18,19,20,21,22,23,24,25,26,27,28,29,30}-1)*LEN(Registro!$E798)+1,LEN(Registro!$E798))),FIND("x",TRIM(MID(SUBSTITUTE(SUBSTITUTE(SUBSTITUTE(SUBSTITUTE(SUBSTITUTE(LOWER(Registro!$E798),"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",LEN(Registro!$E798))),({1,2,3,4,5,6,7,8,9,10,11,12,13,14,15,16,17,18,19,20,21,22,23,24,25,26,27,28,29,30}-1)*LEN(Registro!$E798)+1,LEN(Registro!$E798)))&amp;"x")+1,20))),"Revisar formato")))</f>
        <v/>
      </c>
      <c r="F798" s="23" t="str">
        <f>IF(Registro!$F798="","",IF(ISERROR(FIND("x",LOWER(Registro!$F798))),"-",IFERROR(SUMPRODUCT(--("0"&amp;LEFT(TRIM(MID(SUBSTITUTE(SUBSTITUTE(SUBSTITUTE(SUBSTITUTE(SUBSTITUTE(LOWER(Registro!$F798)," ",""),CHAR(10),"|"),";","|"),"+","|"),"|",REPT(" ",LEN(Registro!$F798))),({1,2,3,4,5,6,7,8,9,10,11,12,13,14,15,16,17,18,19,20,21,22,23,24,25,26,27,28,29,30}-1)*LEN(Registro!$F798)+1,LEN(Registro!$F798))),FIND("x",TRIM(MID(SUBSTITUTE(SUBSTITUTE(SUBSTITUTE(SUBSTITUTE(SUBSTITUTE(LOWER(Registro!$F798)," ",""),CHAR(10),"|"),";","|"),"+","|"),"|",REPT(" ",LEN(Registro!$F798))),({1,2,3,4,5,6,7,8,9,10,11,12,13,14,15,16,17,18,19,20,21,22,23,24,25,26,27,28,29,30}-1)*LEN(Registro!$F798)+1,LEN(Registro!$F798)))&amp;"x")-1))),"Revisar formato")))</f>
        <v/>
      </c>
      <c r="G798" s="24" t="str">
        <f>IF(Registro!$F798="","",IF(ISERROR(FIND("x",LOWER(Registro!$F798))),N(Registro!$G798),IFERROR(SUMPRODUCT(--("0"&amp;LEFT(TRIM(MID(SUBSTITUTE(SUBSTITUTE(SUBSTITUTE(SUBSTITUTE(SUBSTITUTE(LOWER(Registro!$F798)," ",""),CHAR(10),"|"),";","|"),"+","|"),"|",REPT(" ",LEN(Registro!$F798))),({1,2,3,4,5,6,7,8,9,10,11,12,13,14,15,16,17,18,19,20,21,22,23,24,25,26,27,28,29,30}-1)*LEN(Registro!$F798)+1,LEN(Registro!$F798))),FIND("x",TRIM(MID(SUBSTITUTE(SUBSTITUTE(SUBSTITUTE(SUBSTITUTE(SUBSTITUTE(LOWER(Registro!$F798)," ",""),CHAR(10),"|"),";","|"),"+","|"),"|",REPT(" ",LEN(Registro!$F798))),({1,2,3,4,5,6,7,8,9,10,11,12,13,14,15,16,17,18,19,20,21,22,23,24,25,26,27,28,29,30}-1)*LEN(Registro!$F798)+1,LEN(Registro!$F798)))&amp;"x")-1)),--("0"&amp;MID(TRIM(MID(SUBSTITUTE(SUBSTITUTE(SUBSTITUTE(SUBSTITUTE(SUBSTITUTE(LOWER(Registro!$F798)," ",""),CHAR(10),"|"),";","|"),"+","|"),"|",REPT(" ",LEN(Registro!$F798))),({1,2,3,4,5,6,7,8,9,10,11,12,13,14,15,16,17,18,19,20,21,22,23,24,25,26,27,28,29,30}-1)*LEN(Registro!$F798)+1,LEN(Registro!$F798))),FIND("x",TRIM(MID(SUBSTITUTE(SUBSTITUTE(SUBSTITUTE(SUBSTITUTE(SUBSTITUTE(LOWER(Registro!$F798)," ",""),CHAR(10),"|"),";","|"),"+","|"),"|",REPT(" ",LEN(Registro!$F798))),({1,2,3,4,5,6,7,8,9,10,11,12,13,14,15,16,17,18,19,20,21,22,23,24,25,26,27,28,29,30}-1)*LEN(Registro!$F798)+1,LEN(Registro!$F798)))&amp;"x")+1,20))),"Revisar formato")))</f>
        <v/>
      </c>
      <c r="H798" s="21" t="str">
        <f>IF(AND(Registro!$E798="",Registro!$F798=""),"",IF(NOT(AND(ISNUMBER(G798),ISNUMBER(Registro!$G798))),"",IF(G798&lt;Registro!$G798,"FALTA BOLETOS",IF(G798=Registro!$G798,"CONFORME","DIFERENCIA"))))</f>
        <v/>
      </c>
      <c r="I798" s="24" t="str">
        <f>IF(Registro!$H798="","",IFERROR(SUMPRODUCT(--("0"&amp;TRIM(RIGHT(SUBSTITUTE(TRIM(MID(SUBSTITUTE(SUBSTITUTE(Registro!$H798,";",CHAR(10)),CHAR(10),REPT(" ",LEN(Registro!$H798))),({1,2,3,4,5,6,7,8,9,10,11,12,13,14,15,16,17,18,19,20,21,22,23,24,25,26,27,28,29,30}-1)*LEN(Registro!$H798)+1,LEN(Registro!$H798)))," ",REPT(" ",50)),50)))),"Revisar formato"))</f>
        <v/>
      </c>
      <c r="J798" s="24" t="str">
        <f>IF(Registro!$I798="","",IFERROR(SUMPRODUCT(--("0"&amp;TRIM(RIGHT(SUBSTITUTE(TRIM(MID(SUBSTITUTE(SUBSTITUTE(Registro!$I798,";",CHAR(10)),CHAR(10),REPT(" ",LEN(Registro!$I798))),({1,2,3,4,5,6,7,8,9,10,11,12,13,14,15,16,17,18,19,20,21,22,23,24,25,26,27,28,29,30}-1)*LEN(Registro!$I798)+1,LEN(Registro!$I798)))," ",REPT(" ",50)),50)))),"Revisar formato"))</f>
        <v/>
      </c>
      <c r="K798" s="24" t="str">
        <f>IF(AND(Registro!$G798="",Registro!$H798=""),"",IF(AND(ISTEXT(I798),I798&lt;&gt;""),"Revisar formato",N(Registro!$G798)-N(I798)))</f>
        <v/>
      </c>
      <c r="L798" s="24" t="str">
        <f t="shared" si="25"/>
        <v/>
      </c>
      <c r="M798" s="36" t="str">
        <f>IF(AND(A798=Consulta!$B$3,C798=Consulta!$H$3),B798*10000+ROW(),"")</f>
        <v/>
      </c>
    </row>
    <row r="799" spans="1:13" x14ac:dyDescent="0.25">
      <c r="A799" s="21" t="str">
        <f>IF(Registro!$A799="","",Registro!$A799)</f>
        <v/>
      </c>
      <c r="B799" s="20" t="str">
        <f>IF(Registro!$B799="","",Registro!$B799)</f>
        <v/>
      </c>
      <c r="C799" s="35" t="str">
        <f t="shared" si="24"/>
        <v/>
      </c>
      <c r="D799" s="23" t="str">
        <f>IF(Registro!$E799="","",IF(ISERROR(FIND("x",LOWER(Registro!$E799))),"-",IFERROR(SUMPRODUCT(--("0"&amp;LEFT(TRIM(MID(SUBSTITUTE(SUBSTITUTE(SUBSTITUTE(SUBSTITUTE(SUBSTITUTE(LOWER(Registro!$E799),"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",LEN(Registro!$E799))),({1,2,3,4,5,6,7,8,9,10,11,12,13,14,15,16,17,18,19,20,21,22,23,24,25,26,27,28,29,30}-1)*LEN(Registro!$E799)+1,LEN(Registro!$E799))),FIND("x",TRIM(MID(SUBSTITUTE(SUBSTITUTE(SUBSTITUTE(SUBSTITUTE(SUBSTITUTE(LOWER(Registro!$E799),"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",LEN(Registro!$E799))),({1,2,3,4,5,6,7,8,9,10,11,12,13,14,15,16,17,18,19,20,21,22,23,24,25,26,27,28,29,30}-1)*LEN(Registro!$E799)+1,LEN(Registro!$E799)))&amp;"x")-1))),"Revisar formato")))</f>
        <v/>
      </c>
      <c r="E799" s="24" t="str">
        <f>IF(Registro!$E799="","",IF(ISERROR(FIND("x",LOWER(Registro!$E799))),"-",IFERROR(SUMPRODUCT(--("0"&amp;LEFT(TRIM(MID(SUBSTITUTE(SUBSTITUTE(SUBSTITUTE(SUBSTITUTE(SUBSTITUTE(LOWER(Registro!$E799),"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",LEN(Registro!$E799))),({1,2,3,4,5,6,7,8,9,10,11,12,13,14,15,16,17,18,19,20,21,22,23,24,25,26,27,28,29,30}-1)*LEN(Registro!$E799)+1,LEN(Registro!$E799))),FIND("x",TRIM(MID(SUBSTITUTE(SUBSTITUTE(SUBSTITUTE(SUBSTITUTE(SUBSTITUTE(LOWER(Registro!$E799),"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",LEN(Registro!$E799))),({1,2,3,4,5,6,7,8,9,10,11,12,13,14,15,16,17,18,19,20,21,22,23,24,25,26,27,28,29,30}-1)*LEN(Registro!$E799)+1,LEN(Registro!$E799)))&amp;"x")-1)),--("0"&amp;MID(TRIM(MID(SUBSTITUTE(SUBSTITUTE(SUBSTITUTE(SUBSTITUTE(SUBSTITUTE(LOWER(Registro!$E799),"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",LEN(Registro!$E799))),({1,2,3,4,5,6,7,8,9,10,11,12,13,14,15,16,17,18,19,20,21,22,23,24,25,26,27,28,29,30}-1)*LEN(Registro!$E799)+1,LEN(Registro!$E799))),FIND("x",TRIM(MID(SUBSTITUTE(SUBSTITUTE(SUBSTITUTE(SUBSTITUTE(SUBSTITUTE(LOWER(Registro!$E799),"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",LEN(Registro!$E799))),({1,2,3,4,5,6,7,8,9,10,11,12,13,14,15,16,17,18,19,20,21,22,23,24,25,26,27,28,29,30}-1)*LEN(Registro!$E799)+1,LEN(Registro!$E799)))&amp;"x")+1,20))),"Revisar formato")))</f>
        <v/>
      </c>
      <c r="F799" s="23" t="str">
        <f>IF(Registro!$F799="","",IF(ISERROR(FIND("x",LOWER(Registro!$F799))),"-",IFERROR(SUMPRODUCT(--("0"&amp;LEFT(TRIM(MID(SUBSTITUTE(SUBSTITUTE(SUBSTITUTE(SUBSTITUTE(SUBSTITUTE(LOWER(Registro!$F799)," ",""),CHAR(10),"|"),";","|"),"+","|"),"|",REPT(" ",LEN(Registro!$F799))),({1,2,3,4,5,6,7,8,9,10,11,12,13,14,15,16,17,18,19,20,21,22,23,24,25,26,27,28,29,30}-1)*LEN(Registro!$F799)+1,LEN(Registro!$F799))),FIND("x",TRIM(MID(SUBSTITUTE(SUBSTITUTE(SUBSTITUTE(SUBSTITUTE(SUBSTITUTE(LOWER(Registro!$F799)," ",""),CHAR(10),"|"),";","|"),"+","|"),"|",REPT(" ",LEN(Registro!$F799))),({1,2,3,4,5,6,7,8,9,10,11,12,13,14,15,16,17,18,19,20,21,22,23,24,25,26,27,28,29,30}-1)*LEN(Registro!$F799)+1,LEN(Registro!$F799)))&amp;"x")-1))),"Revisar formato")))</f>
        <v/>
      </c>
      <c r="G799" s="24" t="str">
        <f>IF(Registro!$F799="","",IF(ISERROR(FIND("x",LOWER(Registro!$F799))),N(Registro!$G799),IFERROR(SUMPRODUCT(--("0"&amp;LEFT(TRIM(MID(SUBSTITUTE(SUBSTITUTE(SUBSTITUTE(SUBSTITUTE(SUBSTITUTE(LOWER(Registro!$F799)," ",""),CHAR(10),"|"),";","|"),"+","|"),"|",REPT(" ",LEN(Registro!$F799))),({1,2,3,4,5,6,7,8,9,10,11,12,13,14,15,16,17,18,19,20,21,22,23,24,25,26,27,28,29,30}-1)*LEN(Registro!$F799)+1,LEN(Registro!$F799))),FIND("x",TRIM(MID(SUBSTITUTE(SUBSTITUTE(SUBSTITUTE(SUBSTITUTE(SUBSTITUTE(LOWER(Registro!$F799)," ",""),CHAR(10),"|"),";","|"),"+","|"),"|",REPT(" ",LEN(Registro!$F799))),({1,2,3,4,5,6,7,8,9,10,11,12,13,14,15,16,17,18,19,20,21,22,23,24,25,26,27,28,29,30}-1)*LEN(Registro!$F799)+1,LEN(Registro!$F799)))&amp;"x")-1)),--("0"&amp;MID(TRIM(MID(SUBSTITUTE(SUBSTITUTE(SUBSTITUTE(SUBSTITUTE(SUBSTITUTE(LOWER(Registro!$F799)," ",""),CHAR(10),"|"),";","|"),"+","|"),"|",REPT(" ",LEN(Registro!$F799))),({1,2,3,4,5,6,7,8,9,10,11,12,13,14,15,16,17,18,19,20,21,22,23,24,25,26,27,28,29,30}-1)*LEN(Registro!$F799)+1,LEN(Registro!$F799))),FIND("x",TRIM(MID(SUBSTITUTE(SUBSTITUTE(SUBSTITUTE(SUBSTITUTE(SUBSTITUTE(LOWER(Registro!$F799)," ",""),CHAR(10),"|"),";","|"),"+","|"),"|",REPT(" ",LEN(Registro!$F799))),({1,2,3,4,5,6,7,8,9,10,11,12,13,14,15,16,17,18,19,20,21,22,23,24,25,26,27,28,29,30}-1)*LEN(Registro!$F799)+1,LEN(Registro!$F799)))&amp;"x")+1,20))),"Revisar formato")))</f>
        <v/>
      </c>
      <c r="H799" s="21" t="str">
        <f>IF(AND(Registro!$E799="",Registro!$F799=""),"",IF(NOT(AND(ISNUMBER(G799),ISNUMBER(Registro!$G799))),"",IF(G799&lt;Registro!$G799,"FALTA BOLETOS",IF(G799=Registro!$G799,"CONFORME","DIFERENCIA"))))</f>
        <v/>
      </c>
      <c r="I799" s="24" t="str">
        <f>IF(Registro!$H799="","",IFERROR(SUMPRODUCT(--("0"&amp;TRIM(RIGHT(SUBSTITUTE(TRIM(MID(SUBSTITUTE(SUBSTITUTE(Registro!$H799,";",CHAR(10)),CHAR(10),REPT(" ",LEN(Registro!$H799))),({1,2,3,4,5,6,7,8,9,10,11,12,13,14,15,16,17,18,19,20,21,22,23,24,25,26,27,28,29,30}-1)*LEN(Registro!$H799)+1,LEN(Registro!$H799)))," ",REPT(" ",50)),50)))),"Revisar formato"))</f>
        <v/>
      </c>
      <c r="J799" s="24" t="str">
        <f>IF(Registro!$I799="","",IFERROR(SUMPRODUCT(--("0"&amp;TRIM(RIGHT(SUBSTITUTE(TRIM(MID(SUBSTITUTE(SUBSTITUTE(Registro!$I799,";",CHAR(10)),CHAR(10),REPT(" ",LEN(Registro!$I799))),({1,2,3,4,5,6,7,8,9,10,11,12,13,14,15,16,17,18,19,20,21,22,23,24,25,26,27,28,29,30}-1)*LEN(Registro!$I799)+1,LEN(Registro!$I799)))," ",REPT(" ",50)),50)))),"Revisar formato"))</f>
        <v/>
      </c>
      <c r="K799" s="24" t="str">
        <f>IF(AND(Registro!$G799="",Registro!$H799=""),"",IF(AND(ISTEXT(I799),I799&lt;&gt;""),"Revisar formato",N(Registro!$G799)-N(I799)))</f>
        <v/>
      </c>
      <c r="L799" s="24" t="str">
        <f t="shared" si="25"/>
        <v/>
      </c>
      <c r="M799" s="36" t="str">
        <f>IF(AND(A799=Consulta!$B$3,C799=Consulta!$H$3),B799*10000+ROW(),"")</f>
        <v/>
      </c>
    </row>
    <row r="800" spans="1:13" x14ac:dyDescent="0.25">
      <c r="A800" s="21" t="str">
        <f>IF(Registro!$A800="","",Registro!$A800)</f>
        <v/>
      </c>
      <c r="B800" s="20" t="str">
        <f>IF(Registro!$B800="","",Registro!$B800)</f>
        <v/>
      </c>
      <c r="C800" s="35" t="str">
        <f t="shared" si="24"/>
        <v/>
      </c>
      <c r="D800" s="23" t="str">
        <f>IF(Registro!$E800="","",IF(ISERROR(FIND("x",LOWER(Registro!$E800))),"-",IFERROR(SUMPRODUCT(--("0"&amp;LEFT(TRIM(MID(SUBSTITUTE(SUBSTITUTE(SUBSTITUTE(SUBSTITUTE(SUBSTITUTE(LOWER(Registro!$E800),"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",LEN(Registro!$E800))),({1,2,3,4,5,6,7,8,9,10,11,12,13,14,15,16,17,18,19,20,21,22,23,24,25,26,27,28,29,30}-1)*LEN(Registro!$E800)+1,LEN(Registro!$E800))),FIND("x",TRIM(MID(SUBSTITUTE(SUBSTITUTE(SUBSTITUTE(SUBSTITUTE(SUBSTITUTE(LOWER(Registro!$E800),"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",LEN(Registro!$E800))),({1,2,3,4,5,6,7,8,9,10,11,12,13,14,15,16,17,18,19,20,21,22,23,24,25,26,27,28,29,30}-1)*LEN(Registro!$E800)+1,LEN(Registro!$E800)))&amp;"x")-1))),"Revisar formato")))</f>
        <v/>
      </c>
      <c r="E800" s="24" t="str">
        <f>IF(Registro!$E800="","",IF(ISERROR(FIND("x",LOWER(Registro!$E800))),"-",IFERROR(SUMPRODUCT(--("0"&amp;LEFT(TRIM(MID(SUBSTITUTE(SUBSTITUTE(SUBSTITUTE(SUBSTITUTE(SUBSTITUTE(LOWER(Registro!$E800),"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",LEN(Registro!$E800))),({1,2,3,4,5,6,7,8,9,10,11,12,13,14,15,16,17,18,19,20,21,22,23,24,25,26,27,28,29,30}-1)*LEN(Registro!$E800)+1,LEN(Registro!$E800))),FIND("x",TRIM(MID(SUBSTITUTE(SUBSTITUTE(SUBSTITUTE(SUBSTITUTE(SUBSTITUTE(LOWER(Registro!$E800),"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",LEN(Registro!$E800))),({1,2,3,4,5,6,7,8,9,10,11,12,13,14,15,16,17,18,19,20,21,22,23,24,25,26,27,28,29,30}-1)*LEN(Registro!$E800)+1,LEN(Registro!$E800)))&amp;"x")-1)),--("0"&amp;MID(TRIM(MID(SUBSTITUTE(SUBSTITUTE(SUBSTITUTE(SUBSTITUTE(SUBSTITUTE(LOWER(Registro!$E800),"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",LEN(Registro!$E800))),({1,2,3,4,5,6,7,8,9,10,11,12,13,14,15,16,17,18,19,20,21,22,23,24,25,26,27,28,29,30}-1)*LEN(Registro!$E800)+1,LEN(Registro!$E800))),FIND("x",TRIM(MID(SUBSTITUTE(SUBSTITUTE(SUBSTITUTE(SUBSTITUTE(SUBSTITUTE(LOWER(Registro!$E800),"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",LEN(Registro!$E800))),({1,2,3,4,5,6,7,8,9,10,11,12,13,14,15,16,17,18,19,20,21,22,23,24,25,26,27,28,29,30}-1)*LEN(Registro!$E800)+1,LEN(Registro!$E800)))&amp;"x")+1,20))),"Revisar formato")))</f>
        <v/>
      </c>
      <c r="F800" s="23" t="str">
        <f>IF(Registro!$F800="","",IF(ISERROR(FIND("x",LOWER(Registro!$F800))),"-",IFERROR(SUMPRODUCT(--("0"&amp;LEFT(TRIM(MID(SUBSTITUTE(SUBSTITUTE(SUBSTITUTE(SUBSTITUTE(SUBSTITUTE(LOWER(Registro!$F800)," ",""),CHAR(10),"|"),";","|"),"+","|"),"|",REPT(" ",LEN(Registro!$F800))),({1,2,3,4,5,6,7,8,9,10,11,12,13,14,15,16,17,18,19,20,21,22,23,24,25,26,27,28,29,30}-1)*LEN(Registro!$F800)+1,LEN(Registro!$F800))),FIND("x",TRIM(MID(SUBSTITUTE(SUBSTITUTE(SUBSTITUTE(SUBSTITUTE(SUBSTITUTE(LOWER(Registro!$F800)," ",""),CHAR(10),"|"),";","|"),"+","|"),"|",REPT(" ",LEN(Registro!$F800))),({1,2,3,4,5,6,7,8,9,10,11,12,13,14,15,16,17,18,19,20,21,22,23,24,25,26,27,28,29,30}-1)*LEN(Registro!$F800)+1,LEN(Registro!$F800)))&amp;"x")-1))),"Revisar formato")))</f>
        <v/>
      </c>
      <c r="G800" s="24" t="str">
        <f>IF(Registro!$F800="","",IF(ISERROR(FIND("x",LOWER(Registro!$F800))),N(Registro!$G800),IFERROR(SUMPRODUCT(--("0"&amp;LEFT(TRIM(MID(SUBSTITUTE(SUBSTITUTE(SUBSTITUTE(SUBSTITUTE(SUBSTITUTE(LOWER(Registro!$F800)," ",""),CHAR(10),"|"),";","|"),"+","|"),"|",REPT(" ",LEN(Registro!$F800))),({1,2,3,4,5,6,7,8,9,10,11,12,13,14,15,16,17,18,19,20,21,22,23,24,25,26,27,28,29,30}-1)*LEN(Registro!$F800)+1,LEN(Registro!$F800))),FIND("x",TRIM(MID(SUBSTITUTE(SUBSTITUTE(SUBSTITUTE(SUBSTITUTE(SUBSTITUTE(LOWER(Registro!$F800)," ",""),CHAR(10),"|"),";","|"),"+","|"),"|",REPT(" ",LEN(Registro!$F800))),({1,2,3,4,5,6,7,8,9,10,11,12,13,14,15,16,17,18,19,20,21,22,23,24,25,26,27,28,29,30}-1)*LEN(Registro!$F800)+1,LEN(Registro!$F800)))&amp;"x")-1)),--("0"&amp;MID(TRIM(MID(SUBSTITUTE(SUBSTITUTE(SUBSTITUTE(SUBSTITUTE(SUBSTITUTE(LOWER(Registro!$F800)," ",""),CHAR(10),"|"),";","|"),"+","|"),"|",REPT(" ",LEN(Registro!$F800))),({1,2,3,4,5,6,7,8,9,10,11,12,13,14,15,16,17,18,19,20,21,22,23,24,25,26,27,28,29,30}-1)*LEN(Registro!$F800)+1,LEN(Registro!$F800))),FIND("x",TRIM(MID(SUBSTITUTE(SUBSTITUTE(SUBSTITUTE(SUBSTITUTE(SUBSTITUTE(LOWER(Registro!$F800)," ",""),CHAR(10),"|"),";","|"),"+","|"),"|",REPT(" ",LEN(Registro!$F800))),({1,2,3,4,5,6,7,8,9,10,11,12,13,14,15,16,17,18,19,20,21,22,23,24,25,26,27,28,29,30}-1)*LEN(Registro!$F800)+1,LEN(Registro!$F800)))&amp;"x")+1,20))),"Revisar formato")))</f>
        <v/>
      </c>
      <c r="H800" s="21" t="str">
        <f>IF(AND(Registro!$E800="",Registro!$F800=""),"",IF(NOT(AND(ISNUMBER(G800),ISNUMBER(Registro!$G800))),"",IF(G800&lt;Registro!$G800,"FALTA BOLETOS",IF(G800=Registro!$G800,"CONFORME","DIFERENCIA"))))</f>
        <v/>
      </c>
      <c r="I800" s="24" t="str">
        <f>IF(Registro!$H800="","",IFERROR(SUMPRODUCT(--("0"&amp;TRIM(RIGHT(SUBSTITUTE(TRIM(MID(SUBSTITUTE(SUBSTITUTE(Registro!$H800,";",CHAR(10)),CHAR(10),REPT(" ",LEN(Registro!$H800))),({1,2,3,4,5,6,7,8,9,10,11,12,13,14,15,16,17,18,19,20,21,22,23,24,25,26,27,28,29,30}-1)*LEN(Registro!$H800)+1,LEN(Registro!$H800)))," ",REPT(" ",50)),50)))),"Revisar formato"))</f>
        <v/>
      </c>
      <c r="J800" s="24" t="str">
        <f>IF(Registro!$I800="","",IFERROR(SUMPRODUCT(--("0"&amp;TRIM(RIGHT(SUBSTITUTE(TRIM(MID(SUBSTITUTE(SUBSTITUTE(Registro!$I800,";",CHAR(10)),CHAR(10),REPT(" ",LEN(Registro!$I800))),({1,2,3,4,5,6,7,8,9,10,11,12,13,14,15,16,17,18,19,20,21,22,23,24,25,26,27,28,29,30}-1)*LEN(Registro!$I800)+1,LEN(Registro!$I800)))," ",REPT(" ",50)),50)))),"Revisar formato"))</f>
        <v/>
      </c>
      <c r="K800" s="24" t="str">
        <f>IF(AND(Registro!$G800="",Registro!$H800=""),"",IF(AND(ISTEXT(I800),I800&lt;&gt;""),"Revisar formato",N(Registro!$G800)-N(I800)))</f>
        <v/>
      </c>
      <c r="L800" s="24" t="str">
        <f t="shared" si="25"/>
        <v/>
      </c>
      <c r="M800" s="36" t="str">
        <f>IF(AND(A800=Consulta!$B$3,C800=Consulta!$H$3),B800*10000+ROW(),"")</f>
        <v/>
      </c>
    </row>
    <row r="801" spans="1:13" x14ac:dyDescent="0.25">
      <c r="A801" s="21" t="str">
        <f>IF(Registro!$A801="","",Registro!$A801)</f>
        <v/>
      </c>
      <c r="B801" s="20" t="str">
        <f>IF(Registro!$B801="","",Registro!$B801)</f>
        <v/>
      </c>
      <c r="C801" s="35" t="str">
        <f t="shared" si="24"/>
        <v/>
      </c>
      <c r="D801" s="23" t="str">
        <f>IF(Registro!$E801="","",IF(ISERROR(FIND("x",LOWER(Registro!$E801))),"-",IFERROR(SUMPRODUCT(--("0"&amp;LEFT(TRIM(MID(SUBSTITUTE(SUBSTITUTE(SUBSTITUTE(SUBSTITUTE(SUBSTITUTE(LOWER(Registro!$E801),"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",LEN(Registro!$E801))),({1,2,3,4,5,6,7,8,9,10,11,12,13,14,15,16,17,18,19,20,21,22,23,24,25,26,27,28,29,30}-1)*LEN(Registro!$E801)+1,LEN(Registro!$E801))),FIND("x",TRIM(MID(SUBSTITUTE(SUBSTITUTE(SUBSTITUTE(SUBSTITUTE(SUBSTITUTE(LOWER(Registro!$E801),"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",LEN(Registro!$E801))),({1,2,3,4,5,6,7,8,9,10,11,12,13,14,15,16,17,18,19,20,21,22,23,24,25,26,27,28,29,30}-1)*LEN(Registro!$E801)+1,LEN(Registro!$E801)))&amp;"x")-1))),"Revisar formato")))</f>
        <v/>
      </c>
      <c r="E801" s="24" t="str">
        <f>IF(Registro!$E801="","",IF(ISERROR(FIND("x",LOWER(Registro!$E801))),"-",IFERROR(SUMPRODUCT(--("0"&amp;LEFT(TRIM(MID(SUBSTITUTE(SUBSTITUTE(SUBSTITUTE(SUBSTITUTE(SUBSTITUTE(LOWER(Registro!$E801),"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",LEN(Registro!$E801))),({1,2,3,4,5,6,7,8,9,10,11,12,13,14,15,16,17,18,19,20,21,22,23,24,25,26,27,28,29,30}-1)*LEN(Registro!$E801)+1,LEN(Registro!$E801))),FIND("x",TRIM(MID(SUBSTITUTE(SUBSTITUTE(SUBSTITUTE(SUBSTITUTE(SUBSTITUTE(LOWER(Registro!$E801),"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",LEN(Registro!$E801))),({1,2,3,4,5,6,7,8,9,10,11,12,13,14,15,16,17,18,19,20,21,22,23,24,25,26,27,28,29,30}-1)*LEN(Registro!$E801)+1,LEN(Registro!$E801)))&amp;"x")-1)),--("0"&amp;MID(TRIM(MID(SUBSTITUTE(SUBSTITUTE(SUBSTITUTE(SUBSTITUTE(SUBSTITUTE(LOWER(Registro!$E801),"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",LEN(Registro!$E801))),({1,2,3,4,5,6,7,8,9,10,11,12,13,14,15,16,17,18,19,20,21,22,23,24,25,26,27,28,29,30}-1)*LEN(Registro!$E801)+1,LEN(Registro!$E801))),FIND("x",TRIM(MID(SUBSTITUTE(SUBSTITUTE(SUBSTITUTE(SUBSTITUTE(SUBSTITUTE(LOWER(Registro!$E801),"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",LEN(Registro!$E801))),({1,2,3,4,5,6,7,8,9,10,11,12,13,14,15,16,17,18,19,20,21,22,23,24,25,26,27,28,29,30}-1)*LEN(Registro!$E801)+1,LEN(Registro!$E801)))&amp;"x")+1,20))),"Revisar formato")))</f>
        <v/>
      </c>
      <c r="F801" s="23" t="str">
        <f>IF(Registro!$F801="","",IF(ISERROR(FIND("x",LOWER(Registro!$F801))),"-",IFERROR(SUMPRODUCT(--("0"&amp;LEFT(TRIM(MID(SUBSTITUTE(SUBSTITUTE(SUBSTITUTE(SUBSTITUTE(SUBSTITUTE(LOWER(Registro!$F801)," ",""),CHAR(10),"|"),";","|"),"+","|"),"|",REPT(" ",LEN(Registro!$F801))),({1,2,3,4,5,6,7,8,9,10,11,12,13,14,15,16,17,18,19,20,21,22,23,24,25,26,27,28,29,30}-1)*LEN(Registro!$F801)+1,LEN(Registro!$F801))),FIND("x",TRIM(MID(SUBSTITUTE(SUBSTITUTE(SUBSTITUTE(SUBSTITUTE(SUBSTITUTE(LOWER(Registro!$F801)," ",""),CHAR(10),"|"),";","|"),"+","|"),"|",REPT(" ",LEN(Registro!$F801))),({1,2,3,4,5,6,7,8,9,10,11,12,13,14,15,16,17,18,19,20,21,22,23,24,25,26,27,28,29,30}-1)*LEN(Registro!$F801)+1,LEN(Registro!$F801)))&amp;"x")-1))),"Revisar formato")))</f>
        <v/>
      </c>
      <c r="G801" s="24" t="str">
        <f>IF(Registro!$F801="","",IF(ISERROR(FIND("x",LOWER(Registro!$F801))),N(Registro!$G801),IFERROR(SUMPRODUCT(--("0"&amp;LEFT(TRIM(MID(SUBSTITUTE(SUBSTITUTE(SUBSTITUTE(SUBSTITUTE(SUBSTITUTE(LOWER(Registro!$F801)," ",""),CHAR(10),"|"),";","|"),"+","|"),"|",REPT(" ",LEN(Registro!$F801))),({1,2,3,4,5,6,7,8,9,10,11,12,13,14,15,16,17,18,19,20,21,22,23,24,25,26,27,28,29,30}-1)*LEN(Registro!$F801)+1,LEN(Registro!$F801))),FIND("x",TRIM(MID(SUBSTITUTE(SUBSTITUTE(SUBSTITUTE(SUBSTITUTE(SUBSTITUTE(LOWER(Registro!$F801)," ",""),CHAR(10),"|"),";","|"),"+","|"),"|",REPT(" ",LEN(Registro!$F801))),({1,2,3,4,5,6,7,8,9,10,11,12,13,14,15,16,17,18,19,20,21,22,23,24,25,26,27,28,29,30}-1)*LEN(Registro!$F801)+1,LEN(Registro!$F801)))&amp;"x")-1)),--("0"&amp;MID(TRIM(MID(SUBSTITUTE(SUBSTITUTE(SUBSTITUTE(SUBSTITUTE(SUBSTITUTE(LOWER(Registro!$F801)," ",""),CHAR(10),"|"),";","|"),"+","|"),"|",REPT(" ",LEN(Registro!$F801))),({1,2,3,4,5,6,7,8,9,10,11,12,13,14,15,16,17,18,19,20,21,22,23,24,25,26,27,28,29,30}-1)*LEN(Registro!$F801)+1,LEN(Registro!$F801))),FIND("x",TRIM(MID(SUBSTITUTE(SUBSTITUTE(SUBSTITUTE(SUBSTITUTE(SUBSTITUTE(LOWER(Registro!$F801)," ",""),CHAR(10),"|"),";","|"),"+","|"),"|",REPT(" ",LEN(Registro!$F801))),({1,2,3,4,5,6,7,8,9,10,11,12,13,14,15,16,17,18,19,20,21,22,23,24,25,26,27,28,29,30}-1)*LEN(Registro!$F801)+1,LEN(Registro!$F801)))&amp;"x")+1,20))),"Revisar formato")))</f>
        <v/>
      </c>
      <c r="H801" s="21" t="str">
        <f>IF(AND(Registro!$E801="",Registro!$F801=""),"",IF(NOT(AND(ISNUMBER(G801),ISNUMBER(Registro!$G801))),"",IF(G801&lt;Registro!$G801,"FALTA BOLETOS",IF(G801=Registro!$G801,"CONFORME","DIFERENCIA"))))</f>
        <v/>
      </c>
      <c r="I801" s="24" t="str">
        <f>IF(Registro!$H801="","",IFERROR(SUMPRODUCT(--("0"&amp;TRIM(RIGHT(SUBSTITUTE(TRIM(MID(SUBSTITUTE(SUBSTITUTE(Registro!$H801,";",CHAR(10)),CHAR(10),REPT(" ",LEN(Registro!$H801))),({1,2,3,4,5,6,7,8,9,10,11,12,13,14,15,16,17,18,19,20,21,22,23,24,25,26,27,28,29,30}-1)*LEN(Registro!$H801)+1,LEN(Registro!$H801)))," ",REPT(" ",50)),50)))),"Revisar formato"))</f>
        <v/>
      </c>
      <c r="J801" s="24" t="str">
        <f>IF(Registro!$I801="","",IFERROR(SUMPRODUCT(--("0"&amp;TRIM(RIGHT(SUBSTITUTE(TRIM(MID(SUBSTITUTE(SUBSTITUTE(Registro!$I801,";",CHAR(10)),CHAR(10),REPT(" ",LEN(Registro!$I801))),({1,2,3,4,5,6,7,8,9,10,11,12,13,14,15,16,17,18,19,20,21,22,23,24,25,26,27,28,29,30}-1)*LEN(Registro!$I801)+1,LEN(Registro!$I801)))," ",REPT(" ",50)),50)))),"Revisar formato"))</f>
        <v/>
      </c>
      <c r="K801" s="24" t="str">
        <f>IF(AND(Registro!$G801="",Registro!$H801=""),"",IF(AND(ISTEXT(I801),I801&lt;&gt;""),"Revisar formato",N(Registro!$G801)-N(I801)))</f>
        <v/>
      </c>
      <c r="L801" s="24" t="str">
        <f t="shared" si="25"/>
        <v/>
      </c>
      <c r="M801" s="36" t="str">
        <f>IF(AND(A801=Consulta!$B$3,C801=Consulta!$H$3),B801*10000+ROW(),"")</f>
        <v/>
      </c>
    </row>
    <row r="802" spans="1:13" x14ac:dyDescent="0.25">
      <c r="A802" s="21" t="str">
        <f>IF(Registro!$A802="","",Registro!$A802)</f>
        <v/>
      </c>
      <c r="B802" s="20" t="str">
        <f>IF(Registro!$B802="","",Registro!$B802)</f>
        <v/>
      </c>
      <c r="C802" s="35" t="str">
        <f t="shared" si="24"/>
        <v/>
      </c>
      <c r="D802" s="23" t="str">
        <f>IF(Registro!$E802="","",IF(ISERROR(FIND("x",LOWER(Registro!$E802))),"-",IFERROR(SUMPRODUCT(--("0"&amp;LEFT(TRIM(MID(SUBSTITUTE(SUBSTITUTE(SUBSTITUTE(SUBSTITUTE(SUBSTITUTE(LOWER(Registro!$E802),"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",LEN(Registro!$E802))),({1,2,3,4,5,6,7,8,9,10,11,12,13,14,15,16,17,18,19,20,21,22,23,24,25,26,27,28,29,30}-1)*LEN(Registro!$E802)+1,LEN(Registro!$E802))),FIND("x",TRIM(MID(SUBSTITUTE(SUBSTITUTE(SUBSTITUTE(SUBSTITUTE(SUBSTITUTE(LOWER(Registro!$E802),"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",LEN(Registro!$E802))),({1,2,3,4,5,6,7,8,9,10,11,12,13,14,15,16,17,18,19,20,21,22,23,24,25,26,27,28,29,30}-1)*LEN(Registro!$E802)+1,LEN(Registro!$E802)))&amp;"x")-1))),"Revisar formato")))</f>
        <v/>
      </c>
      <c r="E802" s="24" t="str">
        <f>IF(Registro!$E802="","",IF(ISERROR(FIND("x",LOWER(Registro!$E802))),"-",IFERROR(SUMPRODUCT(--("0"&amp;LEFT(TRIM(MID(SUBSTITUTE(SUBSTITUTE(SUBSTITUTE(SUBSTITUTE(SUBSTITUTE(LOWER(Registro!$E802),"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",LEN(Registro!$E802))),({1,2,3,4,5,6,7,8,9,10,11,12,13,14,15,16,17,18,19,20,21,22,23,24,25,26,27,28,29,30}-1)*LEN(Registro!$E802)+1,LEN(Registro!$E802))),FIND("x",TRIM(MID(SUBSTITUTE(SUBSTITUTE(SUBSTITUTE(SUBSTITUTE(SUBSTITUTE(LOWER(Registro!$E802),"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",LEN(Registro!$E802))),({1,2,3,4,5,6,7,8,9,10,11,12,13,14,15,16,17,18,19,20,21,22,23,24,25,26,27,28,29,30}-1)*LEN(Registro!$E802)+1,LEN(Registro!$E802)))&amp;"x")-1)),--("0"&amp;MID(TRIM(MID(SUBSTITUTE(SUBSTITUTE(SUBSTITUTE(SUBSTITUTE(SUBSTITUTE(LOWER(Registro!$E802),"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",LEN(Registro!$E802))),({1,2,3,4,5,6,7,8,9,10,11,12,13,14,15,16,17,18,19,20,21,22,23,24,25,26,27,28,29,30}-1)*LEN(Registro!$E802)+1,LEN(Registro!$E802))),FIND("x",TRIM(MID(SUBSTITUTE(SUBSTITUTE(SUBSTITUTE(SUBSTITUTE(SUBSTITUTE(LOWER(Registro!$E802),"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",LEN(Registro!$E802))),({1,2,3,4,5,6,7,8,9,10,11,12,13,14,15,16,17,18,19,20,21,22,23,24,25,26,27,28,29,30}-1)*LEN(Registro!$E802)+1,LEN(Registro!$E802)))&amp;"x")+1,20))),"Revisar formato")))</f>
        <v/>
      </c>
      <c r="F802" s="23" t="str">
        <f>IF(Registro!$F802="","",IF(ISERROR(FIND("x",LOWER(Registro!$F802))),"-",IFERROR(SUMPRODUCT(--("0"&amp;LEFT(TRIM(MID(SUBSTITUTE(SUBSTITUTE(SUBSTITUTE(SUBSTITUTE(SUBSTITUTE(LOWER(Registro!$F802)," ",""),CHAR(10),"|"),";","|"),"+","|"),"|",REPT(" ",LEN(Registro!$F802))),({1,2,3,4,5,6,7,8,9,10,11,12,13,14,15,16,17,18,19,20,21,22,23,24,25,26,27,28,29,30}-1)*LEN(Registro!$F802)+1,LEN(Registro!$F802))),FIND("x",TRIM(MID(SUBSTITUTE(SUBSTITUTE(SUBSTITUTE(SUBSTITUTE(SUBSTITUTE(LOWER(Registro!$F802)," ",""),CHAR(10),"|"),";","|"),"+","|"),"|",REPT(" ",LEN(Registro!$F802))),({1,2,3,4,5,6,7,8,9,10,11,12,13,14,15,16,17,18,19,20,21,22,23,24,25,26,27,28,29,30}-1)*LEN(Registro!$F802)+1,LEN(Registro!$F802)))&amp;"x")-1))),"Revisar formato")))</f>
        <v/>
      </c>
      <c r="G802" s="24" t="str">
        <f>IF(Registro!$F802="","",IF(ISERROR(FIND("x",LOWER(Registro!$F802))),N(Registro!$G802),IFERROR(SUMPRODUCT(--("0"&amp;LEFT(TRIM(MID(SUBSTITUTE(SUBSTITUTE(SUBSTITUTE(SUBSTITUTE(SUBSTITUTE(LOWER(Registro!$F802)," ",""),CHAR(10),"|"),";","|"),"+","|"),"|",REPT(" ",LEN(Registro!$F802))),({1,2,3,4,5,6,7,8,9,10,11,12,13,14,15,16,17,18,19,20,21,22,23,24,25,26,27,28,29,30}-1)*LEN(Registro!$F802)+1,LEN(Registro!$F802))),FIND("x",TRIM(MID(SUBSTITUTE(SUBSTITUTE(SUBSTITUTE(SUBSTITUTE(SUBSTITUTE(LOWER(Registro!$F802)," ",""),CHAR(10),"|"),";","|"),"+","|"),"|",REPT(" ",LEN(Registro!$F802))),({1,2,3,4,5,6,7,8,9,10,11,12,13,14,15,16,17,18,19,20,21,22,23,24,25,26,27,28,29,30}-1)*LEN(Registro!$F802)+1,LEN(Registro!$F802)))&amp;"x")-1)),--("0"&amp;MID(TRIM(MID(SUBSTITUTE(SUBSTITUTE(SUBSTITUTE(SUBSTITUTE(SUBSTITUTE(LOWER(Registro!$F802)," ",""),CHAR(10),"|"),";","|"),"+","|"),"|",REPT(" ",LEN(Registro!$F802))),({1,2,3,4,5,6,7,8,9,10,11,12,13,14,15,16,17,18,19,20,21,22,23,24,25,26,27,28,29,30}-1)*LEN(Registro!$F802)+1,LEN(Registro!$F802))),FIND("x",TRIM(MID(SUBSTITUTE(SUBSTITUTE(SUBSTITUTE(SUBSTITUTE(SUBSTITUTE(LOWER(Registro!$F802)," ",""),CHAR(10),"|"),";","|"),"+","|"),"|",REPT(" ",LEN(Registro!$F802))),({1,2,3,4,5,6,7,8,9,10,11,12,13,14,15,16,17,18,19,20,21,22,23,24,25,26,27,28,29,30}-1)*LEN(Registro!$F802)+1,LEN(Registro!$F802)))&amp;"x")+1,20))),"Revisar formato")))</f>
        <v/>
      </c>
      <c r="H802" s="21" t="str">
        <f>IF(AND(Registro!$E802="",Registro!$F802=""),"",IF(NOT(AND(ISNUMBER(G802),ISNUMBER(Registro!$G802))),"",IF(G802&lt;Registro!$G802,"FALTA BOLETOS",IF(G802=Registro!$G802,"CONFORME","DIFERENCIA"))))</f>
        <v/>
      </c>
      <c r="I802" s="24" t="str">
        <f>IF(Registro!$H802="","",IFERROR(SUMPRODUCT(--("0"&amp;TRIM(RIGHT(SUBSTITUTE(TRIM(MID(SUBSTITUTE(SUBSTITUTE(Registro!$H802,";",CHAR(10)),CHAR(10),REPT(" ",LEN(Registro!$H802))),({1,2,3,4,5,6,7,8,9,10,11,12,13,14,15,16,17,18,19,20,21,22,23,24,25,26,27,28,29,30}-1)*LEN(Registro!$H802)+1,LEN(Registro!$H802)))," ",REPT(" ",50)),50)))),"Revisar formato"))</f>
        <v/>
      </c>
      <c r="J802" s="24" t="str">
        <f>IF(Registro!$I802="","",IFERROR(SUMPRODUCT(--("0"&amp;TRIM(RIGHT(SUBSTITUTE(TRIM(MID(SUBSTITUTE(SUBSTITUTE(Registro!$I802,";",CHAR(10)),CHAR(10),REPT(" ",LEN(Registro!$I802))),({1,2,3,4,5,6,7,8,9,10,11,12,13,14,15,16,17,18,19,20,21,22,23,24,25,26,27,28,29,30}-1)*LEN(Registro!$I802)+1,LEN(Registro!$I802)))," ",REPT(" ",50)),50)))),"Revisar formato"))</f>
        <v/>
      </c>
      <c r="K802" s="24" t="str">
        <f>IF(AND(Registro!$G802="",Registro!$H802=""),"",IF(AND(ISTEXT(I802),I802&lt;&gt;""),"Revisar formato",N(Registro!$G802)-N(I802)))</f>
        <v/>
      </c>
      <c r="L802" s="24" t="str">
        <f t="shared" si="25"/>
        <v/>
      </c>
      <c r="M802" s="36" t="str">
        <f>IF(AND(A802=Consulta!$B$3,C802=Consulta!$H$3),B802*10000+ROW(),"")</f>
        <v/>
      </c>
    </row>
    <row r="803" spans="1:13" x14ac:dyDescent="0.25">
      <c r="A803" s="21" t="str">
        <f>IF(Registro!$A803="","",Registro!$A803)</f>
        <v/>
      </c>
      <c r="B803" s="20" t="str">
        <f>IF(Registro!$B803="","",Registro!$B803)</f>
        <v/>
      </c>
      <c r="C803" s="35" t="str">
        <f t="shared" si="24"/>
        <v/>
      </c>
      <c r="D803" s="23" t="str">
        <f>IF(Registro!$E803="","",IF(ISERROR(FIND("x",LOWER(Registro!$E803))),"-",IFERROR(SUMPRODUCT(--("0"&amp;LEFT(TRIM(MID(SUBSTITUTE(SUBSTITUTE(SUBSTITUTE(SUBSTITUTE(SUBSTITUTE(LOWER(Registro!$E803),"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",LEN(Registro!$E803))),({1,2,3,4,5,6,7,8,9,10,11,12,13,14,15,16,17,18,19,20,21,22,23,24,25,26,27,28,29,30}-1)*LEN(Registro!$E803)+1,LEN(Registro!$E803))),FIND("x",TRIM(MID(SUBSTITUTE(SUBSTITUTE(SUBSTITUTE(SUBSTITUTE(SUBSTITUTE(LOWER(Registro!$E803),"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",LEN(Registro!$E803))),({1,2,3,4,5,6,7,8,9,10,11,12,13,14,15,16,17,18,19,20,21,22,23,24,25,26,27,28,29,30}-1)*LEN(Registro!$E803)+1,LEN(Registro!$E803)))&amp;"x")-1))),"Revisar formato")))</f>
        <v/>
      </c>
      <c r="E803" s="24" t="str">
        <f>IF(Registro!$E803="","",IF(ISERROR(FIND("x",LOWER(Registro!$E803))),"-",IFERROR(SUMPRODUCT(--("0"&amp;LEFT(TRIM(MID(SUBSTITUTE(SUBSTITUTE(SUBSTITUTE(SUBSTITUTE(SUBSTITUTE(LOWER(Registro!$E803),"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",LEN(Registro!$E803))),({1,2,3,4,5,6,7,8,9,10,11,12,13,14,15,16,17,18,19,20,21,22,23,24,25,26,27,28,29,30}-1)*LEN(Registro!$E803)+1,LEN(Registro!$E803))),FIND("x",TRIM(MID(SUBSTITUTE(SUBSTITUTE(SUBSTITUTE(SUBSTITUTE(SUBSTITUTE(LOWER(Registro!$E803),"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",LEN(Registro!$E803))),({1,2,3,4,5,6,7,8,9,10,11,12,13,14,15,16,17,18,19,20,21,22,23,24,25,26,27,28,29,30}-1)*LEN(Registro!$E803)+1,LEN(Registro!$E803)))&amp;"x")-1)),--("0"&amp;MID(TRIM(MID(SUBSTITUTE(SUBSTITUTE(SUBSTITUTE(SUBSTITUTE(SUBSTITUTE(LOWER(Registro!$E803),"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",LEN(Registro!$E803))),({1,2,3,4,5,6,7,8,9,10,11,12,13,14,15,16,17,18,19,20,21,22,23,24,25,26,27,28,29,30}-1)*LEN(Registro!$E803)+1,LEN(Registro!$E803))),FIND("x",TRIM(MID(SUBSTITUTE(SUBSTITUTE(SUBSTITUTE(SUBSTITUTE(SUBSTITUTE(LOWER(Registro!$E803),"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",LEN(Registro!$E803))),({1,2,3,4,5,6,7,8,9,10,11,12,13,14,15,16,17,18,19,20,21,22,23,24,25,26,27,28,29,30}-1)*LEN(Registro!$E803)+1,LEN(Registro!$E803)))&amp;"x")+1,20))),"Revisar formato")))</f>
        <v/>
      </c>
      <c r="F803" s="23" t="str">
        <f>IF(Registro!$F803="","",IF(ISERROR(FIND("x",LOWER(Registro!$F803))),"-",IFERROR(SUMPRODUCT(--("0"&amp;LEFT(TRIM(MID(SUBSTITUTE(SUBSTITUTE(SUBSTITUTE(SUBSTITUTE(SUBSTITUTE(LOWER(Registro!$F803)," ",""),CHAR(10),"|"),";","|"),"+","|"),"|",REPT(" ",LEN(Registro!$F803))),({1,2,3,4,5,6,7,8,9,10,11,12,13,14,15,16,17,18,19,20,21,22,23,24,25,26,27,28,29,30}-1)*LEN(Registro!$F803)+1,LEN(Registro!$F803))),FIND("x",TRIM(MID(SUBSTITUTE(SUBSTITUTE(SUBSTITUTE(SUBSTITUTE(SUBSTITUTE(LOWER(Registro!$F803)," ",""),CHAR(10),"|"),";","|"),"+","|"),"|",REPT(" ",LEN(Registro!$F803))),({1,2,3,4,5,6,7,8,9,10,11,12,13,14,15,16,17,18,19,20,21,22,23,24,25,26,27,28,29,30}-1)*LEN(Registro!$F803)+1,LEN(Registro!$F803)))&amp;"x")-1))),"Revisar formato")))</f>
        <v/>
      </c>
      <c r="G803" s="24" t="str">
        <f>IF(Registro!$F803="","",IF(ISERROR(FIND("x",LOWER(Registro!$F803))),N(Registro!$G803),IFERROR(SUMPRODUCT(--("0"&amp;LEFT(TRIM(MID(SUBSTITUTE(SUBSTITUTE(SUBSTITUTE(SUBSTITUTE(SUBSTITUTE(LOWER(Registro!$F803)," ",""),CHAR(10),"|"),";","|"),"+","|"),"|",REPT(" ",LEN(Registro!$F803))),({1,2,3,4,5,6,7,8,9,10,11,12,13,14,15,16,17,18,19,20,21,22,23,24,25,26,27,28,29,30}-1)*LEN(Registro!$F803)+1,LEN(Registro!$F803))),FIND("x",TRIM(MID(SUBSTITUTE(SUBSTITUTE(SUBSTITUTE(SUBSTITUTE(SUBSTITUTE(LOWER(Registro!$F803)," ",""),CHAR(10),"|"),";","|"),"+","|"),"|",REPT(" ",LEN(Registro!$F803))),({1,2,3,4,5,6,7,8,9,10,11,12,13,14,15,16,17,18,19,20,21,22,23,24,25,26,27,28,29,30}-1)*LEN(Registro!$F803)+1,LEN(Registro!$F803)))&amp;"x")-1)),--("0"&amp;MID(TRIM(MID(SUBSTITUTE(SUBSTITUTE(SUBSTITUTE(SUBSTITUTE(SUBSTITUTE(LOWER(Registro!$F803)," ",""),CHAR(10),"|"),";","|"),"+","|"),"|",REPT(" ",LEN(Registro!$F803))),({1,2,3,4,5,6,7,8,9,10,11,12,13,14,15,16,17,18,19,20,21,22,23,24,25,26,27,28,29,30}-1)*LEN(Registro!$F803)+1,LEN(Registro!$F803))),FIND("x",TRIM(MID(SUBSTITUTE(SUBSTITUTE(SUBSTITUTE(SUBSTITUTE(SUBSTITUTE(LOWER(Registro!$F803)," ",""),CHAR(10),"|"),";","|"),"+","|"),"|",REPT(" ",LEN(Registro!$F803))),({1,2,3,4,5,6,7,8,9,10,11,12,13,14,15,16,17,18,19,20,21,22,23,24,25,26,27,28,29,30}-1)*LEN(Registro!$F803)+1,LEN(Registro!$F803)))&amp;"x")+1,20))),"Revisar formato")))</f>
        <v/>
      </c>
      <c r="H803" s="21" t="str">
        <f>IF(AND(Registro!$E803="",Registro!$F803=""),"",IF(NOT(AND(ISNUMBER(G803),ISNUMBER(Registro!$G803))),"",IF(G803&lt;Registro!$G803,"FALTA BOLETOS",IF(G803=Registro!$G803,"CONFORME","DIFERENCIA"))))</f>
        <v/>
      </c>
      <c r="I803" s="24" t="str">
        <f>IF(Registro!$H803="","",IFERROR(SUMPRODUCT(--("0"&amp;TRIM(RIGHT(SUBSTITUTE(TRIM(MID(SUBSTITUTE(SUBSTITUTE(Registro!$H803,";",CHAR(10)),CHAR(10),REPT(" ",LEN(Registro!$H803))),({1,2,3,4,5,6,7,8,9,10,11,12,13,14,15,16,17,18,19,20,21,22,23,24,25,26,27,28,29,30}-1)*LEN(Registro!$H803)+1,LEN(Registro!$H803)))," ",REPT(" ",50)),50)))),"Revisar formato"))</f>
        <v/>
      </c>
      <c r="J803" s="24" t="str">
        <f>IF(Registro!$I803="","",IFERROR(SUMPRODUCT(--("0"&amp;TRIM(RIGHT(SUBSTITUTE(TRIM(MID(SUBSTITUTE(SUBSTITUTE(Registro!$I803,";",CHAR(10)),CHAR(10),REPT(" ",LEN(Registro!$I803))),({1,2,3,4,5,6,7,8,9,10,11,12,13,14,15,16,17,18,19,20,21,22,23,24,25,26,27,28,29,30}-1)*LEN(Registro!$I803)+1,LEN(Registro!$I803)))," ",REPT(" ",50)),50)))),"Revisar formato"))</f>
        <v/>
      </c>
      <c r="K803" s="24" t="str">
        <f>IF(AND(Registro!$G803="",Registro!$H803=""),"",IF(AND(ISTEXT(I803),I803&lt;&gt;""),"Revisar formato",N(Registro!$G803)-N(I803)))</f>
        <v/>
      </c>
      <c r="L803" s="24" t="str">
        <f t="shared" si="25"/>
        <v/>
      </c>
      <c r="M803" s="36" t="str">
        <f>IF(AND(A803=Consulta!$B$3,C803=Consulta!$H$3),B803*10000+ROW(),"")</f>
        <v/>
      </c>
    </row>
    <row r="804" spans="1:13" x14ac:dyDescent="0.25">
      <c r="A804" s="21" t="str">
        <f>IF(Registro!$A804="","",Registro!$A804)</f>
        <v/>
      </c>
      <c r="B804" s="20" t="str">
        <f>IF(Registro!$B804="","",Registro!$B804)</f>
        <v/>
      </c>
      <c r="C804" s="35" t="str">
        <f t="shared" si="24"/>
        <v/>
      </c>
      <c r="D804" s="23" t="str">
        <f>IF(Registro!$E804="","",IF(ISERROR(FIND("x",LOWER(Registro!$E804))),"-",IFERROR(SUMPRODUCT(--("0"&amp;LEFT(TRIM(MID(SUBSTITUTE(SUBSTITUTE(SUBSTITUTE(SUBSTITUTE(SUBSTITUTE(LOWER(Registro!$E804),"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",LEN(Registro!$E804))),({1,2,3,4,5,6,7,8,9,10,11,12,13,14,15,16,17,18,19,20,21,22,23,24,25,26,27,28,29,30}-1)*LEN(Registro!$E804)+1,LEN(Registro!$E804))),FIND("x",TRIM(MID(SUBSTITUTE(SUBSTITUTE(SUBSTITUTE(SUBSTITUTE(SUBSTITUTE(LOWER(Registro!$E804),"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",LEN(Registro!$E804))),({1,2,3,4,5,6,7,8,9,10,11,12,13,14,15,16,17,18,19,20,21,22,23,24,25,26,27,28,29,30}-1)*LEN(Registro!$E804)+1,LEN(Registro!$E804)))&amp;"x")-1))),"Revisar formato")))</f>
        <v/>
      </c>
      <c r="E804" s="24" t="str">
        <f>IF(Registro!$E804="","",IF(ISERROR(FIND("x",LOWER(Registro!$E804))),"-",IFERROR(SUMPRODUCT(--("0"&amp;LEFT(TRIM(MID(SUBSTITUTE(SUBSTITUTE(SUBSTITUTE(SUBSTITUTE(SUBSTITUTE(LOWER(Registro!$E804),"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",LEN(Registro!$E804))),({1,2,3,4,5,6,7,8,9,10,11,12,13,14,15,16,17,18,19,20,21,22,23,24,25,26,27,28,29,30}-1)*LEN(Registro!$E804)+1,LEN(Registro!$E804))),FIND("x",TRIM(MID(SUBSTITUTE(SUBSTITUTE(SUBSTITUTE(SUBSTITUTE(SUBSTITUTE(LOWER(Registro!$E804),"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",LEN(Registro!$E804))),({1,2,3,4,5,6,7,8,9,10,11,12,13,14,15,16,17,18,19,20,21,22,23,24,25,26,27,28,29,30}-1)*LEN(Registro!$E804)+1,LEN(Registro!$E804)))&amp;"x")-1)),--("0"&amp;MID(TRIM(MID(SUBSTITUTE(SUBSTITUTE(SUBSTITUTE(SUBSTITUTE(SUBSTITUTE(LOWER(Registro!$E804),"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",LEN(Registro!$E804))),({1,2,3,4,5,6,7,8,9,10,11,12,13,14,15,16,17,18,19,20,21,22,23,24,25,26,27,28,29,30}-1)*LEN(Registro!$E804)+1,LEN(Registro!$E804))),FIND("x",TRIM(MID(SUBSTITUTE(SUBSTITUTE(SUBSTITUTE(SUBSTITUTE(SUBSTITUTE(LOWER(Registro!$E804),"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",LEN(Registro!$E804))),({1,2,3,4,5,6,7,8,9,10,11,12,13,14,15,16,17,18,19,20,21,22,23,24,25,26,27,28,29,30}-1)*LEN(Registro!$E804)+1,LEN(Registro!$E804)))&amp;"x")+1,20))),"Revisar formato")))</f>
        <v/>
      </c>
      <c r="F804" s="23" t="str">
        <f>IF(Registro!$F804="","",IF(ISERROR(FIND("x",LOWER(Registro!$F804))),"-",IFERROR(SUMPRODUCT(--("0"&amp;LEFT(TRIM(MID(SUBSTITUTE(SUBSTITUTE(SUBSTITUTE(SUBSTITUTE(SUBSTITUTE(LOWER(Registro!$F804)," ",""),CHAR(10),"|"),";","|"),"+","|"),"|",REPT(" ",LEN(Registro!$F804))),({1,2,3,4,5,6,7,8,9,10,11,12,13,14,15,16,17,18,19,20,21,22,23,24,25,26,27,28,29,30}-1)*LEN(Registro!$F804)+1,LEN(Registro!$F804))),FIND("x",TRIM(MID(SUBSTITUTE(SUBSTITUTE(SUBSTITUTE(SUBSTITUTE(SUBSTITUTE(LOWER(Registro!$F804)," ",""),CHAR(10),"|"),";","|"),"+","|"),"|",REPT(" ",LEN(Registro!$F804))),({1,2,3,4,5,6,7,8,9,10,11,12,13,14,15,16,17,18,19,20,21,22,23,24,25,26,27,28,29,30}-1)*LEN(Registro!$F804)+1,LEN(Registro!$F804)))&amp;"x")-1))),"Revisar formato")))</f>
        <v/>
      </c>
      <c r="G804" s="24" t="str">
        <f>IF(Registro!$F804="","",IF(ISERROR(FIND("x",LOWER(Registro!$F804))),N(Registro!$G804),IFERROR(SUMPRODUCT(--("0"&amp;LEFT(TRIM(MID(SUBSTITUTE(SUBSTITUTE(SUBSTITUTE(SUBSTITUTE(SUBSTITUTE(LOWER(Registro!$F804)," ",""),CHAR(10),"|"),";","|"),"+","|"),"|",REPT(" ",LEN(Registro!$F804))),({1,2,3,4,5,6,7,8,9,10,11,12,13,14,15,16,17,18,19,20,21,22,23,24,25,26,27,28,29,30}-1)*LEN(Registro!$F804)+1,LEN(Registro!$F804))),FIND("x",TRIM(MID(SUBSTITUTE(SUBSTITUTE(SUBSTITUTE(SUBSTITUTE(SUBSTITUTE(LOWER(Registro!$F804)," ",""),CHAR(10),"|"),";","|"),"+","|"),"|",REPT(" ",LEN(Registro!$F804))),({1,2,3,4,5,6,7,8,9,10,11,12,13,14,15,16,17,18,19,20,21,22,23,24,25,26,27,28,29,30}-1)*LEN(Registro!$F804)+1,LEN(Registro!$F804)))&amp;"x")-1)),--("0"&amp;MID(TRIM(MID(SUBSTITUTE(SUBSTITUTE(SUBSTITUTE(SUBSTITUTE(SUBSTITUTE(LOWER(Registro!$F804)," ",""),CHAR(10),"|"),";","|"),"+","|"),"|",REPT(" ",LEN(Registro!$F804))),({1,2,3,4,5,6,7,8,9,10,11,12,13,14,15,16,17,18,19,20,21,22,23,24,25,26,27,28,29,30}-1)*LEN(Registro!$F804)+1,LEN(Registro!$F804))),FIND("x",TRIM(MID(SUBSTITUTE(SUBSTITUTE(SUBSTITUTE(SUBSTITUTE(SUBSTITUTE(LOWER(Registro!$F804)," ",""),CHAR(10),"|"),";","|"),"+","|"),"|",REPT(" ",LEN(Registro!$F804))),({1,2,3,4,5,6,7,8,9,10,11,12,13,14,15,16,17,18,19,20,21,22,23,24,25,26,27,28,29,30}-1)*LEN(Registro!$F804)+1,LEN(Registro!$F804)))&amp;"x")+1,20))),"Revisar formato")))</f>
        <v/>
      </c>
      <c r="H804" s="21" t="str">
        <f>IF(AND(Registro!$E804="",Registro!$F804=""),"",IF(NOT(AND(ISNUMBER(G804),ISNUMBER(Registro!$G804))),"",IF(G804&lt;Registro!$G804,"FALTA BOLETOS",IF(G804=Registro!$G804,"CONFORME","DIFERENCIA"))))</f>
        <v/>
      </c>
      <c r="I804" s="24" t="str">
        <f>IF(Registro!$H804="","",IFERROR(SUMPRODUCT(--("0"&amp;TRIM(RIGHT(SUBSTITUTE(TRIM(MID(SUBSTITUTE(SUBSTITUTE(Registro!$H804,";",CHAR(10)),CHAR(10),REPT(" ",LEN(Registro!$H804))),({1,2,3,4,5,6,7,8,9,10,11,12,13,14,15,16,17,18,19,20,21,22,23,24,25,26,27,28,29,30}-1)*LEN(Registro!$H804)+1,LEN(Registro!$H804)))," ",REPT(" ",50)),50)))),"Revisar formato"))</f>
        <v/>
      </c>
      <c r="J804" s="24" t="str">
        <f>IF(Registro!$I804="","",IFERROR(SUMPRODUCT(--("0"&amp;TRIM(RIGHT(SUBSTITUTE(TRIM(MID(SUBSTITUTE(SUBSTITUTE(Registro!$I804,";",CHAR(10)),CHAR(10),REPT(" ",LEN(Registro!$I804))),({1,2,3,4,5,6,7,8,9,10,11,12,13,14,15,16,17,18,19,20,21,22,23,24,25,26,27,28,29,30}-1)*LEN(Registro!$I804)+1,LEN(Registro!$I804)))," ",REPT(" ",50)),50)))),"Revisar formato"))</f>
        <v/>
      </c>
      <c r="K804" s="24" t="str">
        <f>IF(AND(Registro!$G804="",Registro!$H804=""),"",IF(AND(ISTEXT(I804),I804&lt;&gt;""),"Revisar formato",N(Registro!$G804)-N(I804)))</f>
        <v/>
      </c>
      <c r="L804" s="24" t="str">
        <f t="shared" si="25"/>
        <v/>
      </c>
      <c r="M804" s="36" t="str">
        <f>IF(AND(A804=Consulta!$B$3,C804=Consulta!$H$3),B804*10000+ROW(),"")</f>
        <v/>
      </c>
    </row>
    <row r="805" spans="1:13" x14ac:dyDescent="0.25">
      <c r="A805" s="21" t="str">
        <f>IF(Registro!$A805="","",Registro!$A805)</f>
        <v/>
      </c>
      <c r="B805" s="20" t="str">
        <f>IF(Registro!$B805="","",Registro!$B805)</f>
        <v/>
      </c>
      <c r="C805" s="35" t="str">
        <f t="shared" si="24"/>
        <v/>
      </c>
      <c r="D805" s="23" t="str">
        <f>IF(Registro!$E805="","",IF(ISERROR(FIND("x",LOWER(Registro!$E805))),"-",IFERROR(SUMPRODUCT(--("0"&amp;LEFT(TRIM(MID(SUBSTITUTE(SUBSTITUTE(SUBSTITUTE(SUBSTITUTE(SUBSTITUTE(LOWER(Registro!$E805),"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",LEN(Registro!$E805))),({1,2,3,4,5,6,7,8,9,10,11,12,13,14,15,16,17,18,19,20,21,22,23,24,25,26,27,28,29,30}-1)*LEN(Registro!$E805)+1,LEN(Registro!$E805))),FIND("x",TRIM(MID(SUBSTITUTE(SUBSTITUTE(SUBSTITUTE(SUBSTITUTE(SUBSTITUTE(LOWER(Registro!$E805),"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",LEN(Registro!$E805))),({1,2,3,4,5,6,7,8,9,10,11,12,13,14,15,16,17,18,19,20,21,22,23,24,25,26,27,28,29,30}-1)*LEN(Registro!$E805)+1,LEN(Registro!$E805)))&amp;"x")-1))),"Revisar formato")))</f>
        <v/>
      </c>
      <c r="E805" s="24" t="str">
        <f>IF(Registro!$E805="","",IF(ISERROR(FIND("x",LOWER(Registro!$E805))),"-",IFERROR(SUMPRODUCT(--("0"&amp;LEFT(TRIM(MID(SUBSTITUTE(SUBSTITUTE(SUBSTITUTE(SUBSTITUTE(SUBSTITUTE(LOWER(Registro!$E805),"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",LEN(Registro!$E805))),({1,2,3,4,5,6,7,8,9,10,11,12,13,14,15,16,17,18,19,20,21,22,23,24,25,26,27,28,29,30}-1)*LEN(Registro!$E805)+1,LEN(Registro!$E805))),FIND("x",TRIM(MID(SUBSTITUTE(SUBSTITUTE(SUBSTITUTE(SUBSTITUTE(SUBSTITUTE(LOWER(Registro!$E805),"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",LEN(Registro!$E805))),({1,2,3,4,5,6,7,8,9,10,11,12,13,14,15,16,17,18,19,20,21,22,23,24,25,26,27,28,29,30}-1)*LEN(Registro!$E805)+1,LEN(Registro!$E805)))&amp;"x")-1)),--("0"&amp;MID(TRIM(MID(SUBSTITUTE(SUBSTITUTE(SUBSTITUTE(SUBSTITUTE(SUBSTITUTE(LOWER(Registro!$E805),"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",LEN(Registro!$E805))),({1,2,3,4,5,6,7,8,9,10,11,12,13,14,15,16,17,18,19,20,21,22,23,24,25,26,27,28,29,30}-1)*LEN(Registro!$E805)+1,LEN(Registro!$E805))),FIND("x",TRIM(MID(SUBSTITUTE(SUBSTITUTE(SUBSTITUTE(SUBSTITUTE(SUBSTITUTE(LOWER(Registro!$E805),"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",LEN(Registro!$E805))),({1,2,3,4,5,6,7,8,9,10,11,12,13,14,15,16,17,18,19,20,21,22,23,24,25,26,27,28,29,30}-1)*LEN(Registro!$E805)+1,LEN(Registro!$E805)))&amp;"x")+1,20))),"Revisar formato")))</f>
        <v/>
      </c>
      <c r="F805" s="23" t="str">
        <f>IF(Registro!$F805="","",IF(ISERROR(FIND("x",LOWER(Registro!$F805))),"-",IFERROR(SUMPRODUCT(--("0"&amp;LEFT(TRIM(MID(SUBSTITUTE(SUBSTITUTE(SUBSTITUTE(SUBSTITUTE(SUBSTITUTE(LOWER(Registro!$F805)," ",""),CHAR(10),"|"),";","|"),"+","|"),"|",REPT(" ",LEN(Registro!$F805))),({1,2,3,4,5,6,7,8,9,10,11,12,13,14,15,16,17,18,19,20,21,22,23,24,25,26,27,28,29,30}-1)*LEN(Registro!$F805)+1,LEN(Registro!$F805))),FIND("x",TRIM(MID(SUBSTITUTE(SUBSTITUTE(SUBSTITUTE(SUBSTITUTE(SUBSTITUTE(LOWER(Registro!$F805)," ",""),CHAR(10),"|"),";","|"),"+","|"),"|",REPT(" ",LEN(Registro!$F805))),({1,2,3,4,5,6,7,8,9,10,11,12,13,14,15,16,17,18,19,20,21,22,23,24,25,26,27,28,29,30}-1)*LEN(Registro!$F805)+1,LEN(Registro!$F805)))&amp;"x")-1))),"Revisar formato")))</f>
        <v/>
      </c>
      <c r="G805" s="24" t="str">
        <f>IF(Registro!$F805="","",IF(ISERROR(FIND("x",LOWER(Registro!$F805))),N(Registro!$G805),IFERROR(SUMPRODUCT(--("0"&amp;LEFT(TRIM(MID(SUBSTITUTE(SUBSTITUTE(SUBSTITUTE(SUBSTITUTE(SUBSTITUTE(LOWER(Registro!$F805)," ",""),CHAR(10),"|"),";","|"),"+","|"),"|",REPT(" ",LEN(Registro!$F805))),({1,2,3,4,5,6,7,8,9,10,11,12,13,14,15,16,17,18,19,20,21,22,23,24,25,26,27,28,29,30}-1)*LEN(Registro!$F805)+1,LEN(Registro!$F805))),FIND("x",TRIM(MID(SUBSTITUTE(SUBSTITUTE(SUBSTITUTE(SUBSTITUTE(SUBSTITUTE(LOWER(Registro!$F805)," ",""),CHAR(10),"|"),";","|"),"+","|"),"|",REPT(" ",LEN(Registro!$F805))),({1,2,3,4,5,6,7,8,9,10,11,12,13,14,15,16,17,18,19,20,21,22,23,24,25,26,27,28,29,30}-1)*LEN(Registro!$F805)+1,LEN(Registro!$F805)))&amp;"x")-1)),--("0"&amp;MID(TRIM(MID(SUBSTITUTE(SUBSTITUTE(SUBSTITUTE(SUBSTITUTE(SUBSTITUTE(LOWER(Registro!$F805)," ",""),CHAR(10),"|"),";","|"),"+","|"),"|",REPT(" ",LEN(Registro!$F805))),({1,2,3,4,5,6,7,8,9,10,11,12,13,14,15,16,17,18,19,20,21,22,23,24,25,26,27,28,29,30}-1)*LEN(Registro!$F805)+1,LEN(Registro!$F805))),FIND("x",TRIM(MID(SUBSTITUTE(SUBSTITUTE(SUBSTITUTE(SUBSTITUTE(SUBSTITUTE(LOWER(Registro!$F805)," ",""),CHAR(10),"|"),";","|"),"+","|"),"|",REPT(" ",LEN(Registro!$F805))),({1,2,3,4,5,6,7,8,9,10,11,12,13,14,15,16,17,18,19,20,21,22,23,24,25,26,27,28,29,30}-1)*LEN(Registro!$F805)+1,LEN(Registro!$F805)))&amp;"x")+1,20))),"Revisar formato")))</f>
        <v/>
      </c>
      <c r="H805" s="21" t="str">
        <f>IF(AND(Registro!$E805="",Registro!$F805=""),"",IF(NOT(AND(ISNUMBER(G805),ISNUMBER(Registro!$G805))),"",IF(G805&lt;Registro!$G805,"FALTA BOLETOS",IF(G805=Registro!$G805,"CONFORME","DIFERENCIA"))))</f>
        <v/>
      </c>
      <c r="I805" s="24" t="str">
        <f>IF(Registro!$H805="","",IFERROR(SUMPRODUCT(--("0"&amp;TRIM(RIGHT(SUBSTITUTE(TRIM(MID(SUBSTITUTE(SUBSTITUTE(Registro!$H805,";",CHAR(10)),CHAR(10),REPT(" ",LEN(Registro!$H805))),({1,2,3,4,5,6,7,8,9,10,11,12,13,14,15,16,17,18,19,20,21,22,23,24,25,26,27,28,29,30}-1)*LEN(Registro!$H805)+1,LEN(Registro!$H805)))," ",REPT(" ",50)),50)))),"Revisar formato"))</f>
        <v/>
      </c>
      <c r="J805" s="24" t="str">
        <f>IF(Registro!$I805="","",IFERROR(SUMPRODUCT(--("0"&amp;TRIM(RIGHT(SUBSTITUTE(TRIM(MID(SUBSTITUTE(SUBSTITUTE(Registro!$I805,";",CHAR(10)),CHAR(10),REPT(" ",LEN(Registro!$I805))),({1,2,3,4,5,6,7,8,9,10,11,12,13,14,15,16,17,18,19,20,21,22,23,24,25,26,27,28,29,30}-1)*LEN(Registro!$I805)+1,LEN(Registro!$I805)))," ",REPT(" ",50)),50)))),"Revisar formato"))</f>
        <v/>
      </c>
      <c r="K805" s="24" t="str">
        <f>IF(AND(Registro!$G805="",Registro!$H805=""),"",IF(AND(ISTEXT(I805),I805&lt;&gt;""),"Revisar formato",N(Registro!$G805)-N(I805)))</f>
        <v/>
      </c>
      <c r="L805" s="24" t="str">
        <f t="shared" si="25"/>
        <v/>
      </c>
      <c r="M805" s="36" t="str">
        <f>IF(AND(A805=Consulta!$B$3,C805=Consulta!$H$3),B805*10000+ROW(),"")</f>
        <v/>
      </c>
    </row>
    <row r="806" spans="1:13" x14ac:dyDescent="0.25">
      <c r="A806" s="21" t="str">
        <f>IF(Registro!$A806="","",Registro!$A806)</f>
        <v/>
      </c>
      <c r="B806" s="20" t="str">
        <f>IF(Registro!$B806="","",Registro!$B806)</f>
        <v/>
      </c>
      <c r="C806" s="35" t="str">
        <f t="shared" si="24"/>
        <v/>
      </c>
      <c r="D806" s="23" t="str">
        <f>IF(Registro!$E806="","",IF(ISERROR(FIND("x",LOWER(Registro!$E806))),"-",IFERROR(SUMPRODUCT(--("0"&amp;LEFT(TRIM(MID(SUBSTITUTE(SUBSTITUTE(SUBSTITUTE(SUBSTITUTE(SUBSTITUTE(LOWER(Registro!$E806),"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",LEN(Registro!$E806))),({1,2,3,4,5,6,7,8,9,10,11,12,13,14,15,16,17,18,19,20,21,22,23,24,25,26,27,28,29,30}-1)*LEN(Registro!$E806)+1,LEN(Registro!$E806))),FIND("x",TRIM(MID(SUBSTITUTE(SUBSTITUTE(SUBSTITUTE(SUBSTITUTE(SUBSTITUTE(LOWER(Registro!$E806),"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",LEN(Registro!$E806))),({1,2,3,4,5,6,7,8,9,10,11,12,13,14,15,16,17,18,19,20,21,22,23,24,25,26,27,28,29,30}-1)*LEN(Registro!$E806)+1,LEN(Registro!$E806)))&amp;"x")-1))),"Revisar formato")))</f>
        <v/>
      </c>
      <c r="E806" s="24" t="str">
        <f>IF(Registro!$E806="","",IF(ISERROR(FIND("x",LOWER(Registro!$E806))),"-",IFERROR(SUMPRODUCT(--("0"&amp;LEFT(TRIM(MID(SUBSTITUTE(SUBSTITUTE(SUBSTITUTE(SUBSTITUTE(SUBSTITUTE(LOWER(Registro!$E806),"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",LEN(Registro!$E806))),({1,2,3,4,5,6,7,8,9,10,11,12,13,14,15,16,17,18,19,20,21,22,23,24,25,26,27,28,29,30}-1)*LEN(Registro!$E806)+1,LEN(Registro!$E806))),FIND("x",TRIM(MID(SUBSTITUTE(SUBSTITUTE(SUBSTITUTE(SUBSTITUTE(SUBSTITUTE(LOWER(Registro!$E806),"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",LEN(Registro!$E806))),({1,2,3,4,5,6,7,8,9,10,11,12,13,14,15,16,17,18,19,20,21,22,23,24,25,26,27,28,29,30}-1)*LEN(Registro!$E806)+1,LEN(Registro!$E806)))&amp;"x")-1)),--("0"&amp;MID(TRIM(MID(SUBSTITUTE(SUBSTITUTE(SUBSTITUTE(SUBSTITUTE(SUBSTITUTE(LOWER(Registro!$E806),"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",LEN(Registro!$E806))),({1,2,3,4,5,6,7,8,9,10,11,12,13,14,15,16,17,18,19,20,21,22,23,24,25,26,27,28,29,30}-1)*LEN(Registro!$E806)+1,LEN(Registro!$E806))),FIND("x",TRIM(MID(SUBSTITUTE(SUBSTITUTE(SUBSTITUTE(SUBSTITUTE(SUBSTITUTE(LOWER(Registro!$E806),"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",LEN(Registro!$E806))),({1,2,3,4,5,6,7,8,9,10,11,12,13,14,15,16,17,18,19,20,21,22,23,24,25,26,27,28,29,30}-1)*LEN(Registro!$E806)+1,LEN(Registro!$E806)))&amp;"x")+1,20))),"Revisar formato")))</f>
        <v/>
      </c>
      <c r="F806" s="23" t="str">
        <f>IF(Registro!$F806="","",IF(ISERROR(FIND("x",LOWER(Registro!$F806))),"-",IFERROR(SUMPRODUCT(--("0"&amp;LEFT(TRIM(MID(SUBSTITUTE(SUBSTITUTE(SUBSTITUTE(SUBSTITUTE(SUBSTITUTE(LOWER(Registro!$F806)," ",""),CHAR(10),"|"),";","|"),"+","|"),"|",REPT(" ",LEN(Registro!$F806))),({1,2,3,4,5,6,7,8,9,10,11,12,13,14,15,16,17,18,19,20,21,22,23,24,25,26,27,28,29,30}-1)*LEN(Registro!$F806)+1,LEN(Registro!$F806))),FIND("x",TRIM(MID(SUBSTITUTE(SUBSTITUTE(SUBSTITUTE(SUBSTITUTE(SUBSTITUTE(LOWER(Registro!$F806)," ",""),CHAR(10),"|"),";","|"),"+","|"),"|",REPT(" ",LEN(Registro!$F806))),({1,2,3,4,5,6,7,8,9,10,11,12,13,14,15,16,17,18,19,20,21,22,23,24,25,26,27,28,29,30}-1)*LEN(Registro!$F806)+1,LEN(Registro!$F806)))&amp;"x")-1))),"Revisar formato")))</f>
        <v/>
      </c>
      <c r="G806" s="24" t="str">
        <f>IF(Registro!$F806="","",IF(ISERROR(FIND("x",LOWER(Registro!$F806))),N(Registro!$G806),IFERROR(SUMPRODUCT(--("0"&amp;LEFT(TRIM(MID(SUBSTITUTE(SUBSTITUTE(SUBSTITUTE(SUBSTITUTE(SUBSTITUTE(LOWER(Registro!$F806)," ",""),CHAR(10),"|"),";","|"),"+","|"),"|",REPT(" ",LEN(Registro!$F806))),({1,2,3,4,5,6,7,8,9,10,11,12,13,14,15,16,17,18,19,20,21,22,23,24,25,26,27,28,29,30}-1)*LEN(Registro!$F806)+1,LEN(Registro!$F806))),FIND("x",TRIM(MID(SUBSTITUTE(SUBSTITUTE(SUBSTITUTE(SUBSTITUTE(SUBSTITUTE(LOWER(Registro!$F806)," ",""),CHAR(10),"|"),";","|"),"+","|"),"|",REPT(" ",LEN(Registro!$F806))),({1,2,3,4,5,6,7,8,9,10,11,12,13,14,15,16,17,18,19,20,21,22,23,24,25,26,27,28,29,30}-1)*LEN(Registro!$F806)+1,LEN(Registro!$F806)))&amp;"x")-1)),--("0"&amp;MID(TRIM(MID(SUBSTITUTE(SUBSTITUTE(SUBSTITUTE(SUBSTITUTE(SUBSTITUTE(LOWER(Registro!$F806)," ",""),CHAR(10),"|"),";","|"),"+","|"),"|",REPT(" ",LEN(Registro!$F806))),({1,2,3,4,5,6,7,8,9,10,11,12,13,14,15,16,17,18,19,20,21,22,23,24,25,26,27,28,29,30}-1)*LEN(Registro!$F806)+1,LEN(Registro!$F806))),FIND("x",TRIM(MID(SUBSTITUTE(SUBSTITUTE(SUBSTITUTE(SUBSTITUTE(SUBSTITUTE(LOWER(Registro!$F806)," ",""),CHAR(10),"|"),";","|"),"+","|"),"|",REPT(" ",LEN(Registro!$F806))),({1,2,3,4,5,6,7,8,9,10,11,12,13,14,15,16,17,18,19,20,21,22,23,24,25,26,27,28,29,30}-1)*LEN(Registro!$F806)+1,LEN(Registro!$F806)))&amp;"x")+1,20))),"Revisar formato")))</f>
        <v/>
      </c>
      <c r="H806" s="21" t="str">
        <f>IF(AND(Registro!$E806="",Registro!$F806=""),"",IF(NOT(AND(ISNUMBER(G806),ISNUMBER(Registro!$G806))),"",IF(G806&lt;Registro!$G806,"FALTA BOLETOS",IF(G806=Registro!$G806,"CONFORME","DIFERENCIA"))))</f>
        <v/>
      </c>
      <c r="I806" s="24" t="str">
        <f>IF(Registro!$H806="","",IFERROR(SUMPRODUCT(--("0"&amp;TRIM(RIGHT(SUBSTITUTE(TRIM(MID(SUBSTITUTE(SUBSTITUTE(Registro!$H806,";",CHAR(10)),CHAR(10),REPT(" ",LEN(Registro!$H806))),({1,2,3,4,5,6,7,8,9,10,11,12,13,14,15,16,17,18,19,20,21,22,23,24,25,26,27,28,29,30}-1)*LEN(Registro!$H806)+1,LEN(Registro!$H806)))," ",REPT(" ",50)),50)))),"Revisar formato"))</f>
        <v/>
      </c>
      <c r="J806" s="24" t="str">
        <f>IF(Registro!$I806="","",IFERROR(SUMPRODUCT(--("0"&amp;TRIM(RIGHT(SUBSTITUTE(TRIM(MID(SUBSTITUTE(SUBSTITUTE(Registro!$I806,";",CHAR(10)),CHAR(10),REPT(" ",LEN(Registro!$I806))),({1,2,3,4,5,6,7,8,9,10,11,12,13,14,15,16,17,18,19,20,21,22,23,24,25,26,27,28,29,30}-1)*LEN(Registro!$I806)+1,LEN(Registro!$I806)))," ",REPT(" ",50)),50)))),"Revisar formato"))</f>
        <v/>
      </c>
      <c r="K806" s="24" t="str">
        <f>IF(AND(Registro!$G806="",Registro!$H806=""),"",IF(AND(ISTEXT(I806),I806&lt;&gt;""),"Revisar formato",N(Registro!$G806)-N(I806)))</f>
        <v/>
      </c>
      <c r="L806" s="24" t="str">
        <f t="shared" si="25"/>
        <v/>
      </c>
      <c r="M806" s="36" t="str">
        <f>IF(AND(A806=Consulta!$B$3,C806=Consulta!$H$3),B806*10000+ROW(),"")</f>
        <v/>
      </c>
    </row>
    <row r="807" spans="1:13" x14ac:dyDescent="0.25">
      <c r="A807" s="21" t="str">
        <f>IF(Registro!$A807="","",Registro!$A807)</f>
        <v/>
      </c>
      <c r="B807" s="20" t="str">
        <f>IF(Registro!$B807="","",Registro!$B807)</f>
        <v/>
      </c>
      <c r="C807" s="35" t="str">
        <f t="shared" si="24"/>
        <v/>
      </c>
      <c r="D807" s="23" t="str">
        <f>IF(Registro!$E807="","",IF(ISERROR(FIND("x",LOWER(Registro!$E807))),"-",IFERROR(SUMPRODUCT(--("0"&amp;LEFT(TRIM(MID(SUBSTITUTE(SUBSTITUTE(SUBSTITUTE(SUBSTITUTE(SUBSTITUTE(LOWER(Registro!$E807),"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",LEN(Registro!$E807))),({1,2,3,4,5,6,7,8,9,10,11,12,13,14,15,16,17,18,19,20,21,22,23,24,25,26,27,28,29,30}-1)*LEN(Registro!$E807)+1,LEN(Registro!$E807))),FIND("x",TRIM(MID(SUBSTITUTE(SUBSTITUTE(SUBSTITUTE(SUBSTITUTE(SUBSTITUTE(LOWER(Registro!$E807),"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",LEN(Registro!$E807))),({1,2,3,4,5,6,7,8,9,10,11,12,13,14,15,16,17,18,19,20,21,22,23,24,25,26,27,28,29,30}-1)*LEN(Registro!$E807)+1,LEN(Registro!$E807)))&amp;"x")-1))),"Revisar formato")))</f>
        <v/>
      </c>
      <c r="E807" s="24" t="str">
        <f>IF(Registro!$E807="","",IF(ISERROR(FIND("x",LOWER(Registro!$E807))),"-",IFERROR(SUMPRODUCT(--("0"&amp;LEFT(TRIM(MID(SUBSTITUTE(SUBSTITUTE(SUBSTITUTE(SUBSTITUTE(SUBSTITUTE(LOWER(Registro!$E807),"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",LEN(Registro!$E807))),({1,2,3,4,5,6,7,8,9,10,11,12,13,14,15,16,17,18,19,20,21,22,23,24,25,26,27,28,29,30}-1)*LEN(Registro!$E807)+1,LEN(Registro!$E807))),FIND("x",TRIM(MID(SUBSTITUTE(SUBSTITUTE(SUBSTITUTE(SUBSTITUTE(SUBSTITUTE(LOWER(Registro!$E807),"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",LEN(Registro!$E807))),({1,2,3,4,5,6,7,8,9,10,11,12,13,14,15,16,17,18,19,20,21,22,23,24,25,26,27,28,29,30}-1)*LEN(Registro!$E807)+1,LEN(Registro!$E807)))&amp;"x")-1)),--("0"&amp;MID(TRIM(MID(SUBSTITUTE(SUBSTITUTE(SUBSTITUTE(SUBSTITUTE(SUBSTITUTE(LOWER(Registro!$E807),"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",LEN(Registro!$E807))),({1,2,3,4,5,6,7,8,9,10,11,12,13,14,15,16,17,18,19,20,21,22,23,24,25,26,27,28,29,30}-1)*LEN(Registro!$E807)+1,LEN(Registro!$E807))),FIND("x",TRIM(MID(SUBSTITUTE(SUBSTITUTE(SUBSTITUTE(SUBSTITUTE(SUBSTITUTE(LOWER(Registro!$E807),"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",LEN(Registro!$E807))),({1,2,3,4,5,6,7,8,9,10,11,12,13,14,15,16,17,18,19,20,21,22,23,24,25,26,27,28,29,30}-1)*LEN(Registro!$E807)+1,LEN(Registro!$E807)))&amp;"x")+1,20))),"Revisar formato")))</f>
        <v/>
      </c>
      <c r="F807" s="23" t="str">
        <f>IF(Registro!$F807="","",IF(ISERROR(FIND("x",LOWER(Registro!$F807))),"-",IFERROR(SUMPRODUCT(--("0"&amp;LEFT(TRIM(MID(SUBSTITUTE(SUBSTITUTE(SUBSTITUTE(SUBSTITUTE(SUBSTITUTE(LOWER(Registro!$F807)," ",""),CHAR(10),"|"),";","|"),"+","|"),"|",REPT(" ",LEN(Registro!$F807))),({1,2,3,4,5,6,7,8,9,10,11,12,13,14,15,16,17,18,19,20,21,22,23,24,25,26,27,28,29,30}-1)*LEN(Registro!$F807)+1,LEN(Registro!$F807))),FIND("x",TRIM(MID(SUBSTITUTE(SUBSTITUTE(SUBSTITUTE(SUBSTITUTE(SUBSTITUTE(LOWER(Registro!$F807)," ",""),CHAR(10),"|"),";","|"),"+","|"),"|",REPT(" ",LEN(Registro!$F807))),({1,2,3,4,5,6,7,8,9,10,11,12,13,14,15,16,17,18,19,20,21,22,23,24,25,26,27,28,29,30}-1)*LEN(Registro!$F807)+1,LEN(Registro!$F807)))&amp;"x")-1))),"Revisar formato")))</f>
        <v/>
      </c>
      <c r="G807" s="24" t="str">
        <f>IF(Registro!$F807="","",IF(ISERROR(FIND("x",LOWER(Registro!$F807))),N(Registro!$G807),IFERROR(SUMPRODUCT(--("0"&amp;LEFT(TRIM(MID(SUBSTITUTE(SUBSTITUTE(SUBSTITUTE(SUBSTITUTE(SUBSTITUTE(LOWER(Registro!$F807)," ",""),CHAR(10),"|"),";","|"),"+","|"),"|",REPT(" ",LEN(Registro!$F807))),({1,2,3,4,5,6,7,8,9,10,11,12,13,14,15,16,17,18,19,20,21,22,23,24,25,26,27,28,29,30}-1)*LEN(Registro!$F807)+1,LEN(Registro!$F807))),FIND("x",TRIM(MID(SUBSTITUTE(SUBSTITUTE(SUBSTITUTE(SUBSTITUTE(SUBSTITUTE(LOWER(Registro!$F807)," ",""),CHAR(10),"|"),";","|"),"+","|"),"|",REPT(" ",LEN(Registro!$F807))),({1,2,3,4,5,6,7,8,9,10,11,12,13,14,15,16,17,18,19,20,21,22,23,24,25,26,27,28,29,30}-1)*LEN(Registro!$F807)+1,LEN(Registro!$F807)))&amp;"x")-1)),--("0"&amp;MID(TRIM(MID(SUBSTITUTE(SUBSTITUTE(SUBSTITUTE(SUBSTITUTE(SUBSTITUTE(LOWER(Registro!$F807)," ",""),CHAR(10),"|"),";","|"),"+","|"),"|",REPT(" ",LEN(Registro!$F807))),({1,2,3,4,5,6,7,8,9,10,11,12,13,14,15,16,17,18,19,20,21,22,23,24,25,26,27,28,29,30}-1)*LEN(Registro!$F807)+1,LEN(Registro!$F807))),FIND("x",TRIM(MID(SUBSTITUTE(SUBSTITUTE(SUBSTITUTE(SUBSTITUTE(SUBSTITUTE(LOWER(Registro!$F807)," ",""),CHAR(10),"|"),";","|"),"+","|"),"|",REPT(" ",LEN(Registro!$F807))),({1,2,3,4,5,6,7,8,9,10,11,12,13,14,15,16,17,18,19,20,21,22,23,24,25,26,27,28,29,30}-1)*LEN(Registro!$F807)+1,LEN(Registro!$F807)))&amp;"x")+1,20))),"Revisar formato")))</f>
        <v/>
      </c>
      <c r="H807" s="21" t="str">
        <f>IF(AND(Registro!$E807="",Registro!$F807=""),"",IF(NOT(AND(ISNUMBER(G807),ISNUMBER(Registro!$G807))),"",IF(G807&lt;Registro!$G807,"FALTA BOLETOS",IF(G807=Registro!$G807,"CONFORME","DIFERENCIA"))))</f>
        <v/>
      </c>
      <c r="I807" s="24" t="str">
        <f>IF(Registro!$H807="","",IFERROR(SUMPRODUCT(--("0"&amp;TRIM(RIGHT(SUBSTITUTE(TRIM(MID(SUBSTITUTE(SUBSTITUTE(Registro!$H807,";",CHAR(10)),CHAR(10),REPT(" ",LEN(Registro!$H807))),({1,2,3,4,5,6,7,8,9,10,11,12,13,14,15,16,17,18,19,20,21,22,23,24,25,26,27,28,29,30}-1)*LEN(Registro!$H807)+1,LEN(Registro!$H807)))," ",REPT(" ",50)),50)))),"Revisar formato"))</f>
        <v/>
      </c>
      <c r="J807" s="24" t="str">
        <f>IF(Registro!$I807="","",IFERROR(SUMPRODUCT(--("0"&amp;TRIM(RIGHT(SUBSTITUTE(TRIM(MID(SUBSTITUTE(SUBSTITUTE(Registro!$I807,";",CHAR(10)),CHAR(10),REPT(" ",LEN(Registro!$I807))),({1,2,3,4,5,6,7,8,9,10,11,12,13,14,15,16,17,18,19,20,21,22,23,24,25,26,27,28,29,30}-1)*LEN(Registro!$I807)+1,LEN(Registro!$I807)))," ",REPT(" ",50)),50)))),"Revisar formato"))</f>
        <v/>
      </c>
      <c r="K807" s="24" t="str">
        <f>IF(AND(Registro!$G807="",Registro!$H807=""),"",IF(AND(ISTEXT(I807),I807&lt;&gt;""),"Revisar formato",N(Registro!$G807)-N(I807)))</f>
        <v/>
      </c>
      <c r="L807" s="24" t="str">
        <f t="shared" si="25"/>
        <v/>
      </c>
      <c r="M807" s="36" t="str">
        <f>IF(AND(A807=Consulta!$B$3,C807=Consulta!$H$3),B807*10000+ROW(),"")</f>
        <v/>
      </c>
    </row>
    <row r="808" spans="1:13" x14ac:dyDescent="0.25">
      <c r="A808" s="21" t="str">
        <f>IF(Registro!$A808="","",Registro!$A808)</f>
        <v/>
      </c>
      <c r="B808" s="20" t="str">
        <f>IF(Registro!$B808="","",Registro!$B808)</f>
        <v/>
      </c>
      <c r="C808" s="35" t="str">
        <f t="shared" si="24"/>
        <v/>
      </c>
      <c r="D808" s="23" t="str">
        <f>IF(Registro!$E808="","",IF(ISERROR(FIND("x",LOWER(Registro!$E808))),"-",IFERROR(SUMPRODUCT(--("0"&amp;LEFT(TRIM(MID(SUBSTITUTE(SUBSTITUTE(SUBSTITUTE(SUBSTITUTE(SUBSTITUTE(LOWER(Registro!$E808),"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",LEN(Registro!$E808))),({1,2,3,4,5,6,7,8,9,10,11,12,13,14,15,16,17,18,19,20,21,22,23,24,25,26,27,28,29,30}-1)*LEN(Registro!$E808)+1,LEN(Registro!$E808))),FIND("x",TRIM(MID(SUBSTITUTE(SUBSTITUTE(SUBSTITUTE(SUBSTITUTE(SUBSTITUTE(LOWER(Registro!$E808),"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",LEN(Registro!$E808))),({1,2,3,4,5,6,7,8,9,10,11,12,13,14,15,16,17,18,19,20,21,22,23,24,25,26,27,28,29,30}-1)*LEN(Registro!$E808)+1,LEN(Registro!$E808)))&amp;"x")-1))),"Revisar formato")))</f>
        <v/>
      </c>
      <c r="E808" s="24" t="str">
        <f>IF(Registro!$E808="","",IF(ISERROR(FIND("x",LOWER(Registro!$E808))),"-",IFERROR(SUMPRODUCT(--("0"&amp;LEFT(TRIM(MID(SUBSTITUTE(SUBSTITUTE(SUBSTITUTE(SUBSTITUTE(SUBSTITUTE(LOWER(Registro!$E808),"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",LEN(Registro!$E808))),({1,2,3,4,5,6,7,8,9,10,11,12,13,14,15,16,17,18,19,20,21,22,23,24,25,26,27,28,29,30}-1)*LEN(Registro!$E808)+1,LEN(Registro!$E808))),FIND("x",TRIM(MID(SUBSTITUTE(SUBSTITUTE(SUBSTITUTE(SUBSTITUTE(SUBSTITUTE(LOWER(Registro!$E808),"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",LEN(Registro!$E808))),({1,2,3,4,5,6,7,8,9,10,11,12,13,14,15,16,17,18,19,20,21,22,23,24,25,26,27,28,29,30}-1)*LEN(Registro!$E808)+1,LEN(Registro!$E808)))&amp;"x")-1)),--("0"&amp;MID(TRIM(MID(SUBSTITUTE(SUBSTITUTE(SUBSTITUTE(SUBSTITUTE(SUBSTITUTE(LOWER(Registro!$E808),"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",LEN(Registro!$E808))),({1,2,3,4,5,6,7,8,9,10,11,12,13,14,15,16,17,18,19,20,21,22,23,24,25,26,27,28,29,30}-1)*LEN(Registro!$E808)+1,LEN(Registro!$E808))),FIND("x",TRIM(MID(SUBSTITUTE(SUBSTITUTE(SUBSTITUTE(SUBSTITUTE(SUBSTITUTE(LOWER(Registro!$E808),"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",LEN(Registro!$E808))),({1,2,3,4,5,6,7,8,9,10,11,12,13,14,15,16,17,18,19,20,21,22,23,24,25,26,27,28,29,30}-1)*LEN(Registro!$E808)+1,LEN(Registro!$E808)))&amp;"x")+1,20))),"Revisar formato")))</f>
        <v/>
      </c>
      <c r="F808" s="23" t="str">
        <f>IF(Registro!$F808="","",IF(ISERROR(FIND("x",LOWER(Registro!$F808))),"-",IFERROR(SUMPRODUCT(--("0"&amp;LEFT(TRIM(MID(SUBSTITUTE(SUBSTITUTE(SUBSTITUTE(SUBSTITUTE(SUBSTITUTE(LOWER(Registro!$F808)," ",""),CHAR(10),"|"),";","|"),"+","|"),"|",REPT(" ",LEN(Registro!$F808))),({1,2,3,4,5,6,7,8,9,10,11,12,13,14,15,16,17,18,19,20,21,22,23,24,25,26,27,28,29,30}-1)*LEN(Registro!$F808)+1,LEN(Registro!$F808))),FIND("x",TRIM(MID(SUBSTITUTE(SUBSTITUTE(SUBSTITUTE(SUBSTITUTE(SUBSTITUTE(LOWER(Registro!$F808)," ",""),CHAR(10),"|"),";","|"),"+","|"),"|",REPT(" ",LEN(Registro!$F808))),({1,2,3,4,5,6,7,8,9,10,11,12,13,14,15,16,17,18,19,20,21,22,23,24,25,26,27,28,29,30}-1)*LEN(Registro!$F808)+1,LEN(Registro!$F808)))&amp;"x")-1))),"Revisar formato")))</f>
        <v/>
      </c>
      <c r="G808" s="24" t="str">
        <f>IF(Registro!$F808="","",IF(ISERROR(FIND("x",LOWER(Registro!$F808))),N(Registro!$G808),IFERROR(SUMPRODUCT(--("0"&amp;LEFT(TRIM(MID(SUBSTITUTE(SUBSTITUTE(SUBSTITUTE(SUBSTITUTE(SUBSTITUTE(LOWER(Registro!$F808)," ",""),CHAR(10),"|"),";","|"),"+","|"),"|",REPT(" ",LEN(Registro!$F808))),({1,2,3,4,5,6,7,8,9,10,11,12,13,14,15,16,17,18,19,20,21,22,23,24,25,26,27,28,29,30}-1)*LEN(Registro!$F808)+1,LEN(Registro!$F808))),FIND("x",TRIM(MID(SUBSTITUTE(SUBSTITUTE(SUBSTITUTE(SUBSTITUTE(SUBSTITUTE(LOWER(Registro!$F808)," ",""),CHAR(10),"|"),";","|"),"+","|"),"|",REPT(" ",LEN(Registro!$F808))),({1,2,3,4,5,6,7,8,9,10,11,12,13,14,15,16,17,18,19,20,21,22,23,24,25,26,27,28,29,30}-1)*LEN(Registro!$F808)+1,LEN(Registro!$F808)))&amp;"x")-1)),--("0"&amp;MID(TRIM(MID(SUBSTITUTE(SUBSTITUTE(SUBSTITUTE(SUBSTITUTE(SUBSTITUTE(LOWER(Registro!$F808)," ",""),CHAR(10),"|"),";","|"),"+","|"),"|",REPT(" ",LEN(Registro!$F808))),({1,2,3,4,5,6,7,8,9,10,11,12,13,14,15,16,17,18,19,20,21,22,23,24,25,26,27,28,29,30}-1)*LEN(Registro!$F808)+1,LEN(Registro!$F808))),FIND("x",TRIM(MID(SUBSTITUTE(SUBSTITUTE(SUBSTITUTE(SUBSTITUTE(SUBSTITUTE(LOWER(Registro!$F808)," ",""),CHAR(10),"|"),";","|"),"+","|"),"|",REPT(" ",LEN(Registro!$F808))),({1,2,3,4,5,6,7,8,9,10,11,12,13,14,15,16,17,18,19,20,21,22,23,24,25,26,27,28,29,30}-1)*LEN(Registro!$F808)+1,LEN(Registro!$F808)))&amp;"x")+1,20))),"Revisar formato")))</f>
        <v/>
      </c>
      <c r="H808" s="21" t="str">
        <f>IF(AND(Registro!$E808="",Registro!$F808=""),"",IF(NOT(AND(ISNUMBER(G808),ISNUMBER(Registro!$G808))),"",IF(G808&lt;Registro!$G808,"FALTA BOLETOS",IF(G808=Registro!$G808,"CONFORME","DIFERENCIA"))))</f>
        <v/>
      </c>
      <c r="I808" s="24" t="str">
        <f>IF(Registro!$H808="","",IFERROR(SUMPRODUCT(--("0"&amp;TRIM(RIGHT(SUBSTITUTE(TRIM(MID(SUBSTITUTE(SUBSTITUTE(Registro!$H808,";",CHAR(10)),CHAR(10),REPT(" ",LEN(Registro!$H808))),({1,2,3,4,5,6,7,8,9,10,11,12,13,14,15,16,17,18,19,20,21,22,23,24,25,26,27,28,29,30}-1)*LEN(Registro!$H808)+1,LEN(Registro!$H808)))," ",REPT(" ",50)),50)))),"Revisar formato"))</f>
        <v/>
      </c>
      <c r="J808" s="24" t="str">
        <f>IF(Registro!$I808="","",IFERROR(SUMPRODUCT(--("0"&amp;TRIM(RIGHT(SUBSTITUTE(TRIM(MID(SUBSTITUTE(SUBSTITUTE(Registro!$I808,";",CHAR(10)),CHAR(10),REPT(" ",LEN(Registro!$I808))),({1,2,3,4,5,6,7,8,9,10,11,12,13,14,15,16,17,18,19,20,21,22,23,24,25,26,27,28,29,30}-1)*LEN(Registro!$I808)+1,LEN(Registro!$I808)))," ",REPT(" ",50)),50)))),"Revisar formato"))</f>
        <v/>
      </c>
      <c r="K808" s="24" t="str">
        <f>IF(AND(Registro!$G808="",Registro!$H808=""),"",IF(AND(ISTEXT(I808),I808&lt;&gt;""),"Revisar formato",N(Registro!$G808)-N(I808)))</f>
        <v/>
      </c>
      <c r="L808" s="24" t="str">
        <f t="shared" si="25"/>
        <v/>
      </c>
      <c r="M808" s="36" t="str">
        <f>IF(AND(A808=Consulta!$B$3,C808=Consulta!$H$3),B808*10000+ROW(),"")</f>
        <v/>
      </c>
    </row>
    <row r="809" spans="1:13" x14ac:dyDescent="0.25">
      <c r="A809" s="21" t="str">
        <f>IF(Registro!$A809="","",Registro!$A809)</f>
        <v/>
      </c>
      <c r="B809" s="20" t="str">
        <f>IF(Registro!$B809="","",Registro!$B809)</f>
        <v/>
      </c>
      <c r="C809" s="35" t="str">
        <f t="shared" si="24"/>
        <v/>
      </c>
      <c r="D809" s="23" t="str">
        <f>IF(Registro!$E809="","",IF(ISERROR(FIND("x",LOWER(Registro!$E809))),"-",IFERROR(SUMPRODUCT(--("0"&amp;LEFT(TRIM(MID(SUBSTITUTE(SUBSTITUTE(SUBSTITUTE(SUBSTITUTE(SUBSTITUTE(LOWER(Registro!$E809),"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",LEN(Registro!$E809))),({1,2,3,4,5,6,7,8,9,10,11,12,13,14,15,16,17,18,19,20,21,22,23,24,25,26,27,28,29,30}-1)*LEN(Registro!$E809)+1,LEN(Registro!$E809))),FIND("x",TRIM(MID(SUBSTITUTE(SUBSTITUTE(SUBSTITUTE(SUBSTITUTE(SUBSTITUTE(LOWER(Registro!$E809),"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",LEN(Registro!$E809))),({1,2,3,4,5,6,7,8,9,10,11,12,13,14,15,16,17,18,19,20,21,22,23,24,25,26,27,28,29,30}-1)*LEN(Registro!$E809)+1,LEN(Registro!$E809)))&amp;"x")-1))),"Revisar formato")))</f>
        <v/>
      </c>
      <c r="E809" s="24" t="str">
        <f>IF(Registro!$E809="","",IF(ISERROR(FIND("x",LOWER(Registro!$E809))),"-",IFERROR(SUMPRODUCT(--("0"&amp;LEFT(TRIM(MID(SUBSTITUTE(SUBSTITUTE(SUBSTITUTE(SUBSTITUTE(SUBSTITUTE(LOWER(Registro!$E809),"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",LEN(Registro!$E809))),({1,2,3,4,5,6,7,8,9,10,11,12,13,14,15,16,17,18,19,20,21,22,23,24,25,26,27,28,29,30}-1)*LEN(Registro!$E809)+1,LEN(Registro!$E809))),FIND("x",TRIM(MID(SUBSTITUTE(SUBSTITUTE(SUBSTITUTE(SUBSTITUTE(SUBSTITUTE(LOWER(Registro!$E809),"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",LEN(Registro!$E809))),({1,2,3,4,5,6,7,8,9,10,11,12,13,14,15,16,17,18,19,20,21,22,23,24,25,26,27,28,29,30}-1)*LEN(Registro!$E809)+1,LEN(Registro!$E809)))&amp;"x")-1)),--("0"&amp;MID(TRIM(MID(SUBSTITUTE(SUBSTITUTE(SUBSTITUTE(SUBSTITUTE(SUBSTITUTE(LOWER(Registro!$E809),"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",LEN(Registro!$E809))),({1,2,3,4,5,6,7,8,9,10,11,12,13,14,15,16,17,18,19,20,21,22,23,24,25,26,27,28,29,30}-1)*LEN(Registro!$E809)+1,LEN(Registro!$E809))),FIND("x",TRIM(MID(SUBSTITUTE(SUBSTITUTE(SUBSTITUTE(SUBSTITUTE(SUBSTITUTE(LOWER(Registro!$E809),"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",LEN(Registro!$E809))),({1,2,3,4,5,6,7,8,9,10,11,12,13,14,15,16,17,18,19,20,21,22,23,24,25,26,27,28,29,30}-1)*LEN(Registro!$E809)+1,LEN(Registro!$E809)))&amp;"x")+1,20))),"Revisar formato")))</f>
        <v/>
      </c>
      <c r="F809" s="23" t="str">
        <f>IF(Registro!$F809="","",IF(ISERROR(FIND("x",LOWER(Registro!$F809))),"-",IFERROR(SUMPRODUCT(--("0"&amp;LEFT(TRIM(MID(SUBSTITUTE(SUBSTITUTE(SUBSTITUTE(SUBSTITUTE(SUBSTITUTE(LOWER(Registro!$F809)," ",""),CHAR(10),"|"),";","|"),"+","|"),"|",REPT(" ",LEN(Registro!$F809))),({1,2,3,4,5,6,7,8,9,10,11,12,13,14,15,16,17,18,19,20,21,22,23,24,25,26,27,28,29,30}-1)*LEN(Registro!$F809)+1,LEN(Registro!$F809))),FIND("x",TRIM(MID(SUBSTITUTE(SUBSTITUTE(SUBSTITUTE(SUBSTITUTE(SUBSTITUTE(LOWER(Registro!$F809)," ",""),CHAR(10),"|"),";","|"),"+","|"),"|",REPT(" ",LEN(Registro!$F809))),({1,2,3,4,5,6,7,8,9,10,11,12,13,14,15,16,17,18,19,20,21,22,23,24,25,26,27,28,29,30}-1)*LEN(Registro!$F809)+1,LEN(Registro!$F809)))&amp;"x")-1))),"Revisar formato")))</f>
        <v/>
      </c>
      <c r="G809" s="24" t="str">
        <f>IF(Registro!$F809="","",IF(ISERROR(FIND("x",LOWER(Registro!$F809))),N(Registro!$G809),IFERROR(SUMPRODUCT(--("0"&amp;LEFT(TRIM(MID(SUBSTITUTE(SUBSTITUTE(SUBSTITUTE(SUBSTITUTE(SUBSTITUTE(LOWER(Registro!$F809)," ",""),CHAR(10),"|"),";","|"),"+","|"),"|",REPT(" ",LEN(Registro!$F809))),({1,2,3,4,5,6,7,8,9,10,11,12,13,14,15,16,17,18,19,20,21,22,23,24,25,26,27,28,29,30}-1)*LEN(Registro!$F809)+1,LEN(Registro!$F809))),FIND("x",TRIM(MID(SUBSTITUTE(SUBSTITUTE(SUBSTITUTE(SUBSTITUTE(SUBSTITUTE(LOWER(Registro!$F809)," ",""),CHAR(10),"|"),";","|"),"+","|"),"|",REPT(" ",LEN(Registro!$F809))),({1,2,3,4,5,6,7,8,9,10,11,12,13,14,15,16,17,18,19,20,21,22,23,24,25,26,27,28,29,30}-1)*LEN(Registro!$F809)+1,LEN(Registro!$F809)))&amp;"x")-1)),--("0"&amp;MID(TRIM(MID(SUBSTITUTE(SUBSTITUTE(SUBSTITUTE(SUBSTITUTE(SUBSTITUTE(LOWER(Registro!$F809)," ",""),CHAR(10),"|"),";","|"),"+","|"),"|",REPT(" ",LEN(Registro!$F809))),({1,2,3,4,5,6,7,8,9,10,11,12,13,14,15,16,17,18,19,20,21,22,23,24,25,26,27,28,29,30}-1)*LEN(Registro!$F809)+1,LEN(Registro!$F809))),FIND("x",TRIM(MID(SUBSTITUTE(SUBSTITUTE(SUBSTITUTE(SUBSTITUTE(SUBSTITUTE(LOWER(Registro!$F809)," ",""),CHAR(10),"|"),";","|"),"+","|"),"|",REPT(" ",LEN(Registro!$F809))),({1,2,3,4,5,6,7,8,9,10,11,12,13,14,15,16,17,18,19,20,21,22,23,24,25,26,27,28,29,30}-1)*LEN(Registro!$F809)+1,LEN(Registro!$F809)))&amp;"x")+1,20))),"Revisar formato")))</f>
        <v/>
      </c>
      <c r="H809" s="21" t="str">
        <f>IF(AND(Registro!$E809="",Registro!$F809=""),"",IF(NOT(AND(ISNUMBER(G809),ISNUMBER(Registro!$G809))),"",IF(G809&lt;Registro!$G809,"FALTA BOLETOS",IF(G809=Registro!$G809,"CONFORME","DIFERENCIA"))))</f>
        <v/>
      </c>
      <c r="I809" s="24" t="str">
        <f>IF(Registro!$H809="","",IFERROR(SUMPRODUCT(--("0"&amp;TRIM(RIGHT(SUBSTITUTE(TRIM(MID(SUBSTITUTE(SUBSTITUTE(Registro!$H809,";",CHAR(10)),CHAR(10),REPT(" ",LEN(Registro!$H809))),({1,2,3,4,5,6,7,8,9,10,11,12,13,14,15,16,17,18,19,20,21,22,23,24,25,26,27,28,29,30}-1)*LEN(Registro!$H809)+1,LEN(Registro!$H809)))," ",REPT(" ",50)),50)))),"Revisar formato"))</f>
        <v/>
      </c>
      <c r="J809" s="24" t="str">
        <f>IF(Registro!$I809="","",IFERROR(SUMPRODUCT(--("0"&amp;TRIM(RIGHT(SUBSTITUTE(TRIM(MID(SUBSTITUTE(SUBSTITUTE(Registro!$I809,";",CHAR(10)),CHAR(10),REPT(" ",LEN(Registro!$I809))),({1,2,3,4,5,6,7,8,9,10,11,12,13,14,15,16,17,18,19,20,21,22,23,24,25,26,27,28,29,30}-1)*LEN(Registro!$I809)+1,LEN(Registro!$I809)))," ",REPT(" ",50)),50)))),"Revisar formato"))</f>
        <v/>
      </c>
      <c r="K809" s="24" t="str">
        <f>IF(AND(Registro!$G809="",Registro!$H809=""),"",IF(AND(ISTEXT(I809),I809&lt;&gt;""),"Revisar formato",N(Registro!$G809)-N(I809)))</f>
        <v/>
      </c>
      <c r="L809" s="24" t="str">
        <f t="shared" si="25"/>
        <v/>
      </c>
      <c r="M809" s="36" t="str">
        <f>IF(AND(A809=Consulta!$B$3,C809=Consulta!$H$3),B809*10000+ROW(),"")</f>
        <v/>
      </c>
    </row>
    <row r="810" spans="1:13" x14ac:dyDescent="0.25">
      <c r="A810" s="21" t="str">
        <f>IF(Registro!$A810="","",Registro!$A810)</f>
        <v/>
      </c>
      <c r="B810" s="20" t="str">
        <f>IF(Registro!$B810="","",Registro!$B810)</f>
        <v/>
      </c>
      <c r="C810" s="35" t="str">
        <f t="shared" si="24"/>
        <v/>
      </c>
      <c r="D810" s="23" t="str">
        <f>IF(Registro!$E810="","",IF(ISERROR(FIND("x",LOWER(Registro!$E810))),"-",IFERROR(SUMPRODUCT(--("0"&amp;LEFT(TRIM(MID(SUBSTITUTE(SUBSTITUTE(SUBSTITUTE(SUBSTITUTE(SUBSTITUTE(LOWER(Registro!$E810),"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",LEN(Registro!$E810))),({1,2,3,4,5,6,7,8,9,10,11,12,13,14,15,16,17,18,19,20,21,22,23,24,25,26,27,28,29,30}-1)*LEN(Registro!$E810)+1,LEN(Registro!$E810))),FIND("x",TRIM(MID(SUBSTITUTE(SUBSTITUTE(SUBSTITUTE(SUBSTITUTE(SUBSTITUTE(LOWER(Registro!$E810),"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",LEN(Registro!$E810))),({1,2,3,4,5,6,7,8,9,10,11,12,13,14,15,16,17,18,19,20,21,22,23,24,25,26,27,28,29,30}-1)*LEN(Registro!$E810)+1,LEN(Registro!$E810)))&amp;"x")-1))),"Revisar formato")))</f>
        <v/>
      </c>
      <c r="E810" s="24" t="str">
        <f>IF(Registro!$E810="","",IF(ISERROR(FIND("x",LOWER(Registro!$E810))),"-",IFERROR(SUMPRODUCT(--("0"&amp;LEFT(TRIM(MID(SUBSTITUTE(SUBSTITUTE(SUBSTITUTE(SUBSTITUTE(SUBSTITUTE(LOWER(Registro!$E810),"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",LEN(Registro!$E810))),({1,2,3,4,5,6,7,8,9,10,11,12,13,14,15,16,17,18,19,20,21,22,23,24,25,26,27,28,29,30}-1)*LEN(Registro!$E810)+1,LEN(Registro!$E810))),FIND("x",TRIM(MID(SUBSTITUTE(SUBSTITUTE(SUBSTITUTE(SUBSTITUTE(SUBSTITUTE(LOWER(Registro!$E810),"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",LEN(Registro!$E810))),({1,2,3,4,5,6,7,8,9,10,11,12,13,14,15,16,17,18,19,20,21,22,23,24,25,26,27,28,29,30}-1)*LEN(Registro!$E810)+1,LEN(Registro!$E810)))&amp;"x")-1)),--("0"&amp;MID(TRIM(MID(SUBSTITUTE(SUBSTITUTE(SUBSTITUTE(SUBSTITUTE(SUBSTITUTE(LOWER(Registro!$E810),"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",LEN(Registro!$E810))),({1,2,3,4,5,6,7,8,9,10,11,12,13,14,15,16,17,18,19,20,21,22,23,24,25,26,27,28,29,30}-1)*LEN(Registro!$E810)+1,LEN(Registro!$E810))),FIND("x",TRIM(MID(SUBSTITUTE(SUBSTITUTE(SUBSTITUTE(SUBSTITUTE(SUBSTITUTE(LOWER(Registro!$E810),"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",LEN(Registro!$E810))),({1,2,3,4,5,6,7,8,9,10,11,12,13,14,15,16,17,18,19,20,21,22,23,24,25,26,27,28,29,30}-1)*LEN(Registro!$E810)+1,LEN(Registro!$E810)))&amp;"x")+1,20))),"Revisar formato")))</f>
        <v/>
      </c>
      <c r="F810" s="23" t="str">
        <f>IF(Registro!$F810="","",IF(ISERROR(FIND("x",LOWER(Registro!$F810))),"-",IFERROR(SUMPRODUCT(--("0"&amp;LEFT(TRIM(MID(SUBSTITUTE(SUBSTITUTE(SUBSTITUTE(SUBSTITUTE(SUBSTITUTE(LOWER(Registro!$F810)," ",""),CHAR(10),"|"),";","|"),"+","|"),"|",REPT(" ",LEN(Registro!$F810))),({1,2,3,4,5,6,7,8,9,10,11,12,13,14,15,16,17,18,19,20,21,22,23,24,25,26,27,28,29,30}-1)*LEN(Registro!$F810)+1,LEN(Registro!$F810))),FIND("x",TRIM(MID(SUBSTITUTE(SUBSTITUTE(SUBSTITUTE(SUBSTITUTE(SUBSTITUTE(LOWER(Registro!$F810)," ",""),CHAR(10),"|"),";","|"),"+","|"),"|",REPT(" ",LEN(Registro!$F810))),({1,2,3,4,5,6,7,8,9,10,11,12,13,14,15,16,17,18,19,20,21,22,23,24,25,26,27,28,29,30}-1)*LEN(Registro!$F810)+1,LEN(Registro!$F810)))&amp;"x")-1))),"Revisar formato")))</f>
        <v/>
      </c>
      <c r="G810" s="24" t="str">
        <f>IF(Registro!$F810="","",IF(ISERROR(FIND("x",LOWER(Registro!$F810))),N(Registro!$G810),IFERROR(SUMPRODUCT(--("0"&amp;LEFT(TRIM(MID(SUBSTITUTE(SUBSTITUTE(SUBSTITUTE(SUBSTITUTE(SUBSTITUTE(LOWER(Registro!$F810)," ",""),CHAR(10),"|"),";","|"),"+","|"),"|",REPT(" ",LEN(Registro!$F810))),({1,2,3,4,5,6,7,8,9,10,11,12,13,14,15,16,17,18,19,20,21,22,23,24,25,26,27,28,29,30}-1)*LEN(Registro!$F810)+1,LEN(Registro!$F810))),FIND("x",TRIM(MID(SUBSTITUTE(SUBSTITUTE(SUBSTITUTE(SUBSTITUTE(SUBSTITUTE(LOWER(Registro!$F810)," ",""),CHAR(10),"|"),";","|"),"+","|"),"|",REPT(" ",LEN(Registro!$F810))),({1,2,3,4,5,6,7,8,9,10,11,12,13,14,15,16,17,18,19,20,21,22,23,24,25,26,27,28,29,30}-1)*LEN(Registro!$F810)+1,LEN(Registro!$F810)))&amp;"x")-1)),--("0"&amp;MID(TRIM(MID(SUBSTITUTE(SUBSTITUTE(SUBSTITUTE(SUBSTITUTE(SUBSTITUTE(LOWER(Registro!$F810)," ",""),CHAR(10),"|"),";","|"),"+","|"),"|",REPT(" ",LEN(Registro!$F810))),({1,2,3,4,5,6,7,8,9,10,11,12,13,14,15,16,17,18,19,20,21,22,23,24,25,26,27,28,29,30}-1)*LEN(Registro!$F810)+1,LEN(Registro!$F810))),FIND("x",TRIM(MID(SUBSTITUTE(SUBSTITUTE(SUBSTITUTE(SUBSTITUTE(SUBSTITUTE(LOWER(Registro!$F810)," ",""),CHAR(10),"|"),";","|"),"+","|"),"|",REPT(" ",LEN(Registro!$F810))),({1,2,3,4,5,6,7,8,9,10,11,12,13,14,15,16,17,18,19,20,21,22,23,24,25,26,27,28,29,30}-1)*LEN(Registro!$F810)+1,LEN(Registro!$F810)))&amp;"x")+1,20))),"Revisar formato")))</f>
        <v/>
      </c>
      <c r="H810" s="21" t="str">
        <f>IF(AND(Registro!$E810="",Registro!$F810=""),"",IF(NOT(AND(ISNUMBER(G810),ISNUMBER(Registro!$G810))),"",IF(G810&lt;Registro!$G810,"FALTA BOLETOS",IF(G810=Registro!$G810,"CONFORME","DIFERENCIA"))))</f>
        <v/>
      </c>
      <c r="I810" s="24" t="str">
        <f>IF(Registro!$H810="","",IFERROR(SUMPRODUCT(--("0"&amp;TRIM(RIGHT(SUBSTITUTE(TRIM(MID(SUBSTITUTE(SUBSTITUTE(Registro!$H810,";",CHAR(10)),CHAR(10),REPT(" ",LEN(Registro!$H810))),({1,2,3,4,5,6,7,8,9,10,11,12,13,14,15,16,17,18,19,20,21,22,23,24,25,26,27,28,29,30}-1)*LEN(Registro!$H810)+1,LEN(Registro!$H810)))," ",REPT(" ",50)),50)))),"Revisar formato"))</f>
        <v/>
      </c>
      <c r="J810" s="24" t="str">
        <f>IF(Registro!$I810="","",IFERROR(SUMPRODUCT(--("0"&amp;TRIM(RIGHT(SUBSTITUTE(TRIM(MID(SUBSTITUTE(SUBSTITUTE(Registro!$I810,";",CHAR(10)),CHAR(10),REPT(" ",LEN(Registro!$I810))),({1,2,3,4,5,6,7,8,9,10,11,12,13,14,15,16,17,18,19,20,21,22,23,24,25,26,27,28,29,30}-1)*LEN(Registro!$I810)+1,LEN(Registro!$I810)))," ",REPT(" ",50)),50)))),"Revisar formato"))</f>
        <v/>
      </c>
      <c r="K810" s="24" t="str">
        <f>IF(AND(Registro!$G810="",Registro!$H810=""),"",IF(AND(ISTEXT(I810),I810&lt;&gt;""),"Revisar formato",N(Registro!$G810)-N(I810)))</f>
        <v/>
      </c>
      <c r="L810" s="24" t="str">
        <f t="shared" si="25"/>
        <v/>
      </c>
      <c r="M810" s="36" t="str">
        <f>IF(AND(A810=Consulta!$B$3,C810=Consulta!$H$3),B810*10000+ROW(),"")</f>
        <v/>
      </c>
    </row>
    <row r="811" spans="1:13" x14ac:dyDescent="0.25">
      <c r="A811" s="21" t="str">
        <f>IF(Registro!$A811="","",Registro!$A811)</f>
        <v/>
      </c>
      <c r="B811" s="20" t="str">
        <f>IF(Registro!$B811="","",Registro!$B811)</f>
        <v/>
      </c>
      <c r="C811" s="35" t="str">
        <f t="shared" si="24"/>
        <v/>
      </c>
      <c r="D811" s="23" t="str">
        <f>IF(Registro!$E811="","",IF(ISERROR(FIND("x",LOWER(Registro!$E811))),"-",IFERROR(SUMPRODUCT(--("0"&amp;LEFT(TRIM(MID(SUBSTITUTE(SUBSTITUTE(SUBSTITUTE(SUBSTITUTE(SUBSTITUTE(LOWER(Registro!$E811),"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",LEN(Registro!$E811))),({1,2,3,4,5,6,7,8,9,10,11,12,13,14,15,16,17,18,19,20,21,22,23,24,25,26,27,28,29,30}-1)*LEN(Registro!$E811)+1,LEN(Registro!$E811))),FIND("x",TRIM(MID(SUBSTITUTE(SUBSTITUTE(SUBSTITUTE(SUBSTITUTE(SUBSTITUTE(LOWER(Registro!$E811),"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",LEN(Registro!$E811))),({1,2,3,4,5,6,7,8,9,10,11,12,13,14,15,16,17,18,19,20,21,22,23,24,25,26,27,28,29,30}-1)*LEN(Registro!$E811)+1,LEN(Registro!$E811)))&amp;"x")-1))),"Revisar formato")))</f>
        <v/>
      </c>
      <c r="E811" s="24" t="str">
        <f>IF(Registro!$E811="","",IF(ISERROR(FIND("x",LOWER(Registro!$E811))),"-",IFERROR(SUMPRODUCT(--("0"&amp;LEFT(TRIM(MID(SUBSTITUTE(SUBSTITUTE(SUBSTITUTE(SUBSTITUTE(SUBSTITUTE(LOWER(Registro!$E811),"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",LEN(Registro!$E811))),({1,2,3,4,5,6,7,8,9,10,11,12,13,14,15,16,17,18,19,20,21,22,23,24,25,26,27,28,29,30}-1)*LEN(Registro!$E811)+1,LEN(Registro!$E811))),FIND("x",TRIM(MID(SUBSTITUTE(SUBSTITUTE(SUBSTITUTE(SUBSTITUTE(SUBSTITUTE(LOWER(Registro!$E811),"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",LEN(Registro!$E811))),({1,2,3,4,5,6,7,8,9,10,11,12,13,14,15,16,17,18,19,20,21,22,23,24,25,26,27,28,29,30}-1)*LEN(Registro!$E811)+1,LEN(Registro!$E811)))&amp;"x")-1)),--("0"&amp;MID(TRIM(MID(SUBSTITUTE(SUBSTITUTE(SUBSTITUTE(SUBSTITUTE(SUBSTITUTE(LOWER(Registro!$E811),"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",LEN(Registro!$E811))),({1,2,3,4,5,6,7,8,9,10,11,12,13,14,15,16,17,18,19,20,21,22,23,24,25,26,27,28,29,30}-1)*LEN(Registro!$E811)+1,LEN(Registro!$E811))),FIND("x",TRIM(MID(SUBSTITUTE(SUBSTITUTE(SUBSTITUTE(SUBSTITUTE(SUBSTITUTE(LOWER(Registro!$E811),"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",LEN(Registro!$E811))),({1,2,3,4,5,6,7,8,9,10,11,12,13,14,15,16,17,18,19,20,21,22,23,24,25,26,27,28,29,30}-1)*LEN(Registro!$E811)+1,LEN(Registro!$E811)))&amp;"x")+1,20))),"Revisar formato")))</f>
        <v/>
      </c>
      <c r="F811" s="23" t="str">
        <f>IF(Registro!$F811="","",IF(ISERROR(FIND("x",LOWER(Registro!$F811))),"-",IFERROR(SUMPRODUCT(--("0"&amp;LEFT(TRIM(MID(SUBSTITUTE(SUBSTITUTE(SUBSTITUTE(SUBSTITUTE(SUBSTITUTE(LOWER(Registro!$F811)," ",""),CHAR(10),"|"),";","|"),"+","|"),"|",REPT(" ",LEN(Registro!$F811))),({1,2,3,4,5,6,7,8,9,10,11,12,13,14,15,16,17,18,19,20,21,22,23,24,25,26,27,28,29,30}-1)*LEN(Registro!$F811)+1,LEN(Registro!$F811))),FIND("x",TRIM(MID(SUBSTITUTE(SUBSTITUTE(SUBSTITUTE(SUBSTITUTE(SUBSTITUTE(LOWER(Registro!$F811)," ",""),CHAR(10),"|"),";","|"),"+","|"),"|",REPT(" ",LEN(Registro!$F811))),({1,2,3,4,5,6,7,8,9,10,11,12,13,14,15,16,17,18,19,20,21,22,23,24,25,26,27,28,29,30}-1)*LEN(Registro!$F811)+1,LEN(Registro!$F811)))&amp;"x")-1))),"Revisar formato")))</f>
        <v/>
      </c>
      <c r="G811" s="24" t="str">
        <f>IF(Registro!$F811="","",IF(ISERROR(FIND("x",LOWER(Registro!$F811))),N(Registro!$G811),IFERROR(SUMPRODUCT(--("0"&amp;LEFT(TRIM(MID(SUBSTITUTE(SUBSTITUTE(SUBSTITUTE(SUBSTITUTE(SUBSTITUTE(LOWER(Registro!$F811)," ",""),CHAR(10),"|"),";","|"),"+","|"),"|",REPT(" ",LEN(Registro!$F811))),({1,2,3,4,5,6,7,8,9,10,11,12,13,14,15,16,17,18,19,20,21,22,23,24,25,26,27,28,29,30}-1)*LEN(Registro!$F811)+1,LEN(Registro!$F811))),FIND("x",TRIM(MID(SUBSTITUTE(SUBSTITUTE(SUBSTITUTE(SUBSTITUTE(SUBSTITUTE(LOWER(Registro!$F811)," ",""),CHAR(10),"|"),";","|"),"+","|"),"|",REPT(" ",LEN(Registro!$F811))),({1,2,3,4,5,6,7,8,9,10,11,12,13,14,15,16,17,18,19,20,21,22,23,24,25,26,27,28,29,30}-1)*LEN(Registro!$F811)+1,LEN(Registro!$F811)))&amp;"x")-1)),--("0"&amp;MID(TRIM(MID(SUBSTITUTE(SUBSTITUTE(SUBSTITUTE(SUBSTITUTE(SUBSTITUTE(LOWER(Registro!$F811)," ",""),CHAR(10),"|"),";","|"),"+","|"),"|",REPT(" ",LEN(Registro!$F811))),({1,2,3,4,5,6,7,8,9,10,11,12,13,14,15,16,17,18,19,20,21,22,23,24,25,26,27,28,29,30}-1)*LEN(Registro!$F811)+1,LEN(Registro!$F811))),FIND("x",TRIM(MID(SUBSTITUTE(SUBSTITUTE(SUBSTITUTE(SUBSTITUTE(SUBSTITUTE(LOWER(Registro!$F811)," ",""),CHAR(10),"|"),";","|"),"+","|"),"|",REPT(" ",LEN(Registro!$F811))),({1,2,3,4,5,6,7,8,9,10,11,12,13,14,15,16,17,18,19,20,21,22,23,24,25,26,27,28,29,30}-1)*LEN(Registro!$F811)+1,LEN(Registro!$F811)))&amp;"x")+1,20))),"Revisar formato")))</f>
        <v/>
      </c>
      <c r="H811" s="21" t="str">
        <f>IF(AND(Registro!$E811="",Registro!$F811=""),"",IF(NOT(AND(ISNUMBER(G811),ISNUMBER(Registro!$G811))),"",IF(G811&lt;Registro!$G811,"FALTA BOLETOS",IF(G811=Registro!$G811,"CONFORME","DIFERENCIA"))))</f>
        <v/>
      </c>
      <c r="I811" s="24" t="str">
        <f>IF(Registro!$H811="","",IFERROR(SUMPRODUCT(--("0"&amp;TRIM(RIGHT(SUBSTITUTE(TRIM(MID(SUBSTITUTE(SUBSTITUTE(Registro!$H811,";",CHAR(10)),CHAR(10),REPT(" ",LEN(Registro!$H811))),({1,2,3,4,5,6,7,8,9,10,11,12,13,14,15,16,17,18,19,20,21,22,23,24,25,26,27,28,29,30}-1)*LEN(Registro!$H811)+1,LEN(Registro!$H811)))," ",REPT(" ",50)),50)))),"Revisar formato"))</f>
        <v/>
      </c>
      <c r="J811" s="24" t="str">
        <f>IF(Registro!$I811="","",IFERROR(SUMPRODUCT(--("0"&amp;TRIM(RIGHT(SUBSTITUTE(TRIM(MID(SUBSTITUTE(SUBSTITUTE(Registro!$I811,";",CHAR(10)),CHAR(10),REPT(" ",LEN(Registro!$I811))),({1,2,3,4,5,6,7,8,9,10,11,12,13,14,15,16,17,18,19,20,21,22,23,24,25,26,27,28,29,30}-1)*LEN(Registro!$I811)+1,LEN(Registro!$I811)))," ",REPT(" ",50)),50)))),"Revisar formato"))</f>
        <v/>
      </c>
      <c r="K811" s="24" t="str">
        <f>IF(AND(Registro!$G811="",Registro!$H811=""),"",IF(AND(ISTEXT(I811),I811&lt;&gt;""),"Revisar formato",N(Registro!$G811)-N(I811)))</f>
        <v/>
      </c>
      <c r="L811" s="24" t="str">
        <f t="shared" si="25"/>
        <v/>
      </c>
      <c r="M811" s="36" t="str">
        <f>IF(AND(A811=Consulta!$B$3,C811=Consulta!$H$3),B811*10000+ROW(),"")</f>
        <v/>
      </c>
    </row>
    <row r="812" spans="1:13" x14ac:dyDescent="0.25">
      <c r="A812" s="21" t="str">
        <f>IF(Registro!$A812="","",Registro!$A812)</f>
        <v/>
      </c>
      <c r="B812" s="20" t="str">
        <f>IF(Registro!$B812="","",Registro!$B812)</f>
        <v/>
      </c>
      <c r="C812" s="35" t="str">
        <f t="shared" si="24"/>
        <v/>
      </c>
      <c r="D812" s="23" t="str">
        <f>IF(Registro!$E812="","",IF(ISERROR(FIND("x",LOWER(Registro!$E812))),"-",IFERROR(SUMPRODUCT(--("0"&amp;LEFT(TRIM(MID(SUBSTITUTE(SUBSTITUTE(SUBSTITUTE(SUBSTITUTE(SUBSTITUTE(LOWER(Registro!$E812),"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",LEN(Registro!$E812))),({1,2,3,4,5,6,7,8,9,10,11,12,13,14,15,16,17,18,19,20,21,22,23,24,25,26,27,28,29,30}-1)*LEN(Registro!$E812)+1,LEN(Registro!$E812))),FIND("x",TRIM(MID(SUBSTITUTE(SUBSTITUTE(SUBSTITUTE(SUBSTITUTE(SUBSTITUTE(LOWER(Registro!$E812),"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",LEN(Registro!$E812))),({1,2,3,4,5,6,7,8,9,10,11,12,13,14,15,16,17,18,19,20,21,22,23,24,25,26,27,28,29,30}-1)*LEN(Registro!$E812)+1,LEN(Registro!$E812)))&amp;"x")-1))),"Revisar formato")))</f>
        <v/>
      </c>
      <c r="E812" s="24" t="str">
        <f>IF(Registro!$E812="","",IF(ISERROR(FIND("x",LOWER(Registro!$E812))),"-",IFERROR(SUMPRODUCT(--("0"&amp;LEFT(TRIM(MID(SUBSTITUTE(SUBSTITUTE(SUBSTITUTE(SUBSTITUTE(SUBSTITUTE(LOWER(Registro!$E812),"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",LEN(Registro!$E812))),({1,2,3,4,5,6,7,8,9,10,11,12,13,14,15,16,17,18,19,20,21,22,23,24,25,26,27,28,29,30}-1)*LEN(Registro!$E812)+1,LEN(Registro!$E812))),FIND("x",TRIM(MID(SUBSTITUTE(SUBSTITUTE(SUBSTITUTE(SUBSTITUTE(SUBSTITUTE(LOWER(Registro!$E812),"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",LEN(Registro!$E812))),({1,2,3,4,5,6,7,8,9,10,11,12,13,14,15,16,17,18,19,20,21,22,23,24,25,26,27,28,29,30}-1)*LEN(Registro!$E812)+1,LEN(Registro!$E812)))&amp;"x")-1)),--("0"&amp;MID(TRIM(MID(SUBSTITUTE(SUBSTITUTE(SUBSTITUTE(SUBSTITUTE(SUBSTITUTE(LOWER(Registro!$E812),"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",LEN(Registro!$E812))),({1,2,3,4,5,6,7,8,9,10,11,12,13,14,15,16,17,18,19,20,21,22,23,24,25,26,27,28,29,30}-1)*LEN(Registro!$E812)+1,LEN(Registro!$E812))),FIND("x",TRIM(MID(SUBSTITUTE(SUBSTITUTE(SUBSTITUTE(SUBSTITUTE(SUBSTITUTE(LOWER(Registro!$E812),"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",LEN(Registro!$E812))),({1,2,3,4,5,6,7,8,9,10,11,12,13,14,15,16,17,18,19,20,21,22,23,24,25,26,27,28,29,30}-1)*LEN(Registro!$E812)+1,LEN(Registro!$E812)))&amp;"x")+1,20))),"Revisar formato")))</f>
        <v/>
      </c>
      <c r="F812" s="23" t="str">
        <f>IF(Registro!$F812="","",IF(ISERROR(FIND("x",LOWER(Registro!$F812))),"-",IFERROR(SUMPRODUCT(--("0"&amp;LEFT(TRIM(MID(SUBSTITUTE(SUBSTITUTE(SUBSTITUTE(SUBSTITUTE(SUBSTITUTE(LOWER(Registro!$F812)," ",""),CHAR(10),"|"),";","|"),"+","|"),"|",REPT(" ",LEN(Registro!$F812))),({1,2,3,4,5,6,7,8,9,10,11,12,13,14,15,16,17,18,19,20,21,22,23,24,25,26,27,28,29,30}-1)*LEN(Registro!$F812)+1,LEN(Registro!$F812))),FIND("x",TRIM(MID(SUBSTITUTE(SUBSTITUTE(SUBSTITUTE(SUBSTITUTE(SUBSTITUTE(LOWER(Registro!$F812)," ",""),CHAR(10),"|"),";","|"),"+","|"),"|",REPT(" ",LEN(Registro!$F812))),({1,2,3,4,5,6,7,8,9,10,11,12,13,14,15,16,17,18,19,20,21,22,23,24,25,26,27,28,29,30}-1)*LEN(Registro!$F812)+1,LEN(Registro!$F812)))&amp;"x")-1))),"Revisar formato")))</f>
        <v/>
      </c>
      <c r="G812" s="24" t="str">
        <f>IF(Registro!$F812="","",IF(ISERROR(FIND("x",LOWER(Registro!$F812))),N(Registro!$G812),IFERROR(SUMPRODUCT(--("0"&amp;LEFT(TRIM(MID(SUBSTITUTE(SUBSTITUTE(SUBSTITUTE(SUBSTITUTE(SUBSTITUTE(LOWER(Registro!$F812)," ",""),CHAR(10),"|"),";","|"),"+","|"),"|",REPT(" ",LEN(Registro!$F812))),({1,2,3,4,5,6,7,8,9,10,11,12,13,14,15,16,17,18,19,20,21,22,23,24,25,26,27,28,29,30}-1)*LEN(Registro!$F812)+1,LEN(Registro!$F812))),FIND("x",TRIM(MID(SUBSTITUTE(SUBSTITUTE(SUBSTITUTE(SUBSTITUTE(SUBSTITUTE(LOWER(Registro!$F812)," ",""),CHAR(10),"|"),";","|"),"+","|"),"|",REPT(" ",LEN(Registro!$F812))),({1,2,3,4,5,6,7,8,9,10,11,12,13,14,15,16,17,18,19,20,21,22,23,24,25,26,27,28,29,30}-1)*LEN(Registro!$F812)+1,LEN(Registro!$F812)))&amp;"x")-1)),--("0"&amp;MID(TRIM(MID(SUBSTITUTE(SUBSTITUTE(SUBSTITUTE(SUBSTITUTE(SUBSTITUTE(LOWER(Registro!$F812)," ",""),CHAR(10),"|"),";","|"),"+","|"),"|",REPT(" ",LEN(Registro!$F812))),({1,2,3,4,5,6,7,8,9,10,11,12,13,14,15,16,17,18,19,20,21,22,23,24,25,26,27,28,29,30}-1)*LEN(Registro!$F812)+1,LEN(Registro!$F812))),FIND("x",TRIM(MID(SUBSTITUTE(SUBSTITUTE(SUBSTITUTE(SUBSTITUTE(SUBSTITUTE(LOWER(Registro!$F812)," ",""),CHAR(10),"|"),";","|"),"+","|"),"|",REPT(" ",LEN(Registro!$F812))),({1,2,3,4,5,6,7,8,9,10,11,12,13,14,15,16,17,18,19,20,21,22,23,24,25,26,27,28,29,30}-1)*LEN(Registro!$F812)+1,LEN(Registro!$F812)))&amp;"x")+1,20))),"Revisar formato")))</f>
        <v/>
      </c>
      <c r="H812" s="21" t="str">
        <f>IF(AND(Registro!$E812="",Registro!$F812=""),"",IF(NOT(AND(ISNUMBER(G812),ISNUMBER(Registro!$G812))),"",IF(G812&lt;Registro!$G812,"FALTA BOLETOS",IF(G812=Registro!$G812,"CONFORME","DIFERENCIA"))))</f>
        <v/>
      </c>
      <c r="I812" s="24" t="str">
        <f>IF(Registro!$H812="","",IFERROR(SUMPRODUCT(--("0"&amp;TRIM(RIGHT(SUBSTITUTE(TRIM(MID(SUBSTITUTE(SUBSTITUTE(Registro!$H812,";",CHAR(10)),CHAR(10),REPT(" ",LEN(Registro!$H812))),({1,2,3,4,5,6,7,8,9,10,11,12,13,14,15,16,17,18,19,20,21,22,23,24,25,26,27,28,29,30}-1)*LEN(Registro!$H812)+1,LEN(Registro!$H812)))," ",REPT(" ",50)),50)))),"Revisar formato"))</f>
        <v/>
      </c>
      <c r="J812" s="24" t="str">
        <f>IF(Registro!$I812="","",IFERROR(SUMPRODUCT(--("0"&amp;TRIM(RIGHT(SUBSTITUTE(TRIM(MID(SUBSTITUTE(SUBSTITUTE(Registro!$I812,";",CHAR(10)),CHAR(10),REPT(" ",LEN(Registro!$I812))),({1,2,3,4,5,6,7,8,9,10,11,12,13,14,15,16,17,18,19,20,21,22,23,24,25,26,27,28,29,30}-1)*LEN(Registro!$I812)+1,LEN(Registro!$I812)))," ",REPT(" ",50)),50)))),"Revisar formato"))</f>
        <v/>
      </c>
      <c r="K812" s="24" t="str">
        <f>IF(AND(Registro!$G812="",Registro!$H812=""),"",IF(AND(ISTEXT(I812),I812&lt;&gt;""),"Revisar formato",N(Registro!$G812)-N(I812)))</f>
        <v/>
      </c>
      <c r="L812" s="24" t="str">
        <f t="shared" si="25"/>
        <v/>
      </c>
      <c r="M812" s="36" t="str">
        <f>IF(AND(A812=Consulta!$B$3,C812=Consulta!$H$3),B812*10000+ROW(),"")</f>
        <v/>
      </c>
    </row>
    <row r="813" spans="1:13" x14ac:dyDescent="0.25">
      <c r="A813" s="21" t="str">
        <f>IF(Registro!$A813="","",Registro!$A813)</f>
        <v/>
      </c>
      <c r="B813" s="20" t="str">
        <f>IF(Registro!$B813="","",Registro!$B813)</f>
        <v/>
      </c>
      <c r="C813" s="35" t="str">
        <f t="shared" si="24"/>
        <v/>
      </c>
      <c r="D813" s="23" t="str">
        <f>IF(Registro!$E813="","",IF(ISERROR(FIND("x",LOWER(Registro!$E813))),"-",IFERROR(SUMPRODUCT(--("0"&amp;LEFT(TRIM(MID(SUBSTITUTE(SUBSTITUTE(SUBSTITUTE(SUBSTITUTE(SUBSTITUTE(LOWER(Registro!$E813),"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",LEN(Registro!$E813))),({1,2,3,4,5,6,7,8,9,10,11,12,13,14,15,16,17,18,19,20,21,22,23,24,25,26,27,28,29,30}-1)*LEN(Registro!$E813)+1,LEN(Registro!$E813))),FIND("x",TRIM(MID(SUBSTITUTE(SUBSTITUTE(SUBSTITUTE(SUBSTITUTE(SUBSTITUTE(LOWER(Registro!$E813),"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",LEN(Registro!$E813))),({1,2,3,4,5,6,7,8,9,10,11,12,13,14,15,16,17,18,19,20,21,22,23,24,25,26,27,28,29,30}-1)*LEN(Registro!$E813)+1,LEN(Registro!$E813)))&amp;"x")-1))),"Revisar formato")))</f>
        <v/>
      </c>
      <c r="E813" s="24" t="str">
        <f>IF(Registro!$E813="","",IF(ISERROR(FIND("x",LOWER(Registro!$E813))),"-",IFERROR(SUMPRODUCT(--("0"&amp;LEFT(TRIM(MID(SUBSTITUTE(SUBSTITUTE(SUBSTITUTE(SUBSTITUTE(SUBSTITUTE(LOWER(Registro!$E813),"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",LEN(Registro!$E813))),({1,2,3,4,5,6,7,8,9,10,11,12,13,14,15,16,17,18,19,20,21,22,23,24,25,26,27,28,29,30}-1)*LEN(Registro!$E813)+1,LEN(Registro!$E813))),FIND("x",TRIM(MID(SUBSTITUTE(SUBSTITUTE(SUBSTITUTE(SUBSTITUTE(SUBSTITUTE(LOWER(Registro!$E813),"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",LEN(Registro!$E813))),({1,2,3,4,5,6,7,8,9,10,11,12,13,14,15,16,17,18,19,20,21,22,23,24,25,26,27,28,29,30}-1)*LEN(Registro!$E813)+1,LEN(Registro!$E813)))&amp;"x")-1)),--("0"&amp;MID(TRIM(MID(SUBSTITUTE(SUBSTITUTE(SUBSTITUTE(SUBSTITUTE(SUBSTITUTE(LOWER(Registro!$E813),"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",LEN(Registro!$E813))),({1,2,3,4,5,6,7,8,9,10,11,12,13,14,15,16,17,18,19,20,21,22,23,24,25,26,27,28,29,30}-1)*LEN(Registro!$E813)+1,LEN(Registro!$E813))),FIND("x",TRIM(MID(SUBSTITUTE(SUBSTITUTE(SUBSTITUTE(SUBSTITUTE(SUBSTITUTE(LOWER(Registro!$E813),"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",LEN(Registro!$E813))),({1,2,3,4,5,6,7,8,9,10,11,12,13,14,15,16,17,18,19,20,21,22,23,24,25,26,27,28,29,30}-1)*LEN(Registro!$E813)+1,LEN(Registro!$E813)))&amp;"x")+1,20))),"Revisar formato")))</f>
        <v/>
      </c>
      <c r="F813" s="23" t="str">
        <f>IF(Registro!$F813="","",IF(ISERROR(FIND("x",LOWER(Registro!$F813))),"-",IFERROR(SUMPRODUCT(--("0"&amp;LEFT(TRIM(MID(SUBSTITUTE(SUBSTITUTE(SUBSTITUTE(SUBSTITUTE(SUBSTITUTE(LOWER(Registro!$F813)," ",""),CHAR(10),"|"),";","|"),"+","|"),"|",REPT(" ",LEN(Registro!$F813))),({1,2,3,4,5,6,7,8,9,10,11,12,13,14,15,16,17,18,19,20,21,22,23,24,25,26,27,28,29,30}-1)*LEN(Registro!$F813)+1,LEN(Registro!$F813))),FIND("x",TRIM(MID(SUBSTITUTE(SUBSTITUTE(SUBSTITUTE(SUBSTITUTE(SUBSTITUTE(LOWER(Registro!$F813)," ",""),CHAR(10),"|"),";","|"),"+","|"),"|",REPT(" ",LEN(Registro!$F813))),({1,2,3,4,5,6,7,8,9,10,11,12,13,14,15,16,17,18,19,20,21,22,23,24,25,26,27,28,29,30}-1)*LEN(Registro!$F813)+1,LEN(Registro!$F813)))&amp;"x")-1))),"Revisar formato")))</f>
        <v/>
      </c>
      <c r="G813" s="24" t="str">
        <f>IF(Registro!$F813="","",IF(ISERROR(FIND("x",LOWER(Registro!$F813))),N(Registro!$G813),IFERROR(SUMPRODUCT(--("0"&amp;LEFT(TRIM(MID(SUBSTITUTE(SUBSTITUTE(SUBSTITUTE(SUBSTITUTE(SUBSTITUTE(LOWER(Registro!$F813)," ",""),CHAR(10),"|"),";","|"),"+","|"),"|",REPT(" ",LEN(Registro!$F813))),({1,2,3,4,5,6,7,8,9,10,11,12,13,14,15,16,17,18,19,20,21,22,23,24,25,26,27,28,29,30}-1)*LEN(Registro!$F813)+1,LEN(Registro!$F813))),FIND("x",TRIM(MID(SUBSTITUTE(SUBSTITUTE(SUBSTITUTE(SUBSTITUTE(SUBSTITUTE(LOWER(Registro!$F813)," ",""),CHAR(10),"|"),";","|"),"+","|"),"|",REPT(" ",LEN(Registro!$F813))),({1,2,3,4,5,6,7,8,9,10,11,12,13,14,15,16,17,18,19,20,21,22,23,24,25,26,27,28,29,30}-1)*LEN(Registro!$F813)+1,LEN(Registro!$F813)))&amp;"x")-1)),--("0"&amp;MID(TRIM(MID(SUBSTITUTE(SUBSTITUTE(SUBSTITUTE(SUBSTITUTE(SUBSTITUTE(LOWER(Registro!$F813)," ",""),CHAR(10),"|"),";","|"),"+","|"),"|",REPT(" ",LEN(Registro!$F813))),({1,2,3,4,5,6,7,8,9,10,11,12,13,14,15,16,17,18,19,20,21,22,23,24,25,26,27,28,29,30}-1)*LEN(Registro!$F813)+1,LEN(Registro!$F813))),FIND("x",TRIM(MID(SUBSTITUTE(SUBSTITUTE(SUBSTITUTE(SUBSTITUTE(SUBSTITUTE(LOWER(Registro!$F813)," ",""),CHAR(10),"|"),";","|"),"+","|"),"|",REPT(" ",LEN(Registro!$F813))),({1,2,3,4,5,6,7,8,9,10,11,12,13,14,15,16,17,18,19,20,21,22,23,24,25,26,27,28,29,30}-1)*LEN(Registro!$F813)+1,LEN(Registro!$F813)))&amp;"x")+1,20))),"Revisar formato")))</f>
        <v/>
      </c>
      <c r="H813" s="21" t="str">
        <f>IF(AND(Registro!$E813="",Registro!$F813=""),"",IF(NOT(AND(ISNUMBER(G813),ISNUMBER(Registro!$G813))),"",IF(G813&lt;Registro!$G813,"FALTA BOLETOS",IF(G813=Registro!$G813,"CONFORME","DIFERENCIA"))))</f>
        <v/>
      </c>
      <c r="I813" s="24" t="str">
        <f>IF(Registro!$H813="","",IFERROR(SUMPRODUCT(--("0"&amp;TRIM(RIGHT(SUBSTITUTE(TRIM(MID(SUBSTITUTE(SUBSTITUTE(Registro!$H813,";",CHAR(10)),CHAR(10),REPT(" ",LEN(Registro!$H813))),({1,2,3,4,5,6,7,8,9,10,11,12,13,14,15,16,17,18,19,20,21,22,23,24,25,26,27,28,29,30}-1)*LEN(Registro!$H813)+1,LEN(Registro!$H813)))," ",REPT(" ",50)),50)))),"Revisar formato"))</f>
        <v/>
      </c>
      <c r="J813" s="24" t="str">
        <f>IF(Registro!$I813="","",IFERROR(SUMPRODUCT(--("0"&amp;TRIM(RIGHT(SUBSTITUTE(TRIM(MID(SUBSTITUTE(SUBSTITUTE(Registro!$I813,";",CHAR(10)),CHAR(10),REPT(" ",LEN(Registro!$I813))),({1,2,3,4,5,6,7,8,9,10,11,12,13,14,15,16,17,18,19,20,21,22,23,24,25,26,27,28,29,30}-1)*LEN(Registro!$I813)+1,LEN(Registro!$I813)))," ",REPT(" ",50)),50)))),"Revisar formato"))</f>
        <v/>
      </c>
      <c r="K813" s="24" t="str">
        <f>IF(AND(Registro!$G813="",Registro!$H813=""),"",IF(AND(ISTEXT(I813),I813&lt;&gt;""),"Revisar formato",N(Registro!$G813)-N(I813)))</f>
        <v/>
      </c>
      <c r="L813" s="24" t="str">
        <f t="shared" si="25"/>
        <v/>
      </c>
      <c r="M813" s="36" t="str">
        <f>IF(AND(A813=Consulta!$B$3,C813=Consulta!$H$3),B813*10000+ROW(),"")</f>
        <v/>
      </c>
    </row>
    <row r="814" spans="1:13" x14ac:dyDescent="0.25">
      <c r="A814" s="21" t="str">
        <f>IF(Registro!$A814="","",Registro!$A814)</f>
        <v/>
      </c>
      <c r="B814" s="20" t="str">
        <f>IF(Registro!$B814="","",Registro!$B814)</f>
        <v/>
      </c>
      <c r="C814" s="35" t="str">
        <f t="shared" si="24"/>
        <v/>
      </c>
      <c r="D814" s="23" t="str">
        <f>IF(Registro!$E814="","",IF(ISERROR(FIND("x",LOWER(Registro!$E814))),"-",IFERROR(SUMPRODUCT(--("0"&amp;LEFT(TRIM(MID(SUBSTITUTE(SUBSTITUTE(SUBSTITUTE(SUBSTITUTE(SUBSTITUTE(LOWER(Registro!$E814),"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",LEN(Registro!$E814))),({1,2,3,4,5,6,7,8,9,10,11,12,13,14,15,16,17,18,19,20,21,22,23,24,25,26,27,28,29,30}-1)*LEN(Registro!$E814)+1,LEN(Registro!$E814))),FIND("x",TRIM(MID(SUBSTITUTE(SUBSTITUTE(SUBSTITUTE(SUBSTITUTE(SUBSTITUTE(LOWER(Registro!$E814),"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",LEN(Registro!$E814))),({1,2,3,4,5,6,7,8,9,10,11,12,13,14,15,16,17,18,19,20,21,22,23,24,25,26,27,28,29,30}-1)*LEN(Registro!$E814)+1,LEN(Registro!$E814)))&amp;"x")-1))),"Revisar formato")))</f>
        <v/>
      </c>
      <c r="E814" s="24" t="str">
        <f>IF(Registro!$E814="","",IF(ISERROR(FIND("x",LOWER(Registro!$E814))),"-",IFERROR(SUMPRODUCT(--("0"&amp;LEFT(TRIM(MID(SUBSTITUTE(SUBSTITUTE(SUBSTITUTE(SUBSTITUTE(SUBSTITUTE(LOWER(Registro!$E814),"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",LEN(Registro!$E814))),({1,2,3,4,5,6,7,8,9,10,11,12,13,14,15,16,17,18,19,20,21,22,23,24,25,26,27,28,29,30}-1)*LEN(Registro!$E814)+1,LEN(Registro!$E814))),FIND("x",TRIM(MID(SUBSTITUTE(SUBSTITUTE(SUBSTITUTE(SUBSTITUTE(SUBSTITUTE(LOWER(Registro!$E814),"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",LEN(Registro!$E814))),({1,2,3,4,5,6,7,8,9,10,11,12,13,14,15,16,17,18,19,20,21,22,23,24,25,26,27,28,29,30}-1)*LEN(Registro!$E814)+1,LEN(Registro!$E814)))&amp;"x")-1)),--("0"&amp;MID(TRIM(MID(SUBSTITUTE(SUBSTITUTE(SUBSTITUTE(SUBSTITUTE(SUBSTITUTE(LOWER(Registro!$E814),"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",LEN(Registro!$E814))),({1,2,3,4,5,6,7,8,9,10,11,12,13,14,15,16,17,18,19,20,21,22,23,24,25,26,27,28,29,30}-1)*LEN(Registro!$E814)+1,LEN(Registro!$E814))),FIND("x",TRIM(MID(SUBSTITUTE(SUBSTITUTE(SUBSTITUTE(SUBSTITUTE(SUBSTITUTE(LOWER(Registro!$E814),"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",LEN(Registro!$E814))),({1,2,3,4,5,6,7,8,9,10,11,12,13,14,15,16,17,18,19,20,21,22,23,24,25,26,27,28,29,30}-1)*LEN(Registro!$E814)+1,LEN(Registro!$E814)))&amp;"x")+1,20))),"Revisar formato")))</f>
        <v/>
      </c>
      <c r="F814" s="23" t="str">
        <f>IF(Registro!$F814="","",IF(ISERROR(FIND("x",LOWER(Registro!$F814))),"-",IFERROR(SUMPRODUCT(--("0"&amp;LEFT(TRIM(MID(SUBSTITUTE(SUBSTITUTE(SUBSTITUTE(SUBSTITUTE(SUBSTITUTE(LOWER(Registro!$F814)," ",""),CHAR(10),"|"),";","|"),"+","|"),"|",REPT(" ",LEN(Registro!$F814))),({1,2,3,4,5,6,7,8,9,10,11,12,13,14,15,16,17,18,19,20,21,22,23,24,25,26,27,28,29,30}-1)*LEN(Registro!$F814)+1,LEN(Registro!$F814))),FIND("x",TRIM(MID(SUBSTITUTE(SUBSTITUTE(SUBSTITUTE(SUBSTITUTE(SUBSTITUTE(LOWER(Registro!$F814)," ",""),CHAR(10),"|"),";","|"),"+","|"),"|",REPT(" ",LEN(Registro!$F814))),({1,2,3,4,5,6,7,8,9,10,11,12,13,14,15,16,17,18,19,20,21,22,23,24,25,26,27,28,29,30}-1)*LEN(Registro!$F814)+1,LEN(Registro!$F814)))&amp;"x")-1))),"Revisar formato")))</f>
        <v/>
      </c>
      <c r="G814" s="24" t="str">
        <f>IF(Registro!$F814="","",IF(ISERROR(FIND("x",LOWER(Registro!$F814))),N(Registro!$G814),IFERROR(SUMPRODUCT(--("0"&amp;LEFT(TRIM(MID(SUBSTITUTE(SUBSTITUTE(SUBSTITUTE(SUBSTITUTE(SUBSTITUTE(LOWER(Registro!$F814)," ",""),CHAR(10),"|"),";","|"),"+","|"),"|",REPT(" ",LEN(Registro!$F814))),({1,2,3,4,5,6,7,8,9,10,11,12,13,14,15,16,17,18,19,20,21,22,23,24,25,26,27,28,29,30}-1)*LEN(Registro!$F814)+1,LEN(Registro!$F814))),FIND("x",TRIM(MID(SUBSTITUTE(SUBSTITUTE(SUBSTITUTE(SUBSTITUTE(SUBSTITUTE(LOWER(Registro!$F814)," ",""),CHAR(10),"|"),";","|"),"+","|"),"|",REPT(" ",LEN(Registro!$F814))),({1,2,3,4,5,6,7,8,9,10,11,12,13,14,15,16,17,18,19,20,21,22,23,24,25,26,27,28,29,30}-1)*LEN(Registro!$F814)+1,LEN(Registro!$F814)))&amp;"x")-1)),--("0"&amp;MID(TRIM(MID(SUBSTITUTE(SUBSTITUTE(SUBSTITUTE(SUBSTITUTE(SUBSTITUTE(LOWER(Registro!$F814)," ",""),CHAR(10),"|"),";","|"),"+","|"),"|",REPT(" ",LEN(Registro!$F814))),({1,2,3,4,5,6,7,8,9,10,11,12,13,14,15,16,17,18,19,20,21,22,23,24,25,26,27,28,29,30}-1)*LEN(Registro!$F814)+1,LEN(Registro!$F814))),FIND("x",TRIM(MID(SUBSTITUTE(SUBSTITUTE(SUBSTITUTE(SUBSTITUTE(SUBSTITUTE(LOWER(Registro!$F814)," ",""),CHAR(10),"|"),";","|"),"+","|"),"|",REPT(" ",LEN(Registro!$F814))),({1,2,3,4,5,6,7,8,9,10,11,12,13,14,15,16,17,18,19,20,21,22,23,24,25,26,27,28,29,30}-1)*LEN(Registro!$F814)+1,LEN(Registro!$F814)))&amp;"x")+1,20))),"Revisar formato")))</f>
        <v/>
      </c>
      <c r="H814" s="21" t="str">
        <f>IF(AND(Registro!$E814="",Registro!$F814=""),"",IF(NOT(AND(ISNUMBER(G814),ISNUMBER(Registro!$G814))),"",IF(G814&lt;Registro!$G814,"FALTA BOLETOS",IF(G814=Registro!$G814,"CONFORME","DIFERENCIA"))))</f>
        <v/>
      </c>
      <c r="I814" s="24" t="str">
        <f>IF(Registro!$H814="","",IFERROR(SUMPRODUCT(--("0"&amp;TRIM(RIGHT(SUBSTITUTE(TRIM(MID(SUBSTITUTE(SUBSTITUTE(Registro!$H814,";",CHAR(10)),CHAR(10),REPT(" ",LEN(Registro!$H814))),({1,2,3,4,5,6,7,8,9,10,11,12,13,14,15,16,17,18,19,20,21,22,23,24,25,26,27,28,29,30}-1)*LEN(Registro!$H814)+1,LEN(Registro!$H814)))," ",REPT(" ",50)),50)))),"Revisar formato"))</f>
        <v/>
      </c>
      <c r="J814" s="24" t="str">
        <f>IF(Registro!$I814="","",IFERROR(SUMPRODUCT(--("0"&amp;TRIM(RIGHT(SUBSTITUTE(TRIM(MID(SUBSTITUTE(SUBSTITUTE(Registro!$I814,";",CHAR(10)),CHAR(10),REPT(" ",LEN(Registro!$I814))),({1,2,3,4,5,6,7,8,9,10,11,12,13,14,15,16,17,18,19,20,21,22,23,24,25,26,27,28,29,30}-1)*LEN(Registro!$I814)+1,LEN(Registro!$I814)))," ",REPT(" ",50)),50)))),"Revisar formato"))</f>
        <v/>
      </c>
      <c r="K814" s="24" t="str">
        <f>IF(AND(Registro!$G814="",Registro!$H814=""),"",IF(AND(ISTEXT(I814),I814&lt;&gt;""),"Revisar formato",N(Registro!$G814)-N(I814)))</f>
        <v/>
      </c>
      <c r="L814" s="24" t="str">
        <f t="shared" si="25"/>
        <v/>
      </c>
      <c r="M814" s="36" t="str">
        <f>IF(AND(A814=Consulta!$B$3,C814=Consulta!$H$3),B814*10000+ROW(),"")</f>
        <v/>
      </c>
    </row>
    <row r="815" spans="1:13" x14ac:dyDescent="0.25">
      <c r="A815" s="21" t="str">
        <f>IF(Registro!$A815="","",Registro!$A815)</f>
        <v/>
      </c>
      <c r="B815" s="20" t="str">
        <f>IF(Registro!$B815="","",Registro!$B815)</f>
        <v/>
      </c>
      <c r="C815" s="35" t="str">
        <f t="shared" si="24"/>
        <v/>
      </c>
      <c r="D815" s="23" t="str">
        <f>IF(Registro!$E815="","",IF(ISERROR(FIND("x",LOWER(Registro!$E815))),"-",IFERROR(SUMPRODUCT(--("0"&amp;LEFT(TRIM(MID(SUBSTITUTE(SUBSTITUTE(SUBSTITUTE(SUBSTITUTE(SUBSTITUTE(LOWER(Registro!$E815),"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",LEN(Registro!$E815))),({1,2,3,4,5,6,7,8,9,10,11,12,13,14,15,16,17,18,19,20,21,22,23,24,25,26,27,28,29,30}-1)*LEN(Registro!$E815)+1,LEN(Registro!$E815))),FIND("x",TRIM(MID(SUBSTITUTE(SUBSTITUTE(SUBSTITUTE(SUBSTITUTE(SUBSTITUTE(LOWER(Registro!$E815),"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",LEN(Registro!$E815))),({1,2,3,4,5,6,7,8,9,10,11,12,13,14,15,16,17,18,19,20,21,22,23,24,25,26,27,28,29,30}-1)*LEN(Registro!$E815)+1,LEN(Registro!$E815)))&amp;"x")-1))),"Revisar formato")))</f>
        <v/>
      </c>
      <c r="E815" s="24" t="str">
        <f>IF(Registro!$E815="","",IF(ISERROR(FIND("x",LOWER(Registro!$E815))),"-",IFERROR(SUMPRODUCT(--("0"&amp;LEFT(TRIM(MID(SUBSTITUTE(SUBSTITUTE(SUBSTITUTE(SUBSTITUTE(SUBSTITUTE(LOWER(Registro!$E815),"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",LEN(Registro!$E815))),({1,2,3,4,5,6,7,8,9,10,11,12,13,14,15,16,17,18,19,20,21,22,23,24,25,26,27,28,29,30}-1)*LEN(Registro!$E815)+1,LEN(Registro!$E815))),FIND("x",TRIM(MID(SUBSTITUTE(SUBSTITUTE(SUBSTITUTE(SUBSTITUTE(SUBSTITUTE(LOWER(Registro!$E815),"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",LEN(Registro!$E815))),({1,2,3,4,5,6,7,8,9,10,11,12,13,14,15,16,17,18,19,20,21,22,23,24,25,26,27,28,29,30}-1)*LEN(Registro!$E815)+1,LEN(Registro!$E815)))&amp;"x")-1)),--("0"&amp;MID(TRIM(MID(SUBSTITUTE(SUBSTITUTE(SUBSTITUTE(SUBSTITUTE(SUBSTITUTE(LOWER(Registro!$E815),"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",LEN(Registro!$E815))),({1,2,3,4,5,6,7,8,9,10,11,12,13,14,15,16,17,18,19,20,21,22,23,24,25,26,27,28,29,30}-1)*LEN(Registro!$E815)+1,LEN(Registro!$E815))),FIND("x",TRIM(MID(SUBSTITUTE(SUBSTITUTE(SUBSTITUTE(SUBSTITUTE(SUBSTITUTE(LOWER(Registro!$E815),"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",LEN(Registro!$E815))),({1,2,3,4,5,6,7,8,9,10,11,12,13,14,15,16,17,18,19,20,21,22,23,24,25,26,27,28,29,30}-1)*LEN(Registro!$E815)+1,LEN(Registro!$E815)))&amp;"x")+1,20))),"Revisar formato")))</f>
        <v/>
      </c>
      <c r="F815" s="23" t="str">
        <f>IF(Registro!$F815="","",IF(ISERROR(FIND("x",LOWER(Registro!$F815))),"-",IFERROR(SUMPRODUCT(--("0"&amp;LEFT(TRIM(MID(SUBSTITUTE(SUBSTITUTE(SUBSTITUTE(SUBSTITUTE(SUBSTITUTE(LOWER(Registro!$F815)," ",""),CHAR(10),"|"),";","|"),"+","|"),"|",REPT(" ",LEN(Registro!$F815))),({1,2,3,4,5,6,7,8,9,10,11,12,13,14,15,16,17,18,19,20,21,22,23,24,25,26,27,28,29,30}-1)*LEN(Registro!$F815)+1,LEN(Registro!$F815))),FIND("x",TRIM(MID(SUBSTITUTE(SUBSTITUTE(SUBSTITUTE(SUBSTITUTE(SUBSTITUTE(LOWER(Registro!$F815)," ",""),CHAR(10),"|"),";","|"),"+","|"),"|",REPT(" ",LEN(Registro!$F815))),({1,2,3,4,5,6,7,8,9,10,11,12,13,14,15,16,17,18,19,20,21,22,23,24,25,26,27,28,29,30}-1)*LEN(Registro!$F815)+1,LEN(Registro!$F815)))&amp;"x")-1))),"Revisar formato")))</f>
        <v/>
      </c>
      <c r="G815" s="24" t="str">
        <f>IF(Registro!$F815="","",IF(ISERROR(FIND("x",LOWER(Registro!$F815))),N(Registro!$G815),IFERROR(SUMPRODUCT(--("0"&amp;LEFT(TRIM(MID(SUBSTITUTE(SUBSTITUTE(SUBSTITUTE(SUBSTITUTE(SUBSTITUTE(LOWER(Registro!$F815)," ",""),CHAR(10),"|"),";","|"),"+","|"),"|",REPT(" ",LEN(Registro!$F815))),({1,2,3,4,5,6,7,8,9,10,11,12,13,14,15,16,17,18,19,20,21,22,23,24,25,26,27,28,29,30}-1)*LEN(Registro!$F815)+1,LEN(Registro!$F815))),FIND("x",TRIM(MID(SUBSTITUTE(SUBSTITUTE(SUBSTITUTE(SUBSTITUTE(SUBSTITUTE(LOWER(Registro!$F815)," ",""),CHAR(10),"|"),";","|"),"+","|"),"|",REPT(" ",LEN(Registro!$F815))),({1,2,3,4,5,6,7,8,9,10,11,12,13,14,15,16,17,18,19,20,21,22,23,24,25,26,27,28,29,30}-1)*LEN(Registro!$F815)+1,LEN(Registro!$F815)))&amp;"x")-1)),--("0"&amp;MID(TRIM(MID(SUBSTITUTE(SUBSTITUTE(SUBSTITUTE(SUBSTITUTE(SUBSTITUTE(LOWER(Registro!$F815)," ",""),CHAR(10),"|"),";","|"),"+","|"),"|",REPT(" ",LEN(Registro!$F815))),({1,2,3,4,5,6,7,8,9,10,11,12,13,14,15,16,17,18,19,20,21,22,23,24,25,26,27,28,29,30}-1)*LEN(Registro!$F815)+1,LEN(Registro!$F815))),FIND("x",TRIM(MID(SUBSTITUTE(SUBSTITUTE(SUBSTITUTE(SUBSTITUTE(SUBSTITUTE(LOWER(Registro!$F815)," ",""),CHAR(10),"|"),";","|"),"+","|"),"|",REPT(" ",LEN(Registro!$F815))),({1,2,3,4,5,6,7,8,9,10,11,12,13,14,15,16,17,18,19,20,21,22,23,24,25,26,27,28,29,30}-1)*LEN(Registro!$F815)+1,LEN(Registro!$F815)))&amp;"x")+1,20))),"Revisar formato")))</f>
        <v/>
      </c>
      <c r="H815" s="21" t="str">
        <f>IF(AND(Registro!$E815="",Registro!$F815=""),"",IF(NOT(AND(ISNUMBER(G815),ISNUMBER(Registro!$G815))),"",IF(G815&lt;Registro!$G815,"FALTA BOLETOS",IF(G815=Registro!$G815,"CONFORME","DIFERENCIA"))))</f>
        <v/>
      </c>
      <c r="I815" s="24" t="str">
        <f>IF(Registro!$H815="","",IFERROR(SUMPRODUCT(--("0"&amp;TRIM(RIGHT(SUBSTITUTE(TRIM(MID(SUBSTITUTE(SUBSTITUTE(Registro!$H815,";",CHAR(10)),CHAR(10),REPT(" ",LEN(Registro!$H815))),({1,2,3,4,5,6,7,8,9,10,11,12,13,14,15,16,17,18,19,20,21,22,23,24,25,26,27,28,29,30}-1)*LEN(Registro!$H815)+1,LEN(Registro!$H815)))," ",REPT(" ",50)),50)))),"Revisar formato"))</f>
        <v/>
      </c>
      <c r="J815" s="24" t="str">
        <f>IF(Registro!$I815="","",IFERROR(SUMPRODUCT(--("0"&amp;TRIM(RIGHT(SUBSTITUTE(TRIM(MID(SUBSTITUTE(SUBSTITUTE(Registro!$I815,";",CHAR(10)),CHAR(10),REPT(" ",LEN(Registro!$I815))),({1,2,3,4,5,6,7,8,9,10,11,12,13,14,15,16,17,18,19,20,21,22,23,24,25,26,27,28,29,30}-1)*LEN(Registro!$I815)+1,LEN(Registro!$I815)))," ",REPT(" ",50)),50)))),"Revisar formato"))</f>
        <v/>
      </c>
      <c r="K815" s="24" t="str">
        <f>IF(AND(Registro!$G815="",Registro!$H815=""),"",IF(AND(ISTEXT(I815),I815&lt;&gt;""),"Revisar formato",N(Registro!$G815)-N(I815)))</f>
        <v/>
      </c>
      <c r="L815" s="24" t="str">
        <f t="shared" si="25"/>
        <v/>
      </c>
      <c r="M815" s="36" t="str">
        <f>IF(AND(A815=Consulta!$B$3,C815=Consulta!$H$3),B815*10000+ROW(),"")</f>
        <v/>
      </c>
    </row>
    <row r="816" spans="1:13" x14ac:dyDescent="0.25">
      <c r="A816" s="21" t="str">
        <f>IF(Registro!$A816="","",Registro!$A816)</f>
        <v/>
      </c>
      <c r="B816" s="20" t="str">
        <f>IF(Registro!$B816="","",Registro!$B816)</f>
        <v/>
      </c>
      <c r="C816" s="35" t="str">
        <f t="shared" si="24"/>
        <v/>
      </c>
      <c r="D816" s="23" t="str">
        <f>IF(Registro!$E816="","",IF(ISERROR(FIND("x",LOWER(Registro!$E816))),"-",IFERROR(SUMPRODUCT(--("0"&amp;LEFT(TRIM(MID(SUBSTITUTE(SUBSTITUTE(SUBSTITUTE(SUBSTITUTE(SUBSTITUTE(LOWER(Registro!$E816),"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",LEN(Registro!$E816))),({1,2,3,4,5,6,7,8,9,10,11,12,13,14,15,16,17,18,19,20,21,22,23,24,25,26,27,28,29,30}-1)*LEN(Registro!$E816)+1,LEN(Registro!$E816))),FIND("x",TRIM(MID(SUBSTITUTE(SUBSTITUTE(SUBSTITUTE(SUBSTITUTE(SUBSTITUTE(LOWER(Registro!$E816),"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",LEN(Registro!$E816))),({1,2,3,4,5,6,7,8,9,10,11,12,13,14,15,16,17,18,19,20,21,22,23,24,25,26,27,28,29,30}-1)*LEN(Registro!$E816)+1,LEN(Registro!$E816)))&amp;"x")-1))),"Revisar formato")))</f>
        <v/>
      </c>
      <c r="E816" s="24" t="str">
        <f>IF(Registro!$E816="","",IF(ISERROR(FIND("x",LOWER(Registro!$E816))),"-",IFERROR(SUMPRODUCT(--("0"&amp;LEFT(TRIM(MID(SUBSTITUTE(SUBSTITUTE(SUBSTITUTE(SUBSTITUTE(SUBSTITUTE(LOWER(Registro!$E816),"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",LEN(Registro!$E816))),({1,2,3,4,5,6,7,8,9,10,11,12,13,14,15,16,17,18,19,20,21,22,23,24,25,26,27,28,29,30}-1)*LEN(Registro!$E816)+1,LEN(Registro!$E816))),FIND("x",TRIM(MID(SUBSTITUTE(SUBSTITUTE(SUBSTITUTE(SUBSTITUTE(SUBSTITUTE(LOWER(Registro!$E816),"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",LEN(Registro!$E816))),({1,2,3,4,5,6,7,8,9,10,11,12,13,14,15,16,17,18,19,20,21,22,23,24,25,26,27,28,29,30}-1)*LEN(Registro!$E816)+1,LEN(Registro!$E816)))&amp;"x")-1)),--("0"&amp;MID(TRIM(MID(SUBSTITUTE(SUBSTITUTE(SUBSTITUTE(SUBSTITUTE(SUBSTITUTE(LOWER(Registro!$E816),"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",LEN(Registro!$E816))),({1,2,3,4,5,6,7,8,9,10,11,12,13,14,15,16,17,18,19,20,21,22,23,24,25,26,27,28,29,30}-1)*LEN(Registro!$E816)+1,LEN(Registro!$E816))),FIND("x",TRIM(MID(SUBSTITUTE(SUBSTITUTE(SUBSTITUTE(SUBSTITUTE(SUBSTITUTE(LOWER(Registro!$E816),"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",LEN(Registro!$E816))),({1,2,3,4,5,6,7,8,9,10,11,12,13,14,15,16,17,18,19,20,21,22,23,24,25,26,27,28,29,30}-1)*LEN(Registro!$E816)+1,LEN(Registro!$E816)))&amp;"x")+1,20))),"Revisar formato")))</f>
        <v/>
      </c>
      <c r="F816" s="23" t="str">
        <f>IF(Registro!$F816="","",IF(ISERROR(FIND("x",LOWER(Registro!$F816))),"-",IFERROR(SUMPRODUCT(--("0"&amp;LEFT(TRIM(MID(SUBSTITUTE(SUBSTITUTE(SUBSTITUTE(SUBSTITUTE(SUBSTITUTE(LOWER(Registro!$F816)," ",""),CHAR(10),"|"),";","|"),"+","|"),"|",REPT(" ",LEN(Registro!$F816))),({1,2,3,4,5,6,7,8,9,10,11,12,13,14,15,16,17,18,19,20,21,22,23,24,25,26,27,28,29,30}-1)*LEN(Registro!$F816)+1,LEN(Registro!$F816))),FIND("x",TRIM(MID(SUBSTITUTE(SUBSTITUTE(SUBSTITUTE(SUBSTITUTE(SUBSTITUTE(LOWER(Registro!$F816)," ",""),CHAR(10),"|"),";","|"),"+","|"),"|",REPT(" ",LEN(Registro!$F816))),({1,2,3,4,5,6,7,8,9,10,11,12,13,14,15,16,17,18,19,20,21,22,23,24,25,26,27,28,29,30}-1)*LEN(Registro!$F816)+1,LEN(Registro!$F816)))&amp;"x")-1))),"Revisar formato")))</f>
        <v/>
      </c>
      <c r="G816" s="24" t="str">
        <f>IF(Registro!$F816="","",IF(ISERROR(FIND("x",LOWER(Registro!$F816))),N(Registro!$G816),IFERROR(SUMPRODUCT(--("0"&amp;LEFT(TRIM(MID(SUBSTITUTE(SUBSTITUTE(SUBSTITUTE(SUBSTITUTE(SUBSTITUTE(LOWER(Registro!$F816)," ",""),CHAR(10),"|"),";","|"),"+","|"),"|",REPT(" ",LEN(Registro!$F816))),({1,2,3,4,5,6,7,8,9,10,11,12,13,14,15,16,17,18,19,20,21,22,23,24,25,26,27,28,29,30}-1)*LEN(Registro!$F816)+1,LEN(Registro!$F816))),FIND("x",TRIM(MID(SUBSTITUTE(SUBSTITUTE(SUBSTITUTE(SUBSTITUTE(SUBSTITUTE(LOWER(Registro!$F816)," ",""),CHAR(10),"|"),";","|"),"+","|"),"|",REPT(" ",LEN(Registro!$F816))),({1,2,3,4,5,6,7,8,9,10,11,12,13,14,15,16,17,18,19,20,21,22,23,24,25,26,27,28,29,30}-1)*LEN(Registro!$F816)+1,LEN(Registro!$F816)))&amp;"x")-1)),--("0"&amp;MID(TRIM(MID(SUBSTITUTE(SUBSTITUTE(SUBSTITUTE(SUBSTITUTE(SUBSTITUTE(LOWER(Registro!$F816)," ",""),CHAR(10),"|"),";","|"),"+","|"),"|",REPT(" ",LEN(Registro!$F816))),({1,2,3,4,5,6,7,8,9,10,11,12,13,14,15,16,17,18,19,20,21,22,23,24,25,26,27,28,29,30}-1)*LEN(Registro!$F816)+1,LEN(Registro!$F816))),FIND("x",TRIM(MID(SUBSTITUTE(SUBSTITUTE(SUBSTITUTE(SUBSTITUTE(SUBSTITUTE(LOWER(Registro!$F816)," ",""),CHAR(10),"|"),";","|"),"+","|"),"|",REPT(" ",LEN(Registro!$F816))),({1,2,3,4,5,6,7,8,9,10,11,12,13,14,15,16,17,18,19,20,21,22,23,24,25,26,27,28,29,30}-1)*LEN(Registro!$F816)+1,LEN(Registro!$F816)))&amp;"x")+1,20))),"Revisar formato")))</f>
        <v/>
      </c>
      <c r="H816" s="21" t="str">
        <f>IF(AND(Registro!$E816="",Registro!$F816=""),"",IF(NOT(AND(ISNUMBER(G816),ISNUMBER(Registro!$G816))),"",IF(G816&lt;Registro!$G816,"FALTA BOLETOS",IF(G816=Registro!$G816,"CONFORME","DIFERENCIA"))))</f>
        <v/>
      </c>
      <c r="I816" s="24" t="str">
        <f>IF(Registro!$H816="","",IFERROR(SUMPRODUCT(--("0"&amp;TRIM(RIGHT(SUBSTITUTE(TRIM(MID(SUBSTITUTE(SUBSTITUTE(Registro!$H816,";",CHAR(10)),CHAR(10),REPT(" ",LEN(Registro!$H816))),({1,2,3,4,5,6,7,8,9,10,11,12,13,14,15,16,17,18,19,20,21,22,23,24,25,26,27,28,29,30}-1)*LEN(Registro!$H816)+1,LEN(Registro!$H816)))," ",REPT(" ",50)),50)))),"Revisar formato"))</f>
        <v/>
      </c>
      <c r="J816" s="24" t="str">
        <f>IF(Registro!$I816="","",IFERROR(SUMPRODUCT(--("0"&amp;TRIM(RIGHT(SUBSTITUTE(TRIM(MID(SUBSTITUTE(SUBSTITUTE(Registro!$I816,";",CHAR(10)),CHAR(10),REPT(" ",LEN(Registro!$I816))),({1,2,3,4,5,6,7,8,9,10,11,12,13,14,15,16,17,18,19,20,21,22,23,24,25,26,27,28,29,30}-1)*LEN(Registro!$I816)+1,LEN(Registro!$I816)))," ",REPT(" ",50)),50)))),"Revisar formato"))</f>
        <v/>
      </c>
      <c r="K816" s="24" t="str">
        <f>IF(AND(Registro!$G816="",Registro!$H816=""),"",IF(AND(ISTEXT(I816),I816&lt;&gt;""),"Revisar formato",N(Registro!$G816)-N(I816)))</f>
        <v/>
      </c>
      <c r="L816" s="24" t="str">
        <f t="shared" si="25"/>
        <v/>
      </c>
      <c r="M816" s="36" t="str">
        <f>IF(AND(A816=Consulta!$B$3,C816=Consulta!$H$3),B816*10000+ROW(),"")</f>
        <v/>
      </c>
    </row>
    <row r="817" spans="1:13" x14ac:dyDescent="0.25">
      <c r="A817" s="21" t="str">
        <f>IF(Registro!$A817="","",Registro!$A817)</f>
        <v/>
      </c>
      <c r="B817" s="20" t="str">
        <f>IF(Registro!$B817="","",Registro!$B817)</f>
        <v/>
      </c>
      <c r="C817" s="35" t="str">
        <f t="shared" si="24"/>
        <v/>
      </c>
      <c r="D817" s="23" t="str">
        <f>IF(Registro!$E817="","",IF(ISERROR(FIND("x",LOWER(Registro!$E817))),"-",IFERROR(SUMPRODUCT(--("0"&amp;LEFT(TRIM(MID(SUBSTITUTE(SUBSTITUTE(SUBSTITUTE(SUBSTITUTE(SUBSTITUTE(LOWER(Registro!$E817),"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",LEN(Registro!$E817))),({1,2,3,4,5,6,7,8,9,10,11,12,13,14,15,16,17,18,19,20,21,22,23,24,25,26,27,28,29,30}-1)*LEN(Registro!$E817)+1,LEN(Registro!$E817))),FIND("x",TRIM(MID(SUBSTITUTE(SUBSTITUTE(SUBSTITUTE(SUBSTITUTE(SUBSTITUTE(LOWER(Registro!$E817),"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",LEN(Registro!$E817))),({1,2,3,4,5,6,7,8,9,10,11,12,13,14,15,16,17,18,19,20,21,22,23,24,25,26,27,28,29,30}-1)*LEN(Registro!$E817)+1,LEN(Registro!$E817)))&amp;"x")-1))),"Revisar formato")))</f>
        <v/>
      </c>
      <c r="E817" s="24" t="str">
        <f>IF(Registro!$E817="","",IF(ISERROR(FIND("x",LOWER(Registro!$E817))),"-",IFERROR(SUMPRODUCT(--("0"&amp;LEFT(TRIM(MID(SUBSTITUTE(SUBSTITUTE(SUBSTITUTE(SUBSTITUTE(SUBSTITUTE(LOWER(Registro!$E817),"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",LEN(Registro!$E817))),({1,2,3,4,5,6,7,8,9,10,11,12,13,14,15,16,17,18,19,20,21,22,23,24,25,26,27,28,29,30}-1)*LEN(Registro!$E817)+1,LEN(Registro!$E817))),FIND("x",TRIM(MID(SUBSTITUTE(SUBSTITUTE(SUBSTITUTE(SUBSTITUTE(SUBSTITUTE(LOWER(Registro!$E817),"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",LEN(Registro!$E817))),({1,2,3,4,5,6,7,8,9,10,11,12,13,14,15,16,17,18,19,20,21,22,23,24,25,26,27,28,29,30}-1)*LEN(Registro!$E817)+1,LEN(Registro!$E817)))&amp;"x")-1)),--("0"&amp;MID(TRIM(MID(SUBSTITUTE(SUBSTITUTE(SUBSTITUTE(SUBSTITUTE(SUBSTITUTE(LOWER(Registro!$E817),"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",LEN(Registro!$E817))),({1,2,3,4,5,6,7,8,9,10,11,12,13,14,15,16,17,18,19,20,21,22,23,24,25,26,27,28,29,30}-1)*LEN(Registro!$E817)+1,LEN(Registro!$E817))),FIND("x",TRIM(MID(SUBSTITUTE(SUBSTITUTE(SUBSTITUTE(SUBSTITUTE(SUBSTITUTE(LOWER(Registro!$E817),"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",LEN(Registro!$E817))),({1,2,3,4,5,6,7,8,9,10,11,12,13,14,15,16,17,18,19,20,21,22,23,24,25,26,27,28,29,30}-1)*LEN(Registro!$E817)+1,LEN(Registro!$E817)))&amp;"x")+1,20))),"Revisar formato")))</f>
        <v/>
      </c>
      <c r="F817" s="23" t="str">
        <f>IF(Registro!$F817="","",IF(ISERROR(FIND("x",LOWER(Registro!$F817))),"-",IFERROR(SUMPRODUCT(--("0"&amp;LEFT(TRIM(MID(SUBSTITUTE(SUBSTITUTE(SUBSTITUTE(SUBSTITUTE(SUBSTITUTE(LOWER(Registro!$F817)," ",""),CHAR(10),"|"),";","|"),"+","|"),"|",REPT(" ",LEN(Registro!$F817))),({1,2,3,4,5,6,7,8,9,10,11,12,13,14,15,16,17,18,19,20,21,22,23,24,25,26,27,28,29,30}-1)*LEN(Registro!$F817)+1,LEN(Registro!$F817))),FIND("x",TRIM(MID(SUBSTITUTE(SUBSTITUTE(SUBSTITUTE(SUBSTITUTE(SUBSTITUTE(LOWER(Registro!$F817)," ",""),CHAR(10),"|"),";","|"),"+","|"),"|",REPT(" ",LEN(Registro!$F817))),({1,2,3,4,5,6,7,8,9,10,11,12,13,14,15,16,17,18,19,20,21,22,23,24,25,26,27,28,29,30}-1)*LEN(Registro!$F817)+1,LEN(Registro!$F817)))&amp;"x")-1))),"Revisar formato")))</f>
        <v/>
      </c>
      <c r="G817" s="24" t="str">
        <f>IF(Registro!$F817="","",IF(ISERROR(FIND("x",LOWER(Registro!$F817))),N(Registro!$G817),IFERROR(SUMPRODUCT(--("0"&amp;LEFT(TRIM(MID(SUBSTITUTE(SUBSTITUTE(SUBSTITUTE(SUBSTITUTE(SUBSTITUTE(LOWER(Registro!$F817)," ",""),CHAR(10),"|"),";","|"),"+","|"),"|",REPT(" ",LEN(Registro!$F817))),({1,2,3,4,5,6,7,8,9,10,11,12,13,14,15,16,17,18,19,20,21,22,23,24,25,26,27,28,29,30}-1)*LEN(Registro!$F817)+1,LEN(Registro!$F817))),FIND("x",TRIM(MID(SUBSTITUTE(SUBSTITUTE(SUBSTITUTE(SUBSTITUTE(SUBSTITUTE(LOWER(Registro!$F817)," ",""),CHAR(10),"|"),";","|"),"+","|"),"|",REPT(" ",LEN(Registro!$F817))),({1,2,3,4,5,6,7,8,9,10,11,12,13,14,15,16,17,18,19,20,21,22,23,24,25,26,27,28,29,30}-1)*LEN(Registro!$F817)+1,LEN(Registro!$F817)))&amp;"x")-1)),--("0"&amp;MID(TRIM(MID(SUBSTITUTE(SUBSTITUTE(SUBSTITUTE(SUBSTITUTE(SUBSTITUTE(LOWER(Registro!$F817)," ",""),CHAR(10),"|"),";","|"),"+","|"),"|",REPT(" ",LEN(Registro!$F817))),({1,2,3,4,5,6,7,8,9,10,11,12,13,14,15,16,17,18,19,20,21,22,23,24,25,26,27,28,29,30}-1)*LEN(Registro!$F817)+1,LEN(Registro!$F817))),FIND("x",TRIM(MID(SUBSTITUTE(SUBSTITUTE(SUBSTITUTE(SUBSTITUTE(SUBSTITUTE(LOWER(Registro!$F817)," ",""),CHAR(10),"|"),";","|"),"+","|"),"|",REPT(" ",LEN(Registro!$F817))),({1,2,3,4,5,6,7,8,9,10,11,12,13,14,15,16,17,18,19,20,21,22,23,24,25,26,27,28,29,30}-1)*LEN(Registro!$F817)+1,LEN(Registro!$F817)))&amp;"x")+1,20))),"Revisar formato")))</f>
        <v/>
      </c>
      <c r="H817" s="21" t="str">
        <f>IF(AND(Registro!$E817="",Registro!$F817=""),"",IF(NOT(AND(ISNUMBER(G817),ISNUMBER(Registro!$G817))),"",IF(G817&lt;Registro!$G817,"FALTA BOLETOS",IF(G817=Registro!$G817,"CONFORME","DIFERENCIA"))))</f>
        <v/>
      </c>
      <c r="I817" s="24" t="str">
        <f>IF(Registro!$H817="","",IFERROR(SUMPRODUCT(--("0"&amp;TRIM(RIGHT(SUBSTITUTE(TRIM(MID(SUBSTITUTE(SUBSTITUTE(Registro!$H817,";",CHAR(10)),CHAR(10),REPT(" ",LEN(Registro!$H817))),({1,2,3,4,5,6,7,8,9,10,11,12,13,14,15,16,17,18,19,20,21,22,23,24,25,26,27,28,29,30}-1)*LEN(Registro!$H817)+1,LEN(Registro!$H817)))," ",REPT(" ",50)),50)))),"Revisar formato"))</f>
        <v/>
      </c>
      <c r="J817" s="24" t="str">
        <f>IF(Registro!$I817="","",IFERROR(SUMPRODUCT(--("0"&amp;TRIM(RIGHT(SUBSTITUTE(TRIM(MID(SUBSTITUTE(SUBSTITUTE(Registro!$I817,";",CHAR(10)),CHAR(10),REPT(" ",LEN(Registro!$I817))),({1,2,3,4,5,6,7,8,9,10,11,12,13,14,15,16,17,18,19,20,21,22,23,24,25,26,27,28,29,30}-1)*LEN(Registro!$I817)+1,LEN(Registro!$I817)))," ",REPT(" ",50)),50)))),"Revisar formato"))</f>
        <v/>
      </c>
      <c r="K817" s="24" t="str">
        <f>IF(AND(Registro!$G817="",Registro!$H817=""),"",IF(AND(ISTEXT(I817),I817&lt;&gt;""),"Revisar formato",N(Registro!$G817)-N(I817)))</f>
        <v/>
      </c>
      <c r="L817" s="24" t="str">
        <f t="shared" si="25"/>
        <v/>
      </c>
      <c r="M817" s="36" t="str">
        <f>IF(AND(A817=Consulta!$B$3,C817=Consulta!$H$3),B817*10000+ROW(),"")</f>
        <v/>
      </c>
    </row>
    <row r="818" spans="1:13" x14ac:dyDescent="0.25">
      <c r="A818" s="21" t="str">
        <f>IF(Registro!$A818="","",Registro!$A818)</f>
        <v/>
      </c>
      <c r="B818" s="20" t="str">
        <f>IF(Registro!$B818="","",Registro!$B818)</f>
        <v/>
      </c>
      <c r="C818" s="35" t="str">
        <f t="shared" si="24"/>
        <v/>
      </c>
      <c r="D818" s="23" t="str">
        <f>IF(Registro!$E818="","",IF(ISERROR(FIND("x",LOWER(Registro!$E818))),"-",IFERROR(SUMPRODUCT(--("0"&amp;LEFT(TRIM(MID(SUBSTITUTE(SUBSTITUTE(SUBSTITUTE(SUBSTITUTE(SUBSTITUTE(LOWER(Registro!$E818),"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",LEN(Registro!$E818))),({1,2,3,4,5,6,7,8,9,10,11,12,13,14,15,16,17,18,19,20,21,22,23,24,25,26,27,28,29,30}-1)*LEN(Registro!$E818)+1,LEN(Registro!$E818))),FIND("x",TRIM(MID(SUBSTITUTE(SUBSTITUTE(SUBSTITUTE(SUBSTITUTE(SUBSTITUTE(LOWER(Registro!$E818),"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",LEN(Registro!$E818))),({1,2,3,4,5,6,7,8,9,10,11,12,13,14,15,16,17,18,19,20,21,22,23,24,25,26,27,28,29,30}-1)*LEN(Registro!$E818)+1,LEN(Registro!$E818)))&amp;"x")-1))),"Revisar formato")))</f>
        <v/>
      </c>
      <c r="E818" s="24" t="str">
        <f>IF(Registro!$E818="","",IF(ISERROR(FIND("x",LOWER(Registro!$E818))),"-",IFERROR(SUMPRODUCT(--("0"&amp;LEFT(TRIM(MID(SUBSTITUTE(SUBSTITUTE(SUBSTITUTE(SUBSTITUTE(SUBSTITUTE(LOWER(Registro!$E818),"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",LEN(Registro!$E818))),({1,2,3,4,5,6,7,8,9,10,11,12,13,14,15,16,17,18,19,20,21,22,23,24,25,26,27,28,29,30}-1)*LEN(Registro!$E818)+1,LEN(Registro!$E818))),FIND("x",TRIM(MID(SUBSTITUTE(SUBSTITUTE(SUBSTITUTE(SUBSTITUTE(SUBSTITUTE(LOWER(Registro!$E818),"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",LEN(Registro!$E818))),({1,2,3,4,5,6,7,8,9,10,11,12,13,14,15,16,17,18,19,20,21,22,23,24,25,26,27,28,29,30}-1)*LEN(Registro!$E818)+1,LEN(Registro!$E818)))&amp;"x")-1)),--("0"&amp;MID(TRIM(MID(SUBSTITUTE(SUBSTITUTE(SUBSTITUTE(SUBSTITUTE(SUBSTITUTE(LOWER(Registro!$E818),"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",LEN(Registro!$E818))),({1,2,3,4,5,6,7,8,9,10,11,12,13,14,15,16,17,18,19,20,21,22,23,24,25,26,27,28,29,30}-1)*LEN(Registro!$E818)+1,LEN(Registro!$E818))),FIND("x",TRIM(MID(SUBSTITUTE(SUBSTITUTE(SUBSTITUTE(SUBSTITUTE(SUBSTITUTE(LOWER(Registro!$E818),"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",LEN(Registro!$E818))),({1,2,3,4,5,6,7,8,9,10,11,12,13,14,15,16,17,18,19,20,21,22,23,24,25,26,27,28,29,30}-1)*LEN(Registro!$E818)+1,LEN(Registro!$E818)))&amp;"x")+1,20))),"Revisar formato")))</f>
        <v/>
      </c>
      <c r="F818" s="23" t="str">
        <f>IF(Registro!$F818="","",IF(ISERROR(FIND("x",LOWER(Registro!$F818))),"-",IFERROR(SUMPRODUCT(--("0"&amp;LEFT(TRIM(MID(SUBSTITUTE(SUBSTITUTE(SUBSTITUTE(SUBSTITUTE(SUBSTITUTE(LOWER(Registro!$F818)," ",""),CHAR(10),"|"),";","|"),"+","|"),"|",REPT(" ",LEN(Registro!$F818))),({1,2,3,4,5,6,7,8,9,10,11,12,13,14,15,16,17,18,19,20,21,22,23,24,25,26,27,28,29,30}-1)*LEN(Registro!$F818)+1,LEN(Registro!$F818))),FIND("x",TRIM(MID(SUBSTITUTE(SUBSTITUTE(SUBSTITUTE(SUBSTITUTE(SUBSTITUTE(LOWER(Registro!$F818)," ",""),CHAR(10),"|"),";","|"),"+","|"),"|",REPT(" ",LEN(Registro!$F818))),({1,2,3,4,5,6,7,8,9,10,11,12,13,14,15,16,17,18,19,20,21,22,23,24,25,26,27,28,29,30}-1)*LEN(Registro!$F818)+1,LEN(Registro!$F818)))&amp;"x")-1))),"Revisar formato")))</f>
        <v/>
      </c>
      <c r="G818" s="24" t="str">
        <f>IF(Registro!$F818="","",IF(ISERROR(FIND("x",LOWER(Registro!$F818))),N(Registro!$G818),IFERROR(SUMPRODUCT(--("0"&amp;LEFT(TRIM(MID(SUBSTITUTE(SUBSTITUTE(SUBSTITUTE(SUBSTITUTE(SUBSTITUTE(LOWER(Registro!$F818)," ",""),CHAR(10),"|"),";","|"),"+","|"),"|",REPT(" ",LEN(Registro!$F818))),({1,2,3,4,5,6,7,8,9,10,11,12,13,14,15,16,17,18,19,20,21,22,23,24,25,26,27,28,29,30}-1)*LEN(Registro!$F818)+1,LEN(Registro!$F818))),FIND("x",TRIM(MID(SUBSTITUTE(SUBSTITUTE(SUBSTITUTE(SUBSTITUTE(SUBSTITUTE(LOWER(Registro!$F818)," ",""),CHAR(10),"|"),";","|"),"+","|"),"|",REPT(" ",LEN(Registro!$F818))),({1,2,3,4,5,6,7,8,9,10,11,12,13,14,15,16,17,18,19,20,21,22,23,24,25,26,27,28,29,30}-1)*LEN(Registro!$F818)+1,LEN(Registro!$F818)))&amp;"x")-1)),--("0"&amp;MID(TRIM(MID(SUBSTITUTE(SUBSTITUTE(SUBSTITUTE(SUBSTITUTE(SUBSTITUTE(LOWER(Registro!$F818)," ",""),CHAR(10),"|"),";","|"),"+","|"),"|",REPT(" ",LEN(Registro!$F818))),({1,2,3,4,5,6,7,8,9,10,11,12,13,14,15,16,17,18,19,20,21,22,23,24,25,26,27,28,29,30}-1)*LEN(Registro!$F818)+1,LEN(Registro!$F818))),FIND("x",TRIM(MID(SUBSTITUTE(SUBSTITUTE(SUBSTITUTE(SUBSTITUTE(SUBSTITUTE(LOWER(Registro!$F818)," ",""),CHAR(10),"|"),";","|"),"+","|"),"|",REPT(" ",LEN(Registro!$F818))),({1,2,3,4,5,6,7,8,9,10,11,12,13,14,15,16,17,18,19,20,21,22,23,24,25,26,27,28,29,30}-1)*LEN(Registro!$F818)+1,LEN(Registro!$F818)))&amp;"x")+1,20))),"Revisar formato")))</f>
        <v/>
      </c>
      <c r="H818" s="21" t="str">
        <f>IF(AND(Registro!$E818="",Registro!$F818=""),"",IF(NOT(AND(ISNUMBER(G818),ISNUMBER(Registro!$G818))),"",IF(G818&lt;Registro!$G818,"FALTA BOLETOS",IF(G818=Registro!$G818,"CONFORME","DIFERENCIA"))))</f>
        <v/>
      </c>
      <c r="I818" s="24" t="str">
        <f>IF(Registro!$H818="","",IFERROR(SUMPRODUCT(--("0"&amp;TRIM(RIGHT(SUBSTITUTE(TRIM(MID(SUBSTITUTE(SUBSTITUTE(Registro!$H818,";",CHAR(10)),CHAR(10),REPT(" ",LEN(Registro!$H818))),({1,2,3,4,5,6,7,8,9,10,11,12,13,14,15,16,17,18,19,20,21,22,23,24,25,26,27,28,29,30}-1)*LEN(Registro!$H818)+1,LEN(Registro!$H818)))," ",REPT(" ",50)),50)))),"Revisar formato"))</f>
        <v/>
      </c>
      <c r="J818" s="24" t="str">
        <f>IF(Registro!$I818="","",IFERROR(SUMPRODUCT(--("0"&amp;TRIM(RIGHT(SUBSTITUTE(TRIM(MID(SUBSTITUTE(SUBSTITUTE(Registro!$I818,";",CHAR(10)),CHAR(10),REPT(" ",LEN(Registro!$I818))),({1,2,3,4,5,6,7,8,9,10,11,12,13,14,15,16,17,18,19,20,21,22,23,24,25,26,27,28,29,30}-1)*LEN(Registro!$I818)+1,LEN(Registro!$I818)))," ",REPT(" ",50)),50)))),"Revisar formato"))</f>
        <v/>
      </c>
      <c r="K818" s="24" t="str">
        <f>IF(AND(Registro!$G818="",Registro!$H818=""),"",IF(AND(ISTEXT(I818),I818&lt;&gt;""),"Revisar formato",N(Registro!$G818)-N(I818)))</f>
        <v/>
      </c>
      <c r="L818" s="24" t="str">
        <f t="shared" si="25"/>
        <v/>
      </c>
      <c r="M818" s="36" t="str">
        <f>IF(AND(A818=Consulta!$B$3,C818=Consulta!$H$3),B818*10000+ROW(),"")</f>
        <v/>
      </c>
    </row>
    <row r="819" spans="1:13" x14ac:dyDescent="0.25">
      <c r="A819" s="21" t="str">
        <f>IF(Registro!$A819="","",Registro!$A819)</f>
        <v/>
      </c>
      <c r="B819" s="20" t="str">
        <f>IF(Registro!$B819="","",Registro!$B819)</f>
        <v/>
      </c>
      <c r="C819" s="35" t="str">
        <f t="shared" si="24"/>
        <v/>
      </c>
      <c r="D819" s="23" t="str">
        <f>IF(Registro!$E819="","",IF(ISERROR(FIND("x",LOWER(Registro!$E819))),"-",IFERROR(SUMPRODUCT(--("0"&amp;LEFT(TRIM(MID(SUBSTITUTE(SUBSTITUTE(SUBSTITUTE(SUBSTITUTE(SUBSTITUTE(LOWER(Registro!$E819),"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",LEN(Registro!$E819))),({1,2,3,4,5,6,7,8,9,10,11,12,13,14,15,16,17,18,19,20,21,22,23,24,25,26,27,28,29,30}-1)*LEN(Registro!$E819)+1,LEN(Registro!$E819))),FIND("x",TRIM(MID(SUBSTITUTE(SUBSTITUTE(SUBSTITUTE(SUBSTITUTE(SUBSTITUTE(LOWER(Registro!$E819),"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",LEN(Registro!$E819))),({1,2,3,4,5,6,7,8,9,10,11,12,13,14,15,16,17,18,19,20,21,22,23,24,25,26,27,28,29,30}-1)*LEN(Registro!$E819)+1,LEN(Registro!$E819)))&amp;"x")-1))),"Revisar formato")))</f>
        <v/>
      </c>
      <c r="E819" s="24" t="str">
        <f>IF(Registro!$E819="","",IF(ISERROR(FIND("x",LOWER(Registro!$E819))),"-",IFERROR(SUMPRODUCT(--("0"&amp;LEFT(TRIM(MID(SUBSTITUTE(SUBSTITUTE(SUBSTITUTE(SUBSTITUTE(SUBSTITUTE(LOWER(Registro!$E819),"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",LEN(Registro!$E819))),({1,2,3,4,5,6,7,8,9,10,11,12,13,14,15,16,17,18,19,20,21,22,23,24,25,26,27,28,29,30}-1)*LEN(Registro!$E819)+1,LEN(Registro!$E819))),FIND("x",TRIM(MID(SUBSTITUTE(SUBSTITUTE(SUBSTITUTE(SUBSTITUTE(SUBSTITUTE(LOWER(Registro!$E819),"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",LEN(Registro!$E819))),({1,2,3,4,5,6,7,8,9,10,11,12,13,14,15,16,17,18,19,20,21,22,23,24,25,26,27,28,29,30}-1)*LEN(Registro!$E819)+1,LEN(Registro!$E819)))&amp;"x")-1)),--("0"&amp;MID(TRIM(MID(SUBSTITUTE(SUBSTITUTE(SUBSTITUTE(SUBSTITUTE(SUBSTITUTE(LOWER(Registro!$E819),"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",LEN(Registro!$E819))),({1,2,3,4,5,6,7,8,9,10,11,12,13,14,15,16,17,18,19,20,21,22,23,24,25,26,27,28,29,30}-1)*LEN(Registro!$E819)+1,LEN(Registro!$E819))),FIND("x",TRIM(MID(SUBSTITUTE(SUBSTITUTE(SUBSTITUTE(SUBSTITUTE(SUBSTITUTE(LOWER(Registro!$E819),"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",LEN(Registro!$E819))),({1,2,3,4,5,6,7,8,9,10,11,12,13,14,15,16,17,18,19,20,21,22,23,24,25,26,27,28,29,30}-1)*LEN(Registro!$E819)+1,LEN(Registro!$E819)))&amp;"x")+1,20))),"Revisar formato")))</f>
        <v/>
      </c>
      <c r="F819" s="23" t="str">
        <f>IF(Registro!$F819="","",IF(ISERROR(FIND("x",LOWER(Registro!$F819))),"-",IFERROR(SUMPRODUCT(--("0"&amp;LEFT(TRIM(MID(SUBSTITUTE(SUBSTITUTE(SUBSTITUTE(SUBSTITUTE(SUBSTITUTE(LOWER(Registro!$F819)," ",""),CHAR(10),"|"),";","|"),"+","|"),"|",REPT(" ",LEN(Registro!$F819))),({1,2,3,4,5,6,7,8,9,10,11,12,13,14,15,16,17,18,19,20,21,22,23,24,25,26,27,28,29,30}-1)*LEN(Registro!$F819)+1,LEN(Registro!$F819))),FIND("x",TRIM(MID(SUBSTITUTE(SUBSTITUTE(SUBSTITUTE(SUBSTITUTE(SUBSTITUTE(LOWER(Registro!$F819)," ",""),CHAR(10),"|"),";","|"),"+","|"),"|",REPT(" ",LEN(Registro!$F819))),({1,2,3,4,5,6,7,8,9,10,11,12,13,14,15,16,17,18,19,20,21,22,23,24,25,26,27,28,29,30}-1)*LEN(Registro!$F819)+1,LEN(Registro!$F819)))&amp;"x")-1))),"Revisar formato")))</f>
        <v/>
      </c>
      <c r="G819" s="24" t="str">
        <f>IF(Registro!$F819="","",IF(ISERROR(FIND("x",LOWER(Registro!$F819))),N(Registro!$G819),IFERROR(SUMPRODUCT(--("0"&amp;LEFT(TRIM(MID(SUBSTITUTE(SUBSTITUTE(SUBSTITUTE(SUBSTITUTE(SUBSTITUTE(LOWER(Registro!$F819)," ",""),CHAR(10),"|"),";","|"),"+","|"),"|",REPT(" ",LEN(Registro!$F819))),({1,2,3,4,5,6,7,8,9,10,11,12,13,14,15,16,17,18,19,20,21,22,23,24,25,26,27,28,29,30}-1)*LEN(Registro!$F819)+1,LEN(Registro!$F819))),FIND("x",TRIM(MID(SUBSTITUTE(SUBSTITUTE(SUBSTITUTE(SUBSTITUTE(SUBSTITUTE(LOWER(Registro!$F819)," ",""),CHAR(10),"|"),";","|"),"+","|"),"|",REPT(" ",LEN(Registro!$F819))),({1,2,3,4,5,6,7,8,9,10,11,12,13,14,15,16,17,18,19,20,21,22,23,24,25,26,27,28,29,30}-1)*LEN(Registro!$F819)+1,LEN(Registro!$F819)))&amp;"x")-1)),--("0"&amp;MID(TRIM(MID(SUBSTITUTE(SUBSTITUTE(SUBSTITUTE(SUBSTITUTE(SUBSTITUTE(LOWER(Registro!$F819)," ",""),CHAR(10),"|"),";","|"),"+","|"),"|",REPT(" ",LEN(Registro!$F819))),({1,2,3,4,5,6,7,8,9,10,11,12,13,14,15,16,17,18,19,20,21,22,23,24,25,26,27,28,29,30}-1)*LEN(Registro!$F819)+1,LEN(Registro!$F819))),FIND("x",TRIM(MID(SUBSTITUTE(SUBSTITUTE(SUBSTITUTE(SUBSTITUTE(SUBSTITUTE(LOWER(Registro!$F819)," ",""),CHAR(10),"|"),";","|"),"+","|"),"|",REPT(" ",LEN(Registro!$F819))),({1,2,3,4,5,6,7,8,9,10,11,12,13,14,15,16,17,18,19,20,21,22,23,24,25,26,27,28,29,30}-1)*LEN(Registro!$F819)+1,LEN(Registro!$F819)))&amp;"x")+1,20))),"Revisar formato")))</f>
        <v/>
      </c>
      <c r="H819" s="21" t="str">
        <f>IF(AND(Registro!$E819="",Registro!$F819=""),"",IF(NOT(AND(ISNUMBER(G819),ISNUMBER(Registro!$G819))),"",IF(G819&lt;Registro!$G819,"FALTA BOLETOS",IF(G819=Registro!$G819,"CONFORME","DIFERENCIA"))))</f>
        <v/>
      </c>
      <c r="I819" s="24" t="str">
        <f>IF(Registro!$H819="","",IFERROR(SUMPRODUCT(--("0"&amp;TRIM(RIGHT(SUBSTITUTE(TRIM(MID(SUBSTITUTE(SUBSTITUTE(Registro!$H819,";",CHAR(10)),CHAR(10),REPT(" ",LEN(Registro!$H819))),({1,2,3,4,5,6,7,8,9,10,11,12,13,14,15,16,17,18,19,20,21,22,23,24,25,26,27,28,29,30}-1)*LEN(Registro!$H819)+1,LEN(Registro!$H819)))," ",REPT(" ",50)),50)))),"Revisar formato"))</f>
        <v/>
      </c>
      <c r="J819" s="24" t="str">
        <f>IF(Registro!$I819="","",IFERROR(SUMPRODUCT(--("0"&amp;TRIM(RIGHT(SUBSTITUTE(TRIM(MID(SUBSTITUTE(SUBSTITUTE(Registro!$I819,";",CHAR(10)),CHAR(10),REPT(" ",LEN(Registro!$I819))),({1,2,3,4,5,6,7,8,9,10,11,12,13,14,15,16,17,18,19,20,21,22,23,24,25,26,27,28,29,30}-1)*LEN(Registro!$I819)+1,LEN(Registro!$I819)))," ",REPT(" ",50)),50)))),"Revisar formato"))</f>
        <v/>
      </c>
      <c r="K819" s="24" t="str">
        <f>IF(AND(Registro!$G819="",Registro!$H819=""),"",IF(AND(ISTEXT(I819),I819&lt;&gt;""),"Revisar formato",N(Registro!$G819)-N(I819)))</f>
        <v/>
      </c>
      <c r="L819" s="24" t="str">
        <f t="shared" si="25"/>
        <v/>
      </c>
      <c r="M819" s="36" t="str">
        <f>IF(AND(A819=Consulta!$B$3,C819=Consulta!$H$3),B819*10000+ROW(),"")</f>
        <v/>
      </c>
    </row>
    <row r="820" spans="1:13" x14ac:dyDescent="0.25">
      <c r="A820" s="21" t="str">
        <f>IF(Registro!$A820="","",Registro!$A820)</f>
        <v/>
      </c>
      <c r="B820" s="20" t="str">
        <f>IF(Registro!$B820="","",Registro!$B820)</f>
        <v/>
      </c>
      <c r="C820" s="35" t="str">
        <f t="shared" si="24"/>
        <v/>
      </c>
      <c r="D820" s="23" t="str">
        <f>IF(Registro!$E820="","",IF(ISERROR(FIND("x",LOWER(Registro!$E820))),"-",IFERROR(SUMPRODUCT(--("0"&amp;LEFT(TRIM(MID(SUBSTITUTE(SUBSTITUTE(SUBSTITUTE(SUBSTITUTE(SUBSTITUTE(LOWER(Registro!$E820),"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",LEN(Registro!$E820))),({1,2,3,4,5,6,7,8,9,10,11,12,13,14,15,16,17,18,19,20,21,22,23,24,25,26,27,28,29,30}-1)*LEN(Registro!$E820)+1,LEN(Registro!$E820))),FIND("x",TRIM(MID(SUBSTITUTE(SUBSTITUTE(SUBSTITUTE(SUBSTITUTE(SUBSTITUTE(LOWER(Registro!$E820),"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",LEN(Registro!$E820))),({1,2,3,4,5,6,7,8,9,10,11,12,13,14,15,16,17,18,19,20,21,22,23,24,25,26,27,28,29,30}-1)*LEN(Registro!$E820)+1,LEN(Registro!$E820)))&amp;"x")-1))),"Revisar formato")))</f>
        <v/>
      </c>
      <c r="E820" s="24" t="str">
        <f>IF(Registro!$E820="","",IF(ISERROR(FIND("x",LOWER(Registro!$E820))),"-",IFERROR(SUMPRODUCT(--("0"&amp;LEFT(TRIM(MID(SUBSTITUTE(SUBSTITUTE(SUBSTITUTE(SUBSTITUTE(SUBSTITUTE(LOWER(Registro!$E820),"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",LEN(Registro!$E820))),({1,2,3,4,5,6,7,8,9,10,11,12,13,14,15,16,17,18,19,20,21,22,23,24,25,26,27,28,29,30}-1)*LEN(Registro!$E820)+1,LEN(Registro!$E820))),FIND("x",TRIM(MID(SUBSTITUTE(SUBSTITUTE(SUBSTITUTE(SUBSTITUTE(SUBSTITUTE(LOWER(Registro!$E820),"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",LEN(Registro!$E820))),({1,2,3,4,5,6,7,8,9,10,11,12,13,14,15,16,17,18,19,20,21,22,23,24,25,26,27,28,29,30}-1)*LEN(Registro!$E820)+1,LEN(Registro!$E820)))&amp;"x")-1)),--("0"&amp;MID(TRIM(MID(SUBSTITUTE(SUBSTITUTE(SUBSTITUTE(SUBSTITUTE(SUBSTITUTE(LOWER(Registro!$E820),"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",LEN(Registro!$E820))),({1,2,3,4,5,6,7,8,9,10,11,12,13,14,15,16,17,18,19,20,21,22,23,24,25,26,27,28,29,30}-1)*LEN(Registro!$E820)+1,LEN(Registro!$E820))),FIND("x",TRIM(MID(SUBSTITUTE(SUBSTITUTE(SUBSTITUTE(SUBSTITUTE(SUBSTITUTE(LOWER(Registro!$E820),"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",LEN(Registro!$E820))),({1,2,3,4,5,6,7,8,9,10,11,12,13,14,15,16,17,18,19,20,21,22,23,24,25,26,27,28,29,30}-1)*LEN(Registro!$E820)+1,LEN(Registro!$E820)))&amp;"x")+1,20))),"Revisar formato")))</f>
        <v/>
      </c>
      <c r="F820" s="23" t="str">
        <f>IF(Registro!$F820="","",IF(ISERROR(FIND("x",LOWER(Registro!$F820))),"-",IFERROR(SUMPRODUCT(--("0"&amp;LEFT(TRIM(MID(SUBSTITUTE(SUBSTITUTE(SUBSTITUTE(SUBSTITUTE(SUBSTITUTE(LOWER(Registro!$F820)," ",""),CHAR(10),"|"),";","|"),"+","|"),"|",REPT(" ",LEN(Registro!$F820))),({1,2,3,4,5,6,7,8,9,10,11,12,13,14,15,16,17,18,19,20,21,22,23,24,25,26,27,28,29,30}-1)*LEN(Registro!$F820)+1,LEN(Registro!$F820))),FIND("x",TRIM(MID(SUBSTITUTE(SUBSTITUTE(SUBSTITUTE(SUBSTITUTE(SUBSTITUTE(LOWER(Registro!$F820)," ",""),CHAR(10),"|"),";","|"),"+","|"),"|",REPT(" ",LEN(Registro!$F820))),({1,2,3,4,5,6,7,8,9,10,11,12,13,14,15,16,17,18,19,20,21,22,23,24,25,26,27,28,29,30}-1)*LEN(Registro!$F820)+1,LEN(Registro!$F820)))&amp;"x")-1))),"Revisar formato")))</f>
        <v/>
      </c>
      <c r="G820" s="24" t="str">
        <f>IF(Registro!$F820="","",IF(ISERROR(FIND("x",LOWER(Registro!$F820))),N(Registro!$G820),IFERROR(SUMPRODUCT(--("0"&amp;LEFT(TRIM(MID(SUBSTITUTE(SUBSTITUTE(SUBSTITUTE(SUBSTITUTE(SUBSTITUTE(LOWER(Registro!$F820)," ",""),CHAR(10),"|"),";","|"),"+","|"),"|",REPT(" ",LEN(Registro!$F820))),({1,2,3,4,5,6,7,8,9,10,11,12,13,14,15,16,17,18,19,20,21,22,23,24,25,26,27,28,29,30}-1)*LEN(Registro!$F820)+1,LEN(Registro!$F820))),FIND("x",TRIM(MID(SUBSTITUTE(SUBSTITUTE(SUBSTITUTE(SUBSTITUTE(SUBSTITUTE(LOWER(Registro!$F820)," ",""),CHAR(10),"|"),";","|"),"+","|"),"|",REPT(" ",LEN(Registro!$F820))),({1,2,3,4,5,6,7,8,9,10,11,12,13,14,15,16,17,18,19,20,21,22,23,24,25,26,27,28,29,30}-1)*LEN(Registro!$F820)+1,LEN(Registro!$F820)))&amp;"x")-1)),--("0"&amp;MID(TRIM(MID(SUBSTITUTE(SUBSTITUTE(SUBSTITUTE(SUBSTITUTE(SUBSTITUTE(LOWER(Registro!$F820)," ",""),CHAR(10),"|"),";","|"),"+","|"),"|",REPT(" ",LEN(Registro!$F820))),({1,2,3,4,5,6,7,8,9,10,11,12,13,14,15,16,17,18,19,20,21,22,23,24,25,26,27,28,29,30}-1)*LEN(Registro!$F820)+1,LEN(Registro!$F820))),FIND("x",TRIM(MID(SUBSTITUTE(SUBSTITUTE(SUBSTITUTE(SUBSTITUTE(SUBSTITUTE(LOWER(Registro!$F820)," ",""),CHAR(10),"|"),";","|"),"+","|"),"|",REPT(" ",LEN(Registro!$F820))),({1,2,3,4,5,6,7,8,9,10,11,12,13,14,15,16,17,18,19,20,21,22,23,24,25,26,27,28,29,30}-1)*LEN(Registro!$F820)+1,LEN(Registro!$F820)))&amp;"x")+1,20))),"Revisar formato")))</f>
        <v/>
      </c>
      <c r="H820" s="21" t="str">
        <f>IF(AND(Registro!$E820="",Registro!$F820=""),"",IF(NOT(AND(ISNUMBER(G820),ISNUMBER(Registro!$G820))),"",IF(G820&lt;Registro!$G820,"FALTA BOLETOS",IF(G820=Registro!$G820,"CONFORME","DIFERENCIA"))))</f>
        <v/>
      </c>
      <c r="I820" s="24" t="str">
        <f>IF(Registro!$H820="","",IFERROR(SUMPRODUCT(--("0"&amp;TRIM(RIGHT(SUBSTITUTE(TRIM(MID(SUBSTITUTE(SUBSTITUTE(Registro!$H820,";",CHAR(10)),CHAR(10),REPT(" ",LEN(Registro!$H820))),({1,2,3,4,5,6,7,8,9,10,11,12,13,14,15,16,17,18,19,20,21,22,23,24,25,26,27,28,29,30}-1)*LEN(Registro!$H820)+1,LEN(Registro!$H820)))," ",REPT(" ",50)),50)))),"Revisar formato"))</f>
        <v/>
      </c>
      <c r="J820" s="24" t="str">
        <f>IF(Registro!$I820="","",IFERROR(SUMPRODUCT(--("0"&amp;TRIM(RIGHT(SUBSTITUTE(TRIM(MID(SUBSTITUTE(SUBSTITUTE(Registro!$I820,";",CHAR(10)),CHAR(10),REPT(" ",LEN(Registro!$I820))),({1,2,3,4,5,6,7,8,9,10,11,12,13,14,15,16,17,18,19,20,21,22,23,24,25,26,27,28,29,30}-1)*LEN(Registro!$I820)+1,LEN(Registro!$I820)))," ",REPT(" ",50)),50)))),"Revisar formato"))</f>
        <v/>
      </c>
      <c r="K820" s="24" t="str">
        <f>IF(AND(Registro!$G820="",Registro!$H820=""),"",IF(AND(ISTEXT(I820),I820&lt;&gt;""),"Revisar formato",N(Registro!$G820)-N(I820)))</f>
        <v/>
      </c>
      <c r="L820" s="24" t="str">
        <f t="shared" si="25"/>
        <v/>
      </c>
      <c r="M820" s="36" t="str">
        <f>IF(AND(A820=Consulta!$B$3,C820=Consulta!$H$3),B820*10000+ROW(),"")</f>
        <v/>
      </c>
    </row>
    <row r="821" spans="1:13" x14ac:dyDescent="0.25">
      <c r="A821" s="21" t="str">
        <f>IF(Registro!$A821="","",Registro!$A821)</f>
        <v/>
      </c>
      <c r="B821" s="20" t="str">
        <f>IF(Registro!$B821="","",Registro!$B821)</f>
        <v/>
      </c>
      <c r="C821" s="35" t="str">
        <f t="shared" si="24"/>
        <v/>
      </c>
      <c r="D821" s="23" t="str">
        <f>IF(Registro!$E821="","",IF(ISERROR(FIND("x",LOWER(Registro!$E821))),"-",IFERROR(SUMPRODUCT(--("0"&amp;LEFT(TRIM(MID(SUBSTITUTE(SUBSTITUTE(SUBSTITUTE(SUBSTITUTE(SUBSTITUTE(LOWER(Registro!$E821),"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",LEN(Registro!$E821))),({1,2,3,4,5,6,7,8,9,10,11,12,13,14,15,16,17,18,19,20,21,22,23,24,25,26,27,28,29,30}-1)*LEN(Registro!$E821)+1,LEN(Registro!$E821))),FIND("x",TRIM(MID(SUBSTITUTE(SUBSTITUTE(SUBSTITUTE(SUBSTITUTE(SUBSTITUTE(LOWER(Registro!$E821),"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",LEN(Registro!$E821))),({1,2,3,4,5,6,7,8,9,10,11,12,13,14,15,16,17,18,19,20,21,22,23,24,25,26,27,28,29,30}-1)*LEN(Registro!$E821)+1,LEN(Registro!$E821)))&amp;"x")-1))),"Revisar formato")))</f>
        <v/>
      </c>
      <c r="E821" s="24" t="str">
        <f>IF(Registro!$E821="","",IF(ISERROR(FIND("x",LOWER(Registro!$E821))),"-",IFERROR(SUMPRODUCT(--("0"&amp;LEFT(TRIM(MID(SUBSTITUTE(SUBSTITUTE(SUBSTITUTE(SUBSTITUTE(SUBSTITUTE(LOWER(Registro!$E821),"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",LEN(Registro!$E821))),({1,2,3,4,5,6,7,8,9,10,11,12,13,14,15,16,17,18,19,20,21,22,23,24,25,26,27,28,29,30}-1)*LEN(Registro!$E821)+1,LEN(Registro!$E821))),FIND("x",TRIM(MID(SUBSTITUTE(SUBSTITUTE(SUBSTITUTE(SUBSTITUTE(SUBSTITUTE(LOWER(Registro!$E821),"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",LEN(Registro!$E821))),({1,2,3,4,5,6,7,8,9,10,11,12,13,14,15,16,17,18,19,20,21,22,23,24,25,26,27,28,29,30}-1)*LEN(Registro!$E821)+1,LEN(Registro!$E821)))&amp;"x")-1)),--("0"&amp;MID(TRIM(MID(SUBSTITUTE(SUBSTITUTE(SUBSTITUTE(SUBSTITUTE(SUBSTITUTE(LOWER(Registro!$E821),"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",LEN(Registro!$E821))),({1,2,3,4,5,6,7,8,9,10,11,12,13,14,15,16,17,18,19,20,21,22,23,24,25,26,27,28,29,30}-1)*LEN(Registro!$E821)+1,LEN(Registro!$E821))),FIND("x",TRIM(MID(SUBSTITUTE(SUBSTITUTE(SUBSTITUTE(SUBSTITUTE(SUBSTITUTE(LOWER(Registro!$E821),"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",LEN(Registro!$E821))),({1,2,3,4,5,6,7,8,9,10,11,12,13,14,15,16,17,18,19,20,21,22,23,24,25,26,27,28,29,30}-1)*LEN(Registro!$E821)+1,LEN(Registro!$E821)))&amp;"x")+1,20))),"Revisar formato")))</f>
        <v/>
      </c>
      <c r="F821" s="23" t="str">
        <f>IF(Registro!$F821="","",IF(ISERROR(FIND("x",LOWER(Registro!$F821))),"-",IFERROR(SUMPRODUCT(--("0"&amp;LEFT(TRIM(MID(SUBSTITUTE(SUBSTITUTE(SUBSTITUTE(SUBSTITUTE(SUBSTITUTE(LOWER(Registro!$F821)," ",""),CHAR(10),"|"),";","|"),"+","|"),"|",REPT(" ",LEN(Registro!$F821))),({1,2,3,4,5,6,7,8,9,10,11,12,13,14,15,16,17,18,19,20,21,22,23,24,25,26,27,28,29,30}-1)*LEN(Registro!$F821)+1,LEN(Registro!$F821))),FIND("x",TRIM(MID(SUBSTITUTE(SUBSTITUTE(SUBSTITUTE(SUBSTITUTE(SUBSTITUTE(LOWER(Registro!$F821)," ",""),CHAR(10),"|"),";","|"),"+","|"),"|",REPT(" ",LEN(Registro!$F821))),({1,2,3,4,5,6,7,8,9,10,11,12,13,14,15,16,17,18,19,20,21,22,23,24,25,26,27,28,29,30}-1)*LEN(Registro!$F821)+1,LEN(Registro!$F821)))&amp;"x")-1))),"Revisar formato")))</f>
        <v/>
      </c>
      <c r="G821" s="24" t="str">
        <f>IF(Registro!$F821="","",IF(ISERROR(FIND("x",LOWER(Registro!$F821))),N(Registro!$G821),IFERROR(SUMPRODUCT(--("0"&amp;LEFT(TRIM(MID(SUBSTITUTE(SUBSTITUTE(SUBSTITUTE(SUBSTITUTE(SUBSTITUTE(LOWER(Registro!$F821)," ",""),CHAR(10),"|"),";","|"),"+","|"),"|",REPT(" ",LEN(Registro!$F821))),({1,2,3,4,5,6,7,8,9,10,11,12,13,14,15,16,17,18,19,20,21,22,23,24,25,26,27,28,29,30}-1)*LEN(Registro!$F821)+1,LEN(Registro!$F821))),FIND("x",TRIM(MID(SUBSTITUTE(SUBSTITUTE(SUBSTITUTE(SUBSTITUTE(SUBSTITUTE(LOWER(Registro!$F821)," ",""),CHAR(10),"|"),";","|"),"+","|"),"|",REPT(" ",LEN(Registro!$F821))),({1,2,3,4,5,6,7,8,9,10,11,12,13,14,15,16,17,18,19,20,21,22,23,24,25,26,27,28,29,30}-1)*LEN(Registro!$F821)+1,LEN(Registro!$F821)))&amp;"x")-1)),--("0"&amp;MID(TRIM(MID(SUBSTITUTE(SUBSTITUTE(SUBSTITUTE(SUBSTITUTE(SUBSTITUTE(LOWER(Registro!$F821)," ",""),CHAR(10),"|"),";","|"),"+","|"),"|",REPT(" ",LEN(Registro!$F821))),({1,2,3,4,5,6,7,8,9,10,11,12,13,14,15,16,17,18,19,20,21,22,23,24,25,26,27,28,29,30}-1)*LEN(Registro!$F821)+1,LEN(Registro!$F821))),FIND("x",TRIM(MID(SUBSTITUTE(SUBSTITUTE(SUBSTITUTE(SUBSTITUTE(SUBSTITUTE(LOWER(Registro!$F821)," ",""),CHAR(10),"|"),";","|"),"+","|"),"|",REPT(" ",LEN(Registro!$F821))),({1,2,3,4,5,6,7,8,9,10,11,12,13,14,15,16,17,18,19,20,21,22,23,24,25,26,27,28,29,30}-1)*LEN(Registro!$F821)+1,LEN(Registro!$F821)))&amp;"x")+1,20))),"Revisar formato")))</f>
        <v/>
      </c>
      <c r="H821" s="21" t="str">
        <f>IF(AND(Registro!$E821="",Registro!$F821=""),"",IF(NOT(AND(ISNUMBER(G821),ISNUMBER(Registro!$G821))),"",IF(G821&lt;Registro!$G821,"FALTA BOLETOS",IF(G821=Registro!$G821,"CONFORME","DIFERENCIA"))))</f>
        <v/>
      </c>
      <c r="I821" s="24" t="str">
        <f>IF(Registro!$H821="","",IFERROR(SUMPRODUCT(--("0"&amp;TRIM(RIGHT(SUBSTITUTE(TRIM(MID(SUBSTITUTE(SUBSTITUTE(Registro!$H821,";",CHAR(10)),CHAR(10),REPT(" ",LEN(Registro!$H821))),({1,2,3,4,5,6,7,8,9,10,11,12,13,14,15,16,17,18,19,20,21,22,23,24,25,26,27,28,29,30}-1)*LEN(Registro!$H821)+1,LEN(Registro!$H821)))," ",REPT(" ",50)),50)))),"Revisar formato"))</f>
        <v/>
      </c>
      <c r="J821" s="24" t="str">
        <f>IF(Registro!$I821="","",IFERROR(SUMPRODUCT(--("0"&amp;TRIM(RIGHT(SUBSTITUTE(TRIM(MID(SUBSTITUTE(SUBSTITUTE(Registro!$I821,";",CHAR(10)),CHAR(10),REPT(" ",LEN(Registro!$I821))),({1,2,3,4,5,6,7,8,9,10,11,12,13,14,15,16,17,18,19,20,21,22,23,24,25,26,27,28,29,30}-1)*LEN(Registro!$I821)+1,LEN(Registro!$I821)))," ",REPT(" ",50)),50)))),"Revisar formato"))</f>
        <v/>
      </c>
      <c r="K821" s="24" t="str">
        <f>IF(AND(Registro!$G821="",Registro!$H821=""),"",IF(AND(ISTEXT(I821),I821&lt;&gt;""),"Revisar formato",N(Registro!$G821)-N(I821)))</f>
        <v/>
      </c>
      <c r="L821" s="24" t="str">
        <f t="shared" si="25"/>
        <v/>
      </c>
      <c r="M821" s="36" t="str">
        <f>IF(AND(A821=Consulta!$B$3,C821=Consulta!$H$3),B821*10000+ROW(),"")</f>
        <v/>
      </c>
    </row>
    <row r="822" spans="1:13" x14ac:dyDescent="0.25">
      <c r="A822" s="21" t="str">
        <f>IF(Registro!$A822="","",Registro!$A822)</f>
        <v/>
      </c>
      <c r="B822" s="20" t="str">
        <f>IF(Registro!$B822="","",Registro!$B822)</f>
        <v/>
      </c>
      <c r="C822" s="35" t="str">
        <f t="shared" si="24"/>
        <v/>
      </c>
      <c r="D822" s="23" t="str">
        <f>IF(Registro!$E822="","",IF(ISERROR(FIND("x",LOWER(Registro!$E822))),"-",IFERROR(SUMPRODUCT(--("0"&amp;LEFT(TRIM(MID(SUBSTITUTE(SUBSTITUTE(SUBSTITUTE(SUBSTITUTE(SUBSTITUTE(LOWER(Registro!$E822),"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",LEN(Registro!$E822))),({1,2,3,4,5,6,7,8,9,10,11,12,13,14,15,16,17,18,19,20,21,22,23,24,25,26,27,28,29,30}-1)*LEN(Registro!$E822)+1,LEN(Registro!$E822))),FIND("x",TRIM(MID(SUBSTITUTE(SUBSTITUTE(SUBSTITUTE(SUBSTITUTE(SUBSTITUTE(LOWER(Registro!$E822),"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",LEN(Registro!$E822))),({1,2,3,4,5,6,7,8,9,10,11,12,13,14,15,16,17,18,19,20,21,22,23,24,25,26,27,28,29,30}-1)*LEN(Registro!$E822)+1,LEN(Registro!$E822)))&amp;"x")-1))),"Revisar formato")))</f>
        <v/>
      </c>
      <c r="E822" s="24" t="str">
        <f>IF(Registro!$E822="","",IF(ISERROR(FIND("x",LOWER(Registro!$E822))),"-",IFERROR(SUMPRODUCT(--("0"&amp;LEFT(TRIM(MID(SUBSTITUTE(SUBSTITUTE(SUBSTITUTE(SUBSTITUTE(SUBSTITUTE(LOWER(Registro!$E822),"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",LEN(Registro!$E822))),({1,2,3,4,5,6,7,8,9,10,11,12,13,14,15,16,17,18,19,20,21,22,23,24,25,26,27,28,29,30}-1)*LEN(Registro!$E822)+1,LEN(Registro!$E822))),FIND("x",TRIM(MID(SUBSTITUTE(SUBSTITUTE(SUBSTITUTE(SUBSTITUTE(SUBSTITUTE(LOWER(Registro!$E822),"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",LEN(Registro!$E822))),({1,2,3,4,5,6,7,8,9,10,11,12,13,14,15,16,17,18,19,20,21,22,23,24,25,26,27,28,29,30}-1)*LEN(Registro!$E822)+1,LEN(Registro!$E822)))&amp;"x")-1)),--("0"&amp;MID(TRIM(MID(SUBSTITUTE(SUBSTITUTE(SUBSTITUTE(SUBSTITUTE(SUBSTITUTE(LOWER(Registro!$E822),"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",LEN(Registro!$E822))),({1,2,3,4,5,6,7,8,9,10,11,12,13,14,15,16,17,18,19,20,21,22,23,24,25,26,27,28,29,30}-1)*LEN(Registro!$E822)+1,LEN(Registro!$E822))),FIND("x",TRIM(MID(SUBSTITUTE(SUBSTITUTE(SUBSTITUTE(SUBSTITUTE(SUBSTITUTE(LOWER(Registro!$E822),"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",LEN(Registro!$E822))),({1,2,3,4,5,6,7,8,9,10,11,12,13,14,15,16,17,18,19,20,21,22,23,24,25,26,27,28,29,30}-1)*LEN(Registro!$E822)+1,LEN(Registro!$E822)))&amp;"x")+1,20))),"Revisar formato")))</f>
        <v/>
      </c>
      <c r="F822" s="23" t="str">
        <f>IF(Registro!$F822="","",IF(ISERROR(FIND("x",LOWER(Registro!$F822))),"-",IFERROR(SUMPRODUCT(--("0"&amp;LEFT(TRIM(MID(SUBSTITUTE(SUBSTITUTE(SUBSTITUTE(SUBSTITUTE(SUBSTITUTE(LOWER(Registro!$F822)," ",""),CHAR(10),"|"),";","|"),"+","|"),"|",REPT(" ",LEN(Registro!$F822))),({1,2,3,4,5,6,7,8,9,10,11,12,13,14,15,16,17,18,19,20,21,22,23,24,25,26,27,28,29,30}-1)*LEN(Registro!$F822)+1,LEN(Registro!$F822))),FIND("x",TRIM(MID(SUBSTITUTE(SUBSTITUTE(SUBSTITUTE(SUBSTITUTE(SUBSTITUTE(LOWER(Registro!$F822)," ",""),CHAR(10),"|"),";","|"),"+","|"),"|",REPT(" ",LEN(Registro!$F822))),({1,2,3,4,5,6,7,8,9,10,11,12,13,14,15,16,17,18,19,20,21,22,23,24,25,26,27,28,29,30}-1)*LEN(Registro!$F822)+1,LEN(Registro!$F822)))&amp;"x")-1))),"Revisar formato")))</f>
        <v/>
      </c>
      <c r="G822" s="24" t="str">
        <f>IF(Registro!$F822="","",IF(ISERROR(FIND("x",LOWER(Registro!$F822))),N(Registro!$G822),IFERROR(SUMPRODUCT(--("0"&amp;LEFT(TRIM(MID(SUBSTITUTE(SUBSTITUTE(SUBSTITUTE(SUBSTITUTE(SUBSTITUTE(LOWER(Registro!$F822)," ",""),CHAR(10),"|"),";","|"),"+","|"),"|",REPT(" ",LEN(Registro!$F822))),({1,2,3,4,5,6,7,8,9,10,11,12,13,14,15,16,17,18,19,20,21,22,23,24,25,26,27,28,29,30}-1)*LEN(Registro!$F822)+1,LEN(Registro!$F822))),FIND("x",TRIM(MID(SUBSTITUTE(SUBSTITUTE(SUBSTITUTE(SUBSTITUTE(SUBSTITUTE(LOWER(Registro!$F822)," ",""),CHAR(10),"|"),";","|"),"+","|"),"|",REPT(" ",LEN(Registro!$F822))),({1,2,3,4,5,6,7,8,9,10,11,12,13,14,15,16,17,18,19,20,21,22,23,24,25,26,27,28,29,30}-1)*LEN(Registro!$F822)+1,LEN(Registro!$F822)))&amp;"x")-1)),--("0"&amp;MID(TRIM(MID(SUBSTITUTE(SUBSTITUTE(SUBSTITUTE(SUBSTITUTE(SUBSTITUTE(LOWER(Registro!$F822)," ",""),CHAR(10),"|"),";","|"),"+","|"),"|",REPT(" ",LEN(Registro!$F822))),({1,2,3,4,5,6,7,8,9,10,11,12,13,14,15,16,17,18,19,20,21,22,23,24,25,26,27,28,29,30}-1)*LEN(Registro!$F822)+1,LEN(Registro!$F822))),FIND("x",TRIM(MID(SUBSTITUTE(SUBSTITUTE(SUBSTITUTE(SUBSTITUTE(SUBSTITUTE(LOWER(Registro!$F822)," ",""),CHAR(10),"|"),";","|"),"+","|"),"|",REPT(" ",LEN(Registro!$F822))),({1,2,3,4,5,6,7,8,9,10,11,12,13,14,15,16,17,18,19,20,21,22,23,24,25,26,27,28,29,30}-1)*LEN(Registro!$F822)+1,LEN(Registro!$F822)))&amp;"x")+1,20))),"Revisar formato")))</f>
        <v/>
      </c>
      <c r="H822" s="21" t="str">
        <f>IF(AND(Registro!$E822="",Registro!$F822=""),"",IF(NOT(AND(ISNUMBER(G822),ISNUMBER(Registro!$G822))),"",IF(G822&lt;Registro!$G822,"FALTA BOLETOS",IF(G822=Registro!$G822,"CONFORME","DIFERENCIA"))))</f>
        <v/>
      </c>
      <c r="I822" s="24" t="str">
        <f>IF(Registro!$H822="","",IFERROR(SUMPRODUCT(--("0"&amp;TRIM(RIGHT(SUBSTITUTE(TRIM(MID(SUBSTITUTE(SUBSTITUTE(Registro!$H822,";",CHAR(10)),CHAR(10),REPT(" ",LEN(Registro!$H822))),({1,2,3,4,5,6,7,8,9,10,11,12,13,14,15,16,17,18,19,20,21,22,23,24,25,26,27,28,29,30}-1)*LEN(Registro!$H822)+1,LEN(Registro!$H822)))," ",REPT(" ",50)),50)))),"Revisar formato"))</f>
        <v/>
      </c>
      <c r="J822" s="24" t="str">
        <f>IF(Registro!$I822="","",IFERROR(SUMPRODUCT(--("0"&amp;TRIM(RIGHT(SUBSTITUTE(TRIM(MID(SUBSTITUTE(SUBSTITUTE(Registro!$I822,";",CHAR(10)),CHAR(10),REPT(" ",LEN(Registro!$I822))),({1,2,3,4,5,6,7,8,9,10,11,12,13,14,15,16,17,18,19,20,21,22,23,24,25,26,27,28,29,30}-1)*LEN(Registro!$I822)+1,LEN(Registro!$I822)))," ",REPT(" ",50)),50)))),"Revisar formato"))</f>
        <v/>
      </c>
      <c r="K822" s="24" t="str">
        <f>IF(AND(Registro!$G822="",Registro!$H822=""),"",IF(AND(ISTEXT(I822),I822&lt;&gt;""),"Revisar formato",N(Registro!$G822)-N(I822)))</f>
        <v/>
      </c>
      <c r="L822" s="24" t="str">
        <f t="shared" si="25"/>
        <v/>
      </c>
      <c r="M822" s="36" t="str">
        <f>IF(AND(A822=Consulta!$B$3,C822=Consulta!$H$3),B822*10000+ROW(),"")</f>
        <v/>
      </c>
    </row>
    <row r="823" spans="1:13" x14ac:dyDescent="0.25">
      <c r="A823" s="21" t="str">
        <f>IF(Registro!$A823="","",Registro!$A823)</f>
        <v/>
      </c>
      <c r="B823" s="20" t="str">
        <f>IF(Registro!$B823="","",Registro!$B823)</f>
        <v/>
      </c>
      <c r="C823" s="35" t="str">
        <f t="shared" si="24"/>
        <v/>
      </c>
      <c r="D823" s="23" t="str">
        <f>IF(Registro!$E823="","",IF(ISERROR(FIND("x",LOWER(Registro!$E823))),"-",IFERROR(SUMPRODUCT(--("0"&amp;LEFT(TRIM(MID(SUBSTITUTE(SUBSTITUTE(SUBSTITUTE(SUBSTITUTE(SUBSTITUTE(LOWER(Registro!$E823),"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",LEN(Registro!$E823))),({1,2,3,4,5,6,7,8,9,10,11,12,13,14,15,16,17,18,19,20,21,22,23,24,25,26,27,28,29,30}-1)*LEN(Registro!$E823)+1,LEN(Registro!$E823))),FIND("x",TRIM(MID(SUBSTITUTE(SUBSTITUTE(SUBSTITUTE(SUBSTITUTE(SUBSTITUTE(LOWER(Registro!$E823),"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",LEN(Registro!$E823))),({1,2,3,4,5,6,7,8,9,10,11,12,13,14,15,16,17,18,19,20,21,22,23,24,25,26,27,28,29,30}-1)*LEN(Registro!$E823)+1,LEN(Registro!$E823)))&amp;"x")-1))),"Revisar formato")))</f>
        <v/>
      </c>
      <c r="E823" s="24" t="str">
        <f>IF(Registro!$E823="","",IF(ISERROR(FIND("x",LOWER(Registro!$E823))),"-",IFERROR(SUMPRODUCT(--("0"&amp;LEFT(TRIM(MID(SUBSTITUTE(SUBSTITUTE(SUBSTITUTE(SUBSTITUTE(SUBSTITUTE(LOWER(Registro!$E823),"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",LEN(Registro!$E823))),({1,2,3,4,5,6,7,8,9,10,11,12,13,14,15,16,17,18,19,20,21,22,23,24,25,26,27,28,29,30}-1)*LEN(Registro!$E823)+1,LEN(Registro!$E823))),FIND("x",TRIM(MID(SUBSTITUTE(SUBSTITUTE(SUBSTITUTE(SUBSTITUTE(SUBSTITUTE(LOWER(Registro!$E823),"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",LEN(Registro!$E823))),({1,2,3,4,5,6,7,8,9,10,11,12,13,14,15,16,17,18,19,20,21,22,23,24,25,26,27,28,29,30}-1)*LEN(Registro!$E823)+1,LEN(Registro!$E823)))&amp;"x")-1)),--("0"&amp;MID(TRIM(MID(SUBSTITUTE(SUBSTITUTE(SUBSTITUTE(SUBSTITUTE(SUBSTITUTE(LOWER(Registro!$E823),"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",LEN(Registro!$E823))),({1,2,3,4,5,6,7,8,9,10,11,12,13,14,15,16,17,18,19,20,21,22,23,24,25,26,27,28,29,30}-1)*LEN(Registro!$E823)+1,LEN(Registro!$E823))),FIND("x",TRIM(MID(SUBSTITUTE(SUBSTITUTE(SUBSTITUTE(SUBSTITUTE(SUBSTITUTE(LOWER(Registro!$E823),"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",LEN(Registro!$E823))),({1,2,3,4,5,6,7,8,9,10,11,12,13,14,15,16,17,18,19,20,21,22,23,24,25,26,27,28,29,30}-1)*LEN(Registro!$E823)+1,LEN(Registro!$E823)))&amp;"x")+1,20))),"Revisar formato")))</f>
        <v/>
      </c>
      <c r="F823" s="23" t="str">
        <f>IF(Registro!$F823="","",IF(ISERROR(FIND("x",LOWER(Registro!$F823))),"-",IFERROR(SUMPRODUCT(--("0"&amp;LEFT(TRIM(MID(SUBSTITUTE(SUBSTITUTE(SUBSTITUTE(SUBSTITUTE(SUBSTITUTE(LOWER(Registro!$F823)," ",""),CHAR(10),"|"),";","|"),"+","|"),"|",REPT(" ",LEN(Registro!$F823))),({1,2,3,4,5,6,7,8,9,10,11,12,13,14,15,16,17,18,19,20,21,22,23,24,25,26,27,28,29,30}-1)*LEN(Registro!$F823)+1,LEN(Registro!$F823))),FIND("x",TRIM(MID(SUBSTITUTE(SUBSTITUTE(SUBSTITUTE(SUBSTITUTE(SUBSTITUTE(LOWER(Registro!$F823)," ",""),CHAR(10),"|"),";","|"),"+","|"),"|",REPT(" ",LEN(Registro!$F823))),({1,2,3,4,5,6,7,8,9,10,11,12,13,14,15,16,17,18,19,20,21,22,23,24,25,26,27,28,29,30}-1)*LEN(Registro!$F823)+1,LEN(Registro!$F823)))&amp;"x")-1))),"Revisar formato")))</f>
        <v/>
      </c>
      <c r="G823" s="24" t="str">
        <f>IF(Registro!$F823="","",IF(ISERROR(FIND("x",LOWER(Registro!$F823))),N(Registro!$G823),IFERROR(SUMPRODUCT(--("0"&amp;LEFT(TRIM(MID(SUBSTITUTE(SUBSTITUTE(SUBSTITUTE(SUBSTITUTE(SUBSTITUTE(LOWER(Registro!$F823)," ",""),CHAR(10),"|"),";","|"),"+","|"),"|",REPT(" ",LEN(Registro!$F823))),({1,2,3,4,5,6,7,8,9,10,11,12,13,14,15,16,17,18,19,20,21,22,23,24,25,26,27,28,29,30}-1)*LEN(Registro!$F823)+1,LEN(Registro!$F823))),FIND("x",TRIM(MID(SUBSTITUTE(SUBSTITUTE(SUBSTITUTE(SUBSTITUTE(SUBSTITUTE(LOWER(Registro!$F823)," ",""),CHAR(10),"|"),";","|"),"+","|"),"|",REPT(" ",LEN(Registro!$F823))),({1,2,3,4,5,6,7,8,9,10,11,12,13,14,15,16,17,18,19,20,21,22,23,24,25,26,27,28,29,30}-1)*LEN(Registro!$F823)+1,LEN(Registro!$F823)))&amp;"x")-1)),--("0"&amp;MID(TRIM(MID(SUBSTITUTE(SUBSTITUTE(SUBSTITUTE(SUBSTITUTE(SUBSTITUTE(LOWER(Registro!$F823)," ",""),CHAR(10),"|"),";","|"),"+","|"),"|",REPT(" ",LEN(Registro!$F823))),({1,2,3,4,5,6,7,8,9,10,11,12,13,14,15,16,17,18,19,20,21,22,23,24,25,26,27,28,29,30}-1)*LEN(Registro!$F823)+1,LEN(Registro!$F823))),FIND("x",TRIM(MID(SUBSTITUTE(SUBSTITUTE(SUBSTITUTE(SUBSTITUTE(SUBSTITUTE(LOWER(Registro!$F823)," ",""),CHAR(10),"|"),";","|"),"+","|"),"|",REPT(" ",LEN(Registro!$F823))),({1,2,3,4,5,6,7,8,9,10,11,12,13,14,15,16,17,18,19,20,21,22,23,24,25,26,27,28,29,30}-1)*LEN(Registro!$F823)+1,LEN(Registro!$F823)))&amp;"x")+1,20))),"Revisar formato")))</f>
        <v/>
      </c>
      <c r="H823" s="21" t="str">
        <f>IF(AND(Registro!$E823="",Registro!$F823=""),"",IF(NOT(AND(ISNUMBER(G823),ISNUMBER(Registro!$G823))),"",IF(G823&lt;Registro!$G823,"FALTA BOLETOS",IF(G823=Registro!$G823,"CONFORME","DIFERENCIA"))))</f>
        <v/>
      </c>
      <c r="I823" s="24" t="str">
        <f>IF(Registro!$H823="","",IFERROR(SUMPRODUCT(--("0"&amp;TRIM(RIGHT(SUBSTITUTE(TRIM(MID(SUBSTITUTE(SUBSTITUTE(Registro!$H823,";",CHAR(10)),CHAR(10),REPT(" ",LEN(Registro!$H823))),({1,2,3,4,5,6,7,8,9,10,11,12,13,14,15,16,17,18,19,20,21,22,23,24,25,26,27,28,29,30}-1)*LEN(Registro!$H823)+1,LEN(Registro!$H823)))," ",REPT(" ",50)),50)))),"Revisar formato"))</f>
        <v/>
      </c>
      <c r="J823" s="24" t="str">
        <f>IF(Registro!$I823="","",IFERROR(SUMPRODUCT(--("0"&amp;TRIM(RIGHT(SUBSTITUTE(TRIM(MID(SUBSTITUTE(SUBSTITUTE(Registro!$I823,";",CHAR(10)),CHAR(10),REPT(" ",LEN(Registro!$I823))),({1,2,3,4,5,6,7,8,9,10,11,12,13,14,15,16,17,18,19,20,21,22,23,24,25,26,27,28,29,30}-1)*LEN(Registro!$I823)+1,LEN(Registro!$I823)))," ",REPT(" ",50)),50)))),"Revisar formato"))</f>
        <v/>
      </c>
      <c r="K823" s="24" t="str">
        <f>IF(AND(Registro!$G823="",Registro!$H823=""),"",IF(AND(ISTEXT(I823),I823&lt;&gt;""),"Revisar formato",N(Registro!$G823)-N(I823)))</f>
        <v/>
      </c>
      <c r="L823" s="24" t="str">
        <f t="shared" si="25"/>
        <v/>
      </c>
      <c r="M823" s="36" t="str">
        <f>IF(AND(A823=Consulta!$B$3,C823=Consulta!$H$3),B823*10000+ROW(),"")</f>
        <v/>
      </c>
    </row>
    <row r="824" spans="1:13" x14ac:dyDescent="0.25">
      <c r="A824" s="21" t="str">
        <f>IF(Registro!$A824="","",Registro!$A824)</f>
        <v/>
      </c>
      <c r="B824" s="20" t="str">
        <f>IF(Registro!$B824="","",Registro!$B824)</f>
        <v/>
      </c>
      <c r="C824" s="35" t="str">
        <f t="shared" si="24"/>
        <v/>
      </c>
      <c r="D824" s="23" t="str">
        <f>IF(Registro!$E824="","",IF(ISERROR(FIND("x",LOWER(Registro!$E824))),"-",IFERROR(SUMPRODUCT(--("0"&amp;LEFT(TRIM(MID(SUBSTITUTE(SUBSTITUTE(SUBSTITUTE(SUBSTITUTE(SUBSTITUTE(LOWER(Registro!$E824),"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",LEN(Registro!$E824))),({1,2,3,4,5,6,7,8,9,10,11,12,13,14,15,16,17,18,19,20,21,22,23,24,25,26,27,28,29,30}-1)*LEN(Registro!$E824)+1,LEN(Registro!$E824))),FIND("x",TRIM(MID(SUBSTITUTE(SUBSTITUTE(SUBSTITUTE(SUBSTITUTE(SUBSTITUTE(LOWER(Registro!$E824),"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",LEN(Registro!$E824))),({1,2,3,4,5,6,7,8,9,10,11,12,13,14,15,16,17,18,19,20,21,22,23,24,25,26,27,28,29,30}-1)*LEN(Registro!$E824)+1,LEN(Registro!$E824)))&amp;"x")-1))),"Revisar formato")))</f>
        <v/>
      </c>
      <c r="E824" s="24" t="str">
        <f>IF(Registro!$E824="","",IF(ISERROR(FIND("x",LOWER(Registro!$E824))),"-",IFERROR(SUMPRODUCT(--("0"&amp;LEFT(TRIM(MID(SUBSTITUTE(SUBSTITUTE(SUBSTITUTE(SUBSTITUTE(SUBSTITUTE(LOWER(Registro!$E824),"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",LEN(Registro!$E824))),({1,2,3,4,5,6,7,8,9,10,11,12,13,14,15,16,17,18,19,20,21,22,23,24,25,26,27,28,29,30}-1)*LEN(Registro!$E824)+1,LEN(Registro!$E824))),FIND("x",TRIM(MID(SUBSTITUTE(SUBSTITUTE(SUBSTITUTE(SUBSTITUTE(SUBSTITUTE(LOWER(Registro!$E824),"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",LEN(Registro!$E824))),({1,2,3,4,5,6,7,8,9,10,11,12,13,14,15,16,17,18,19,20,21,22,23,24,25,26,27,28,29,30}-1)*LEN(Registro!$E824)+1,LEN(Registro!$E824)))&amp;"x")-1)),--("0"&amp;MID(TRIM(MID(SUBSTITUTE(SUBSTITUTE(SUBSTITUTE(SUBSTITUTE(SUBSTITUTE(LOWER(Registro!$E824),"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",LEN(Registro!$E824))),({1,2,3,4,5,6,7,8,9,10,11,12,13,14,15,16,17,18,19,20,21,22,23,24,25,26,27,28,29,30}-1)*LEN(Registro!$E824)+1,LEN(Registro!$E824))),FIND("x",TRIM(MID(SUBSTITUTE(SUBSTITUTE(SUBSTITUTE(SUBSTITUTE(SUBSTITUTE(LOWER(Registro!$E824),"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",LEN(Registro!$E824))),({1,2,3,4,5,6,7,8,9,10,11,12,13,14,15,16,17,18,19,20,21,22,23,24,25,26,27,28,29,30}-1)*LEN(Registro!$E824)+1,LEN(Registro!$E824)))&amp;"x")+1,20))),"Revisar formato")))</f>
        <v/>
      </c>
      <c r="F824" s="23" t="str">
        <f>IF(Registro!$F824="","",IF(ISERROR(FIND("x",LOWER(Registro!$F824))),"-",IFERROR(SUMPRODUCT(--("0"&amp;LEFT(TRIM(MID(SUBSTITUTE(SUBSTITUTE(SUBSTITUTE(SUBSTITUTE(SUBSTITUTE(LOWER(Registro!$F824)," ",""),CHAR(10),"|"),";","|"),"+","|"),"|",REPT(" ",LEN(Registro!$F824))),({1,2,3,4,5,6,7,8,9,10,11,12,13,14,15,16,17,18,19,20,21,22,23,24,25,26,27,28,29,30}-1)*LEN(Registro!$F824)+1,LEN(Registro!$F824))),FIND("x",TRIM(MID(SUBSTITUTE(SUBSTITUTE(SUBSTITUTE(SUBSTITUTE(SUBSTITUTE(LOWER(Registro!$F824)," ",""),CHAR(10),"|"),";","|"),"+","|"),"|",REPT(" ",LEN(Registro!$F824))),({1,2,3,4,5,6,7,8,9,10,11,12,13,14,15,16,17,18,19,20,21,22,23,24,25,26,27,28,29,30}-1)*LEN(Registro!$F824)+1,LEN(Registro!$F824)))&amp;"x")-1))),"Revisar formato")))</f>
        <v/>
      </c>
      <c r="G824" s="24" t="str">
        <f>IF(Registro!$F824="","",IF(ISERROR(FIND("x",LOWER(Registro!$F824))),N(Registro!$G824),IFERROR(SUMPRODUCT(--("0"&amp;LEFT(TRIM(MID(SUBSTITUTE(SUBSTITUTE(SUBSTITUTE(SUBSTITUTE(SUBSTITUTE(LOWER(Registro!$F824)," ",""),CHAR(10),"|"),";","|"),"+","|"),"|",REPT(" ",LEN(Registro!$F824))),({1,2,3,4,5,6,7,8,9,10,11,12,13,14,15,16,17,18,19,20,21,22,23,24,25,26,27,28,29,30}-1)*LEN(Registro!$F824)+1,LEN(Registro!$F824))),FIND("x",TRIM(MID(SUBSTITUTE(SUBSTITUTE(SUBSTITUTE(SUBSTITUTE(SUBSTITUTE(LOWER(Registro!$F824)," ",""),CHAR(10),"|"),";","|"),"+","|"),"|",REPT(" ",LEN(Registro!$F824))),({1,2,3,4,5,6,7,8,9,10,11,12,13,14,15,16,17,18,19,20,21,22,23,24,25,26,27,28,29,30}-1)*LEN(Registro!$F824)+1,LEN(Registro!$F824)))&amp;"x")-1)),--("0"&amp;MID(TRIM(MID(SUBSTITUTE(SUBSTITUTE(SUBSTITUTE(SUBSTITUTE(SUBSTITUTE(LOWER(Registro!$F824)," ",""),CHAR(10),"|"),";","|"),"+","|"),"|",REPT(" ",LEN(Registro!$F824))),({1,2,3,4,5,6,7,8,9,10,11,12,13,14,15,16,17,18,19,20,21,22,23,24,25,26,27,28,29,30}-1)*LEN(Registro!$F824)+1,LEN(Registro!$F824))),FIND("x",TRIM(MID(SUBSTITUTE(SUBSTITUTE(SUBSTITUTE(SUBSTITUTE(SUBSTITUTE(LOWER(Registro!$F824)," ",""),CHAR(10),"|"),";","|"),"+","|"),"|",REPT(" ",LEN(Registro!$F824))),({1,2,3,4,5,6,7,8,9,10,11,12,13,14,15,16,17,18,19,20,21,22,23,24,25,26,27,28,29,30}-1)*LEN(Registro!$F824)+1,LEN(Registro!$F824)))&amp;"x")+1,20))),"Revisar formato")))</f>
        <v/>
      </c>
      <c r="H824" s="21" t="str">
        <f>IF(AND(Registro!$E824="",Registro!$F824=""),"",IF(NOT(AND(ISNUMBER(G824),ISNUMBER(Registro!$G824))),"",IF(G824&lt;Registro!$G824,"FALTA BOLETOS",IF(G824=Registro!$G824,"CONFORME","DIFERENCIA"))))</f>
        <v/>
      </c>
      <c r="I824" s="24" t="str">
        <f>IF(Registro!$H824="","",IFERROR(SUMPRODUCT(--("0"&amp;TRIM(RIGHT(SUBSTITUTE(TRIM(MID(SUBSTITUTE(SUBSTITUTE(Registro!$H824,";",CHAR(10)),CHAR(10),REPT(" ",LEN(Registro!$H824))),({1,2,3,4,5,6,7,8,9,10,11,12,13,14,15,16,17,18,19,20,21,22,23,24,25,26,27,28,29,30}-1)*LEN(Registro!$H824)+1,LEN(Registro!$H824)))," ",REPT(" ",50)),50)))),"Revisar formato"))</f>
        <v/>
      </c>
      <c r="J824" s="24" t="str">
        <f>IF(Registro!$I824="","",IFERROR(SUMPRODUCT(--("0"&amp;TRIM(RIGHT(SUBSTITUTE(TRIM(MID(SUBSTITUTE(SUBSTITUTE(Registro!$I824,";",CHAR(10)),CHAR(10),REPT(" ",LEN(Registro!$I824))),({1,2,3,4,5,6,7,8,9,10,11,12,13,14,15,16,17,18,19,20,21,22,23,24,25,26,27,28,29,30}-1)*LEN(Registro!$I824)+1,LEN(Registro!$I824)))," ",REPT(" ",50)),50)))),"Revisar formato"))</f>
        <v/>
      </c>
      <c r="K824" s="24" t="str">
        <f>IF(AND(Registro!$G824="",Registro!$H824=""),"",IF(AND(ISTEXT(I824),I824&lt;&gt;""),"Revisar formato",N(Registro!$G824)-N(I824)))</f>
        <v/>
      </c>
      <c r="L824" s="24" t="str">
        <f t="shared" si="25"/>
        <v/>
      </c>
      <c r="M824" s="36" t="str">
        <f>IF(AND(A824=Consulta!$B$3,C824=Consulta!$H$3),B824*10000+ROW(),"")</f>
        <v/>
      </c>
    </row>
    <row r="825" spans="1:13" x14ac:dyDescent="0.25">
      <c r="A825" s="21" t="str">
        <f>IF(Registro!$A825="","",Registro!$A825)</f>
        <v/>
      </c>
      <c r="B825" s="20" t="str">
        <f>IF(Registro!$B825="","",Registro!$B825)</f>
        <v/>
      </c>
      <c r="C825" s="35" t="str">
        <f t="shared" si="24"/>
        <v/>
      </c>
      <c r="D825" s="23" t="str">
        <f>IF(Registro!$E825="","",IF(ISERROR(FIND("x",LOWER(Registro!$E825))),"-",IFERROR(SUMPRODUCT(--("0"&amp;LEFT(TRIM(MID(SUBSTITUTE(SUBSTITUTE(SUBSTITUTE(SUBSTITUTE(SUBSTITUTE(LOWER(Registro!$E825),"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",LEN(Registro!$E825))),({1,2,3,4,5,6,7,8,9,10,11,12,13,14,15,16,17,18,19,20,21,22,23,24,25,26,27,28,29,30}-1)*LEN(Registro!$E825)+1,LEN(Registro!$E825))),FIND("x",TRIM(MID(SUBSTITUTE(SUBSTITUTE(SUBSTITUTE(SUBSTITUTE(SUBSTITUTE(LOWER(Registro!$E825),"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",LEN(Registro!$E825))),({1,2,3,4,5,6,7,8,9,10,11,12,13,14,15,16,17,18,19,20,21,22,23,24,25,26,27,28,29,30}-1)*LEN(Registro!$E825)+1,LEN(Registro!$E825)))&amp;"x")-1))),"Revisar formato")))</f>
        <v/>
      </c>
      <c r="E825" s="24" t="str">
        <f>IF(Registro!$E825="","",IF(ISERROR(FIND("x",LOWER(Registro!$E825))),"-",IFERROR(SUMPRODUCT(--("0"&amp;LEFT(TRIM(MID(SUBSTITUTE(SUBSTITUTE(SUBSTITUTE(SUBSTITUTE(SUBSTITUTE(LOWER(Registro!$E825),"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",LEN(Registro!$E825))),({1,2,3,4,5,6,7,8,9,10,11,12,13,14,15,16,17,18,19,20,21,22,23,24,25,26,27,28,29,30}-1)*LEN(Registro!$E825)+1,LEN(Registro!$E825))),FIND("x",TRIM(MID(SUBSTITUTE(SUBSTITUTE(SUBSTITUTE(SUBSTITUTE(SUBSTITUTE(LOWER(Registro!$E825),"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",LEN(Registro!$E825))),({1,2,3,4,5,6,7,8,9,10,11,12,13,14,15,16,17,18,19,20,21,22,23,24,25,26,27,28,29,30}-1)*LEN(Registro!$E825)+1,LEN(Registro!$E825)))&amp;"x")-1)),--("0"&amp;MID(TRIM(MID(SUBSTITUTE(SUBSTITUTE(SUBSTITUTE(SUBSTITUTE(SUBSTITUTE(LOWER(Registro!$E825),"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",LEN(Registro!$E825))),({1,2,3,4,5,6,7,8,9,10,11,12,13,14,15,16,17,18,19,20,21,22,23,24,25,26,27,28,29,30}-1)*LEN(Registro!$E825)+1,LEN(Registro!$E825))),FIND("x",TRIM(MID(SUBSTITUTE(SUBSTITUTE(SUBSTITUTE(SUBSTITUTE(SUBSTITUTE(LOWER(Registro!$E825),"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",LEN(Registro!$E825))),({1,2,3,4,5,6,7,8,9,10,11,12,13,14,15,16,17,18,19,20,21,22,23,24,25,26,27,28,29,30}-1)*LEN(Registro!$E825)+1,LEN(Registro!$E825)))&amp;"x")+1,20))),"Revisar formato")))</f>
        <v/>
      </c>
      <c r="F825" s="23" t="str">
        <f>IF(Registro!$F825="","",IF(ISERROR(FIND("x",LOWER(Registro!$F825))),"-",IFERROR(SUMPRODUCT(--("0"&amp;LEFT(TRIM(MID(SUBSTITUTE(SUBSTITUTE(SUBSTITUTE(SUBSTITUTE(SUBSTITUTE(LOWER(Registro!$F825)," ",""),CHAR(10),"|"),";","|"),"+","|"),"|",REPT(" ",LEN(Registro!$F825))),({1,2,3,4,5,6,7,8,9,10,11,12,13,14,15,16,17,18,19,20,21,22,23,24,25,26,27,28,29,30}-1)*LEN(Registro!$F825)+1,LEN(Registro!$F825))),FIND("x",TRIM(MID(SUBSTITUTE(SUBSTITUTE(SUBSTITUTE(SUBSTITUTE(SUBSTITUTE(LOWER(Registro!$F825)," ",""),CHAR(10),"|"),";","|"),"+","|"),"|",REPT(" ",LEN(Registro!$F825))),({1,2,3,4,5,6,7,8,9,10,11,12,13,14,15,16,17,18,19,20,21,22,23,24,25,26,27,28,29,30}-1)*LEN(Registro!$F825)+1,LEN(Registro!$F825)))&amp;"x")-1))),"Revisar formato")))</f>
        <v/>
      </c>
      <c r="G825" s="24" t="str">
        <f>IF(Registro!$F825="","",IF(ISERROR(FIND("x",LOWER(Registro!$F825))),N(Registro!$G825),IFERROR(SUMPRODUCT(--("0"&amp;LEFT(TRIM(MID(SUBSTITUTE(SUBSTITUTE(SUBSTITUTE(SUBSTITUTE(SUBSTITUTE(LOWER(Registro!$F825)," ",""),CHAR(10),"|"),";","|"),"+","|"),"|",REPT(" ",LEN(Registro!$F825))),({1,2,3,4,5,6,7,8,9,10,11,12,13,14,15,16,17,18,19,20,21,22,23,24,25,26,27,28,29,30}-1)*LEN(Registro!$F825)+1,LEN(Registro!$F825))),FIND("x",TRIM(MID(SUBSTITUTE(SUBSTITUTE(SUBSTITUTE(SUBSTITUTE(SUBSTITUTE(LOWER(Registro!$F825)," ",""),CHAR(10),"|"),";","|"),"+","|"),"|",REPT(" ",LEN(Registro!$F825))),({1,2,3,4,5,6,7,8,9,10,11,12,13,14,15,16,17,18,19,20,21,22,23,24,25,26,27,28,29,30}-1)*LEN(Registro!$F825)+1,LEN(Registro!$F825)))&amp;"x")-1)),--("0"&amp;MID(TRIM(MID(SUBSTITUTE(SUBSTITUTE(SUBSTITUTE(SUBSTITUTE(SUBSTITUTE(LOWER(Registro!$F825)," ",""),CHAR(10),"|"),";","|"),"+","|"),"|",REPT(" ",LEN(Registro!$F825))),({1,2,3,4,5,6,7,8,9,10,11,12,13,14,15,16,17,18,19,20,21,22,23,24,25,26,27,28,29,30}-1)*LEN(Registro!$F825)+1,LEN(Registro!$F825))),FIND("x",TRIM(MID(SUBSTITUTE(SUBSTITUTE(SUBSTITUTE(SUBSTITUTE(SUBSTITUTE(LOWER(Registro!$F825)," ",""),CHAR(10),"|"),";","|"),"+","|"),"|",REPT(" ",LEN(Registro!$F825))),({1,2,3,4,5,6,7,8,9,10,11,12,13,14,15,16,17,18,19,20,21,22,23,24,25,26,27,28,29,30}-1)*LEN(Registro!$F825)+1,LEN(Registro!$F825)))&amp;"x")+1,20))),"Revisar formato")))</f>
        <v/>
      </c>
      <c r="H825" s="21" t="str">
        <f>IF(AND(Registro!$E825="",Registro!$F825=""),"",IF(NOT(AND(ISNUMBER(G825),ISNUMBER(Registro!$G825))),"",IF(G825&lt;Registro!$G825,"FALTA BOLETOS",IF(G825=Registro!$G825,"CONFORME","DIFERENCIA"))))</f>
        <v/>
      </c>
      <c r="I825" s="24" t="str">
        <f>IF(Registro!$H825="","",IFERROR(SUMPRODUCT(--("0"&amp;TRIM(RIGHT(SUBSTITUTE(TRIM(MID(SUBSTITUTE(SUBSTITUTE(Registro!$H825,";",CHAR(10)),CHAR(10),REPT(" ",LEN(Registro!$H825))),({1,2,3,4,5,6,7,8,9,10,11,12,13,14,15,16,17,18,19,20,21,22,23,24,25,26,27,28,29,30}-1)*LEN(Registro!$H825)+1,LEN(Registro!$H825)))," ",REPT(" ",50)),50)))),"Revisar formato"))</f>
        <v/>
      </c>
      <c r="J825" s="24" t="str">
        <f>IF(Registro!$I825="","",IFERROR(SUMPRODUCT(--("0"&amp;TRIM(RIGHT(SUBSTITUTE(TRIM(MID(SUBSTITUTE(SUBSTITUTE(Registro!$I825,";",CHAR(10)),CHAR(10),REPT(" ",LEN(Registro!$I825))),({1,2,3,4,5,6,7,8,9,10,11,12,13,14,15,16,17,18,19,20,21,22,23,24,25,26,27,28,29,30}-1)*LEN(Registro!$I825)+1,LEN(Registro!$I825)))," ",REPT(" ",50)),50)))),"Revisar formato"))</f>
        <v/>
      </c>
      <c r="K825" s="24" t="str">
        <f>IF(AND(Registro!$G825="",Registro!$H825=""),"",IF(AND(ISTEXT(I825),I825&lt;&gt;""),"Revisar formato",N(Registro!$G825)-N(I825)))</f>
        <v/>
      </c>
      <c r="L825" s="24" t="str">
        <f t="shared" si="25"/>
        <v/>
      </c>
      <c r="M825" s="36" t="str">
        <f>IF(AND(A825=Consulta!$B$3,C825=Consulta!$H$3),B825*10000+ROW(),"")</f>
        <v/>
      </c>
    </row>
    <row r="826" spans="1:13" x14ac:dyDescent="0.25">
      <c r="A826" s="21" t="str">
        <f>IF(Registro!$A826="","",Registro!$A826)</f>
        <v/>
      </c>
      <c r="B826" s="20" t="str">
        <f>IF(Registro!$B826="","",Registro!$B826)</f>
        <v/>
      </c>
      <c r="C826" s="35" t="str">
        <f t="shared" si="24"/>
        <v/>
      </c>
      <c r="D826" s="23" t="str">
        <f>IF(Registro!$E826="","",IF(ISERROR(FIND("x",LOWER(Registro!$E826))),"-",IFERROR(SUMPRODUCT(--("0"&amp;LEFT(TRIM(MID(SUBSTITUTE(SUBSTITUTE(SUBSTITUTE(SUBSTITUTE(SUBSTITUTE(LOWER(Registro!$E826),"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",LEN(Registro!$E826))),({1,2,3,4,5,6,7,8,9,10,11,12,13,14,15,16,17,18,19,20,21,22,23,24,25,26,27,28,29,30}-1)*LEN(Registro!$E826)+1,LEN(Registro!$E826))),FIND("x",TRIM(MID(SUBSTITUTE(SUBSTITUTE(SUBSTITUTE(SUBSTITUTE(SUBSTITUTE(LOWER(Registro!$E826),"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",LEN(Registro!$E826))),({1,2,3,4,5,6,7,8,9,10,11,12,13,14,15,16,17,18,19,20,21,22,23,24,25,26,27,28,29,30}-1)*LEN(Registro!$E826)+1,LEN(Registro!$E826)))&amp;"x")-1))),"Revisar formato")))</f>
        <v/>
      </c>
      <c r="E826" s="24" t="str">
        <f>IF(Registro!$E826="","",IF(ISERROR(FIND("x",LOWER(Registro!$E826))),"-",IFERROR(SUMPRODUCT(--("0"&amp;LEFT(TRIM(MID(SUBSTITUTE(SUBSTITUTE(SUBSTITUTE(SUBSTITUTE(SUBSTITUTE(LOWER(Registro!$E826),"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",LEN(Registro!$E826))),({1,2,3,4,5,6,7,8,9,10,11,12,13,14,15,16,17,18,19,20,21,22,23,24,25,26,27,28,29,30}-1)*LEN(Registro!$E826)+1,LEN(Registro!$E826))),FIND("x",TRIM(MID(SUBSTITUTE(SUBSTITUTE(SUBSTITUTE(SUBSTITUTE(SUBSTITUTE(LOWER(Registro!$E826),"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",LEN(Registro!$E826))),({1,2,3,4,5,6,7,8,9,10,11,12,13,14,15,16,17,18,19,20,21,22,23,24,25,26,27,28,29,30}-1)*LEN(Registro!$E826)+1,LEN(Registro!$E826)))&amp;"x")-1)),--("0"&amp;MID(TRIM(MID(SUBSTITUTE(SUBSTITUTE(SUBSTITUTE(SUBSTITUTE(SUBSTITUTE(LOWER(Registro!$E826),"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",LEN(Registro!$E826))),({1,2,3,4,5,6,7,8,9,10,11,12,13,14,15,16,17,18,19,20,21,22,23,24,25,26,27,28,29,30}-1)*LEN(Registro!$E826)+1,LEN(Registro!$E826))),FIND("x",TRIM(MID(SUBSTITUTE(SUBSTITUTE(SUBSTITUTE(SUBSTITUTE(SUBSTITUTE(LOWER(Registro!$E826),"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",LEN(Registro!$E826))),({1,2,3,4,5,6,7,8,9,10,11,12,13,14,15,16,17,18,19,20,21,22,23,24,25,26,27,28,29,30}-1)*LEN(Registro!$E826)+1,LEN(Registro!$E826)))&amp;"x")+1,20))),"Revisar formato")))</f>
        <v/>
      </c>
      <c r="F826" s="23" t="str">
        <f>IF(Registro!$F826="","",IF(ISERROR(FIND("x",LOWER(Registro!$F826))),"-",IFERROR(SUMPRODUCT(--("0"&amp;LEFT(TRIM(MID(SUBSTITUTE(SUBSTITUTE(SUBSTITUTE(SUBSTITUTE(SUBSTITUTE(LOWER(Registro!$F826)," ",""),CHAR(10),"|"),";","|"),"+","|"),"|",REPT(" ",LEN(Registro!$F826))),({1,2,3,4,5,6,7,8,9,10,11,12,13,14,15,16,17,18,19,20,21,22,23,24,25,26,27,28,29,30}-1)*LEN(Registro!$F826)+1,LEN(Registro!$F826))),FIND("x",TRIM(MID(SUBSTITUTE(SUBSTITUTE(SUBSTITUTE(SUBSTITUTE(SUBSTITUTE(LOWER(Registro!$F826)," ",""),CHAR(10),"|"),";","|"),"+","|"),"|",REPT(" ",LEN(Registro!$F826))),({1,2,3,4,5,6,7,8,9,10,11,12,13,14,15,16,17,18,19,20,21,22,23,24,25,26,27,28,29,30}-1)*LEN(Registro!$F826)+1,LEN(Registro!$F826)))&amp;"x")-1))),"Revisar formato")))</f>
        <v/>
      </c>
      <c r="G826" s="24" t="str">
        <f>IF(Registro!$F826="","",IF(ISERROR(FIND("x",LOWER(Registro!$F826))),N(Registro!$G826),IFERROR(SUMPRODUCT(--("0"&amp;LEFT(TRIM(MID(SUBSTITUTE(SUBSTITUTE(SUBSTITUTE(SUBSTITUTE(SUBSTITUTE(LOWER(Registro!$F826)," ",""),CHAR(10),"|"),";","|"),"+","|"),"|",REPT(" ",LEN(Registro!$F826))),({1,2,3,4,5,6,7,8,9,10,11,12,13,14,15,16,17,18,19,20,21,22,23,24,25,26,27,28,29,30}-1)*LEN(Registro!$F826)+1,LEN(Registro!$F826))),FIND("x",TRIM(MID(SUBSTITUTE(SUBSTITUTE(SUBSTITUTE(SUBSTITUTE(SUBSTITUTE(LOWER(Registro!$F826)," ",""),CHAR(10),"|"),";","|"),"+","|"),"|",REPT(" ",LEN(Registro!$F826))),({1,2,3,4,5,6,7,8,9,10,11,12,13,14,15,16,17,18,19,20,21,22,23,24,25,26,27,28,29,30}-1)*LEN(Registro!$F826)+1,LEN(Registro!$F826)))&amp;"x")-1)),--("0"&amp;MID(TRIM(MID(SUBSTITUTE(SUBSTITUTE(SUBSTITUTE(SUBSTITUTE(SUBSTITUTE(LOWER(Registro!$F826)," ",""),CHAR(10),"|"),";","|"),"+","|"),"|",REPT(" ",LEN(Registro!$F826))),({1,2,3,4,5,6,7,8,9,10,11,12,13,14,15,16,17,18,19,20,21,22,23,24,25,26,27,28,29,30}-1)*LEN(Registro!$F826)+1,LEN(Registro!$F826))),FIND("x",TRIM(MID(SUBSTITUTE(SUBSTITUTE(SUBSTITUTE(SUBSTITUTE(SUBSTITUTE(LOWER(Registro!$F826)," ",""),CHAR(10),"|"),";","|"),"+","|"),"|",REPT(" ",LEN(Registro!$F826))),({1,2,3,4,5,6,7,8,9,10,11,12,13,14,15,16,17,18,19,20,21,22,23,24,25,26,27,28,29,30}-1)*LEN(Registro!$F826)+1,LEN(Registro!$F826)))&amp;"x")+1,20))),"Revisar formato")))</f>
        <v/>
      </c>
      <c r="H826" s="21" t="str">
        <f>IF(AND(Registro!$E826="",Registro!$F826=""),"",IF(NOT(AND(ISNUMBER(G826),ISNUMBER(Registro!$G826))),"",IF(G826&lt;Registro!$G826,"FALTA BOLETOS",IF(G826=Registro!$G826,"CONFORME","DIFERENCIA"))))</f>
        <v/>
      </c>
      <c r="I826" s="24" t="str">
        <f>IF(Registro!$H826="","",IFERROR(SUMPRODUCT(--("0"&amp;TRIM(RIGHT(SUBSTITUTE(TRIM(MID(SUBSTITUTE(SUBSTITUTE(Registro!$H826,";",CHAR(10)),CHAR(10),REPT(" ",LEN(Registro!$H826))),({1,2,3,4,5,6,7,8,9,10,11,12,13,14,15,16,17,18,19,20,21,22,23,24,25,26,27,28,29,30}-1)*LEN(Registro!$H826)+1,LEN(Registro!$H826)))," ",REPT(" ",50)),50)))),"Revisar formato"))</f>
        <v/>
      </c>
      <c r="J826" s="24" t="str">
        <f>IF(Registro!$I826="","",IFERROR(SUMPRODUCT(--("0"&amp;TRIM(RIGHT(SUBSTITUTE(TRIM(MID(SUBSTITUTE(SUBSTITUTE(Registro!$I826,";",CHAR(10)),CHAR(10),REPT(" ",LEN(Registro!$I826))),({1,2,3,4,5,6,7,8,9,10,11,12,13,14,15,16,17,18,19,20,21,22,23,24,25,26,27,28,29,30}-1)*LEN(Registro!$I826)+1,LEN(Registro!$I826)))," ",REPT(" ",50)),50)))),"Revisar formato"))</f>
        <v/>
      </c>
      <c r="K826" s="24" t="str">
        <f>IF(AND(Registro!$G826="",Registro!$H826=""),"",IF(AND(ISTEXT(I826),I826&lt;&gt;""),"Revisar formato",N(Registro!$G826)-N(I826)))</f>
        <v/>
      </c>
      <c r="L826" s="24" t="str">
        <f t="shared" si="25"/>
        <v/>
      </c>
      <c r="M826" s="36" t="str">
        <f>IF(AND(A826=Consulta!$B$3,C826=Consulta!$H$3),B826*10000+ROW(),"")</f>
        <v/>
      </c>
    </row>
    <row r="827" spans="1:13" x14ac:dyDescent="0.25">
      <c r="A827" s="21" t="str">
        <f>IF(Registro!$A827="","",Registro!$A827)</f>
        <v/>
      </c>
      <c r="B827" s="20" t="str">
        <f>IF(Registro!$B827="","",Registro!$B827)</f>
        <v/>
      </c>
      <c r="C827" s="35" t="str">
        <f t="shared" si="24"/>
        <v/>
      </c>
      <c r="D827" s="23" t="str">
        <f>IF(Registro!$E827="","",IF(ISERROR(FIND("x",LOWER(Registro!$E827))),"-",IFERROR(SUMPRODUCT(--("0"&amp;LEFT(TRIM(MID(SUBSTITUTE(SUBSTITUTE(SUBSTITUTE(SUBSTITUTE(SUBSTITUTE(LOWER(Registro!$E827),"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",LEN(Registro!$E827))),({1,2,3,4,5,6,7,8,9,10,11,12,13,14,15,16,17,18,19,20,21,22,23,24,25,26,27,28,29,30}-1)*LEN(Registro!$E827)+1,LEN(Registro!$E827))),FIND("x",TRIM(MID(SUBSTITUTE(SUBSTITUTE(SUBSTITUTE(SUBSTITUTE(SUBSTITUTE(LOWER(Registro!$E827),"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",LEN(Registro!$E827))),({1,2,3,4,5,6,7,8,9,10,11,12,13,14,15,16,17,18,19,20,21,22,23,24,25,26,27,28,29,30}-1)*LEN(Registro!$E827)+1,LEN(Registro!$E827)))&amp;"x")-1))),"Revisar formato")))</f>
        <v/>
      </c>
      <c r="E827" s="24" t="str">
        <f>IF(Registro!$E827="","",IF(ISERROR(FIND("x",LOWER(Registro!$E827))),"-",IFERROR(SUMPRODUCT(--("0"&amp;LEFT(TRIM(MID(SUBSTITUTE(SUBSTITUTE(SUBSTITUTE(SUBSTITUTE(SUBSTITUTE(LOWER(Registro!$E827),"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",LEN(Registro!$E827))),({1,2,3,4,5,6,7,8,9,10,11,12,13,14,15,16,17,18,19,20,21,22,23,24,25,26,27,28,29,30}-1)*LEN(Registro!$E827)+1,LEN(Registro!$E827))),FIND("x",TRIM(MID(SUBSTITUTE(SUBSTITUTE(SUBSTITUTE(SUBSTITUTE(SUBSTITUTE(LOWER(Registro!$E827),"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",LEN(Registro!$E827))),({1,2,3,4,5,6,7,8,9,10,11,12,13,14,15,16,17,18,19,20,21,22,23,24,25,26,27,28,29,30}-1)*LEN(Registro!$E827)+1,LEN(Registro!$E827)))&amp;"x")-1)),--("0"&amp;MID(TRIM(MID(SUBSTITUTE(SUBSTITUTE(SUBSTITUTE(SUBSTITUTE(SUBSTITUTE(LOWER(Registro!$E827),"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",LEN(Registro!$E827))),({1,2,3,4,5,6,7,8,9,10,11,12,13,14,15,16,17,18,19,20,21,22,23,24,25,26,27,28,29,30}-1)*LEN(Registro!$E827)+1,LEN(Registro!$E827))),FIND("x",TRIM(MID(SUBSTITUTE(SUBSTITUTE(SUBSTITUTE(SUBSTITUTE(SUBSTITUTE(LOWER(Registro!$E827),"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",LEN(Registro!$E827))),({1,2,3,4,5,6,7,8,9,10,11,12,13,14,15,16,17,18,19,20,21,22,23,24,25,26,27,28,29,30}-1)*LEN(Registro!$E827)+1,LEN(Registro!$E827)))&amp;"x")+1,20))),"Revisar formato")))</f>
        <v/>
      </c>
      <c r="F827" s="23" t="str">
        <f>IF(Registro!$F827="","",IF(ISERROR(FIND("x",LOWER(Registro!$F827))),"-",IFERROR(SUMPRODUCT(--("0"&amp;LEFT(TRIM(MID(SUBSTITUTE(SUBSTITUTE(SUBSTITUTE(SUBSTITUTE(SUBSTITUTE(LOWER(Registro!$F827)," ",""),CHAR(10),"|"),";","|"),"+","|"),"|",REPT(" ",LEN(Registro!$F827))),({1,2,3,4,5,6,7,8,9,10,11,12,13,14,15,16,17,18,19,20,21,22,23,24,25,26,27,28,29,30}-1)*LEN(Registro!$F827)+1,LEN(Registro!$F827))),FIND("x",TRIM(MID(SUBSTITUTE(SUBSTITUTE(SUBSTITUTE(SUBSTITUTE(SUBSTITUTE(LOWER(Registro!$F827)," ",""),CHAR(10),"|"),";","|"),"+","|"),"|",REPT(" ",LEN(Registro!$F827))),({1,2,3,4,5,6,7,8,9,10,11,12,13,14,15,16,17,18,19,20,21,22,23,24,25,26,27,28,29,30}-1)*LEN(Registro!$F827)+1,LEN(Registro!$F827)))&amp;"x")-1))),"Revisar formato")))</f>
        <v/>
      </c>
      <c r="G827" s="24" t="str">
        <f>IF(Registro!$F827="","",IF(ISERROR(FIND("x",LOWER(Registro!$F827))),N(Registro!$G827),IFERROR(SUMPRODUCT(--("0"&amp;LEFT(TRIM(MID(SUBSTITUTE(SUBSTITUTE(SUBSTITUTE(SUBSTITUTE(SUBSTITUTE(LOWER(Registro!$F827)," ",""),CHAR(10),"|"),";","|"),"+","|"),"|",REPT(" ",LEN(Registro!$F827))),({1,2,3,4,5,6,7,8,9,10,11,12,13,14,15,16,17,18,19,20,21,22,23,24,25,26,27,28,29,30}-1)*LEN(Registro!$F827)+1,LEN(Registro!$F827))),FIND("x",TRIM(MID(SUBSTITUTE(SUBSTITUTE(SUBSTITUTE(SUBSTITUTE(SUBSTITUTE(LOWER(Registro!$F827)," ",""),CHAR(10),"|"),";","|"),"+","|"),"|",REPT(" ",LEN(Registro!$F827))),({1,2,3,4,5,6,7,8,9,10,11,12,13,14,15,16,17,18,19,20,21,22,23,24,25,26,27,28,29,30}-1)*LEN(Registro!$F827)+1,LEN(Registro!$F827)))&amp;"x")-1)),--("0"&amp;MID(TRIM(MID(SUBSTITUTE(SUBSTITUTE(SUBSTITUTE(SUBSTITUTE(SUBSTITUTE(LOWER(Registro!$F827)," ",""),CHAR(10),"|"),";","|"),"+","|"),"|",REPT(" ",LEN(Registro!$F827))),({1,2,3,4,5,6,7,8,9,10,11,12,13,14,15,16,17,18,19,20,21,22,23,24,25,26,27,28,29,30}-1)*LEN(Registro!$F827)+1,LEN(Registro!$F827))),FIND("x",TRIM(MID(SUBSTITUTE(SUBSTITUTE(SUBSTITUTE(SUBSTITUTE(SUBSTITUTE(LOWER(Registro!$F827)," ",""),CHAR(10),"|"),";","|"),"+","|"),"|",REPT(" ",LEN(Registro!$F827))),({1,2,3,4,5,6,7,8,9,10,11,12,13,14,15,16,17,18,19,20,21,22,23,24,25,26,27,28,29,30}-1)*LEN(Registro!$F827)+1,LEN(Registro!$F827)))&amp;"x")+1,20))),"Revisar formato")))</f>
        <v/>
      </c>
      <c r="H827" s="21" t="str">
        <f>IF(AND(Registro!$E827="",Registro!$F827=""),"",IF(NOT(AND(ISNUMBER(G827),ISNUMBER(Registro!$G827))),"",IF(G827&lt;Registro!$G827,"FALTA BOLETOS",IF(G827=Registro!$G827,"CONFORME","DIFERENCIA"))))</f>
        <v/>
      </c>
      <c r="I827" s="24" t="str">
        <f>IF(Registro!$H827="","",IFERROR(SUMPRODUCT(--("0"&amp;TRIM(RIGHT(SUBSTITUTE(TRIM(MID(SUBSTITUTE(SUBSTITUTE(Registro!$H827,";",CHAR(10)),CHAR(10),REPT(" ",LEN(Registro!$H827))),({1,2,3,4,5,6,7,8,9,10,11,12,13,14,15,16,17,18,19,20,21,22,23,24,25,26,27,28,29,30}-1)*LEN(Registro!$H827)+1,LEN(Registro!$H827)))," ",REPT(" ",50)),50)))),"Revisar formato"))</f>
        <v/>
      </c>
      <c r="J827" s="24" t="str">
        <f>IF(Registro!$I827="","",IFERROR(SUMPRODUCT(--("0"&amp;TRIM(RIGHT(SUBSTITUTE(TRIM(MID(SUBSTITUTE(SUBSTITUTE(Registro!$I827,";",CHAR(10)),CHAR(10),REPT(" ",LEN(Registro!$I827))),({1,2,3,4,5,6,7,8,9,10,11,12,13,14,15,16,17,18,19,20,21,22,23,24,25,26,27,28,29,30}-1)*LEN(Registro!$I827)+1,LEN(Registro!$I827)))," ",REPT(" ",50)),50)))),"Revisar formato"))</f>
        <v/>
      </c>
      <c r="K827" s="24" t="str">
        <f>IF(AND(Registro!$G827="",Registro!$H827=""),"",IF(AND(ISTEXT(I827),I827&lt;&gt;""),"Revisar formato",N(Registro!$G827)-N(I827)))</f>
        <v/>
      </c>
      <c r="L827" s="24" t="str">
        <f t="shared" si="25"/>
        <v/>
      </c>
      <c r="M827" s="36" t="str">
        <f>IF(AND(A827=Consulta!$B$3,C827=Consulta!$H$3),B827*10000+ROW(),"")</f>
        <v/>
      </c>
    </row>
    <row r="828" spans="1:13" x14ac:dyDescent="0.25">
      <c r="A828" s="21" t="str">
        <f>IF(Registro!$A828="","",Registro!$A828)</f>
        <v/>
      </c>
      <c r="B828" s="20" t="str">
        <f>IF(Registro!$B828="","",Registro!$B828)</f>
        <v/>
      </c>
      <c r="C828" s="35" t="str">
        <f t="shared" si="24"/>
        <v/>
      </c>
      <c r="D828" s="23" t="str">
        <f>IF(Registro!$E828="","",IF(ISERROR(FIND("x",LOWER(Registro!$E828))),"-",IFERROR(SUMPRODUCT(--("0"&amp;LEFT(TRIM(MID(SUBSTITUTE(SUBSTITUTE(SUBSTITUTE(SUBSTITUTE(SUBSTITUTE(LOWER(Registro!$E828),"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",LEN(Registro!$E828))),({1,2,3,4,5,6,7,8,9,10,11,12,13,14,15,16,17,18,19,20,21,22,23,24,25,26,27,28,29,30}-1)*LEN(Registro!$E828)+1,LEN(Registro!$E828))),FIND("x",TRIM(MID(SUBSTITUTE(SUBSTITUTE(SUBSTITUTE(SUBSTITUTE(SUBSTITUTE(LOWER(Registro!$E828),"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",LEN(Registro!$E828))),({1,2,3,4,5,6,7,8,9,10,11,12,13,14,15,16,17,18,19,20,21,22,23,24,25,26,27,28,29,30}-1)*LEN(Registro!$E828)+1,LEN(Registro!$E828)))&amp;"x")-1))),"Revisar formato")))</f>
        <v/>
      </c>
      <c r="E828" s="24" t="str">
        <f>IF(Registro!$E828="","",IF(ISERROR(FIND("x",LOWER(Registro!$E828))),"-",IFERROR(SUMPRODUCT(--("0"&amp;LEFT(TRIM(MID(SUBSTITUTE(SUBSTITUTE(SUBSTITUTE(SUBSTITUTE(SUBSTITUTE(LOWER(Registro!$E828),"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",LEN(Registro!$E828))),({1,2,3,4,5,6,7,8,9,10,11,12,13,14,15,16,17,18,19,20,21,22,23,24,25,26,27,28,29,30}-1)*LEN(Registro!$E828)+1,LEN(Registro!$E828))),FIND("x",TRIM(MID(SUBSTITUTE(SUBSTITUTE(SUBSTITUTE(SUBSTITUTE(SUBSTITUTE(LOWER(Registro!$E828),"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",LEN(Registro!$E828))),({1,2,3,4,5,6,7,8,9,10,11,12,13,14,15,16,17,18,19,20,21,22,23,24,25,26,27,28,29,30}-1)*LEN(Registro!$E828)+1,LEN(Registro!$E828)))&amp;"x")-1)),--("0"&amp;MID(TRIM(MID(SUBSTITUTE(SUBSTITUTE(SUBSTITUTE(SUBSTITUTE(SUBSTITUTE(LOWER(Registro!$E828),"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",LEN(Registro!$E828))),({1,2,3,4,5,6,7,8,9,10,11,12,13,14,15,16,17,18,19,20,21,22,23,24,25,26,27,28,29,30}-1)*LEN(Registro!$E828)+1,LEN(Registro!$E828))),FIND("x",TRIM(MID(SUBSTITUTE(SUBSTITUTE(SUBSTITUTE(SUBSTITUTE(SUBSTITUTE(LOWER(Registro!$E828),"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",LEN(Registro!$E828))),({1,2,3,4,5,6,7,8,9,10,11,12,13,14,15,16,17,18,19,20,21,22,23,24,25,26,27,28,29,30}-1)*LEN(Registro!$E828)+1,LEN(Registro!$E828)))&amp;"x")+1,20))),"Revisar formato")))</f>
        <v/>
      </c>
      <c r="F828" s="23" t="str">
        <f>IF(Registro!$F828="","",IF(ISERROR(FIND("x",LOWER(Registro!$F828))),"-",IFERROR(SUMPRODUCT(--("0"&amp;LEFT(TRIM(MID(SUBSTITUTE(SUBSTITUTE(SUBSTITUTE(SUBSTITUTE(SUBSTITUTE(LOWER(Registro!$F828)," ",""),CHAR(10),"|"),";","|"),"+","|"),"|",REPT(" ",LEN(Registro!$F828))),({1,2,3,4,5,6,7,8,9,10,11,12,13,14,15,16,17,18,19,20,21,22,23,24,25,26,27,28,29,30}-1)*LEN(Registro!$F828)+1,LEN(Registro!$F828))),FIND("x",TRIM(MID(SUBSTITUTE(SUBSTITUTE(SUBSTITUTE(SUBSTITUTE(SUBSTITUTE(LOWER(Registro!$F828)," ",""),CHAR(10),"|"),";","|"),"+","|"),"|",REPT(" ",LEN(Registro!$F828))),({1,2,3,4,5,6,7,8,9,10,11,12,13,14,15,16,17,18,19,20,21,22,23,24,25,26,27,28,29,30}-1)*LEN(Registro!$F828)+1,LEN(Registro!$F828)))&amp;"x")-1))),"Revisar formato")))</f>
        <v/>
      </c>
      <c r="G828" s="24" t="str">
        <f>IF(Registro!$F828="","",IF(ISERROR(FIND("x",LOWER(Registro!$F828))),N(Registro!$G828),IFERROR(SUMPRODUCT(--("0"&amp;LEFT(TRIM(MID(SUBSTITUTE(SUBSTITUTE(SUBSTITUTE(SUBSTITUTE(SUBSTITUTE(LOWER(Registro!$F828)," ",""),CHAR(10),"|"),";","|"),"+","|"),"|",REPT(" ",LEN(Registro!$F828))),({1,2,3,4,5,6,7,8,9,10,11,12,13,14,15,16,17,18,19,20,21,22,23,24,25,26,27,28,29,30}-1)*LEN(Registro!$F828)+1,LEN(Registro!$F828))),FIND("x",TRIM(MID(SUBSTITUTE(SUBSTITUTE(SUBSTITUTE(SUBSTITUTE(SUBSTITUTE(LOWER(Registro!$F828)," ",""),CHAR(10),"|"),";","|"),"+","|"),"|",REPT(" ",LEN(Registro!$F828))),({1,2,3,4,5,6,7,8,9,10,11,12,13,14,15,16,17,18,19,20,21,22,23,24,25,26,27,28,29,30}-1)*LEN(Registro!$F828)+1,LEN(Registro!$F828)))&amp;"x")-1)),--("0"&amp;MID(TRIM(MID(SUBSTITUTE(SUBSTITUTE(SUBSTITUTE(SUBSTITUTE(SUBSTITUTE(LOWER(Registro!$F828)," ",""),CHAR(10),"|"),";","|"),"+","|"),"|",REPT(" ",LEN(Registro!$F828))),({1,2,3,4,5,6,7,8,9,10,11,12,13,14,15,16,17,18,19,20,21,22,23,24,25,26,27,28,29,30}-1)*LEN(Registro!$F828)+1,LEN(Registro!$F828))),FIND("x",TRIM(MID(SUBSTITUTE(SUBSTITUTE(SUBSTITUTE(SUBSTITUTE(SUBSTITUTE(LOWER(Registro!$F828)," ",""),CHAR(10),"|"),";","|"),"+","|"),"|",REPT(" ",LEN(Registro!$F828))),({1,2,3,4,5,6,7,8,9,10,11,12,13,14,15,16,17,18,19,20,21,22,23,24,25,26,27,28,29,30}-1)*LEN(Registro!$F828)+1,LEN(Registro!$F828)))&amp;"x")+1,20))),"Revisar formato")))</f>
        <v/>
      </c>
      <c r="H828" s="21" t="str">
        <f>IF(AND(Registro!$E828="",Registro!$F828=""),"",IF(NOT(AND(ISNUMBER(G828),ISNUMBER(Registro!$G828))),"",IF(G828&lt;Registro!$G828,"FALTA BOLETOS",IF(G828=Registro!$G828,"CONFORME","DIFERENCIA"))))</f>
        <v/>
      </c>
      <c r="I828" s="24" t="str">
        <f>IF(Registro!$H828="","",IFERROR(SUMPRODUCT(--("0"&amp;TRIM(RIGHT(SUBSTITUTE(TRIM(MID(SUBSTITUTE(SUBSTITUTE(Registro!$H828,";",CHAR(10)),CHAR(10),REPT(" ",LEN(Registro!$H828))),({1,2,3,4,5,6,7,8,9,10,11,12,13,14,15,16,17,18,19,20,21,22,23,24,25,26,27,28,29,30}-1)*LEN(Registro!$H828)+1,LEN(Registro!$H828)))," ",REPT(" ",50)),50)))),"Revisar formato"))</f>
        <v/>
      </c>
      <c r="J828" s="24" t="str">
        <f>IF(Registro!$I828="","",IFERROR(SUMPRODUCT(--("0"&amp;TRIM(RIGHT(SUBSTITUTE(TRIM(MID(SUBSTITUTE(SUBSTITUTE(Registro!$I828,";",CHAR(10)),CHAR(10),REPT(" ",LEN(Registro!$I828))),({1,2,3,4,5,6,7,8,9,10,11,12,13,14,15,16,17,18,19,20,21,22,23,24,25,26,27,28,29,30}-1)*LEN(Registro!$I828)+1,LEN(Registro!$I828)))," ",REPT(" ",50)),50)))),"Revisar formato"))</f>
        <v/>
      </c>
      <c r="K828" s="24" t="str">
        <f>IF(AND(Registro!$G828="",Registro!$H828=""),"",IF(AND(ISTEXT(I828),I828&lt;&gt;""),"Revisar formato",N(Registro!$G828)-N(I828)))</f>
        <v/>
      </c>
      <c r="L828" s="24" t="str">
        <f t="shared" si="25"/>
        <v/>
      </c>
      <c r="M828" s="36" t="str">
        <f>IF(AND(A828=Consulta!$B$3,C828=Consulta!$H$3),B828*10000+ROW(),"")</f>
        <v/>
      </c>
    </row>
    <row r="829" spans="1:13" x14ac:dyDescent="0.25">
      <c r="A829" s="21" t="str">
        <f>IF(Registro!$A829="","",Registro!$A829)</f>
        <v/>
      </c>
      <c r="B829" s="20" t="str">
        <f>IF(Registro!$B829="","",Registro!$B829)</f>
        <v/>
      </c>
      <c r="C829" s="35" t="str">
        <f t="shared" si="24"/>
        <v/>
      </c>
      <c r="D829" s="23" t="str">
        <f>IF(Registro!$E829="","",IF(ISERROR(FIND("x",LOWER(Registro!$E829))),"-",IFERROR(SUMPRODUCT(--("0"&amp;LEFT(TRIM(MID(SUBSTITUTE(SUBSTITUTE(SUBSTITUTE(SUBSTITUTE(SUBSTITUTE(LOWER(Registro!$E829),"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",LEN(Registro!$E829))),({1,2,3,4,5,6,7,8,9,10,11,12,13,14,15,16,17,18,19,20,21,22,23,24,25,26,27,28,29,30}-1)*LEN(Registro!$E829)+1,LEN(Registro!$E829))),FIND("x",TRIM(MID(SUBSTITUTE(SUBSTITUTE(SUBSTITUTE(SUBSTITUTE(SUBSTITUTE(LOWER(Registro!$E829),"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",LEN(Registro!$E829))),({1,2,3,4,5,6,7,8,9,10,11,12,13,14,15,16,17,18,19,20,21,22,23,24,25,26,27,28,29,30}-1)*LEN(Registro!$E829)+1,LEN(Registro!$E829)))&amp;"x")-1))),"Revisar formato")))</f>
        <v/>
      </c>
      <c r="E829" s="24" t="str">
        <f>IF(Registro!$E829="","",IF(ISERROR(FIND("x",LOWER(Registro!$E829))),"-",IFERROR(SUMPRODUCT(--("0"&amp;LEFT(TRIM(MID(SUBSTITUTE(SUBSTITUTE(SUBSTITUTE(SUBSTITUTE(SUBSTITUTE(LOWER(Registro!$E829),"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",LEN(Registro!$E829))),({1,2,3,4,5,6,7,8,9,10,11,12,13,14,15,16,17,18,19,20,21,22,23,24,25,26,27,28,29,30}-1)*LEN(Registro!$E829)+1,LEN(Registro!$E829))),FIND("x",TRIM(MID(SUBSTITUTE(SUBSTITUTE(SUBSTITUTE(SUBSTITUTE(SUBSTITUTE(LOWER(Registro!$E829),"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",LEN(Registro!$E829))),({1,2,3,4,5,6,7,8,9,10,11,12,13,14,15,16,17,18,19,20,21,22,23,24,25,26,27,28,29,30}-1)*LEN(Registro!$E829)+1,LEN(Registro!$E829)))&amp;"x")-1)),--("0"&amp;MID(TRIM(MID(SUBSTITUTE(SUBSTITUTE(SUBSTITUTE(SUBSTITUTE(SUBSTITUTE(LOWER(Registro!$E829),"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",LEN(Registro!$E829))),({1,2,3,4,5,6,7,8,9,10,11,12,13,14,15,16,17,18,19,20,21,22,23,24,25,26,27,28,29,30}-1)*LEN(Registro!$E829)+1,LEN(Registro!$E829))),FIND("x",TRIM(MID(SUBSTITUTE(SUBSTITUTE(SUBSTITUTE(SUBSTITUTE(SUBSTITUTE(LOWER(Registro!$E829),"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",LEN(Registro!$E829))),({1,2,3,4,5,6,7,8,9,10,11,12,13,14,15,16,17,18,19,20,21,22,23,24,25,26,27,28,29,30}-1)*LEN(Registro!$E829)+1,LEN(Registro!$E829)))&amp;"x")+1,20))),"Revisar formato")))</f>
        <v/>
      </c>
      <c r="F829" s="23" t="str">
        <f>IF(Registro!$F829="","",IF(ISERROR(FIND("x",LOWER(Registro!$F829))),"-",IFERROR(SUMPRODUCT(--("0"&amp;LEFT(TRIM(MID(SUBSTITUTE(SUBSTITUTE(SUBSTITUTE(SUBSTITUTE(SUBSTITUTE(LOWER(Registro!$F829)," ",""),CHAR(10),"|"),";","|"),"+","|"),"|",REPT(" ",LEN(Registro!$F829))),({1,2,3,4,5,6,7,8,9,10,11,12,13,14,15,16,17,18,19,20,21,22,23,24,25,26,27,28,29,30}-1)*LEN(Registro!$F829)+1,LEN(Registro!$F829))),FIND("x",TRIM(MID(SUBSTITUTE(SUBSTITUTE(SUBSTITUTE(SUBSTITUTE(SUBSTITUTE(LOWER(Registro!$F829)," ",""),CHAR(10),"|"),";","|"),"+","|"),"|",REPT(" ",LEN(Registro!$F829))),({1,2,3,4,5,6,7,8,9,10,11,12,13,14,15,16,17,18,19,20,21,22,23,24,25,26,27,28,29,30}-1)*LEN(Registro!$F829)+1,LEN(Registro!$F829)))&amp;"x")-1))),"Revisar formato")))</f>
        <v/>
      </c>
      <c r="G829" s="24" t="str">
        <f>IF(Registro!$F829="","",IF(ISERROR(FIND("x",LOWER(Registro!$F829))),N(Registro!$G829),IFERROR(SUMPRODUCT(--("0"&amp;LEFT(TRIM(MID(SUBSTITUTE(SUBSTITUTE(SUBSTITUTE(SUBSTITUTE(SUBSTITUTE(LOWER(Registro!$F829)," ",""),CHAR(10),"|"),";","|"),"+","|"),"|",REPT(" ",LEN(Registro!$F829))),({1,2,3,4,5,6,7,8,9,10,11,12,13,14,15,16,17,18,19,20,21,22,23,24,25,26,27,28,29,30}-1)*LEN(Registro!$F829)+1,LEN(Registro!$F829))),FIND("x",TRIM(MID(SUBSTITUTE(SUBSTITUTE(SUBSTITUTE(SUBSTITUTE(SUBSTITUTE(LOWER(Registro!$F829)," ",""),CHAR(10),"|"),";","|"),"+","|"),"|",REPT(" ",LEN(Registro!$F829))),({1,2,3,4,5,6,7,8,9,10,11,12,13,14,15,16,17,18,19,20,21,22,23,24,25,26,27,28,29,30}-1)*LEN(Registro!$F829)+1,LEN(Registro!$F829)))&amp;"x")-1)),--("0"&amp;MID(TRIM(MID(SUBSTITUTE(SUBSTITUTE(SUBSTITUTE(SUBSTITUTE(SUBSTITUTE(LOWER(Registro!$F829)," ",""),CHAR(10),"|"),";","|"),"+","|"),"|",REPT(" ",LEN(Registro!$F829))),({1,2,3,4,5,6,7,8,9,10,11,12,13,14,15,16,17,18,19,20,21,22,23,24,25,26,27,28,29,30}-1)*LEN(Registro!$F829)+1,LEN(Registro!$F829))),FIND("x",TRIM(MID(SUBSTITUTE(SUBSTITUTE(SUBSTITUTE(SUBSTITUTE(SUBSTITUTE(LOWER(Registro!$F829)," ",""),CHAR(10),"|"),";","|"),"+","|"),"|",REPT(" ",LEN(Registro!$F829))),({1,2,3,4,5,6,7,8,9,10,11,12,13,14,15,16,17,18,19,20,21,22,23,24,25,26,27,28,29,30}-1)*LEN(Registro!$F829)+1,LEN(Registro!$F829)))&amp;"x")+1,20))),"Revisar formato")))</f>
        <v/>
      </c>
      <c r="H829" s="21" t="str">
        <f>IF(AND(Registro!$E829="",Registro!$F829=""),"",IF(NOT(AND(ISNUMBER(G829),ISNUMBER(Registro!$G829))),"",IF(G829&lt;Registro!$G829,"FALTA BOLETOS",IF(G829=Registro!$G829,"CONFORME","DIFERENCIA"))))</f>
        <v/>
      </c>
      <c r="I829" s="24" t="str">
        <f>IF(Registro!$H829="","",IFERROR(SUMPRODUCT(--("0"&amp;TRIM(RIGHT(SUBSTITUTE(TRIM(MID(SUBSTITUTE(SUBSTITUTE(Registro!$H829,";",CHAR(10)),CHAR(10),REPT(" ",LEN(Registro!$H829))),({1,2,3,4,5,6,7,8,9,10,11,12,13,14,15,16,17,18,19,20,21,22,23,24,25,26,27,28,29,30}-1)*LEN(Registro!$H829)+1,LEN(Registro!$H829)))," ",REPT(" ",50)),50)))),"Revisar formato"))</f>
        <v/>
      </c>
      <c r="J829" s="24" t="str">
        <f>IF(Registro!$I829="","",IFERROR(SUMPRODUCT(--("0"&amp;TRIM(RIGHT(SUBSTITUTE(TRIM(MID(SUBSTITUTE(SUBSTITUTE(Registro!$I829,";",CHAR(10)),CHAR(10),REPT(" ",LEN(Registro!$I829))),({1,2,3,4,5,6,7,8,9,10,11,12,13,14,15,16,17,18,19,20,21,22,23,24,25,26,27,28,29,30}-1)*LEN(Registro!$I829)+1,LEN(Registro!$I829)))," ",REPT(" ",50)),50)))),"Revisar formato"))</f>
        <v/>
      </c>
      <c r="K829" s="24" t="str">
        <f>IF(AND(Registro!$G829="",Registro!$H829=""),"",IF(AND(ISTEXT(I829),I829&lt;&gt;""),"Revisar formato",N(Registro!$G829)-N(I829)))</f>
        <v/>
      </c>
      <c r="L829" s="24" t="str">
        <f t="shared" si="25"/>
        <v/>
      </c>
      <c r="M829" s="36" t="str">
        <f>IF(AND(A829=Consulta!$B$3,C829=Consulta!$H$3),B829*10000+ROW(),"")</f>
        <v/>
      </c>
    </row>
    <row r="830" spans="1:13" x14ac:dyDescent="0.25">
      <c r="A830" s="21" t="str">
        <f>IF(Registro!$A830="","",Registro!$A830)</f>
        <v/>
      </c>
      <c r="B830" s="20" t="str">
        <f>IF(Registro!$B830="","",Registro!$B830)</f>
        <v/>
      </c>
      <c r="C830" s="35" t="str">
        <f t="shared" si="24"/>
        <v/>
      </c>
      <c r="D830" s="23" t="str">
        <f>IF(Registro!$E830="","",IF(ISERROR(FIND("x",LOWER(Registro!$E830))),"-",IFERROR(SUMPRODUCT(--("0"&amp;LEFT(TRIM(MID(SUBSTITUTE(SUBSTITUTE(SUBSTITUTE(SUBSTITUTE(SUBSTITUTE(LOWER(Registro!$E830),"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",LEN(Registro!$E830))),({1,2,3,4,5,6,7,8,9,10,11,12,13,14,15,16,17,18,19,20,21,22,23,24,25,26,27,28,29,30}-1)*LEN(Registro!$E830)+1,LEN(Registro!$E830))),FIND("x",TRIM(MID(SUBSTITUTE(SUBSTITUTE(SUBSTITUTE(SUBSTITUTE(SUBSTITUTE(LOWER(Registro!$E830),"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",LEN(Registro!$E830))),({1,2,3,4,5,6,7,8,9,10,11,12,13,14,15,16,17,18,19,20,21,22,23,24,25,26,27,28,29,30}-1)*LEN(Registro!$E830)+1,LEN(Registro!$E830)))&amp;"x")-1))),"Revisar formato")))</f>
        <v/>
      </c>
      <c r="E830" s="24" t="str">
        <f>IF(Registro!$E830="","",IF(ISERROR(FIND("x",LOWER(Registro!$E830))),"-",IFERROR(SUMPRODUCT(--("0"&amp;LEFT(TRIM(MID(SUBSTITUTE(SUBSTITUTE(SUBSTITUTE(SUBSTITUTE(SUBSTITUTE(LOWER(Registro!$E830),"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",LEN(Registro!$E830))),({1,2,3,4,5,6,7,8,9,10,11,12,13,14,15,16,17,18,19,20,21,22,23,24,25,26,27,28,29,30}-1)*LEN(Registro!$E830)+1,LEN(Registro!$E830))),FIND("x",TRIM(MID(SUBSTITUTE(SUBSTITUTE(SUBSTITUTE(SUBSTITUTE(SUBSTITUTE(LOWER(Registro!$E830),"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",LEN(Registro!$E830))),({1,2,3,4,5,6,7,8,9,10,11,12,13,14,15,16,17,18,19,20,21,22,23,24,25,26,27,28,29,30}-1)*LEN(Registro!$E830)+1,LEN(Registro!$E830)))&amp;"x")-1)),--("0"&amp;MID(TRIM(MID(SUBSTITUTE(SUBSTITUTE(SUBSTITUTE(SUBSTITUTE(SUBSTITUTE(LOWER(Registro!$E830),"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",LEN(Registro!$E830))),({1,2,3,4,5,6,7,8,9,10,11,12,13,14,15,16,17,18,19,20,21,22,23,24,25,26,27,28,29,30}-1)*LEN(Registro!$E830)+1,LEN(Registro!$E830))),FIND("x",TRIM(MID(SUBSTITUTE(SUBSTITUTE(SUBSTITUTE(SUBSTITUTE(SUBSTITUTE(LOWER(Registro!$E830),"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",LEN(Registro!$E830))),({1,2,3,4,5,6,7,8,9,10,11,12,13,14,15,16,17,18,19,20,21,22,23,24,25,26,27,28,29,30}-1)*LEN(Registro!$E830)+1,LEN(Registro!$E830)))&amp;"x")+1,20))),"Revisar formato")))</f>
        <v/>
      </c>
      <c r="F830" s="23" t="str">
        <f>IF(Registro!$F830="","",IF(ISERROR(FIND("x",LOWER(Registro!$F830))),"-",IFERROR(SUMPRODUCT(--("0"&amp;LEFT(TRIM(MID(SUBSTITUTE(SUBSTITUTE(SUBSTITUTE(SUBSTITUTE(SUBSTITUTE(LOWER(Registro!$F830)," ",""),CHAR(10),"|"),";","|"),"+","|"),"|",REPT(" ",LEN(Registro!$F830))),({1,2,3,4,5,6,7,8,9,10,11,12,13,14,15,16,17,18,19,20,21,22,23,24,25,26,27,28,29,30}-1)*LEN(Registro!$F830)+1,LEN(Registro!$F830))),FIND("x",TRIM(MID(SUBSTITUTE(SUBSTITUTE(SUBSTITUTE(SUBSTITUTE(SUBSTITUTE(LOWER(Registro!$F830)," ",""),CHAR(10),"|"),";","|"),"+","|"),"|",REPT(" ",LEN(Registro!$F830))),({1,2,3,4,5,6,7,8,9,10,11,12,13,14,15,16,17,18,19,20,21,22,23,24,25,26,27,28,29,30}-1)*LEN(Registro!$F830)+1,LEN(Registro!$F830)))&amp;"x")-1))),"Revisar formato")))</f>
        <v/>
      </c>
      <c r="G830" s="24" t="str">
        <f>IF(Registro!$F830="","",IF(ISERROR(FIND("x",LOWER(Registro!$F830))),N(Registro!$G830),IFERROR(SUMPRODUCT(--("0"&amp;LEFT(TRIM(MID(SUBSTITUTE(SUBSTITUTE(SUBSTITUTE(SUBSTITUTE(SUBSTITUTE(LOWER(Registro!$F830)," ",""),CHAR(10),"|"),";","|"),"+","|"),"|",REPT(" ",LEN(Registro!$F830))),({1,2,3,4,5,6,7,8,9,10,11,12,13,14,15,16,17,18,19,20,21,22,23,24,25,26,27,28,29,30}-1)*LEN(Registro!$F830)+1,LEN(Registro!$F830))),FIND("x",TRIM(MID(SUBSTITUTE(SUBSTITUTE(SUBSTITUTE(SUBSTITUTE(SUBSTITUTE(LOWER(Registro!$F830)," ",""),CHAR(10),"|"),";","|"),"+","|"),"|",REPT(" ",LEN(Registro!$F830))),({1,2,3,4,5,6,7,8,9,10,11,12,13,14,15,16,17,18,19,20,21,22,23,24,25,26,27,28,29,30}-1)*LEN(Registro!$F830)+1,LEN(Registro!$F830)))&amp;"x")-1)),--("0"&amp;MID(TRIM(MID(SUBSTITUTE(SUBSTITUTE(SUBSTITUTE(SUBSTITUTE(SUBSTITUTE(LOWER(Registro!$F830)," ",""),CHAR(10),"|"),";","|"),"+","|"),"|",REPT(" ",LEN(Registro!$F830))),({1,2,3,4,5,6,7,8,9,10,11,12,13,14,15,16,17,18,19,20,21,22,23,24,25,26,27,28,29,30}-1)*LEN(Registro!$F830)+1,LEN(Registro!$F830))),FIND("x",TRIM(MID(SUBSTITUTE(SUBSTITUTE(SUBSTITUTE(SUBSTITUTE(SUBSTITUTE(LOWER(Registro!$F830)," ",""),CHAR(10),"|"),";","|"),"+","|"),"|",REPT(" ",LEN(Registro!$F830))),({1,2,3,4,5,6,7,8,9,10,11,12,13,14,15,16,17,18,19,20,21,22,23,24,25,26,27,28,29,30}-1)*LEN(Registro!$F830)+1,LEN(Registro!$F830)))&amp;"x")+1,20))),"Revisar formato")))</f>
        <v/>
      </c>
      <c r="H830" s="21" t="str">
        <f>IF(AND(Registro!$E830="",Registro!$F830=""),"",IF(NOT(AND(ISNUMBER(G830),ISNUMBER(Registro!$G830))),"",IF(G830&lt;Registro!$G830,"FALTA BOLETOS",IF(G830=Registro!$G830,"CONFORME","DIFERENCIA"))))</f>
        <v/>
      </c>
      <c r="I830" s="24" t="str">
        <f>IF(Registro!$H830="","",IFERROR(SUMPRODUCT(--("0"&amp;TRIM(RIGHT(SUBSTITUTE(TRIM(MID(SUBSTITUTE(SUBSTITUTE(Registro!$H830,";",CHAR(10)),CHAR(10),REPT(" ",LEN(Registro!$H830))),({1,2,3,4,5,6,7,8,9,10,11,12,13,14,15,16,17,18,19,20,21,22,23,24,25,26,27,28,29,30}-1)*LEN(Registro!$H830)+1,LEN(Registro!$H830)))," ",REPT(" ",50)),50)))),"Revisar formato"))</f>
        <v/>
      </c>
      <c r="J830" s="24" t="str">
        <f>IF(Registro!$I830="","",IFERROR(SUMPRODUCT(--("0"&amp;TRIM(RIGHT(SUBSTITUTE(TRIM(MID(SUBSTITUTE(SUBSTITUTE(Registro!$I830,";",CHAR(10)),CHAR(10),REPT(" ",LEN(Registro!$I830))),({1,2,3,4,5,6,7,8,9,10,11,12,13,14,15,16,17,18,19,20,21,22,23,24,25,26,27,28,29,30}-1)*LEN(Registro!$I830)+1,LEN(Registro!$I830)))," ",REPT(" ",50)),50)))),"Revisar formato"))</f>
        <v/>
      </c>
      <c r="K830" s="24" t="str">
        <f>IF(AND(Registro!$G830="",Registro!$H830=""),"",IF(AND(ISTEXT(I830),I830&lt;&gt;""),"Revisar formato",N(Registro!$G830)-N(I830)))</f>
        <v/>
      </c>
      <c r="L830" s="24" t="str">
        <f t="shared" si="25"/>
        <v/>
      </c>
      <c r="M830" s="36" t="str">
        <f>IF(AND(A830=Consulta!$B$3,C830=Consulta!$H$3),B830*10000+ROW(),"")</f>
        <v/>
      </c>
    </row>
    <row r="831" spans="1:13" x14ac:dyDescent="0.25">
      <c r="A831" s="21" t="str">
        <f>IF(Registro!$A831="","",Registro!$A831)</f>
        <v/>
      </c>
      <c r="B831" s="20" t="str">
        <f>IF(Registro!$B831="","",Registro!$B831)</f>
        <v/>
      </c>
      <c r="C831" s="35" t="str">
        <f t="shared" si="24"/>
        <v/>
      </c>
      <c r="D831" s="23" t="str">
        <f>IF(Registro!$E831="","",IF(ISERROR(FIND("x",LOWER(Registro!$E831))),"-",IFERROR(SUMPRODUCT(--("0"&amp;LEFT(TRIM(MID(SUBSTITUTE(SUBSTITUTE(SUBSTITUTE(SUBSTITUTE(SUBSTITUTE(LOWER(Registro!$E831),"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",LEN(Registro!$E831))),({1,2,3,4,5,6,7,8,9,10,11,12,13,14,15,16,17,18,19,20,21,22,23,24,25,26,27,28,29,30}-1)*LEN(Registro!$E831)+1,LEN(Registro!$E831))),FIND("x",TRIM(MID(SUBSTITUTE(SUBSTITUTE(SUBSTITUTE(SUBSTITUTE(SUBSTITUTE(LOWER(Registro!$E831),"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",LEN(Registro!$E831))),({1,2,3,4,5,6,7,8,9,10,11,12,13,14,15,16,17,18,19,20,21,22,23,24,25,26,27,28,29,30}-1)*LEN(Registro!$E831)+1,LEN(Registro!$E831)))&amp;"x")-1))),"Revisar formato")))</f>
        <v/>
      </c>
      <c r="E831" s="24" t="str">
        <f>IF(Registro!$E831="","",IF(ISERROR(FIND("x",LOWER(Registro!$E831))),"-",IFERROR(SUMPRODUCT(--("0"&amp;LEFT(TRIM(MID(SUBSTITUTE(SUBSTITUTE(SUBSTITUTE(SUBSTITUTE(SUBSTITUTE(LOWER(Registro!$E831),"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",LEN(Registro!$E831))),({1,2,3,4,5,6,7,8,9,10,11,12,13,14,15,16,17,18,19,20,21,22,23,24,25,26,27,28,29,30}-1)*LEN(Registro!$E831)+1,LEN(Registro!$E831))),FIND("x",TRIM(MID(SUBSTITUTE(SUBSTITUTE(SUBSTITUTE(SUBSTITUTE(SUBSTITUTE(LOWER(Registro!$E831),"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",LEN(Registro!$E831))),({1,2,3,4,5,6,7,8,9,10,11,12,13,14,15,16,17,18,19,20,21,22,23,24,25,26,27,28,29,30}-1)*LEN(Registro!$E831)+1,LEN(Registro!$E831)))&amp;"x")-1)),--("0"&amp;MID(TRIM(MID(SUBSTITUTE(SUBSTITUTE(SUBSTITUTE(SUBSTITUTE(SUBSTITUTE(LOWER(Registro!$E831),"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",LEN(Registro!$E831))),({1,2,3,4,5,6,7,8,9,10,11,12,13,14,15,16,17,18,19,20,21,22,23,24,25,26,27,28,29,30}-1)*LEN(Registro!$E831)+1,LEN(Registro!$E831))),FIND("x",TRIM(MID(SUBSTITUTE(SUBSTITUTE(SUBSTITUTE(SUBSTITUTE(SUBSTITUTE(LOWER(Registro!$E831),"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",LEN(Registro!$E831))),({1,2,3,4,5,6,7,8,9,10,11,12,13,14,15,16,17,18,19,20,21,22,23,24,25,26,27,28,29,30}-1)*LEN(Registro!$E831)+1,LEN(Registro!$E831)))&amp;"x")+1,20))),"Revisar formato")))</f>
        <v/>
      </c>
      <c r="F831" s="23" t="str">
        <f>IF(Registro!$F831="","",IF(ISERROR(FIND("x",LOWER(Registro!$F831))),"-",IFERROR(SUMPRODUCT(--("0"&amp;LEFT(TRIM(MID(SUBSTITUTE(SUBSTITUTE(SUBSTITUTE(SUBSTITUTE(SUBSTITUTE(LOWER(Registro!$F831)," ",""),CHAR(10),"|"),";","|"),"+","|"),"|",REPT(" ",LEN(Registro!$F831))),({1,2,3,4,5,6,7,8,9,10,11,12,13,14,15,16,17,18,19,20,21,22,23,24,25,26,27,28,29,30}-1)*LEN(Registro!$F831)+1,LEN(Registro!$F831))),FIND("x",TRIM(MID(SUBSTITUTE(SUBSTITUTE(SUBSTITUTE(SUBSTITUTE(SUBSTITUTE(LOWER(Registro!$F831)," ",""),CHAR(10),"|"),";","|"),"+","|"),"|",REPT(" ",LEN(Registro!$F831))),({1,2,3,4,5,6,7,8,9,10,11,12,13,14,15,16,17,18,19,20,21,22,23,24,25,26,27,28,29,30}-1)*LEN(Registro!$F831)+1,LEN(Registro!$F831)))&amp;"x")-1))),"Revisar formato")))</f>
        <v/>
      </c>
      <c r="G831" s="24" t="str">
        <f>IF(Registro!$F831="","",IF(ISERROR(FIND("x",LOWER(Registro!$F831))),N(Registro!$G831),IFERROR(SUMPRODUCT(--("0"&amp;LEFT(TRIM(MID(SUBSTITUTE(SUBSTITUTE(SUBSTITUTE(SUBSTITUTE(SUBSTITUTE(LOWER(Registro!$F831)," ",""),CHAR(10),"|"),";","|"),"+","|"),"|",REPT(" ",LEN(Registro!$F831))),({1,2,3,4,5,6,7,8,9,10,11,12,13,14,15,16,17,18,19,20,21,22,23,24,25,26,27,28,29,30}-1)*LEN(Registro!$F831)+1,LEN(Registro!$F831))),FIND("x",TRIM(MID(SUBSTITUTE(SUBSTITUTE(SUBSTITUTE(SUBSTITUTE(SUBSTITUTE(LOWER(Registro!$F831)," ",""),CHAR(10),"|"),";","|"),"+","|"),"|",REPT(" ",LEN(Registro!$F831))),({1,2,3,4,5,6,7,8,9,10,11,12,13,14,15,16,17,18,19,20,21,22,23,24,25,26,27,28,29,30}-1)*LEN(Registro!$F831)+1,LEN(Registro!$F831)))&amp;"x")-1)),--("0"&amp;MID(TRIM(MID(SUBSTITUTE(SUBSTITUTE(SUBSTITUTE(SUBSTITUTE(SUBSTITUTE(LOWER(Registro!$F831)," ",""),CHAR(10),"|"),";","|"),"+","|"),"|",REPT(" ",LEN(Registro!$F831))),({1,2,3,4,5,6,7,8,9,10,11,12,13,14,15,16,17,18,19,20,21,22,23,24,25,26,27,28,29,30}-1)*LEN(Registro!$F831)+1,LEN(Registro!$F831))),FIND("x",TRIM(MID(SUBSTITUTE(SUBSTITUTE(SUBSTITUTE(SUBSTITUTE(SUBSTITUTE(LOWER(Registro!$F831)," ",""),CHAR(10),"|"),";","|"),"+","|"),"|",REPT(" ",LEN(Registro!$F831))),({1,2,3,4,5,6,7,8,9,10,11,12,13,14,15,16,17,18,19,20,21,22,23,24,25,26,27,28,29,30}-1)*LEN(Registro!$F831)+1,LEN(Registro!$F831)))&amp;"x")+1,20))),"Revisar formato")))</f>
        <v/>
      </c>
      <c r="H831" s="21" t="str">
        <f>IF(AND(Registro!$E831="",Registro!$F831=""),"",IF(NOT(AND(ISNUMBER(G831),ISNUMBER(Registro!$G831))),"",IF(G831&lt;Registro!$G831,"FALTA BOLETOS",IF(G831=Registro!$G831,"CONFORME","DIFERENCIA"))))</f>
        <v/>
      </c>
      <c r="I831" s="24" t="str">
        <f>IF(Registro!$H831="","",IFERROR(SUMPRODUCT(--("0"&amp;TRIM(RIGHT(SUBSTITUTE(TRIM(MID(SUBSTITUTE(SUBSTITUTE(Registro!$H831,";",CHAR(10)),CHAR(10),REPT(" ",LEN(Registro!$H831))),({1,2,3,4,5,6,7,8,9,10,11,12,13,14,15,16,17,18,19,20,21,22,23,24,25,26,27,28,29,30}-1)*LEN(Registro!$H831)+1,LEN(Registro!$H831)))," ",REPT(" ",50)),50)))),"Revisar formato"))</f>
        <v/>
      </c>
      <c r="J831" s="24" t="str">
        <f>IF(Registro!$I831="","",IFERROR(SUMPRODUCT(--("0"&amp;TRIM(RIGHT(SUBSTITUTE(TRIM(MID(SUBSTITUTE(SUBSTITUTE(Registro!$I831,";",CHAR(10)),CHAR(10),REPT(" ",LEN(Registro!$I831))),({1,2,3,4,5,6,7,8,9,10,11,12,13,14,15,16,17,18,19,20,21,22,23,24,25,26,27,28,29,30}-1)*LEN(Registro!$I831)+1,LEN(Registro!$I831)))," ",REPT(" ",50)),50)))),"Revisar formato"))</f>
        <v/>
      </c>
      <c r="K831" s="24" t="str">
        <f>IF(AND(Registro!$G831="",Registro!$H831=""),"",IF(AND(ISTEXT(I831),I831&lt;&gt;""),"Revisar formato",N(Registro!$G831)-N(I831)))</f>
        <v/>
      </c>
      <c r="L831" s="24" t="str">
        <f t="shared" si="25"/>
        <v/>
      </c>
      <c r="M831" s="36" t="str">
        <f>IF(AND(A831=Consulta!$B$3,C831=Consulta!$H$3),B831*10000+ROW(),"")</f>
        <v/>
      </c>
    </row>
    <row r="832" spans="1:13" x14ac:dyDescent="0.25">
      <c r="A832" s="21" t="str">
        <f>IF(Registro!$A832="","",Registro!$A832)</f>
        <v/>
      </c>
      <c r="B832" s="20" t="str">
        <f>IF(Registro!$B832="","",Registro!$B832)</f>
        <v/>
      </c>
      <c r="C832" s="35" t="str">
        <f t="shared" si="24"/>
        <v/>
      </c>
      <c r="D832" s="23" t="str">
        <f>IF(Registro!$E832="","",IF(ISERROR(FIND("x",LOWER(Registro!$E832))),"-",IFERROR(SUMPRODUCT(--("0"&amp;LEFT(TRIM(MID(SUBSTITUTE(SUBSTITUTE(SUBSTITUTE(SUBSTITUTE(SUBSTITUTE(LOWER(Registro!$E832),"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",LEN(Registro!$E832))),({1,2,3,4,5,6,7,8,9,10,11,12,13,14,15,16,17,18,19,20,21,22,23,24,25,26,27,28,29,30}-1)*LEN(Registro!$E832)+1,LEN(Registro!$E832))),FIND("x",TRIM(MID(SUBSTITUTE(SUBSTITUTE(SUBSTITUTE(SUBSTITUTE(SUBSTITUTE(LOWER(Registro!$E832),"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",LEN(Registro!$E832))),({1,2,3,4,5,6,7,8,9,10,11,12,13,14,15,16,17,18,19,20,21,22,23,24,25,26,27,28,29,30}-1)*LEN(Registro!$E832)+1,LEN(Registro!$E832)))&amp;"x")-1))),"Revisar formato")))</f>
        <v/>
      </c>
      <c r="E832" s="24" t="str">
        <f>IF(Registro!$E832="","",IF(ISERROR(FIND("x",LOWER(Registro!$E832))),"-",IFERROR(SUMPRODUCT(--("0"&amp;LEFT(TRIM(MID(SUBSTITUTE(SUBSTITUTE(SUBSTITUTE(SUBSTITUTE(SUBSTITUTE(LOWER(Registro!$E832),"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",LEN(Registro!$E832))),({1,2,3,4,5,6,7,8,9,10,11,12,13,14,15,16,17,18,19,20,21,22,23,24,25,26,27,28,29,30}-1)*LEN(Registro!$E832)+1,LEN(Registro!$E832))),FIND("x",TRIM(MID(SUBSTITUTE(SUBSTITUTE(SUBSTITUTE(SUBSTITUTE(SUBSTITUTE(LOWER(Registro!$E832),"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",LEN(Registro!$E832))),({1,2,3,4,5,6,7,8,9,10,11,12,13,14,15,16,17,18,19,20,21,22,23,24,25,26,27,28,29,30}-1)*LEN(Registro!$E832)+1,LEN(Registro!$E832)))&amp;"x")-1)),--("0"&amp;MID(TRIM(MID(SUBSTITUTE(SUBSTITUTE(SUBSTITUTE(SUBSTITUTE(SUBSTITUTE(LOWER(Registro!$E832),"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",LEN(Registro!$E832))),({1,2,3,4,5,6,7,8,9,10,11,12,13,14,15,16,17,18,19,20,21,22,23,24,25,26,27,28,29,30}-1)*LEN(Registro!$E832)+1,LEN(Registro!$E832))),FIND("x",TRIM(MID(SUBSTITUTE(SUBSTITUTE(SUBSTITUTE(SUBSTITUTE(SUBSTITUTE(LOWER(Registro!$E832),"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",LEN(Registro!$E832))),({1,2,3,4,5,6,7,8,9,10,11,12,13,14,15,16,17,18,19,20,21,22,23,24,25,26,27,28,29,30}-1)*LEN(Registro!$E832)+1,LEN(Registro!$E832)))&amp;"x")+1,20))),"Revisar formato")))</f>
        <v/>
      </c>
      <c r="F832" s="23" t="str">
        <f>IF(Registro!$F832="","",IF(ISERROR(FIND("x",LOWER(Registro!$F832))),"-",IFERROR(SUMPRODUCT(--("0"&amp;LEFT(TRIM(MID(SUBSTITUTE(SUBSTITUTE(SUBSTITUTE(SUBSTITUTE(SUBSTITUTE(LOWER(Registro!$F832)," ",""),CHAR(10),"|"),";","|"),"+","|"),"|",REPT(" ",LEN(Registro!$F832))),({1,2,3,4,5,6,7,8,9,10,11,12,13,14,15,16,17,18,19,20,21,22,23,24,25,26,27,28,29,30}-1)*LEN(Registro!$F832)+1,LEN(Registro!$F832))),FIND("x",TRIM(MID(SUBSTITUTE(SUBSTITUTE(SUBSTITUTE(SUBSTITUTE(SUBSTITUTE(LOWER(Registro!$F832)," ",""),CHAR(10),"|"),";","|"),"+","|"),"|",REPT(" ",LEN(Registro!$F832))),({1,2,3,4,5,6,7,8,9,10,11,12,13,14,15,16,17,18,19,20,21,22,23,24,25,26,27,28,29,30}-1)*LEN(Registro!$F832)+1,LEN(Registro!$F832)))&amp;"x")-1))),"Revisar formato")))</f>
        <v/>
      </c>
      <c r="G832" s="24" t="str">
        <f>IF(Registro!$F832="","",IF(ISERROR(FIND("x",LOWER(Registro!$F832))),N(Registro!$G832),IFERROR(SUMPRODUCT(--("0"&amp;LEFT(TRIM(MID(SUBSTITUTE(SUBSTITUTE(SUBSTITUTE(SUBSTITUTE(SUBSTITUTE(LOWER(Registro!$F832)," ",""),CHAR(10),"|"),";","|"),"+","|"),"|",REPT(" ",LEN(Registro!$F832))),({1,2,3,4,5,6,7,8,9,10,11,12,13,14,15,16,17,18,19,20,21,22,23,24,25,26,27,28,29,30}-1)*LEN(Registro!$F832)+1,LEN(Registro!$F832))),FIND("x",TRIM(MID(SUBSTITUTE(SUBSTITUTE(SUBSTITUTE(SUBSTITUTE(SUBSTITUTE(LOWER(Registro!$F832)," ",""),CHAR(10),"|"),";","|"),"+","|"),"|",REPT(" ",LEN(Registro!$F832))),({1,2,3,4,5,6,7,8,9,10,11,12,13,14,15,16,17,18,19,20,21,22,23,24,25,26,27,28,29,30}-1)*LEN(Registro!$F832)+1,LEN(Registro!$F832)))&amp;"x")-1)),--("0"&amp;MID(TRIM(MID(SUBSTITUTE(SUBSTITUTE(SUBSTITUTE(SUBSTITUTE(SUBSTITUTE(LOWER(Registro!$F832)," ",""),CHAR(10),"|"),";","|"),"+","|"),"|",REPT(" ",LEN(Registro!$F832))),({1,2,3,4,5,6,7,8,9,10,11,12,13,14,15,16,17,18,19,20,21,22,23,24,25,26,27,28,29,30}-1)*LEN(Registro!$F832)+1,LEN(Registro!$F832))),FIND("x",TRIM(MID(SUBSTITUTE(SUBSTITUTE(SUBSTITUTE(SUBSTITUTE(SUBSTITUTE(LOWER(Registro!$F832)," ",""),CHAR(10),"|"),";","|"),"+","|"),"|",REPT(" ",LEN(Registro!$F832))),({1,2,3,4,5,6,7,8,9,10,11,12,13,14,15,16,17,18,19,20,21,22,23,24,25,26,27,28,29,30}-1)*LEN(Registro!$F832)+1,LEN(Registro!$F832)))&amp;"x")+1,20))),"Revisar formato")))</f>
        <v/>
      </c>
      <c r="H832" s="21" t="str">
        <f>IF(AND(Registro!$E832="",Registro!$F832=""),"",IF(NOT(AND(ISNUMBER(G832),ISNUMBER(Registro!$G832))),"",IF(G832&lt;Registro!$G832,"FALTA BOLETOS",IF(G832=Registro!$G832,"CONFORME","DIFERENCIA"))))</f>
        <v/>
      </c>
      <c r="I832" s="24" t="str">
        <f>IF(Registro!$H832="","",IFERROR(SUMPRODUCT(--("0"&amp;TRIM(RIGHT(SUBSTITUTE(TRIM(MID(SUBSTITUTE(SUBSTITUTE(Registro!$H832,";",CHAR(10)),CHAR(10),REPT(" ",LEN(Registro!$H832))),({1,2,3,4,5,6,7,8,9,10,11,12,13,14,15,16,17,18,19,20,21,22,23,24,25,26,27,28,29,30}-1)*LEN(Registro!$H832)+1,LEN(Registro!$H832)))," ",REPT(" ",50)),50)))),"Revisar formato"))</f>
        <v/>
      </c>
      <c r="J832" s="24" t="str">
        <f>IF(Registro!$I832="","",IFERROR(SUMPRODUCT(--("0"&amp;TRIM(RIGHT(SUBSTITUTE(TRIM(MID(SUBSTITUTE(SUBSTITUTE(Registro!$I832,";",CHAR(10)),CHAR(10),REPT(" ",LEN(Registro!$I832))),({1,2,3,4,5,6,7,8,9,10,11,12,13,14,15,16,17,18,19,20,21,22,23,24,25,26,27,28,29,30}-1)*LEN(Registro!$I832)+1,LEN(Registro!$I832)))," ",REPT(" ",50)),50)))),"Revisar formato"))</f>
        <v/>
      </c>
      <c r="K832" s="24" t="str">
        <f>IF(AND(Registro!$G832="",Registro!$H832=""),"",IF(AND(ISTEXT(I832),I832&lt;&gt;""),"Revisar formato",N(Registro!$G832)-N(I832)))</f>
        <v/>
      </c>
      <c r="L832" s="24" t="str">
        <f t="shared" si="25"/>
        <v/>
      </c>
      <c r="M832" s="36" t="str">
        <f>IF(AND(A832=Consulta!$B$3,C832=Consulta!$H$3),B832*10000+ROW(),"")</f>
        <v/>
      </c>
    </row>
    <row r="833" spans="1:13" x14ac:dyDescent="0.25">
      <c r="A833" s="21" t="str">
        <f>IF(Registro!$A833="","",Registro!$A833)</f>
        <v/>
      </c>
      <c r="B833" s="20" t="str">
        <f>IF(Registro!$B833="","",Registro!$B833)</f>
        <v/>
      </c>
      <c r="C833" s="35" t="str">
        <f t="shared" si="24"/>
        <v/>
      </c>
      <c r="D833" s="23" t="str">
        <f>IF(Registro!$E833="","",IF(ISERROR(FIND("x",LOWER(Registro!$E833))),"-",IFERROR(SUMPRODUCT(--("0"&amp;LEFT(TRIM(MID(SUBSTITUTE(SUBSTITUTE(SUBSTITUTE(SUBSTITUTE(SUBSTITUTE(LOWER(Registro!$E833),"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",LEN(Registro!$E833))),({1,2,3,4,5,6,7,8,9,10,11,12,13,14,15,16,17,18,19,20,21,22,23,24,25,26,27,28,29,30}-1)*LEN(Registro!$E833)+1,LEN(Registro!$E833))),FIND("x",TRIM(MID(SUBSTITUTE(SUBSTITUTE(SUBSTITUTE(SUBSTITUTE(SUBSTITUTE(LOWER(Registro!$E833),"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",LEN(Registro!$E833))),({1,2,3,4,5,6,7,8,9,10,11,12,13,14,15,16,17,18,19,20,21,22,23,24,25,26,27,28,29,30}-1)*LEN(Registro!$E833)+1,LEN(Registro!$E833)))&amp;"x")-1))),"Revisar formato")))</f>
        <v/>
      </c>
      <c r="E833" s="24" t="str">
        <f>IF(Registro!$E833="","",IF(ISERROR(FIND("x",LOWER(Registro!$E833))),"-",IFERROR(SUMPRODUCT(--("0"&amp;LEFT(TRIM(MID(SUBSTITUTE(SUBSTITUTE(SUBSTITUTE(SUBSTITUTE(SUBSTITUTE(LOWER(Registro!$E833),"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",LEN(Registro!$E833))),({1,2,3,4,5,6,7,8,9,10,11,12,13,14,15,16,17,18,19,20,21,22,23,24,25,26,27,28,29,30}-1)*LEN(Registro!$E833)+1,LEN(Registro!$E833))),FIND("x",TRIM(MID(SUBSTITUTE(SUBSTITUTE(SUBSTITUTE(SUBSTITUTE(SUBSTITUTE(LOWER(Registro!$E833),"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",LEN(Registro!$E833))),({1,2,3,4,5,6,7,8,9,10,11,12,13,14,15,16,17,18,19,20,21,22,23,24,25,26,27,28,29,30}-1)*LEN(Registro!$E833)+1,LEN(Registro!$E833)))&amp;"x")-1)),--("0"&amp;MID(TRIM(MID(SUBSTITUTE(SUBSTITUTE(SUBSTITUTE(SUBSTITUTE(SUBSTITUTE(LOWER(Registro!$E833),"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",LEN(Registro!$E833))),({1,2,3,4,5,6,7,8,9,10,11,12,13,14,15,16,17,18,19,20,21,22,23,24,25,26,27,28,29,30}-1)*LEN(Registro!$E833)+1,LEN(Registro!$E833))),FIND("x",TRIM(MID(SUBSTITUTE(SUBSTITUTE(SUBSTITUTE(SUBSTITUTE(SUBSTITUTE(LOWER(Registro!$E833),"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",LEN(Registro!$E833))),({1,2,3,4,5,6,7,8,9,10,11,12,13,14,15,16,17,18,19,20,21,22,23,24,25,26,27,28,29,30}-1)*LEN(Registro!$E833)+1,LEN(Registro!$E833)))&amp;"x")+1,20))),"Revisar formato")))</f>
        <v/>
      </c>
      <c r="F833" s="23" t="str">
        <f>IF(Registro!$F833="","",IF(ISERROR(FIND("x",LOWER(Registro!$F833))),"-",IFERROR(SUMPRODUCT(--("0"&amp;LEFT(TRIM(MID(SUBSTITUTE(SUBSTITUTE(SUBSTITUTE(SUBSTITUTE(SUBSTITUTE(LOWER(Registro!$F833)," ",""),CHAR(10),"|"),";","|"),"+","|"),"|",REPT(" ",LEN(Registro!$F833))),({1,2,3,4,5,6,7,8,9,10,11,12,13,14,15,16,17,18,19,20,21,22,23,24,25,26,27,28,29,30}-1)*LEN(Registro!$F833)+1,LEN(Registro!$F833))),FIND("x",TRIM(MID(SUBSTITUTE(SUBSTITUTE(SUBSTITUTE(SUBSTITUTE(SUBSTITUTE(LOWER(Registro!$F833)," ",""),CHAR(10),"|"),";","|"),"+","|"),"|",REPT(" ",LEN(Registro!$F833))),({1,2,3,4,5,6,7,8,9,10,11,12,13,14,15,16,17,18,19,20,21,22,23,24,25,26,27,28,29,30}-1)*LEN(Registro!$F833)+1,LEN(Registro!$F833)))&amp;"x")-1))),"Revisar formato")))</f>
        <v/>
      </c>
      <c r="G833" s="24" t="str">
        <f>IF(Registro!$F833="","",IF(ISERROR(FIND("x",LOWER(Registro!$F833))),N(Registro!$G833),IFERROR(SUMPRODUCT(--("0"&amp;LEFT(TRIM(MID(SUBSTITUTE(SUBSTITUTE(SUBSTITUTE(SUBSTITUTE(SUBSTITUTE(LOWER(Registro!$F833)," ",""),CHAR(10),"|"),";","|"),"+","|"),"|",REPT(" ",LEN(Registro!$F833))),({1,2,3,4,5,6,7,8,9,10,11,12,13,14,15,16,17,18,19,20,21,22,23,24,25,26,27,28,29,30}-1)*LEN(Registro!$F833)+1,LEN(Registro!$F833))),FIND("x",TRIM(MID(SUBSTITUTE(SUBSTITUTE(SUBSTITUTE(SUBSTITUTE(SUBSTITUTE(LOWER(Registro!$F833)," ",""),CHAR(10),"|"),";","|"),"+","|"),"|",REPT(" ",LEN(Registro!$F833))),({1,2,3,4,5,6,7,8,9,10,11,12,13,14,15,16,17,18,19,20,21,22,23,24,25,26,27,28,29,30}-1)*LEN(Registro!$F833)+1,LEN(Registro!$F833)))&amp;"x")-1)),--("0"&amp;MID(TRIM(MID(SUBSTITUTE(SUBSTITUTE(SUBSTITUTE(SUBSTITUTE(SUBSTITUTE(LOWER(Registro!$F833)," ",""),CHAR(10),"|"),";","|"),"+","|"),"|",REPT(" ",LEN(Registro!$F833))),({1,2,3,4,5,6,7,8,9,10,11,12,13,14,15,16,17,18,19,20,21,22,23,24,25,26,27,28,29,30}-1)*LEN(Registro!$F833)+1,LEN(Registro!$F833))),FIND("x",TRIM(MID(SUBSTITUTE(SUBSTITUTE(SUBSTITUTE(SUBSTITUTE(SUBSTITUTE(LOWER(Registro!$F833)," ",""),CHAR(10),"|"),";","|"),"+","|"),"|",REPT(" ",LEN(Registro!$F833))),({1,2,3,4,5,6,7,8,9,10,11,12,13,14,15,16,17,18,19,20,21,22,23,24,25,26,27,28,29,30}-1)*LEN(Registro!$F833)+1,LEN(Registro!$F833)))&amp;"x")+1,20))),"Revisar formato")))</f>
        <v/>
      </c>
      <c r="H833" s="21" t="str">
        <f>IF(AND(Registro!$E833="",Registro!$F833=""),"",IF(NOT(AND(ISNUMBER(G833),ISNUMBER(Registro!$G833))),"",IF(G833&lt;Registro!$G833,"FALTA BOLETOS",IF(G833=Registro!$G833,"CONFORME","DIFERENCIA"))))</f>
        <v/>
      </c>
      <c r="I833" s="24" t="str">
        <f>IF(Registro!$H833="","",IFERROR(SUMPRODUCT(--("0"&amp;TRIM(RIGHT(SUBSTITUTE(TRIM(MID(SUBSTITUTE(SUBSTITUTE(Registro!$H833,";",CHAR(10)),CHAR(10),REPT(" ",LEN(Registro!$H833))),({1,2,3,4,5,6,7,8,9,10,11,12,13,14,15,16,17,18,19,20,21,22,23,24,25,26,27,28,29,30}-1)*LEN(Registro!$H833)+1,LEN(Registro!$H833)))," ",REPT(" ",50)),50)))),"Revisar formato"))</f>
        <v/>
      </c>
      <c r="J833" s="24" t="str">
        <f>IF(Registro!$I833="","",IFERROR(SUMPRODUCT(--("0"&amp;TRIM(RIGHT(SUBSTITUTE(TRIM(MID(SUBSTITUTE(SUBSTITUTE(Registro!$I833,";",CHAR(10)),CHAR(10),REPT(" ",LEN(Registro!$I833))),({1,2,3,4,5,6,7,8,9,10,11,12,13,14,15,16,17,18,19,20,21,22,23,24,25,26,27,28,29,30}-1)*LEN(Registro!$I833)+1,LEN(Registro!$I833)))," ",REPT(" ",50)),50)))),"Revisar formato"))</f>
        <v/>
      </c>
      <c r="K833" s="24" t="str">
        <f>IF(AND(Registro!$G833="",Registro!$H833=""),"",IF(AND(ISTEXT(I833),I833&lt;&gt;""),"Revisar formato",N(Registro!$G833)-N(I833)))</f>
        <v/>
      </c>
      <c r="L833" s="24" t="str">
        <f t="shared" si="25"/>
        <v/>
      </c>
      <c r="M833" s="36" t="str">
        <f>IF(AND(A833=Consulta!$B$3,C833=Consulta!$H$3),B833*10000+ROW(),"")</f>
        <v/>
      </c>
    </row>
    <row r="834" spans="1:13" x14ac:dyDescent="0.25">
      <c r="A834" s="21" t="str">
        <f>IF(Registro!$A834="","",Registro!$A834)</f>
        <v/>
      </c>
      <c r="B834" s="20" t="str">
        <f>IF(Registro!$B834="","",Registro!$B834)</f>
        <v/>
      </c>
      <c r="C834" s="35" t="str">
        <f t="shared" ref="C834:C897" si="26">IF(ISNUMBER(B834),YEAR(B834)*100+MONTH(B834),"")</f>
        <v/>
      </c>
      <c r="D834" s="23" t="str">
        <f>IF(Registro!$E834="","",IF(ISERROR(FIND("x",LOWER(Registro!$E834))),"-",IFERROR(SUMPRODUCT(--("0"&amp;LEFT(TRIM(MID(SUBSTITUTE(SUBSTITUTE(SUBSTITUTE(SUBSTITUTE(SUBSTITUTE(LOWER(Registro!$E834),"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",LEN(Registro!$E834))),({1,2,3,4,5,6,7,8,9,10,11,12,13,14,15,16,17,18,19,20,21,22,23,24,25,26,27,28,29,30}-1)*LEN(Registro!$E834)+1,LEN(Registro!$E834))),FIND("x",TRIM(MID(SUBSTITUTE(SUBSTITUTE(SUBSTITUTE(SUBSTITUTE(SUBSTITUTE(LOWER(Registro!$E834),"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",LEN(Registro!$E834))),({1,2,3,4,5,6,7,8,9,10,11,12,13,14,15,16,17,18,19,20,21,22,23,24,25,26,27,28,29,30}-1)*LEN(Registro!$E834)+1,LEN(Registro!$E834)))&amp;"x")-1))),"Revisar formato")))</f>
        <v/>
      </c>
      <c r="E834" s="24" t="str">
        <f>IF(Registro!$E834="","",IF(ISERROR(FIND("x",LOWER(Registro!$E834))),"-",IFERROR(SUMPRODUCT(--("0"&amp;LEFT(TRIM(MID(SUBSTITUTE(SUBSTITUTE(SUBSTITUTE(SUBSTITUTE(SUBSTITUTE(LOWER(Registro!$E834),"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",LEN(Registro!$E834))),({1,2,3,4,5,6,7,8,9,10,11,12,13,14,15,16,17,18,19,20,21,22,23,24,25,26,27,28,29,30}-1)*LEN(Registro!$E834)+1,LEN(Registro!$E834))),FIND("x",TRIM(MID(SUBSTITUTE(SUBSTITUTE(SUBSTITUTE(SUBSTITUTE(SUBSTITUTE(LOWER(Registro!$E834),"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",LEN(Registro!$E834))),({1,2,3,4,5,6,7,8,9,10,11,12,13,14,15,16,17,18,19,20,21,22,23,24,25,26,27,28,29,30}-1)*LEN(Registro!$E834)+1,LEN(Registro!$E834)))&amp;"x")-1)),--("0"&amp;MID(TRIM(MID(SUBSTITUTE(SUBSTITUTE(SUBSTITUTE(SUBSTITUTE(SUBSTITUTE(LOWER(Registro!$E834),"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",LEN(Registro!$E834))),({1,2,3,4,5,6,7,8,9,10,11,12,13,14,15,16,17,18,19,20,21,22,23,24,25,26,27,28,29,30}-1)*LEN(Registro!$E834)+1,LEN(Registro!$E834))),FIND("x",TRIM(MID(SUBSTITUTE(SUBSTITUTE(SUBSTITUTE(SUBSTITUTE(SUBSTITUTE(LOWER(Registro!$E834),"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",LEN(Registro!$E834))),({1,2,3,4,5,6,7,8,9,10,11,12,13,14,15,16,17,18,19,20,21,22,23,24,25,26,27,28,29,30}-1)*LEN(Registro!$E834)+1,LEN(Registro!$E834)))&amp;"x")+1,20))),"Revisar formato")))</f>
        <v/>
      </c>
      <c r="F834" s="23" t="str">
        <f>IF(Registro!$F834="","",IF(ISERROR(FIND("x",LOWER(Registro!$F834))),"-",IFERROR(SUMPRODUCT(--("0"&amp;LEFT(TRIM(MID(SUBSTITUTE(SUBSTITUTE(SUBSTITUTE(SUBSTITUTE(SUBSTITUTE(LOWER(Registro!$F834)," ",""),CHAR(10),"|"),";","|"),"+","|"),"|",REPT(" ",LEN(Registro!$F834))),({1,2,3,4,5,6,7,8,9,10,11,12,13,14,15,16,17,18,19,20,21,22,23,24,25,26,27,28,29,30}-1)*LEN(Registro!$F834)+1,LEN(Registro!$F834))),FIND("x",TRIM(MID(SUBSTITUTE(SUBSTITUTE(SUBSTITUTE(SUBSTITUTE(SUBSTITUTE(LOWER(Registro!$F834)," ",""),CHAR(10),"|"),";","|"),"+","|"),"|",REPT(" ",LEN(Registro!$F834))),({1,2,3,4,5,6,7,8,9,10,11,12,13,14,15,16,17,18,19,20,21,22,23,24,25,26,27,28,29,30}-1)*LEN(Registro!$F834)+1,LEN(Registro!$F834)))&amp;"x")-1))),"Revisar formato")))</f>
        <v/>
      </c>
      <c r="G834" s="24" t="str">
        <f>IF(Registro!$F834="","",IF(ISERROR(FIND("x",LOWER(Registro!$F834))),N(Registro!$G834),IFERROR(SUMPRODUCT(--("0"&amp;LEFT(TRIM(MID(SUBSTITUTE(SUBSTITUTE(SUBSTITUTE(SUBSTITUTE(SUBSTITUTE(LOWER(Registro!$F834)," ",""),CHAR(10),"|"),";","|"),"+","|"),"|",REPT(" ",LEN(Registro!$F834))),({1,2,3,4,5,6,7,8,9,10,11,12,13,14,15,16,17,18,19,20,21,22,23,24,25,26,27,28,29,30}-1)*LEN(Registro!$F834)+1,LEN(Registro!$F834))),FIND("x",TRIM(MID(SUBSTITUTE(SUBSTITUTE(SUBSTITUTE(SUBSTITUTE(SUBSTITUTE(LOWER(Registro!$F834)," ",""),CHAR(10),"|"),";","|"),"+","|"),"|",REPT(" ",LEN(Registro!$F834))),({1,2,3,4,5,6,7,8,9,10,11,12,13,14,15,16,17,18,19,20,21,22,23,24,25,26,27,28,29,30}-1)*LEN(Registro!$F834)+1,LEN(Registro!$F834)))&amp;"x")-1)),--("0"&amp;MID(TRIM(MID(SUBSTITUTE(SUBSTITUTE(SUBSTITUTE(SUBSTITUTE(SUBSTITUTE(LOWER(Registro!$F834)," ",""),CHAR(10),"|"),";","|"),"+","|"),"|",REPT(" ",LEN(Registro!$F834))),({1,2,3,4,5,6,7,8,9,10,11,12,13,14,15,16,17,18,19,20,21,22,23,24,25,26,27,28,29,30}-1)*LEN(Registro!$F834)+1,LEN(Registro!$F834))),FIND("x",TRIM(MID(SUBSTITUTE(SUBSTITUTE(SUBSTITUTE(SUBSTITUTE(SUBSTITUTE(LOWER(Registro!$F834)," ",""),CHAR(10),"|"),";","|"),"+","|"),"|",REPT(" ",LEN(Registro!$F834))),({1,2,3,4,5,6,7,8,9,10,11,12,13,14,15,16,17,18,19,20,21,22,23,24,25,26,27,28,29,30}-1)*LEN(Registro!$F834)+1,LEN(Registro!$F834)))&amp;"x")+1,20))),"Revisar formato")))</f>
        <v/>
      </c>
      <c r="H834" s="21" t="str">
        <f>IF(AND(Registro!$E834="",Registro!$F834=""),"",IF(NOT(AND(ISNUMBER(G834),ISNUMBER(Registro!$G834))),"",IF(G834&lt;Registro!$G834,"FALTA BOLETOS",IF(G834=Registro!$G834,"CONFORME","DIFERENCIA"))))</f>
        <v/>
      </c>
      <c r="I834" s="24" t="str">
        <f>IF(Registro!$H834="","",IFERROR(SUMPRODUCT(--("0"&amp;TRIM(RIGHT(SUBSTITUTE(TRIM(MID(SUBSTITUTE(SUBSTITUTE(Registro!$H834,";",CHAR(10)),CHAR(10),REPT(" ",LEN(Registro!$H834))),({1,2,3,4,5,6,7,8,9,10,11,12,13,14,15,16,17,18,19,20,21,22,23,24,25,26,27,28,29,30}-1)*LEN(Registro!$H834)+1,LEN(Registro!$H834)))," ",REPT(" ",50)),50)))),"Revisar formato"))</f>
        <v/>
      </c>
      <c r="J834" s="24" t="str">
        <f>IF(Registro!$I834="","",IFERROR(SUMPRODUCT(--("0"&amp;TRIM(RIGHT(SUBSTITUTE(TRIM(MID(SUBSTITUTE(SUBSTITUTE(Registro!$I834,";",CHAR(10)),CHAR(10),REPT(" ",LEN(Registro!$I834))),({1,2,3,4,5,6,7,8,9,10,11,12,13,14,15,16,17,18,19,20,21,22,23,24,25,26,27,28,29,30}-1)*LEN(Registro!$I834)+1,LEN(Registro!$I834)))," ",REPT(" ",50)),50)))),"Revisar formato"))</f>
        <v/>
      </c>
      <c r="K834" s="24" t="str">
        <f>IF(AND(Registro!$G834="",Registro!$H834=""),"",IF(AND(ISTEXT(I834),I834&lt;&gt;""),"Revisar formato",N(Registro!$G834)-N(I834)))</f>
        <v/>
      </c>
      <c r="L834" s="24" t="str">
        <f t="shared" ref="L834:L897" si="27">IF(K834="","",IF(OR(K834="Revisar formato",AND(ISTEXT(J834),J834&lt;&gt;"")),"Revisar formato",K834-N(J834)))</f>
        <v/>
      </c>
      <c r="M834" s="36" t="str">
        <f>IF(AND(A834=Consulta!$B$3,C834=Consulta!$H$3),B834*10000+ROW(),"")</f>
        <v/>
      </c>
    </row>
    <row r="835" spans="1:13" x14ac:dyDescent="0.25">
      <c r="A835" s="21" t="str">
        <f>IF(Registro!$A835="","",Registro!$A835)</f>
        <v/>
      </c>
      <c r="B835" s="20" t="str">
        <f>IF(Registro!$B835="","",Registro!$B835)</f>
        <v/>
      </c>
      <c r="C835" s="35" t="str">
        <f t="shared" si="26"/>
        <v/>
      </c>
      <c r="D835" s="23" t="str">
        <f>IF(Registro!$E835="","",IF(ISERROR(FIND("x",LOWER(Registro!$E835))),"-",IFERROR(SUMPRODUCT(--("0"&amp;LEFT(TRIM(MID(SUBSTITUTE(SUBSTITUTE(SUBSTITUTE(SUBSTITUTE(SUBSTITUTE(LOWER(Registro!$E835),"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",LEN(Registro!$E835))),({1,2,3,4,5,6,7,8,9,10,11,12,13,14,15,16,17,18,19,20,21,22,23,24,25,26,27,28,29,30}-1)*LEN(Registro!$E835)+1,LEN(Registro!$E835))),FIND("x",TRIM(MID(SUBSTITUTE(SUBSTITUTE(SUBSTITUTE(SUBSTITUTE(SUBSTITUTE(LOWER(Registro!$E835),"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",LEN(Registro!$E835))),({1,2,3,4,5,6,7,8,9,10,11,12,13,14,15,16,17,18,19,20,21,22,23,24,25,26,27,28,29,30}-1)*LEN(Registro!$E835)+1,LEN(Registro!$E835)))&amp;"x")-1))),"Revisar formato")))</f>
        <v/>
      </c>
      <c r="E835" s="24" t="str">
        <f>IF(Registro!$E835="","",IF(ISERROR(FIND("x",LOWER(Registro!$E835))),"-",IFERROR(SUMPRODUCT(--("0"&amp;LEFT(TRIM(MID(SUBSTITUTE(SUBSTITUTE(SUBSTITUTE(SUBSTITUTE(SUBSTITUTE(LOWER(Registro!$E835),"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",LEN(Registro!$E835))),({1,2,3,4,5,6,7,8,9,10,11,12,13,14,15,16,17,18,19,20,21,22,23,24,25,26,27,28,29,30}-1)*LEN(Registro!$E835)+1,LEN(Registro!$E835))),FIND("x",TRIM(MID(SUBSTITUTE(SUBSTITUTE(SUBSTITUTE(SUBSTITUTE(SUBSTITUTE(LOWER(Registro!$E835),"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",LEN(Registro!$E835))),({1,2,3,4,5,6,7,8,9,10,11,12,13,14,15,16,17,18,19,20,21,22,23,24,25,26,27,28,29,30}-1)*LEN(Registro!$E835)+1,LEN(Registro!$E835)))&amp;"x")-1)),--("0"&amp;MID(TRIM(MID(SUBSTITUTE(SUBSTITUTE(SUBSTITUTE(SUBSTITUTE(SUBSTITUTE(LOWER(Registro!$E835),"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",LEN(Registro!$E835))),({1,2,3,4,5,6,7,8,9,10,11,12,13,14,15,16,17,18,19,20,21,22,23,24,25,26,27,28,29,30}-1)*LEN(Registro!$E835)+1,LEN(Registro!$E835))),FIND("x",TRIM(MID(SUBSTITUTE(SUBSTITUTE(SUBSTITUTE(SUBSTITUTE(SUBSTITUTE(LOWER(Registro!$E835),"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",LEN(Registro!$E835))),({1,2,3,4,5,6,7,8,9,10,11,12,13,14,15,16,17,18,19,20,21,22,23,24,25,26,27,28,29,30}-1)*LEN(Registro!$E835)+1,LEN(Registro!$E835)))&amp;"x")+1,20))),"Revisar formato")))</f>
        <v/>
      </c>
      <c r="F835" s="23" t="str">
        <f>IF(Registro!$F835="","",IF(ISERROR(FIND("x",LOWER(Registro!$F835))),"-",IFERROR(SUMPRODUCT(--("0"&amp;LEFT(TRIM(MID(SUBSTITUTE(SUBSTITUTE(SUBSTITUTE(SUBSTITUTE(SUBSTITUTE(LOWER(Registro!$F835)," ",""),CHAR(10),"|"),";","|"),"+","|"),"|",REPT(" ",LEN(Registro!$F835))),({1,2,3,4,5,6,7,8,9,10,11,12,13,14,15,16,17,18,19,20,21,22,23,24,25,26,27,28,29,30}-1)*LEN(Registro!$F835)+1,LEN(Registro!$F835))),FIND("x",TRIM(MID(SUBSTITUTE(SUBSTITUTE(SUBSTITUTE(SUBSTITUTE(SUBSTITUTE(LOWER(Registro!$F835)," ",""),CHAR(10),"|"),";","|"),"+","|"),"|",REPT(" ",LEN(Registro!$F835))),({1,2,3,4,5,6,7,8,9,10,11,12,13,14,15,16,17,18,19,20,21,22,23,24,25,26,27,28,29,30}-1)*LEN(Registro!$F835)+1,LEN(Registro!$F835)))&amp;"x")-1))),"Revisar formato")))</f>
        <v/>
      </c>
      <c r="G835" s="24" t="str">
        <f>IF(Registro!$F835="","",IF(ISERROR(FIND("x",LOWER(Registro!$F835))),N(Registro!$G835),IFERROR(SUMPRODUCT(--("0"&amp;LEFT(TRIM(MID(SUBSTITUTE(SUBSTITUTE(SUBSTITUTE(SUBSTITUTE(SUBSTITUTE(LOWER(Registro!$F835)," ",""),CHAR(10),"|"),";","|"),"+","|"),"|",REPT(" ",LEN(Registro!$F835))),({1,2,3,4,5,6,7,8,9,10,11,12,13,14,15,16,17,18,19,20,21,22,23,24,25,26,27,28,29,30}-1)*LEN(Registro!$F835)+1,LEN(Registro!$F835))),FIND("x",TRIM(MID(SUBSTITUTE(SUBSTITUTE(SUBSTITUTE(SUBSTITUTE(SUBSTITUTE(LOWER(Registro!$F835)," ",""),CHAR(10),"|"),";","|"),"+","|"),"|",REPT(" ",LEN(Registro!$F835))),({1,2,3,4,5,6,7,8,9,10,11,12,13,14,15,16,17,18,19,20,21,22,23,24,25,26,27,28,29,30}-1)*LEN(Registro!$F835)+1,LEN(Registro!$F835)))&amp;"x")-1)),--("0"&amp;MID(TRIM(MID(SUBSTITUTE(SUBSTITUTE(SUBSTITUTE(SUBSTITUTE(SUBSTITUTE(LOWER(Registro!$F835)," ",""),CHAR(10),"|"),";","|"),"+","|"),"|",REPT(" ",LEN(Registro!$F835))),({1,2,3,4,5,6,7,8,9,10,11,12,13,14,15,16,17,18,19,20,21,22,23,24,25,26,27,28,29,30}-1)*LEN(Registro!$F835)+1,LEN(Registro!$F835))),FIND("x",TRIM(MID(SUBSTITUTE(SUBSTITUTE(SUBSTITUTE(SUBSTITUTE(SUBSTITUTE(LOWER(Registro!$F835)," ",""),CHAR(10),"|"),";","|"),"+","|"),"|",REPT(" ",LEN(Registro!$F835))),({1,2,3,4,5,6,7,8,9,10,11,12,13,14,15,16,17,18,19,20,21,22,23,24,25,26,27,28,29,30}-1)*LEN(Registro!$F835)+1,LEN(Registro!$F835)))&amp;"x")+1,20))),"Revisar formato")))</f>
        <v/>
      </c>
      <c r="H835" s="21" t="str">
        <f>IF(AND(Registro!$E835="",Registro!$F835=""),"",IF(NOT(AND(ISNUMBER(G835),ISNUMBER(Registro!$G835))),"",IF(G835&lt;Registro!$G835,"FALTA BOLETOS",IF(G835=Registro!$G835,"CONFORME","DIFERENCIA"))))</f>
        <v/>
      </c>
      <c r="I835" s="24" t="str">
        <f>IF(Registro!$H835="","",IFERROR(SUMPRODUCT(--("0"&amp;TRIM(RIGHT(SUBSTITUTE(TRIM(MID(SUBSTITUTE(SUBSTITUTE(Registro!$H835,";",CHAR(10)),CHAR(10),REPT(" ",LEN(Registro!$H835))),({1,2,3,4,5,6,7,8,9,10,11,12,13,14,15,16,17,18,19,20,21,22,23,24,25,26,27,28,29,30}-1)*LEN(Registro!$H835)+1,LEN(Registro!$H835)))," ",REPT(" ",50)),50)))),"Revisar formato"))</f>
        <v/>
      </c>
      <c r="J835" s="24" t="str">
        <f>IF(Registro!$I835="","",IFERROR(SUMPRODUCT(--("0"&amp;TRIM(RIGHT(SUBSTITUTE(TRIM(MID(SUBSTITUTE(SUBSTITUTE(Registro!$I835,";",CHAR(10)),CHAR(10),REPT(" ",LEN(Registro!$I835))),({1,2,3,4,5,6,7,8,9,10,11,12,13,14,15,16,17,18,19,20,21,22,23,24,25,26,27,28,29,30}-1)*LEN(Registro!$I835)+1,LEN(Registro!$I835)))," ",REPT(" ",50)),50)))),"Revisar formato"))</f>
        <v/>
      </c>
      <c r="K835" s="24" t="str">
        <f>IF(AND(Registro!$G835="",Registro!$H835=""),"",IF(AND(ISTEXT(I835),I835&lt;&gt;""),"Revisar formato",N(Registro!$G835)-N(I835)))</f>
        <v/>
      </c>
      <c r="L835" s="24" t="str">
        <f t="shared" si="27"/>
        <v/>
      </c>
      <c r="M835" s="36" t="str">
        <f>IF(AND(A835=Consulta!$B$3,C835=Consulta!$H$3),B835*10000+ROW(),"")</f>
        <v/>
      </c>
    </row>
    <row r="836" spans="1:13" x14ac:dyDescent="0.25">
      <c r="A836" s="21" t="str">
        <f>IF(Registro!$A836="","",Registro!$A836)</f>
        <v/>
      </c>
      <c r="B836" s="20" t="str">
        <f>IF(Registro!$B836="","",Registro!$B836)</f>
        <v/>
      </c>
      <c r="C836" s="35" t="str">
        <f t="shared" si="26"/>
        <v/>
      </c>
      <c r="D836" s="23" t="str">
        <f>IF(Registro!$E836="","",IF(ISERROR(FIND("x",LOWER(Registro!$E836))),"-",IFERROR(SUMPRODUCT(--("0"&amp;LEFT(TRIM(MID(SUBSTITUTE(SUBSTITUTE(SUBSTITUTE(SUBSTITUTE(SUBSTITUTE(LOWER(Registro!$E836),"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",LEN(Registro!$E836))),({1,2,3,4,5,6,7,8,9,10,11,12,13,14,15,16,17,18,19,20,21,22,23,24,25,26,27,28,29,30}-1)*LEN(Registro!$E836)+1,LEN(Registro!$E836))),FIND("x",TRIM(MID(SUBSTITUTE(SUBSTITUTE(SUBSTITUTE(SUBSTITUTE(SUBSTITUTE(LOWER(Registro!$E836),"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",LEN(Registro!$E836))),({1,2,3,4,5,6,7,8,9,10,11,12,13,14,15,16,17,18,19,20,21,22,23,24,25,26,27,28,29,30}-1)*LEN(Registro!$E836)+1,LEN(Registro!$E836)))&amp;"x")-1))),"Revisar formato")))</f>
        <v/>
      </c>
      <c r="E836" s="24" t="str">
        <f>IF(Registro!$E836="","",IF(ISERROR(FIND("x",LOWER(Registro!$E836))),"-",IFERROR(SUMPRODUCT(--("0"&amp;LEFT(TRIM(MID(SUBSTITUTE(SUBSTITUTE(SUBSTITUTE(SUBSTITUTE(SUBSTITUTE(LOWER(Registro!$E836),"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",LEN(Registro!$E836))),({1,2,3,4,5,6,7,8,9,10,11,12,13,14,15,16,17,18,19,20,21,22,23,24,25,26,27,28,29,30}-1)*LEN(Registro!$E836)+1,LEN(Registro!$E836))),FIND("x",TRIM(MID(SUBSTITUTE(SUBSTITUTE(SUBSTITUTE(SUBSTITUTE(SUBSTITUTE(LOWER(Registro!$E836),"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",LEN(Registro!$E836))),({1,2,3,4,5,6,7,8,9,10,11,12,13,14,15,16,17,18,19,20,21,22,23,24,25,26,27,28,29,30}-1)*LEN(Registro!$E836)+1,LEN(Registro!$E836)))&amp;"x")-1)),--("0"&amp;MID(TRIM(MID(SUBSTITUTE(SUBSTITUTE(SUBSTITUTE(SUBSTITUTE(SUBSTITUTE(LOWER(Registro!$E836),"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",LEN(Registro!$E836))),({1,2,3,4,5,6,7,8,9,10,11,12,13,14,15,16,17,18,19,20,21,22,23,24,25,26,27,28,29,30}-1)*LEN(Registro!$E836)+1,LEN(Registro!$E836))),FIND("x",TRIM(MID(SUBSTITUTE(SUBSTITUTE(SUBSTITUTE(SUBSTITUTE(SUBSTITUTE(LOWER(Registro!$E836),"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",LEN(Registro!$E836))),({1,2,3,4,5,6,7,8,9,10,11,12,13,14,15,16,17,18,19,20,21,22,23,24,25,26,27,28,29,30}-1)*LEN(Registro!$E836)+1,LEN(Registro!$E836)))&amp;"x")+1,20))),"Revisar formato")))</f>
        <v/>
      </c>
      <c r="F836" s="23" t="str">
        <f>IF(Registro!$F836="","",IF(ISERROR(FIND("x",LOWER(Registro!$F836))),"-",IFERROR(SUMPRODUCT(--("0"&amp;LEFT(TRIM(MID(SUBSTITUTE(SUBSTITUTE(SUBSTITUTE(SUBSTITUTE(SUBSTITUTE(LOWER(Registro!$F836)," ",""),CHAR(10),"|"),";","|"),"+","|"),"|",REPT(" ",LEN(Registro!$F836))),({1,2,3,4,5,6,7,8,9,10,11,12,13,14,15,16,17,18,19,20,21,22,23,24,25,26,27,28,29,30}-1)*LEN(Registro!$F836)+1,LEN(Registro!$F836))),FIND("x",TRIM(MID(SUBSTITUTE(SUBSTITUTE(SUBSTITUTE(SUBSTITUTE(SUBSTITUTE(LOWER(Registro!$F836)," ",""),CHAR(10),"|"),";","|"),"+","|"),"|",REPT(" ",LEN(Registro!$F836))),({1,2,3,4,5,6,7,8,9,10,11,12,13,14,15,16,17,18,19,20,21,22,23,24,25,26,27,28,29,30}-1)*LEN(Registro!$F836)+1,LEN(Registro!$F836)))&amp;"x")-1))),"Revisar formato")))</f>
        <v/>
      </c>
      <c r="G836" s="24" t="str">
        <f>IF(Registro!$F836="","",IF(ISERROR(FIND("x",LOWER(Registro!$F836))),N(Registro!$G836),IFERROR(SUMPRODUCT(--("0"&amp;LEFT(TRIM(MID(SUBSTITUTE(SUBSTITUTE(SUBSTITUTE(SUBSTITUTE(SUBSTITUTE(LOWER(Registro!$F836)," ",""),CHAR(10),"|"),";","|"),"+","|"),"|",REPT(" ",LEN(Registro!$F836))),({1,2,3,4,5,6,7,8,9,10,11,12,13,14,15,16,17,18,19,20,21,22,23,24,25,26,27,28,29,30}-1)*LEN(Registro!$F836)+1,LEN(Registro!$F836))),FIND("x",TRIM(MID(SUBSTITUTE(SUBSTITUTE(SUBSTITUTE(SUBSTITUTE(SUBSTITUTE(LOWER(Registro!$F836)," ",""),CHAR(10),"|"),";","|"),"+","|"),"|",REPT(" ",LEN(Registro!$F836))),({1,2,3,4,5,6,7,8,9,10,11,12,13,14,15,16,17,18,19,20,21,22,23,24,25,26,27,28,29,30}-1)*LEN(Registro!$F836)+1,LEN(Registro!$F836)))&amp;"x")-1)),--("0"&amp;MID(TRIM(MID(SUBSTITUTE(SUBSTITUTE(SUBSTITUTE(SUBSTITUTE(SUBSTITUTE(LOWER(Registro!$F836)," ",""),CHAR(10),"|"),";","|"),"+","|"),"|",REPT(" ",LEN(Registro!$F836))),({1,2,3,4,5,6,7,8,9,10,11,12,13,14,15,16,17,18,19,20,21,22,23,24,25,26,27,28,29,30}-1)*LEN(Registro!$F836)+1,LEN(Registro!$F836))),FIND("x",TRIM(MID(SUBSTITUTE(SUBSTITUTE(SUBSTITUTE(SUBSTITUTE(SUBSTITUTE(LOWER(Registro!$F836)," ",""),CHAR(10),"|"),";","|"),"+","|"),"|",REPT(" ",LEN(Registro!$F836))),({1,2,3,4,5,6,7,8,9,10,11,12,13,14,15,16,17,18,19,20,21,22,23,24,25,26,27,28,29,30}-1)*LEN(Registro!$F836)+1,LEN(Registro!$F836)))&amp;"x")+1,20))),"Revisar formato")))</f>
        <v/>
      </c>
      <c r="H836" s="21" t="str">
        <f>IF(AND(Registro!$E836="",Registro!$F836=""),"",IF(NOT(AND(ISNUMBER(G836),ISNUMBER(Registro!$G836))),"",IF(G836&lt;Registro!$G836,"FALTA BOLETOS",IF(G836=Registro!$G836,"CONFORME","DIFERENCIA"))))</f>
        <v/>
      </c>
      <c r="I836" s="24" t="str">
        <f>IF(Registro!$H836="","",IFERROR(SUMPRODUCT(--("0"&amp;TRIM(RIGHT(SUBSTITUTE(TRIM(MID(SUBSTITUTE(SUBSTITUTE(Registro!$H836,";",CHAR(10)),CHAR(10),REPT(" ",LEN(Registro!$H836))),({1,2,3,4,5,6,7,8,9,10,11,12,13,14,15,16,17,18,19,20,21,22,23,24,25,26,27,28,29,30}-1)*LEN(Registro!$H836)+1,LEN(Registro!$H836)))," ",REPT(" ",50)),50)))),"Revisar formato"))</f>
        <v/>
      </c>
      <c r="J836" s="24" t="str">
        <f>IF(Registro!$I836="","",IFERROR(SUMPRODUCT(--("0"&amp;TRIM(RIGHT(SUBSTITUTE(TRIM(MID(SUBSTITUTE(SUBSTITUTE(Registro!$I836,";",CHAR(10)),CHAR(10),REPT(" ",LEN(Registro!$I836))),({1,2,3,4,5,6,7,8,9,10,11,12,13,14,15,16,17,18,19,20,21,22,23,24,25,26,27,28,29,30}-1)*LEN(Registro!$I836)+1,LEN(Registro!$I836)))," ",REPT(" ",50)),50)))),"Revisar formato"))</f>
        <v/>
      </c>
      <c r="K836" s="24" t="str">
        <f>IF(AND(Registro!$G836="",Registro!$H836=""),"",IF(AND(ISTEXT(I836),I836&lt;&gt;""),"Revisar formato",N(Registro!$G836)-N(I836)))</f>
        <v/>
      </c>
      <c r="L836" s="24" t="str">
        <f t="shared" si="27"/>
        <v/>
      </c>
      <c r="M836" s="36" t="str">
        <f>IF(AND(A836=Consulta!$B$3,C836=Consulta!$H$3),B836*10000+ROW(),"")</f>
        <v/>
      </c>
    </row>
    <row r="837" spans="1:13" x14ac:dyDescent="0.25">
      <c r="A837" s="21" t="str">
        <f>IF(Registro!$A837="","",Registro!$A837)</f>
        <v/>
      </c>
      <c r="B837" s="20" t="str">
        <f>IF(Registro!$B837="","",Registro!$B837)</f>
        <v/>
      </c>
      <c r="C837" s="35" t="str">
        <f t="shared" si="26"/>
        <v/>
      </c>
      <c r="D837" s="23" t="str">
        <f>IF(Registro!$E837="","",IF(ISERROR(FIND("x",LOWER(Registro!$E837))),"-",IFERROR(SUMPRODUCT(--("0"&amp;LEFT(TRIM(MID(SUBSTITUTE(SUBSTITUTE(SUBSTITUTE(SUBSTITUTE(SUBSTITUTE(LOWER(Registro!$E837),"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",LEN(Registro!$E837))),({1,2,3,4,5,6,7,8,9,10,11,12,13,14,15,16,17,18,19,20,21,22,23,24,25,26,27,28,29,30}-1)*LEN(Registro!$E837)+1,LEN(Registro!$E837))),FIND("x",TRIM(MID(SUBSTITUTE(SUBSTITUTE(SUBSTITUTE(SUBSTITUTE(SUBSTITUTE(LOWER(Registro!$E837),"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",LEN(Registro!$E837))),({1,2,3,4,5,6,7,8,9,10,11,12,13,14,15,16,17,18,19,20,21,22,23,24,25,26,27,28,29,30}-1)*LEN(Registro!$E837)+1,LEN(Registro!$E837)))&amp;"x")-1))),"Revisar formato")))</f>
        <v/>
      </c>
      <c r="E837" s="24" t="str">
        <f>IF(Registro!$E837="","",IF(ISERROR(FIND("x",LOWER(Registro!$E837))),"-",IFERROR(SUMPRODUCT(--("0"&amp;LEFT(TRIM(MID(SUBSTITUTE(SUBSTITUTE(SUBSTITUTE(SUBSTITUTE(SUBSTITUTE(LOWER(Registro!$E837),"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",LEN(Registro!$E837))),({1,2,3,4,5,6,7,8,9,10,11,12,13,14,15,16,17,18,19,20,21,22,23,24,25,26,27,28,29,30}-1)*LEN(Registro!$E837)+1,LEN(Registro!$E837))),FIND("x",TRIM(MID(SUBSTITUTE(SUBSTITUTE(SUBSTITUTE(SUBSTITUTE(SUBSTITUTE(LOWER(Registro!$E837),"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",LEN(Registro!$E837))),({1,2,3,4,5,6,7,8,9,10,11,12,13,14,15,16,17,18,19,20,21,22,23,24,25,26,27,28,29,30}-1)*LEN(Registro!$E837)+1,LEN(Registro!$E837)))&amp;"x")-1)),--("0"&amp;MID(TRIM(MID(SUBSTITUTE(SUBSTITUTE(SUBSTITUTE(SUBSTITUTE(SUBSTITUTE(LOWER(Registro!$E837),"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",LEN(Registro!$E837))),({1,2,3,4,5,6,7,8,9,10,11,12,13,14,15,16,17,18,19,20,21,22,23,24,25,26,27,28,29,30}-1)*LEN(Registro!$E837)+1,LEN(Registro!$E837))),FIND("x",TRIM(MID(SUBSTITUTE(SUBSTITUTE(SUBSTITUTE(SUBSTITUTE(SUBSTITUTE(LOWER(Registro!$E837),"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",LEN(Registro!$E837))),({1,2,3,4,5,6,7,8,9,10,11,12,13,14,15,16,17,18,19,20,21,22,23,24,25,26,27,28,29,30}-1)*LEN(Registro!$E837)+1,LEN(Registro!$E837)))&amp;"x")+1,20))),"Revisar formato")))</f>
        <v/>
      </c>
      <c r="F837" s="23" t="str">
        <f>IF(Registro!$F837="","",IF(ISERROR(FIND("x",LOWER(Registro!$F837))),"-",IFERROR(SUMPRODUCT(--("0"&amp;LEFT(TRIM(MID(SUBSTITUTE(SUBSTITUTE(SUBSTITUTE(SUBSTITUTE(SUBSTITUTE(LOWER(Registro!$F837)," ",""),CHAR(10),"|"),";","|"),"+","|"),"|",REPT(" ",LEN(Registro!$F837))),({1,2,3,4,5,6,7,8,9,10,11,12,13,14,15,16,17,18,19,20,21,22,23,24,25,26,27,28,29,30}-1)*LEN(Registro!$F837)+1,LEN(Registro!$F837))),FIND("x",TRIM(MID(SUBSTITUTE(SUBSTITUTE(SUBSTITUTE(SUBSTITUTE(SUBSTITUTE(LOWER(Registro!$F837)," ",""),CHAR(10),"|"),";","|"),"+","|"),"|",REPT(" ",LEN(Registro!$F837))),({1,2,3,4,5,6,7,8,9,10,11,12,13,14,15,16,17,18,19,20,21,22,23,24,25,26,27,28,29,30}-1)*LEN(Registro!$F837)+1,LEN(Registro!$F837)))&amp;"x")-1))),"Revisar formato")))</f>
        <v/>
      </c>
      <c r="G837" s="24" t="str">
        <f>IF(Registro!$F837="","",IF(ISERROR(FIND("x",LOWER(Registro!$F837))),N(Registro!$G837),IFERROR(SUMPRODUCT(--("0"&amp;LEFT(TRIM(MID(SUBSTITUTE(SUBSTITUTE(SUBSTITUTE(SUBSTITUTE(SUBSTITUTE(LOWER(Registro!$F837)," ",""),CHAR(10),"|"),";","|"),"+","|"),"|",REPT(" ",LEN(Registro!$F837))),({1,2,3,4,5,6,7,8,9,10,11,12,13,14,15,16,17,18,19,20,21,22,23,24,25,26,27,28,29,30}-1)*LEN(Registro!$F837)+1,LEN(Registro!$F837))),FIND("x",TRIM(MID(SUBSTITUTE(SUBSTITUTE(SUBSTITUTE(SUBSTITUTE(SUBSTITUTE(LOWER(Registro!$F837)," ",""),CHAR(10),"|"),";","|"),"+","|"),"|",REPT(" ",LEN(Registro!$F837))),({1,2,3,4,5,6,7,8,9,10,11,12,13,14,15,16,17,18,19,20,21,22,23,24,25,26,27,28,29,30}-1)*LEN(Registro!$F837)+1,LEN(Registro!$F837)))&amp;"x")-1)),--("0"&amp;MID(TRIM(MID(SUBSTITUTE(SUBSTITUTE(SUBSTITUTE(SUBSTITUTE(SUBSTITUTE(LOWER(Registro!$F837)," ",""),CHAR(10),"|"),";","|"),"+","|"),"|",REPT(" ",LEN(Registro!$F837))),({1,2,3,4,5,6,7,8,9,10,11,12,13,14,15,16,17,18,19,20,21,22,23,24,25,26,27,28,29,30}-1)*LEN(Registro!$F837)+1,LEN(Registro!$F837))),FIND("x",TRIM(MID(SUBSTITUTE(SUBSTITUTE(SUBSTITUTE(SUBSTITUTE(SUBSTITUTE(LOWER(Registro!$F837)," ",""),CHAR(10),"|"),";","|"),"+","|"),"|",REPT(" ",LEN(Registro!$F837))),({1,2,3,4,5,6,7,8,9,10,11,12,13,14,15,16,17,18,19,20,21,22,23,24,25,26,27,28,29,30}-1)*LEN(Registro!$F837)+1,LEN(Registro!$F837)))&amp;"x")+1,20))),"Revisar formato")))</f>
        <v/>
      </c>
      <c r="H837" s="21" t="str">
        <f>IF(AND(Registro!$E837="",Registro!$F837=""),"",IF(NOT(AND(ISNUMBER(G837),ISNUMBER(Registro!$G837))),"",IF(G837&lt;Registro!$G837,"FALTA BOLETOS",IF(G837=Registro!$G837,"CONFORME","DIFERENCIA"))))</f>
        <v/>
      </c>
      <c r="I837" s="24" t="str">
        <f>IF(Registro!$H837="","",IFERROR(SUMPRODUCT(--("0"&amp;TRIM(RIGHT(SUBSTITUTE(TRIM(MID(SUBSTITUTE(SUBSTITUTE(Registro!$H837,";",CHAR(10)),CHAR(10),REPT(" ",LEN(Registro!$H837))),({1,2,3,4,5,6,7,8,9,10,11,12,13,14,15,16,17,18,19,20,21,22,23,24,25,26,27,28,29,30}-1)*LEN(Registro!$H837)+1,LEN(Registro!$H837)))," ",REPT(" ",50)),50)))),"Revisar formato"))</f>
        <v/>
      </c>
      <c r="J837" s="24" t="str">
        <f>IF(Registro!$I837="","",IFERROR(SUMPRODUCT(--("0"&amp;TRIM(RIGHT(SUBSTITUTE(TRIM(MID(SUBSTITUTE(SUBSTITUTE(Registro!$I837,";",CHAR(10)),CHAR(10),REPT(" ",LEN(Registro!$I837))),({1,2,3,4,5,6,7,8,9,10,11,12,13,14,15,16,17,18,19,20,21,22,23,24,25,26,27,28,29,30}-1)*LEN(Registro!$I837)+1,LEN(Registro!$I837)))," ",REPT(" ",50)),50)))),"Revisar formato"))</f>
        <v/>
      </c>
      <c r="K837" s="24" t="str">
        <f>IF(AND(Registro!$G837="",Registro!$H837=""),"",IF(AND(ISTEXT(I837),I837&lt;&gt;""),"Revisar formato",N(Registro!$G837)-N(I837)))</f>
        <v/>
      </c>
      <c r="L837" s="24" t="str">
        <f t="shared" si="27"/>
        <v/>
      </c>
      <c r="M837" s="36" t="str">
        <f>IF(AND(A837=Consulta!$B$3,C837=Consulta!$H$3),B837*10000+ROW(),"")</f>
        <v/>
      </c>
    </row>
    <row r="838" spans="1:13" x14ac:dyDescent="0.25">
      <c r="A838" s="21" t="str">
        <f>IF(Registro!$A838="","",Registro!$A838)</f>
        <v/>
      </c>
      <c r="B838" s="20" t="str">
        <f>IF(Registro!$B838="","",Registro!$B838)</f>
        <v/>
      </c>
      <c r="C838" s="35" t="str">
        <f t="shared" si="26"/>
        <v/>
      </c>
      <c r="D838" s="23" t="str">
        <f>IF(Registro!$E838="","",IF(ISERROR(FIND("x",LOWER(Registro!$E838))),"-",IFERROR(SUMPRODUCT(--("0"&amp;LEFT(TRIM(MID(SUBSTITUTE(SUBSTITUTE(SUBSTITUTE(SUBSTITUTE(SUBSTITUTE(LOWER(Registro!$E838),"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",LEN(Registro!$E838))),({1,2,3,4,5,6,7,8,9,10,11,12,13,14,15,16,17,18,19,20,21,22,23,24,25,26,27,28,29,30}-1)*LEN(Registro!$E838)+1,LEN(Registro!$E838))),FIND("x",TRIM(MID(SUBSTITUTE(SUBSTITUTE(SUBSTITUTE(SUBSTITUTE(SUBSTITUTE(LOWER(Registro!$E838),"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",LEN(Registro!$E838))),({1,2,3,4,5,6,7,8,9,10,11,12,13,14,15,16,17,18,19,20,21,22,23,24,25,26,27,28,29,30}-1)*LEN(Registro!$E838)+1,LEN(Registro!$E838)))&amp;"x")-1))),"Revisar formato")))</f>
        <v/>
      </c>
      <c r="E838" s="24" t="str">
        <f>IF(Registro!$E838="","",IF(ISERROR(FIND("x",LOWER(Registro!$E838))),"-",IFERROR(SUMPRODUCT(--("0"&amp;LEFT(TRIM(MID(SUBSTITUTE(SUBSTITUTE(SUBSTITUTE(SUBSTITUTE(SUBSTITUTE(LOWER(Registro!$E838),"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",LEN(Registro!$E838))),({1,2,3,4,5,6,7,8,9,10,11,12,13,14,15,16,17,18,19,20,21,22,23,24,25,26,27,28,29,30}-1)*LEN(Registro!$E838)+1,LEN(Registro!$E838))),FIND("x",TRIM(MID(SUBSTITUTE(SUBSTITUTE(SUBSTITUTE(SUBSTITUTE(SUBSTITUTE(LOWER(Registro!$E838),"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",LEN(Registro!$E838))),({1,2,3,4,5,6,7,8,9,10,11,12,13,14,15,16,17,18,19,20,21,22,23,24,25,26,27,28,29,30}-1)*LEN(Registro!$E838)+1,LEN(Registro!$E838)))&amp;"x")-1)),--("0"&amp;MID(TRIM(MID(SUBSTITUTE(SUBSTITUTE(SUBSTITUTE(SUBSTITUTE(SUBSTITUTE(LOWER(Registro!$E838),"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",LEN(Registro!$E838))),({1,2,3,4,5,6,7,8,9,10,11,12,13,14,15,16,17,18,19,20,21,22,23,24,25,26,27,28,29,30}-1)*LEN(Registro!$E838)+1,LEN(Registro!$E838))),FIND("x",TRIM(MID(SUBSTITUTE(SUBSTITUTE(SUBSTITUTE(SUBSTITUTE(SUBSTITUTE(LOWER(Registro!$E838),"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",LEN(Registro!$E838))),({1,2,3,4,5,6,7,8,9,10,11,12,13,14,15,16,17,18,19,20,21,22,23,24,25,26,27,28,29,30}-1)*LEN(Registro!$E838)+1,LEN(Registro!$E838)))&amp;"x")+1,20))),"Revisar formato")))</f>
        <v/>
      </c>
      <c r="F838" s="23" t="str">
        <f>IF(Registro!$F838="","",IF(ISERROR(FIND("x",LOWER(Registro!$F838))),"-",IFERROR(SUMPRODUCT(--("0"&amp;LEFT(TRIM(MID(SUBSTITUTE(SUBSTITUTE(SUBSTITUTE(SUBSTITUTE(SUBSTITUTE(LOWER(Registro!$F838)," ",""),CHAR(10),"|"),";","|"),"+","|"),"|",REPT(" ",LEN(Registro!$F838))),({1,2,3,4,5,6,7,8,9,10,11,12,13,14,15,16,17,18,19,20,21,22,23,24,25,26,27,28,29,30}-1)*LEN(Registro!$F838)+1,LEN(Registro!$F838))),FIND("x",TRIM(MID(SUBSTITUTE(SUBSTITUTE(SUBSTITUTE(SUBSTITUTE(SUBSTITUTE(LOWER(Registro!$F838)," ",""),CHAR(10),"|"),";","|"),"+","|"),"|",REPT(" ",LEN(Registro!$F838))),({1,2,3,4,5,6,7,8,9,10,11,12,13,14,15,16,17,18,19,20,21,22,23,24,25,26,27,28,29,30}-1)*LEN(Registro!$F838)+1,LEN(Registro!$F838)))&amp;"x")-1))),"Revisar formato")))</f>
        <v/>
      </c>
      <c r="G838" s="24" t="str">
        <f>IF(Registro!$F838="","",IF(ISERROR(FIND("x",LOWER(Registro!$F838))),N(Registro!$G838),IFERROR(SUMPRODUCT(--("0"&amp;LEFT(TRIM(MID(SUBSTITUTE(SUBSTITUTE(SUBSTITUTE(SUBSTITUTE(SUBSTITUTE(LOWER(Registro!$F838)," ",""),CHAR(10),"|"),";","|"),"+","|"),"|",REPT(" ",LEN(Registro!$F838))),({1,2,3,4,5,6,7,8,9,10,11,12,13,14,15,16,17,18,19,20,21,22,23,24,25,26,27,28,29,30}-1)*LEN(Registro!$F838)+1,LEN(Registro!$F838))),FIND("x",TRIM(MID(SUBSTITUTE(SUBSTITUTE(SUBSTITUTE(SUBSTITUTE(SUBSTITUTE(LOWER(Registro!$F838)," ",""),CHAR(10),"|"),";","|"),"+","|"),"|",REPT(" ",LEN(Registro!$F838))),({1,2,3,4,5,6,7,8,9,10,11,12,13,14,15,16,17,18,19,20,21,22,23,24,25,26,27,28,29,30}-1)*LEN(Registro!$F838)+1,LEN(Registro!$F838)))&amp;"x")-1)),--("0"&amp;MID(TRIM(MID(SUBSTITUTE(SUBSTITUTE(SUBSTITUTE(SUBSTITUTE(SUBSTITUTE(LOWER(Registro!$F838)," ",""),CHAR(10),"|"),";","|"),"+","|"),"|",REPT(" ",LEN(Registro!$F838))),({1,2,3,4,5,6,7,8,9,10,11,12,13,14,15,16,17,18,19,20,21,22,23,24,25,26,27,28,29,30}-1)*LEN(Registro!$F838)+1,LEN(Registro!$F838))),FIND("x",TRIM(MID(SUBSTITUTE(SUBSTITUTE(SUBSTITUTE(SUBSTITUTE(SUBSTITUTE(LOWER(Registro!$F838)," ",""),CHAR(10),"|"),";","|"),"+","|"),"|",REPT(" ",LEN(Registro!$F838))),({1,2,3,4,5,6,7,8,9,10,11,12,13,14,15,16,17,18,19,20,21,22,23,24,25,26,27,28,29,30}-1)*LEN(Registro!$F838)+1,LEN(Registro!$F838)))&amp;"x")+1,20))),"Revisar formato")))</f>
        <v/>
      </c>
      <c r="H838" s="21" t="str">
        <f>IF(AND(Registro!$E838="",Registro!$F838=""),"",IF(NOT(AND(ISNUMBER(G838),ISNUMBER(Registro!$G838))),"",IF(G838&lt;Registro!$G838,"FALTA BOLETOS",IF(G838=Registro!$G838,"CONFORME","DIFERENCIA"))))</f>
        <v/>
      </c>
      <c r="I838" s="24" t="str">
        <f>IF(Registro!$H838="","",IFERROR(SUMPRODUCT(--("0"&amp;TRIM(RIGHT(SUBSTITUTE(TRIM(MID(SUBSTITUTE(SUBSTITUTE(Registro!$H838,";",CHAR(10)),CHAR(10),REPT(" ",LEN(Registro!$H838))),({1,2,3,4,5,6,7,8,9,10,11,12,13,14,15,16,17,18,19,20,21,22,23,24,25,26,27,28,29,30}-1)*LEN(Registro!$H838)+1,LEN(Registro!$H838)))," ",REPT(" ",50)),50)))),"Revisar formato"))</f>
        <v/>
      </c>
      <c r="J838" s="24" t="str">
        <f>IF(Registro!$I838="","",IFERROR(SUMPRODUCT(--("0"&amp;TRIM(RIGHT(SUBSTITUTE(TRIM(MID(SUBSTITUTE(SUBSTITUTE(Registro!$I838,";",CHAR(10)),CHAR(10),REPT(" ",LEN(Registro!$I838))),({1,2,3,4,5,6,7,8,9,10,11,12,13,14,15,16,17,18,19,20,21,22,23,24,25,26,27,28,29,30}-1)*LEN(Registro!$I838)+1,LEN(Registro!$I838)))," ",REPT(" ",50)),50)))),"Revisar formato"))</f>
        <v/>
      </c>
      <c r="K838" s="24" t="str">
        <f>IF(AND(Registro!$G838="",Registro!$H838=""),"",IF(AND(ISTEXT(I838),I838&lt;&gt;""),"Revisar formato",N(Registro!$G838)-N(I838)))</f>
        <v/>
      </c>
      <c r="L838" s="24" t="str">
        <f t="shared" si="27"/>
        <v/>
      </c>
      <c r="M838" s="36" t="str">
        <f>IF(AND(A838=Consulta!$B$3,C838=Consulta!$H$3),B838*10000+ROW(),"")</f>
        <v/>
      </c>
    </row>
    <row r="839" spans="1:13" x14ac:dyDescent="0.25">
      <c r="A839" s="21" t="str">
        <f>IF(Registro!$A839="","",Registro!$A839)</f>
        <v/>
      </c>
      <c r="B839" s="20" t="str">
        <f>IF(Registro!$B839="","",Registro!$B839)</f>
        <v/>
      </c>
      <c r="C839" s="35" t="str">
        <f t="shared" si="26"/>
        <v/>
      </c>
      <c r="D839" s="23" t="str">
        <f>IF(Registro!$E839="","",IF(ISERROR(FIND("x",LOWER(Registro!$E839))),"-",IFERROR(SUMPRODUCT(--("0"&amp;LEFT(TRIM(MID(SUBSTITUTE(SUBSTITUTE(SUBSTITUTE(SUBSTITUTE(SUBSTITUTE(LOWER(Registro!$E839),"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",LEN(Registro!$E839))),({1,2,3,4,5,6,7,8,9,10,11,12,13,14,15,16,17,18,19,20,21,22,23,24,25,26,27,28,29,30}-1)*LEN(Registro!$E839)+1,LEN(Registro!$E839))),FIND("x",TRIM(MID(SUBSTITUTE(SUBSTITUTE(SUBSTITUTE(SUBSTITUTE(SUBSTITUTE(LOWER(Registro!$E839),"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",LEN(Registro!$E839))),({1,2,3,4,5,6,7,8,9,10,11,12,13,14,15,16,17,18,19,20,21,22,23,24,25,26,27,28,29,30}-1)*LEN(Registro!$E839)+1,LEN(Registro!$E839)))&amp;"x")-1))),"Revisar formato")))</f>
        <v/>
      </c>
      <c r="E839" s="24" t="str">
        <f>IF(Registro!$E839="","",IF(ISERROR(FIND("x",LOWER(Registro!$E839))),"-",IFERROR(SUMPRODUCT(--("0"&amp;LEFT(TRIM(MID(SUBSTITUTE(SUBSTITUTE(SUBSTITUTE(SUBSTITUTE(SUBSTITUTE(LOWER(Registro!$E839),"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",LEN(Registro!$E839))),({1,2,3,4,5,6,7,8,9,10,11,12,13,14,15,16,17,18,19,20,21,22,23,24,25,26,27,28,29,30}-1)*LEN(Registro!$E839)+1,LEN(Registro!$E839))),FIND("x",TRIM(MID(SUBSTITUTE(SUBSTITUTE(SUBSTITUTE(SUBSTITUTE(SUBSTITUTE(LOWER(Registro!$E839),"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",LEN(Registro!$E839))),({1,2,3,4,5,6,7,8,9,10,11,12,13,14,15,16,17,18,19,20,21,22,23,24,25,26,27,28,29,30}-1)*LEN(Registro!$E839)+1,LEN(Registro!$E839)))&amp;"x")-1)),--("0"&amp;MID(TRIM(MID(SUBSTITUTE(SUBSTITUTE(SUBSTITUTE(SUBSTITUTE(SUBSTITUTE(LOWER(Registro!$E839),"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",LEN(Registro!$E839))),({1,2,3,4,5,6,7,8,9,10,11,12,13,14,15,16,17,18,19,20,21,22,23,24,25,26,27,28,29,30}-1)*LEN(Registro!$E839)+1,LEN(Registro!$E839))),FIND("x",TRIM(MID(SUBSTITUTE(SUBSTITUTE(SUBSTITUTE(SUBSTITUTE(SUBSTITUTE(LOWER(Registro!$E839),"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",LEN(Registro!$E839))),({1,2,3,4,5,6,7,8,9,10,11,12,13,14,15,16,17,18,19,20,21,22,23,24,25,26,27,28,29,30}-1)*LEN(Registro!$E839)+1,LEN(Registro!$E839)))&amp;"x")+1,20))),"Revisar formato")))</f>
        <v/>
      </c>
      <c r="F839" s="23" t="str">
        <f>IF(Registro!$F839="","",IF(ISERROR(FIND("x",LOWER(Registro!$F839))),"-",IFERROR(SUMPRODUCT(--("0"&amp;LEFT(TRIM(MID(SUBSTITUTE(SUBSTITUTE(SUBSTITUTE(SUBSTITUTE(SUBSTITUTE(LOWER(Registro!$F839)," ",""),CHAR(10),"|"),";","|"),"+","|"),"|",REPT(" ",LEN(Registro!$F839))),({1,2,3,4,5,6,7,8,9,10,11,12,13,14,15,16,17,18,19,20,21,22,23,24,25,26,27,28,29,30}-1)*LEN(Registro!$F839)+1,LEN(Registro!$F839))),FIND("x",TRIM(MID(SUBSTITUTE(SUBSTITUTE(SUBSTITUTE(SUBSTITUTE(SUBSTITUTE(LOWER(Registro!$F839)," ",""),CHAR(10),"|"),";","|"),"+","|"),"|",REPT(" ",LEN(Registro!$F839))),({1,2,3,4,5,6,7,8,9,10,11,12,13,14,15,16,17,18,19,20,21,22,23,24,25,26,27,28,29,30}-1)*LEN(Registro!$F839)+1,LEN(Registro!$F839)))&amp;"x")-1))),"Revisar formato")))</f>
        <v/>
      </c>
      <c r="G839" s="24" t="str">
        <f>IF(Registro!$F839="","",IF(ISERROR(FIND("x",LOWER(Registro!$F839))),N(Registro!$G839),IFERROR(SUMPRODUCT(--("0"&amp;LEFT(TRIM(MID(SUBSTITUTE(SUBSTITUTE(SUBSTITUTE(SUBSTITUTE(SUBSTITUTE(LOWER(Registro!$F839)," ",""),CHAR(10),"|"),";","|"),"+","|"),"|",REPT(" ",LEN(Registro!$F839))),({1,2,3,4,5,6,7,8,9,10,11,12,13,14,15,16,17,18,19,20,21,22,23,24,25,26,27,28,29,30}-1)*LEN(Registro!$F839)+1,LEN(Registro!$F839))),FIND("x",TRIM(MID(SUBSTITUTE(SUBSTITUTE(SUBSTITUTE(SUBSTITUTE(SUBSTITUTE(LOWER(Registro!$F839)," ",""),CHAR(10),"|"),";","|"),"+","|"),"|",REPT(" ",LEN(Registro!$F839))),({1,2,3,4,5,6,7,8,9,10,11,12,13,14,15,16,17,18,19,20,21,22,23,24,25,26,27,28,29,30}-1)*LEN(Registro!$F839)+1,LEN(Registro!$F839)))&amp;"x")-1)),--("0"&amp;MID(TRIM(MID(SUBSTITUTE(SUBSTITUTE(SUBSTITUTE(SUBSTITUTE(SUBSTITUTE(LOWER(Registro!$F839)," ",""),CHAR(10),"|"),";","|"),"+","|"),"|",REPT(" ",LEN(Registro!$F839))),({1,2,3,4,5,6,7,8,9,10,11,12,13,14,15,16,17,18,19,20,21,22,23,24,25,26,27,28,29,30}-1)*LEN(Registro!$F839)+1,LEN(Registro!$F839))),FIND("x",TRIM(MID(SUBSTITUTE(SUBSTITUTE(SUBSTITUTE(SUBSTITUTE(SUBSTITUTE(LOWER(Registro!$F839)," ",""),CHAR(10),"|"),";","|"),"+","|"),"|",REPT(" ",LEN(Registro!$F839))),({1,2,3,4,5,6,7,8,9,10,11,12,13,14,15,16,17,18,19,20,21,22,23,24,25,26,27,28,29,30}-1)*LEN(Registro!$F839)+1,LEN(Registro!$F839)))&amp;"x")+1,20))),"Revisar formato")))</f>
        <v/>
      </c>
      <c r="H839" s="21" t="str">
        <f>IF(AND(Registro!$E839="",Registro!$F839=""),"",IF(NOT(AND(ISNUMBER(G839),ISNUMBER(Registro!$G839))),"",IF(G839&lt;Registro!$G839,"FALTA BOLETOS",IF(G839=Registro!$G839,"CONFORME","DIFERENCIA"))))</f>
        <v/>
      </c>
      <c r="I839" s="24" t="str">
        <f>IF(Registro!$H839="","",IFERROR(SUMPRODUCT(--("0"&amp;TRIM(RIGHT(SUBSTITUTE(TRIM(MID(SUBSTITUTE(SUBSTITUTE(Registro!$H839,";",CHAR(10)),CHAR(10),REPT(" ",LEN(Registro!$H839))),({1,2,3,4,5,6,7,8,9,10,11,12,13,14,15,16,17,18,19,20,21,22,23,24,25,26,27,28,29,30}-1)*LEN(Registro!$H839)+1,LEN(Registro!$H839)))," ",REPT(" ",50)),50)))),"Revisar formato"))</f>
        <v/>
      </c>
      <c r="J839" s="24" t="str">
        <f>IF(Registro!$I839="","",IFERROR(SUMPRODUCT(--("0"&amp;TRIM(RIGHT(SUBSTITUTE(TRIM(MID(SUBSTITUTE(SUBSTITUTE(Registro!$I839,";",CHAR(10)),CHAR(10),REPT(" ",LEN(Registro!$I839))),({1,2,3,4,5,6,7,8,9,10,11,12,13,14,15,16,17,18,19,20,21,22,23,24,25,26,27,28,29,30}-1)*LEN(Registro!$I839)+1,LEN(Registro!$I839)))," ",REPT(" ",50)),50)))),"Revisar formato"))</f>
        <v/>
      </c>
      <c r="K839" s="24" t="str">
        <f>IF(AND(Registro!$G839="",Registro!$H839=""),"",IF(AND(ISTEXT(I839),I839&lt;&gt;""),"Revisar formato",N(Registro!$G839)-N(I839)))</f>
        <v/>
      </c>
      <c r="L839" s="24" t="str">
        <f t="shared" si="27"/>
        <v/>
      </c>
      <c r="M839" s="36" t="str">
        <f>IF(AND(A839=Consulta!$B$3,C839=Consulta!$H$3),B839*10000+ROW(),"")</f>
        <v/>
      </c>
    </row>
    <row r="840" spans="1:13" x14ac:dyDescent="0.25">
      <c r="A840" s="21" t="str">
        <f>IF(Registro!$A840="","",Registro!$A840)</f>
        <v/>
      </c>
      <c r="B840" s="20" t="str">
        <f>IF(Registro!$B840="","",Registro!$B840)</f>
        <v/>
      </c>
      <c r="C840" s="35" t="str">
        <f t="shared" si="26"/>
        <v/>
      </c>
      <c r="D840" s="23" t="str">
        <f>IF(Registro!$E840="","",IF(ISERROR(FIND("x",LOWER(Registro!$E840))),"-",IFERROR(SUMPRODUCT(--("0"&amp;LEFT(TRIM(MID(SUBSTITUTE(SUBSTITUTE(SUBSTITUTE(SUBSTITUTE(SUBSTITUTE(LOWER(Registro!$E840),"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",LEN(Registro!$E840))),({1,2,3,4,5,6,7,8,9,10,11,12,13,14,15,16,17,18,19,20,21,22,23,24,25,26,27,28,29,30}-1)*LEN(Registro!$E840)+1,LEN(Registro!$E840))),FIND("x",TRIM(MID(SUBSTITUTE(SUBSTITUTE(SUBSTITUTE(SUBSTITUTE(SUBSTITUTE(LOWER(Registro!$E840),"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",LEN(Registro!$E840))),({1,2,3,4,5,6,7,8,9,10,11,12,13,14,15,16,17,18,19,20,21,22,23,24,25,26,27,28,29,30}-1)*LEN(Registro!$E840)+1,LEN(Registro!$E840)))&amp;"x")-1))),"Revisar formato")))</f>
        <v/>
      </c>
      <c r="E840" s="24" t="str">
        <f>IF(Registro!$E840="","",IF(ISERROR(FIND("x",LOWER(Registro!$E840))),"-",IFERROR(SUMPRODUCT(--("0"&amp;LEFT(TRIM(MID(SUBSTITUTE(SUBSTITUTE(SUBSTITUTE(SUBSTITUTE(SUBSTITUTE(LOWER(Registro!$E840),"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",LEN(Registro!$E840))),({1,2,3,4,5,6,7,8,9,10,11,12,13,14,15,16,17,18,19,20,21,22,23,24,25,26,27,28,29,30}-1)*LEN(Registro!$E840)+1,LEN(Registro!$E840))),FIND("x",TRIM(MID(SUBSTITUTE(SUBSTITUTE(SUBSTITUTE(SUBSTITUTE(SUBSTITUTE(LOWER(Registro!$E840),"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",LEN(Registro!$E840))),({1,2,3,4,5,6,7,8,9,10,11,12,13,14,15,16,17,18,19,20,21,22,23,24,25,26,27,28,29,30}-1)*LEN(Registro!$E840)+1,LEN(Registro!$E840)))&amp;"x")-1)),--("0"&amp;MID(TRIM(MID(SUBSTITUTE(SUBSTITUTE(SUBSTITUTE(SUBSTITUTE(SUBSTITUTE(LOWER(Registro!$E840),"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",LEN(Registro!$E840))),({1,2,3,4,5,6,7,8,9,10,11,12,13,14,15,16,17,18,19,20,21,22,23,24,25,26,27,28,29,30}-1)*LEN(Registro!$E840)+1,LEN(Registro!$E840))),FIND("x",TRIM(MID(SUBSTITUTE(SUBSTITUTE(SUBSTITUTE(SUBSTITUTE(SUBSTITUTE(LOWER(Registro!$E840),"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",LEN(Registro!$E840))),({1,2,3,4,5,6,7,8,9,10,11,12,13,14,15,16,17,18,19,20,21,22,23,24,25,26,27,28,29,30}-1)*LEN(Registro!$E840)+1,LEN(Registro!$E840)))&amp;"x")+1,20))),"Revisar formato")))</f>
        <v/>
      </c>
      <c r="F840" s="23" t="str">
        <f>IF(Registro!$F840="","",IF(ISERROR(FIND("x",LOWER(Registro!$F840))),"-",IFERROR(SUMPRODUCT(--("0"&amp;LEFT(TRIM(MID(SUBSTITUTE(SUBSTITUTE(SUBSTITUTE(SUBSTITUTE(SUBSTITUTE(LOWER(Registro!$F840)," ",""),CHAR(10),"|"),";","|"),"+","|"),"|",REPT(" ",LEN(Registro!$F840))),({1,2,3,4,5,6,7,8,9,10,11,12,13,14,15,16,17,18,19,20,21,22,23,24,25,26,27,28,29,30}-1)*LEN(Registro!$F840)+1,LEN(Registro!$F840))),FIND("x",TRIM(MID(SUBSTITUTE(SUBSTITUTE(SUBSTITUTE(SUBSTITUTE(SUBSTITUTE(LOWER(Registro!$F840)," ",""),CHAR(10),"|"),";","|"),"+","|"),"|",REPT(" ",LEN(Registro!$F840))),({1,2,3,4,5,6,7,8,9,10,11,12,13,14,15,16,17,18,19,20,21,22,23,24,25,26,27,28,29,30}-1)*LEN(Registro!$F840)+1,LEN(Registro!$F840)))&amp;"x")-1))),"Revisar formato")))</f>
        <v/>
      </c>
      <c r="G840" s="24" t="str">
        <f>IF(Registro!$F840="","",IF(ISERROR(FIND("x",LOWER(Registro!$F840))),N(Registro!$G840),IFERROR(SUMPRODUCT(--("0"&amp;LEFT(TRIM(MID(SUBSTITUTE(SUBSTITUTE(SUBSTITUTE(SUBSTITUTE(SUBSTITUTE(LOWER(Registro!$F840)," ",""),CHAR(10),"|"),";","|"),"+","|"),"|",REPT(" ",LEN(Registro!$F840))),({1,2,3,4,5,6,7,8,9,10,11,12,13,14,15,16,17,18,19,20,21,22,23,24,25,26,27,28,29,30}-1)*LEN(Registro!$F840)+1,LEN(Registro!$F840))),FIND("x",TRIM(MID(SUBSTITUTE(SUBSTITUTE(SUBSTITUTE(SUBSTITUTE(SUBSTITUTE(LOWER(Registro!$F840)," ",""),CHAR(10),"|"),";","|"),"+","|"),"|",REPT(" ",LEN(Registro!$F840))),({1,2,3,4,5,6,7,8,9,10,11,12,13,14,15,16,17,18,19,20,21,22,23,24,25,26,27,28,29,30}-1)*LEN(Registro!$F840)+1,LEN(Registro!$F840)))&amp;"x")-1)),--("0"&amp;MID(TRIM(MID(SUBSTITUTE(SUBSTITUTE(SUBSTITUTE(SUBSTITUTE(SUBSTITUTE(LOWER(Registro!$F840)," ",""),CHAR(10),"|"),";","|"),"+","|"),"|",REPT(" ",LEN(Registro!$F840))),({1,2,3,4,5,6,7,8,9,10,11,12,13,14,15,16,17,18,19,20,21,22,23,24,25,26,27,28,29,30}-1)*LEN(Registro!$F840)+1,LEN(Registro!$F840))),FIND("x",TRIM(MID(SUBSTITUTE(SUBSTITUTE(SUBSTITUTE(SUBSTITUTE(SUBSTITUTE(LOWER(Registro!$F840)," ",""),CHAR(10),"|"),";","|"),"+","|"),"|",REPT(" ",LEN(Registro!$F840))),({1,2,3,4,5,6,7,8,9,10,11,12,13,14,15,16,17,18,19,20,21,22,23,24,25,26,27,28,29,30}-1)*LEN(Registro!$F840)+1,LEN(Registro!$F840)))&amp;"x")+1,20))),"Revisar formato")))</f>
        <v/>
      </c>
      <c r="H840" s="21" t="str">
        <f>IF(AND(Registro!$E840="",Registro!$F840=""),"",IF(NOT(AND(ISNUMBER(G840),ISNUMBER(Registro!$G840))),"",IF(G840&lt;Registro!$G840,"FALTA BOLETOS",IF(G840=Registro!$G840,"CONFORME","DIFERENCIA"))))</f>
        <v/>
      </c>
      <c r="I840" s="24" t="str">
        <f>IF(Registro!$H840="","",IFERROR(SUMPRODUCT(--("0"&amp;TRIM(RIGHT(SUBSTITUTE(TRIM(MID(SUBSTITUTE(SUBSTITUTE(Registro!$H840,";",CHAR(10)),CHAR(10),REPT(" ",LEN(Registro!$H840))),({1,2,3,4,5,6,7,8,9,10,11,12,13,14,15,16,17,18,19,20,21,22,23,24,25,26,27,28,29,30}-1)*LEN(Registro!$H840)+1,LEN(Registro!$H840)))," ",REPT(" ",50)),50)))),"Revisar formato"))</f>
        <v/>
      </c>
      <c r="J840" s="24" t="str">
        <f>IF(Registro!$I840="","",IFERROR(SUMPRODUCT(--("0"&amp;TRIM(RIGHT(SUBSTITUTE(TRIM(MID(SUBSTITUTE(SUBSTITUTE(Registro!$I840,";",CHAR(10)),CHAR(10),REPT(" ",LEN(Registro!$I840))),({1,2,3,4,5,6,7,8,9,10,11,12,13,14,15,16,17,18,19,20,21,22,23,24,25,26,27,28,29,30}-1)*LEN(Registro!$I840)+1,LEN(Registro!$I840)))," ",REPT(" ",50)),50)))),"Revisar formato"))</f>
        <v/>
      </c>
      <c r="K840" s="24" t="str">
        <f>IF(AND(Registro!$G840="",Registro!$H840=""),"",IF(AND(ISTEXT(I840),I840&lt;&gt;""),"Revisar formato",N(Registro!$G840)-N(I840)))</f>
        <v/>
      </c>
      <c r="L840" s="24" t="str">
        <f t="shared" si="27"/>
        <v/>
      </c>
      <c r="M840" s="36" t="str">
        <f>IF(AND(A840=Consulta!$B$3,C840=Consulta!$H$3),B840*10000+ROW(),"")</f>
        <v/>
      </c>
    </row>
    <row r="841" spans="1:13" x14ac:dyDescent="0.25">
      <c r="A841" s="21" t="str">
        <f>IF(Registro!$A841="","",Registro!$A841)</f>
        <v/>
      </c>
      <c r="B841" s="20" t="str">
        <f>IF(Registro!$B841="","",Registro!$B841)</f>
        <v/>
      </c>
      <c r="C841" s="35" t="str">
        <f t="shared" si="26"/>
        <v/>
      </c>
      <c r="D841" s="23" t="str">
        <f>IF(Registro!$E841="","",IF(ISERROR(FIND("x",LOWER(Registro!$E841))),"-",IFERROR(SUMPRODUCT(--("0"&amp;LEFT(TRIM(MID(SUBSTITUTE(SUBSTITUTE(SUBSTITUTE(SUBSTITUTE(SUBSTITUTE(LOWER(Registro!$E841),"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",LEN(Registro!$E841))),({1,2,3,4,5,6,7,8,9,10,11,12,13,14,15,16,17,18,19,20,21,22,23,24,25,26,27,28,29,30}-1)*LEN(Registro!$E841)+1,LEN(Registro!$E841))),FIND("x",TRIM(MID(SUBSTITUTE(SUBSTITUTE(SUBSTITUTE(SUBSTITUTE(SUBSTITUTE(LOWER(Registro!$E841),"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",LEN(Registro!$E841))),({1,2,3,4,5,6,7,8,9,10,11,12,13,14,15,16,17,18,19,20,21,22,23,24,25,26,27,28,29,30}-1)*LEN(Registro!$E841)+1,LEN(Registro!$E841)))&amp;"x")-1))),"Revisar formato")))</f>
        <v/>
      </c>
      <c r="E841" s="24" t="str">
        <f>IF(Registro!$E841="","",IF(ISERROR(FIND("x",LOWER(Registro!$E841))),"-",IFERROR(SUMPRODUCT(--("0"&amp;LEFT(TRIM(MID(SUBSTITUTE(SUBSTITUTE(SUBSTITUTE(SUBSTITUTE(SUBSTITUTE(LOWER(Registro!$E841),"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",LEN(Registro!$E841))),({1,2,3,4,5,6,7,8,9,10,11,12,13,14,15,16,17,18,19,20,21,22,23,24,25,26,27,28,29,30}-1)*LEN(Registro!$E841)+1,LEN(Registro!$E841))),FIND("x",TRIM(MID(SUBSTITUTE(SUBSTITUTE(SUBSTITUTE(SUBSTITUTE(SUBSTITUTE(LOWER(Registro!$E841),"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",LEN(Registro!$E841))),({1,2,3,4,5,6,7,8,9,10,11,12,13,14,15,16,17,18,19,20,21,22,23,24,25,26,27,28,29,30}-1)*LEN(Registro!$E841)+1,LEN(Registro!$E841)))&amp;"x")-1)),--("0"&amp;MID(TRIM(MID(SUBSTITUTE(SUBSTITUTE(SUBSTITUTE(SUBSTITUTE(SUBSTITUTE(LOWER(Registro!$E841),"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",LEN(Registro!$E841))),({1,2,3,4,5,6,7,8,9,10,11,12,13,14,15,16,17,18,19,20,21,22,23,24,25,26,27,28,29,30}-1)*LEN(Registro!$E841)+1,LEN(Registro!$E841))),FIND("x",TRIM(MID(SUBSTITUTE(SUBSTITUTE(SUBSTITUTE(SUBSTITUTE(SUBSTITUTE(LOWER(Registro!$E841),"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",LEN(Registro!$E841))),({1,2,3,4,5,6,7,8,9,10,11,12,13,14,15,16,17,18,19,20,21,22,23,24,25,26,27,28,29,30}-1)*LEN(Registro!$E841)+1,LEN(Registro!$E841)))&amp;"x")+1,20))),"Revisar formato")))</f>
        <v/>
      </c>
      <c r="F841" s="23" t="str">
        <f>IF(Registro!$F841="","",IF(ISERROR(FIND("x",LOWER(Registro!$F841))),"-",IFERROR(SUMPRODUCT(--("0"&amp;LEFT(TRIM(MID(SUBSTITUTE(SUBSTITUTE(SUBSTITUTE(SUBSTITUTE(SUBSTITUTE(LOWER(Registro!$F841)," ",""),CHAR(10),"|"),";","|"),"+","|"),"|",REPT(" ",LEN(Registro!$F841))),({1,2,3,4,5,6,7,8,9,10,11,12,13,14,15,16,17,18,19,20,21,22,23,24,25,26,27,28,29,30}-1)*LEN(Registro!$F841)+1,LEN(Registro!$F841))),FIND("x",TRIM(MID(SUBSTITUTE(SUBSTITUTE(SUBSTITUTE(SUBSTITUTE(SUBSTITUTE(LOWER(Registro!$F841)," ",""),CHAR(10),"|"),";","|"),"+","|"),"|",REPT(" ",LEN(Registro!$F841))),({1,2,3,4,5,6,7,8,9,10,11,12,13,14,15,16,17,18,19,20,21,22,23,24,25,26,27,28,29,30}-1)*LEN(Registro!$F841)+1,LEN(Registro!$F841)))&amp;"x")-1))),"Revisar formato")))</f>
        <v/>
      </c>
      <c r="G841" s="24" t="str">
        <f>IF(Registro!$F841="","",IF(ISERROR(FIND("x",LOWER(Registro!$F841))),N(Registro!$G841),IFERROR(SUMPRODUCT(--("0"&amp;LEFT(TRIM(MID(SUBSTITUTE(SUBSTITUTE(SUBSTITUTE(SUBSTITUTE(SUBSTITUTE(LOWER(Registro!$F841)," ",""),CHAR(10),"|"),";","|"),"+","|"),"|",REPT(" ",LEN(Registro!$F841))),({1,2,3,4,5,6,7,8,9,10,11,12,13,14,15,16,17,18,19,20,21,22,23,24,25,26,27,28,29,30}-1)*LEN(Registro!$F841)+1,LEN(Registro!$F841))),FIND("x",TRIM(MID(SUBSTITUTE(SUBSTITUTE(SUBSTITUTE(SUBSTITUTE(SUBSTITUTE(LOWER(Registro!$F841)," ",""),CHAR(10),"|"),";","|"),"+","|"),"|",REPT(" ",LEN(Registro!$F841))),({1,2,3,4,5,6,7,8,9,10,11,12,13,14,15,16,17,18,19,20,21,22,23,24,25,26,27,28,29,30}-1)*LEN(Registro!$F841)+1,LEN(Registro!$F841)))&amp;"x")-1)),--("0"&amp;MID(TRIM(MID(SUBSTITUTE(SUBSTITUTE(SUBSTITUTE(SUBSTITUTE(SUBSTITUTE(LOWER(Registro!$F841)," ",""),CHAR(10),"|"),";","|"),"+","|"),"|",REPT(" ",LEN(Registro!$F841))),({1,2,3,4,5,6,7,8,9,10,11,12,13,14,15,16,17,18,19,20,21,22,23,24,25,26,27,28,29,30}-1)*LEN(Registro!$F841)+1,LEN(Registro!$F841))),FIND("x",TRIM(MID(SUBSTITUTE(SUBSTITUTE(SUBSTITUTE(SUBSTITUTE(SUBSTITUTE(LOWER(Registro!$F841)," ",""),CHAR(10),"|"),";","|"),"+","|"),"|",REPT(" ",LEN(Registro!$F841))),({1,2,3,4,5,6,7,8,9,10,11,12,13,14,15,16,17,18,19,20,21,22,23,24,25,26,27,28,29,30}-1)*LEN(Registro!$F841)+1,LEN(Registro!$F841)))&amp;"x")+1,20))),"Revisar formato")))</f>
        <v/>
      </c>
      <c r="H841" s="21" t="str">
        <f>IF(AND(Registro!$E841="",Registro!$F841=""),"",IF(NOT(AND(ISNUMBER(G841),ISNUMBER(Registro!$G841))),"",IF(G841&lt;Registro!$G841,"FALTA BOLETOS",IF(G841=Registro!$G841,"CONFORME","DIFERENCIA"))))</f>
        <v/>
      </c>
      <c r="I841" s="24" t="str">
        <f>IF(Registro!$H841="","",IFERROR(SUMPRODUCT(--("0"&amp;TRIM(RIGHT(SUBSTITUTE(TRIM(MID(SUBSTITUTE(SUBSTITUTE(Registro!$H841,";",CHAR(10)),CHAR(10),REPT(" ",LEN(Registro!$H841))),({1,2,3,4,5,6,7,8,9,10,11,12,13,14,15,16,17,18,19,20,21,22,23,24,25,26,27,28,29,30}-1)*LEN(Registro!$H841)+1,LEN(Registro!$H841)))," ",REPT(" ",50)),50)))),"Revisar formato"))</f>
        <v/>
      </c>
      <c r="J841" s="24" t="str">
        <f>IF(Registro!$I841="","",IFERROR(SUMPRODUCT(--("0"&amp;TRIM(RIGHT(SUBSTITUTE(TRIM(MID(SUBSTITUTE(SUBSTITUTE(Registro!$I841,";",CHAR(10)),CHAR(10),REPT(" ",LEN(Registro!$I841))),({1,2,3,4,5,6,7,8,9,10,11,12,13,14,15,16,17,18,19,20,21,22,23,24,25,26,27,28,29,30}-1)*LEN(Registro!$I841)+1,LEN(Registro!$I841)))," ",REPT(" ",50)),50)))),"Revisar formato"))</f>
        <v/>
      </c>
      <c r="K841" s="24" t="str">
        <f>IF(AND(Registro!$G841="",Registro!$H841=""),"",IF(AND(ISTEXT(I841),I841&lt;&gt;""),"Revisar formato",N(Registro!$G841)-N(I841)))</f>
        <v/>
      </c>
      <c r="L841" s="24" t="str">
        <f t="shared" si="27"/>
        <v/>
      </c>
      <c r="M841" s="36" t="str">
        <f>IF(AND(A841=Consulta!$B$3,C841=Consulta!$H$3),B841*10000+ROW(),"")</f>
        <v/>
      </c>
    </row>
    <row r="842" spans="1:13" x14ac:dyDescent="0.25">
      <c r="A842" s="21" t="str">
        <f>IF(Registro!$A842="","",Registro!$A842)</f>
        <v/>
      </c>
      <c r="B842" s="20" t="str">
        <f>IF(Registro!$B842="","",Registro!$B842)</f>
        <v/>
      </c>
      <c r="C842" s="35" t="str">
        <f t="shared" si="26"/>
        <v/>
      </c>
      <c r="D842" s="23" t="str">
        <f>IF(Registro!$E842="","",IF(ISERROR(FIND("x",LOWER(Registro!$E842))),"-",IFERROR(SUMPRODUCT(--("0"&amp;LEFT(TRIM(MID(SUBSTITUTE(SUBSTITUTE(SUBSTITUTE(SUBSTITUTE(SUBSTITUTE(LOWER(Registro!$E842),"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",LEN(Registro!$E842))),({1,2,3,4,5,6,7,8,9,10,11,12,13,14,15,16,17,18,19,20,21,22,23,24,25,26,27,28,29,30}-1)*LEN(Registro!$E842)+1,LEN(Registro!$E842))),FIND("x",TRIM(MID(SUBSTITUTE(SUBSTITUTE(SUBSTITUTE(SUBSTITUTE(SUBSTITUTE(LOWER(Registro!$E842),"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",LEN(Registro!$E842))),({1,2,3,4,5,6,7,8,9,10,11,12,13,14,15,16,17,18,19,20,21,22,23,24,25,26,27,28,29,30}-1)*LEN(Registro!$E842)+1,LEN(Registro!$E842)))&amp;"x")-1))),"Revisar formato")))</f>
        <v/>
      </c>
      <c r="E842" s="24" t="str">
        <f>IF(Registro!$E842="","",IF(ISERROR(FIND("x",LOWER(Registro!$E842))),"-",IFERROR(SUMPRODUCT(--("0"&amp;LEFT(TRIM(MID(SUBSTITUTE(SUBSTITUTE(SUBSTITUTE(SUBSTITUTE(SUBSTITUTE(LOWER(Registro!$E842),"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",LEN(Registro!$E842))),({1,2,3,4,5,6,7,8,9,10,11,12,13,14,15,16,17,18,19,20,21,22,23,24,25,26,27,28,29,30}-1)*LEN(Registro!$E842)+1,LEN(Registro!$E842))),FIND("x",TRIM(MID(SUBSTITUTE(SUBSTITUTE(SUBSTITUTE(SUBSTITUTE(SUBSTITUTE(LOWER(Registro!$E842),"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",LEN(Registro!$E842))),({1,2,3,4,5,6,7,8,9,10,11,12,13,14,15,16,17,18,19,20,21,22,23,24,25,26,27,28,29,30}-1)*LEN(Registro!$E842)+1,LEN(Registro!$E842)))&amp;"x")-1)),--("0"&amp;MID(TRIM(MID(SUBSTITUTE(SUBSTITUTE(SUBSTITUTE(SUBSTITUTE(SUBSTITUTE(LOWER(Registro!$E842),"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",LEN(Registro!$E842))),({1,2,3,4,5,6,7,8,9,10,11,12,13,14,15,16,17,18,19,20,21,22,23,24,25,26,27,28,29,30}-1)*LEN(Registro!$E842)+1,LEN(Registro!$E842))),FIND("x",TRIM(MID(SUBSTITUTE(SUBSTITUTE(SUBSTITUTE(SUBSTITUTE(SUBSTITUTE(LOWER(Registro!$E842),"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",LEN(Registro!$E842))),({1,2,3,4,5,6,7,8,9,10,11,12,13,14,15,16,17,18,19,20,21,22,23,24,25,26,27,28,29,30}-1)*LEN(Registro!$E842)+1,LEN(Registro!$E842)))&amp;"x")+1,20))),"Revisar formato")))</f>
        <v/>
      </c>
      <c r="F842" s="23" t="str">
        <f>IF(Registro!$F842="","",IF(ISERROR(FIND("x",LOWER(Registro!$F842))),"-",IFERROR(SUMPRODUCT(--("0"&amp;LEFT(TRIM(MID(SUBSTITUTE(SUBSTITUTE(SUBSTITUTE(SUBSTITUTE(SUBSTITUTE(LOWER(Registro!$F842)," ",""),CHAR(10),"|"),";","|"),"+","|"),"|",REPT(" ",LEN(Registro!$F842))),({1,2,3,4,5,6,7,8,9,10,11,12,13,14,15,16,17,18,19,20,21,22,23,24,25,26,27,28,29,30}-1)*LEN(Registro!$F842)+1,LEN(Registro!$F842))),FIND("x",TRIM(MID(SUBSTITUTE(SUBSTITUTE(SUBSTITUTE(SUBSTITUTE(SUBSTITUTE(LOWER(Registro!$F842)," ",""),CHAR(10),"|"),";","|"),"+","|"),"|",REPT(" ",LEN(Registro!$F842))),({1,2,3,4,5,6,7,8,9,10,11,12,13,14,15,16,17,18,19,20,21,22,23,24,25,26,27,28,29,30}-1)*LEN(Registro!$F842)+1,LEN(Registro!$F842)))&amp;"x")-1))),"Revisar formato")))</f>
        <v/>
      </c>
      <c r="G842" s="24" t="str">
        <f>IF(Registro!$F842="","",IF(ISERROR(FIND("x",LOWER(Registro!$F842))),N(Registro!$G842),IFERROR(SUMPRODUCT(--("0"&amp;LEFT(TRIM(MID(SUBSTITUTE(SUBSTITUTE(SUBSTITUTE(SUBSTITUTE(SUBSTITUTE(LOWER(Registro!$F842)," ",""),CHAR(10),"|"),";","|"),"+","|"),"|",REPT(" ",LEN(Registro!$F842))),({1,2,3,4,5,6,7,8,9,10,11,12,13,14,15,16,17,18,19,20,21,22,23,24,25,26,27,28,29,30}-1)*LEN(Registro!$F842)+1,LEN(Registro!$F842))),FIND("x",TRIM(MID(SUBSTITUTE(SUBSTITUTE(SUBSTITUTE(SUBSTITUTE(SUBSTITUTE(LOWER(Registro!$F842)," ",""),CHAR(10),"|"),";","|"),"+","|"),"|",REPT(" ",LEN(Registro!$F842))),({1,2,3,4,5,6,7,8,9,10,11,12,13,14,15,16,17,18,19,20,21,22,23,24,25,26,27,28,29,30}-1)*LEN(Registro!$F842)+1,LEN(Registro!$F842)))&amp;"x")-1)),--("0"&amp;MID(TRIM(MID(SUBSTITUTE(SUBSTITUTE(SUBSTITUTE(SUBSTITUTE(SUBSTITUTE(LOWER(Registro!$F842)," ",""),CHAR(10),"|"),";","|"),"+","|"),"|",REPT(" ",LEN(Registro!$F842))),({1,2,3,4,5,6,7,8,9,10,11,12,13,14,15,16,17,18,19,20,21,22,23,24,25,26,27,28,29,30}-1)*LEN(Registro!$F842)+1,LEN(Registro!$F842))),FIND("x",TRIM(MID(SUBSTITUTE(SUBSTITUTE(SUBSTITUTE(SUBSTITUTE(SUBSTITUTE(LOWER(Registro!$F842)," ",""),CHAR(10),"|"),";","|"),"+","|"),"|",REPT(" ",LEN(Registro!$F842))),({1,2,3,4,5,6,7,8,9,10,11,12,13,14,15,16,17,18,19,20,21,22,23,24,25,26,27,28,29,30}-1)*LEN(Registro!$F842)+1,LEN(Registro!$F842)))&amp;"x")+1,20))),"Revisar formato")))</f>
        <v/>
      </c>
      <c r="H842" s="21" t="str">
        <f>IF(AND(Registro!$E842="",Registro!$F842=""),"",IF(NOT(AND(ISNUMBER(G842),ISNUMBER(Registro!$G842))),"",IF(G842&lt;Registro!$G842,"FALTA BOLETOS",IF(G842=Registro!$G842,"CONFORME","DIFERENCIA"))))</f>
        <v/>
      </c>
      <c r="I842" s="24" t="str">
        <f>IF(Registro!$H842="","",IFERROR(SUMPRODUCT(--("0"&amp;TRIM(RIGHT(SUBSTITUTE(TRIM(MID(SUBSTITUTE(SUBSTITUTE(Registro!$H842,";",CHAR(10)),CHAR(10),REPT(" ",LEN(Registro!$H842))),({1,2,3,4,5,6,7,8,9,10,11,12,13,14,15,16,17,18,19,20,21,22,23,24,25,26,27,28,29,30}-1)*LEN(Registro!$H842)+1,LEN(Registro!$H842)))," ",REPT(" ",50)),50)))),"Revisar formato"))</f>
        <v/>
      </c>
      <c r="J842" s="24" t="str">
        <f>IF(Registro!$I842="","",IFERROR(SUMPRODUCT(--("0"&amp;TRIM(RIGHT(SUBSTITUTE(TRIM(MID(SUBSTITUTE(SUBSTITUTE(Registro!$I842,";",CHAR(10)),CHAR(10),REPT(" ",LEN(Registro!$I842))),({1,2,3,4,5,6,7,8,9,10,11,12,13,14,15,16,17,18,19,20,21,22,23,24,25,26,27,28,29,30}-1)*LEN(Registro!$I842)+1,LEN(Registro!$I842)))," ",REPT(" ",50)),50)))),"Revisar formato"))</f>
        <v/>
      </c>
      <c r="K842" s="24" t="str">
        <f>IF(AND(Registro!$G842="",Registro!$H842=""),"",IF(AND(ISTEXT(I842),I842&lt;&gt;""),"Revisar formato",N(Registro!$G842)-N(I842)))</f>
        <v/>
      </c>
      <c r="L842" s="24" t="str">
        <f t="shared" si="27"/>
        <v/>
      </c>
      <c r="M842" s="36" t="str">
        <f>IF(AND(A842=Consulta!$B$3,C842=Consulta!$H$3),B842*10000+ROW(),"")</f>
        <v/>
      </c>
    </row>
    <row r="843" spans="1:13" x14ac:dyDescent="0.25">
      <c r="A843" s="21" t="str">
        <f>IF(Registro!$A843="","",Registro!$A843)</f>
        <v/>
      </c>
      <c r="B843" s="20" t="str">
        <f>IF(Registro!$B843="","",Registro!$B843)</f>
        <v/>
      </c>
      <c r="C843" s="35" t="str">
        <f t="shared" si="26"/>
        <v/>
      </c>
      <c r="D843" s="23" t="str">
        <f>IF(Registro!$E843="","",IF(ISERROR(FIND("x",LOWER(Registro!$E843))),"-",IFERROR(SUMPRODUCT(--("0"&amp;LEFT(TRIM(MID(SUBSTITUTE(SUBSTITUTE(SUBSTITUTE(SUBSTITUTE(SUBSTITUTE(LOWER(Registro!$E843),"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",LEN(Registro!$E843))),({1,2,3,4,5,6,7,8,9,10,11,12,13,14,15,16,17,18,19,20,21,22,23,24,25,26,27,28,29,30}-1)*LEN(Registro!$E843)+1,LEN(Registro!$E843))),FIND("x",TRIM(MID(SUBSTITUTE(SUBSTITUTE(SUBSTITUTE(SUBSTITUTE(SUBSTITUTE(LOWER(Registro!$E843),"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",LEN(Registro!$E843))),({1,2,3,4,5,6,7,8,9,10,11,12,13,14,15,16,17,18,19,20,21,22,23,24,25,26,27,28,29,30}-1)*LEN(Registro!$E843)+1,LEN(Registro!$E843)))&amp;"x")-1))),"Revisar formato")))</f>
        <v/>
      </c>
      <c r="E843" s="24" t="str">
        <f>IF(Registro!$E843="","",IF(ISERROR(FIND("x",LOWER(Registro!$E843))),"-",IFERROR(SUMPRODUCT(--("0"&amp;LEFT(TRIM(MID(SUBSTITUTE(SUBSTITUTE(SUBSTITUTE(SUBSTITUTE(SUBSTITUTE(LOWER(Registro!$E843),"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",LEN(Registro!$E843))),({1,2,3,4,5,6,7,8,9,10,11,12,13,14,15,16,17,18,19,20,21,22,23,24,25,26,27,28,29,30}-1)*LEN(Registro!$E843)+1,LEN(Registro!$E843))),FIND("x",TRIM(MID(SUBSTITUTE(SUBSTITUTE(SUBSTITUTE(SUBSTITUTE(SUBSTITUTE(LOWER(Registro!$E843),"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",LEN(Registro!$E843))),({1,2,3,4,5,6,7,8,9,10,11,12,13,14,15,16,17,18,19,20,21,22,23,24,25,26,27,28,29,30}-1)*LEN(Registro!$E843)+1,LEN(Registro!$E843)))&amp;"x")-1)),--("0"&amp;MID(TRIM(MID(SUBSTITUTE(SUBSTITUTE(SUBSTITUTE(SUBSTITUTE(SUBSTITUTE(LOWER(Registro!$E843),"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",LEN(Registro!$E843))),({1,2,3,4,5,6,7,8,9,10,11,12,13,14,15,16,17,18,19,20,21,22,23,24,25,26,27,28,29,30}-1)*LEN(Registro!$E843)+1,LEN(Registro!$E843))),FIND("x",TRIM(MID(SUBSTITUTE(SUBSTITUTE(SUBSTITUTE(SUBSTITUTE(SUBSTITUTE(LOWER(Registro!$E843),"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",LEN(Registro!$E843))),({1,2,3,4,5,6,7,8,9,10,11,12,13,14,15,16,17,18,19,20,21,22,23,24,25,26,27,28,29,30}-1)*LEN(Registro!$E843)+1,LEN(Registro!$E843)))&amp;"x")+1,20))),"Revisar formato")))</f>
        <v/>
      </c>
      <c r="F843" s="23" t="str">
        <f>IF(Registro!$F843="","",IF(ISERROR(FIND("x",LOWER(Registro!$F843))),"-",IFERROR(SUMPRODUCT(--("0"&amp;LEFT(TRIM(MID(SUBSTITUTE(SUBSTITUTE(SUBSTITUTE(SUBSTITUTE(SUBSTITUTE(LOWER(Registro!$F843)," ",""),CHAR(10),"|"),";","|"),"+","|"),"|",REPT(" ",LEN(Registro!$F843))),({1,2,3,4,5,6,7,8,9,10,11,12,13,14,15,16,17,18,19,20,21,22,23,24,25,26,27,28,29,30}-1)*LEN(Registro!$F843)+1,LEN(Registro!$F843))),FIND("x",TRIM(MID(SUBSTITUTE(SUBSTITUTE(SUBSTITUTE(SUBSTITUTE(SUBSTITUTE(LOWER(Registro!$F843)," ",""),CHAR(10),"|"),";","|"),"+","|"),"|",REPT(" ",LEN(Registro!$F843))),({1,2,3,4,5,6,7,8,9,10,11,12,13,14,15,16,17,18,19,20,21,22,23,24,25,26,27,28,29,30}-1)*LEN(Registro!$F843)+1,LEN(Registro!$F843)))&amp;"x")-1))),"Revisar formato")))</f>
        <v/>
      </c>
      <c r="G843" s="24" t="str">
        <f>IF(Registro!$F843="","",IF(ISERROR(FIND("x",LOWER(Registro!$F843))),N(Registro!$G843),IFERROR(SUMPRODUCT(--("0"&amp;LEFT(TRIM(MID(SUBSTITUTE(SUBSTITUTE(SUBSTITUTE(SUBSTITUTE(SUBSTITUTE(LOWER(Registro!$F843)," ",""),CHAR(10),"|"),";","|"),"+","|"),"|",REPT(" ",LEN(Registro!$F843))),({1,2,3,4,5,6,7,8,9,10,11,12,13,14,15,16,17,18,19,20,21,22,23,24,25,26,27,28,29,30}-1)*LEN(Registro!$F843)+1,LEN(Registro!$F843))),FIND("x",TRIM(MID(SUBSTITUTE(SUBSTITUTE(SUBSTITUTE(SUBSTITUTE(SUBSTITUTE(LOWER(Registro!$F843)," ",""),CHAR(10),"|"),";","|"),"+","|"),"|",REPT(" ",LEN(Registro!$F843))),({1,2,3,4,5,6,7,8,9,10,11,12,13,14,15,16,17,18,19,20,21,22,23,24,25,26,27,28,29,30}-1)*LEN(Registro!$F843)+1,LEN(Registro!$F843)))&amp;"x")-1)),--("0"&amp;MID(TRIM(MID(SUBSTITUTE(SUBSTITUTE(SUBSTITUTE(SUBSTITUTE(SUBSTITUTE(LOWER(Registro!$F843)," ",""),CHAR(10),"|"),";","|"),"+","|"),"|",REPT(" ",LEN(Registro!$F843))),({1,2,3,4,5,6,7,8,9,10,11,12,13,14,15,16,17,18,19,20,21,22,23,24,25,26,27,28,29,30}-1)*LEN(Registro!$F843)+1,LEN(Registro!$F843))),FIND("x",TRIM(MID(SUBSTITUTE(SUBSTITUTE(SUBSTITUTE(SUBSTITUTE(SUBSTITUTE(LOWER(Registro!$F843)," ",""),CHAR(10),"|"),";","|"),"+","|"),"|",REPT(" ",LEN(Registro!$F843))),({1,2,3,4,5,6,7,8,9,10,11,12,13,14,15,16,17,18,19,20,21,22,23,24,25,26,27,28,29,30}-1)*LEN(Registro!$F843)+1,LEN(Registro!$F843)))&amp;"x")+1,20))),"Revisar formato")))</f>
        <v/>
      </c>
      <c r="H843" s="21" t="str">
        <f>IF(AND(Registro!$E843="",Registro!$F843=""),"",IF(NOT(AND(ISNUMBER(G843),ISNUMBER(Registro!$G843))),"",IF(G843&lt;Registro!$G843,"FALTA BOLETOS",IF(G843=Registro!$G843,"CONFORME","DIFERENCIA"))))</f>
        <v/>
      </c>
      <c r="I843" s="24" t="str">
        <f>IF(Registro!$H843="","",IFERROR(SUMPRODUCT(--("0"&amp;TRIM(RIGHT(SUBSTITUTE(TRIM(MID(SUBSTITUTE(SUBSTITUTE(Registro!$H843,";",CHAR(10)),CHAR(10),REPT(" ",LEN(Registro!$H843))),({1,2,3,4,5,6,7,8,9,10,11,12,13,14,15,16,17,18,19,20,21,22,23,24,25,26,27,28,29,30}-1)*LEN(Registro!$H843)+1,LEN(Registro!$H843)))," ",REPT(" ",50)),50)))),"Revisar formato"))</f>
        <v/>
      </c>
      <c r="J843" s="24" t="str">
        <f>IF(Registro!$I843="","",IFERROR(SUMPRODUCT(--("0"&amp;TRIM(RIGHT(SUBSTITUTE(TRIM(MID(SUBSTITUTE(SUBSTITUTE(Registro!$I843,";",CHAR(10)),CHAR(10),REPT(" ",LEN(Registro!$I843))),({1,2,3,4,5,6,7,8,9,10,11,12,13,14,15,16,17,18,19,20,21,22,23,24,25,26,27,28,29,30}-1)*LEN(Registro!$I843)+1,LEN(Registro!$I843)))," ",REPT(" ",50)),50)))),"Revisar formato"))</f>
        <v/>
      </c>
      <c r="K843" s="24" t="str">
        <f>IF(AND(Registro!$G843="",Registro!$H843=""),"",IF(AND(ISTEXT(I843),I843&lt;&gt;""),"Revisar formato",N(Registro!$G843)-N(I843)))</f>
        <v/>
      </c>
      <c r="L843" s="24" t="str">
        <f t="shared" si="27"/>
        <v/>
      </c>
      <c r="M843" s="36" t="str">
        <f>IF(AND(A843=Consulta!$B$3,C843=Consulta!$H$3),B843*10000+ROW(),"")</f>
        <v/>
      </c>
    </row>
    <row r="844" spans="1:13" x14ac:dyDescent="0.25">
      <c r="A844" s="21" t="str">
        <f>IF(Registro!$A844="","",Registro!$A844)</f>
        <v/>
      </c>
      <c r="B844" s="20" t="str">
        <f>IF(Registro!$B844="","",Registro!$B844)</f>
        <v/>
      </c>
      <c r="C844" s="35" t="str">
        <f t="shared" si="26"/>
        <v/>
      </c>
      <c r="D844" s="23" t="str">
        <f>IF(Registro!$E844="","",IF(ISERROR(FIND("x",LOWER(Registro!$E844))),"-",IFERROR(SUMPRODUCT(--("0"&amp;LEFT(TRIM(MID(SUBSTITUTE(SUBSTITUTE(SUBSTITUTE(SUBSTITUTE(SUBSTITUTE(LOWER(Registro!$E844),"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",LEN(Registro!$E844))),({1,2,3,4,5,6,7,8,9,10,11,12,13,14,15,16,17,18,19,20,21,22,23,24,25,26,27,28,29,30}-1)*LEN(Registro!$E844)+1,LEN(Registro!$E844))),FIND("x",TRIM(MID(SUBSTITUTE(SUBSTITUTE(SUBSTITUTE(SUBSTITUTE(SUBSTITUTE(LOWER(Registro!$E844),"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",LEN(Registro!$E844))),({1,2,3,4,5,6,7,8,9,10,11,12,13,14,15,16,17,18,19,20,21,22,23,24,25,26,27,28,29,30}-1)*LEN(Registro!$E844)+1,LEN(Registro!$E844)))&amp;"x")-1))),"Revisar formato")))</f>
        <v/>
      </c>
      <c r="E844" s="24" t="str">
        <f>IF(Registro!$E844="","",IF(ISERROR(FIND("x",LOWER(Registro!$E844))),"-",IFERROR(SUMPRODUCT(--("0"&amp;LEFT(TRIM(MID(SUBSTITUTE(SUBSTITUTE(SUBSTITUTE(SUBSTITUTE(SUBSTITUTE(LOWER(Registro!$E844),"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",LEN(Registro!$E844))),({1,2,3,4,5,6,7,8,9,10,11,12,13,14,15,16,17,18,19,20,21,22,23,24,25,26,27,28,29,30}-1)*LEN(Registro!$E844)+1,LEN(Registro!$E844))),FIND("x",TRIM(MID(SUBSTITUTE(SUBSTITUTE(SUBSTITUTE(SUBSTITUTE(SUBSTITUTE(LOWER(Registro!$E844),"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",LEN(Registro!$E844))),({1,2,3,4,5,6,7,8,9,10,11,12,13,14,15,16,17,18,19,20,21,22,23,24,25,26,27,28,29,30}-1)*LEN(Registro!$E844)+1,LEN(Registro!$E844)))&amp;"x")-1)),--("0"&amp;MID(TRIM(MID(SUBSTITUTE(SUBSTITUTE(SUBSTITUTE(SUBSTITUTE(SUBSTITUTE(LOWER(Registro!$E844),"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",LEN(Registro!$E844))),({1,2,3,4,5,6,7,8,9,10,11,12,13,14,15,16,17,18,19,20,21,22,23,24,25,26,27,28,29,30}-1)*LEN(Registro!$E844)+1,LEN(Registro!$E844))),FIND("x",TRIM(MID(SUBSTITUTE(SUBSTITUTE(SUBSTITUTE(SUBSTITUTE(SUBSTITUTE(LOWER(Registro!$E844),"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",LEN(Registro!$E844))),({1,2,3,4,5,6,7,8,9,10,11,12,13,14,15,16,17,18,19,20,21,22,23,24,25,26,27,28,29,30}-1)*LEN(Registro!$E844)+1,LEN(Registro!$E844)))&amp;"x")+1,20))),"Revisar formato")))</f>
        <v/>
      </c>
      <c r="F844" s="23" t="str">
        <f>IF(Registro!$F844="","",IF(ISERROR(FIND("x",LOWER(Registro!$F844))),"-",IFERROR(SUMPRODUCT(--("0"&amp;LEFT(TRIM(MID(SUBSTITUTE(SUBSTITUTE(SUBSTITUTE(SUBSTITUTE(SUBSTITUTE(LOWER(Registro!$F844)," ",""),CHAR(10),"|"),";","|"),"+","|"),"|",REPT(" ",LEN(Registro!$F844))),({1,2,3,4,5,6,7,8,9,10,11,12,13,14,15,16,17,18,19,20,21,22,23,24,25,26,27,28,29,30}-1)*LEN(Registro!$F844)+1,LEN(Registro!$F844))),FIND("x",TRIM(MID(SUBSTITUTE(SUBSTITUTE(SUBSTITUTE(SUBSTITUTE(SUBSTITUTE(LOWER(Registro!$F844)," ",""),CHAR(10),"|"),";","|"),"+","|"),"|",REPT(" ",LEN(Registro!$F844))),({1,2,3,4,5,6,7,8,9,10,11,12,13,14,15,16,17,18,19,20,21,22,23,24,25,26,27,28,29,30}-1)*LEN(Registro!$F844)+1,LEN(Registro!$F844)))&amp;"x")-1))),"Revisar formato")))</f>
        <v/>
      </c>
      <c r="G844" s="24" t="str">
        <f>IF(Registro!$F844="","",IF(ISERROR(FIND("x",LOWER(Registro!$F844))),N(Registro!$G844),IFERROR(SUMPRODUCT(--("0"&amp;LEFT(TRIM(MID(SUBSTITUTE(SUBSTITUTE(SUBSTITUTE(SUBSTITUTE(SUBSTITUTE(LOWER(Registro!$F844)," ",""),CHAR(10),"|"),";","|"),"+","|"),"|",REPT(" ",LEN(Registro!$F844))),({1,2,3,4,5,6,7,8,9,10,11,12,13,14,15,16,17,18,19,20,21,22,23,24,25,26,27,28,29,30}-1)*LEN(Registro!$F844)+1,LEN(Registro!$F844))),FIND("x",TRIM(MID(SUBSTITUTE(SUBSTITUTE(SUBSTITUTE(SUBSTITUTE(SUBSTITUTE(LOWER(Registro!$F844)," ",""),CHAR(10),"|"),";","|"),"+","|"),"|",REPT(" ",LEN(Registro!$F844))),({1,2,3,4,5,6,7,8,9,10,11,12,13,14,15,16,17,18,19,20,21,22,23,24,25,26,27,28,29,30}-1)*LEN(Registro!$F844)+1,LEN(Registro!$F844)))&amp;"x")-1)),--("0"&amp;MID(TRIM(MID(SUBSTITUTE(SUBSTITUTE(SUBSTITUTE(SUBSTITUTE(SUBSTITUTE(LOWER(Registro!$F844)," ",""),CHAR(10),"|"),";","|"),"+","|"),"|",REPT(" ",LEN(Registro!$F844))),({1,2,3,4,5,6,7,8,9,10,11,12,13,14,15,16,17,18,19,20,21,22,23,24,25,26,27,28,29,30}-1)*LEN(Registro!$F844)+1,LEN(Registro!$F844))),FIND("x",TRIM(MID(SUBSTITUTE(SUBSTITUTE(SUBSTITUTE(SUBSTITUTE(SUBSTITUTE(LOWER(Registro!$F844)," ",""),CHAR(10),"|"),";","|"),"+","|"),"|",REPT(" ",LEN(Registro!$F844))),({1,2,3,4,5,6,7,8,9,10,11,12,13,14,15,16,17,18,19,20,21,22,23,24,25,26,27,28,29,30}-1)*LEN(Registro!$F844)+1,LEN(Registro!$F844)))&amp;"x")+1,20))),"Revisar formato")))</f>
        <v/>
      </c>
      <c r="H844" s="21" t="str">
        <f>IF(AND(Registro!$E844="",Registro!$F844=""),"",IF(NOT(AND(ISNUMBER(G844),ISNUMBER(Registro!$G844))),"",IF(G844&lt;Registro!$G844,"FALTA BOLETOS",IF(G844=Registro!$G844,"CONFORME","DIFERENCIA"))))</f>
        <v/>
      </c>
      <c r="I844" s="24" t="str">
        <f>IF(Registro!$H844="","",IFERROR(SUMPRODUCT(--("0"&amp;TRIM(RIGHT(SUBSTITUTE(TRIM(MID(SUBSTITUTE(SUBSTITUTE(Registro!$H844,";",CHAR(10)),CHAR(10),REPT(" ",LEN(Registro!$H844))),({1,2,3,4,5,6,7,8,9,10,11,12,13,14,15,16,17,18,19,20,21,22,23,24,25,26,27,28,29,30}-1)*LEN(Registro!$H844)+1,LEN(Registro!$H844)))," ",REPT(" ",50)),50)))),"Revisar formato"))</f>
        <v/>
      </c>
      <c r="J844" s="24" t="str">
        <f>IF(Registro!$I844="","",IFERROR(SUMPRODUCT(--("0"&amp;TRIM(RIGHT(SUBSTITUTE(TRIM(MID(SUBSTITUTE(SUBSTITUTE(Registro!$I844,";",CHAR(10)),CHAR(10),REPT(" ",LEN(Registro!$I844))),({1,2,3,4,5,6,7,8,9,10,11,12,13,14,15,16,17,18,19,20,21,22,23,24,25,26,27,28,29,30}-1)*LEN(Registro!$I844)+1,LEN(Registro!$I844)))," ",REPT(" ",50)),50)))),"Revisar formato"))</f>
        <v/>
      </c>
      <c r="K844" s="24" t="str">
        <f>IF(AND(Registro!$G844="",Registro!$H844=""),"",IF(AND(ISTEXT(I844),I844&lt;&gt;""),"Revisar formato",N(Registro!$G844)-N(I844)))</f>
        <v/>
      </c>
      <c r="L844" s="24" t="str">
        <f t="shared" si="27"/>
        <v/>
      </c>
      <c r="M844" s="36" t="str">
        <f>IF(AND(A844=Consulta!$B$3,C844=Consulta!$H$3),B844*10000+ROW(),"")</f>
        <v/>
      </c>
    </row>
    <row r="845" spans="1:13" x14ac:dyDescent="0.25">
      <c r="A845" s="21" t="str">
        <f>IF(Registro!$A845="","",Registro!$A845)</f>
        <v/>
      </c>
      <c r="B845" s="20" t="str">
        <f>IF(Registro!$B845="","",Registro!$B845)</f>
        <v/>
      </c>
      <c r="C845" s="35" t="str">
        <f t="shared" si="26"/>
        <v/>
      </c>
      <c r="D845" s="23" t="str">
        <f>IF(Registro!$E845="","",IF(ISERROR(FIND("x",LOWER(Registro!$E845))),"-",IFERROR(SUMPRODUCT(--("0"&amp;LEFT(TRIM(MID(SUBSTITUTE(SUBSTITUTE(SUBSTITUTE(SUBSTITUTE(SUBSTITUTE(LOWER(Registro!$E845),"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",LEN(Registro!$E845))),({1,2,3,4,5,6,7,8,9,10,11,12,13,14,15,16,17,18,19,20,21,22,23,24,25,26,27,28,29,30}-1)*LEN(Registro!$E845)+1,LEN(Registro!$E845))),FIND("x",TRIM(MID(SUBSTITUTE(SUBSTITUTE(SUBSTITUTE(SUBSTITUTE(SUBSTITUTE(LOWER(Registro!$E845),"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",LEN(Registro!$E845))),({1,2,3,4,5,6,7,8,9,10,11,12,13,14,15,16,17,18,19,20,21,22,23,24,25,26,27,28,29,30}-1)*LEN(Registro!$E845)+1,LEN(Registro!$E845)))&amp;"x")-1))),"Revisar formato")))</f>
        <v/>
      </c>
      <c r="E845" s="24" t="str">
        <f>IF(Registro!$E845="","",IF(ISERROR(FIND("x",LOWER(Registro!$E845))),"-",IFERROR(SUMPRODUCT(--("0"&amp;LEFT(TRIM(MID(SUBSTITUTE(SUBSTITUTE(SUBSTITUTE(SUBSTITUTE(SUBSTITUTE(LOWER(Registro!$E845),"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",LEN(Registro!$E845))),({1,2,3,4,5,6,7,8,9,10,11,12,13,14,15,16,17,18,19,20,21,22,23,24,25,26,27,28,29,30}-1)*LEN(Registro!$E845)+1,LEN(Registro!$E845))),FIND("x",TRIM(MID(SUBSTITUTE(SUBSTITUTE(SUBSTITUTE(SUBSTITUTE(SUBSTITUTE(LOWER(Registro!$E845),"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",LEN(Registro!$E845))),({1,2,3,4,5,6,7,8,9,10,11,12,13,14,15,16,17,18,19,20,21,22,23,24,25,26,27,28,29,30}-1)*LEN(Registro!$E845)+1,LEN(Registro!$E845)))&amp;"x")-1)),--("0"&amp;MID(TRIM(MID(SUBSTITUTE(SUBSTITUTE(SUBSTITUTE(SUBSTITUTE(SUBSTITUTE(LOWER(Registro!$E845),"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",LEN(Registro!$E845))),({1,2,3,4,5,6,7,8,9,10,11,12,13,14,15,16,17,18,19,20,21,22,23,24,25,26,27,28,29,30}-1)*LEN(Registro!$E845)+1,LEN(Registro!$E845))),FIND("x",TRIM(MID(SUBSTITUTE(SUBSTITUTE(SUBSTITUTE(SUBSTITUTE(SUBSTITUTE(LOWER(Registro!$E845),"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",LEN(Registro!$E845))),({1,2,3,4,5,6,7,8,9,10,11,12,13,14,15,16,17,18,19,20,21,22,23,24,25,26,27,28,29,30}-1)*LEN(Registro!$E845)+1,LEN(Registro!$E845)))&amp;"x")+1,20))),"Revisar formato")))</f>
        <v/>
      </c>
      <c r="F845" s="23" t="str">
        <f>IF(Registro!$F845="","",IF(ISERROR(FIND("x",LOWER(Registro!$F845))),"-",IFERROR(SUMPRODUCT(--("0"&amp;LEFT(TRIM(MID(SUBSTITUTE(SUBSTITUTE(SUBSTITUTE(SUBSTITUTE(SUBSTITUTE(LOWER(Registro!$F845)," ",""),CHAR(10),"|"),";","|"),"+","|"),"|",REPT(" ",LEN(Registro!$F845))),({1,2,3,4,5,6,7,8,9,10,11,12,13,14,15,16,17,18,19,20,21,22,23,24,25,26,27,28,29,30}-1)*LEN(Registro!$F845)+1,LEN(Registro!$F845))),FIND("x",TRIM(MID(SUBSTITUTE(SUBSTITUTE(SUBSTITUTE(SUBSTITUTE(SUBSTITUTE(LOWER(Registro!$F845)," ",""),CHAR(10),"|"),";","|"),"+","|"),"|",REPT(" ",LEN(Registro!$F845))),({1,2,3,4,5,6,7,8,9,10,11,12,13,14,15,16,17,18,19,20,21,22,23,24,25,26,27,28,29,30}-1)*LEN(Registro!$F845)+1,LEN(Registro!$F845)))&amp;"x")-1))),"Revisar formato")))</f>
        <v/>
      </c>
      <c r="G845" s="24" t="str">
        <f>IF(Registro!$F845="","",IF(ISERROR(FIND("x",LOWER(Registro!$F845))),N(Registro!$G845),IFERROR(SUMPRODUCT(--("0"&amp;LEFT(TRIM(MID(SUBSTITUTE(SUBSTITUTE(SUBSTITUTE(SUBSTITUTE(SUBSTITUTE(LOWER(Registro!$F845)," ",""),CHAR(10),"|"),";","|"),"+","|"),"|",REPT(" ",LEN(Registro!$F845))),({1,2,3,4,5,6,7,8,9,10,11,12,13,14,15,16,17,18,19,20,21,22,23,24,25,26,27,28,29,30}-1)*LEN(Registro!$F845)+1,LEN(Registro!$F845))),FIND("x",TRIM(MID(SUBSTITUTE(SUBSTITUTE(SUBSTITUTE(SUBSTITUTE(SUBSTITUTE(LOWER(Registro!$F845)," ",""),CHAR(10),"|"),";","|"),"+","|"),"|",REPT(" ",LEN(Registro!$F845))),({1,2,3,4,5,6,7,8,9,10,11,12,13,14,15,16,17,18,19,20,21,22,23,24,25,26,27,28,29,30}-1)*LEN(Registro!$F845)+1,LEN(Registro!$F845)))&amp;"x")-1)),--("0"&amp;MID(TRIM(MID(SUBSTITUTE(SUBSTITUTE(SUBSTITUTE(SUBSTITUTE(SUBSTITUTE(LOWER(Registro!$F845)," ",""),CHAR(10),"|"),";","|"),"+","|"),"|",REPT(" ",LEN(Registro!$F845))),({1,2,3,4,5,6,7,8,9,10,11,12,13,14,15,16,17,18,19,20,21,22,23,24,25,26,27,28,29,30}-1)*LEN(Registro!$F845)+1,LEN(Registro!$F845))),FIND("x",TRIM(MID(SUBSTITUTE(SUBSTITUTE(SUBSTITUTE(SUBSTITUTE(SUBSTITUTE(LOWER(Registro!$F845)," ",""),CHAR(10),"|"),";","|"),"+","|"),"|",REPT(" ",LEN(Registro!$F845))),({1,2,3,4,5,6,7,8,9,10,11,12,13,14,15,16,17,18,19,20,21,22,23,24,25,26,27,28,29,30}-1)*LEN(Registro!$F845)+1,LEN(Registro!$F845)))&amp;"x")+1,20))),"Revisar formato")))</f>
        <v/>
      </c>
      <c r="H845" s="21" t="str">
        <f>IF(AND(Registro!$E845="",Registro!$F845=""),"",IF(NOT(AND(ISNUMBER(G845),ISNUMBER(Registro!$G845))),"",IF(G845&lt;Registro!$G845,"FALTA BOLETOS",IF(G845=Registro!$G845,"CONFORME","DIFERENCIA"))))</f>
        <v/>
      </c>
      <c r="I845" s="24" t="str">
        <f>IF(Registro!$H845="","",IFERROR(SUMPRODUCT(--("0"&amp;TRIM(RIGHT(SUBSTITUTE(TRIM(MID(SUBSTITUTE(SUBSTITUTE(Registro!$H845,";",CHAR(10)),CHAR(10),REPT(" ",LEN(Registro!$H845))),({1,2,3,4,5,6,7,8,9,10,11,12,13,14,15,16,17,18,19,20,21,22,23,24,25,26,27,28,29,30}-1)*LEN(Registro!$H845)+1,LEN(Registro!$H845)))," ",REPT(" ",50)),50)))),"Revisar formato"))</f>
        <v/>
      </c>
      <c r="J845" s="24" t="str">
        <f>IF(Registro!$I845="","",IFERROR(SUMPRODUCT(--("0"&amp;TRIM(RIGHT(SUBSTITUTE(TRIM(MID(SUBSTITUTE(SUBSTITUTE(Registro!$I845,";",CHAR(10)),CHAR(10),REPT(" ",LEN(Registro!$I845))),({1,2,3,4,5,6,7,8,9,10,11,12,13,14,15,16,17,18,19,20,21,22,23,24,25,26,27,28,29,30}-1)*LEN(Registro!$I845)+1,LEN(Registro!$I845)))," ",REPT(" ",50)),50)))),"Revisar formato"))</f>
        <v/>
      </c>
      <c r="K845" s="24" t="str">
        <f>IF(AND(Registro!$G845="",Registro!$H845=""),"",IF(AND(ISTEXT(I845),I845&lt;&gt;""),"Revisar formato",N(Registro!$G845)-N(I845)))</f>
        <v/>
      </c>
      <c r="L845" s="24" t="str">
        <f t="shared" si="27"/>
        <v/>
      </c>
      <c r="M845" s="36" t="str">
        <f>IF(AND(A845=Consulta!$B$3,C845=Consulta!$H$3),B845*10000+ROW(),"")</f>
        <v/>
      </c>
    </row>
    <row r="846" spans="1:13" x14ac:dyDescent="0.25">
      <c r="A846" s="21" t="str">
        <f>IF(Registro!$A846="","",Registro!$A846)</f>
        <v/>
      </c>
      <c r="B846" s="20" t="str">
        <f>IF(Registro!$B846="","",Registro!$B846)</f>
        <v/>
      </c>
      <c r="C846" s="35" t="str">
        <f t="shared" si="26"/>
        <v/>
      </c>
      <c r="D846" s="23" t="str">
        <f>IF(Registro!$E846="","",IF(ISERROR(FIND("x",LOWER(Registro!$E846))),"-",IFERROR(SUMPRODUCT(--("0"&amp;LEFT(TRIM(MID(SUBSTITUTE(SUBSTITUTE(SUBSTITUTE(SUBSTITUTE(SUBSTITUTE(LOWER(Registro!$E846),"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",LEN(Registro!$E846))),({1,2,3,4,5,6,7,8,9,10,11,12,13,14,15,16,17,18,19,20,21,22,23,24,25,26,27,28,29,30}-1)*LEN(Registro!$E846)+1,LEN(Registro!$E846))),FIND("x",TRIM(MID(SUBSTITUTE(SUBSTITUTE(SUBSTITUTE(SUBSTITUTE(SUBSTITUTE(LOWER(Registro!$E846),"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",LEN(Registro!$E846))),({1,2,3,4,5,6,7,8,9,10,11,12,13,14,15,16,17,18,19,20,21,22,23,24,25,26,27,28,29,30}-1)*LEN(Registro!$E846)+1,LEN(Registro!$E846)))&amp;"x")-1))),"Revisar formato")))</f>
        <v/>
      </c>
      <c r="E846" s="24" t="str">
        <f>IF(Registro!$E846="","",IF(ISERROR(FIND("x",LOWER(Registro!$E846))),"-",IFERROR(SUMPRODUCT(--("0"&amp;LEFT(TRIM(MID(SUBSTITUTE(SUBSTITUTE(SUBSTITUTE(SUBSTITUTE(SUBSTITUTE(LOWER(Registro!$E846),"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",LEN(Registro!$E846))),({1,2,3,4,5,6,7,8,9,10,11,12,13,14,15,16,17,18,19,20,21,22,23,24,25,26,27,28,29,30}-1)*LEN(Registro!$E846)+1,LEN(Registro!$E846))),FIND("x",TRIM(MID(SUBSTITUTE(SUBSTITUTE(SUBSTITUTE(SUBSTITUTE(SUBSTITUTE(LOWER(Registro!$E846),"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",LEN(Registro!$E846))),({1,2,3,4,5,6,7,8,9,10,11,12,13,14,15,16,17,18,19,20,21,22,23,24,25,26,27,28,29,30}-1)*LEN(Registro!$E846)+1,LEN(Registro!$E846)))&amp;"x")-1)),--("0"&amp;MID(TRIM(MID(SUBSTITUTE(SUBSTITUTE(SUBSTITUTE(SUBSTITUTE(SUBSTITUTE(LOWER(Registro!$E846),"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",LEN(Registro!$E846))),({1,2,3,4,5,6,7,8,9,10,11,12,13,14,15,16,17,18,19,20,21,22,23,24,25,26,27,28,29,30}-1)*LEN(Registro!$E846)+1,LEN(Registro!$E846))),FIND("x",TRIM(MID(SUBSTITUTE(SUBSTITUTE(SUBSTITUTE(SUBSTITUTE(SUBSTITUTE(LOWER(Registro!$E846),"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",LEN(Registro!$E846))),({1,2,3,4,5,6,7,8,9,10,11,12,13,14,15,16,17,18,19,20,21,22,23,24,25,26,27,28,29,30}-1)*LEN(Registro!$E846)+1,LEN(Registro!$E846)))&amp;"x")+1,20))),"Revisar formato")))</f>
        <v/>
      </c>
      <c r="F846" s="23" t="str">
        <f>IF(Registro!$F846="","",IF(ISERROR(FIND("x",LOWER(Registro!$F846))),"-",IFERROR(SUMPRODUCT(--("0"&amp;LEFT(TRIM(MID(SUBSTITUTE(SUBSTITUTE(SUBSTITUTE(SUBSTITUTE(SUBSTITUTE(LOWER(Registro!$F846)," ",""),CHAR(10),"|"),";","|"),"+","|"),"|",REPT(" ",LEN(Registro!$F846))),({1,2,3,4,5,6,7,8,9,10,11,12,13,14,15,16,17,18,19,20,21,22,23,24,25,26,27,28,29,30}-1)*LEN(Registro!$F846)+1,LEN(Registro!$F846))),FIND("x",TRIM(MID(SUBSTITUTE(SUBSTITUTE(SUBSTITUTE(SUBSTITUTE(SUBSTITUTE(LOWER(Registro!$F846)," ",""),CHAR(10),"|"),";","|"),"+","|"),"|",REPT(" ",LEN(Registro!$F846))),({1,2,3,4,5,6,7,8,9,10,11,12,13,14,15,16,17,18,19,20,21,22,23,24,25,26,27,28,29,30}-1)*LEN(Registro!$F846)+1,LEN(Registro!$F846)))&amp;"x")-1))),"Revisar formato")))</f>
        <v/>
      </c>
      <c r="G846" s="24" t="str">
        <f>IF(Registro!$F846="","",IF(ISERROR(FIND("x",LOWER(Registro!$F846))),N(Registro!$G846),IFERROR(SUMPRODUCT(--("0"&amp;LEFT(TRIM(MID(SUBSTITUTE(SUBSTITUTE(SUBSTITUTE(SUBSTITUTE(SUBSTITUTE(LOWER(Registro!$F846)," ",""),CHAR(10),"|"),";","|"),"+","|"),"|",REPT(" ",LEN(Registro!$F846))),({1,2,3,4,5,6,7,8,9,10,11,12,13,14,15,16,17,18,19,20,21,22,23,24,25,26,27,28,29,30}-1)*LEN(Registro!$F846)+1,LEN(Registro!$F846))),FIND("x",TRIM(MID(SUBSTITUTE(SUBSTITUTE(SUBSTITUTE(SUBSTITUTE(SUBSTITUTE(LOWER(Registro!$F846)," ",""),CHAR(10),"|"),";","|"),"+","|"),"|",REPT(" ",LEN(Registro!$F846))),({1,2,3,4,5,6,7,8,9,10,11,12,13,14,15,16,17,18,19,20,21,22,23,24,25,26,27,28,29,30}-1)*LEN(Registro!$F846)+1,LEN(Registro!$F846)))&amp;"x")-1)),--("0"&amp;MID(TRIM(MID(SUBSTITUTE(SUBSTITUTE(SUBSTITUTE(SUBSTITUTE(SUBSTITUTE(LOWER(Registro!$F846)," ",""),CHAR(10),"|"),";","|"),"+","|"),"|",REPT(" ",LEN(Registro!$F846))),({1,2,3,4,5,6,7,8,9,10,11,12,13,14,15,16,17,18,19,20,21,22,23,24,25,26,27,28,29,30}-1)*LEN(Registro!$F846)+1,LEN(Registro!$F846))),FIND("x",TRIM(MID(SUBSTITUTE(SUBSTITUTE(SUBSTITUTE(SUBSTITUTE(SUBSTITUTE(LOWER(Registro!$F846)," ",""),CHAR(10),"|"),";","|"),"+","|"),"|",REPT(" ",LEN(Registro!$F846))),({1,2,3,4,5,6,7,8,9,10,11,12,13,14,15,16,17,18,19,20,21,22,23,24,25,26,27,28,29,30}-1)*LEN(Registro!$F846)+1,LEN(Registro!$F846)))&amp;"x")+1,20))),"Revisar formato")))</f>
        <v/>
      </c>
      <c r="H846" s="21" t="str">
        <f>IF(AND(Registro!$E846="",Registro!$F846=""),"",IF(NOT(AND(ISNUMBER(G846),ISNUMBER(Registro!$G846))),"",IF(G846&lt;Registro!$G846,"FALTA BOLETOS",IF(G846=Registro!$G846,"CONFORME","DIFERENCIA"))))</f>
        <v/>
      </c>
      <c r="I846" s="24" t="str">
        <f>IF(Registro!$H846="","",IFERROR(SUMPRODUCT(--("0"&amp;TRIM(RIGHT(SUBSTITUTE(TRIM(MID(SUBSTITUTE(SUBSTITUTE(Registro!$H846,";",CHAR(10)),CHAR(10),REPT(" ",LEN(Registro!$H846))),({1,2,3,4,5,6,7,8,9,10,11,12,13,14,15,16,17,18,19,20,21,22,23,24,25,26,27,28,29,30}-1)*LEN(Registro!$H846)+1,LEN(Registro!$H846)))," ",REPT(" ",50)),50)))),"Revisar formato"))</f>
        <v/>
      </c>
      <c r="J846" s="24" t="str">
        <f>IF(Registro!$I846="","",IFERROR(SUMPRODUCT(--("0"&amp;TRIM(RIGHT(SUBSTITUTE(TRIM(MID(SUBSTITUTE(SUBSTITUTE(Registro!$I846,";",CHAR(10)),CHAR(10),REPT(" ",LEN(Registro!$I846))),({1,2,3,4,5,6,7,8,9,10,11,12,13,14,15,16,17,18,19,20,21,22,23,24,25,26,27,28,29,30}-1)*LEN(Registro!$I846)+1,LEN(Registro!$I846)))," ",REPT(" ",50)),50)))),"Revisar formato"))</f>
        <v/>
      </c>
      <c r="K846" s="24" t="str">
        <f>IF(AND(Registro!$G846="",Registro!$H846=""),"",IF(AND(ISTEXT(I846),I846&lt;&gt;""),"Revisar formato",N(Registro!$G846)-N(I846)))</f>
        <v/>
      </c>
      <c r="L846" s="24" t="str">
        <f t="shared" si="27"/>
        <v/>
      </c>
      <c r="M846" s="36" t="str">
        <f>IF(AND(A846=Consulta!$B$3,C846=Consulta!$H$3),B846*10000+ROW(),"")</f>
        <v/>
      </c>
    </row>
    <row r="847" spans="1:13" x14ac:dyDescent="0.25">
      <c r="A847" s="21" t="str">
        <f>IF(Registro!$A847="","",Registro!$A847)</f>
        <v/>
      </c>
      <c r="B847" s="20" t="str">
        <f>IF(Registro!$B847="","",Registro!$B847)</f>
        <v/>
      </c>
      <c r="C847" s="35" t="str">
        <f t="shared" si="26"/>
        <v/>
      </c>
      <c r="D847" s="23" t="str">
        <f>IF(Registro!$E847="","",IF(ISERROR(FIND("x",LOWER(Registro!$E847))),"-",IFERROR(SUMPRODUCT(--("0"&amp;LEFT(TRIM(MID(SUBSTITUTE(SUBSTITUTE(SUBSTITUTE(SUBSTITUTE(SUBSTITUTE(LOWER(Registro!$E847),"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",LEN(Registro!$E847))),({1,2,3,4,5,6,7,8,9,10,11,12,13,14,15,16,17,18,19,20,21,22,23,24,25,26,27,28,29,30}-1)*LEN(Registro!$E847)+1,LEN(Registro!$E847))),FIND("x",TRIM(MID(SUBSTITUTE(SUBSTITUTE(SUBSTITUTE(SUBSTITUTE(SUBSTITUTE(LOWER(Registro!$E847),"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",LEN(Registro!$E847))),({1,2,3,4,5,6,7,8,9,10,11,12,13,14,15,16,17,18,19,20,21,22,23,24,25,26,27,28,29,30}-1)*LEN(Registro!$E847)+1,LEN(Registro!$E847)))&amp;"x")-1))),"Revisar formato")))</f>
        <v/>
      </c>
      <c r="E847" s="24" t="str">
        <f>IF(Registro!$E847="","",IF(ISERROR(FIND("x",LOWER(Registro!$E847))),"-",IFERROR(SUMPRODUCT(--("0"&amp;LEFT(TRIM(MID(SUBSTITUTE(SUBSTITUTE(SUBSTITUTE(SUBSTITUTE(SUBSTITUTE(LOWER(Registro!$E847),"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",LEN(Registro!$E847))),({1,2,3,4,5,6,7,8,9,10,11,12,13,14,15,16,17,18,19,20,21,22,23,24,25,26,27,28,29,30}-1)*LEN(Registro!$E847)+1,LEN(Registro!$E847))),FIND("x",TRIM(MID(SUBSTITUTE(SUBSTITUTE(SUBSTITUTE(SUBSTITUTE(SUBSTITUTE(LOWER(Registro!$E847),"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",LEN(Registro!$E847))),({1,2,3,4,5,6,7,8,9,10,11,12,13,14,15,16,17,18,19,20,21,22,23,24,25,26,27,28,29,30}-1)*LEN(Registro!$E847)+1,LEN(Registro!$E847)))&amp;"x")-1)),--("0"&amp;MID(TRIM(MID(SUBSTITUTE(SUBSTITUTE(SUBSTITUTE(SUBSTITUTE(SUBSTITUTE(LOWER(Registro!$E847),"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",LEN(Registro!$E847))),({1,2,3,4,5,6,7,8,9,10,11,12,13,14,15,16,17,18,19,20,21,22,23,24,25,26,27,28,29,30}-1)*LEN(Registro!$E847)+1,LEN(Registro!$E847))),FIND("x",TRIM(MID(SUBSTITUTE(SUBSTITUTE(SUBSTITUTE(SUBSTITUTE(SUBSTITUTE(LOWER(Registro!$E847),"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",LEN(Registro!$E847))),({1,2,3,4,5,6,7,8,9,10,11,12,13,14,15,16,17,18,19,20,21,22,23,24,25,26,27,28,29,30}-1)*LEN(Registro!$E847)+1,LEN(Registro!$E847)))&amp;"x")+1,20))),"Revisar formato")))</f>
        <v/>
      </c>
      <c r="F847" s="23" t="str">
        <f>IF(Registro!$F847="","",IF(ISERROR(FIND("x",LOWER(Registro!$F847))),"-",IFERROR(SUMPRODUCT(--("0"&amp;LEFT(TRIM(MID(SUBSTITUTE(SUBSTITUTE(SUBSTITUTE(SUBSTITUTE(SUBSTITUTE(LOWER(Registro!$F847)," ",""),CHAR(10),"|"),";","|"),"+","|"),"|",REPT(" ",LEN(Registro!$F847))),({1,2,3,4,5,6,7,8,9,10,11,12,13,14,15,16,17,18,19,20,21,22,23,24,25,26,27,28,29,30}-1)*LEN(Registro!$F847)+1,LEN(Registro!$F847))),FIND("x",TRIM(MID(SUBSTITUTE(SUBSTITUTE(SUBSTITUTE(SUBSTITUTE(SUBSTITUTE(LOWER(Registro!$F847)," ",""),CHAR(10),"|"),";","|"),"+","|"),"|",REPT(" ",LEN(Registro!$F847))),({1,2,3,4,5,6,7,8,9,10,11,12,13,14,15,16,17,18,19,20,21,22,23,24,25,26,27,28,29,30}-1)*LEN(Registro!$F847)+1,LEN(Registro!$F847)))&amp;"x")-1))),"Revisar formato")))</f>
        <v/>
      </c>
      <c r="G847" s="24" t="str">
        <f>IF(Registro!$F847="","",IF(ISERROR(FIND("x",LOWER(Registro!$F847))),N(Registro!$G847),IFERROR(SUMPRODUCT(--("0"&amp;LEFT(TRIM(MID(SUBSTITUTE(SUBSTITUTE(SUBSTITUTE(SUBSTITUTE(SUBSTITUTE(LOWER(Registro!$F847)," ",""),CHAR(10),"|"),";","|"),"+","|"),"|",REPT(" ",LEN(Registro!$F847))),({1,2,3,4,5,6,7,8,9,10,11,12,13,14,15,16,17,18,19,20,21,22,23,24,25,26,27,28,29,30}-1)*LEN(Registro!$F847)+1,LEN(Registro!$F847))),FIND("x",TRIM(MID(SUBSTITUTE(SUBSTITUTE(SUBSTITUTE(SUBSTITUTE(SUBSTITUTE(LOWER(Registro!$F847)," ",""),CHAR(10),"|"),";","|"),"+","|"),"|",REPT(" ",LEN(Registro!$F847))),({1,2,3,4,5,6,7,8,9,10,11,12,13,14,15,16,17,18,19,20,21,22,23,24,25,26,27,28,29,30}-1)*LEN(Registro!$F847)+1,LEN(Registro!$F847)))&amp;"x")-1)),--("0"&amp;MID(TRIM(MID(SUBSTITUTE(SUBSTITUTE(SUBSTITUTE(SUBSTITUTE(SUBSTITUTE(LOWER(Registro!$F847)," ",""),CHAR(10),"|"),";","|"),"+","|"),"|",REPT(" ",LEN(Registro!$F847))),({1,2,3,4,5,6,7,8,9,10,11,12,13,14,15,16,17,18,19,20,21,22,23,24,25,26,27,28,29,30}-1)*LEN(Registro!$F847)+1,LEN(Registro!$F847))),FIND("x",TRIM(MID(SUBSTITUTE(SUBSTITUTE(SUBSTITUTE(SUBSTITUTE(SUBSTITUTE(LOWER(Registro!$F847)," ",""),CHAR(10),"|"),";","|"),"+","|"),"|",REPT(" ",LEN(Registro!$F847))),({1,2,3,4,5,6,7,8,9,10,11,12,13,14,15,16,17,18,19,20,21,22,23,24,25,26,27,28,29,30}-1)*LEN(Registro!$F847)+1,LEN(Registro!$F847)))&amp;"x")+1,20))),"Revisar formato")))</f>
        <v/>
      </c>
      <c r="H847" s="21" t="str">
        <f>IF(AND(Registro!$E847="",Registro!$F847=""),"",IF(NOT(AND(ISNUMBER(G847),ISNUMBER(Registro!$G847))),"",IF(G847&lt;Registro!$G847,"FALTA BOLETOS",IF(G847=Registro!$G847,"CONFORME","DIFERENCIA"))))</f>
        <v/>
      </c>
      <c r="I847" s="24" t="str">
        <f>IF(Registro!$H847="","",IFERROR(SUMPRODUCT(--("0"&amp;TRIM(RIGHT(SUBSTITUTE(TRIM(MID(SUBSTITUTE(SUBSTITUTE(Registro!$H847,";",CHAR(10)),CHAR(10),REPT(" ",LEN(Registro!$H847))),({1,2,3,4,5,6,7,8,9,10,11,12,13,14,15,16,17,18,19,20,21,22,23,24,25,26,27,28,29,30}-1)*LEN(Registro!$H847)+1,LEN(Registro!$H847)))," ",REPT(" ",50)),50)))),"Revisar formato"))</f>
        <v/>
      </c>
      <c r="J847" s="24" t="str">
        <f>IF(Registro!$I847="","",IFERROR(SUMPRODUCT(--("0"&amp;TRIM(RIGHT(SUBSTITUTE(TRIM(MID(SUBSTITUTE(SUBSTITUTE(Registro!$I847,";",CHAR(10)),CHAR(10),REPT(" ",LEN(Registro!$I847))),({1,2,3,4,5,6,7,8,9,10,11,12,13,14,15,16,17,18,19,20,21,22,23,24,25,26,27,28,29,30}-1)*LEN(Registro!$I847)+1,LEN(Registro!$I847)))," ",REPT(" ",50)),50)))),"Revisar formato"))</f>
        <v/>
      </c>
      <c r="K847" s="24" t="str">
        <f>IF(AND(Registro!$G847="",Registro!$H847=""),"",IF(AND(ISTEXT(I847),I847&lt;&gt;""),"Revisar formato",N(Registro!$G847)-N(I847)))</f>
        <v/>
      </c>
      <c r="L847" s="24" t="str">
        <f t="shared" si="27"/>
        <v/>
      </c>
      <c r="M847" s="36" t="str">
        <f>IF(AND(A847=Consulta!$B$3,C847=Consulta!$H$3),B847*10000+ROW(),"")</f>
        <v/>
      </c>
    </row>
    <row r="848" spans="1:13" x14ac:dyDescent="0.25">
      <c r="A848" s="21" t="str">
        <f>IF(Registro!$A848="","",Registro!$A848)</f>
        <v/>
      </c>
      <c r="B848" s="20" t="str">
        <f>IF(Registro!$B848="","",Registro!$B848)</f>
        <v/>
      </c>
      <c r="C848" s="35" t="str">
        <f t="shared" si="26"/>
        <v/>
      </c>
      <c r="D848" s="23" t="str">
        <f>IF(Registro!$E848="","",IF(ISERROR(FIND("x",LOWER(Registro!$E848))),"-",IFERROR(SUMPRODUCT(--("0"&amp;LEFT(TRIM(MID(SUBSTITUTE(SUBSTITUTE(SUBSTITUTE(SUBSTITUTE(SUBSTITUTE(LOWER(Registro!$E848),"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",LEN(Registro!$E848))),({1,2,3,4,5,6,7,8,9,10,11,12,13,14,15,16,17,18,19,20,21,22,23,24,25,26,27,28,29,30}-1)*LEN(Registro!$E848)+1,LEN(Registro!$E848))),FIND("x",TRIM(MID(SUBSTITUTE(SUBSTITUTE(SUBSTITUTE(SUBSTITUTE(SUBSTITUTE(LOWER(Registro!$E848),"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",LEN(Registro!$E848))),({1,2,3,4,5,6,7,8,9,10,11,12,13,14,15,16,17,18,19,20,21,22,23,24,25,26,27,28,29,30}-1)*LEN(Registro!$E848)+1,LEN(Registro!$E848)))&amp;"x")-1))),"Revisar formato")))</f>
        <v/>
      </c>
      <c r="E848" s="24" t="str">
        <f>IF(Registro!$E848="","",IF(ISERROR(FIND("x",LOWER(Registro!$E848))),"-",IFERROR(SUMPRODUCT(--("0"&amp;LEFT(TRIM(MID(SUBSTITUTE(SUBSTITUTE(SUBSTITUTE(SUBSTITUTE(SUBSTITUTE(LOWER(Registro!$E848),"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",LEN(Registro!$E848))),({1,2,3,4,5,6,7,8,9,10,11,12,13,14,15,16,17,18,19,20,21,22,23,24,25,26,27,28,29,30}-1)*LEN(Registro!$E848)+1,LEN(Registro!$E848))),FIND("x",TRIM(MID(SUBSTITUTE(SUBSTITUTE(SUBSTITUTE(SUBSTITUTE(SUBSTITUTE(LOWER(Registro!$E848),"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",LEN(Registro!$E848))),({1,2,3,4,5,6,7,8,9,10,11,12,13,14,15,16,17,18,19,20,21,22,23,24,25,26,27,28,29,30}-1)*LEN(Registro!$E848)+1,LEN(Registro!$E848)))&amp;"x")-1)),--("0"&amp;MID(TRIM(MID(SUBSTITUTE(SUBSTITUTE(SUBSTITUTE(SUBSTITUTE(SUBSTITUTE(LOWER(Registro!$E848),"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",LEN(Registro!$E848))),({1,2,3,4,5,6,7,8,9,10,11,12,13,14,15,16,17,18,19,20,21,22,23,24,25,26,27,28,29,30}-1)*LEN(Registro!$E848)+1,LEN(Registro!$E848))),FIND("x",TRIM(MID(SUBSTITUTE(SUBSTITUTE(SUBSTITUTE(SUBSTITUTE(SUBSTITUTE(LOWER(Registro!$E848),"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",LEN(Registro!$E848))),({1,2,3,4,5,6,7,8,9,10,11,12,13,14,15,16,17,18,19,20,21,22,23,24,25,26,27,28,29,30}-1)*LEN(Registro!$E848)+1,LEN(Registro!$E848)))&amp;"x")+1,20))),"Revisar formato")))</f>
        <v/>
      </c>
      <c r="F848" s="23" t="str">
        <f>IF(Registro!$F848="","",IF(ISERROR(FIND("x",LOWER(Registro!$F848))),"-",IFERROR(SUMPRODUCT(--("0"&amp;LEFT(TRIM(MID(SUBSTITUTE(SUBSTITUTE(SUBSTITUTE(SUBSTITUTE(SUBSTITUTE(LOWER(Registro!$F848)," ",""),CHAR(10),"|"),";","|"),"+","|"),"|",REPT(" ",LEN(Registro!$F848))),({1,2,3,4,5,6,7,8,9,10,11,12,13,14,15,16,17,18,19,20,21,22,23,24,25,26,27,28,29,30}-1)*LEN(Registro!$F848)+1,LEN(Registro!$F848))),FIND("x",TRIM(MID(SUBSTITUTE(SUBSTITUTE(SUBSTITUTE(SUBSTITUTE(SUBSTITUTE(LOWER(Registro!$F848)," ",""),CHAR(10),"|"),";","|"),"+","|"),"|",REPT(" ",LEN(Registro!$F848))),({1,2,3,4,5,6,7,8,9,10,11,12,13,14,15,16,17,18,19,20,21,22,23,24,25,26,27,28,29,30}-1)*LEN(Registro!$F848)+1,LEN(Registro!$F848)))&amp;"x")-1))),"Revisar formato")))</f>
        <v/>
      </c>
      <c r="G848" s="24" t="str">
        <f>IF(Registro!$F848="","",IF(ISERROR(FIND("x",LOWER(Registro!$F848))),N(Registro!$G848),IFERROR(SUMPRODUCT(--("0"&amp;LEFT(TRIM(MID(SUBSTITUTE(SUBSTITUTE(SUBSTITUTE(SUBSTITUTE(SUBSTITUTE(LOWER(Registro!$F848)," ",""),CHAR(10),"|"),";","|"),"+","|"),"|",REPT(" ",LEN(Registro!$F848))),({1,2,3,4,5,6,7,8,9,10,11,12,13,14,15,16,17,18,19,20,21,22,23,24,25,26,27,28,29,30}-1)*LEN(Registro!$F848)+1,LEN(Registro!$F848))),FIND("x",TRIM(MID(SUBSTITUTE(SUBSTITUTE(SUBSTITUTE(SUBSTITUTE(SUBSTITUTE(LOWER(Registro!$F848)," ",""),CHAR(10),"|"),";","|"),"+","|"),"|",REPT(" ",LEN(Registro!$F848))),({1,2,3,4,5,6,7,8,9,10,11,12,13,14,15,16,17,18,19,20,21,22,23,24,25,26,27,28,29,30}-1)*LEN(Registro!$F848)+1,LEN(Registro!$F848)))&amp;"x")-1)),--("0"&amp;MID(TRIM(MID(SUBSTITUTE(SUBSTITUTE(SUBSTITUTE(SUBSTITUTE(SUBSTITUTE(LOWER(Registro!$F848)," ",""),CHAR(10),"|"),";","|"),"+","|"),"|",REPT(" ",LEN(Registro!$F848))),({1,2,3,4,5,6,7,8,9,10,11,12,13,14,15,16,17,18,19,20,21,22,23,24,25,26,27,28,29,30}-1)*LEN(Registro!$F848)+1,LEN(Registro!$F848))),FIND("x",TRIM(MID(SUBSTITUTE(SUBSTITUTE(SUBSTITUTE(SUBSTITUTE(SUBSTITUTE(LOWER(Registro!$F848)," ",""),CHAR(10),"|"),";","|"),"+","|"),"|",REPT(" ",LEN(Registro!$F848))),({1,2,3,4,5,6,7,8,9,10,11,12,13,14,15,16,17,18,19,20,21,22,23,24,25,26,27,28,29,30}-1)*LEN(Registro!$F848)+1,LEN(Registro!$F848)))&amp;"x")+1,20))),"Revisar formato")))</f>
        <v/>
      </c>
      <c r="H848" s="21" t="str">
        <f>IF(AND(Registro!$E848="",Registro!$F848=""),"",IF(NOT(AND(ISNUMBER(G848),ISNUMBER(Registro!$G848))),"",IF(G848&lt;Registro!$G848,"FALTA BOLETOS",IF(G848=Registro!$G848,"CONFORME","DIFERENCIA"))))</f>
        <v/>
      </c>
      <c r="I848" s="24" t="str">
        <f>IF(Registro!$H848="","",IFERROR(SUMPRODUCT(--("0"&amp;TRIM(RIGHT(SUBSTITUTE(TRIM(MID(SUBSTITUTE(SUBSTITUTE(Registro!$H848,";",CHAR(10)),CHAR(10),REPT(" ",LEN(Registro!$H848))),({1,2,3,4,5,6,7,8,9,10,11,12,13,14,15,16,17,18,19,20,21,22,23,24,25,26,27,28,29,30}-1)*LEN(Registro!$H848)+1,LEN(Registro!$H848)))," ",REPT(" ",50)),50)))),"Revisar formato"))</f>
        <v/>
      </c>
      <c r="J848" s="24" t="str">
        <f>IF(Registro!$I848="","",IFERROR(SUMPRODUCT(--("0"&amp;TRIM(RIGHT(SUBSTITUTE(TRIM(MID(SUBSTITUTE(SUBSTITUTE(Registro!$I848,";",CHAR(10)),CHAR(10),REPT(" ",LEN(Registro!$I848))),({1,2,3,4,5,6,7,8,9,10,11,12,13,14,15,16,17,18,19,20,21,22,23,24,25,26,27,28,29,30}-1)*LEN(Registro!$I848)+1,LEN(Registro!$I848)))," ",REPT(" ",50)),50)))),"Revisar formato"))</f>
        <v/>
      </c>
      <c r="K848" s="24" t="str">
        <f>IF(AND(Registro!$G848="",Registro!$H848=""),"",IF(AND(ISTEXT(I848),I848&lt;&gt;""),"Revisar formato",N(Registro!$G848)-N(I848)))</f>
        <v/>
      </c>
      <c r="L848" s="24" t="str">
        <f t="shared" si="27"/>
        <v/>
      </c>
      <c r="M848" s="36" t="str">
        <f>IF(AND(A848=Consulta!$B$3,C848=Consulta!$H$3),B848*10000+ROW(),"")</f>
        <v/>
      </c>
    </row>
    <row r="849" spans="1:13" x14ac:dyDescent="0.25">
      <c r="A849" s="21" t="str">
        <f>IF(Registro!$A849="","",Registro!$A849)</f>
        <v/>
      </c>
      <c r="B849" s="20" t="str">
        <f>IF(Registro!$B849="","",Registro!$B849)</f>
        <v/>
      </c>
      <c r="C849" s="35" t="str">
        <f t="shared" si="26"/>
        <v/>
      </c>
      <c r="D849" s="23" t="str">
        <f>IF(Registro!$E849="","",IF(ISERROR(FIND("x",LOWER(Registro!$E849))),"-",IFERROR(SUMPRODUCT(--("0"&amp;LEFT(TRIM(MID(SUBSTITUTE(SUBSTITUTE(SUBSTITUTE(SUBSTITUTE(SUBSTITUTE(LOWER(Registro!$E849),"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",LEN(Registro!$E849))),({1,2,3,4,5,6,7,8,9,10,11,12,13,14,15,16,17,18,19,20,21,22,23,24,25,26,27,28,29,30}-1)*LEN(Registro!$E849)+1,LEN(Registro!$E849))),FIND("x",TRIM(MID(SUBSTITUTE(SUBSTITUTE(SUBSTITUTE(SUBSTITUTE(SUBSTITUTE(LOWER(Registro!$E849),"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",LEN(Registro!$E849))),({1,2,3,4,5,6,7,8,9,10,11,12,13,14,15,16,17,18,19,20,21,22,23,24,25,26,27,28,29,30}-1)*LEN(Registro!$E849)+1,LEN(Registro!$E849)))&amp;"x")-1))),"Revisar formato")))</f>
        <v/>
      </c>
      <c r="E849" s="24" t="str">
        <f>IF(Registro!$E849="","",IF(ISERROR(FIND("x",LOWER(Registro!$E849))),"-",IFERROR(SUMPRODUCT(--("0"&amp;LEFT(TRIM(MID(SUBSTITUTE(SUBSTITUTE(SUBSTITUTE(SUBSTITUTE(SUBSTITUTE(LOWER(Registro!$E849),"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",LEN(Registro!$E849))),({1,2,3,4,5,6,7,8,9,10,11,12,13,14,15,16,17,18,19,20,21,22,23,24,25,26,27,28,29,30}-1)*LEN(Registro!$E849)+1,LEN(Registro!$E849))),FIND("x",TRIM(MID(SUBSTITUTE(SUBSTITUTE(SUBSTITUTE(SUBSTITUTE(SUBSTITUTE(LOWER(Registro!$E849),"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",LEN(Registro!$E849))),({1,2,3,4,5,6,7,8,9,10,11,12,13,14,15,16,17,18,19,20,21,22,23,24,25,26,27,28,29,30}-1)*LEN(Registro!$E849)+1,LEN(Registro!$E849)))&amp;"x")-1)),--("0"&amp;MID(TRIM(MID(SUBSTITUTE(SUBSTITUTE(SUBSTITUTE(SUBSTITUTE(SUBSTITUTE(LOWER(Registro!$E849),"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",LEN(Registro!$E849))),({1,2,3,4,5,6,7,8,9,10,11,12,13,14,15,16,17,18,19,20,21,22,23,24,25,26,27,28,29,30}-1)*LEN(Registro!$E849)+1,LEN(Registro!$E849))),FIND("x",TRIM(MID(SUBSTITUTE(SUBSTITUTE(SUBSTITUTE(SUBSTITUTE(SUBSTITUTE(LOWER(Registro!$E849),"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",LEN(Registro!$E849))),({1,2,3,4,5,6,7,8,9,10,11,12,13,14,15,16,17,18,19,20,21,22,23,24,25,26,27,28,29,30}-1)*LEN(Registro!$E849)+1,LEN(Registro!$E849)))&amp;"x")+1,20))),"Revisar formato")))</f>
        <v/>
      </c>
      <c r="F849" s="23" t="str">
        <f>IF(Registro!$F849="","",IF(ISERROR(FIND("x",LOWER(Registro!$F849))),"-",IFERROR(SUMPRODUCT(--("0"&amp;LEFT(TRIM(MID(SUBSTITUTE(SUBSTITUTE(SUBSTITUTE(SUBSTITUTE(SUBSTITUTE(LOWER(Registro!$F849)," ",""),CHAR(10),"|"),";","|"),"+","|"),"|",REPT(" ",LEN(Registro!$F849))),({1,2,3,4,5,6,7,8,9,10,11,12,13,14,15,16,17,18,19,20,21,22,23,24,25,26,27,28,29,30}-1)*LEN(Registro!$F849)+1,LEN(Registro!$F849))),FIND("x",TRIM(MID(SUBSTITUTE(SUBSTITUTE(SUBSTITUTE(SUBSTITUTE(SUBSTITUTE(LOWER(Registro!$F849)," ",""),CHAR(10),"|"),";","|"),"+","|"),"|",REPT(" ",LEN(Registro!$F849))),({1,2,3,4,5,6,7,8,9,10,11,12,13,14,15,16,17,18,19,20,21,22,23,24,25,26,27,28,29,30}-1)*LEN(Registro!$F849)+1,LEN(Registro!$F849)))&amp;"x")-1))),"Revisar formato")))</f>
        <v/>
      </c>
      <c r="G849" s="24" t="str">
        <f>IF(Registro!$F849="","",IF(ISERROR(FIND("x",LOWER(Registro!$F849))),N(Registro!$G849),IFERROR(SUMPRODUCT(--("0"&amp;LEFT(TRIM(MID(SUBSTITUTE(SUBSTITUTE(SUBSTITUTE(SUBSTITUTE(SUBSTITUTE(LOWER(Registro!$F849)," ",""),CHAR(10),"|"),";","|"),"+","|"),"|",REPT(" ",LEN(Registro!$F849))),({1,2,3,4,5,6,7,8,9,10,11,12,13,14,15,16,17,18,19,20,21,22,23,24,25,26,27,28,29,30}-1)*LEN(Registro!$F849)+1,LEN(Registro!$F849))),FIND("x",TRIM(MID(SUBSTITUTE(SUBSTITUTE(SUBSTITUTE(SUBSTITUTE(SUBSTITUTE(LOWER(Registro!$F849)," ",""),CHAR(10),"|"),";","|"),"+","|"),"|",REPT(" ",LEN(Registro!$F849))),({1,2,3,4,5,6,7,8,9,10,11,12,13,14,15,16,17,18,19,20,21,22,23,24,25,26,27,28,29,30}-1)*LEN(Registro!$F849)+1,LEN(Registro!$F849)))&amp;"x")-1)),--("0"&amp;MID(TRIM(MID(SUBSTITUTE(SUBSTITUTE(SUBSTITUTE(SUBSTITUTE(SUBSTITUTE(LOWER(Registro!$F849)," ",""),CHAR(10),"|"),";","|"),"+","|"),"|",REPT(" ",LEN(Registro!$F849))),({1,2,3,4,5,6,7,8,9,10,11,12,13,14,15,16,17,18,19,20,21,22,23,24,25,26,27,28,29,30}-1)*LEN(Registro!$F849)+1,LEN(Registro!$F849))),FIND("x",TRIM(MID(SUBSTITUTE(SUBSTITUTE(SUBSTITUTE(SUBSTITUTE(SUBSTITUTE(LOWER(Registro!$F849)," ",""),CHAR(10),"|"),";","|"),"+","|"),"|",REPT(" ",LEN(Registro!$F849))),({1,2,3,4,5,6,7,8,9,10,11,12,13,14,15,16,17,18,19,20,21,22,23,24,25,26,27,28,29,30}-1)*LEN(Registro!$F849)+1,LEN(Registro!$F849)))&amp;"x")+1,20))),"Revisar formato")))</f>
        <v/>
      </c>
      <c r="H849" s="21" t="str">
        <f>IF(AND(Registro!$E849="",Registro!$F849=""),"",IF(NOT(AND(ISNUMBER(G849),ISNUMBER(Registro!$G849))),"",IF(G849&lt;Registro!$G849,"FALTA BOLETOS",IF(G849=Registro!$G849,"CONFORME","DIFERENCIA"))))</f>
        <v/>
      </c>
      <c r="I849" s="24" t="str">
        <f>IF(Registro!$H849="","",IFERROR(SUMPRODUCT(--("0"&amp;TRIM(RIGHT(SUBSTITUTE(TRIM(MID(SUBSTITUTE(SUBSTITUTE(Registro!$H849,";",CHAR(10)),CHAR(10),REPT(" ",LEN(Registro!$H849))),({1,2,3,4,5,6,7,8,9,10,11,12,13,14,15,16,17,18,19,20,21,22,23,24,25,26,27,28,29,30}-1)*LEN(Registro!$H849)+1,LEN(Registro!$H849)))," ",REPT(" ",50)),50)))),"Revisar formato"))</f>
        <v/>
      </c>
      <c r="J849" s="24" t="str">
        <f>IF(Registro!$I849="","",IFERROR(SUMPRODUCT(--("0"&amp;TRIM(RIGHT(SUBSTITUTE(TRIM(MID(SUBSTITUTE(SUBSTITUTE(Registro!$I849,";",CHAR(10)),CHAR(10),REPT(" ",LEN(Registro!$I849))),({1,2,3,4,5,6,7,8,9,10,11,12,13,14,15,16,17,18,19,20,21,22,23,24,25,26,27,28,29,30}-1)*LEN(Registro!$I849)+1,LEN(Registro!$I849)))," ",REPT(" ",50)),50)))),"Revisar formato"))</f>
        <v/>
      </c>
      <c r="K849" s="24" t="str">
        <f>IF(AND(Registro!$G849="",Registro!$H849=""),"",IF(AND(ISTEXT(I849),I849&lt;&gt;""),"Revisar formato",N(Registro!$G849)-N(I849)))</f>
        <v/>
      </c>
      <c r="L849" s="24" t="str">
        <f t="shared" si="27"/>
        <v/>
      </c>
      <c r="M849" s="36" t="str">
        <f>IF(AND(A849=Consulta!$B$3,C849=Consulta!$H$3),B849*10000+ROW(),"")</f>
        <v/>
      </c>
    </row>
    <row r="850" spans="1:13" x14ac:dyDescent="0.25">
      <c r="A850" s="21" t="str">
        <f>IF(Registro!$A850="","",Registro!$A850)</f>
        <v/>
      </c>
      <c r="B850" s="20" t="str">
        <f>IF(Registro!$B850="","",Registro!$B850)</f>
        <v/>
      </c>
      <c r="C850" s="35" t="str">
        <f t="shared" si="26"/>
        <v/>
      </c>
      <c r="D850" s="23" t="str">
        <f>IF(Registro!$E850="","",IF(ISERROR(FIND("x",LOWER(Registro!$E850))),"-",IFERROR(SUMPRODUCT(--("0"&amp;LEFT(TRIM(MID(SUBSTITUTE(SUBSTITUTE(SUBSTITUTE(SUBSTITUTE(SUBSTITUTE(LOWER(Registro!$E850),"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",LEN(Registro!$E850))),({1,2,3,4,5,6,7,8,9,10,11,12,13,14,15,16,17,18,19,20,21,22,23,24,25,26,27,28,29,30}-1)*LEN(Registro!$E850)+1,LEN(Registro!$E850))),FIND("x",TRIM(MID(SUBSTITUTE(SUBSTITUTE(SUBSTITUTE(SUBSTITUTE(SUBSTITUTE(LOWER(Registro!$E850),"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",LEN(Registro!$E850))),({1,2,3,4,5,6,7,8,9,10,11,12,13,14,15,16,17,18,19,20,21,22,23,24,25,26,27,28,29,30}-1)*LEN(Registro!$E850)+1,LEN(Registro!$E850)))&amp;"x")-1))),"Revisar formato")))</f>
        <v/>
      </c>
      <c r="E850" s="24" t="str">
        <f>IF(Registro!$E850="","",IF(ISERROR(FIND("x",LOWER(Registro!$E850))),"-",IFERROR(SUMPRODUCT(--("0"&amp;LEFT(TRIM(MID(SUBSTITUTE(SUBSTITUTE(SUBSTITUTE(SUBSTITUTE(SUBSTITUTE(LOWER(Registro!$E850),"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",LEN(Registro!$E850))),({1,2,3,4,5,6,7,8,9,10,11,12,13,14,15,16,17,18,19,20,21,22,23,24,25,26,27,28,29,30}-1)*LEN(Registro!$E850)+1,LEN(Registro!$E850))),FIND("x",TRIM(MID(SUBSTITUTE(SUBSTITUTE(SUBSTITUTE(SUBSTITUTE(SUBSTITUTE(LOWER(Registro!$E850),"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",LEN(Registro!$E850))),({1,2,3,4,5,6,7,8,9,10,11,12,13,14,15,16,17,18,19,20,21,22,23,24,25,26,27,28,29,30}-1)*LEN(Registro!$E850)+1,LEN(Registro!$E850)))&amp;"x")-1)),--("0"&amp;MID(TRIM(MID(SUBSTITUTE(SUBSTITUTE(SUBSTITUTE(SUBSTITUTE(SUBSTITUTE(LOWER(Registro!$E850),"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",LEN(Registro!$E850))),({1,2,3,4,5,6,7,8,9,10,11,12,13,14,15,16,17,18,19,20,21,22,23,24,25,26,27,28,29,30}-1)*LEN(Registro!$E850)+1,LEN(Registro!$E850))),FIND("x",TRIM(MID(SUBSTITUTE(SUBSTITUTE(SUBSTITUTE(SUBSTITUTE(SUBSTITUTE(LOWER(Registro!$E850),"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",LEN(Registro!$E850))),({1,2,3,4,5,6,7,8,9,10,11,12,13,14,15,16,17,18,19,20,21,22,23,24,25,26,27,28,29,30}-1)*LEN(Registro!$E850)+1,LEN(Registro!$E850)))&amp;"x")+1,20))),"Revisar formato")))</f>
        <v/>
      </c>
      <c r="F850" s="23" t="str">
        <f>IF(Registro!$F850="","",IF(ISERROR(FIND("x",LOWER(Registro!$F850))),"-",IFERROR(SUMPRODUCT(--("0"&amp;LEFT(TRIM(MID(SUBSTITUTE(SUBSTITUTE(SUBSTITUTE(SUBSTITUTE(SUBSTITUTE(LOWER(Registro!$F850)," ",""),CHAR(10),"|"),";","|"),"+","|"),"|",REPT(" ",LEN(Registro!$F850))),({1,2,3,4,5,6,7,8,9,10,11,12,13,14,15,16,17,18,19,20,21,22,23,24,25,26,27,28,29,30}-1)*LEN(Registro!$F850)+1,LEN(Registro!$F850))),FIND("x",TRIM(MID(SUBSTITUTE(SUBSTITUTE(SUBSTITUTE(SUBSTITUTE(SUBSTITUTE(LOWER(Registro!$F850)," ",""),CHAR(10),"|"),";","|"),"+","|"),"|",REPT(" ",LEN(Registro!$F850))),({1,2,3,4,5,6,7,8,9,10,11,12,13,14,15,16,17,18,19,20,21,22,23,24,25,26,27,28,29,30}-1)*LEN(Registro!$F850)+1,LEN(Registro!$F850)))&amp;"x")-1))),"Revisar formato")))</f>
        <v/>
      </c>
      <c r="G850" s="24" t="str">
        <f>IF(Registro!$F850="","",IF(ISERROR(FIND("x",LOWER(Registro!$F850))),N(Registro!$G850),IFERROR(SUMPRODUCT(--("0"&amp;LEFT(TRIM(MID(SUBSTITUTE(SUBSTITUTE(SUBSTITUTE(SUBSTITUTE(SUBSTITUTE(LOWER(Registro!$F850)," ",""),CHAR(10),"|"),";","|"),"+","|"),"|",REPT(" ",LEN(Registro!$F850))),({1,2,3,4,5,6,7,8,9,10,11,12,13,14,15,16,17,18,19,20,21,22,23,24,25,26,27,28,29,30}-1)*LEN(Registro!$F850)+1,LEN(Registro!$F850))),FIND("x",TRIM(MID(SUBSTITUTE(SUBSTITUTE(SUBSTITUTE(SUBSTITUTE(SUBSTITUTE(LOWER(Registro!$F850)," ",""),CHAR(10),"|"),";","|"),"+","|"),"|",REPT(" ",LEN(Registro!$F850))),({1,2,3,4,5,6,7,8,9,10,11,12,13,14,15,16,17,18,19,20,21,22,23,24,25,26,27,28,29,30}-1)*LEN(Registro!$F850)+1,LEN(Registro!$F850)))&amp;"x")-1)),--("0"&amp;MID(TRIM(MID(SUBSTITUTE(SUBSTITUTE(SUBSTITUTE(SUBSTITUTE(SUBSTITUTE(LOWER(Registro!$F850)," ",""),CHAR(10),"|"),";","|"),"+","|"),"|",REPT(" ",LEN(Registro!$F850))),({1,2,3,4,5,6,7,8,9,10,11,12,13,14,15,16,17,18,19,20,21,22,23,24,25,26,27,28,29,30}-1)*LEN(Registro!$F850)+1,LEN(Registro!$F850))),FIND("x",TRIM(MID(SUBSTITUTE(SUBSTITUTE(SUBSTITUTE(SUBSTITUTE(SUBSTITUTE(LOWER(Registro!$F850)," ",""),CHAR(10),"|"),";","|"),"+","|"),"|",REPT(" ",LEN(Registro!$F850))),({1,2,3,4,5,6,7,8,9,10,11,12,13,14,15,16,17,18,19,20,21,22,23,24,25,26,27,28,29,30}-1)*LEN(Registro!$F850)+1,LEN(Registro!$F850)))&amp;"x")+1,20))),"Revisar formato")))</f>
        <v/>
      </c>
      <c r="H850" s="21" t="str">
        <f>IF(AND(Registro!$E850="",Registro!$F850=""),"",IF(NOT(AND(ISNUMBER(G850),ISNUMBER(Registro!$G850))),"",IF(G850&lt;Registro!$G850,"FALTA BOLETOS",IF(G850=Registro!$G850,"CONFORME","DIFERENCIA"))))</f>
        <v/>
      </c>
      <c r="I850" s="24" t="str">
        <f>IF(Registro!$H850="","",IFERROR(SUMPRODUCT(--("0"&amp;TRIM(RIGHT(SUBSTITUTE(TRIM(MID(SUBSTITUTE(SUBSTITUTE(Registro!$H850,";",CHAR(10)),CHAR(10),REPT(" ",LEN(Registro!$H850))),({1,2,3,4,5,6,7,8,9,10,11,12,13,14,15,16,17,18,19,20,21,22,23,24,25,26,27,28,29,30}-1)*LEN(Registro!$H850)+1,LEN(Registro!$H850)))," ",REPT(" ",50)),50)))),"Revisar formato"))</f>
        <v/>
      </c>
      <c r="J850" s="24" t="str">
        <f>IF(Registro!$I850="","",IFERROR(SUMPRODUCT(--("0"&amp;TRIM(RIGHT(SUBSTITUTE(TRIM(MID(SUBSTITUTE(SUBSTITUTE(Registro!$I850,";",CHAR(10)),CHAR(10),REPT(" ",LEN(Registro!$I850))),({1,2,3,4,5,6,7,8,9,10,11,12,13,14,15,16,17,18,19,20,21,22,23,24,25,26,27,28,29,30}-1)*LEN(Registro!$I850)+1,LEN(Registro!$I850)))," ",REPT(" ",50)),50)))),"Revisar formato"))</f>
        <v/>
      </c>
      <c r="K850" s="24" t="str">
        <f>IF(AND(Registro!$G850="",Registro!$H850=""),"",IF(AND(ISTEXT(I850),I850&lt;&gt;""),"Revisar formato",N(Registro!$G850)-N(I850)))</f>
        <v/>
      </c>
      <c r="L850" s="24" t="str">
        <f t="shared" si="27"/>
        <v/>
      </c>
      <c r="M850" s="36" t="str">
        <f>IF(AND(A850=Consulta!$B$3,C850=Consulta!$H$3),B850*10000+ROW(),"")</f>
        <v/>
      </c>
    </row>
    <row r="851" spans="1:13" x14ac:dyDescent="0.25">
      <c r="A851" s="21" t="str">
        <f>IF(Registro!$A851="","",Registro!$A851)</f>
        <v/>
      </c>
      <c r="B851" s="20" t="str">
        <f>IF(Registro!$B851="","",Registro!$B851)</f>
        <v/>
      </c>
      <c r="C851" s="35" t="str">
        <f t="shared" si="26"/>
        <v/>
      </c>
      <c r="D851" s="23" t="str">
        <f>IF(Registro!$E851="","",IF(ISERROR(FIND("x",LOWER(Registro!$E851))),"-",IFERROR(SUMPRODUCT(--("0"&amp;LEFT(TRIM(MID(SUBSTITUTE(SUBSTITUTE(SUBSTITUTE(SUBSTITUTE(SUBSTITUTE(LOWER(Registro!$E851),"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",LEN(Registro!$E851))),({1,2,3,4,5,6,7,8,9,10,11,12,13,14,15,16,17,18,19,20,21,22,23,24,25,26,27,28,29,30}-1)*LEN(Registro!$E851)+1,LEN(Registro!$E851))),FIND("x",TRIM(MID(SUBSTITUTE(SUBSTITUTE(SUBSTITUTE(SUBSTITUTE(SUBSTITUTE(LOWER(Registro!$E851),"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",LEN(Registro!$E851))),({1,2,3,4,5,6,7,8,9,10,11,12,13,14,15,16,17,18,19,20,21,22,23,24,25,26,27,28,29,30}-1)*LEN(Registro!$E851)+1,LEN(Registro!$E851)))&amp;"x")-1))),"Revisar formato")))</f>
        <v/>
      </c>
      <c r="E851" s="24" t="str">
        <f>IF(Registro!$E851="","",IF(ISERROR(FIND("x",LOWER(Registro!$E851))),"-",IFERROR(SUMPRODUCT(--("0"&amp;LEFT(TRIM(MID(SUBSTITUTE(SUBSTITUTE(SUBSTITUTE(SUBSTITUTE(SUBSTITUTE(LOWER(Registro!$E851),"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",LEN(Registro!$E851))),({1,2,3,4,5,6,7,8,9,10,11,12,13,14,15,16,17,18,19,20,21,22,23,24,25,26,27,28,29,30}-1)*LEN(Registro!$E851)+1,LEN(Registro!$E851))),FIND("x",TRIM(MID(SUBSTITUTE(SUBSTITUTE(SUBSTITUTE(SUBSTITUTE(SUBSTITUTE(LOWER(Registro!$E851),"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",LEN(Registro!$E851))),({1,2,3,4,5,6,7,8,9,10,11,12,13,14,15,16,17,18,19,20,21,22,23,24,25,26,27,28,29,30}-1)*LEN(Registro!$E851)+1,LEN(Registro!$E851)))&amp;"x")-1)),--("0"&amp;MID(TRIM(MID(SUBSTITUTE(SUBSTITUTE(SUBSTITUTE(SUBSTITUTE(SUBSTITUTE(LOWER(Registro!$E851),"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",LEN(Registro!$E851))),({1,2,3,4,5,6,7,8,9,10,11,12,13,14,15,16,17,18,19,20,21,22,23,24,25,26,27,28,29,30}-1)*LEN(Registro!$E851)+1,LEN(Registro!$E851))),FIND("x",TRIM(MID(SUBSTITUTE(SUBSTITUTE(SUBSTITUTE(SUBSTITUTE(SUBSTITUTE(LOWER(Registro!$E851),"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",LEN(Registro!$E851))),({1,2,3,4,5,6,7,8,9,10,11,12,13,14,15,16,17,18,19,20,21,22,23,24,25,26,27,28,29,30}-1)*LEN(Registro!$E851)+1,LEN(Registro!$E851)))&amp;"x")+1,20))),"Revisar formato")))</f>
        <v/>
      </c>
      <c r="F851" s="23" t="str">
        <f>IF(Registro!$F851="","",IF(ISERROR(FIND("x",LOWER(Registro!$F851))),"-",IFERROR(SUMPRODUCT(--("0"&amp;LEFT(TRIM(MID(SUBSTITUTE(SUBSTITUTE(SUBSTITUTE(SUBSTITUTE(SUBSTITUTE(LOWER(Registro!$F851)," ",""),CHAR(10),"|"),";","|"),"+","|"),"|",REPT(" ",LEN(Registro!$F851))),({1,2,3,4,5,6,7,8,9,10,11,12,13,14,15,16,17,18,19,20,21,22,23,24,25,26,27,28,29,30}-1)*LEN(Registro!$F851)+1,LEN(Registro!$F851))),FIND("x",TRIM(MID(SUBSTITUTE(SUBSTITUTE(SUBSTITUTE(SUBSTITUTE(SUBSTITUTE(LOWER(Registro!$F851)," ",""),CHAR(10),"|"),";","|"),"+","|"),"|",REPT(" ",LEN(Registro!$F851))),({1,2,3,4,5,6,7,8,9,10,11,12,13,14,15,16,17,18,19,20,21,22,23,24,25,26,27,28,29,30}-1)*LEN(Registro!$F851)+1,LEN(Registro!$F851)))&amp;"x")-1))),"Revisar formato")))</f>
        <v/>
      </c>
      <c r="G851" s="24" t="str">
        <f>IF(Registro!$F851="","",IF(ISERROR(FIND("x",LOWER(Registro!$F851))),N(Registro!$G851),IFERROR(SUMPRODUCT(--("0"&amp;LEFT(TRIM(MID(SUBSTITUTE(SUBSTITUTE(SUBSTITUTE(SUBSTITUTE(SUBSTITUTE(LOWER(Registro!$F851)," ",""),CHAR(10),"|"),";","|"),"+","|"),"|",REPT(" ",LEN(Registro!$F851))),({1,2,3,4,5,6,7,8,9,10,11,12,13,14,15,16,17,18,19,20,21,22,23,24,25,26,27,28,29,30}-1)*LEN(Registro!$F851)+1,LEN(Registro!$F851))),FIND("x",TRIM(MID(SUBSTITUTE(SUBSTITUTE(SUBSTITUTE(SUBSTITUTE(SUBSTITUTE(LOWER(Registro!$F851)," ",""),CHAR(10),"|"),";","|"),"+","|"),"|",REPT(" ",LEN(Registro!$F851))),({1,2,3,4,5,6,7,8,9,10,11,12,13,14,15,16,17,18,19,20,21,22,23,24,25,26,27,28,29,30}-1)*LEN(Registro!$F851)+1,LEN(Registro!$F851)))&amp;"x")-1)),--("0"&amp;MID(TRIM(MID(SUBSTITUTE(SUBSTITUTE(SUBSTITUTE(SUBSTITUTE(SUBSTITUTE(LOWER(Registro!$F851)," ",""),CHAR(10),"|"),";","|"),"+","|"),"|",REPT(" ",LEN(Registro!$F851))),({1,2,3,4,5,6,7,8,9,10,11,12,13,14,15,16,17,18,19,20,21,22,23,24,25,26,27,28,29,30}-1)*LEN(Registro!$F851)+1,LEN(Registro!$F851))),FIND("x",TRIM(MID(SUBSTITUTE(SUBSTITUTE(SUBSTITUTE(SUBSTITUTE(SUBSTITUTE(LOWER(Registro!$F851)," ",""),CHAR(10),"|"),";","|"),"+","|"),"|",REPT(" ",LEN(Registro!$F851))),({1,2,3,4,5,6,7,8,9,10,11,12,13,14,15,16,17,18,19,20,21,22,23,24,25,26,27,28,29,30}-1)*LEN(Registro!$F851)+1,LEN(Registro!$F851)))&amp;"x")+1,20))),"Revisar formato")))</f>
        <v/>
      </c>
      <c r="H851" s="21" t="str">
        <f>IF(AND(Registro!$E851="",Registro!$F851=""),"",IF(NOT(AND(ISNUMBER(G851),ISNUMBER(Registro!$G851))),"",IF(G851&lt;Registro!$G851,"FALTA BOLETOS",IF(G851=Registro!$G851,"CONFORME","DIFERENCIA"))))</f>
        <v/>
      </c>
      <c r="I851" s="24" t="str">
        <f>IF(Registro!$H851="","",IFERROR(SUMPRODUCT(--("0"&amp;TRIM(RIGHT(SUBSTITUTE(TRIM(MID(SUBSTITUTE(SUBSTITUTE(Registro!$H851,";",CHAR(10)),CHAR(10),REPT(" ",LEN(Registro!$H851))),({1,2,3,4,5,6,7,8,9,10,11,12,13,14,15,16,17,18,19,20,21,22,23,24,25,26,27,28,29,30}-1)*LEN(Registro!$H851)+1,LEN(Registro!$H851)))," ",REPT(" ",50)),50)))),"Revisar formato"))</f>
        <v/>
      </c>
      <c r="J851" s="24" t="str">
        <f>IF(Registro!$I851="","",IFERROR(SUMPRODUCT(--("0"&amp;TRIM(RIGHT(SUBSTITUTE(TRIM(MID(SUBSTITUTE(SUBSTITUTE(Registro!$I851,";",CHAR(10)),CHAR(10),REPT(" ",LEN(Registro!$I851))),({1,2,3,4,5,6,7,8,9,10,11,12,13,14,15,16,17,18,19,20,21,22,23,24,25,26,27,28,29,30}-1)*LEN(Registro!$I851)+1,LEN(Registro!$I851)))," ",REPT(" ",50)),50)))),"Revisar formato"))</f>
        <v/>
      </c>
      <c r="K851" s="24" t="str">
        <f>IF(AND(Registro!$G851="",Registro!$H851=""),"",IF(AND(ISTEXT(I851),I851&lt;&gt;""),"Revisar formato",N(Registro!$G851)-N(I851)))</f>
        <v/>
      </c>
      <c r="L851" s="24" t="str">
        <f t="shared" si="27"/>
        <v/>
      </c>
      <c r="M851" s="36" t="str">
        <f>IF(AND(A851=Consulta!$B$3,C851=Consulta!$H$3),B851*10000+ROW(),"")</f>
        <v/>
      </c>
    </row>
    <row r="852" spans="1:13" x14ac:dyDescent="0.25">
      <c r="A852" s="21" t="str">
        <f>IF(Registro!$A852="","",Registro!$A852)</f>
        <v/>
      </c>
      <c r="B852" s="20" t="str">
        <f>IF(Registro!$B852="","",Registro!$B852)</f>
        <v/>
      </c>
      <c r="C852" s="35" t="str">
        <f t="shared" si="26"/>
        <v/>
      </c>
      <c r="D852" s="23" t="str">
        <f>IF(Registro!$E852="","",IF(ISERROR(FIND("x",LOWER(Registro!$E852))),"-",IFERROR(SUMPRODUCT(--("0"&amp;LEFT(TRIM(MID(SUBSTITUTE(SUBSTITUTE(SUBSTITUTE(SUBSTITUTE(SUBSTITUTE(LOWER(Registro!$E852),"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",LEN(Registro!$E852))),({1,2,3,4,5,6,7,8,9,10,11,12,13,14,15,16,17,18,19,20,21,22,23,24,25,26,27,28,29,30}-1)*LEN(Registro!$E852)+1,LEN(Registro!$E852))),FIND("x",TRIM(MID(SUBSTITUTE(SUBSTITUTE(SUBSTITUTE(SUBSTITUTE(SUBSTITUTE(LOWER(Registro!$E852),"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",LEN(Registro!$E852))),({1,2,3,4,5,6,7,8,9,10,11,12,13,14,15,16,17,18,19,20,21,22,23,24,25,26,27,28,29,30}-1)*LEN(Registro!$E852)+1,LEN(Registro!$E852)))&amp;"x")-1))),"Revisar formato")))</f>
        <v/>
      </c>
      <c r="E852" s="24" t="str">
        <f>IF(Registro!$E852="","",IF(ISERROR(FIND("x",LOWER(Registro!$E852))),"-",IFERROR(SUMPRODUCT(--("0"&amp;LEFT(TRIM(MID(SUBSTITUTE(SUBSTITUTE(SUBSTITUTE(SUBSTITUTE(SUBSTITUTE(LOWER(Registro!$E852),"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",LEN(Registro!$E852))),({1,2,3,4,5,6,7,8,9,10,11,12,13,14,15,16,17,18,19,20,21,22,23,24,25,26,27,28,29,30}-1)*LEN(Registro!$E852)+1,LEN(Registro!$E852))),FIND("x",TRIM(MID(SUBSTITUTE(SUBSTITUTE(SUBSTITUTE(SUBSTITUTE(SUBSTITUTE(LOWER(Registro!$E852),"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",LEN(Registro!$E852))),({1,2,3,4,5,6,7,8,9,10,11,12,13,14,15,16,17,18,19,20,21,22,23,24,25,26,27,28,29,30}-1)*LEN(Registro!$E852)+1,LEN(Registro!$E852)))&amp;"x")-1)),--("0"&amp;MID(TRIM(MID(SUBSTITUTE(SUBSTITUTE(SUBSTITUTE(SUBSTITUTE(SUBSTITUTE(LOWER(Registro!$E852),"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",LEN(Registro!$E852))),({1,2,3,4,5,6,7,8,9,10,11,12,13,14,15,16,17,18,19,20,21,22,23,24,25,26,27,28,29,30}-1)*LEN(Registro!$E852)+1,LEN(Registro!$E852))),FIND("x",TRIM(MID(SUBSTITUTE(SUBSTITUTE(SUBSTITUTE(SUBSTITUTE(SUBSTITUTE(LOWER(Registro!$E852),"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",LEN(Registro!$E852))),({1,2,3,4,5,6,7,8,9,10,11,12,13,14,15,16,17,18,19,20,21,22,23,24,25,26,27,28,29,30}-1)*LEN(Registro!$E852)+1,LEN(Registro!$E852)))&amp;"x")+1,20))),"Revisar formato")))</f>
        <v/>
      </c>
      <c r="F852" s="23" t="str">
        <f>IF(Registro!$F852="","",IF(ISERROR(FIND("x",LOWER(Registro!$F852))),"-",IFERROR(SUMPRODUCT(--("0"&amp;LEFT(TRIM(MID(SUBSTITUTE(SUBSTITUTE(SUBSTITUTE(SUBSTITUTE(SUBSTITUTE(LOWER(Registro!$F852)," ",""),CHAR(10),"|"),";","|"),"+","|"),"|",REPT(" ",LEN(Registro!$F852))),({1,2,3,4,5,6,7,8,9,10,11,12,13,14,15,16,17,18,19,20,21,22,23,24,25,26,27,28,29,30}-1)*LEN(Registro!$F852)+1,LEN(Registro!$F852))),FIND("x",TRIM(MID(SUBSTITUTE(SUBSTITUTE(SUBSTITUTE(SUBSTITUTE(SUBSTITUTE(LOWER(Registro!$F852)," ",""),CHAR(10),"|"),";","|"),"+","|"),"|",REPT(" ",LEN(Registro!$F852))),({1,2,3,4,5,6,7,8,9,10,11,12,13,14,15,16,17,18,19,20,21,22,23,24,25,26,27,28,29,30}-1)*LEN(Registro!$F852)+1,LEN(Registro!$F852)))&amp;"x")-1))),"Revisar formato")))</f>
        <v/>
      </c>
      <c r="G852" s="24" t="str">
        <f>IF(Registro!$F852="","",IF(ISERROR(FIND("x",LOWER(Registro!$F852))),N(Registro!$G852),IFERROR(SUMPRODUCT(--("0"&amp;LEFT(TRIM(MID(SUBSTITUTE(SUBSTITUTE(SUBSTITUTE(SUBSTITUTE(SUBSTITUTE(LOWER(Registro!$F852)," ",""),CHAR(10),"|"),";","|"),"+","|"),"|",REPT(" ",LEN(Registro!$F852))),({1,2,3,4,5,6,7,8,9,10,11,12,13,14,15,16,17,18,19,20,21,22,23,24,25,26,27,28,29,30}-1)*LEN(Registro!$F852)+1,LEN(Registro!$F852))),FIND("x",TRIM(MID(SUBSTITUTE(SUBSTITUTE(SUBSTITUTE(SUBSTITUTE(SUBSTITUTE(LOWER(Registro!$F852)," ",""),CHAR(10),"|"),";","|"),"+","|"),"|",REPT(" ",LEN(Registro!$F852))),({1,2,3,4,5,6,7,8,9,10,11,12,13,14,15,16,17,18,19,20,21,22,23,24,25,26,27,28,29,30}-1)*LEN(Registro!$F852)+1,LEN(Registro!$F852)))&amp;"x")-1)),--("0"&amp;MID(TRIM(MID(SUBSTITUTE(SUBSTITUTE(SUBSTITUTE(SUBSTITUTE(SUBSTITUTE(LOWER(Registro!$F852)," ",""),CHAR(10),"|"),";","|"),"+","|"),"|",REPT(" ",LEN(Registro!$F852))),({1,2,3,4,5,6,7,8,9,10,11,12,13,14,15,16,17,18,19,20,21,22,23,24,25,26,27,28,29,30}-1)*LEN(Registro!$F852)+1,LEN(Registro!$F852))),FIND("x",TRIM(MID(SUBSTITUTE(SUBSTITUTE(SUBSTITUTE(SUBSTITUTE(SUBSTITUTE(LOWER(Registro!$F852)," ",""),CHAR(10),"|"),";","|"),"+","|"),"|",REPT(" ",LEN(Registro!$F852))),({1,2,3,4,5,6,7,8,9,10,11,12,13,14,15,16,17,18,19,20,21,22,23,24,25,26,27,28,29,30}-1)*LEN(Registro!$F852)+1,LEN(Registro!$F852)))&amp;"x")+1,20))),"Revisar formato")))</f>
        <v/>
      </c>
      <c r="H852" s="21" t="str">
        <f>IF(AND(Registro!$E852="",Registro!$F852=""),"",IF(NOT(AND(ISNUMBER(G852),ISNUMBER(Registro!$G852))),"",IF(G852&lt;Registro!$G852,"FALTA BOLETOS",IF(G852=Registro!$G852,"CONFORME","DIFERENCIA"))))</f>
        <v/>
      </c>
      <c r="I852" s="24" t="str">
        <f>IF(Registro!$H852="","",IFERROR(SUMPRODUCT(--("0"&amp;TRIM(RIGHT(SUBSTITUTE(TRIM(MID(SUBSTITUTE(SUBSTITUTE(Registro!$H852,";",CHAR(10)),CHAR(10),REPT(" ",LEN(Registro!$H852))),({1,2,3,4,5,6,7,8,9,10,11,12,13,14,15,16,17,18,19,20,21,22,23,24,25,26,27,28,29,30}-1)*LEN(Registro!$H852)+1,LEN(Registro!$H852)))," ",REPT(" ",50)),50)))),"Revisar formato"))</f>
        <v/>
      </c>
      <c r="J852" s="24" t="str">
        <f>IF(Registro!$I852="","",IFERROR(SUMPRODUCT(--("0"&amp;TRIM(RIGHT(SUBSTITUTE(TRIM(MID(SUBSTITUTE(SUBSTITUTE(Registro!$I852,";",CHAR(10)),CHAR(10),REPT(" ",LEN(Registro!$I852))),({1,2,3,4,5,6,7,8,9,10,11,12,13,14,15,16,17,18,19,20,21,22,23,24,25,26,27,28,29,30}-1)*LEN(Registro!$I852)+1,LEN(Registro!$I852)))," ",REPT(" ",50)),50)))),"Revisar formato"))</f>
        <v/>
      </c>
      <c r="K852" s="24" t="str">
        <f>IF(AND(Registro!$G852="",Registro!$H852=""),"",IF(AND(ISTEXT(I852),I852&lt;&gt;""),"Revisar formato",N(Registro!$G852)-N(I852)))</f>
        <v/>
      </c>
      <c r="L852" s="24" t="str">
        <f t="shared" si="27"/>
        <v/>
      </c>
      <c r="M852" s="36" t="str">
        <f>IF(AND(A852=Consulta!$B$3,C852=Consulta!$H$3),B852*10000+ROW(),"")</f>
        <v/>
      </c>
    </row>
    <row r="853" spans="1:13" x14ac:dyDescent="0.25">
      <c r="A853" s="21" t="str">
        <f>IF(Registro!$A853="","",Registro!$A853)</f>
        <v/>
      </c>
      <c r="B853" s="20" t="str">
        <f>IF(Registro!$B853="","",Registro!$B853)</f>
        <v/>
      </c>
      <c r="C853" s="35" t="str">
        <f t="shared" si="26"/>
        <v/>
      </c>
      <c r="D853" s="23" t="str">
        <f>IF(Registro!$E853="","",IF(ISERROR(FIND("x",LOWER(Registro!$E853))),"-",IFERROR(SUMPRODUCT(--("0"&amp;LEFT(TRIM(MID(SUBSTITUTE(SUBSTITUTE(SUBSTITUTE(SUBSTITUTE(SUBSTITUTE(LOWER(Registro!$E853),"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",LEN(Registro!$E853))),({1,2,3,4,5,6,7,8,9,10,11,12,13,14,15,16,17,18,19,20,21,22,23,24,25,26,27,28,29,30}-1)*LEN(Registro!$E853)+1,LEN(Registro!$E853))),FIND("x",TRIM(MID(SUBSTITUTE(SUBSTITUTE(SUBSTITUTE(SUBSTITUTE(SUBSTITUTE(LOWER(Registro!$E853),"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",LEN(Registro!$E853))),({1,2,3,4,5,6,7,8,9,10,11,12,13,14,15,16,17,18,19,20,21,22,23,24,25,26,27,28,29,30}-1)*LEN(Registro!$E853)+1,LEN(Registro!$E853)))&amp;"x")-1))),"Revisar formato")))</f>
        <v/>
      </c>
      <c r="E853" s="24" t="str">
        <f>IF(Registro!$E853="","",IF(ISERROR(FIND("x",LOWER(Registro!$E853))),"-",IFERROR(SUMPRODUCT(--("0"&amp;LEFT(TRIM(MID(SUBSTITUTE(SUBSTITUTE(SUBSTITUTE(SUBSTITUTE(SUBSTITUTE(LOWER(Registro!$E853),"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",LEN(Registro!$E853))),({1,2,3,4,5,6,7,8,9,10,11,12,13,14,15,16,17,18,19,20,21,22,23,24,25,26,27,28,29,30}-1)*LEN(Registro!$E853)+1,LEN(Registro!$E853))),FIND("x",TRIM(MID(SUBSTITUTE(SUBSTITUTE(SUBSTITUTE(SUBSTITUTE(SUBSTITUTE(LOWER(Registro!$E853),"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",LEN(Registro!$E853))),({1,2,3,4,5,6,7,8,9,10,11,12,13,14,15,16,17,18,19,20,21,22,23,24,25,26,27,28,29,30}-1)*LEN(Registro!$E853)+1,LEN(Registro!$E853)))&amp;"x")-1)),--("0"&amp;MID(TRIM(MID(SUBSTITUTE(SUBSTITUTE(SUBSTITUTE(SUBSTITUTE(SUBSTITUTE(LOWER(Registro!$E853),"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",LEN(Registro!$E853))),({1,2,3,4,5,6,7,8,9,10,11,12,13,14,15,16,17,18,19,20,21,22,23,24,25,26,27,28,29,30}-1)*LEN(Registro!$E853)+1,LEN(Registro!$E853))),FIND("x",TRIM(MID(SUBSTITUTE(SUBSTITUTE(SUBSTITUTE(SUBSTITUTE(SUBSTITUTE(LOWER(Registro!$E853),"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",LEN(Registro!$E853))),({1,2,3,4,5,6,7,8,9,10,11,12,13,14,15,16,17,18,19,20,21,22,23,24,25,26,27,28,29,30}-1)*LEN(Registro!$E853)+1,LEN(Registro!$E853)))&amp;"x")+1,20))),"Revisar formato")))</f>
        <v/>
      </c>
      <c r="F853" s="23" t="str">
        <f>IF(Registro!$F853="","",IF(ISERROR(FIND("x",LOWER(Registro!$F853))),"-",IFERROR(SUMPRODUCT(--("0"&amp;LEFT(TRIM(MID(SUBSTITUTE(SUBSTITUTE(SUBSTITUTE(SUBSTITUTE(SUBSTITUTE(LOWER(Registro!$F853)," ",""),CHAR(10),"|"),";","|"),"+","|"),"|",REPT(" ",LEN(Registro!$F853))),({1,2,3,4,5,6,7,8,9,10,11,12,13,14,15,16,17,18,19,20,21,22,23,24,25,26,27,28,29,30}-1)*LEN(Registro!$F853)+1,LEN(Registro!$F853))),FIND("x",TRIM(MID(SUBSTITUTE(SUBSTITUTE(SUBSTITUTE(SUBSTITUTE(SUBSTITUTE(LOWER(Registro!$F853)," ",""),CHAR(10),"|"),";","|"),"+","|"),"|",REPT(" ",LEN(Registro!$F853))),({1,2,3,4,5,6,7,8,9,10,11,12,13,14,15,16,17,18,19,20,21,22,23,24,25,26,27,28,29,30}-1)*LEN(Registro!$F853)+1,LEN(Registro!$F853)))&amp;"x")-1))),"Revisar formato")))</f>
        <v/>
      </c>
      <c r="G853" s="24" t="str">
        <f>IF(Registro!$F853="","",IF(ISERROR(FIND("x",LOWER(Registro!$F853))),N(Registro!$G853),IFERROR(SUMPRODUCT(--("0"&amp;LEFT(TRIM(MID(SUBSTITUTE(SUBSTITUTE(SUBSTITUTE(SUBSTITUTE(SUBSTITUTE(LOWER(Registro!$F853)," ",""),CHAR(10),"|"),";","|"),"+","|"),"|",REPT(" ",LEN(Registro!$F853))),({1,2,3,4,5,6,7,8,9,10,11,12,13,14,15,16,17,18,19,20,21,22,23,24,25,26,27,28,29,30}-1)*LEN(Registro!$F853)+1,LEN(Registro!$F853))),FIND("x",TRIM(MID(SUBSTITUTE(SUBSTITUTE(SUBSTITUTE(SUBSTITUTE(SUBSTITUTE(LOWER(Registro!$F853)," ",""),CHAR(10),"|"),";","|"),"+","|"),"|",REPT(" ",LEN(Registro!$F853))),({1,2,3,4,5,6,7,8,9,10,11,12,13,14,15,16,17,18,19,20,21,22,23,24,25,26,27,28,29,30}-1)*LEN(Registro!$F853)+1,LEN(Registro!$F853)))&amp;"x")-1)),--("0"&amp;MID(TRIM(MID(SUBSTITUTE(SUBSTITUTE(SUBSTITUTE(SUBSTITUTE(SUBSTITUTE(LOWER(Registro!$F853)," ",""),CHAR(10),"|"),";","|"),"+","|"),"|",REPT(" ",LEN(Registro!$F853))),({1,2,3,4,5,6,7,8,9,10,11,12,13,14,15,16,17,18,19,20,21,22,23,24,25,26,27,28,29,30}-1)*LEN(Registro!$F853)+1,LEN(Registro!$F853))),FIND("x",TRIM(MID(SUBSTITUTE(SUBSTITUTE(SUBSTITUTE(SUBSTITUTE(SUBSTITUTE(LOWER(Registro!$F853)," ",""),CHAR(10),"|"),";","|"),"+","|"),"|",REPT(" ",LEN(Registro!$F853))),({1,2,3,4,5,6,7,8,9,10,11,12,13,14,15,16,17,18,19,20,21,22,23,24,25,26,27,28,29,30}-1)*LEN(Registro!$F853)+1,LEN(Registro!$F853)))&amp;"x")+1,20))),"Revisar formato")))</f>
        <v/>
      </c>
      <c r="H853" s="21" t="str">
        <f>IF(AND(Registro!$E853="",Registro!$F853=""),"",IF(NOT(AND(ISNUMBER(G853),ISNUMBER(Registro!$G853))),"",IF(G853&lt;Registro!$G853,"FALTA BOLETOS",IF(G853=Registro!$G853,"CONFORME","DIFERENCIA"))))</f>
        <v/>
      </c>
      <c r="I853" s="24" t="str">
        <f>IF(Registro!$H853="","",IFERROR(SUMPRODUCT(--("0"&amp;TRIM(RIGHT(SUBSTITUTE(TRIM(MID(SUBSTITUTE(SUBSTITUTE(Registro!$H853,";",CHAR(10)),CHAR(10),REPT(" ",LEN(Registro!$H853))),({1,2,3,4,5,6,7,8,9,10,11,12,13,14,15,16,17,18,19,20,21,22,23,24,25,26,27,28,29,30}-1)*LEN(Registro!$H853)+1,LEN(Registro!$H853)))," ",REPT(" ",50)),50)))),"Revisar formato"))</f>
        <v/>
      </c>
      <c r="J853" s="24" t="str">
        <f>IF(Registro!$I853="","",IFERROR(SUMPRODUCT(--("0"&amp;TRIM(RIGHT(SUBSTITUTE(TRIM(MID(SUBSTITUTE(SUBSTITUTE(Registro!$I853,";",CHAR(10)),CHAR(10),REPT(" ",LEN(Registro!$I853))),({1,2,3,4,5,6,7,8,9,10,11,12,13,14,15,16,17,18,19,20,21,22,23,24,25,26,27,28,29,30}-1)*LEN(Registro!$I853)+1,LEN(Registro!$I853)))," ",REPT(" ",50)),50)))),"Revisar formato"))</f>
        <v/>
      </c>
      <c r="K853" s="24" t="str">
        <f>IF(AND(Registro!$G853="",Registro!$H853=""),"",IF(AND(ISTEXT(I853),I853&lt;&gt;""),"Revisar formato",N(Registro!$G853)-N(I853)))</f>
        <v/>
      </c>
      <c r="L853" s="24" t="str">
        <f t="shared" si="27"/>
        <v/>
      </c>
      <c r="M853" s="36" t="str">
        <f>IF(AND(A853=Consulta!$B$3,C853=Consulta!$H$3),B853*10000+ROW(),"")</f>
        <v/>
      </c>
    </row>
    <row r="854" spans="1:13" x14ac:dyDescent="0.25">
      <c r="A854" s="21" t="str">
        <f>IF(Registro!$A854="","",Registro!$A854)</f>
        <v/>
      </c>
      <c r="B854" s="20" t="str">
        <f>IF(Registro!$B854="","",Registro!$B854)</f>
        <v/>
      </c>
      <c r="C854" s="35" t="str">
        <f t="shared" si="26"/>
        <v/>
      </c>
      <c r="D854" s="23" t="str">
        <f>IF(Registro!$E854="","",IF(ISERROR(FIND("x",LOWER(Registro!$E854))),"-",IFERROR(SUMPRODUCT(--("0"&amp;LEFT(TRIM(MID(SUBSTITUTE(SUBSTITUTE(SUBSTITUTE(SUBSTITUTE(SUBSTITUTE(LOWER(Registro!$E854),"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",LEN(Registro!$E854))),({1,2,3,4,5,6,7,8,9,10,11,12,13,14,15,16,17,18,19,20,21,22,23,24,25,26,27,28,29,30}-1)*LEN(Registro!$E854)+1,LEN(Registro!$E854))),FIND("x",TRIM(MID(SUBSTITUTE(SUBSTITUTE(SUBSTITUTE(SUBSTITUTE(SUBSTITUTE(LOWER(Registro!$E854),"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",LEN(Registro!$E854))),({1,2,3,4,5,6,7,8,9,10,11,12,13,14,15,16,17,18,19,20,21,22,23,24,25,26,27,28,29,30}-1)*LEN(Registro!$E854)+1,LEN(Registro!$E854)))&amp;"x")-1))),"Revisar formato")))</f>
        <v/>
      </c>
      <c r="E854" s="24" t="str">
        <f>IF(Registro!$E854="","",IF(ISERROR(FIND("x",LOWER(Registro!$E854))),"-",IFERROR(SUMPRODUCT(--("0"&amp;LEFT(TRIM(MID(SUBSTITUTE(SUBSTITUTE(SUBSTITUTE(SUBSTITUTE(SUBSTITUTE(LOWER(Registro!$E854),"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",LEN(Registro!$E854))),({1,2,3,4,5,6,7,8,9,10,11,12,13,14,15,16,17,18,19,20,21,22,23,24,25,26,27,28,29,30}-1)*LEN(Registro!$E854)+1,LEN(Registro!$E854))),FIND("x",TRIM(MID(SUBSTITUTE(SUBSTITUTE(SUBSTITUTE(SUBSTITUTE(SUBSTITUTE(LOWER(Registro!$E854),"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",LEN(Registro!$E854))),({1,2,3,4,5,6,7,8,9,10,11,12,13,14,15,16,17,18,19,20,21,22,23,24,25,26,27,28,29,30}-1)*LEN(Registro!$E854)+1,LEN(Registro!$E854)))&amp;"x")-1)),--("0"&amp;MID(TRIM(MID(SUBSTITUTE(SUBSTITUTE(SUBSTITUTE(SUBSTITUTE(SUBSTITUTE(LOWER(Registro!$E854),"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",LEN(Registro!$E854))),({1,2,3,4,5,6,7,8,9,10,11,12,13,14,15,16,17,18,19,20,21,22,23,24,25,26,27,28,29,30}-1)*LEN(Registro!$E854)+1,LEN(Registro!$E854))),FIND("x",TRIM(MID(SUBSTITUTE(SUBSTITUTE(SUBSTITUTE(SUBSTITUTE(SUBSTITUTE(LOWER(Registro!$E854),"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",LEN(Registro!$E854))),({1,2,3,4,5,6,7,8,9,10,11,12,13,14,15,16,17,18,19,20,21,22,23,24,25,26,27,28,29,30}-1)*LEN(Registro!$E854)+1,LEN(Registro!$E854)))&amp;"x")+1,20))),"Revisar formato")))</f>
        <v/>
      </c>
      <c r="F854" s="23" t="str">
        <f>IF(Registro!$F854="","",IF(ISERROR(FIND("x",LOWER(Registro!$F854))),"-",IFERROR(SUMPRODUCT(--("0"&amp;LEFT(TRIM(MID(SUBSTITUTE(SUBSTITUTE(SUBSTITUTE(SUBSTITUTE(SUBSTITUTE(LOWER(Registro!$F854)," ",""),CHAR(10),"|"),";","|"),"+","|"),"|",REPT(" ",LEN(Registro!$F854))),({1,2,3,4,5,6,7,8,9,10,11,12,13,14,15,16,17,18,19,20,21,22,23,24,25,26,27,28,29,30}-1)*LEN(Registro!$F854)+1,LEN(Registro!$F854))),FIND("x",TRIM(MID(SUBSTITUTE(SUBSTITUTE(SUBSTITUTE(SUBSTITUTE(SUBSTITUTE(LOWER(Registro!$F854)," ",""),CHAR(10),"|"),";","|"),"+","|"),"|",REPT(" ",LEN(Registro!$F854))),({1,2,3,4,5,6,7,8,9,10,11,12,13,14,15,16,17,18,19,20,21,22,23,24,25,26,27,28,29,30}-1)*LEN(Registro!$F854)+1,LEN(Registro!$F854)))&amp;"x")-1))),"Revisar formato")))</f>
        <v/>
      </c>
      <c r="G854" s="24" t="str">
        <f>IF(Registro!$F854="","",IF(ISERROR(FIND("x",LOWER(Registro!$F854))),N(Registro!$G854),IFERROR(SUMPRODUCT(--("0"&amp;LEFT(TRIM(MID(SUBSTITUTE(SUBSTITUTE(SUBSTITUTE(SUBSTITUTE(SUBSTITUTE(LOWER(Registro!$F854)," ",""),CHAR(10),"|"),";","|"),"+","|"),"|",REPT(" ",LEN(Registro!$F854))),({1,2,3,4,5,6,7,8,9,10,11,12,13,14,15,16,17,18,19,20,21,22,23,24,25,26,27,28,29,30}-1)*LEN(Registro!$F854)+1,LEN(Registro!$F854))),FIND("x",TRIM(MID(SUBSTITUTE(SUBSTITUTE(SUBSTITUTE(SUBSTITUTE(SUBSTITUTE(LOWER(Registro!$F854)," ",""),CHAR(10),"|"),";","|"),"+","|"),"|",REPT(" ",LEN(Registro!$F854))),({1,2,3,4,5,6,7,8,9,10,11,12,13,14,15,16,17,18,19,20,21,22,23,24,25,26,27,28,29,30}-1)*LEN(Registro!$F854)+1,LEN(Registro!$F854)))&amp;"x")-1)),--("0"&amp;MID(TRIM(MID(SUBSTITUTE(SUBSTITUTE(SUBSTITUTE(SUBSTITUTE(SUBSTITUTE(LOWER(Registro!$F854)," ",""),CHAR(10),"|"),";","|"),"+","|"),"|",REPT(" ",LEN(Registro!$F854))),({1,2,3,4,5,6,7,8,9,10,11,12,13,14,15,16,17,18,19,20,21,22,23,24,25,26,27,28,29,30}-1)*LEN(Registro!$F854)+1,LEN(Registro!$F854))),FIND("x",TRIM(MID(SUBSTITUTE(SUBSTITUTE(SUBSTITUTE(SUBSTITUTE(SUBSTITUTE(LOWER(Registro!$F854)," ",""),CHAR(10),"|"),";","|"),"+","|"),"|",REPT(" ",LEN(Registro!$F854))),({1,2,3,4,5,6,7,8,9,10,11,12,13,14,15,16,17,18,19,20,21,22,23,24,25,26,27,28,29,30}-1)*LEN(Registro!$F854)+1,LEN(Registro!$F854)))&amp;"x")+1,20))),"Revisar formato")))</f>
        <v/>
      </c>
      <c r="H854" s="21" t="str">
        <f>IF(AND(Registro!$E854="",Registro!$F854=""),"",IF(NOT(AND(ISNUMBER(G854),ISNUMBER(Registro!$G854))),"",IF(G854&lt;Registro!$G854,"FALTA BOLETOS",IF(G854=Registro!$G854,"CONFORME","DIFERENCIA"))))</f>
        <v/>
      </c>
      <c r="I854" s="24" t="str">
        <f>IF(Registro!$H854="","",IFERROR(SUMPRODUCT(--("0"&amp;TRIM(RIGHT(SUBSTITUTE(TRIM(MID(SUBSTITUTE(SUBSTITUTE(Registro!$H854,";",CHAR(10)),CHAR(10),REPT(" ",LEN(Registro!$H854))),({1,2,3,4,5,6,7,8,9,10,11,12,13,14,15,16,17,18,19,20,21,22,23,24,25,26,27,28,29,30}-1)*LEN(Registro!$H854)+1,LEN(Registro!$H854)))," ",REPT(" ",50)),50)))),"Revisar formato"))</f>
        <v/>
      </c>
      <c r="J854" s="24" t="str">
        <f>IF(Registro!$I854="","",IFERROR(SUMPRODUCT(--("0"&amp;TRIM(RIGHT(SUBSTITUTE(TRIM(MID(SUBSTITUTE(SUBSTITUTE(Registro!$I854,";",CHAR(10)),CHAR(10),REPT(" ",LEN(Registro!$I854))),({1,2,3,4,5,6,7,8,9,10,11,12,13,14,15,16,17,18,19,20,21,22,23,24,25,26,27,28,29,30}-1)*LEN(Registro!$I854)+1,LEN(Registro!$I854)))," ",REPT(" ",50)),50)))),"Revisar formato"))</f>
        <v/>
      </c>
      <c r="K854" s="24" t="str">
        <f>IF(AND(Registro!$G854="",Registro!$H854=""),"",IF(AND(ISTEXT(I854),I854&lt;&gt;""),"Revisar formato",N(Registro!$G854)-N(I854)))</f>
        <v/>
      </c>
      <c r="L854" s="24" t="str">
        <f t="shared" si="27"/>
        <v/>
      </c>
      <c r="M854" s="36" t="str">
        <f>IF(AND(A854=Consulta!$B$3,C854=Consulta!$H$3),B854*10000+ROW(),"")</f>
        <v/>
      </c>
    </row>
    <row r="855" spans="1:13" x14ac:dyDescent="0.25">
      <c r="A855" s="21" t="str">
        <f>IF(Registro!$A855="","",Registro!$A855)</f>
        <v/>
      </c>
      <c r="B855" s="20" t="str">
        <f>IF(Registro!$B855="","",Registro!$B855)</f>
        <v/>
      </c>
      <c r="C855" s="35" t="str">
        <f t="shared" si="26"/>
        <v/>
      </c>
      <c r="D855" s="23" t="str">
        <f>IF(Registro!$E855="","",IF(ISERROR(FIND("x",LOWER(Registro!$E855))),"-",IFERROR(SUMPRODUCT(--("0"&amp;LEFT(TRIM(MID(SUBSTITUTE(SUBSTITUTE(SUBSTITUTE(SUBSTITUTE(SUBSTITUTE(LOWER(Registro!$E855),"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",LEN(Registro!$E855))),({1,2,3,4,5,6,7,8,9,10,11,12,13,14,15,16,17,18,19,20,21,22,23,24,25,26,27,28,29,30}-1)*LEN(Registro!$E855)+1,LEN(Registro!$E855))),FIND("x",TRIM(MID(SUBSTITUTE(SUBSTITUTE(SUBSTITUTE(SUBSTITUTE(SUBSTITUTE(LOWER(Registro!$E855),"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",LEN(Registro!$E855))),({1,2,3,4,5,6,7,8,9,10,11,12,13,14,15,16,17,18,19,20,21,22,23,24,25,26,27,28,29,30}-1)*LEN(Registro!$E855)+1,LEN(Registro!$E855)))&amp;"x")-1))),"Revisar formato")))</f>
        <v/>
      </c>
      <c r="E855" s="24" t="str">
        <f>IF(Registro!$E855="","",IF(ISERROR(FIND("x",LOWER(Registro!$E855))),"-",IFERROR(SUMPRODUCT(--("0"&amp;LEFT(TRIM(MID(SUBSTITUTE(SUBSTITUTE(SUBSTITUTE(SUBSTITUTE(SUBSTITUTE(LOWER(Registro!$E855),"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",LEN(Registro!$E855))),({1,2,3,4,5,6,7,8,9,10,11,12,13,14,15,16,17,18,19,20,21,22,23,24,25,26,27,28,29,30}-1)*LEN(Registro!$E855)+1,LEN(Registro!$E855))),FIND("x",TRIM(MID(SUBSTITUTE(SUBSTITUTE(SUBSTITUTE(SUBSTITUTE(SUBSTITUTE(LOWER(Registro!$E855),"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",LEN(Registro!$E855))),({1,2,3,4,5,6,7,8,9,10,11,12,13,14,15,16,17,18,19,20,21,22,23,24,25,26,27,28,29,30}-1)*LEN(Registro!$E855)+1,LEN(Registro!$E855)))&amp;"x")-1)),--("0"&amp;MID(TRIM(MID(SUBSTITUTE(SUBSTITUTE(SUBSTITUTE(SUBSTITUTE(SUBSTITUTE(LOWER(Registro!$E855),"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",LEN(Registro!$E855))),({1,2,3,4,5,6,7,8,9,10,11,12,13,14,15,16,17,18,19,20,21,22,23,24,25,26,27,28,29,30}-1)*LEN(Registro!$E855)+1,LEN(Registro!$E855))),FIND("x",TRIM(MID(SUBSTITUTE(SUBSTITUTE(SUBSTITUTE(SUBSTITUTE(SUBSTITUTE(LOWER(Registro!$E855),"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",LEN(Registro!$E855))),({1,2,3,4,5,6,7,8,9,10,11,12,13,14,15,16,17,18,19,20,21,22,23,24,25,26,27,28,29,30}-1)*LEN(Registro!$E855)+1,LEN(Registro!$E855)))&amp;"x")+1,20))),"Revisar formato")))</f>
        <v/>
      </c>
      <c r="F855" s="23" t="str">
        <f>IF(Registro!$F855="","",IF(ISERROR(FIND("x",LOWER(Registro!$F855))),"-",IFERROR(SUMPRODUCT(--("0"&amp;LEFT(TRIM(MID(SUBSTITUTE(SUBSTITUTE(SUBSTITUTE(SUBSTITUTE(SUBSTITUTE(LOWER(Registro!$F855)," ",""),CHAR(10),"|"),";","|"),"+","|"),"|",REPT(" ",LEN(Registro!$F855))),({1,2,3,4,5,6,7,8,9,10,11,12,13,14,15,16,17,18,19,20,21,22,23,24,25,26,27,28,29,30}-1)*LEN(Registro!$F855)+1,LEN(Registro!$F855))),FIND("x",TRIM(MID(SUBSTITUTE(SUBSTITUTE(SUBSTITUTE(SUBSTITUTE(SUBSTITUTE(LOWER(Registro!$F855)," ",""),CHAR(10),"|"),";","|"),"+","|"),"|",REPT(" ",LEN(Registro!$F855))),({1,2,3,4,5,6,7,8,9,10,11,12,13,14,15,16,17,18,19,20,21,22,23,24,25,26,27,28,29,30}-1)*LEN(Registro!$F855)+1,LEN(Registro!$F855)))&amp;"x")-1))),"Revisar formato")))</f>
        <v/>
      </c>
      <c r="G855" s="24" t="str">
        <f>IF(Registro!$F855="","",IF(ISERROR(FIND("x",LOWER(Registro!$F855))),N(Registro!$G855),IFERROR(SUMPRODUCT(--("0"&amp;LEFT(TRIM(MID(SUBSTITUTE(SUBSTITUTE(SUBSTITUTE(SUBSTITUTE(SUBSTITUTE(LOWER(Registro!$F855)," ",""),CHAR(10),"|"),";","|"),"+","|"),"|",REPT(" ",LEN(Registro!$F855))),({1,2,3,4,5,6,7,8,9,10,11,12,13,14,15,16,17,18,19,20,21,22,23,24,25,26,27,28,29,30}-1)*LEN(Registro!$F855)+1,LEN(Registro!$F855))),FIND("x",TRIM(MID(SUBSTITUTE(SUBSTITUTE(SUBSTITUTE(SUBSTITUTE(SUBSTITUTE(LOWER(Registro!$F855)," ",""),CHAR(10),"|"),";","|"),"+","|"),"|",REPT(" ",LEN(Registro!$F855))),({1,2,3,4,5,6,7,8,9,10,11,12,13,14,15,16,17,18,19,20,21,22,23,24,25,26,27,28,29,30}-1)*LEN(Registro!$F855)+1,LEN(Registro!$F855)))&amp;"x")-1)),--("0"&amp;MID(TRIM(MID(SUBSTITUTE(SUBSTITUTE(SUBSTITUTE(SUBSTITUTE(SUBSTITUTE(LOWER(Registro!$F855)," ",""),CHAR(10),"|"),";","|"),"+","|"),"|",REPT(" ",LEN(Registro!$F855))),({1,2,3,4,5,6,7,8,9,10,11,12,13,14,15,16,17,18,19,20,21,22,23,24,25,26,27,28,29,30}-1)*LEN(Registro!$F855)+1,LEN(Registro!$F855))),FIND("x",TRIM(MID(SUBSTITUTE(SUBSTITUTE(SUBSTITUTE(SUBSTITUTE(SUBSTITUTE(LOWER(Registro!$F855)," ",""),CHAR(10),"|"),";","|"),"+","|"),"|",REPT(" ",LEN(Registro!$F855))),({1,2,3,4,5,6,7,8,9,10,11,12,13,14,15,16,17,18,19,20,21,22,23,24,25,26,27,28,29,30}-1)*LEN(Registro!$F855)+1,LEN(Registro!$F855)))&amp;"x")+1,20))),"Revisar formato")))</f>
        <v/>
      </c>
      <c r="H855" s="21" t="str">
        <f>IF(AND(Registro!$E855="",Registro!$F855=""),"",IF(NOT(AND(ISNUMBER(G855),ISNUMBER(Registro!$G855))),"",IF(G855&lt;Registro!$G855,"FALTA BOLETOS",IF(G855=Registro!$G855,"CONFORME","DIFERENCIA"))))</f>
        <v/>
      </c>
      <c r="I855" s="24" t="str">
        <f>IF(Registro!$H855="","",IFERROR(SUMPRODUCT(--("0"&amp;TRIM(RIGHT(SUBSTITUTE(TRIM(MID(SUBSTITUTE(SUBSTITUTE(Registro!$H855,";",CHAR(10)),CHAR(10),REPT(" ",LEN(Registro!$H855))),({1,2,3,4,5,6,7,8,9,10,11,12,13,14,15,16,17,18,19,20,21,22,23,24,25,26,27,28,29,30}-1)*LEN(Registro!$H855)+1,LEN(Registro!$H855)))," ",REPT(" ",50)),50)))),"Revisar formato"))</f>
        <v/>
      </c>
      <c r="J855" s="24" t="str">
        <f>IF(Registro!$I855="","",IFERROR(SUMPRODUCT(--("0"&amp;TRIM(RIGHT(SUBSTITUTE(TRIM(MID(SUBSTITUTE(SUBSTITUTE(Registro!$I855,";",CHAR(10)),CHAR(10),REPT(" ",LEN(Registro!$I855))),({1,2,3,4,5,6,7,8,9,10,11,12,13,14,15,16,17,18,19,20,21,22,23,24,25,26,27,28,29,30}-1)*LEN(Registro!$I855)+1,LEN(Registro!$I855)))," ",REPT(" ",50)),50)))),"Revisar formato"))</f>
        <v/>
      </c>
      <c r="K855" s="24" t="str">
        <f>IF(AND(Registro!$G855="",Registro!$H855=""),"",IF(AND(ISTEXT(I855),I855&lt;&gt;""),"Revisar formato",N(Registro!$G855)-N(I855)))</f>
        <v/>
      </c>
      <c r="L855" s="24" t="str">
        <f t="shared" si="27"/>
        <v/>
      </c>
      <c r="M855" s="36" t="str">
        <f>IF(AND(A855=Consulta!$B$3,C855=Consulta!$H$3),B855*10000+ROW(),"")</f>
        <v/>
      </c>
    </row>
    <row r="856" spans="1:13" x14ac:dyDescent="0.25">
      <c r="A856" s="21" t="str">
        <f>IF(Registro!$A856="","",Registro!$A856)</f>
        <v/>
      </c>
      <c r="B856" s="20" t="str">
        <f>IF(Registro!$B856="","",Registro!$B856)</f>
        <v/>
      </c>
      <c r="C856" s="35" t="str">
        <f t="shared" si="26"/>
        <v/>
      </c>
      <c r="D856" s="23" t="str">
        <f>IF(Registro!$E856="","",IF(ISERROR(FIND("x",LOWER(Registro!$E856))),"-",IFERROR(SUMPRODUCT(--("0"&amp;LEFT(TRIM(MID(SUBSTITUTE(SUBSTITUTE(SUBSTITUTE(SUBSTITUTE(SUBSTITUTE(LOWER(Registro!$E856),"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",LEN(Registro!$E856))),({1,2,3,4,5,6,7,8,9,10,11,12,13,14,15,16,17,18,19,20,21,22,23,24,25,26,27,28,29,30}-1)*LEN(Registro!$E856)+1,LEN(Registro!$E856))),FIND("x",TRIM(MID(SUBSTITUTE(SUBSTITUTE(SUBSTITUTE(SUBSTITUTE(SUBSTITUTE(LOWER(Registro!$E856),"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",LEN(Registro!$E856))),({1,2,3,4,5,6,7,8,9,10,11,12,13,14,15,16,17,18,19,20,21,22,23,24,25,26,27,28,29,30}-1)*LEN(Registro!$E856)+1,LEN(Registro!$E856)))&amp;"x")-1))),"Revisar formato")))</f>
        <v/>
      </c>
      <c r="E856" s="24" t="str">
        <f>IF(Registro!$E856="","",IF(ISERROR(FIND("x",LOWER(Registro!$E856))),"-",IFERROR(SUMPRODUCT(--("0"&amp;LEFT(TRIM(MID(SUBSTITUTE(SUBSTITUTE(SUBSTITUTE(SUBSTITUTE(SUBSTITUTE(LOWER(Registro!$E856),"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",LEN(Registro!$E856))),({1,2,3,4,5,6,7,8,9,10,11,12,13,14,15,16,17,18,19,20,21,22,23,24,25,26,27,28,29,30}-1)*LEN(Registro!$E856)+1,LEN(Registro!$E856))),FIND("x",TRIM(MID(SUBSTITUTE(SUBSTITUTE(SUBSTITUTE(SUBSTITUTE(SUBSTITUTE(LOWER(Registro!$E856),"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",LEN(Registro!$E856))),({1,2,3,4,5,6,7,8,9,10,11,12,13,14,15,16,17,18,19,20,21,22,23,24,25,26,27,28,29,30}-1)*LEN(Registro!$E856)+1,LEN(Registro!$E856)))&amp;"x")-1)),--("0"&amp;MID(TRIM(MID(SUBSTITUTE(SUBSTITUTE(SUBSTITUTE(SUBSTITUTE(SUBSTITUTE(LOWER(Registro!$E856),"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",LEN(Registro!$E856))),({1,2,3,4,5,6,7,8,9,10,11,12,13,14,15,16,17,18,19,20,21,22,23,24,25,26,27,28,29,30}-1)*LEN(Registro!$E856)+1,LEN(Registro!$E856))),FIND("x",TRIM(MID(SUBSTITUTE(SUBSTITUTE(SUBSTITUTE(SUBSTITUTE(SUBSTITUTE(LOWER(Registro!$E856),"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",LEN(Registro!$E856))),({1,2,3,4,5,6,7,8,9,10,11,12,13,14,15,16,17,18,19,20,21,22,23,24,25,26,27,28,29,30}-1)*LEN(Registro!$E856)+1,LEN(Registro!$E856)))&amp;"x")+1,20))),"Revisar formato")))</f>
        <v/>
      </c>
      <c r="F856" s="23" t="str">
        <f>IF(Registro!$F856="","",IF(ISERROR(FIND("x",LOWER(Registro!$F856))),"-",IFERROR(SUMPRODUCT(--("0"&amp;LEFT(TRIM(MID(SUBSTITUTE(SUBSTITUTE(SUBSTITUTE(SUBSTITUTE(SUBSTITUTE(LOWER(Registro!$F856)," ",""),CHAR(10),"|"),";","|"),"+","|"),"|",REPT(" ",LEN(Registro!$F856))),({1,2,3,4,5,6,7,8,9,10,11,12,13,14,15,16,17,18,19,20,21,22,23,24,25,26,27,28,29,30}-1)*LEN(Registro!$F856)+1,LEN(Registro!$F856))),FIND("x",TRIM(MID(SUBSTITUTE(SUBSTITUTE(SUBSTITUTE(SUBSTITUTE(SUBSTITUTE(LOWER(Registro!$F856)," ",""),CHAR(10),"|"),";","|"),"+","|"),"|",REPT(" ",LEN(Registro!$F856))),({1,2,3,4,5,6,7,8,9,10,11,12,13,14,15,16,17,18,19,20,21,22,23,24,25,26,27,28,29,30}-1)*LEN(Registro!$F856)+1,LEN(Registro!$F856)))&amp;"x")-1))),"Revisar formato")))</f>
        <v/>
      </c>
      <c r="G856" s="24" t="str">
        <f>IF(Registro!$F856="","",IF(ISERROR(FIND("x",LOWER(Registro!$F856))),N(Registro!$G856),IFERROR(SUMPRODUCT(--("0"&amp;LEFT(TRIM(MID(SUBSTITUTE(SUBSTITUTE(SUBSTITUTE(SUBSTITUTE(SUBSTITUTE(LOWER(Registro!$F856)," ",""),CHAR(10),"|"),";","|"),"+","|"),"|",REPT(" ",LEN(Registro!$F856))),({1,2,3,4,5,6,7,8,9,10,11,12,13,14,15,16,17,18,19,20,21,22,23,24,25,26,27,28,29,30}-1)*LEN(Registro!$F856)+1,LEN(Registro!$F856))),FIND("x",TRIM(MID(SUBSTITUTE(SUBSTITUTE(SUBSTITUTE(SUBSTITUTE(SUBSTITUTE(LOWER(Registro!$F856)," ",""),CHAR(10),"|"),";","|"),"+","|"),"|",REPT(" ",LEN(Registro!$F856))),({1,2,3,4,5,6,7,8,9,10,11,12,13,14,15,16,17,18,19,20,21,22,23,24,25,26,27,28,29,30}-1)*LEN(Registro!$F856)+1,LEN(Registro!$F856)))&amp;"x")-1)),--("0"&amp;MID(TRIM(MID(SUBSTITUTE(SUBSTITUTE(SUBSTITUTE(SUBSTITUTE(SUBSTITUTE(LOWER(Registro!$F856)," ",""),CHAR(10),"|"),";","|"),"+","|"),"|",REPT(" ",LEN(Registro!$F856))),({1,2,3,4,5,6,7,8,9,10,11,12,13,14,15,16,17,18,19,20,21,22,23,24,25,26,27,28,29,30}-1)*LEN(Registro!$F856)+1,LEN(Registro!$F856))),FIND("x",TRIM(MID(SUBSTITUTE(SUBSTITUTE(SUBSTITUTE(SUBSTITUTE(SUBSTITUTE(LOWER(Registro!$F856)," ",""),CHAR(10),"|"),";","|"),"+","|"),"|",REPT(" ",LEN(Registro!$F856))),({1,2,3,4,5,6,7,8,9,10,11,12,13,14,15,16,17,18,19,20,21,22,23,24,25,26,27,28,29,30}-1)*LEN(Registro!$F856)+1,LEN(Registro!$F856)))&amp;"x")+1,20))),"Revisar formato")))</f>
        <v/>
      </c>
      <c r="H856" s="21" t="str">
        <f>IF(AND(Registro!$E856="",Registro!$F856=""),"",IF(NOT(AND(ISNUMBER(G856),ISNUMBER(Registro!$G856))),"",IF(G856&lt;Registro!$G856,"FALTA BOLETOS",IF(G856=Registro!$G856,"CONFORME","DIFERENCIA"))))</f>
        <v/>
      </c>
      <c r="I856" s="24" t="str">
        <f>IF(Registro!$H856="","",IFERROR(SUMPRODUCT(--("0"&amp;TRIM(RIGHT(SUBSTITUTE(TRIM(MID(SUBSTITUTE(SUBSTITUTE(Registro!$H856,";",CHAR(10)),CHAR(10),REPT(" ",LEN(Registro!$H856))),({1,2,3,4,5,6,7,8,9,10,11,12,13,14,15,16,17,18,19,20,21,22,23,24,25,26,27,28,29,30}-1)*LEN(Registro!$H856)+1,LEN(Registro!$H856)))," ",REPT(" ",50)),50)))),"Revisar formato"))</f>
        <v/>
      </c>
      <c r="J856" s="24" t="str">
        <f>IF(Registro!$I856="","",IFERROR(SUMPRODUCT(--("0"&amp;TRIM(RIGHT(SUBSTITUTE(TRIM(MID(SUBSTITUTE(SUBSTITUTE(Registro!$I856,";",CHAR(10)),CHAR(10),REPT(" ",LEN(Registro!$I856))),({1,2,3,4,5,6,7,8,9,10,11,12,13,14,15,16,17,18,19,20,21,22,23,24,25,26,27,28,29,30}-1)*LEN(Registro!$I856)+1,LEN(Registro!$I856)))," ",REPT(" ",50)),50)))),"Revisar formato"))</f>
        <v/>
      </c>
      <c r="K856" s="24" t="str">
        <f>IF(AND(Registro!$G856="",Registro!$H856=""),"",IF(AND(ISTEXT(I856),I856&lt;&gt;""),"Revisar formato",N(Registro!$G856)-N(I856)))</f>
        <v/>
      </c>
      <c r="L856" s="24" t="str">
        <f t="shared" si="27"/>
        <v/>
      </c>
      <c r="M856" s="36" t="str">
        <f>IF(AND(A856=Consulta!$B$3,C856=Consulta!$H$3),B856*10000+ROW(),"")</f>
        <v/>
      </c>
    </row>
    <row r="857" spans="1:13" x14ac:dyDescent="0.25">
      <c r="A857" s="21" t="str">
        <f>IF(Registro!$A857="","",Registro!$A857)</f>
        <v/>
      </c>
      <c r="B857" s="20" t="str">
        <f>IF(Registro!$B857="","",Registro!$B857)</f>
        <v/>
      </c>
      <c r="C857" s="35" t="str">
        <f t="shared" si="26"/>
        <v/>
      </c>
      <c r="D857" s="23" t="str">
        <f>IF(Registro!$E857="","",IF(ISERROR(FIND("x",LOWER(Registro!$E857))),"-",IFERROR(SUMPRODUCT(--("0"&amp;LEFT(TRIM(MID(SUBSTITUTE(SUBSTITUTE(SUBSTITUTE(SUBSTITUTE(SUBSTITUTE(LOWER(Registro!$E857),"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",LEN(Registro!$E857))),({1,2,3,4,5,6,7,8,9,10,11,12,13,14,15,16,17,18,19,20,21,22,23,24,25,26,27,28,29,30}-1)*LEN(Registro!$E857)+1,LEN(Registro!$E857))),FIND("x",TRIM(MID(SUBSTITUTE(SUBSTITUTE(SUBSTITUTE(SUBSTITUTE(SUBSTITUTE(LOWER(Registro!$E857),"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",LEN(Registro!$E857))),({1,2,3,4,5,6,7,8,9,10,11,12,13,14,15,16,17,18,19,20,21,22,23,24,25,26,27,28,29,30}-1)*LEN(Registro!$E857)+1,LEN(Registro!$E857)))&amp;"x")-1))),"Revisar formato")))</f>
        <v/>
      </c>
      <c r="E857" s="24" t="str">
        <f>IF(Registro!$E857="","",IF(ISERROR(FIND("x",LOWER(Registro!$E857))),"-",IFERROR(SUMPRODUCT(--("0"&amp;LEFT(TRIM(MID(SUBSTITUTE(SUBSTITUTE(SUBSTITUTE(SUBSTITUTE(SUBSTITUTE(LOWER(Registro!$E857),"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",LEN(Registro!$E857))),({1,2,3,4,5,6,7,8,9,10,11,12,13,14,15,16,17,18,19,20,21,22,23,24,25,26,27,28,29,30}-1)*LEN(Registro!$E857)+1,LEN(Registro!$E857))),FIND("x",TRIM(MID(SUBSTITUTE(SUBSTITUTE(SUBSTITUTE(SUBSTITUTE(SUBSTITUTE(LOWER(Registro!$E857),"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",LEN(Registro!$E857))),({1,2,3,4,5,6,7,8,9,10,11,12,13,14,15,16,17,18,19,20,21,22,23,24,25,26,27,28,29,30}-1)*LEN(Registro!$E857)+1,LEN(Registro!$E857)))&amp;"x")-1)),--("0"&amp;MID(TRIM(MID(SUBSTITUTE(SUBSTITUTE(SUBSTITUTE(SUBSTITUTE(SUBSTITUTE(LOWER(Registro!$E857),"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",LEN(Registro!$E857))),({1,2,3,4,5,6,7,8,9,10,11,12,13,14,15,16,17,18,19,20,21,22,23,24,25,26,27,28,29,30}-1)*LEN(Registro!$E857)+1,LEN(Registro!$E857))),FIND("x",TRIM(MID(SUBSTITUTE(SUBSTITUTE(SUBSTITUTE(SUBSTITUTE(SUBSTITUTE(LOWER(Registro!$E857),"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",LEN(Registro!$E857))),({1,2,3,4,5,6,7,8,9,10,11,12,13,14,15,16,17,18,19,20,21,22,23,24,25,26,27,28,29,30}-1)*LEN(Registro!$E857)+1,LEN(Registro!$E857)))&amp;"x")+1,20))),"Revisar formato")))</f>
        <v/>
      </c>
      <c r="F857" s="23" t="str">
        <f>IF(Registro!$F857="","",IF(ISERROR(FIND("x",LOWER(Registro!$F857))),"-",IFERROR(SUMPRODUCT(--("0"&amp;LEFT(TRIM(MID(SUBSTITUTE(SUBSTITUTE(SUBSTITUTE(SUBSTITUTE(SUBSTITUTE(LOWER(Registro!$F857)," ",""),CHAR(10),"|"),";","|"),"+","|"),"|",REPT(" ",LEN(Registro!$F857))),({1,2,3,4,5,6,7,8,9,10,11,12,13,14,15,16,17,18,19,20,21,22,23,24,25,26,27,28,29,30}-1)*LEN(Registro!$F857)+1,LEN(Registro!$F857))),FIND("x",TRIM(MID(SUBSTITUTE(SUBSTITUTE(SUBSTITUTE(SUBSTITUTE(SUBSTITUTE(LOWER(Registro!$F857)," ",""),CHAR(10),"|"),";","|"),"+","|"),"|",REPT(" ",LEN(Registro!$F857))),({1,2,3,4,5,6,7,8,9,10,11,12,13,14,15,16,17,18,19,20,21,22,23,24,25,26,27,28,29,30}-1)*LEN(Registro!$F857)+1,LEN(Registro!$F857)))&amp;"x")-1))),"Revisar formato")))</f>
        <v/>
      </c>
      <c r="G857" s="24" t="str">
        <f>IF(Registro!$F857="","",IF(ISERROR(FIND("x",LOWER(Registro!$F857))),N(Registro!$G857),IFERROR(SUMPRODUCT(--("0"&amp;LEFT(TRIM(MID(SUBSTITUTE(SUBSTITUTE(SUBSTITUTE(SUBSTITUTE(SUBSTITUTE(LOWER(Registro!$F857)," ",""),CHAR(10),"|"),";","|"),"+","|"),"|",REPT(" ",LEN(Registro!$F857))),({1,2,3,4,5,6,7,8,9,10,11,12,13,14,15,16,17,18,19,20,21,22,23,24,25,26,27,28,29,30}-1)*LEN(Registro!$F857)+1,LEN(Registro!$F857))),FIND("x",TRIM(MID(SUBSTITUTE(SUBSTITUTE(SUBSTITUTE(SUBSTITUTE(SUBSTITUTE(LOWER(Registro!$F857)," ",""),CHAR(10),"|"),";","|"),"+","|"),"|",REPT(" ",LEN(Registro!$F857))),({1,2,3,4,5,6,7,8,9,10,11,12,13,14,15,16,17,18,19,20,21,22,23,24,25,26,27,28,29,30}-1)*LEN(Registro!$F857)+1,LEN(Registro!$F857)))&amp;"x")-1)),--("0"&amp;MID(TRIM(MID(SUBSTITUTE(SUBSTITUTE(SUBSTITUTE(SUBSTITUTE(SUBSTITUTE(LOWER(Registro!$F857)," ",""),CHAR(10),"|"),";","|"),"+","|"),"|",REPT(" ",LEN(Registro!$F857))),({1,2,3,4,5,6,7,8,9,10,11,12,13,14,15,16,17,18,19,20,21,22,23,24,25,26,27,28,29,30}-1)*LEN(Registro!$F857)+1,LEN(Registro!$F857))),FIND("x",TRIM(MID(SUBSTITUTE(SUBSTITUTE(SUBSTITUTE(SUBSTITUTE(SUBSTITUTE(LOWER(Registro!$F857)," ",""),CHAR(10),"|"),";","|"),"+","|"),"|",REPT(" ",LEN(Registro!$F857))),({1,2,3,4,5,6,7,8,9,10,11,12,13,14,15,16,17,18,19,20,21,22,23,24,25,26,27,28,29,30}-1)*LEN(Registro!$F857)+1,LEN(Registro!$F857)))&amp;"x")+1,20))),"Revisar formato")))</f>
        <v/>
      </c>
      <c r="H857" s="21" t="str">
        <f>IF(AND(Registro!$E857="",Registro!$F857=""),"",IF(NOT(AND(ISNUMBER(G857),ISNUMBER(Registro!$G857))),"",IF(G857&lt;Registro!$G857,"FALTA BOLETOS",IF(G857=Registro!$G857,"CONFORME","DIFERENCIA"))))</f>
        <v/>
      </c>
      <c r="I857" s="24" t="str">
        <f>IF(Registro!$H857="","",IFERROR(SUMPRODUCT(--("0"&amp;TRIM(RIGHT(SUBSTITUTE(TRIM(MID(SUBSTITUTE(SUBSTITUTE(Registro!$H857,";",CHAR(10)),CHAR(10),REPT(" ",LEN(Registro!$H857))),({1,2,3,4,5,6,7,8,9,10,11,12,13,14,15,16,17,18,19,20,21,22,23,24,25,26,27,28,29,30}-1)*LEN(Registro!$H857)+1,LEN(Registro!$H857)))," ",REPT(" ",50)),50)))),"Revisar formato"))</f>
        <v/>
      </c>
      <c r="J857" s="24" t="str">
        <f>IF(Registro!$I857="","",IFERROR(SUMPRODUCT(--("0"&amp;TRIM(RIGHT(SUBSTITUTE(TRIM(MID(SUBSTITUTE(SUBSTITUTE(Registro!$I857,";",CHAR(10)),CHAR(10),REPT(" ",LEN(Registro!$I857))),({1,2,3,4,5,6,7,8,9,10,11,12,13,14,15,16,17,18,19,20,21,22,23,24,25,26,27,28,29,30}-1)*LEN(Registro!$I857)+1,LEN(Registro!$I857)))," ",REPT(" ",50)),50)))),"Revisar formato"))</f>
        <v/>
      </c>
      <c r="K857" s="24" t="str">
        <f>IF(AND(Registro!$G857="",Registro!$H857=""),"",IF(AND(ISTEXT(I857),I857&lt;&gt;""),"Revisar formato",N(Registro!$G857)-N(I857)))</f>
        <v/>
      </c>
      <c r="L857" s="24" t="str">
        <f t="shared" si="27"/>
        <v/>
      </c>
      <c r="M857" s="36" t="str">
        <f>IF(AND(A857=Consulta!$B$3,C857=Consulta!$H$3),B857*10000+ROW(),"")</f>
        <v/>
      </c>
    </row>
    <row r="858" spans="1:13" x14ac:dyDescent="0.25">
      <c r="A858" s="21" t="str">
        <f>IF(Registro!$A858="","",Registro!$A858)</f>
        <v/>
      </c>
      <c r="B858" s="20" t="str">
        <f>IF(Registro!$B858="","",Registro!$B858)</f>
        <v/>
      </c>
      <c r="C858" s="35" t="str">
        <f t="shared" si="26"/>
        <v/>
      </c>
      <c r="D858" s="23" t="str">
        <f>IF(Registro!$E858="","",IF(ISERROR(FIND("x",LOWER(Registro!$E858))),"-",IFERROR(SUMPRODUCT(--("0"&amp;LEFT(TRIM(MID(SUBSTITUTE(SUBSTITUTE(SUBSTITUTE(SUBSTITUTE(SUBSTITUTE(LOWER(Registro!$E858),"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",LEN(Registro!$E858))),({1,2,3,4,5,6,7,8,9,10,11,12,13,14,15,16,17,18,19,20,21,22,23,24,25,26,27,28,29,30}-1)*LEN(Registro!$E858)+1,LEN(Registro!$E858))),FIND("x",TRIM(MID(SUBSTITUTE(SUBSTITUTE(SUBSTITUTE(SUBSTITUTE(SUBSTITUTE(LOWER(Registro!$E858),"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",LEN(Registro!$E858))),({1,2,3,4,5,6,7,8,9,10,11,12,13,14,15,16,17,18,19,20,21,22,23,24,25,26,27,28,29,30}-1)*LEN(Registro!$E858)+1,LEN(Registro!$E858)))&amp;"x")-1))),"Revisar formato")))</f>
        <v/>
      </c>
      <c r="E858" s="24" t="str">
        <f>IF(Registro!$E858="","",IF(ISERROR(FIND("x",LOWER(Registro!$E858))),"-",IFERROR(SUMPRODUCT(--("0"&amp;LEFT(TRIM(MID(SUBSTITUTE(SUBSTITUTE(SUBSTITUTE(SUBSTITUTE(SUBSTITUTE(LOWER(Registro!$E858),"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",LEN(Registro!$E858))),({1,2,3,4,5,6,7,8,9,10,11,12,13,14,15,16,17,18,19,20,21,22,23,24,25,26,27,28,29,30}-1)*LEN(Registro!$E858)+1,LEN(Registro!$E858))),FIND("x",TRIM(MID(SUBSTITUTE(SUBSTITUTE(SUBSTITUTE(SUBSTITUTE(SUBSTITUTE(LOWER(Registro!$E858),"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",LEN(Registro!$E858))),({1,2,3,4,5,6,7,8,9,10,11,12,13,14,15,16,17,18,19,20,21,22,23,24,25,26,27,28,29,30}-1)*LEN(Registro!$E858)+1,LEN(Registro!$E858)))&amp;"x")-1)),--("0"&amp;MID(TRIM(MID(SUBSTITUTE(SUBSTITUTE(SUBSTITUTE(SUBSTITUTE(SUBSTITUTE(LOWER(Registro!$E858),"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",LEN(Registro!$E858))),({1,2,3,4,5,6,7,8,9,10,11,12,13,14,15,16,17,18,19,20,21,22,23,24,25,26,27,28,29,30}-1)*LEN(Registro!$E858)+1,LEN(Registro!$E858))),FIND("x",TRIM(MID(SUBSTITUTE(SUBSTITUTE(SUBSTITUTE(SUBSTITUTE(SUBSTITUTE(LOWER(Registro!$E858),"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",LEN(Registro!$E858))),({1,2,3,4,5,6,7,8,9,10,11,12,13,14,15,16,17,18,19,20,21,22,23,24,25,26,27,28,29,30}-1)*LEN(Registro!$E858)+1,LEN(Registro!$E858)))&amp;"x")+1,20))),"Revisar formato")))</f>
        <v/>
      </c>
      <c r="F858" s="23" t="str">
        <f>IF(Registro!$F858="","",IF(ISERROR(FIND("x",LOWER(Registro!$F858))),"-",IFERROR(SUMPRODUCT(--("0"&amp;LEFT(TRIM(MID(SUBSTITUTE(SUBSTITUTE(SUBSTITUTE(SUBSTITUTE(SUBSTITUTE(LOWER(Registro!$F858)," ",""),CHAR(10),"|"),";","|"),"+","|"),"|",REPT(" ",LEN(Registro!$F858))),({1,2,3,4,5,6,7,8,9,10,11,12,13,14,15,16,17,18,19,20,21,22,23,24,25,26,27,28,29,30}-1)*LEN(Registro!$F858)+1,LEN(Registro!$F858))),FIND("x",TRIM(MID(SUBSTITUTE(SUBSTITUTE(SUBSTITUTE(SUBSTITUTE(SUBSTITUTE(LOWER(Registro!$F858)," ",""),CHAR(10),"|"),";","|"),"+","|"),"|",REPT(" ",LEN(Registro!$F858))),({1,2,3,4,5,6,7,8,9,10,11,12,13,14,15,16,17,18,19,20,21,22,23,24,25,26,27,28,29,30}-1)*LEN(Registro!$F858)+1,LEN(Registro!$F858)))&amp;"x")-1))),"Revisar formato")))</f>
        <v/>
      </c>
      <c r="G858" s="24" t="str">
        <f>IF(Registro!$F858="","",IF(ISERROR(FIND("x",LOWER(Registro!$F858))),N(Registro!$G858),IFERROR(SUMPRODUCT(--("0"&amp;LEFT(TRIM(MID(SUBSTITUTE(SUBSTITUTE(SUBSTITUTE(SUBSTITUTE(SUBSTITUTE(LOWER(Registro!$F858)," ",""),CHAR(10),"|"),";","|"),"+","|"),"|",REPT(" ",LEN(Registro!$F858))),({1,2,3,4,5,6,7,8,9,10,11,12,13,14,15,16,17,18,19,20,21,22,23,24,25,26,27,28,29,30}-1)*LEN(Registro!$F858)+1,LEN(Registro!$F858))),FIND("x",TRIM(MID(SUBSTITUTE(SUBSTITUTE(SUBSTITUTE(SUBSTITUTE(SUBSTITUTE(LOWER(Registro!$F858)," ",""),CHAR(10),"|"),";","|"),"+","|"),"|",REPT(" ",LEN(Registro!$F858))),({1,2,3,4,5,6,7,8,9,10,11,12,13,14,15,16,17,18,19,20,21,22,23,24,25,26,27,28,29,30}-1)*LEN(Registro!$F858)+1,LEN(Registro!$F858)))&amp;"x")-1)),--("0"&amp;MID(TRIM(MID(SUBSTITUTE(SUBSTITUTE(SUBSTITUTE(SUBSTITUTE(SUBSTITUTE(LOWER(Registro!$F858)," ",""),CHAR(10),"|"),";","|"),"+","|"),"|",REPT(" ",LEN(Registro!$F858))),({1,2,3,4,5,6,7,8,9,10,11,12,13,14,15,16,17,18,19,20,21,22,23,24,25,26,27,28,29,30}-1)*LEN(Registro!$F858)+1,LEN(Registro!$F858))),FIND("x",TRIM(MID(SUBSTITUTE(SUBSTITUTE(SUBSTITUTE(SUBSTITUTE(SUBSTITUTE(LOWER(Registro!$F858)," ",""),CHAR(10),"|"),";","|"),"+","|"),"|",REPT(" ",LEN(Registro!$F858))),({1,2,3,4,5,6,7,8,9,10,11,12,13,14,15,16,17,18,19,20,21,22,23,24,25,26,27,28,29,30}-1)*LEN(Registro!$F858)+1,LEN(Registro!$F858)))&amp;"x")+1,20))),"Revisar formato")))</f>
        <v/>
      </c>
      <c r="H858" s="21" t="str">
        <f>IF(AND(Registro!$E858="",Registro!$F858=""),"",IF(NOT(AND(ISNUMBER(G858),ISNUMBER(Registro!$G858))),"",IF(G858&lt;Registro!$G858,"FALTA BOLETOS",IF(G858=Registro!$G858,"CONFORME","DIFERENCIA"))))</f>
        <v/>
      </c>
      <c r="I858" s="24" t="str">
        <f>IF(Registro!$H858="","",IFERROR(SUMPRODUCT(--("0"&amp;TRIM(RIGHT(SUBSTITUTE(TRIM(MID(SUBSTITUTE(SUBSTITUTE(Registro!$H858,";",CHAR(10)),CHAR(10),REPT(" ",LEN(Registro!$H858))),({1,2,3,4,5,6,7,8,9,10,11,12,13,14,15,16,17,18,19,20,21,22,23,24,25,26,27,28,29,30}-1)*LEN(Registro!$H858)+1,LEN(Registro!$H858)))," ",REPT(" ",50)),50)))),"Revisar formato"))</f>
        <v/>
      </c>
      <c r="J858" s="24" t="str">
        <f>IF(Registro!$I858="","",IFERROR(SUMPRODUCT(--("0"&amp;TRIM(RIGHT(SUBSTITUTE(TRIM(MID(SUBSTITUTE(SUBSTITUTE(Registro!$I858,";",CHAR(10)),CHAR(10),REPT(" ",LEN(Registro!$I858))),({1,2,3,4,5,6,7,8,9,10,11,12,13,14,15,16,17,18,19,20,21,22,23,24,25,26,27,28,29,30}-1)*LEN(Registro!$I858)+1,LEN(Registro!$I858)))," ",REPT(" ",50)),50)))),"Revisar formato"))</f>
        <v/>
      </c>
      <c r="K858" s="24" t="str">
        <f>IF(AND(Registro!$G858="",Registro!$H858=""),"",IF(AND(ISTEXT(I858),I858&lt;&gt;""),"Revisar formato",N(Registro!$G858)-N(I858)))</f>
        <v/>
      </c>
      <c r="L858" s="24" t="str">
        <f t="shared" si="27"/>
        <v/>
      </c>
      <c r="M858" s="36" t="str">
        <f>IF(AND(A858=Consulta!$B$3,C858=Consulta!$H$3),B858*10000+ROW(),"")</f>
        <v/>
      </c>
    </row>
    <row r="859" spans="1:13" x14ac:dyDescent="0.25">
      <c r="A859" s="21" t="str">
        <f>IF(Registro!$A859="","",Registro!$A859)</f>
        <v/>
      </c>
      <c r="B859" s="20" t="str">
        <f>IF(Registro!$B859="","",Registro!$B859)</f>
        <v/>
      </c>
      <c r="C859" s="35" t="str">
        <f t="shared" si="26"/>
        <v/>
      </c>
      <c r="D859" s="23" t="str">
        <f>IF(Registro!$E859="","",IF(ISERROR(FIND("x",LOWER(Registro!$E859))),"-",IFERROR(SUMPRODUCT(--("0"&amp;LEFT(TRIM(MID(SUBSTITUTE(SUBSTITUTE(SUBSTITUTE(SUBSTITUTE(SUBSTITUTE(LOWER(Registro!$E859),"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",LEN(Registro!$E859))),({1,2,3,4,5,6,7,8,9,10,11,12,13,14,15,16,17,18,19,20,21,22,23,24,25,26,27,28,29,30}-1)*LEN(Registro!$E859)+1,LEN(Registro!$E859))),FIND("x",TRIM(MID(SUBSTITUTE(SUBSTITUTE(SUBSTITUTE(SUBSTITUTE(SUBSTITUTE(LOWER(Registro!$E859),"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",LEN(Registro!$E859))),({1,2,3,4,5,6,7,8,9,10,11,12,13,14,15,16,17,18,19,20,21,22,23,24,25,26,27,28,29,30}-1)*LEN(Registro!$E859)+1,LEN(Registro!$E859)))&amp;"x")-1))),"Revisar formato")))</f>
        <v/>
      </c>
      <c r="E859" s="24" t="str">
        <f>IF(Registro!$E859="","",IF(ISERROR(FIND("x",LOWER(Registro!$E859))),"-",IFERROR(SUMPRODUCT(--("0"&amp;LEFT(TRIM(MID(SUBSTITUTE(SUBSTITUTE(SUBSTITUTE(SUBSTITUTE(SUBSTITUTE(LOWER(Registro!$E859),"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",LEN(Registro!$E859))),({1,2,3,4,5,6,7,8,9,10,11,12,13,14,15,16,17,18,19,20,21,22,23,24,25,26,27,28,29,30}-1)*LEN(Registro!$E859)+1,LEN(Registro!$E859))),FIND("x",TRIM(MID(SUBSTITUTE(SUBSTITUTE(SUBSTITUTE(SUBSTITUTE(SUBSTITUTE(LOWER(Registro!$E859),"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",LEN(Registro!$E859))),({1,2,3,4,5,6,7,8,9,10,11,12,13,14,15,16,17,18,19,20,21,22,23,24,25,26,27,28,29,30}-1)*LEN(Registro!$E859)+1,LEN(Registro!$E859)))&amp;"x")-1)),--("0"&amp;MID(TRIM(MID(SUBSTITUTE(SUBSTITUTE(SUBSTITUTE(SUBSTITUTE(SUBSTITUTE(LOWER(Registro!$E859),"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",LEN(Registro!$E859))),({1,2,3,4,5,6,7,8,9,10,11,12,13,14,15,16,17,18,19,20,21,22,23,24,25,26,27,28,29,30}-1)*LEN(Registro!$E859)+1,LEN(Registro!$E859))),FIND("x",TRIM(MID(SUBSTITUTE(SUBSTITUTE(SUBSTITUTE(SUBSTITUTE(SUBSTITUTE(LOWER(Registro!$E859),"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",LEN(Registro!$E859))),({1,2,3,4,5,6,7,8,9,10,11,12,13,14,15,16,17,18,19,20,21,22,23,24,25,26,27,28,29,30}-1)*LEN(Registro!$E859)+1,LEN(Registro!$E859)))&amp;"x")+1,20))),"Revisar formato")))</f>
        <v/>
      </c>
      <c r="F859" s="23" t="str">
        <f>IF(Registro!$F859="","",IF(ISERROR(FIND("x",LOWER(Registro!$F859))),"-",IFERROR(SUMPRODUCT(--("0"&amp;LEFT(TRIM(MID(SUBSTITUTE(SUBSTITUTE(SUBSTITUTE(SUBSTITUTE(SUBSTITUTE(LOWER(Registro!$F859)," ",""),CHAR(10),"|"),";","|"),"+","|"),"|",REPT(" ",LEN(Registro!$F859))),({1,2,3,4,5,6,7,8,9,10,11,12,13,14,15,16,17,18,19,20,21,22,23,24,25,26,27,28,29,30}-1)*LEN(Registro!$F859)+1,LEN(Registro!$F859))),FIND("x",TRIM(MID(SUBSTITUTE(SUBSTITUTE(SUBSTITUTE(SUBSTITUTE(SUBSTITUTE(LOWER(Registro!$F859)," ",""),CHAR(10),"|"),";","|"),"+","|"),"|",REPT(" ",LEN(Registro!$F859))),({1,2,3,4,5,6,7,8,9,10,11,12,13,14,15,16,17,18,19,20,21,22,23,24,25,26,27,28,29,30}-1)*LEN(Registro!$F859)+1,LEN(Registro!$F859)))&amp;"x")-1))),"Revisar formato")))</f>
        <v/>
      </c>
      <c r="G859" s="24" t="str">
        <f>IF(Registro!$F859="","",IF(ISERROR(FIND("x",LOWER(Registro!$F859))),N(Registro!$G859),IFERROR(SUMPRODUCT(--("0"&amp;LEFT(TRIM(MID(SUBSTITUTE(SUBSTITUTE(SUBSTITUTE(SUBSTITUTE(SUBSTITUTE(LOWER(Registro!$F859)," ",""),CHAR(10),"|"),";","|"),"+","|"),"|",REPT(" ",LEN(Registro!$F859))),({1,2,3,4,5,6,7,8,9,10,11,12,13,14,15,16,17,18,19,20,21,22,23,24,25,26,27,28,29,30}-1)*LEN(Registro!$F859)+1,LEN(Registro!$F859))),FIND("x",TRIM(MID(SUBSTITUTE(SUBSTITUTE(SUBSTITUTE(SUBSTITUTE(SUBSTITUTE(LOWER(Registro!$F859)," ",""),CHAR(10),"|"),";","|"),"+","|"),"|",REPT(" ",LEN(Registro!$F859))),({1,2,3,4,5,6,7,8,9,10,11,12,13,14,15,16,17,18,19,20,21,22,23,24,25,26,27,28,29,30}-1)*LEN(Registro!$F859)+1,LEN(Registro!$F859)))&amp;"x")-1)),--("0"&amp;MID(TRIM(MID(SUBSTITUTE(SUBSTITUTE(SUBSTITUTE(SUBSTITUTE(SUBSTITUTE(LOWER(Registro!$F859)," ",""),CHAR(10),"|"),";","|"),"+","|"),"|",REPT(" ",LEN(Registro!$F859))),({1,2,3,4,5,6,7,8,9,10,11,12,13,14,15,16,17,18,19,20,21,22,23,24,25,26,27,28,29,30}-1)*LEN(Registro!$F859)+1,LEN(Registro!$F859))),FIND("x",TRIM(MID(SUBSTITUTE(SUBSTITUTE(SUBSTITUTE(SUBSTITUTE(SUBSTITUTE(LOWER(Registro!$F859)," ",""),CHAR(10),"|"),";","|"),"+","|"),"|",REPT(" ",LEN(Registro!$F859))),({1,2,3,4,5,6,7,8,9,10,11,12,13,14,15,16,17,18,19,20,21,22,23,24,25,26,27,28,29,30}-1)*LEN(Registro!$F859)+1,LEN(Registro!$F859)))&amp;"x")+1,20))),"Revisar formato")))</f>
        <v/>
      </c>
      <c r="H859" s="21" t="str">
        <f>IF(AND(Registro!$E859="",Registro!$F859=""),"",IF(NOT(AND(ISNUMBER(G859),ISNUMBER(Registro!$G859))),"",IF(G859&lt;Registro!$G859,"FALTA BOLETOS",IF(G859=Registro!$G859,"CONFORME","DIFERENCIA"))))</f>
        <v/>
      </c>
      <c r="I859" s="24" t="str">
        <f>IF(Registro!$H859="","",IFERROR(SUMPRODUCT(--("0"&amp;TRIM(RIGHT(SUBSTITUTE(TRIM(MID(SUBSTITUTE(SUBSTITUTE(Registro!$H859,";",CHAR(10)),CHAR(10),REPT(" ",LEN(Registro!$H859))),({1,2,3,4,5,6,7,8,9,10,11,12,13,14,15,16,17,18,19,20,21,22,23,24,25,26,27,28,29,30}-1)*LEN(Registro!$H859)+1,LEN(Registro!$H859)))," ",REPT(" ",50)),50)))),"Revisar formato"))</f>
        <v/>
      </c>
      <c r="J859" s="24" t="str">
        <f>IF(Registro!$I859="","",IFERROR(SUMPRODUCT(--("0"&amp;TRIM(RIGHT(SUBSTITUTE(TRIM(MID(SUBSTITUTE(SUBSTITUTE(Registro!$I859,";",CHAR(10)),CHAR(10),REPT(" ",LEN(Registro!$I859))),({1,2,3,4,5,6,7,8,9,10,11,12,13,14,15,16,17,18,19,20,21,22,23,24,25,26,27,28,29,30}-1)*LEN(Registro!$I859)+1,LEN(Registro!$I859)))," ",REPT(" ",50)),50)))),"Revisar formato"))</f>
        <v/>
      </c>
      <c r="K859" s="24" t="str">
        <f>IF(AND(Registro!$G859="",Registro!$H859=""),"",IF(AND(ISTEXT(I859),I859&lt;&gt;""),"Revisar formato",N(Registro!$G859)-N(I859)))</f>
        <v/>
      </c>
      <c r="L859" s="24" t="str">
        <f t="shared" si="27"/>
        <v/>
      </c>
      <c r="M859" s="36" t="str">
        <f>IF(AND(A859=Consulta!$B$3,C859=Consulta!$H$3),B859*10000+ROW(),"")</f>
        <v/>
      </c>
    </row>
    <row r="860" spans="1:13" x14ac:dyDescent="0.25">
      <c r="A860" s="21" t="str">
        <f>IF(Registro!$A860="","",Registro!$A860)</f>
        <v/>
      </c>
      <c r="B860" s="20" t="str">
        <f>IF(Registro!$B860="","",Registro!$B860)</f>
        <v/>
      </c>
      <c r="C860" s="35" t="str">
        <f t="shared" si="26"/>
        <v/>
      </c>
      <c r="D860" s="23" t="str">
        <f>IF(Registro!$E860="","",IF(ISERROR(FIND("x",LOWER(Registro!$E860))),"-",IFERROR(SUMPRODUCT(--("0"&amp;LEFT(TRIM(MID(SUBSTITUTE(SUBSTITUTE(SUBSTITUTE(SUBSTITUTE(SUBSTITUTE(LOWER(Registro!$E860),"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",LEN(Registro!$E860))),({1,2,3,4,5,6,7,8,9,10,11,12,13,14,15,16,17,18,19,20,21,22,23,24,25,26,27,28,29,30}-1)*LEN(Registro!$E860)+1,LEN(Registro!$E860))),FIND("x",TRIM(MID(SUBSTITUTE(SUBSTITUTE(SUBSTITUTE(SUBSTITUTE(SUBSTITUTE(LOWER(Registro!$E860),"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",LEN(Registro!$E860))),({1,2,3,4,5,6,7,8,9,10,11,12,13,14,15,16,17,18,19,20,21,22,23,24,25,26,27,28,29,30}-1)*LEN(Registro!$E860)+1,LEN(Registro!$E860)))&amp;"x")-1))),"Revisar formato")))</f>
        <v/>
      </c>
      <c r="E860" s="24" t="str">
        <f>IF(Registro!$E860="","",IF(ISERROR(FIND("x",LOWER(Registro!$E860))),"-",IFERROR(SUMPRODUCT(--("0"&amp;LEFT(TRIM(MID(SUBSTITUTE(SUBSTITUTE(SUBSTITUTE(SUBSTITUTE(SUBSTITUTE(LOWER(Registro!$E860),"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",LEN(Registro!$E860))),({1,2,3,4,5,6,7,8,9,10,11,12,13,14,15,16,17,18,19,20,21,22,23,24,25,26,27,28,29,30}-1)*LEN(Registro!$E860)+1,LEN(Registro!$E860))),FIND("x",TRIM(MID(SUBSTITUTE(SUBSTITUTE(SUBSTITUTE(SUBSTITUTE(SUBSTITUTE(LOWER(Registro!$E860),"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",LEN(Registro!$E860))),({1,2,3,4,5,6,7,8,9,10,11,12,13,14,15,16,17,18,19,20,21,22,23,24,25,26,27,28,29,30}-1)*LEN(Registro!$E860)+1,LEN(Registro!$E860)))&amp;"x")-1)),--("0"&amp;MID(TRIM(MID(SUBSTITUTE(SUBSTITUTE(SUBSTITUTE(SUBSTITUTE(SUBSTITUTE(LOWER(Registro!$E860),"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",LEN(Registro!$E860))),({1,2,3,4,5,6,7,8,9,10,11,12,13,14,15,16,17,18,19,20,21,22,23,24,25,26,27,28,29,30}-1)*LEN(Registro!$E860)+1,LEN(Registro!$E860))),FIND("x",TRIM(MID(SUBSTITUTE(SUBSTITUTE(SUBSTITUTE(SUBSTITUTE(SUBSTITUTE(LOWER(Registro!$E860),"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",LEN(Registro!$E860))),({1,2,3,4,5,6,7,8,9,10,11,12,13,14,15,16,17,18,19,20,21,22,23,24,25,26,27,28,29,30}-1)*LEN(Registro!$E860)+1,LEN(Registro!$E860)))&amp;"x")+1,20))),"Revisar formato")))</f>
        <v/>
      </c>
      <c r="F860" s="23" t="str">
        <f>IF(Registro!$F860="","",IF(ISERROR(FIND("x",LOWER(Registro!$F860))),"-",IFERROR(SUMPRODUCT(--("0"&amp;LEFT(TRIM(MID(SUBSTITUTE(SUBSTITUTE(SUBSTITUTE(SUBSTITUTE(SUBSTITUTE(LOWER(Registro!$F860)," ",""),CHAR(10),"|"),";","|"),"+","|"),"|",REPT(" ",LEN(Registro!$F860))),({1,2,3,4,5,6,7,8,9,10,11,12,13,14,15,16,17,18,19,20,21,22,23,24,25,26,27,28,29,30}-1)*LEN(Registro!$F860)+1,LEN(Registro!$F860))),FIND("x",TRIM(MID(SUBSTITUTE(SUBSTITUTE(SUBSTITUTE(SUBSTITUTE(SUBSTITUTE(LOWER(Registro!$F860)," ",""),CHAR(10),"|"),";","|"),"+","|"),"|",REPT(" ",LEN(Registro!$F860))),({1,2,3,4,5,6,7,8,9,10,11,12,13,14,15,16,17,18,19,20,21,22,23,24,25,26,27,28,29,30}-1)*LEN(Registro!$F860)+1,LEN(Registro!$F860)))&amp;"x")-1))),"Revisar formato")))</f>
        <v/>
      </c>
      <c r="G860" s="24" t="str">
        <f>IF(Registro!$F860="","",IF(ISERROR(FIND("x",LOWER(Registro!$F860))),N(Registro!$G860),IFERROR(SUMPRODUCT(--("0"&amp;LEFT(TRIM(MID(SUBSTITUTE(SUBSTITUTE(SUBSTITUTE(SUBSTITUTE(SUBSTITUTE(LOWER(Registro!$F860)," ",""),CHAR(10),"|"),";","|"),"+","|"),"|",REPT(" ",LEN(Registro!$F860))),({1,2,3,4,5,6,7,8,9,10,11,12,13,14,15,16,17,18,19,20,21,22,23,24,25,26,27,28,29,30}-1)*LEN(Registro!$F860)+1,LEN(Registro!$F860))),FIND("x",TRIM(MID(SUBSTITUTE(SUBSTITUTE(SUBSTITUTE(SUBSTITUTE(SUBSTITUTE(LOWER(Registro!$F860)," ",""),CHAR(10),"|"),";","|"),"+","|"),"|",REPT(" ",LEN(Registro!$F860))),({1,2,3,4,5,6,7,8,9,10,11,12,13,14,15,16,17,18,19,20,21,22,23,24,25,26,27,28,29,30}-1)*LEN(Registro!$F860)+1,LEN(Registro!$F860)))&amp;"x")-1)),--("0"&amp;MID(TRIM(MID(SUBSTITUTE(SUBSTITUTE(SUBSTITUTE(SUBSTITUTE(SUBSTITUTE(LOWER(Registro!$F860)," ",""),CHAR(10),"|"),";","|"),"+","|"),"|",REPT(" ",LEN(Registro!$F860))),({1,2,3,4,5,6,7,8,9,10,11,12,13,14,15,16,17,18,19,20,21,22,23,24,25,26,27,28,29,30}-1)*LEN(Registro!$F860)+1,LEN(Registro!$F860))),FIND("x",TRIM(MID(SUBSTITUTE(SUBSTITUTE(SUBSTITUTE(SUBSTITUTE(SUBSTITUTE(LOWER(Registro!$F860)," ",""),CHAR(10),"|"),";","|"),"+","|"),"|",REPT(" ",LEN(Registro!$F860))),({1,2,3,4,5,6,7,8,9,10,11,12,13,14,15,16,17,18,19,20,21,22,23,24,25,26,27,28,29,30}-1)*LEN(Registro!$F860)+1,LEN(Registro!$F860)))&amp;"x")+1,20))),"Revisar formato")))</f>
        <v/>
      </c>
      <c r="H860" s="21" t="str">
        <f>IF(AND(Registro!$E860="",Registro!$F860=""),"",IF(NOT(AND(ISNUMBER(G860),ISNUMBER(Registro!$G860))),"",IF(G860&lt;Registro!$G860,"FALTA BOLETOS",IF(G860=Registro!$G860,"CONFORME","DIFERENCIA"))))</f>
        <v/>
      </c>
      <c r="I860" s="24" t="str">
        <f>IF(Registro!$H860="","",IFERROR(SUMPRODUCT(--("0"&amp;TRIM(RIGHT(SUBSTITUTE(TRIM(MID(SUBSTITUTE(SUBSTITUTE(Registro!$H860,";",CHAR(10)),CHAR(10),REPT(" ",LEN(Registro!$H860))),({1,2,3,4,5,6,7,8,9,10,11,12,13,14,15,16,17,18,19,20,21,22,23,24,25,26,27,28,29,30}-1)*LEN(Registro!$H860)+1,LEN(Registro!$H860)))," ",REPT(" ",50)),50)))),"Revisar formato"))</f>
        <v/>
      </c>
      <c r="J860" s="24" t="str">
        <f>IF(Registro!$I860="","",IFERROR(SUMPRODUCT(--("0"&amp;TRIM(RIGHT(SUBSTITUTE(TRIM(MID(SUBSTITUTE(SUBSTITUTE(Registro!$I860,";",CHAR(10)),CHAR(10),REPT(" ",LEN(Registro!$I860))),({1,2,3,4,5,6,7,8,9,10,11,12,13,14,15,16,17,18,19,20,21,22,23,24,25,26,27,28,29,30}-1)*LEN(Registro!$I860)+1,LEN(Registro!$I860)))," ",REPT(" ",50)),50)))),"Revisar formato"))</f>
        <v/>
      </c>
      <c r="K860" s="24" t="str">
        <f>IF(AND(Registro!$G860="",Registro!$H860=""),"",IF(AND(ISTEXT(I860),I860&lt;&gt;""),"Revisar formato",N(Registro!$G860)-N(I860)))</f>
        <v/>
      </c>
      <c r="L860" s="24" t="str">
        <f t="shared" si="27"/>
        <v/>
      </c>
      <c r="M860" s="36" t="str">
        <f>IF(AND(A860=Consulta!$B$3,C860=Consulta!$H$3),B860*10000+ROW(),"")</f>
        <v/>
      </c>
    </row>
    <row r="861" spans="1:13" x14ac:dyDescent="0.25">
      <c r="A861" s="21" t="str">
        <f>IF(Registro!$A861="","",Registro!$A861)</f>
        <v/>
      </c>
      <c r="B861" s="20" t="str">
        <f>IF(Registro!$B861="","",Registro!$B861)</f>
        <v/>
      </c>
      <c r="C861" s="35" t="str">
        <f t="shared" si="26"/>
        <v/>
      </c>
      <c r="D861" s="23" t="str">
        <f>IF(Registro!$E861="","",IF(ISERROR(FIND("x",LOWER(Registro!$E861))),"-",IFERROR(SUMPRODUCT(--("0"&amp;LEFT(TRIM(MID(SUBSTITUTE(SUBSTITUTE(SUBSTITUTE(SUBSTITUTE(SUBSTITUTE(LOWER(Registro!$E861),"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",LEN(Registro!$E861))),({1,2,3,4,5,6,7,8,9,10,11,12,13,14,15,16,17,18,19,20,21,22,23,24,25,26,27,28,29,30}-1)*LEN(Registro!$E861)+1,LEN(Registro!$E861))),FIND("x",TRIM(MID(SUBSTITUTE(SUBSTITUTE(SUBSTITUTE(SUBSTITUTE(SUBSTITUTE(LOWER(Registro!$E861),"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",LEN(Registro!$E861))),({1,2,3,4,5,6,7,8,9,10,11,12,13,14,15,16,17,18,19,20,21,22,23,24,25,26,27,28,29,30}-1)*LEN(Registro!$E861)+1,LEN(Registro!$E861)))&amp;"x")-1))),"Revisar formato")))</f>
        <v/>
      </c>
      <c r="E861" s="24" t="str">
        <f>IF(Registro!$E861="","",IF(ISERROR(FIND("x",LOWER(Registro!$E861))),"-",IFERROR(SUMPRODUCT(--("0"&amp;LEFT(TRIM(MID(SUBSTITUTE(SUBSTITUTE(SUBSTITUTE(SUBSTITUTE(SUBSTITUTE(LOWER(Registro!$E861),"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",LEN(Registro!$E861))),({1,2,3,4,5,6,7,8,9,10,11,12,13,14,15,16,17,18,19,20,21,22,23,24,25,26,27,28,29,30}-1)*LEN(Registro!$E861)+1,LEN(Registro!$E861))),FIND("x",TRIM(MID(SUBSTITUTE(SUBSTITUTE(SUBSTITUTE(SUBSTITUTE(SUBSTITUTE(LOWER(Registro!$E861),"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",LEN(Registro!$E861))),({1,2,3,4,5,6,7,8,9,10,11,12,13,14,15,16,17,18,19,20,21,22,23,24,25,26,27,28,29,30}-1)*LEN(Registro!$E861)+1,LEN(Registro!$E861)))&amp;"x")-1)),--("0"&amp;MID(TRIM(MID(SUBSTITUTE(SUBSTITUTE(SUBSTITUTE(SUBSTITUTE(SUBSTITUTE(LOWER(Registro!$E861),"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",LEN(Registro!$E861))),({1,2,3,4,5,6,7,8,9,10,11,12,13,14,15,16,17,18,19,20,21,22,23,24,25,26,27,28,29,30}-1)*LEN(Registro!$E861)+1,LEN(Registro!$E861))),FIND("x",TRIM(MID(SUBSTITUTE(SUBSTITUTE(SUBSTITUTE(SUBSTITUTE(SUBSTITUTE(LOWER(Registro!$E861),"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",LEN(Registro!$E861))),({1,2,3,4,5,6,7,8,9,10,11,12,13,14,15,16,17,18,19,20,21,22,23,24,25,26,27,28,29,30}-1)*LEN(Registro!$E861)+1,LEN(Registro!$E861)))&amp;"x")+1,20))),"Revisar formato")))</f>
        <v/>
      </c>
      <c r="F861" s="23" t="str">
        <f>IF(Registro!$F861="","",IF(ISERROR(FIND("x",LOWER(Registro!$F861))),"-",IFERROR(SUMPRODUCT(--("0"&amp;LEFT(TRIM(MID(SUBSTITUTE(SUBSTITUTE(SUBSTITUTE(SUBSTITUTE(SUBSTITUTE(LOWER(Registro!$F861)," ",""),CHAR(10),"|"),";","|"),"+","|"),"|",REPT(" ",LEN(Registro!$F861))),({1,2,3,4,5,6,7,8,9,10,11,12,13,14,15,16,17,18,19,20,21,22,23,24,25,26,27,28,29,30}-1)*LEN(Registro!$F861)+1,LEN(Registro!$F861))),FIND("x",TRIM(MID(SUBSTITUTE(SUBSTITUTE(SUBSTITUTE(SUBSTITUTE(SUBSTITUTE(LOWER(Registro!$F861)," ",""),CHAR(10),"|"),";","|"),"+","|"),"|",REPT(" ",LEN(Registro!$F861))),({1,2,3,4,5,6,7,8,9,10,11,12,13,14,15,16,17,18,19,20,21,22,23,24,25,26,27,28,29,30}-1)*LEN(Registro!$F861)+1,LEN(Registro!$F861)))&amp;"x")-1))),"Revisar formato")))</f>
        <v/>
      </c>
      <c r="G861" s="24" t="str">
        <f>IF(Registro!$F861="","",IF(ISERROR(FIND("x",LOWER(Registro!$F861))),N(Registro!$G861),IFERROR(SUMPRODUCT(--("0"&amp;LEFT(TRIM(MID(SUBSTITUTE(SUBSTITUTE(SUBSTITUTE(SUBSTITUTE(SUBSTITUTE(LOWER(Registro!$F861)," ",""),CHAR(10),"|"),";","|"),"+","|"),"|",REPT(" ",LEN(Registro!$F861))),({1,2,3,4,5,6,7,8,9,10,11,12,13,14,15,16,17,18,19,20,21,22,23,24,25,26,27,28,29,30}-1)*LEN(Registro!$F861)+1,LEN(Registro!$F861))),FIND("x",TRIM(MID(SUBSTITUTE(SUBSTITUTE(SUBSTITUTE(SUBSTITUTE(SUBSTITUTE(LOWER(Registro!$F861)," ",""),CHAR(10),"|"),";","|"),"+","|"),"|",REPT(" ",LEN(Registro!$F861))),({1,2,3,4,5,6,7,8,9,10,11,12,13,14,15,16,17,18,19,20,21,22,23,24,25,26,27,28,29,30}-1)*LEN(Registro!$F861)+1,LEN(Registro!$F861)))&amp;"x")-1)),--("0"&amp;MID(TRIM(MID(SUBSTITUTE(SUBSTITUTE(SUBSTITUTE(SUBSTITUTE(SUBSTITUTE(LOWER(Registro!$F861)," ",""),CHAR(10),"|"),";","|"),"+","|"),"|",REPT(" ",LEN(Registro!$F861))),({1,2,3,4,5,6,7,8,9,10,11,12,13,14,15,16,17,18,19,20,21,22,23,24,25,26,27,28,29,30}-1)*LEN(Registro!$F861)+1,LEN(Registro!$F861))),FIND("x",TRIM(MID(SUBSTITUTE(SUBSTITUTE(SUBSTITUTE(SUBSTITUTE(SUBSTITUTE(LOWER(Registro!$F861)," ",""),CHAR(10),"|"),";","|"),"+","|"),"|",REPT(" ",LEN(Registro!$F861))),({1,2,3,4,5,6,7,8,9,10,11,12,13,14,15,16,17,18,19,20,21,22,23,24,25,26,27,28,29,30}-1)*LEN(Registro!$F861)+1,LEN(Registro!$F861)))&amp;"x")+1,20))),"Revisar formato")))</f>
        <v/>
      </c>
      <c r="H861" s="21" t="str">
        <f>IF(AND(Registro!$E861="",Registro!$F861=""),"",IF(NOT(AND(ISNUMBER(G861),ISNUMBER(Registro!$G861))),"",IF(G861&lt;Registro!$G861,"FALTA BOLETOS",IF(G861=Registro!$G861,"CONFORME","DIFERENCIA"))))</f>
        <v/>
      </c>
      <c r="I861" s="24" t="str">
        <f>IF(Registro!$H861="","",IFERROR(SUMPRODUCT(--("0"&amp;TRIM(RIGHT(SUBSTITUTE(TRIM(MID(SUBSTITUTE(SUBSTITUTE(Registro!$H861,";",CHAR(10)),CHAR(10),REPT(" ",LEN(Registro!$H861))),({1,2,3,4,5,6,7,8,9,10,11,12,13,14,15,16,17,18,19,20,21,22,23,24,25,26,27,28,29,30}-1)*LEN(Registro!$H861)+1,LEN(Registro!$H861)))," ",REPT(" ",50)),50)))),"Revisar formato"))</f>
        <v/>
      </c>
      <c r="J861" s="24" t="str">
        <f>IF(Registro!$I861="","",IFERROR(SUMPRODUCT(--("0"&amp;TRIM(RIGHT(SUBSTITUTE(TRIM(MID(SUBSTITUTE(SUBSTITUTE(Registro!$I861,";",CHAR(10)),CHAR(10),REPT(" ",LEN(Registro!$I861))),({1,2,3,4,5,6,7,8,9,10,11,12,13,14,15,16,17,18,19,20,21,22,23,24,25,26,27,28,29,30}-1)*LEN(Registro!$I861)+1,LEN(Registro!$I861)))," ",REPT(" ",50)),50)))),"Revisar formato"))</f>
        <v/>
      </c>
      <c r="K861" s="24" t="str">
        <f>IF(AND(Registro!$G861="",Registro!$H861=""),"",IF(AND(ISTEXT(I861),I861&lt;&gt;""),"Revisar formato",N(Registro!$G861)-N(I861)))</f>
        <v/>
      </c>
      <c r="L861" s="24" t="str">
        <f t="shared" si="27"/>
        <v/>
      </c>
      <c r="M861" s="36" t="str">
        <f>IF(AND(A861=Consulta!$B$3,C861=Consulta!$H$3),B861*10000+ROW(),"")</f>
        <v/>
      </c>
    </row>
    <row r="862" spans="1:13" x14ac:dyDescent="0.25">
      <c r="A862" s="21" t="str">
        <f>IF(Registro!$A862="","",Registro!$A862)</f>
        <v/>
      </c>
      <c r="B862" s="20" t="str">
        <f>IF(Registro!$B862="","",Registro!$B862)</f>
        <v/>
      </c>
      <c r="C862" s="35" t="str">
        <f t="shared" si="26"/>
        <v/>
      </c>
      <c r="D862" s="23" t="str">
        <f>IF(Registro!$E862="","",IF(ISERROR(FIND("x",LOWER(Registro!$E862))),"-",IFERROR(SUMPRODUCT(--("0"&amp;LEFT(TRIM(MID(SUBSTITUTE(SUBSTITUTE(SUBSTITUTE(SUBSTITUTE(SUBSTITUTE(LOWER(Registro!$E862),"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",LEN(Registro!$E862))),({1,2,3,4,5,6,7,8,9,10,11,12,13,14,15,16,17,18,19,20,21,22,23,24,25,26,27,28,29,30}-1)*LEN(Registro!$E862)+1,LEN(Registro!$E862))),FIND("x",TRIM(MID(SUBSTITUTE(SUBSTITUTE(SUBSTITUTE(SUBSTITUTE(SUBSTITUTE(LOWER(Registro!$E862),"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",LEN(Registro!$E862))),({1,2,3,4,5,6,7,8,9,10,11,12,13,14,15,16,17,18,19,20,21,22,23,24,25,26,27,28,29,30}-1)*LEN(Registro!$E862)+1,LEN(Registro!$E862)))&amp;"x")-1))),"Revisar formato")))</f>
        <v/>
      </c>
      <c r="E862" s="24" t="str">
        <f>IF(Registro!$E862="","",IF(ISERROR(FIND("x",LOWER(Registro!$E862))),"-",IFERROR(SUMPRODUCT(--("0"&amp;LEFT(TRIM(MID(SUBSTITUTE(SUBSTITUTE(SUBSTITUTE(SUBSTITUTE(SUBSTITUTE(LOWER(Registro!$E862),"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",LEN(Registro!$E862))),({1,2,3,4,5,6,7,8,9,10,11,12,13,14,15,16,17,18,19,20,21,22,23,24,25,26,27,28,29,30}-1)*LEN(Registro!$E862)+1,LEN(Registro!$E862))),FIND("x",TRIM(MID(SUBSTITUTE(SUBSTITUTE(SUBSTITUTE(SUBSTITUTE(SUBSTITUTE(LOWER(Registro!$E862),"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",LEN(Registro!$E862))),({1,2,3,4,5,6,7,8,9,10,11,12,13,14,15,16,17,18,19,20,21,22,23,24,25,26,27,28,29,30}-1)*LEN(Registro!$E862)+1,LEN(Registro!$E862)))&amp;"x")-1)),--("0"&amp;MID(TRIM(MID(SUBSTITUTE(SUBSTITUTE(SUBSTITUTE(SUBSTITUTE(SUBSTITUTE(LOWER(Registro!$E862),"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",LEN(Registro!$E862))),({1,2,3,4,5,6,7,8,9,10,11,12,13,14,15,16,17,18,19,20,21,22,23,24,25,26,27,28,29,30}-1)*LEN(Registro!$E862)+1,LEN(Registro!$E862))),FIND("x",TRIM(MID(SUBSTITUTE(SUBSTITUTE(SUBSTITUTE(SUBSTITUTE(SUBSTITUTE(LOWER(Registro!$E862),"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",LEN(Registro!$E862))),({1,2,3,4,5,6,7,8,9,10,11,12,13,14,15,16,17,18,19,20,21,22,23,24,25,26,27,28,29,30}-1)*LEN(Registro!$E862)+1,LEN(Registro!$E862)))&amp;"x")+1,20))),"Revisar formato")))</f>
        <v/>
      </c>
      <c r="F862" s="23" t="str">
        <f>IF(Registro!$F862="","",IF(ISERROR(FIND("x",LOWER(Registro!$F862))),"-",IFERROR(SUMPRODUCT(--("0"&amp;LEFT(TRIM(MID(SUBSTITUTE(SUBSTITUTE(SUBSTITUTE(SUBSTITUTE(SUBSTITUTE(LOWER(Registro!$F862)," ",""),CHAR(10),"|"),";","|"),"+","|"),"|",REPT(" ",LEN(Registro!$F862))),({1,2,3,4,5,6,7,8,9,10,11,12,13,14,15,16,17,18,19,20,21,22,23,24,25,26,27,28,29,30}-1)*LEN(Registro!$F862)+1,LEN(Registro!$F862))),FIND("x",TRIM(MID(SUBSTITUTE(SUBSTITUTE(SUBSTITUTE(SUBSTITUTE(SUBSTITUTE(LOWER(Registro!$F862)," ",""),CHAR(10),"|"),";","|"),"+","|"),"|",REPT(" ",LEN(Registro!$F862))),({1,2,3,4,5,6,7,8,9,10,11,12,13,14,15,16,17,18,19,20,21,22,23,24,25,26,27,28,29,30}-1)*LEN(Registro!$F862)+1,LEN(Registro!$F862)))&amp;"x")-1))),"Revisar formato")))</f>
        <v/>
      </c>
      <c r="G862" s="24" t="str">
        <f>IF(Registro!$F862="","",IF(ISERROR(FIND("x",LOWER(Registro!$F862))),N(Registro!$G862),IFERROR(SUMPRODUCT(--("0"&amp;LEFT(TRIM(MID(SUBSTITUTE(SUBSTITUTE(SUBSTITUTE(SUBSTITUTE(SUBSTITUTE(LOWER(Registro!$F862)," ",""),CHAR(10),"|"),";","|"),"+","|"),"|",REPT(" ",LEN(Registro!$F862))),({1,2,3,4,5,6,7,8,9,10,11,12,13,14,15,16,17,18,19,20,21,22,23,24,25,26,27,28,29,30}-1)*LEN(Registro!$F862)+1,LEN(Registro!$F862))),FIND("x",TRIM(MID(SUBSTITUTE(SUBSTITUTE(SUBSTITUTE(SUBSTITUTE(SUBSTITUTE(LOWER(Registro!$F862)," ",""),CHAR(10),"|"),";","|"),"+","|"),"|",REPT(" ",LEN(Registro!$F862))),({1,2,3,4,5,6,7,8,9,10,11,12,13,14,15,16,17,18,19,20,21,22,23,24,25,26,27,28,29,30}-1)*LEN(Registro!$F862)+1,LEN(Registro!$F862)))&amp;"x")-1)),--("0"&amp;MID(TRIM(MID(SUBSTITUTE(SUBSTITUTE(SUBSTITUTE(SUBSTITUTE(SUBSTITUTE(LOWER(Registro!$F862)," ",""),CHAR(10),"|"),";","|"),"+","|"),"|",REPT(" ",LEN(Registro!$F862))),({1,2,3,4,5,6,7,8,9,10,11,12,13,14,15,16,17,18,19,20,21,22,23,24,25,26,27,28,29,30}-1)*LEN(Registro!$F862)+1,LEN(Registro!$F862))),FIND("x",TRIM(MID(SUBSTITUTE(SUBSTITUTE(SUBSTITUTE(SUBSTITUTE(SUBSTITUTE(LOWER(Registro!$F862)," ",""),CHAR(10),"|"),";","|"),"+","|"),"|",REPT(" ",LEN(Registro!$F862))),({1,2,3,4,5,6,7,8,9,10,11,12,13,14,15,16,17,18,19,20,21,22,23,24,25,26,27,28,29,30}-1)*LEN(Registro!$F862)+1,LEN(Registro!$F862)))&amp;"x")+1,20))),"Revisar formato")))</f>
        <v/>
      </c>
      <c r="H862" s="21" t="str">
        <f>IF(AND(Registro!$E862="",Registro!$F862=""),"",IF(NOT(AND(ISNUMBER(G862),ISNUMBER(Registro!$G862))),"",IF(G862&lt;Registro!$G862,"FALTA BOLETOS",IF(G862=Registro!$G862,"CONFORME","DIFERENCIA"))))</f>
        <v/>
      </c>
      <c r="I862" s="24" t="str">
        <f>IF(Registro!$H862="","",IFERROR(SUMPRODUCT(--("0"&amp;TRIM(RIGHT(SUBSTITUTE(TRIM(MID(SUBSTITUTE(SUBSTITUTE(Registro!$H862,";",CHAR(10)),CHAR(10),REPT(" ",LEN(Registro!$H862))),({1,2,3,4,5,6,7,8,9,10,11,12,13,14,15,16,17,18,19,20,21,22,23,24,25,26,27,28,29,30}-1)*LEN(Registro!$H862)+1,LEN(Registro!$H862)))," ",REPT(" ",50)),50)))),"Revisar formato"))</f>
        <v/>
      </c>
      <c r="J862" s="24" t="str">
        <f>IF(Registro!$I862="","",IFERROR(SUMPRODUCT(--("0"&amp;TRIM(RIGHT(SUBSTITUTE(TRIM(MID(SUBSTITUTE(SUBSTITUTE(Registro!$I862,";",CHAR(10)),CHAR(10),REPT(" ",LEN(Registro!$I862))),({1,2,3,4,5,6,7,8,9,10,11,12,13,14,15,16,17,18,19,20,21,22,23,24,25,26,27,28,29,30}-1)*LEN(Registro!$I862)+1,LEN(Registro!$I862)))," ",REPT(" ",50)),50)))),"Revisar formato"))</f>
        <v/>
      </c>
      <c r="K862" s="24" t="str">
        <f>IF(AND(Registro!$G862="",Registro!$H862=""),"",IF(AND(ISTEXT(I862),I862&lt;&gt;""),"Revisar formato",N(Registro!$G862)-N(I862)))</f>
        <v/>
      </c>
      <c r="L862" s="24" t="str">
        <f t="shared" si="27"/>
        <v/>
      </c>
      <c r="M862" s="36" t="str">
        <f>IF(AND(A862=Consulta!$B$3,C862=Consulta!$H$3),B862*10000+ROW(),"")</f>
        <v/>
      </c>
    </row>
    <row r="863" spans="1:13" x14ac:dyDescent="0.25">
      <c r="A863" s="21" t="str">
        <f>IF(Registro!$A863="","",Registro!$A863)</f>
        <v/>
      </c>
      <c r="B863" s="20" t="str">
        <f>IF(Registro!$B863="","",Registro!$B863)</f>
        <v/>
      </c>
      <c r="C863" s="35" t="str">
        <f t="shared" si="26"/>
        <v/>
      </c>
      <c r="D863" s="23" t="str">
        <f>IF(Registro!$E863="","",IF(ISERROR(FIND("x",LOWER(Registro!$E863))),"-",IFERROR(SUMPRODUCT(--("0"&amp;LEFT(TRIM(MID(SUBSTITUTE(SUBSTITUTE(SUBSTITUTE(SUBSTITUTE(SUBSTITUTE(LOWER(Registro!$E863),"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",LEN(Registro!$E863))),({1,2,3,4,5,6,7,8,9,10,11,12,13,14,15,16,17,18,19,20,21,22,23,24,25,26,27,28,29,30}-1)*LEN(Registro!$E863)+1,LEN(Registro!$E863))),FIND("x",TRIM(MID(SUBSTITUTE(SUBSTITUTE(SUBSTITUTE(SUBSTITUTE(SUBSTITUTE(LOWER(Registro!$E863),"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",LEN(Registro!$E863))),({1,2,3,4,5,6,7,8,9,10,11,12,13,14,15,16,17,18,19,20,21,22,23,24,25,26,27,28,29,30}-1)*LEN(Registro!$E863)+1,LEN(Registro!$E863)))&amp;"x")-1))),"Revisar formato")))</f>
        <v/>
      </c>
      <c r="E863" s="24" t="str">
        <f>IF(Registro!$E863="","",IF(ISERROR(FIND("x",LOWER(Registro!$E863))),"-",IFERROR(SUMPRODUCT(--("0"&amp;LEFT(TRIM(MID(SUBSTITUTE(SUBSTITUTE(SUBSTITUTE(SUBSTITUTE(SUBSTITUTE(LOWER(Registro!$E863),"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",LEN(Registro!$E863))),({1,2,3,4,5,6,7,8,9,10,11,12,13,14,15,16,17,18,19,20,21,22,23,24,25,26,27,28,29,30}-1)*LEN(Registro!$E863)+1,LEN(Registro!$E863))),FIND("x",TRIM(MID(SUBSTITUTE(SUBSTITUTE(SUBSTITUTE(SUBSTITUTE(SUBSTITUTE(LOWER(Registro!$E863),"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",LEN(Registro!$E863))),({1,2,3,4,5,6,7,8,9,10,11,12,13,14,15,16,17,18,19,20,21,22,23,24,25,26,27,28,29,30}-1)*LEN(Registro!$E863)+1,LEN(Registro!$E863)))&amp;"x")-1)),--("0"&amp;MID(TRIM(MID(SUBSTITUTE(SUBSTITUTE(SUBSTITUTE(SUBSTITUTE(SUBSTITUTE(LOWER(Registro!$E863),"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",LEN(Registro!$E863))),({1,2,3,4,5,6,7,8,9,10,11,12,13,14,15,16,17,18,19,20,21,22,23,24,25,26,27,28,29,30}-1)*LEN(Registro!$E863)+1,LEN(Registro!$E863))),FIND("x",TRIM(MID(SUBSTITUTE(SUBSTITUTE(SUBSTITUTE(SUBSTITUTE(SUBSTITUTE(LOWER(Registro!$E863),"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",LEN(Registro!$E863))),({1,2,3,4,5,6,7,8,9,10,11,12,13,14,15,16,17,18,19,20,21,22,23,24,25,26,27,28,29,30}-1)*LEN(Registro!$E863)+1,LEN(Registro!$E863)))&amp;"x")+1,20))),"Revisar formato")))</f>
        <v/>
      </c>
      <c r="F863" s="23" t="str">
        <f>IF(Registro!$F863="","",IF(ISERROR(FIND("x",LOWER(Registro!$F863))),"-",IFERROR(SUMPRODUCT(--("0"&amp;LEFT(TRIM(MID(SUBSTITUTE(SUBSTITUTE(SUBSTITUTE(SUBSTITUTE(SUBSTITUTE(LOWER(Registro!$F863)," ",""),CHAR(10),"|"),";","|"),"+","|"),"|",REPT(" ",LEN(Registro!$F863))),({1,2,3,4,5,6,7,8,9,10,11,12,13,14,15,16,17,18,19,20,21,22,23,24,25,26,27,28,29,30}-1)*LEN(Registro!$F863)+1,LEN(Registro!$F863))),FIND("x",TRIM(MID(SUBSTITUTE(SUBSTITUTE(SUBSTITUTE(SUBSTITUTE(SUBSTITUTE(LOWER(Registro!$F863)," ",""),CHAR(10),"|"),";","|"),"+","|"),"|",REPT(" ",LEN(Registro!$F863))),({1,2,3,4,5,6,7,8,9,10,11,12,13,14,15,16,17,18,19,20,21,22,23,24,25,26,27,28,29,30}-1)*LEN(Registro!$F863)+1,LEN(Registro!$F863)))&amp;"x")-1))),"Revisar formato")))</f>
        <v/>
      </c>
      <c r="G863" s="24" t="str">
        <f>IF(Registro!$F863="","",IF(ISERROR(FIND("x",LOWER(Registro!$F863))),N(Registro!$G863),IFERROR(SUMPRODUCT(--("0"&amp;LEFT(TRIM(MID(SUBSTITUTE(SUBSTITUTE(SUBSTITUTE(SUBSTITUTE(SUBSTITUTE(LOWER(Registro!$F863)," ",""),CHAR(10),"|"),";","|"),"+","|"),"|",REPT(" ",LEN(Registro!$F863))),({1,2,3,4,5,6,7,8,9,10,11,12,13,14,15,16,17,18,19,20,21,22,23,24,25,26,27,28,29,30}-1)*LEN(Registro!$F863)+1,LEN(Registro!$F863))),FIND("x",TRIM(MID(SUBSTITUTE(SUBSTITUTE(SUBSTITUTE(SUBSTITUTE(SUBSTITUTE(LOWER(Registro!$F863)," ",""),CHAR(10),"|"),";","|"),"+","|"),"|",REPT(" ",LEN(Registro!$F863))),({1,2,3,4,5,6,7,8,9,10,11,12,13,14,15,16,17,18,19,20,21,22,23,24,25,26,27,28,29,30}-1)*LEN(Registro!$F863)+1,LEN(Registro!$F863)))&amp;"x")-1)),--("0"&amp;MID(TRIM(MID(SUBSTITUTE(SUBSTITUTE(SUBSTITUTE(SUBSTITUTE(SUBSTITUTE(LOWER(Registro!$F863)," ",""),CHAR(10),"|"),";","|"),"+","|"),"|",REPT(" ",LEN(Registro!$F863))),({1,2,3,4,5,6,7,8,9,10,11,12,13,14,15,16,17,18,19,20,21,22,23,24,25,26,27,28,29,30}-1)*LEN(Registro!$F863)+1,LEN(Registro!$F863))),FIND("x",TRIM(MID(SUBSTITUTE(SUBSTITUTE(SUBSTITUTE(SUBSTITUTE(SUBSTITUTE(LOWER(Registro!$F863)," ",""),CHAR(10),"|"),";","|"),"+","|"),"|",REPT(" ",LEN(Registro!$F863))),({1,2,3,4,5,6,7,8,9,10,11,12,13,14,15,16,17,18,19,20,21,22,23,24,25,26,27,28,29,30}-1)*LEN(Registro!$F863)+1,LEN(Registro!$F863)))&amp;"x")+1,20))),"Revisar formato")))</f>
        <v/>
      </c>
      <c r="H863" s="21" t="str">
        <f>IF(AND(Registro!$E863="",Registro!$F863=""),"",IF(NOT(AND(ISNUMBER(G863),ISNUMBER(Registro!$G863))),"",IF(G863&lt;Registro!$G863,"FALTA BOLETOS",IF(G863=Registro!$G863,"CONFORME","DIFERENCIA"))))</f>
        <v/>
      </c>
      <c r="I863" s="24" t="str">
        <f>IF(Registro!$H863="","",IFERROR(SUMPRODUCT(--("0"&amp;TRIM(RIGHT(SUBSTITUTE(TRIM(MID(SUBSTITUTE(SUBSTITUTE(Registro!$H863,";",CHAR(10)),CHAR(10),REPT(" ",LEN(Registro!$H863))),({1,2,3,4,5,6,7,8,9,10,11,12,13,14,15,16,17,18,19,20,21,22,23,24,25,26,27,28,29,30}-1)*LEN(Registro!$H863)+1,LEN(Registro!$H863)))," ",REPT(" ",50)),50)))),"Revisar formato"))</f>
        <v/>
      </c>
      <c r="J863" s="24" t="str">
        <f>IF(Registro!$I863="","",IFERROR(SUMPRODUCT(--("0"&amp;TRIM(RIGHT(SUBSTITUTE(TRIM(MID(SUBSTITUTE(SUBSTITUTE(Registro!$I863,";",CHAR(10)),CHAR(10),REPT(" ",LEN(Registro!$I863))),({1,2,3,4,5,6,7,8,9,10,11,12,13,14,15,16,17,18,19,20,21,22,23,24,25,26,27,28,29,30}-1)*LEN(Registro!$I863)+1,LEN(Registro!$I863)))," ",REPT(" ",50)),50)))),"Revisar formato"))</f>
        <v/>
      </c>
      <c r="K863" s="24" t="str">
        <f>IF(AND(Registro!$G863="",Registro!$H863=""),"",IF(AND(ISTEXT(I863),I863&lt;&gt;""),"Revisar formato",N(Registro!$G863)-N(I863)))</f>
        <v/>
      </c>
      <c r="L863" s="24" t="str">
        <f t="shared" si="27"/>
        <v/>
      </c>
      <c r="M863" s="36" t="str">
        <f>IF(AND(A863=Consulta!$B$3,C863=Consulta!$H$3),B863*10000+ROW(),"")</f>
        <v/>
      </c>
    </row>
    <row r="864" spans="1:13" x14ac:dyDescent="0.25">
      <c r="A864" s="21" t="str">
        <f>IF(Registro!$A864="","",Registro!$A864)</f>
        <v/>
      </c>
      <c r="B864" s="20" t="str">
        <f>IF(Registro!$B864="","",Registro!$B864)</f>
        <v/>
      </c>
      <c r="C864" s="35" t="str">
        <f t="shared" si="26"/>
        <v/>
      </c>
      <c r="D864" s="23" t="str">
        <f>IF(Registro!$E864="","",IF(ISERROR(FIND("x",LOWER(Registro!$E864))),"-",IFERROR(SUMPRODUCT(--("0"&amp;LEFT(TRIM(MID(SUBSTITUTE(SUBSTITUTE(SUBSTITUTE(SUBSTITUTE(SUBSTITUTE(LOWER(Registro!$E864),"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",LEN(Registro!$E864))),({1,2,3,4,5,6,7,8,9,10,11,12,13,14,15,16,17,18,19,20,21,22,23,24,25,26,27,28,29,30}-1)*LEN(Registro!$E864)+1,LEN(Registro!$E864))),FIND("x",TRIM(MID(SUBSTITUTE(SUBSTITUTE(SUBSTITUTE(SUBSTITUTE(SUBSTITUTE(LOWER(Registro!$E864),"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",LEN(Registro!$E864))),({1,2,3,4,5,6,7,8,9,10,11,12,13,14,15,16,17,18,19,20,21,22,23,24,25,26,27,28,29,30}-1)*LEN(Registro!$E864)+1,LEN(Registro!$E864)))&amp;"x")-1))),"Revisar formato")))</f>
        <v/>
      </c>
      <c r="E864" s="24" t="str">
        <f>IF(Registro!$E864="","",IF(ISERROR(FIND("x",LOWER(Registro!$E864))),"-",IFERROR(SUMPRODUCT(--("0"&amp;LEFT(TRIM(MID(SUBSTITUTE(SUBSTITUTE(SUBSTITUTE(SUBSTITUTE(SUBSTITUTE(LOWER(Registro!$E864),"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",LEN(Registro!$E864))),({1,2,3,4,5,6,7,8,9,10,11,12,13,14,15,16,17,18,19,20,21,22,23,24,25,26,27,28,29,30}-1)*LEN(Registro!$E864)+1,LEN(Registro!$E864))),FIND("x",TRIM(MID(SUBSTITUTE(SUBSTITUTE(SUBSTITUTE(SUBSTITUTE(SUBSTITUTE(LOWER(Registro!$E864),"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",LEN(Registro!$E864))),({1,2,3,4,5,6,7,8,9,10,11,12,13,14,15,16,17,18,19,20,21,22,23,24,25,26,27,28,29,30}-1)*LEN(Registro!$E864)+1,LEN(Registro!$E864)))&amp;"x")-1)),--("0"&amp;MID(TRIM(MID(SUBSTITUTE(SUBSTITUTE(SUBSTITUTE(SUBSTITUTE(SUBSTITUTE(LOWER(Registro!$E864),"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",LEN(Registro!$E864))),({1,2,3,4,5,6,7,8,9,10,11,12,13,14,15,16,17,18,19,20,21,22,23,24,25,26,27,28,29,30}-1)*LEN(Registro!$E864)+1,LEN(Registro!$E864))),FIND("x",TRIM(MID(SUBSTITUTE(SUBSTITUTE(SUBSTITUTE(SUBSTITUTE(SUBSTITUTE(LOWER(Registro!$E864),"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",LEN(Registro!$E864))),({1,2,3,4,5,6,7,8,9,10,11,12,13,14,15,16,17,18,19,20,21,22,23,24,25,26,27,28,29,30}-1)*LEN(Registro!$E864)+1,LEN(Registro!$E864)))&amp;"x")+1,20))),"Revisar formato")))</f>
        <v/>
      </c>
      <c r="F864" s="23" t="str">
        <f>IF(Registro!$F864="","",IF(ISERROR(FIND("x",LOWER(Registro!$F864))),"-",IFERROR(SUMPRODUCT(--("0"&amp;LEFT(TRIM(MID(SUBSTITUTE(SUBSTITUTE(SUBSTITUTE(SUBSTITUTE(SUBSTITUTE(LOWER(Registro!$F864)," ",""),CHAR(10),"|"),";","|"),"+","|"),"|",REPT(" ",LEN(Registro!$F864))),({1,2,3,4,5,6,7,8,9,10,11,12,13,14,15,16,17,18,19,20,21,22,23,24,25,26,27,28,29,30}-1)*LEN(Registro!$F864)+1,LEN(Registro!$F864))),FIND("x",TRIM(MID(SUBSTITUTE(SUBSTITUTE(SUBSTITUTE(SUBSTITUTE(SUBSTITUTE(LOWER(Registro!$F864)," ",""),CHAR(10),"|"),";","|"),"+","|"),"|",REPT(" ",LEN(Registro!$F864))),({1,2,3,4,5,6,7,8,9,10,11,12,13,14,15,16,17,18,19,20,21,22,23,24,25,26,27,28,29,30}-1)*LEN(Registro!$F864)+1,LEN(Registro!$F864)))&amp;"x")-1))),"Revisar formato")))</f>
        <v/>
      </c>
      <c r="G864" s="24" t="str">
        <f>IF(Registro!$F864="","",IF(ISERROR(FIND("x",LOWER(Registro!$F864))),N(Registro!$G864),IFERROR(SUMPRODUCT(--("0"&amp;LEFT(TRIM(MID(SUBSTITUTE(SUBSTITUTE(SUBSTITUTE(SUBSTITUTE(SUBSTITUTE(LOWER(Registro!$F864)," ",""),CHAR(10),"|"),";","|"),"+","|"),"|",REPT(" ",LEN(Registro!$F864))),({1,2,3,4,5,6,7,8,9,10,11,12,13,14,15,16,17,18,19,20,21,22,23,24,25,26,27,28,29,30}-1)*LEN(Registro!$F864)+1,LEN(Registro!$F864))),FIND("x",TRIM(MID(SUBSTITUTE(SUBSTITUTE(SUBSTITUTE(SUBSTITUTE(SUBSTITUTE(LOWER(Registro!$F864)," ",""),CHAR(10),"|"),";","|"),"+","|"),"|",REPT(" ",LEN(Registro!$F864))),({1,2,3,4,5,6,7,8,9,10,11,12,13,14,15,16,17,18,19,20,21,22,23,24,25,26,27,28,29,30}-1)*LEN(Registro!$F864)+1,LEN(Registro!$F864)))&amp;"x")-1)),--("0"&amp;MID(TRIM(MID(SUBSTITUTE(SUBSTITUTE(SUBSTITUTE(SUBSTITUTE(SUBSTITUTE(LOWER(Registro!$F864)," ",""),CHAR(10),"|"),";","|"),"+","|"),"|",REPT(" ",LEN(Registro!$F864))),({1,2,3,4,5,6,7,8,9,10,11,12,13,14,15,16,17,18,19,20,21,22,23,24,25,26,27,28,29,30}-1)*LEN(Registro!$F864)+1,LEN(Registro!$F864))),FIND("x",TRIM(MID(SUBSTITUTE(SUBSTITUTE(SUBSTITUTE(SUBSTITUTE(SUBSTITUTE(LOWER(Registro!$F864)," ",""),CHAR(10),"|"),";","|"),"+","|"),"|",REPT(" ",LEN(Registro!$F864))),({1,2,3,4,5,6,7,8,9,10,11,12,13,14,15,16,17,18,19,20,21,22,23,24,25,26,27,28,29,30}-1)*LEN(Registro!$F864)+1,LEN(Registro!$F864)))&amp;"x")+1,20))),"Revisar formato")))</f>
        <v/>
      </c>
      <c r="H864" s="21" t="str">
        <f>IF(AND(Registro!$E864="",Registro!$F864=""),"",IF(NOT(AND(ISNUMBER(G864),ISNUMBER(Registro!$G864))),"",IF(G864&lt;Registro!$G864,"FALTA BOLETOS",IF(G864=Registro!$G864,"CONFORME","DIFERENCIA"))))</f>
        <v/>
      </c>
      <c r="I864" s="24" t="str">
        <f>IF(Registro!$H864="","",IFERROR(SUMPRODUCT(--("0"&amp;TRIM(RIGHT(SUBSTITUTE(TRIM(MID(SUBSTITUTE(SUBSTITUTE(Registro!$H864,";",CHAR(10)),CHAR(10),REPT(" ",LEN(Registro!$H864))),({1,2,3,4,5,6,7,8,9,10,11,12,13,14,15,16,17,18,19,20,21,22,23,24,25,26,27,28,29,30}-1)*LEN(Registro!$H864)+1,LEN(Registro!$H864)))," ",REPT(" ",50)),50)))),"Revisar formato"))</f>
        <v/>
      </c>
      <c r="J864" s="24" t="str">
        <f>IF(Registro!$I864="","",IFERROR(SUMPRODUCT(--("0"&amp;TRIM(RIGHT(SUBSTITUTE(TRIM(MID(SUBSTITUTE(SUBSTITUTE(Registro!$I864,";",CHAR(10)),CHAR(10),REPT(" ",LEN(Registro!$I864))),({1,2,3,4,5,6,7,8,9,10,11,12,13,14,15,16,17,18,19,20,21,22,23,24,25,26,27,28,29,30}-1)*LEN(Registro!$I864)+1,LEN(Registro!$I864)))," ",REPT(" ",50)),50)))),"Revisar formato"))</f>
        <v/>
      </c>
      <c r="K864" s="24" t="str">
        <f>IF(AND(Registro!$G864="",Registro!$H864=""),"",IF(AND(ISTEXT(I864),I864&lt;&gt;""),"Revisar formato",N(Registro!$G864)-N(I864)))</f>
        <v/>
      </c>
      <c r="L864" s="24" t="str">
        <f t="shared" si="27"/>
        <v/>
      </c>
      <c r="M864" s="36" t="str">
        <f>IF(AND(A864=Consulta!$B$3,C864=Consulta!$H$3),B864*10000+ROW(),"")</f>
        <v/>
      </c>
    </row>
    <row r="865" spans="1:13" x14ac:dyDescent="0.25">
      <c r="A865" s="21" t="str">
        <f>IF(Registro!$A865="","",Registro!$A865)</f>
        <v/>
      </c>
      <c r="B865" s="20" t="str">
        <f>IF(Registro!$B865="","",Registro!$B865)</f>
        <v/>
      </c>
      <c r="C865" s="35" t="str">
        <f t="shared" si="26"/>
        <v/>
      </c>
      <c r="D865" s="23" t="str">
        <f>IF(Registro!$E865="","",IF(ISERROR(FIND("x",LOWER(Registro!$E865))),"-",IFERROR(SUMPRODUCT(--("0"&amp;LEFT(TRIM(MID(SUBSTITUTE(SUBSTITUTE(SUBSTITUTE(SUBSTITUTE(SUBSTITUTE(LOWER(Registro!$E865),"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",LEN(Registro!$E865))),({1,2,3,4,5,6,7,8,9,10,11,12,13,14,15,16,17,18,19,20,21,22,23,24,25,26,27,28,29,30}-1)*LEN(Registro!$E865)+1,LEN(Registro!$E865))),FIND("x",TRIM(MID(SUBSTITUTE(SUBSTITUTE(SUBSTITUTE(SUBSTITUTE(SUBSTITUTE(LOWER(Registro!$E865),"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",LEN(Registro!$E865))),({1,2,3,4,5,6,7,8,9,10,11,12,13,14,15,16,17,18,19,20,21,22,23,24,25,26,27,28,29,30}-1)*LEN(Registro!$E865)+1,LEN(Registro!$E865)))&amp;"x")-1))),"Revisar formato")))</f>
        <v/>
      </c>
      <c r="E865" s="24" t="str">
        <f>IF(Registro!$E865="","",IF(ISERROR(FIND("x",LOWER(Registro!$E865))),"-",IFERROR(SUMPRODUCT(--("0"&amp;LEFT(TRIM(MID(SUBSTITUTE(SUBSTITUTE(SUBSTITUTE(SUBSTITUTE(SUBSTITUTE(LOWER(Registro!$E865),"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",LEN(Registro!$E865))),({1,2,3,4,5,6,7,8,9,10,11,12,13,14,15,16,17,18,19,20,21,22,23,24,25,26,27,28,29,30}-1)*LEN(Registro!$E865)+1,LEN(Registro!$E865))),FIND("x",TRIM(MID(SUBSTITUTE(SUBSTITUTE(SUBSTITUTE(SUBSTITUTE(SUBSTITUTE(LOWER(Registro!$E865),"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",LEN(Registro!$E865))),({1,2,3,4,5,6,7,8,9,10,11,12,13,14,15,16,17,18,19,20,21,22,23,24,25,26,27,28,29,30}-1)*LEN(Registro!$E865)+1,LEN(Registro!$E865)))&amp;"x")-1)),--("0"&amp;MID(TRIM(MID(SUBSTITUTE(SUBSTITUTE(SUBSTITUTE(SUBSTITUTE(SUBSTITUTE(LOWER(Registro!$E865),"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",LEN(Registro!$E865))),({1,2,3,4,5,6,7,8,9,10,11,12,13,14,15,16,17,18,19,20,21,22,23,24,25,26,27,28,29,30}-1)*LEN(Registro!$E865)+1,LEN(Registro!$E865))),FIND("x",TRIM(MID(SUBSTITUTE(SUBSTITUTE(SUBSTITUTE(SUBSTITUTE(SUBSTITUTE(LOWER(Registro!$E865),"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",LEN(Registro!$E865))),({1,2,3,4,5,6,7,8,9,10,11,12,13,14,15,16,17,18,19,20,21,22,23,24,25,26,27,28,29,30}-1)*LEN(Registro!$E865)+1,LEN(Registro!$E865)))&amp;"x")+1,20))),"Revisar formato")))</f>
        <v/>
      </c>
      <c r="F865" s="23" t="str">
        <f>IF(Registro!$F865="","",IF(ISERROR(FIND("x",LOWER(Registro!$F865))),"-",IFERROR(SUMPRODUCT(--("0"&amp;LEFT(TRIM(MID(SUBSTITUTE(SUBSTITUTE(SUBSTITUTE(SUBSTITUTE(SUBSTITUTE(LOWER(Registro!$F865)," ",""),CHAR(10),"|"),";","|"),"+","|"),"|",REPT(" ",LEN(Registro!$F865))),({1,2,3,4,5,6,7,8,9,10,11,12,13,14,15,16,17,18,19,20,21,22,23,24,25,26,27,28,29,30}-1)*LEN(Registro!$F865)+1,LEN(Registro!$F865))),FIND("x",TRIM(MID(SUBSTITUTE(SUBSTITUTE(SUBSTITUTE(SUBSTITUTE(SUBSTITUTE(LOWER(Registro!$F865)," ",""),CHAR(10),"|"),";","|"),"+","|"),"|",REPT(" ",LEN(Registro!$F865))),({1,2,3,4,5,6,7,8,9,10,11,12,13,14,15,16,17,18,19,20,21,22,23,24,25,26,27,28,29,30}-1)*LEN(Registro!$F865)+1,LEN(Registro!$F865)))&amp;"x")-1))),"Revisar formato")))</f>
        <v/>
      </c>
      <c r="G865" s="24" t="str">
        <f>IF(Registro!$F865="","",IF(ISERROR(FIND("x",LOWER(Registro!$F865))),N(Registro!$G865),IFERROR(SUMPRODUCT(--("0"&amp;LEFT(TRIM(MID(SUBSTITUTE(SUBSTITUTE(SUBSTITUTE(SUBSTITUTE(SUBSTITUTE(LOWER(Registro!$F865)," ",""),CHAR(10),"|"),";","|"),"+","|"),"|",REPT(" ",LEN(Registro!$F865))),({1,2,3,4,5,6,7,8,9,10,11,12,13,14,15,16,17,18,19,20,21,22,23,24,25,26,27,28,29,30}-1)*LEN(Registro!$F865)+1,LEN(Registro!$F865))),FIND("x",TRIM(MID(SUBSTITUTE(SUBSTITUTE(SUBSTITUTE(SUBSTITUTE(SUBSTITUTE(LOWER(Registro!$F865)," ",""),CHAR(10),"|"),";","|"),"+","|"),"|",REPT(" ",LEN(Registro!$F865))),({1,2,3,4,5,6,7,8,9,10,11,12,13,14,15,16,17,18,19,20,21,22,23,24,25,26,27,28,29,30}-1)*LEN(Registro!$F865)+1,LEN(Registro!$F865)))&amp;"x")-1)),--("0"&amp;MID(TRIM(MID(SUBSTITUTE(SUBSTITUTE(SUBSTITUTE(SUBSTITUTE(SUBSTITUTE(LOWER(Registro!$F865)," ",""),CHAR(10),"|"),";","|"),"+","|"),"|",REPT(" ",LEN(Registro!$F865))),({1,2,3,4,5,6,7,8,9,10,11,12,13,14,15,16,17,18,19,20,21,22,23,24,25,26,27,28,29,30}-1)*LEN(Registro!$F865)+1,LEN(Registro!$F865))),FIND("x",TRIM(MID(SUBSTITUTE(SUBSTITUTE(SUBSTITUTE(SUBSTITUTE(SUBSTITUTE(LOWER(Registro!$F865)," ",""),CHAR(10),"|"),";","|"),"+","|"),"|",REPT(" ",LEN(Registro!$F865))),({1,2,3,4,5,6,7,8,9,10,11,12,13,14,15,16,17,18,19,20,21,22,23,24,25,26,27,28,29,30}-1)*LEN(Registro!$F865)+1,LEN(Registro!$F865)))&amp;"x")+1,20))),"Revisar formato")))</f>
        <v/>
      </c>
      <c r="H865" s="21" t="str">
        <f>IF(AND(Registro!$E865="",Registro!$F865=""),"",IF(NOT(AND(ISNUMBER(G865),ISNUMBER(Registro!$G865))),"",IF(G865&lt;Registro!$G865,"FALTA BOLETOS",IF(G865=Registro!$G865,"CONFORME","DIFERENCIA"))))</f>
        <v/>
      </c>
      <c r="I865" s="24" t="str">
        <f>IF(Registro!$H865="","",IFERROR(SUMPRODUCT(--("0"&amp;TRIM(RIGHT(SUBSTITUTE(TRIM(MID(SUBSTITUTE(SUBSTITUTE(Registro!$H865,";",CHAR(10)),CHAR(10),REPT(" ",LEN(Registro!$H865))),({1,2,3,4,5,6,7,8,9,10,11,12,13,14,15,16,17,18,19,20,21,22,23,24,25,26,27,28,29,30}-1)*LEN(Registro!$H865)+1,LEN(Registro!$H865)))," ",REPT(" ",50)),50)))),"Revisar formato"))</f>
        <v/>
      </c>
      <c r="J865" s="24" t="str">
        <f>IF(Registro!$I865="","",IFERROR(SUMPRODUCT(--("0"&amp;TRIM(RIGHT(SUBSTITUTE(TRIM(MID(SUBSTITUTE(SUBSTITUTE(Registro!$I865,";",CHAR(10)),CHAR(10),REPT(" ",LEN(Registro!$I865))),({1,2,3,4,5,6,7,8,9,10,11,12,13,14,15,16,17,18,19,20,21,22,23,24,25,26,27,28,29,30}-1)*LEN(Registro!$I865)+1,LEN(Registro!$I865)))," ",REPT(" ",50)),50)))),"Revisar formato"))</f>
        <v/>
      </c>
      <c r="K865" s="24" t="str">
        <f>IF(AND(Registro!$G865="",Registro!$H865=""),"",IF(AND(ISTEXT(I865),I865&lt;&gt;""),"Revisar formato",N(Registro!$G865)-N(I865)))</f>
        <v/>
      </c>
      <c r="L865" s="24" t="str">
        <f t="shared" si="27"/>
        <v/>
      </c>
      <c r="M865" s="36" t="str">
        <f>IF(AND(A865=Consulta!$B$3,C865=Consulta!$H$3),B865*10000+ROW(),"")</f>
        <v/>
      </c>
    </row>
    <row r="866" spans="1:13" x14ac:dyDescent="0.25">
      <c r="A866" s="21" t="str">
        <f>IF(Registro!$A866="","",Registro!$A866)</f>
        <v/>
      </c>
      <c r="B866" s="20" t="str">
        <f>IF(Registro!$B866="","",Registro!$B866)</f>
        <v/>
      </c>
      <c r="C866" s="35" t="str">
        <f t="shared" si="26"/>
        <v/>
      </c>
      <c r="D866" s="23" t="str">
        <f>IF(Registro!$E866="","",IF(ISERROR(FIND("x",LOWER(Registro!$E866))),"-",IFERROR(SUMPRODUCT(--("0"&amp;LEFT(TRIM(MID(SUBSTITUTE(SUBSTITUTE(SUBSTITUTE(SUBSTITUTE(SUBSTITUTE(LOWER(Registro!$E866),"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",LEN(Registro!$E866))),({1,2,3,4,5,6,7,8,9,10,11,12,13,14,15,16,17,18,19,20,21,22,23,24,25,26,27,28,29,30}-1)*LEN(Registro!$E866)+1,LEN(Registro!$E866))),FIND("x",TRIM(MID(SUBSTITUTE(SUBSTITUTE(SUBSTITUTE(SUBSTITUTE(SUBSTITUTE(LOWER(Registro!$E866),"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",LEN(Registro!$E866))),({1,2,3,4,5,6,7,8,9,10,11,12,13,14,15,16,17,18,19,20,21,22,23,24,25,26,27,28,29,30}-1)*LEN(Registro!$E866)+1,LEN(Registro!$E866)))&amp;"x")-1))),"Revisar formato")))</f>
        <v/>
      </c>
      <c r="E866" s="24" t="str">
        <f>IF(Registro!$E866="","",IF(ISERROR(FIND("x",LOWER(Registro!$E866))),"-",IFERROR(SUMPRODUCT(--("0"&amp;LEFT(TRIM(MID(SUBSTITUTE(SUBSTITUTE(SUBSTITUTE(SUBSTITUTE(SUBSTITUTE(LOWER(Registro!$E866),"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",LEN(Registro!$E866))),({1,2,3,4,5,6,7,8,9,10,11,12,13,14,15,16,17,18,19,20,21,22,23,24,25,26,27,28,29,30}-1)*LEN(Registro!$E866)+1,LEN(Registro!$E866))),FIND("x",TRIM(MID(SUBSTITUTE(SUBSTITUTE(SUBSTITUTE(SUBSTITUTE(SUBSTITUTE(LOWER(Registro!$E866),"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",LEN(Registro!$E866))),({1,2,3,4,5,6,7,8,9,10,11,12,13,14,15,16,17,18,19,20,21,22,23,24,25,26,27,28,29,30}-1)*LEN(Registro!$E866)+1,LEN(Registro!$E866)))&amp;"x")-1)),--("0"&amp;MID(TRIM(MID(SUBSTITUTE(SUBSTITUTE(SUBSTITUTE(SUBSTITUTE(SUBSTITUTE(LOWER(Registro!$E866),"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",LEN(Registro!$E866))),({1,2,3,4,5,6,7,8,9,10,11,12,13,14,15,16,17,18,19,20,21,22,23,24,25,26,27,28,29,30}-1)*LEN(Registro!$E866)+1,LEN(Registro!$E866))),FIND("x",TRIM(MID(SUBSTITUTE(SUBSTITUTE(SUBSTITUTE(SUBSTITUTE(SUBSTITUTE(LOWER(Registro!$E866),"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",LEN(Registro!$E866))),({1,2,3,4,5,6,7,8,9,10,11,12,13,14,15,16,17,18,19,20,21,22,23,24,25,26,27,28,29,30}-1)*LEN(Registro!$E866)+1,LEN(Registro!$E866)))&amp;"x")+1,20))),"Revisar formato")))</f>
        <v/>
      </c>
      <c r="F866" s="23" t="str">
        <f>IF(Registro!$F866="","",IF(ISERROR(FIND("x",LOWER(Registro!$F866))),"-",IFERROR(SUMPRODUCT(--("0"&amp;LEFT(TRIM(MID(SUBSTITUTE(SUBSTITUTE(SUBSTITUTE(SUBSTITUTE(SUBSTITUTE(LOWER(Registro!$F866)," ",""),CHAR(10),"|"),";","|"),"+","|"),"|",REPT(" ",LEN(Registro!$F866))),({1,2,3,4,5,6,7,8,9,10,11,12,13,14,15,16,17,18,19,20,21,22,23,24,25,26,27,28,29,30}-1)*LEN(Registro!$F866)+1,LEN(Registro!$F866))),FIND("x",TRIM(MID(SUBSTITUTE(SUBSTITUTE(SUBSTITUTE(SUBSTITUTE(SUBSTITUTE(LOWER(Registro!$F866)," ",""),CHAR(10),"|"),";","|"),"+","|"),"|",REPT(" ",LEN(Registro!$F866))),({1,2,3,4,5,6,7,8,9,10,11,12,13,14,15,16,17,18,19,20,21,22,23,24,25,26,27,28,29,30}-1)*LEN(Registro!$F866)+1,LEN(Registro!$F866)))&amp;"x")-1))),"Revisar formato")))</f>
        <v/>
      </c>
      <c r="G866" s="24" t="str">
        <f>IF(Registro!$F866="","",IF(ISERROR(FIND("x",LOWER(Registro!$F866))),N(Registro!$G866),IFERROR(SUMPRODUCT(--("0"&amp;LEFT(TRIM(MID(SUBSTITUTE(SUBSTITUTE(SUBSTITUTE(SUBSTITUTE(SUBSTITUTE(LOWER(Registro!$F866)," ",""),CHAR(10),"|"),";","|"),"+","|"),"|",REPT(" ",LEN(Registro!$F866))),({1,2,3,4,5,6,7,8,9,10,11,12,13,14,15,16,17,18,19,20,21,22,23,24,25,26,27,28,29,30}-1)*LEN(Registro!$F866)+1,LEN(Registro!$F866))),FIND("x",TRIM(MID(SUBSTITUTE(SUBSTITUTE(SUBSTITUTE(SUBSTITUTE(SUBSTITUTE(LOWER(Registro!$F866)," ",""),CHAR(10),"|"),";","|"),"+","|"),"|",REPT(" ",LEN(Registro!$F866))),({1,2,3,4,5,6,7,8,9,10,11,12,13,14,15,16,17,18,19,20,21,22,23,24,25,26,27,28,29,30}-1)*LEN(Registro!$F866)+1,LEN(Registro!$F866)))&amp;"x")-1)),--("0"&amp;MID(TRIM(MID(SUBSTITUTE(SUBSTITUTE(SUBSTITUTE(SUBSTITUTE(SUBSTITUTE(LOWER(Registro!$F866)," ",""),CHAR(10),"|"),";","|"),"+","|"),"|",REPT(" ",LEN(Registro!$F866))),({1,2,3,4,5,6,7,8,9,10,11,12,13,14,15,16,17,18,19,20,21,22,23,24,25,26,27,28,29,30}-1)*LEN(Registro!$F866)+1,LEN(Registro!$F866))),FIND("x",TRIM(MID(SUBSTITUTE(SUBSTITUTE(SUBSTITUTE(SUBSTITUTE(SUBSTITUTE(LOWER(Registro!$F866)," ",""),CHAR(10),"|"),";","|"),"+","|"),"|",REPT(" ",LEN(Registro!$F866))),({1,2,3,4,5,6,7,8,9,10,11,12,13,14,15,16,17,18,19,20,21,22,23,24,25,26,27,28,29,30}-1)*LEN(Registro!$F866)+1,LEN(Registro!$F866)))&amp;"x")+1,20))),"Revisar formato")))</f>
        <v/>
      </c>
      <c r="H866" s="21" t="str">
        <f>IF(AND(Registro!$E866="",Registro!$F866=""),"",IF(NOT(AND(ISNUMBER(G866),ISNUMBER(Registro!$G866))),"",IF(G866&lt;Registro!$G866,"FALTA BOLETOS",IF(G866=Registro!$G866,"CONFORME","DIFERENCIA"))))</f>
        <v/>
      </c>
      <c r="I866" s="24" t="str">
        <f>IF(Registro!$H866="","",IFERROR(SUMPRODUCT(--("0"&amp;TRIM(RIGHT(SUBSTITUTE(TRIM(MID(SUBSTITUTE(SUBSTITUTE(Registro!$H866,";",CHAR(10)),CHAR(10),REPT(" ",LEN(Registro!$H866))),({1,2,3,4,5,6,7,8,9,10,11,12,13,14,15,16,17,18,19,20,21,22,23,24,25,26,27,28,29,30}-1)*LEN(Registro!$H866)+1,LEN(Registro!$H866)))," ",REPT(" ",50)),50)))),"Revisar formato"))</f>
        <v/>
      </c>
      <c r="J866" s="24" t="str">
        <f>IF(Registro!$I866="","",IFERROR(SUMPRODUCT(--("0"&amp;TRIM(RIGHT(SUBSTITUTE(TRIM(MID(SUBSTITUTE(SUBSTITUTE(Registro!$I866,";",CHAR(10)),CHAR(10),REPT(" ",LEN(Registro!$I866))),({1,2,3,4,5,6,7,8,9,10,11,12,13,14,15,16,17,18,19,20,21,22,23,24,25,26,27,28,29,30}-1)*LEN(Registro!$I866)+1,LEN(Registro!$I866)))," ",REPT(" ",50)),50)))),"Revisar formato"))</f>
        <v/>
      </c>
      <c r="K866" s="24" t="str">
        <f>IF(AND(Registro!$G866="",Registro!$H866=""),"",IF(AND(ISTEXT(I866),I866&lt;&gt;""),"Revisar formato",N(Registro!$G866)-N(I866)))</f>
        <v/>
      </c>
      <c r="L866" s="24" t="str">
        <f t="shared" si="27"/>
        <v/>
      </c>
      <c r="M866" s="36" t="str">
        <f>IF(AND(A866=Consulta!$B$3,C866=Consulta!$H$3),B866*10000+ROW(),"")</f>
        <v/>
      </c>
    </row>
    <row r="867" spans="1:13" x14ac:dyDescent="0.25">
      <c r="A867" s="21" t="str">
        <f>IF(Registro!$A867="","",Registro!$A867)</f>
        <v/>
      </c>
      <c r="B867" s="20" t="str">
        <f>IF(Registro!$B867="","",Registro!$B867)</f>
        <v/>
      </c>
      <c r="C867" s="35" t="str">
        <f t="shared" si="26"/>
        <v/>
      </c>
      <c r="D867" s="23" t="str">
        <f>IF(Registro!$E867="","",IF(ISERROR(FIND("x",LOWER(Registro!$E867))),"-",IFERROR(SUMPRODUCT(--("0"&amp;LEFT(TRIM(MID(SUBSTITUTE(SUBSTITUTE(SUBSTITUTE(SUBSTITUTE(SUBSTITUTE(LOWER(Registro!$E867),"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",LEN(Registro!$E867))),({1,2,3,4,5,6,7,8,9,10,11,12,13,14,15,16,17,18,19,20,21,22,23,24,25,26,27,28,29,30}-1)*LEN(Registro!$E867)+1,LEN(Registro!$E867))),FIND("x",TRIM(MID(SUBSTITUTE(SUBSTITUTE(SUBSTITUTE(SUBSTITUTE(SUBSTITUTE(LOWER(Registro!$E867),"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",LEN(Registro!$E867))),({1,2,3,4,5,6,7,8,9,10,11,12,13,14,15,16,17,18,19,20,21,22,23,24,25,26,27,28,29,30}-1)*LEN(Registro!$E867)+1,LEN(Registro!$E867)))&amp;"x")-1))),"Revisar formato")))</f>
        <v/>
      </c>
      <c r="E867" s="24" t="str">
        <f>IF(Registro!$E867="","",IF(ISERROR(FIND("x",LOWER(Registro!$E867))),"-",IFERROR(SUMPRODUCT(--("0"&amp;LEFT(TRIM(MID(SUBSTITUTE(SUBSTITUTE(SUBSTITUTE(SUBSTITUTE(SUBSTITUTE(LOWER(Registro!$E867),"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",LEN(Registro!$E867))),({1,2,3,4,5,6,7,8,9,10,11,12,13,14,15,16,17,18,19,20,21,22,23,24,25,26,27,28,29,30}-1)*LEN(Registro!$E867)+1,LEN(Registro!$E867))),FIND("x",TRIM(MID(SUBSTITUTE(SUBSTITUTE(SUBSTITUTE(SUBSTITUTE(SUBSTITUTE(LOWER(Registro!$E867),"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",LEN(Registro!$E867))),({1,2,3,4,5,6,7,8,9,10,11,12,13,14,15,16,17,18,19,20,21,22,23,24,25,26,27,28,29,30}-1)*LEN(Registro!$E867)+1,LEN(Registro!$E867)))&amp;"x")-1)),--("0"&amp;MID(TRIM(MID(SUBSTITUTE(SUBSTITUTE(SUBSTITUTE(SUBSTITUTE(SUBSTITUTE(LOWER(Registro!$E867),"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",LEN(Registro!$E867))),({1,2,3,4,5,6,7,8,9,10,11,12,13,14,15,16,17,18,19,20,21,22,23,24,25,26,27,28,29,30}-1)*LEN(Registro!$E867)+1,LEN(Registro!$E867))),FIND("x",TRIM(MID(SUBSTITUTE(SUBSTITUTE(SUBSTITUTE(SUBSTITUTE(SUBSTITUTE(LOWER(Registro!$E867),"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",LEN(Registro!$E867))),({1,2,3,4,5,6,7,8,9,10,11,12,13,14,15,16,17,18,19,20,21,22,23,24,25,26,27,28,29,30}-1)*LEN(Registro!$E867)+1,LEN(Registro!$E867)))&amp;"x")+1,20))),"Revisar formato")))</f>
        <v/>
      </c>
      <c r="F867" s="23" t="str">
        <f>IF(Registro!$F867="","",IF(ISERROR(FIND("x",LOWER(Registro!$F867))),"-",IFERROR(SUMPRODUCT(--("0"&amp;LEFT(TRIM(MID(SUBSTITUTE(SUBSTITUTE(SUBSTITUTE(SUBSTITUTE(SUBSTITUTE(LOWER(Registro!$F867)," ",""),CHAR(10),"|"),";","|"),"+","|"),"|",REPT(" ",LEN(Registro!$F867))),({1,2,3,4,5,6,7,8,9,10,11,12,13,14,15,16,17,18,19,20,21,22,23,24,25,26,27,28,29,30}-1)*LEN(Registro!$F867)+1,LEN(Registro!$F867))),FIND("x",TRIM(MID(SUBSTITUTE(SUBSTITUTE(SUBSTITUTE(SUBSTITUTE(SUBSTITUTE(LOWER(Registro!$F867)," ",""),CHAR(10),"|"),";","|"),"+","|"),"|",REPT(" ",LEN(Registro!$F867))),({1,2,3,4,5,6,7,8,9,10,11,12,13,14,15,16,17,18,19,20,21,22,23,24,25,26,27,28,29,30}-1)*LEN(Registro!$F867)+1,LEN(Registro!$F867)))&amp;"x")-1))),"Revisar formato")))</f>
        <v/>
      </c>
      <c r="G867" s="24" t="str">
        <f>IF(Registro!$F867="","",IF(ISERROR(FIND("x",LOWER(Registro!$F867))),N(Registro!$G867),IFERROR(SUMPRODUCT(--("0"&amp;LEFT(TRIM(MID(SUBSTITUTE(SUBSTITUTE(SUBSTITUTE(SUBSTITUTE(SUBSTITUTE(LOWER(Registro!$F867)," ",""),CHAR(10),"|"),";","|"),"+","|"),"|",REPT(" ",LEN(Registro!$F867))),({1,2,3,4,5,6,7,8,9,10,11,12,13,14,15,16,17,18,19,20,21,22,23,24,25,26,27,28,29,30}-1)*LEN(Registro!$F867)+1,LEN(Registro!$F867))),FIND("x",TRIM(MID(SUBSTITUTE(SUBSTITUTE(SUBSTITUTE(SUBSTITUTE(SUBSTITUTE(LOWER(Registro!$F867)," ",""),CHAR(10),"|"),";","|"),"+","|"),"|",REPT(" ",LEN(Registro!$F867))),({1,2,3,4,5,6,7,8,9,10,11,12,13,14,15,16,17,18,19,20,21,22,23,24,25,26,27,28,29,30}-1)*LEN(Registro!$F867)+1,LEN(Registro!$F867)))&amp;"x")-1)),--("0"&amp;MID(TRIM(MID(SUBSTITUTE(SUBSTITUTE(SUBSTITUTE(SUBSTITUTE(SUBSTITUTE(LOWER(Registro!$F867)," ",""),CHAR(10),"|"),";","|"),"+","|"),"|",REPT(" ",LEN(Registro!$F867))),({1,2,3,4,5,6,7,8,9,10,11,12,13,14,15,16,17,18,19,20,21,22,23,24,25,26,27,28,29,30}-1)*LEN(Registro!$F867)+1,LEN(Registro!$F867))),FIND("x",TRIM(MID(SUBSTITUTE(SUBSTITUTE(SUBSTITUTE(SUBSTITUTE(SUBSTITUTE(LOWER(Registro!$F867)," ",""),CHAR(10),"|"),";","|"),"+","|"),"|",REPT(" ",LEN(Registro!$F867))),({1,2,3,4,5,6,7,8,9,10,11,12,13,14,15,16,17,18,19,20,21,22,23,24,25,26,27,28,29,30}-1)*LEN(Registro!$F867)+1,LEN(Registro!$F867)))&amp;"x")+1,20))),"Revisar formato")))</f>
        <v/>
      </c>
      <c r="H867" s="21" t="str">
        <f>IF(AND(Registro!$E867="",Registro!$F867=""),"",IF(NOT(AND(ISNUMBER(G867),ISNUMBER(Registro!$G867))),"",IF(G867&lt;Registro!$G867,"FALTA BOLETOS",IF(G867=Registro!$G867,"CONFORME","DIFERENCIA"))))</f>
        <v/>
      </c>
      <c r="I867" s="24" t="str">
        <f>IF(Registro!$H867="","",IFERROR(SUMPRODUCT(--("0"&amp;TRIM(RIGHT(SUBSTITUTE(TRIM(MID(SUBSTITUTE(SUBSTITUTE(Registro!$H867,";",CHAR(10)),CHAR(10),REPT(" ",LEN(Registro!$H867))),({1,2,3,4,5,6,7,8,9,10,11,12,13,14,15,16,17,18,19,20,21,22,23,24,25,26,27,28,29,30}-1)*LEN(Registro!$H867)+1,LEN(Registro!$H867)))," ",REPT(" ",50)),50)))),"Revisar formato"))</f>
        <v/>
      </c>
      <c r="J867" s="24" t="str">
        <f>IF(Registro!$I867="","",IFERROR(SUMPRODUCT(--("0"&amp;TRIM(RIGHT(SUBSTITUTE(TRIM(MID(SUBSTITUTE(SUBSTITUTE(Registro!$I867,";",CHAR(10)),CHAR(10),REPT(" ",LEN(Registro!$I867))),({1,2,3,4,5,6,7,8,9,10,11,12,13,14,15,16,17,18,19,20,21,22,23,24,25,26,27,28,29,30}-1)*LEN(Registro!$I867)+1,LEN(Registro!$I867)))," ",REPT(" ",50)),50)))),"Revisar formato"))</f>
        <v/>
      </c>
      <c r="K867" s="24" t="str">
        <f>IF(AND(Registro!$G867="",Registro!$H867=""),"",IF(AND(ISTEXT(I867),I867&lt;&gt;""),"Revisar formato",N(Registro!$G867)-N(I867)))</f>
        <v/>
      </c>
      <c r="L867" s="24" t="str">
        <f t="shared" si="27"/>
        <v/>
      </c>
      <c r="M867" s="36" t="str">
        <f>IF(AND(A867=Consulta!$B$3,C867=Consulta!$H$3),B867*10000+ROW(),"")</f>
        <v/>
      </c>
    </row>
    <row r="868" spans="1:13" x14ac:dyDescent="0.25">
      <c r="A868" s="21" t="str">
        <f>IF(Registro!$A868="","",Registro!$A868)</f>
        <v/>
      </c>
      <c r="B868" s="20" t="str">
        <f>IF(Registro!$B868="","",Registro!$B868)</f>
        <v/>
      </c>
      <c r="C868" s="35" t="str">
        <f t="shared" si="26"/>
        <v/>
      </c>
      <c r="D868" s="23" t="str">
        <f>IF(Registro!$E868="","",IF(ISERROR(FIND("x",LOWER(Registro!$E868))),"-",IFERROR(SUMPRODUCT(--("0"&amp;LEFT(TRIM(MID(SUBSTITUTE(SUBSTITUTE(SUBSTITUTE(SUBSTITUTE(SUBSTITUTE(LOWER(Registro!$E868),"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",LEN(Registro!$E868))),({1,2,3,4,5,6,7,8,9,10,11,12,13,14,15,16,17,18,19,20,21,22,23,24,25,26,27,28,29,30}-1)*LEN(Registro!$E868)+1,LEN(Registro!$E868))),FIND("x",TRIM(MID(SUBSTITUTE(SUBSTITUTE(SUBSTITUTE(SUBSTITUTE(SUBSTITUTE(LOWER(Registro!$E868),"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",LEN(Registro!$E868))),({1,2,3,4,5,6,7,8,9,10,11,12,13,14,15,16,17,18,19,20,21,22,23,24,25,26,27,28,29,30}-1)*LEN(Registro!$E868)+1,LEN(Registro!$E868)))&amp;"x")-1))),"Revisar formato")))</f>
        <v/>
      </c>
      <c r="E868" s="24" t="str">
        <f>IF(Registro!$E868="","",IF(ISERROR(FIND("x",LOWER(Registro!$E868))),"-",IFERROR(SUMPRODUCT(--("0"&amp;LEFT(TRIM(MID(SUBSTITUTE(SUBSTITUTE(SUBSTITUTE(SUBSTITUTE(SUBSTITUTE(LOWER(Registro!$E868),"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",LEN(Registro!$E868))),({1,2,3,4,5,6,7,8,9,10,11,12,13,14,15,16,17,18,19,20,21,22,23,24,25,26,27,28,29,30}-1)*LEN(Registro!$E868)+1,LEN(Registro!$E868))),FIND("x",TRIM(MID(SUBSTITUTE(SUBSTITUTE(SUBSTITUTE(SUBSTITUTE(SUBSTITUTE(LOWER(Registro!$E868),"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",LEN(Registro!$E868))),({1,2,3,4,5,6,7,8,9,10,11,12,13,14,15,16,17,18,19,20,21,22,23,24,25,26,27,28,29,30}-1)*LEN(Registro!$E868)+1,LEN(Registro!$E868)))&amp;"x")-1)),--("0"&amp;MID(TRIM(MID(SUBSTITUTE(SUBSTITUTE(SUBSTITUTE(SUBSTITUTE(SUBSTITUTE(LOWER(Registro!$E868),"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",LEN(Registro!$E868))),({1,2,3,4,5,6,7,8,9,10,11,12,13,14,15,16,17,18,19,20,21,22,23,24,25,26,27,28,29,30}-1)*LEN(Registro!$E868)+1,LEN(Registro!$E868))),FIND("x",TRIM(MID(SUBSTITUTE(SUBSTITUTE(SUBSTITUTE(SUBSTITUTE(SUBSTITUTE(LOWER(Registro!$E868),"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",LEN(Registro!$E868))),({1,2,3,4,5,6,7,8,9,10,11,12,13,14,15,16,17,18,19,20,21,22,23,24,25,26,27,28,29,30}-1)*LEN(Registro!$E868)+1,LEN(Registro!$E868)))&amp;"x")+1,20))),"Revisar formato")))</f>
        <v/>
      </c>
      <c r="F868" s="23" t="str">
        <f>IF(Registro!$F868="","",IF(ISERROR(FIND("x",LOWER(Registro!$F868))),"-",IFERROR(SUMPRODUCT(--("0"&amp;LEFT(TRIM(MID(SUBSTITUTE(SUBSTITUTE(SUBSTITUTE(SUBSTITUTE(SUBSTITUTE(LOWER(Registro!$F868)," ",""),CHAR(10),"|"),";","|"),"+","|"),"|",REPT(" ",LEN(Registro!$F868))),({1,2,3,4,5,6,7,8,9,10,11,12,13,14,15,16,17,18,19,20,21,22,23,24,25,26,27,28,29,30}-1)*LEN(Registro!$F868)+1,LEN(Registro!$F868))),FIND("x",TRIM(MID(SUBSTITUTE(SUBSTITUTE(SUBSTITUTE(SUBSTITUTE(SUBSTITUTE(LOWER(Registro!$F868)," ",""),CHAR(10),"|"),";","|"),"+","|"),"|",REPT(" ",LEN(Registro!$F868))),({1,2,3,4,5,6,7,8,9,10,11,12,13,14,15,16,17,18,19,20,21,22,23,24,25,26,27,28,29,30}-1)*LEN(Registro!$F868)+1,LEN(Registro!$F868)))&amp;"x")-1))),"Revisar formato")))</f>
        <v/>
      </c>
      <c r="G868" s="24" t="str">
        <f>IF(Registro!$F868="","",IF(ISERROR(FIND("x",LOWER(Registro!$F868))),N(Registro!$G868),IFERROR(SUMPRODUCT(--("0"&amp;LEFT(TRIM(MID(SUBSTITUTE(SUBSTITUTE(SUBSTITUTE(SUBSTITUTE(SUBSTITUTE(LOWER(Registro!$F868)," ",""),CHAR(10),"|"),";","|"),"+","|"),"|",REPT(" ",LEN(Registro!$F868))),({1,2,3,4,5,6,7,8,9,10,11,12,13,14,15,16,17,18,19,20,21,22,23,24,25,26,27,28,29,30}-1)*LEN(Registro!$F868)+1,LEN(Registro!$F868))),FIND("x",TRIM(MID(SUBSTITUTE(SUBSTITUTE(SUBSTITUTE(SUBSTITUTE(SUBSTITUTE(LOWER(Registro!$F868)," ",""),CHAR(10),"|"),";","|"),"+","|"),"|",REPT(" ",LEN(Registro!$F868))),({1,2,3,4,5,6,7,8,9,10,11,12,13,14,15,16,17,18,19,20,21,22,23,24,25,26,27,28,29,30}-1)*LEN(Registro!$F868)+1,LEN(Registro!$F868)))&amp;"x")-1)),--("0"&amp;MID(TRIM(MID(SUBSTITUTE(SUBSTITUTE(SUBSTITUTE(SUBSTITUTE(SUBSTITUTE(LOWER(Registro!$F868)," ",""),CHAR(10),"|"),";","|"),"+","|"),"|",REPT(" ",LEN(Registro!$F868))),({1,2,3,4,5,6,7,8,9,10,11,12,13,14,15,16,17,18,19,20,21,22,23,24,25,26,27,28,29,30}-1)*LEN(Registro!$F868)+1,LEN(Registro!$F868))),FIND("x",TRIM(MID(SUBSTITUTE(SUBSTITUTE(SUBSTITUTE(SUBSTITUTE(SUBSTITUTE(LOWER(Registro!$F868)," ",""),CHAR(10),"|"),";","|"),"+","|"),"|",REPT(" ",LEN(Registro!$F868))),({1,2,3,4,5,6,7,8,9,10,11,12,13,14,15,16,17,18,19,20,21,22,23,24,25,26,27,28,29,30}-1)*LEN(Registro!$F868)+1,LEN(Registro!$F868)))&amp;"x")+1,20))),"Revisar formato")))</f>
        <v/>
      </c>
      <c r="H868" s="21" t="str">
        <f>IF(AND(Registro!$E868="",Registro!$F868=""),"",IF(NOT(AND(ISNUMBER(G868),ISNUMBER(Registro!$G868))),"",IF(G868&lt;Registro!$G868,"FALTA BOLETOS",IF(G868=Registro!$G868,"CONFORME","DIFERENCIA"))))</f>
        <v/>
      </c>
      <c r="I868" s="24" t="str">
        <f>IF(Registro!$H868="","",IFERROR(SUMPRODUCT(--("0"&amp;TRIM(RIGHT(SUBSTITUTE(TRIM(MID(SUBSTITUTE(SUBSTITUTE(Registro!$H868,";",CHAR(10)),CHAR(10),REPT(" ",LEN(Registro!$H868))),({1,2,3,4,5,6,7,8,9,10,11,12,13,14,15,16,17,18,19,20,21,22,23,24,25,26,27,28,29,30}-1)*LEN(Registro!$H868)+1,LEN(Registro!$H868)))," ",REPT(" ",50)),50)))),"Revisar formato"))</f>
        <v/>
      </c>
      <c r="J868" s="24" t="str">
        <f>IF(Registro!$I868="","",IFERROR(SUMPRODUCT(--("0"&amp;TRIM(RIGHT(SUBSTITUTE(TRIM(MID(SUBSTITUTE(SUBSTITUTE(Registro!$I868,";",CHAR(10)),CHAR(10),REPT(" ",LEN(Registro!$I868))),({1,2,3,4,5,6,7,8,9,10,11,12,13,14,15,16,17,18,19,20,21,22,23,24,25,26,27,28,29,30}-1)*LEN(Registro!$I868)+1,LEN(Registro!$I868)))," ",REPT(" ",50)),50)))),"Revisar formato"))</f>
        <v/>
      </c>
      <c r="K868" s="24" t="str">
        <f>IF(AND(Registro!$G868="",Registro!$H868=""),"",IF(AND(ISTEXT(I868),I868&lt;&gt;""),"Revisar formato",N(Registro!$G868)-N(I868)))</f>
        <v/>
      </c>
      <c r="L868" s="24" t="str">
        <f t="shared" si="27"/>
        <v/>
      </c>
      <c r="M868" s="36" t="str">
        <f>IF(AND(A868=Consulta!$B$3,C868=Consulta!$H$3),B868*10000+ROW(),"")</f>
        <v/>
      </c>
    </row>
    <row r="869" spans="1:13" x14ac:dyDescent="0.25">
      <c r="A869" s="21" t="str">
        <f>IF(Registro!$A869="","",Registro!$A869)</f>
        <v/>
      </c>
      <c r="B869" s="20" t="str">
        <f>IF(Registro!$B869="","",Registro!$B869)</f>
        <v/>
      </c>
      <c r="C869" s="35" t="str">
        <f t="shared" si="26"/>
        <v/>
      </c>
      <c r="D869" s="23" t="str">
        <f>IF(Registro!$E869="","",IF(ISERROR(FIND("x",LOWER(Registro!$E869))),"-",IFERROR(SUMPRODUCT(--("0"&amp;LEFT(TRIM(MID(SUBSTITUTE(SUBSTITUTE(SUBSTITUTE(SUBSTITUTE(SUBSTITUTE(LOWER(Registro!$E869),"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",LEN(Registro!$E869))),({1,2,3,4,5,6,7,8,9,10,11,12,13,14,15,16,17,18,19,20,21,22,23,24,25,26,27,28,29,30}-1)*LEN(Registro!$E869)+1,LEN(Registro!$E869))),FIND("x",TRIM(MID(SUBSTITUTE(SUBSTITUTE(SUBSTITUTE(SUBSTITUTE(SUBSTITUTE(LOWER(Registro!$E869),"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",LEN(Registro!$E869))),({1,2,3,4,5,6,7,8,9,10,11,12,13,14,15,16,17,18,19,20,21,22,23,24,25,26,27,28,29,30}-1)*LEN(Registro!$E869)+1,LEN(Registro!$E869)))&amp;"x")-1))),"Revisar formato")))</f>
        <v/>
      </c>
      <c r="E869" s="24" t="str">
        <f>IF(Registro!$E869="","",IF(ISERROR(FIND("x",LOWER(Registro!$E869))),"-",IFERROR(SUMPRODUCT(--("0"&amp;LEFT(TRIM(MID(SUBSTITUTE(SUBSTITUTE(SUBSTITUTE(SUBSTITUTE(SUBSTITUTE(LOWER(Registro!$E869),"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",LEN(Registro!$E869))),({1,2,3,4,5,6,7,8,9,10,11,12,13,14,15,16,17,18,19,20,21,22,23,24,25,26,27,28,29,30}-1)*LEN(Registro!$E869)+1,LEN(Registro!$E869))),FIND("x",TRIM(MID(SUBSTITUTE(SUBSTITUTE(SUBSTITUTE(SUBSTITUTE(SUBSTITUTE(LOWER(Registro!$E869),"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",LEN(Registro!$E869))),({1,2,3,4,5,6,7,8,9,10,11,12,13,14,15,16,17,18,19,20,21,22,23,24,25,26,27,28,29,30}-1)*LEN(Registro!$E869)+1,LEN(Registro!$E869)))&amp;"x")-1)),--("0"&amp;MID(TRIM(MID(SUBSTITUTE(SUBSTITUTE(SUBSTITUTE(SUBSTITUTE(SUBSTITUTE(LOWER(Registro!$E869),"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",LEN(Registro!$E869))),({1,2,3,4,5,6,7,8,9,10,11,12,13,14,15,16,17,18,19,20,21,22,23,24,25,26,27,28,29,30}-1)*LEN(Registro!$E869)+1,LEN(Registro!$E869))),FIND("x",TRIM(MID(SUBSTITUTE(SUBSTITUTE(SUBSTITUTE(SUBSTITUTE(SUBSTITUTE(LOWER(Registro!$E869),"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",LEN(Registro!$E869))),({1,2,3,4,5,6,7,8,9,10,11,12,13,14,15,16,17,18,19,20,21,22,23,24,25,26,27,28,29,30}-1)*LEN(Registro!$E869)+1,LEN(Registro!$E869)))&amp;"x")+1,20))),"Revisar formato")))</f>
        <v/>
      </c>
      <c r="F869" s="23" t="str">
        <f>IF(Registro!$F869="","",IF(ISERROR(FIND("x",LOWER(Registro!$F869))),"-",IFERROR(SUMPRODUCT(--("0"&amp;LEFT(TRIM(MID(SUBSTITUTE(SUBSTITUTE(SUBSTITUTE(SUBSTITUTE(SUBSTITUTE(LOWER(Registro!$F869)," ",""),CHAR(10),"|"),";","|"),"+","|"),"|",REPT(" ",LEN(Registro!$F869))),({1,2,3,4,5,6,7,8,9,10,11,12,13,14,15,16,17,18,19,20,21,22,23,24,25,26,27,28,29,30}-1)*LEN(Registro!$F869)+1,LEN(Registro!$F869))),FIND("x",TRIM(MID(SUBSTITUTE(SUBSTITUTE(SUBSTITUTE(SUBSTITUTE(SUBSTITUTE(LOWER(Registro!$F869)," ",""),CHAR(10),"|"),";","|"),"+","|"),"|",REPT(" ",LEN(Registro!$F869))),({1,2,3,4,5,6,7,8,9,10,11,12,13,14,15,16,17,18,19,20,21,22,23,24,25,26,27,28,29,30}-1)*LEN(Registro!$F869)+1,LEN(Registro!$F869)))&amp;"x")-1))),"Revisar formato")))</f>
        <v/>
      </c>
      <c r="G869" s="24" t="str">
        <f>IF(Registro!$F869="","",IF(ISERROR(FIND("x",LOWER(Registro!$F869))),N(Registro!$G869),IFERROR(SUMPRODUCT(--("0"&amp;LEFT(TRIM(MID(SUBSTITUTE(SUBSTITUTE(SUBSTITUTE(SUBSTITUTE(SUBSTITUTE(LOWER(Registro!$F869)," ",""),CHAR(10),"|"),";","|"),"+","|"),"|",REPT(" ",LEN(Registro!$F869))),({1,2,3,4,5,6,7,8,9,10,11,12,13,14,15,16,17,18,19,20,21,22,23,24,25,26,27,28,29,30}-1)*LEN(Registro!$F869)+1,LEN(Registro!$F869))),FIND("x",TRIM(MID(SUBSTITUTE(SUBSTITUTE(SUBSTITUTE(SUBSTITUTE(SUBSTITUTE(LOWER(Registro!$F869)," ",""),CHAR(10),"|"),";","|"),"+","|"),"|",REPT(" ",LEN(Registro!$F869))),({1,2,3,4,5,6,7,8,9,10,11,12,13,14,15,16,17,18,19,20,21,22,23,24,25,26,27,28,29,30}-1)*LEN(Registro!$F869)+1,LEN(Registro!$F869)))&amp;"x")-1)),--("0"&amp;MID(TRIM(MID(SUBSTITUTE(SUBSTITUTE(SUBSTITUTE(SUBSTITUTE(SUBSTITUTE(LOWER(Registro!$F869)," ",""),CHAR(10),"|"),";","|"),"+","|"),"|",REPT(" ",LEN(Registro!$F869))),({1,2,3,4,5,6,7,8,9,10,11,12,13,14,15,16,17,18,19,20,21,22,23,24,25,26,27,28,29,30}-1)*LEN(Registro!$F869)+1,LEN(Registro!$F869))),FIND("x",TRIM(MID(SUBSTITUTE(SUBSTITUTE(SUBSTITUTE(SUBSTITUTE(SUBSTITUTE(LOWER(Registro!$F869)," ",""),CHAR(10),"|"),";","|"),"+","|"),"|",REPT(" ",LEN(Registro!$F869))),({1,2,3,4,5,6,7,8,9,10,11,12,13,14,15,16,17,18,19,20,21,22,23,24,25,26,27,28,29,30}-1)*LEN(Registro!$F869)+1,LEN(Registro!$F869)))&amp;"x")+1,20))),"Revisar formato")))</f>
        <v/>
      </c>
      <c r="H869" s="21" t="str">
        <f>IF(AND(Registro!$E869="",Registro!$F869=""),"",IF(NOT(AND(ISNUMBER(G869),ISNUMBER(Registro!$G869))),"",IF(G869&lt;Registro!$G869,"FALTA BOLETOS",IF(G869=Registro!$G869,"CONFORME","DIFERENCIA"))))</f>
        <v/>
      </c>
      <c r="I869" s="24" t="str">
        <f>IF(Registro!$H869="","",IFERROR(SUMPRODUCT(--("0"&amp;TRIM(RIGHT(SUBSTITUTE(TRIM(MID(SUBSTITUTE(SUBSTITUTE(Registro!$H869,";",CHAR(10)),CHAR(10),REPT(" ",LEN(Registro!$H869))),({1,2,3,4,5,6,7,8,9,10,11,12,13,14,15,16,17,18,19,20,21,22,23,24,25,26,27,28,29,30}-1)*LEN(Registro!$H869)+1,LEN(Registro!$H869)))," ",REPT(" ",50)),50)))),"Revisar formato"))</f>
        <v/>
      </c>
      <c r="J869" s="24" t="str">
        <f>IF(Registro!$I869="","",IFERROR(SUMPRODUCT(--("0"&amp;TRIM(RIGHT(SUBSTITUTE(TRIM(MID(SUBSTITUTE(SUBSTITUTE(Registro!$I869,";",CHAR(10)),CHAR(10),REPT(" ",LEN(Registro!$I869))),({1,2,3,4,5,6,7,8,9,10,11,12,13,14,15,16,17,18,19,20,21,22,23,24,25,26,27,28,29,30}-1)*LEN(Registro!$I869)+1,LEN(Registro!$I869)))," ",REPT(" ",50)),50)))),"Revisar formato"))</f>
        <v/>
      </c>
      <c r="K869" s="24" t="str">
        <f>IF(AND(Registro!$G869="",Registro!$H869=""),"",IF(AND(ISTEXT(I869),I869&lt;&gt;""),"Revisar formato",N(Registro!$G869)-N(I869)))</f>
        <v/>
      </c>
      <c r="L869" s="24" t="str">
        <f t="shared" si="27"/>
        <v/>
      </c>
      <c r="M869" s="36" t="str">
        <f>IF(AND(A869=Consulta!$B$3,C869=Consulta!$H$3),B869*10000+ROW(),"")</f>
        <v/>
      </c>
    </row>
    <row r="870" spans="1:13" x14ac:dyDescent="0.25">
      <c r="A870" s="21" t="str">
        <f>IF(Registro!$A870="","",Registro!$A870)</f>
        <v/>
      </c>
      <c r="B870" s="20" t="str">
        <f>IF(Registro!$B870="","",Registro!$B870)</f>
        <v/>
      </c>
      <c r="C870" s="35" t="str">
        <f t="shared" si="26"/>
        <v/>
      </c>
      <c r="D870" s="23" t="str">
        <f>IF(Registro!$E870="","",IF(ISERROR(FIND("x",LOWER(Registro!$E870))),"-",IFERROR(SUMPRODUCT(--("0"&amp;LEFT(TRIM(MID(SUBSTITUTE(SUBSTITUTE(SUBSTITUTE(SUBSTITUTE(SUBSTITUTE(LOWER(Registro!$E870),"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",LEN(Registro!$E870))),({1,2,3,4,5,6,7,8,9,10,11,12,13,14,15,16,17,18,19,20,21,22,23,24,25,26,27,28,29,30}-1)*LEN(Registro!$E870)+1,LEN(Registro!$E870))),FIND("x",TRIM(MID(SUBSTITUTE(SUBSTITUTE(SUBSTITUTE(SUBSTITUTE(SUBSTITUTE(LOWER(Registro!$E870),"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",LEN(Registro!$E870))),({1,2,3,4,5,6,7,8,9,10,11,12,13,14,15,16,17,18,19,20,21,22,23,24,25,26,27,28,29,30}-1)*LEN(Registro!$E870)+1,LEN(Registro!$E870)))&amp;"x")-1))),"Revisar formato")))</f>
        <v/>
      </c>
      <c r="E870" s="24" t="str">
        <f>IF(Registro!$E870="","",IF(ISERROR(FIND("x",LOWER(Registro!$E870))),"-",IFERROR(SUMPRODUCT(--("0"&amp;LEFT(TRIM(MID(SUBSTITUTE(SUBSTITUTE(SUBSTITUTE(SUBSTITUTE(SUBSTITUTE(LOWER(Registro!$E870),"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",LEN(Registro!$E870))),({1,2,3,4,5,6,7,8,9,10,11,12,13,14,15,16,17,18,19,20,21,22,23,24,25,26,27,28,29,30}-1)*LEN(Registro!$E870)+1,LEN(Registro!$E870))),FIND("x",TRIM(MID(SUBSTITUTE(SUBSTITUTE(SUBSTITUTE(SUBSTITUTE(SUBSTITUTE(LOWER(Registro!$E870),"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",LEN(Registro!$E870))),({1,2,3,4,5,6,7,8,9,10,11,12,13,14,15,16,17,18,19,20,21,22,23,24,25,26,27,28,29,30}-1)*LEN(Registro!$E870)+1,LEN(Registro!$E870)))&amp;"x")-1)),--("0"&amp;MID(TRIM(MID(SUBSTITUTE(SUBSTITUTE(SUBSTITUTE(SUBSTITUTE(SUBSTITUTE(LOWER(Registro!$E870),"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",LEN(Registro!$E870))),({1,2,3,4,5,6,7,8,9,10,11,12,13,14,15,16,17,18,19,20,21,22,23,24,25,26,27,28,29,30}-1)*LEN(Registro!$E870)+1,LEN(Registro!$E870))),FIND("x",TRIM(MID(SUBSTITUTE(SUBSTITUTE(SUBSTITUTE(SUBSTITUTE(SUBSTITUTE(LOWER(Registro!$E870),"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",LEN(Registro!$E870))),({1,2,3,4,5,6,7,8,9,10,11,12,13,14,15,16,17,18,19,20,21,22,23,24,25,26,27,28,29,30}-1)*LEN(Registro!$E870)+1,LEN(Registro!$E870)))&amp;"x")+1,20))),"Revisar formato")))</f>
        <v/>
      </c>
      <c r="F870" s="23" t="str">
        <f>IF(Registro!$F870="","",IF(ISERROR(FIND("x",LOWER(Registro!$F870))),"-",IFERROR(SUMPRODUCT(--("0"&amp;LEFT(TRIM(MID(SUBSTITUTE(SUBSTITUTE(SUBSTITUTE(SUBSTITUTE(SUBSTITUTE(LOWER(Registro!$F870)," ",""),CHAR(10),"|"),";","|"),"+","|"),"|",REPT(" ",LEN(Registro!$F870))),({1,2,3,4,5,6,7,8,9,10,11,12,13,14,15,16,17,18,19,20,21,22,23,24,25,26,27,28,29,30}-1)*LEN(Registro!$F870)+1,LEN(Registro!$F870))),FIND("x",TRIM(MID(SUBSTITUTE(SUBSTITUTE(SUBSTITUTE(SUBSTITUTE(SUBSTITUTE(LOWER(Registro!$F870)," ",""),CHAR(10),"|"),";","|"),"+","|"),"|",REPT(" ",LEN(Registro!$F870))),({1,2,3,4,5,6,7,8,9,10,11,12,13,14,15,16,17,18,19,20,21,22,23,24,25,26,27,28,29,30}-1)*LEN(Registro!$F870)+1,LEN(Registro!$F870)))&amp;"x")-1))),"Revisar formato")))</f>
        <v/>
      </c>
      <c r="G870" s="24" t="str">
        <f>IF(Registro!$F870="","",IF(ISERROR(FIND("x",LOWER(Registro!$F870))),N(Registro!$G870),IFERROR(SUMPRODUCT(--("0"&amp;LEFT(TRIM(MID(SUBSTITUTE(SUBSTITUTE(SUBSTITUTE(SUBSTITUTE(SUBSTITUTE(LOWER(Registro!$F870)," ",""),CHAR(10),"|"),";","|"),"+","|"),"|",REPT(" ",LEN(Registro!$F870))),({1,2,3,4,5,6,7,8,9,10,11,12,13,14,15,16,17,18,19,20,21,22,23,24,25,26,27,28,29,30}-1)*LEN(Registro!$F870)+1,LEN(Registro!$F870))),FIND("x",TRIM(MID(SUBSTITUTE(SUBSTITUTE(SUBSTITUTE(SUBSTITUTE(SUBSTITUTE(LOWER(Registro!$F870)," ",""),CHAR(10),"|"),";","|"),"+","|"),"|",REPT(" ",LEN(Registro!$F870))),({1,2,3,4,5,6,7,8,9,10,11,12,13,14,15,16,17,18,19,20,21,22,23,24,25,26,27,28,29,30}-1)*LEN(Registro!$F870)+1,LEN(Registro!$F870)))&amp;"x")-1)),--("0"&amp;MID(TRIM(MID(SUBSTITUTE(SUBSTITUTE(SUBSTITUTE(SUBSTITUTE(SUBSTITUTE(LOWER(Registro!$F870)," ",""),CHAR(10),"|"),";","|"),"+","|"),"|",REPT(" ",LEN(Registro!$F870))),({1,2,3,4,5,6,7,8,9,10,11,12,13,14,15,16,17,18,19,20,21,22,23,24,25,26,27,28,29,30}-1)*LEN(Registro!$F870)+1,LEN(Registro!$F870))),FIND("x",TRIM(MID(SUBSTITUTE(SUBSTITUTE(SUBSTITUTE(SUBSTITUTE(SUBSTITUTE(LOWER(Registro!$F870)," ",""),CHAR(10),"|"),";","|"),"+","|"),"|",REPT(" ",LEN(Registro!$F870))),({1,2,3,4,5,6,7,8,9,10,11,12,13,14,15,16,17,18,19,20,21,22,23,24,25,26,27,28,29,30}-1)*LEN(Registro!$F870)+1,LEN(Registro!$F870)))&amp;"x")+1,20))),"Revisar formato")))</f>
        <v/>
      </c>
      <c r="H870" s="21" t="str">
        <f>IF(AND(Registro!$E870="",Registro!$F870=""),"",IF(NOT(AND(ISNUMBER(G870),ISNUMBER(Registro!$G870))),"",IF(G870&lt;Registro!$G870,"FALTA BOLETOS",IF(G870=Registro!$G870,"CONFORME","DIFERENCIA"))))</f>
        <v/>
      </c>
      <c r="I870" s="24" t="str">
        <f>IF(Registro!$H870="","",IFERROR(SUMPRODUCT(--("0"&amp;TRIM(RIGHT(SUBSTITUTE(TRIM(MID(SUBSTITUTE(SUBSTITUTE(Registro!$H870,";",CHAR(10)),CHAR(10),REPT(" ",LEN(Registro!$H870))),({1,2,3,4,5,6,7,8,9,10,11,12,13,14,15,16,17,18,19,20,21,22,23,24,25,26,27,28,29,30}-1)*LEN(Registro!$H870)+1,LEN(Registro!$H870)))," ",REPT(" ",50)),50)))),"Revisar formato"))</f>
        <v/>
      </c>
      <c r="J870" s="24" t="str">
        <f>IF(Registro!$I870="","",IFERROR(SUMPRODUCT(--("0"&amp;TRIM(RIGHT(SUBSTITUTE(TRIM(MID(SUBSTITUTE(SUBSTITUTE(Registro!$I870,";",CHAR(10)),CHAR(10),REPT(" ",LEN(Registro!$I870))),({1,2,3,4,5,6,7,8,9,10,11,12,13,14,15,16,17,18,19,20,21,22,23,24,25,26,27,28,29,30}-1)*LEN(Registro!$I870)+1,LEN(Registro!$I870)))," ",REPT(" ",50)),50)))),"Revisar formato"))</f>
        <v/>
      </c>
      <c r="K870" s="24" t="str">
        <f>IF(AND(Registro!$G870="",Registro!$H870=""),"",IF(AND(ISTEXT(I870),I870&lt;&gt;""),"Revisar formato",N(Registro!$G870)-N(I870)))</f>
        <v/>
      </c>
      <c r="L870" s="24" t="str">
        <f t="shared" si="27"/>
        <v/>
      </c>
      <c r="M870" s="36" t="str">
        <f>IF(AND(A870=Consulta!$B$3,C870=Consulta!$H$3),B870*10000+ROW(),"")</f>
        <v/>
      </c>
    </row>
    <row r="871" spans="1:13" x14ac:dyDescent="0.25">
      <c r="A871" s="21" t="str">
        <f>IF(Registro!$A871="","",Registro!$A871)</f>
        <v/>
      </c>
      <c r="B871" s="20" t="str">
        <f>IF(Registro!$B871="","",Registro!$B871)</f>
        <v/>
      </c>
      <c r="C871" s="35" t="str">
        <f t="shared" si="26"/>
        <v/>
      </c>
      <c r="D871" s="23" t="str">
        <f>IF(Registro!$E871="","",IF(ISERROR(FIND("x",LOWER(Registro!$E871))),"-",IFERROR(SUMPRODUCT(--("0"&amp;LEFT(TRIM(MID(SUBSTITUTE(SUBSTITUTE(SUBSTITUTE(SUBSTITUTE(SUBSTITUTE(LOWER(Registro!$E871),"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",LEN(Registro!$E871))),({1,2,3,4,5,6,7,8,9,10,11,12,13,14,15,16,17,18,19,20,21,22,23,24,25,26,27,28,29,30}-1)*LEN(Registro!$E871)+1,LEN(Registro!$E871))),FIND("x",TRIM(MID(SUBSTITUTE(SUBSTITUTE(SUBSTITUTE(SUBSTITUTE(SUBSTITUTE(LOWER(Registro!$E871),"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",LEN(Registro!$E871))),({1,2,3,4,5,6,7,8,9,10,11,12,13,14,15,16,17,18,19,20,21,22,23,24,25,26,27,28,29,30}-1)*LEN(Registro!$E871)+1,LEN(Registro!$E871)))&amp;"x")-1))),"Revisar formato")))</f>
        <v/>
      </c>
      <c r="E871" s="24" t="str">
        <f>IF(Registro!$E871="","",IF(ISERROR(FIND("x",LOWER(Registro!$E871))),"-",IFERROR(SUMPRODUCT(--("0"&amp;LEFT(TRIM(MID(SUBSTITUTE(SUBSTITUTE(SUBSTITUTE(SUBSTITUTE(SUBSTITUTE(LOWER(Registro!$E871),"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",LEN(Registro!$E871))),({1,2,3,4,5,6,7,8,9,10,11,12,13,14,15,16,17,18,19,20,21,22,23,24,25,26,27,28,29,30}-1)*LEN(Registro!$E871)+1,LEN(Registro!$E871))),FIND("x",TRIM(MID(SUBSTITUTE(SUBSTITUTE(SUBSTITUTE(SUBSTITUTE(SUBSTITUTE(LOWER(Registro!$E871),"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",LEN(Registro!$E871))),({1,2,3,4,5,6,7,8,9,10,11,12,13,14,15,16,17,18,19,20,21,22,23,24,25,26,27,28,29,30}-1)*LEN(Registro!$E871)+1,LEN(Registro!$E871)))&amp;"x")-1)),--("0"&amp;MID(TRIM(MID(SUBSTITUTE(SUBSTITUTE(SUBSTITUTE(SUBSTITUTE(SUBSTITUTE(LOWER(Registro!$E871),"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",LEN(Registro!$E871))),({1,2,3,4,5,6,7,8,9,10,11,12,13,14,15,16,17,18,19,20,21,22,23,24,25,26,27,28,29,30}-1)*LEN(Registro!$E871)+1,LEN(Registro!$E871))),FIND("x",TRIM(MID(SUBSTITUTE(SUBSTITUTE(SUBSTITUTE(SUBSTITUTE(SUBSTITUTE(LOWER(Registro!$E871),"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",LEN(Registro!$E871))),({1,2,3,4,5,6,7,8,9,10,11,12,13,14,15,16,17,18,19,20,21,22,23,24,25,26,27,28,29,30}-1)*LEN(Registro!$E871)+1,LEN(Registro!$E871)))&amp;"x")+1,20))),"Revisar formato")))</f>
        <v/>
      </c>
      <c r="F871" s="23" t="str">
        <f>IF(Registro!$F871="","",IF(ISERROR(FIND("x",LOWER(Registro!$F871))),"-",IFERROR(SUMPRODUCT(--("0"&amp;LEFT(TRIM(MID(SUBSTITUTE(SUBSTITUTE(SUBSTITUTE(SUBSTITUTE(SUBSTITUTE(LOWER(Registro!$F871)," ",""),CHAR(10),"|"),";","|"),"+","|"),"|",REPT(" ",LEN(Registro!$F871))),({1,2,3,4,5,6,7,8,9,10,11,12,13,14,15,16,17,18,19,20,21,22,23,24,25,26,27,28,29,30}-1)*LEN(Registro!$F871)+1,LEN(Registro!$F871))),FIND("x",TRIM(MID(SUBSTITUTE(SUBSTITUTE(SUBSTITUTE(SUBSTITUTE(SUBSTITUTE(LOWER(Registro!$F871)," ",""),CHAR(10),"|"),";","|"),"+","|"),"|",REPT(" ",LEN(Registro!$F871))),({1,2,3,4,5,6,7,8,9,10,11,12,13,14,15,16,17,18,19,20,21,22,23,24,25,26,27,28,29,30}-1)*LEN(Registro!$F871)+1,LEN(Registro!$F871)))&amp;"x")-1))),"Revisar formato")))</f>
        <v/>
      </c>
      <c r="G871" s="24" t="str">
        <f>IF(Registro!$F871="","",IF(ISERROR(FIND("x",LOWER(Registro!$F871))),N(Registro!$G871),IFERROR(SUMPRODUCT(--("0"&amp;LEFT(TRIM(MID(SUBSTITUTE(SUBSTITUTE(SUBSTITUTE(SUBSTITUTE(SUBSTITUTE(LOWER(Registro!$F871)," ",""),CHAR(10),"|"),";","|"),"+","|"),"|",REPT(" ",LEN(Registro!$F871))),({1,2,3,4,5,6,7,8,9,10,11,12,13,14,15,16,17,18,19,20,21,22,23,24,25,26,27,28,29,30}-1)*LEN(Registro!$F871)+1,LEN(Registro!$F871))),FIND("x",TRIM(MID(SUBSTITUTE(SUBSTITUTE(SUBSTITUTE(SUBSTITUTE(SUBSTITUTE(LOWER(Registro!$F871)," ",""),CHAR(10),"|"),";","|"),"+","|"),"|",REPT(" ",LEN(Registro!$F871))),({1,2,3,4,5,6,7,8,9,10,11,12,13,14,15,16,17,18,19,20,21,22,23,24,25,26,27,28,29,30}-1)*LEN(Registro!$F871)+1,LEN(Registro!$F871)))&amp;"x")-1)),--("0"&amp;MID(TRIM(MID(SUBSTITUTE(SUBSTITUTE(SUBSTITUTE(SUBSTITUTE(SUBSTITUTE(LOWER(Registro!$F871)," ",""),CHAR(10),"|"),";","|"),"+","|"),"|",REPT(" ",LEN(Registro!$F871))),({1,2,3,4,5,6,7,8,9,10,11,12,13,14,15,16,17,18,19,20,21,22,23,24,25,26,27,28,29,30}-1)*LEN(Registro!$F871)+1,LEN(Registro!$F871))),FIND("x",TRIM(MID(SUBSTITUTE(SUBSTITUTE(SUBSTITUTE(SUBSTITUTE(SUBSTITUTE(LOWER(Registro!$F871)," ",""),CHAR(10),"|"),";","|"),"+","|"),"|",REPT(" ",LEN(Registro!$F871))),({1,2,3,4,5,6,7,8,9,10,11,12,13,14,15,16,17,18,19,20,21,22,23,24,25,26,27,28,29,30}-1)*LEN(Registro!$F871)+1,LEN(Registro!$F871)))&amp;"x")+1,20))),"Revisar formato")))</f>
        <v/>
      </c>
      <c r="H871" s="21" t="str">
        <f>IF(AND(Registro!$E871="",Registro!$F871=""),"",IF(NOT(AND(ISNUMBER(G871),ISNUMBER(Registro!$G871))),"",IF(G871&lt;Registro!$G871,"FALTA BOLETOS",IF(G871=Registro!$G871,"CONFORME","DIFERENCIA"))))</f>
        <v/>
      </c>
      <c r="I871" s="24" t="str">
        <f>IF(Registro!$H871="","",IFERROR(SUMPRODUCT(--("0"&amp;TRIM(RIGHT(SUBSTITUTE(TRIM(MID(SUBSTITUTE(SUBSTITUTE(Registro!$H871,";",CHAR(10)),CHAR(10),REPT(" ",LEN(Registro!$H871))),({1,2,3,4,5,6,7,8,9,10,11,12,13,14,15,16,17,18,19,20,21,22,23,24,25,26,27,28,29,30}-1)*LEN(Registro!$H871)+1,LEN(Registro!$H871)))," ",REPT(" ",50)),50)))),"Revisar formato"))</f>
        <v/>
      </c>
      <c r="J871" s="24" t="str">
        <f>IF(Registro!$I871="","",IFERROR(SUMPRODUCT(--("0"&amp;TRIM(RIGHT(SUBSTITUTE(TRIM(MID(SUBSTITUTE(SUBSTITUTE(Registro!$I871,";",CHAR(10)),CHAR(10),REPT(" ",LEN(Registro!$I871))),({1,2,3,4,5,6,7,8,9,10,11,12,13,14,15,16,17,18,19,20,21,22,23,24,25,26,27,28,29,30}-1)*LEN(Registro!$I871)+1,LEN(Registro!$I871)))," ",REPT(" ",50)),50)))),"Revisar formato"))</f>
        <v/>
      </c>
      <c r="K871" s="24" t="str">
        <f>IF(AND(Registro!$G871="",Registro!$H871=""),"",IF(AND(ISTEXT(I871),I871&lt;&gt;""),"Revisar formato",N(Registro!$G871)-N(I871)))</f>
        <v/>
      </c>
      <c r="L871" s="24" t="str">
        <f t="shared" si="27"/>
        <v/>
      </c>
      <c r="M871" s="36" t="str">
        <f>IF(AND(A871=Consulta!$B$3,C871=Consulta!$H$3),B871*10000+ROW(),"")</f>
        <v/>
      </c>
    </row>
    <row r="872" spans="1:13" x14ac:dyDescent="0.25">
      <c r="A872" s="21" t="str">
        <f>IF(Registro!$A872="","",Registro!$A872)</f>
        <v/>
      </c>
      <c r="B872" s="20" t="str">
        <f>IF(Registro!$B872="","",Registro!$B872)</f>
        <v/>
      </c>
      <c r="C872" s="35" t="str">
        <f t="shared" si="26"/>
        <v/>
      </c>
      <c r="D872" s="23" t="str">
        <f>IF(Registro!$E872="","",IF(ISERROR(FIND("x",LOWER(Registro!$E872))),"-",IFERROR(SUMPRODUCT(--("0"&amp;LEFT(TRIM(MID(SUBSTITUTE(SUBSTITUTE(SUBSTITUTE(SUBSTITUTE(SUBSTITUTE(LOWER(Registro!$E872),"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",LEN(Registro!$E872))),({1,2,3,4,5,6,7,8,9,10,11,12,13,14,15,16,17,18,19,20,21,22,23,24,25,26,27,28,29,30}-1)*LEN(Registro!$E872)+1,LEN(Registro!$E872))),FIND("x",TRIM(MID(SUBSTITUTE(SUBSTITUTE(SUBSTITUTE(SUBSTITUTE(SUBSTITUTE(LOWER(Registro!$E872),"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",LEN(Registro!$E872))),({1,2,3,4,5,6,7,8,9,10,11,12,13,14,15,16,17,18,19,20,21,22,23,24,25,26,27,28,29,30}-1)*LEN(Registro!$E872)+1,LEN(Registro!$E872)))&amp;"x")-1))),"Revisar formato")))</f>
        <v/>
      </c>
      <c r="E872" s="24" t="str">
        <f>IF(Registro!$E872="","",IF(ISERROR(FIND("x",LOWER(Registro!$E872))),"-",IFERROR(SUMPRODUCT(--("0"&amp;LEFT(TRIM(MID(SUBSTITUTE(SUBSTITUTE(SUBSTITUTE(SUBSTITUTE(SUBSTITUTE(LOWER(Registro!$E872),"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",LEN(Registro!$E872))),({1,2,3,4,5,6,7,8,9,10,11,12,13,14,15,16,17,18,19,20,21,22,23,24,25,26,27,28,29,30}-1)*LEN(Registro!$E872)+1,LEN(Registro!$E872))),FIND("x",TRIM(MID(SUBSTITUTE(SUBSTITUTE(SUBSTITUTE(SUBSTITUTE(SUBSTITUTE(LOWER(Registro!$E872),"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",LEN(Registro!$E872))),({1,2,3,4,5,6,7,8,9,10,11,12,13,14,15,16,17,18,19,20,21,22,23,24,25,26,27,28,29,30}-1)*LEN(Registro!$E872)+1,LEN(Registro!$E872)))&amp;"x")-1)),--("0"&amp;MID(TRIM(MID(SUBSTITUTE(SUBSTITUTE(SUBSTITUTE(SUBSTITUTE(SUBSTITUTE(LOWER(Registro!$E872),"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",LEN(Registro!$E872))),({1,2,3,4,5,6,7,8,9,10,11,12,13,14,15,16,17,18,19,20,21,22,23,24,25,26,27,28,29,30}-1)*LEN(Registro!$E872)+1,LEN(Registro!$E872))),FIND("x",TRIM(MID(SUBSTITUTE(SUBSTITUTE(SUBSTITUTE(SUBSTITUTE(SUBSTITUTE(LOWER(Registro!$E872),"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",LEN(Registro!$E872))),({1,2,3,4,5,6,7,8,9,10,11,12,13,14,15,16,17,18,19,20,21,22,23,24,25,26,27,28,29,30}-1)*LEN(Registro!$E872)+1,LEN(Registro!$E872)))&amp;"x")+1,20))),"Revisar formato")))</f>
        <v/>
      </c>
      <c r="F872" s="23" t="str">
        <f>IF(Registro!$F872="","",IF(ISERROR(FIND("x",LOWER(Registro!$F872))),"-",IFERROR(SUMPRODUCT(--("0"&amp;LEFT(TRIM(MID(SUBSTITUTE(SUBSTITUTE(SUBSTITUTE(SUBSTITUTE(SUBSTITUTE(LOWER(Registro!$F872)," ",""),CHAR(10),"|"),";","|"),"+","|"),"|",REPT(" ",LEN(Registro!$F872))),({1,2,3,4,5,6,7,8,9,10,11,12,13,14,15,16,17,18,19,20,21,22,23,24,25,26,27,28,29,30}-1)*LEN(Registro!$F872)+1,LEN(Registro!$F872))),FIND("x",TRIM(MID(SUBSTITUTE(SUBSTITUTE(SUBSTITUTE(SUBSTITUTE(SUBSTITUTE(LOWER(Registro!$F872)," ",""),CHAR(10),"|"),";","|"),"+","|"),"|",REPT(" ",LEN(Registro!$F872))),({1,2,3,4,5,6,7,8,9,10,11,12,13,14,15,16,17,18,19,20,21,22,23,24,25,26,27,28,29,30}-1)*LEN(Registro!$F872)+1,LEN(Registro!$F872)))&amp;"x")-1))),"Revisar formato")))</f>
        <v/>
      </c>
      <c r="G872" s="24" t="str">
        <f>IF(Registro!$F872="","",IF(ISERROR(FIND("x",LOWER(Registro!$F872))),N(Registro!$G872),IFERROR(SUMPRODUCT(--("0"&amp;LEFT(TRIM(MID(SUBSTITUTE(SUBSTITUTE(SUBSTITUTE(SUBSTITUTE(SUBSTITUTE(LOWER(Registro!$F872)," ",""),CHAR(10),"|"),";","|"),"+","|"),"|",REPT(" ",LEN(Registro!$F872))),({1,2,3,4,5,6,7,8,9,10,11,12,13,14,15,16,17,18,19,20,21,22,23,24,25,26,27,28,29,30}-1)*LEN(Registro!$F872)+1,LEN(Registro!$F872))),FIND("x",TRIM(MID(SUBSTITUTE(SUBSTITUTE(SUBSTITUTE(SUBSTITUTE(SUBSTITUTE(LOWER(Registro!$F872)," ",""),CHAR(10),"|"),";","|"),"+","|"),"|",REPT(" ",LEN(Registro!$F872))),({1,2,3,4,5,6,7,8,9,10,11,12,13,14,15,16,17,18,19,20,21,22,23,24,25,26,27,28,29,30}-1)*LEN(Registro!$F872)+1,LEN(Registro!$F872)))&amp;"x")-1)),--("0"&amp;MID(TRIM(MID(SUBSTITUTE(SUBSTITUTE(SUBSTITUTE(SUBSTITUTE(SUBSTITUTE(LOWER(Registro!$F872)," ",""),CHAR(10),"|"),";","|"),"+","|"),"|",REPT(" ",LEN(Registro!$F872))),({1,2,3,4,5,6,7,8,9,10,11,12,13,14,15,16,17,18,19,20,21,22,23,24,25,26,27,28,29,30}-1)*LEN(Registro!$F872)+1,LEN(Registro!$F872))),FIND("x",TRIM(MID(SUBSTITUTE(SUBSTITUTE(SUBSTITUTE(SUBSTITUTE(SUBSTITUTE(LOWER(Registro!$F872)," ",""),CHAR(10),"|"),";","|"),"+","|"),"|",REPT(" ",LEN(Registro!$F872))),({1,2,3,4,5,6,7,8,9,10,11,12,13,14,15,16,17,18,19,20,21,22,23,24,25,26,27,28,29,30}-1)*LEN(Registro!$F872)+1,LEN(Registro!$F872)))&amp;"x")+1,20))),"Revisar formato")))</f>
        <v/>
      </c>
      <c r="H872" s="21" t="str">
        <f>IF(AND(Registro!$E872="",Registro!$F872=""),"",IF(NOT(AND(ISNUMBER(G872),ISNUMBER(Registro!$G872))),"",IF(G872&lt;Registro!$G872,"FALTA BOLETOS",IF(G872=Registro!$G872,"CONFORME","DIFERENCIA"))))</f>
        <v/>
      </c>
      <c r="I872" s="24" t="str">
        <f>IF(Registro!$H872="","",IFERROR(SUMPRODUCT(--("0"&amp;TRIM(RIGHT(SUBSTITUTE(TRIM(MID(SUBSTITUTE(SUBSTITUTE(Registro!$H872,";",CHAR(10)),CHAR(10),REPT(" ",LEN(Registro!$H872))),({1,2,3,4,5,6,7,8,9,10,11,12,13,14,15,16,17,18,19,20,21,22,23,24,25,26,27,28,29,30}-1)*LEN(Registro!$H872)+1,LEN(Registro!$H872)))," ",REPT(" ",50)),50)))),"Revisar formato"))</f>
        <v/>
      </c>
      <c r="J872" s="24" t="str">
        <f>IF(Registro!$I872="","",IFERROR(SUMPRODUCT(--("0"&amp;TRIM(RIGHT(SUBSTITUTE(TRIM(MID(SUBSTITUTE(SUBSTITUTE(Registro!$I872,";",CHAR(10)),CHAR(10),REPT(" ",LEN(Registro!$I872))),({1,2,3,4,5,6,7,8,9,10,11,12,13,14,15,16,17,18,19,20,21,22,23,24,25,26,27,28,29,30}-1)*LEN(Registro!$I872)+1,LEN(Registro!$I872)))," ",REPT(" ",50)),50)))),"Revisar formato"))</f>
        <v/>
      </c>
      <c r="K872" s="24" t="str">
        <f>IF(AND(Registro!$G872="",Registro!$H872=""),"",IF(AND(ISTEXT(I872),I872&lt;&gt;""),"Revisar formato",N(Registro!$G872)-N(I872)))</f>
        <v/>
      </c>
      <c r="L872" s="24" t="str">
        <f t="shared" si="27"/>
        <v/>
      </c>
      <c r="M872" s="36" t="str">
        <f>IF(AND(A872=Consulta!$B$3,C872=Consulta!$H$3),B872*10000+ROW(),"")</f>
        <v/>
      </c>
    </row>
    <row r="873" spans="1:13" x14ac:dyDescent="0.25">
      <c r="A873" s="21" t="str">
        <f>IF(Registro!$A873="","",Registro!$A873)</f>
        <v/>
      </c>
      <c r="B873" s="20" t="str">
        <f>IF(Registro!$B873="","",Registro!$B873)</f>
        <v/>
      </c>
      <c r="C873" s="35" t="str">
        <f t="shared" si="26"/>
        <v/>
      </c>
      <c r="D873" s="23" t="str">
        <f>IF(Registro!$E873="","",IF(ISERROR(FIND("x",LOWER(Registro!$E873))),"-",IFERROR(SUMPRODUCT(--("0"&amp;LEFT(TRIM(MID(SUBSTITUTE(SUBSTITUTE(SUBSTITUTE(SUBSTITUTE(SUBSTITUTE(LOWER(Registro!$E873),"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",LEN(Registro!$E873))),({1,2,3,4,5,6,7,8,9,10,11,12,13,14,15,16,17,18,19,20,21,22,23,24,25,26,27,28,29,30}-1)*LEN(Registro!$E873)+1,LEN(Registro!$E873))),FIND("x",TRIM(MID(SUBSTITUTE(SUBSTITUTE(SUBSTITUTE(SUBSTITUTE(SUBSTITUTE(LOWER(Registro!$E873),"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",LEN(Registro!$E873))),({1,2,3,4,5,6,7,8,9,10,11,12,13,14,15,16,17,18,19,20,21,22,23,24,25,26,27,28,29,30}-1)*LEN(Registro!$E873)+1,LEN(Registro!$E873)))&amp;"x")-1))),"Revisar formato")))</f>
        <v/>
      </c>
      <c r="E873" s="24" t="str">
        <f>IF(Registro!$E873="","",IF(ISERROR(FIND("x",LOWER(Registro!$E873))),"-",IFERROR(SUMPRODUCT(--("0"&amp;LEFT(TRIM(MID(SUBSTITUTE(SUBSTITUTE(SUBSTITUTE(SUBSTITUTE(SUBSTITUTE(LOWER(Registro!$E873),"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",LEN(Registro!$E873))),({1,2,3,4,5,6,7,8,9,10,11,12,13,14,15,16,17,18,19,20,21,22,23,24,25,26,27,28,29,30}-1)*LEN(Registro!$E873)+1,LEN(Registro!$E873))),FIND("x",TRIM(MID(SUBSTITUTE(SUBSTITUTE(SUBSTITUTE(SUBSTITUTE(SUBSTITUTE(LOWER(Registro!$E873),"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",LEN(Registro!$E873))),({1,2,3,4,5,6,7,8,9,10,11,12,13,14,15,16,17,18,19,20,21,22,23,24,25,26,27,28,29,30}-1)*LEN(Registro!$E873)+1,LEN(Registro!$E873)))&amp;"x")-1)),--("0"&amp;MID(TRIM(MID(SUBSTITUTE(SUBSTITUTE(SUBSTITUTE(SUBSTITUTE(SUBSTITUTE(LOWER(Registro!$E873),"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",LEN(Registro!$E873))),({1,2,3,4,5,6,7,8,9,10,11,12,13,14,15,16,17,18,19,20,21,22,23,24,25,26,27,28,29,30}-1)*LEN(Registro!$E873)+1,LEN(Registro!$E873))),FIND("x",TRIM(MID(SUBSTITUTE(SUBSTITUTE(SUBSTITUTE(SUBSTITUTE(SUBSTITUTE(LOWER(Registro!$E873),"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",LEN(Registro!$E873))),({1,2,3,4,5,6,7,8,9,10,11,12,13,14,15,16,17,18,19,20,21,22,23,24,25,26,27,28,29,30}-1)*LEN(Registro!$E873)+1,LEN(Registro!$E873)))&amp;"x")+1,20))),"Revisar formato")))</f>
        <v/>
      </c>
      <c r="F873" s="23" t="str">
        <f>IF(Registro!$F873="","",IF(ISERROR(FIND("x",LOWER(Registro!$F873))),"-",IFERROR(SUMPRODUCT(--("0"&amp;LEFT(TRIM(MID(SUBSTITUTE(SUBSTITUTE(SUBSTITUTE(SUBSTITUTE(SUBSTITUTE(LOWER(Registro!$F873)," ",""),CHAR(10),"|"),";","|"),"+","|"),"|",REPT(" ",LEN(Registro!$F873))),({1,2,3,4,5,6,7,8,9,10,11,12,13,14,15,16,17,18,19,20,21,22,23,24,25,26,27,28,29,30}-1)*LEN(Registro!$F873)+1,LEN(Registro!$F873))),FIND("x",TRIM(MID(SUBSTITUTE(SUBSTITUTE(SUBSTITUTE(SUBSTITUTE(SUBSTITUTE(LOWER(Registro!$F873)," ",""),CHAR(10),"|"),";","|"),"+","|"),"|",REPT(" ",LEN(Registro!$F873))),({1,2,3,4,5,6,7,8,9,10,11,12,13,14,15,16,17,18,19,20,21,22,23,24,25,26,27,28,29,30}-1)*LEN(Registro!$F873)+1,LEN(Registro!$F873)))&amp;"x")-1))),"Revisar formato")))</f>
        <v/>
      </c>
      <c r="G873" s="24" t="str">
        <f>IF(Registro!$F873="","",IF(ISERROR(FIND("x",LOWER(Registro!$F873))),N(Registro!$G873),IFERROR(SUMPRODUCT(--("0"&amp;LEFT(TRIM(MID(SUBSTITUTE(SUBSTITUTE(SUBSTITUTE(SUBSTITUTE(SUBSTITUTE(LOWER(Registro!$F873)," ",""),CHAR(10),"|"),";","|"),"+","|"),"|",REPT(" ",LEN(Registro!$F873))),({1,2,3,4,5,6,7,8,9,10,11,12,13,14,15,16,17,18,19,20,21,22,23,24,25,26,27,28,29,30}-1)*LEN(Registro!$F873)+1,LEN(Registro!$F873))),FIND("x",TRIM(MID(SUBSTITUTE(SUBSTITUTE(SUBSTITUTE(SUBSTITUTE(SUBSTITUTE(LOWER(Registro!$F873)," ",""),CHAR(10),"|"),";","|"),"+","|"),"|",REPT(" ",LEN(Registro!$F873))),({1,2,3,4,5,6,7,8,9,10,11,12,13,14,15,16,17,18,19,20,21,22,23,24,25,26,27,28,29,30}-1)*LEN(Registro!$F873)+1,LEN(Registro!$F873)))&amp;"x")-1)),--("0"&amp;MID(TRIM(MID(SUBSTITUTE(SUBSTITUTE(SUBSTITUTE(SUBSTITUTE(SUBSTITUTE(LOWER(Registro!$F873)," ",""),CHAR(10),"|"),";","|"),"+","|"),"|",REPT(" ",LEN(Registro!$F873))),({1,2,3,4,5,6,7,8,9,10,11,12,13,14,15,16,17,18,19,20,21,22,23,24,25,26,27,28,29,30}-1)*LEN(Registro!$F873)+1,LEN(Registro!$F873))),FIND("x",TRIM(MID(SUBSTITUTE(SUBSTITUTE(SUBSTITUTE(SUBSTITUTE(SUBSTITUTE(LOWER(Registro!$F873)," ",""),CHAR(10),"|"),";","|"),"+","|"),"|",REPT(" ",LEN(Registro!$F873))),({1,2,3,4,5,6,7,8,9,10,11,12,13,14,15,16,17,18,19,20,21,22,23,24,25,26,27,28,29,30}-1)*LEN(Registro!$F873)+1,LEN(Registro!$F873)))&amp;"x")+1,20))),"Revisar formato")))</f>
        <v/>
      </c>
      <c r="H873" s="21" t="str">
        <f>IF(AND(Registro!$E873="",Registro!$F873=""),"",IF(NOT(AND(ISNUMBER(G873),ISNUMBER(Registro!$G873))),"",IF(G873&lt;Registro!$G873,"FALTA BOLETOS",IF(G873=Registro!$G873,"CONFORME","DIFERENCIA"))))</f>
        <v/>
      </c>
      <c r="I873" s="24" t="str">
        <f>IF(Registro!$H873="","",IFERROR(SUMPRODUCT(--("0"&amp;TRIM(RIGHT(SUBSTITUTE(TRIM(MID(SUBSTITUTE(SUBSTITUTE(Registro!$H873,";",CHAR(10)),CHAR(10),REPT(" ",LEN(Registro!$H873))),({1,2,3,4,5,6,7,8,9,10,11,12,13,14,15,16,17,18,19,20,21,22,23,24,25,26,27,28,29,30}-1)*LEN(Registro!$H873)+1,LEN(Registro!$H873)))," ",REPT(" ",50)),50)))),"Revisar formato"))</f>
        <v/>
      </c>
      <c r="J873" s="24" t="str">
        <f>IF(Registro!$I873="","",IFERROR(SUMPRODUCT(--("0"&amp;TRIM(RIGHT(SUBSTITUTE(TRIM(MID(SUBSTITUTE(SUBSTITUTE(Registro!$I873,";",CHAR(10)),CHAR(10),REPT(" ",LEN(Registro!$I873))),({1,2,3,4,5,6,7,8,9,10,11,12,13,14,15,16,17,18,19,20,21,22,23,24,25,26,27,28,29,30}-1)*LEN(Registro!$I873)+1,LEN(Registro!$I873)))," ",REPT(" ",50)),50)))),"Revisar formato"))</f>
        <v/>
      </c>
      <c r="K873" s="24" t="str">
        <f>IF(AND(Registro!$G873="",Registro!$H873=""),"",IF(AND(ISTEXT(I873),I873&lt;&gt;""),"Revisar formato",N(Registro!$G873)-N(I873)))</f>
        <v/>
      </c>
      <c r="L873" s="24" t="str">
        <f t="shared" si="27"/>
        <v/>
      </c>
      <c r="M873" s="36" t="str">
        <f>IF(AND(A873=Consulta!$B$3,C873=Consulta!$H$3),B873*10000+ROW(),"")</f>
        <v/>
      </c>
    </row>
    <row r="874" spans="1:13" x14ac:dyDescent="0.25">
      <c r="A874" s="21" t="str">
        <f>IF(Registro!$A874="","",Registro!$A874)</f>
        <v/>
      </c>
      <c r="B874" s="20" t="str">
        <f>IF(Registro!$B874="","",Registro!$B874)</f>
        <v/>
      </c>
      <c r="C874" s="35" t="str">
        <f t="shared" si="26"/>
        <v/>
      </c>
      <c r="D874" s="23" t="str">
        <f>IF(Registro!$E874="","",IF(ISERROR(FIND("x",LOWER(Registro!$E874))),"-",IFERROR(SUMPRODUCT(--("0"&amp;LEFT(TRIM(MID(SUBSTITUTE(SUBSTITUTE(SUBSTITUTE(SUBSTITUTE(SUBSTITUTE(LOWER(Registro!$E874),"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",LEN(Registro!$E874))),({1,2,3,4,5,6,7,8,9,10,11,12,13,14,15,16,17,18,19,20,21,22,23,24,25,26,27,28,29,30}-1)*LEN(Registro!$E874)+1,LEN(Registro!$E874))),FIND("x",TRIM(MID(SUBSTITUTE(SUBSTITUTE(SUBSTITUTE(SUBSTITUTE(SUBSTITUTE(LOWER(Registro!$E874),"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",LEN(Registro!$E874))),({1,2,3,4,5,6,7,8,9,10,11,12,13,14,15,16,17,18,19,20,21,22,23,24,25,26,27,28,29,30}-1)*LEN(Registro!$E874)+1,LEN(Registro!$E874)))&amp;"x")-1))),"Revisar formato")))</f>
        <v/>
      </c>
      <c r="E874" s="24" t="str">
        <f>IF(Registro!$E874="","",IF(ISERROR(FIND("x",LOWER(Registro!$E874))),"-",IFERROR(SUMPRODUCT(--("0"&amp;LEFT(TRIM(MID(SUBSTITUTE(SUBSTITUTE(SUBSTITUTE(SUBSTITUTE(SUBSTITUTE(LOWER(Registro!$E874),"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",LEN(Registro!$E874))),({1,2,3,4,5,6,7,8,9,10,11,12,13,14,15,16,17,18,19,20,21,22,23,24,25,26,27,28,29,30}-1)*LEN(Registro!$E874)+1,LEN(Registro!$E874))),FIND("x",TRIM(MID(SUBSTITUTE(SUBSTITUTE(SUBSTITUTE(SUBSTITUTE(SUBSTITUTE(LOWER(Registro!$E874),"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",LEN(Registro!$E874))),({1,2,3,4,5,6,7,8,9,10,11,12,13,14,15,16,17,18,19,20,21,22,23,24,25,26,27,28,29,30}-1)*LEN(Registro!$E874)+1,LEN(Registro!$E874)))&amp;"x")-1)),--("0"&amp;MID(TRIM(MID(SUBSTITUTE(SUBSTITUTE(SUBSTITUTE(SUBSTITUTE(SUBSTITUTE(LOWER(Registro!$E874),"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",LEN(Registro!$E874))),({1,2,3,4,5,6,7,8,9,10,11,12,13,14,15,16,17,18,19,20,21,22,23,24,25,26,27,28,29,30}-1)*LEN(Registro!$E874)+1,LEN(Registro!$E874))),FIND("x",TRIM(MID(SUBSTITUTE(SUBSTITUTE(SUBSTITUTE(SUBSTITUTE(SUBSTITUTE(LOWER(Registro!$E874),"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",LEN(Registro!$E874))),({1,2,3,4,5,6,7,8,9,10,11,12,13,14,15,16,17,18,19,20,21,22,23,24,25,26,27,28,29,30}-1)*LEN(Registro!$E874)+1,LEN(Registro!$E874)))&amp;"x")+1,20))),"Revisar formato")))</f>
        <v/>
      </c>
      <c r="F874" s="23" t="str">
        <f>IF(Registro!$F874="","",IF(ISERROR(FIND("x",LOWER(Registro!$F874))),"-",IFERROR(SUMPRODUCT(--("0"&amp;LEFT(TRIM(MID(SUBSTITUTE(SUBSTITUTE(SUBSTITUTE(SUBSTITUTE(SUBSTITUTE(LOWER(Registro!$F874)," ",""),CHAR(10),"|"),";","|"),"+","|"),"|",REPT(" ",LEN(Registro!$F874))),({1,2,3,4,5,6,7,8,9,10,11,12,13,14,15,16,17,18,19,20,21,22,23,24,25,26,27,28,29,30}-1)*LEN(Registro!$F874)+1,LEN(Registro!$F874))),FIND("x",TRIM(MID(SUBSTITUTE(SUBSTITUTE(SUBSTITUTE(SUBSTITUTE(SUBSTITUTE(LOWER(Registro!$F874)," ",""),CHAR(10),"|"),";","|"),"+","|"),"|",REPT(" ",LEN(Registro!$F874))),({1,2,3,4,5,6,7,8,9,10,11,12,13,14,15,16,17,18,19,20,21,22,23,24,25,26,27,28,29,30}-1)*LEN(Registro!$F874)+1,LEN(Registro!$F874)))&amp;"x")-1))),"Revisar formato")))</f>
        <v/>
      </c>
      <c r="G874" s="24" t="str">
        <f>IF(Registro!$F874="","",IF(ISERROR(FIND("x",LOWER(Registro!$F874))),N(Registro!$G874),IFERROR(SUMPRODUCT(--("0"&amp;LEFT(TRIM(MID(SUBSTITUTE(SUBSTITUTE(SUBSTITUTE(SUBSTITUTE(SUBSTITUTE(LOWER(Registro!$F874)," ",""),CHAR(10),"|"),";","|"),"+","|"),"|",REPT(" ",LEN(Registro!$F874))),({1,2,3,4,5,6,7,8,9,10,11,12,13,14,15,16,17,18,19,20,21,22,23,24,25,26,27,28,29,30}-1)*LEN(Registro!$F874)+1,LEN(Registro!$F874))),FIND("x",TRIM(MID(SUBSTITUTE(SUBSTITUTE(SUBSTITUTE(SUBSTITUTE(SUBSTITUTE(LOWER(Registro!$F874)," ",""),CHAR(10),"|"),";","|"),"+","|"),"|",REPT(" ",LEN(Registro!$F874))),({1,2,3,4,5,6,7,8,9,10,11,12,13,14,15,16,17,18,19,20,21,22,23,24,25,26,27,28,29,30}-1)*LEN(Registro!$F874)+1,LEN(Registro!$F874)))&amp;"x")-1)),--("0"&amp;MID(TRIM(MID(SUBSTITUTE(SUBSTITUTE(SUBSTITUTE(SUBSTITUTE(SUBSTITUTE(LOWER(Registro!$F874)," ",""),CHAR(10),"|"),";","|"),"+","|"),"|",REPT(" ",LEN(Registro!$F874))),({1,2,3,4,5,6,7,8,9,10,11,12,13,14,15,16,17,18,19,20,21,22,23,24,25,26,27,28,29,30}-1)*LEN(Registro!$F874)+1,LEN(Registro!$F874))),FIND("x",TRIM(MID(SUBSTITUTE(SUBSTITUTE(SUBSTITUTE(SUBSTITUTE(SUBSTITUTE(LOWER(Registro!$F874)," ",""),CHAR(10),"|"),";","|"),"+","|"),"|",REPT(" ",LEN(Registro!$F874))),({1,2,3,4,5,6,7,8,9,10,11,12,13,14,15,16,17,18,19,20,21,22,23,24,25,26,27,28,29,30}-1)*LEN(Registro!$F874)+1,LEN(Registro!$F874)))&amp;"x")+1,20))),"Revisar formato")))</f>
        <v/>
      </c>
      <c r="H874" s="21" t="str">
        <f>IF(AND(Registro!$E874="",Registro!$F874=""),"",IF(NOT(AND(ISNUMBER(G874),ISNUMBER(Registro!$G874))),"",IF(G874&lt;Registro!$G874,"FALTA BOLETOS",IF(G874=Registro!$G874,"CONFORME","DIFERENCIA"))))</f>
        <v/>
      </c>
      <c r="I874" s="24" t="str">
        <f>IF(Registro!$H874="","",IFERROR(SUMPRODUCT(--("0"&amp;TRIM(RIGHT(SUBSTITUTE(TRIM(MID(SUBSTITUTE(SUBSTITUTE(Registro!$H874,";",CHAR(10)),CHAR(10),REPT(" ",LEN(Registro!$H874))),({1,2,3,4,5,6,7,8,9,10,11,12,13,14,15,16,17,18,19,20,21,22,23,24,25,26,27,28,29,30}-1)*LEN(Registro!$H874)+1,LEN(Registro!$H874)))," ",REPT(" ",50)),50)))),"Revisar formato"))</f>
        <v/>
      </c>
      <c r="J874" s="24" t="str">
        <f>IF(Registro!$I874="","",IFERROR(SUMPRODUCT(--("0"&amp;TRIM(RIGHT(SUBSTITUTE(TRIM(MID(SUBSTITUTE(SUBSTITUTE(Registro!$I874,";",CHAR(10)),CHAR(10),REPT(" ",LEN(Registro!$I874))),({1,2,3,4,5,6,7,8,9,10,11,12,13,14,15,16,17,18,19,20,21,22,23,24,25,26,27,28,29,30}-1)*LEN(Registro!$I874)+1,LEN(Registro!$I874)))," ",REPT(" ",50)),50)))),"Revisar formato"))</f>
        <v/>
      </c>
      <c r="K874" s="24" t="str">
        <f>IF(AND(Registro!$G874="",Registro!$H874=""),"",IF(AND(ISTEXT(I874),I874&lt;&gt;""),"Revisar formato",N(Registro!$G874)-N(I874)))</f>
        <v/>
      </c>
      <c r="L874" s="24" t="str">
        <f t="shared" si="27"/>
        <v/>
      </c>
      <c r="M874" s="36" t="str">
        <f>IF(AND(A874=Consulta!$B$3,C874=Consulta!$H$3),B874*10000+ROW(),"")</f>
        <v/>
      </c>
    </row>
    <row r="875" spans="1:13" x14ac:dyDescent="0.25">
      <c r="A875" s="21" t="str">
        <f>IF(Registro!$A875="","",Registro!$A875)</f>
        <v/>
      </c>
      <c r="B875" s="20" t="str">
        <f>IF(Registro!$B875="","",Registro!$B875)</f>
        <v/>
      </c>
      <c r="C875" s="35" t="str">
        <f t="shared" si="26"/>
        <v/>
      </c>
      <c r="D875" s="23" t="str">
        <f>IF(Registro!$E875="","",IF(ISERROR(FIND("x",LOWER(Registro!$E875))),"-",IFERROR(SUMPRODUCT(--("0"&amp;LEFT(TRIM(MID(SUBSTITUTE(SUBSTITUTE(SUBSTITUTE(SUBSTITUTE(SUBSTITUTE(LOWER(Registro!$E875),"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",LEN(Registro!$E875))),({1,2,3,4,5,6,7,8,9,10,11,12,13,14,15,16,17,18,19,20,21,22,23,24,25,26,27,28,29,30}-1)*LEN(Registro!$E875)+1,LEN(Registro!$E875))),FIND("x",TRIM(MID(SUBSTITUTE(SUBSTITUTE(SUBSTITUTE(SUBSTITUTE(SUBSTITUTE(LOWER(Registro!$E875),"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",LEN(Registro!$E875))),({1,2,3,4,5,6,7,8,9,10,11,12,13,14,15,16,17,18,19,20,21,22,23,24,25,26,27,28,29,30}-1)*LEN(Registro!$E875)+1,LEN(Registro!$E875)))&amp;"x")-1))),"Revisar formato")))</f>
        <v/>
      </c>
      <c r="E875" s="24" t="str">
        <f>IF(Registro!$E875="","",IF(ISERROR(FIND("x",LOWER(Registro!$E875))),"-",IFERROR(SUMPRODUCT(--("0"&amp;LEFT(TRIM(MID(SUBSTITUTE(SUBSTITUTE(SUBSTITUTE(SUBSTITUTE(SUBSTITUTE(LOWER(Registro!$E875),"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",LEN(Registro!$E875))),({1,2,3,4,5,6,7,8,9,10,11,12,13,14,15,16,17,18,19,20,21,22,23,24,25,26,27,28,29,30}-1)*LEN(Registro!$E875)+1,LEN(Registro!$E875))),FIND("x",TRIM(MID(SUBSTITUTE(SUBSTITUTE(SUBSTITUTE(SUBSTITUTE(SUBSTITUTE(LOWER(Registro!$E875),"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",LEN(Registro!$E875))),({1,2,3,4,5,6,7,8,9,10,11,12,13,14,15,16,17,18,19,20,21,22,23,24,25,26,27,28,29,30}-1)*LEN(Registro!$E875)+1,LEN(Registro!$E875)))&amp;"x")-1)),--("0"&amp;MID(TRIM(MID(SUBSTITUTE(SUBSTITUTE(SUBSTITUTE(SUBSTITUTE(SUBSTITUTE(LOWER(Registro!$E875),"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",LEN(Registro!$E875))),({1,2,3,4,5,6,7,8,9,10,11,12,13,14,15,16,17,18,19,20,21,22,23,24,25,26,27,28,29,30}-1)*LEN(Registro!$E875)+1,LEN(Registro!$E875))),FIND("x",TRIM(MID(SUBSTITUTE(SUBSTITUTE(SUBSTITUTE(SUBSTITUTE(SUBSTITUTE(LOWER(Registro!$E875),"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",LEN(Registro!$E875))),({1,2,3,4,5,6,7,8,9,10,11,12,13,14,15,16,17,18,19,20,21,22,23,24,25,26,27,28,29,30}-1)*LEN(Registro!$E875)+1,LEN(Registro!$E875)))&amp;"x")+1,20))),"Revisar formato")))</f>
        <v/>
      </c>
      <c r="F875" s="23" t="str">
        <f>IF(Registro!$F875="","",IF(ISERROR(FIND("x",LOWER(Registro!$F875))),"-",IFERROR(SUMPRODUCT(--("0"&amp;LEFT(TRIM(MID(SUBSTITUTE(SUBSTITUTE(SUBSTITUTE(SUBSTITUTE(SUBSTITUTE(LOWER(Registro!$F875)," ",""),CHAR(10),"|"),";","|"),"+","|"),"|",REPT(" ",LEN(Registro!$F875))),({1,2,3,4,5,6,7,8,9,10,11,12,13,14,15,16,17,18,19,20,21,22,23,24,25,26,27,28,29,30}-1)*LEN(Registro!$F875)+1,LEN(Registro!$F875))),FIND("x",TRIM(MID(SUBSTITUTE(SUBSTITUTE(SUBSTITUTE(SUBSTITUTE(SUBSTITUTE(LOWER(Registro!$F875)," ",""),CHAR(10),"|"),";","|"),"+","|"),"|",REPT(" ",LEN(Registro!$F875))),({1,2,3,4,5,6,7,8,9,10,11,12,13,14,15,16,17,18,19,20,21,22,23,24,25,26,27,28,29,30}-1)*LEN(Registro!$F875)+1,LEN(Registro!$F875)))&amp;"x")-1))),"Revisar formato")))</f>
        <v/>
      </c>
      <c r="G875" s="24" t="str">
        <f>IF(Registro!$F875="","",IF(ISERROR(FIND("x",LOWER(Registro!$F875))),N(Registro!$G875),IFERROR(SUMPRODUCT(--("0"&amp;LEFT(TRIM(MID(SUBSTITUTE(SUBSTITUTE(SUBSTITUTE(SUBSTITUTE(SUBSTITUTE(LOWER(Registro!$F875)," ",""),CHAR(10),"|"),";","|"),"+","|"),"|",REPT(" ",LEN(Registro!$F875))),({1,2,3,4,5,6,7,8,9,10,11,12,13,14,15,16,17,18,19,20,21,22,23,24,25,26,27,28,29,30}-1)*LEN(Registro!$F875)+1,LEN(Registro!$F875))),FIND("x",TRIM(MID(SUBSTITUTE(SUBSTITUTE(SUBSTITUTE(SUBSTITUTE(SUBSTITUTE(LOWER(Registro!$F875)," ",""),CHAR(10),"|"),";","|"),"+","|"),"|",REPT(" ",LEN(Registro!$F875))),({1,2,3,4,5,6,7,8,9,10,11,12,13,14,15,16,17,18,19,20,21,22,23,24,25,26,27,28,29,30}-1)*LEN(Registro!$F875)+1,LEN(Registro!$F875)))&amp;"x")-1)),--("0"&amp;MID(TRIM(MID(SUBSTITUTE(SUBSTITUTE(SUBSTITUTE(SUBSTITUTE(SUBSTITUTE(LOWER(Registro!$F875)," ",""),CHAR(10),"|"),";","|"),"+","|"),"|",REPT(" ",LEN(Registro!$F875))),({1,2,3,4,5,6,7,8,9,10,11,12,13,14,15,16,17,18,19,20,21,22,23,24,25,26,27,28,29,30}-1)*LEN(Registro!$F875)+1,LEN(Registro!$F875))),FIND("x",TRIM(MID(SUBSTITUTE(SUBSTITUTE(SUBSTITUTE(SUBSTITUTE(SUBSTITUTE(LOWER(Registro!$F875)," ",""),CHAR(10),"|"),";","|"),"+","|"),"|",REPT(" ",LEN(Registro!$F875))),({1,2,3,4,5,6,7,8,9,10,11,12,13,14,15,16,17,18,19,20,21,22,23,24,25,26,27,28,29,30}-1)*LEN(Registro!$F875)+1,LEN(Registro!$F875)))&amp;"x")+1,20))),"Revisar formato")))</f>
        <v/>
      </c>
      <c r="H875" s="21" t="str">
        <f>IF(AND(Registro!$E875="",Registro!$F875=""),"",IF(NOT(AND(ISNUMBER(G875),ISNUMBER(Registro!$G875))),"",IF(G875&lt;Registro!$G875,"FALTA BOLETOS",IF(G875=Registro!$G875,"CONFORME","DIFERENCIA"))))</f>
        <v/>
      </c>
      <c r="I875" s="24" t="str">
        <f>IF(Registro!$H875="","",IFERROR(SUMPRODUCT(--("0"&amp;TRIM(RIGHT(SUBSTITUTE(TRIM(MID(SUBSTITUTE(SUBSTITUTE(Registro!$H875,";",CHAR(10)),CHAR(10),REPT(" ",LEN(Registro!$H875))),({1,2,3,4,5,6,7,8,9,10,11,12,13,14,15,16,17,18,19,20,21,22,23,24,25,26,27,28,29,30}-1)*LEN(Registro!$H875)+1,LEN(Registro!$H875)))," ",REPT(" ",50)),50)))),"Revisar formato"))</f>
        <v/>
      </c>
      <c r="J875" s="24" t="str">
        <f>IF(Registro!$I875="","",IFERROR(SUMPRODUCT(--("0"&amp;TRIM(RIGHT(SUBSTITUTE(TRIM(MID(SUBSTITUTE(SUBSTITUTE(Registro!$I875,";",CHAR(10)),CHAR(10),REPT(" ",LEN(Registro!$I875))),({1,2,3,4,5,6,7,8,9,10,11,12,13,14,15,16,17,18,19,20,21,22,23,24,25,26,27,28,29,30}-1)*LEN(Registro!$I875)+1,LEN(Registro!$I875)))," ",REPT(" ",50)),50)))),"Revisar formato"))</f>
        <v/>
      </c>
      <c r="K875" s="24" t="str">
        <f>IF(AND(Registro!$G875="",Registro!$H875=""),"",IF(AND(ISTEXT(I875),I875&lt;&gt;""),"Revisar formato",N(Registro!$G875)-N(I875)))</f>
        <v/>
      </c>
      <c r="L875" s="24" t="str">
        <f t="shared" si="27"/>
        <v/>
      </c>
      <c r="M875" s="36" t="str">
        <f>IF(AND(A875=Consulta!$B$3,C875=Consulta!$H$3),B875*10000+ROW(),"")</f>
        <v/>
      </c>
    </row>
    <row r="876" spans="1:13" x14ac:dyDescent="0.25">
      <c r="A876" s="21" t="str">
        <f>IF(Registro!$A876="","",Registro!$A876)</f>
        <v/>
      </c>
      <c r="B876" s="20" t="str">
        <f>IF(Registro!$B876="","",Registro!$B876)</f>
        <v/>
      </c>
      <c r="C876" s="35" t="str">
        <f t="shared" si="26"/>
        <v/>
      </c>
      <c r="D876" s="23" t="str">
        <f>IF(Registro!$E876="","",IF(ISERROR(FIND("x",LOWER(Registro!$E876))),"-",IFERROR(SUMPRODUCT(--("0"&amp;LEFT(TRIM(MID(SUBSTITUTE(SUBSTITUTE(SUBSTITUTE(SUBSTITUTE(SUBSTITUTE(LOWER(Registro!$E876),"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",LEN(Registro!$E876))),({1,2,3,4,5,6,7,8,9,10,11,12,13,14,15,16,17,18,19,20,21,22,23,24,25,26,27,28,29,30}-1)*LEN(Registro!$E876)+1,LEN(Registro!$E876))),FIND("x",TRIM(MID(SUBSTITUTE(SUBSTITUTE(SUBSTITUTE(SUBSTITUTE(SUBSTITUTE(LOWER(Registro!$E876),"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",LEN(Registro!$E876))),({1,2,3,4,5,6,7,8,9,10,11,12,13,14,15,16,17,18,19,20,21,22,23,24,25,26,27,28,29,30}-1)*LEN(Registro!$E876)+1,LEN(Registro!$E876)))&amp;"x")-1))),"Revisar formato")))</f>
        <v/>
      </c>
      <c r="E876" s="24" t="str">
        <f>IF(Registro!$E876="","",IF(ISERROR(FIND("x",LOWER(Registro!$E876))),"-",IFERROR(SUMPRODUCT(--("0"&amp;LEFT(TRIM(MID(SUBSTITUTE(SUBSTITUTE(SUBSTITUTE(SUBSTITUTE(SUBSTITUTE(LOWER(Registro!$E876),"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",LEN(Registro!$E876))),({1,2,3,4,5,6,7,8,9,10,11,12,13,14,15,16,17,18,19,20,21,22,23,24,25,26,27,28,29,30}-1)*LEN(Registro!$E876)+1,LEN(Registro!$E876))),FIND("x",TRIM(MID(SUBSTITUTE(SUBSTITUTE(SUBSTITUTE(SUBSTITUTE(SUBSTITUTE(LOWER(Registro!$E876),"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",LEN(Registro!$E876))),({1,2,3,4,5,6,7,8,9,10,11,12,13,14,15,16,17,18,19,20,21,22,23,24,25,26,27,28,29,30}-1)*LEN(Registro!$E876)+1,LEN(Registro!$E876)))&amp;"x")-1)),--("0"&amp;MID(TRIM(MID(SUBSTITUTE(SUBSTITUTE(SUBSTITUTE(SUBSTITUTE(SUBSTITUTE(LOWER(Registro!$E876),"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",LEN(Registro!$E876))),({1,2,3,4,5,6,7,8,9,10,11,12,13,14,15,16,17,18,19,20,21,22,23,24,25,26,27,28,29,30}-1)*LEN(Registro!$E876)+1,LEN(Registro!$E876))),FIND("x",TRIM(MID(SUBSTITUTE(SUBSTITUTE(SUBSTITUTE(SUBSTITUTE(SUBSTITUTE(LOWER(Registro!$E876),"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",LEN(Registro!$E876))),({1,2,3,4,5,6,7,8,9,10,11,12,13,14,15,16,17,18,19,20,21,22,23,24,25,26,27,28,29,30}-1)*LEN(Registro!$E876)+1,LEN(Registro!$E876)))&amp;"x")+1,20))),"Revisar formato")))</f>
        <v/>
      </c>
      <c r="F876" s="23" t="str">
        <f>IF(Registro!$F876="","",IF(ISERROR(FIND("x",LOWER(Registro!$F876))),"-",IFERROR(SUMPRODUCT(--("0"&amp;LEFT(TRIM(MID(SUBSTITUTE(SUBSTITUTE(SUBSTITUTE(SUBSTITUTE(SUBSTITUTE(LOWER(Registro!$F876)," ",""),CHAR(10),"|"),";","|"),"+","|"),"|",REPT(" ",LEN(Registro!$F876))),({1,2,3,4,5,6,7,8,9,10,11,12,13,14,15,16,17,18,19,20,21,22,23,24,25,26,27,28,29,30}-1)*LEN(Registro!$F876)+1,LEN(Registro!$F876))),FIND("x",TRIM(MID(SUBSTITUTE(SUBSTITUTE(SUBSTITUTE(SUBSTITUTE(SUBSTITUTE(LOWER(Registro!$F876)," ",""),CHAR(10),"|"),";","|"),"+","|"),"|",REPT(" ",LEN(Registro!$F876))),({1,2,3,4,5,6,7,8,9,10,11,12,13,14,15,16,17,18,19,20,21,22,23,24,25,26,27,28,29,30}-1)*LEN(Registro!$F876)+1,LEN(Registro!$F876)))&amp;"x")-1))),"Revisar formato")))</f>
        <v/>
      </c>
      <c r="G876" s="24" t="str">
        <f>IF(Registro!$F876="","",IF(ISERROR(FIND("x",LOWER(Registro!$F876))),N(Registro!$G876),IFERROR(SUMPRODUCT(--("0"&amp;LEFT(TRIM(MID(SUBSTITUTE(SUBSTITUTE(SUBSTITUTE(SUBSTITUTE(SUBSTITUTE(LOWER(Registro!$F876)," ",""),CHAR(10),"|"),";","|"),"+","|"),"|",REPT(" ",LEN(Registro!$F876))),({1,2,3,4,5,6,7,8,9,10,11,12,13,14,15,16,17,18,19,20,21,22,23,24,25,26,27,28,29,30}-1)*LEN(Registro!$F876)+1,LEN(Registro!$F876))),FIND("x",TRIM(MID(SUBSTITUTE(SUBSTITUTE(SUBSTITUTE(SUBSTITUTE(SUBSTITUTE(LOWER(Registro!$F876)," ",""),CHAR(10),"|"),";","|"),"+","|"),"|",REPT(" ",LEN(Registro!$F876))),({1,2,3,4,5,6,7,8,9,10,11,12,13,14,15,16,17,18,19,20,21,22,23,24,25,26,27,28,29,30}-1)*LEN(Registro!$F876)+1,LEN(Registro!$F876)))&amp;"x")-1)),--("0"&amp;MID(TRIM(MID(SUBSTITUTE(SUBSTITUTE(SUBSTITUTE(SUBSTITUTE(SUBSTITUTE(LOWER(Registro!$F876)," ",""),CHAR(10),"|"),";","|"),"+","|"),"|",REPT(" ",LEN(Registro!$F876))),({1,2,3,4,5,6,7,8,9,10,11,12,13,14,15,16,17,18,19,20,21,22,23,24,25,26,27,28,29,30}-1)*LEN(Registro!$F876)+1,LEN(Registro!$F876))),FIND("x",TRIM(MID(SUBSTITUTE(SUBSTITUTE(SUBSTITUTE(SUBSTITUTE(SUBSTITUTE(LOWER(Registro!$F876)," ",""),CHAR(10),"|"),";","|"),"+","|"),"|",REPT(" ",LEN(Registro!$F876))),({1,2,3,4,5,6,7,8,9,10,11,12,13,14,15,16,17,18,19,20,21,22,23,24,25,26,27,28,29,30}-1)*LEN(Registro!$F876)+1,LEN(Registro!$F876)))&amp;"x")+1,20))),"Revisar formato")))</f>
        <v/>
      </c>
      <c r="H876" s="21" t="str">
        <f>IF(AND(Registro!$E876="",Registro!$F876=""),"",IF(NOT(AND(ISNUMBER(G876),ISNUMBER(Registro!$G876))),"",IF(G876&lt;Registro!$G876,"FALTA BOLETOS",IF(G876=Registro!$G876,"CONFORME","DIFERENCIA"))))</f>
        <v/>
      </c>
      <c r="I876" s="24" t="str">
        <f>IF(Registro!$H876="","",IFERROR(SUMPRODUCT(--("0"&amp;TRIM(RIGHT(SUBSTITUTE(TRIM(MID(SUBSTITUTE(SUBSTITUTE(Registro!$H876,";",CHAR(10)),CHAR(10),REPT(" ",LEN(Registro!$H876))),({1,2,3,4,5,6,7,8,9,10,11,12,13,14,15,16,17,18,19,20,21,22,23,24,25,26,27,28,29,30}-1)*LEN(Registro!$H876)+1,LEN(Registro!$H876)))," ",REPT(" ",50)),50)))),"Revisar formato"))</f>
        <v/>
      </c>
      <c r="J876" s="24" t="str">
        <f>IF(Registro!$I876="","",IFERROR(SUMPRODUCT(--("0"&amp;TRIM(RIGHT(SUBSTITUTE(TRIM(MID(SUBSTITUTE(SUBSTITUTE(Registro!$I876,";",CHAR(10)),CHAR(10),REPT(" ",LEN(Registro!$I876))),({1,2,3,4,5,6,7,8,9,10,11,12,13,14,15,16,17,18,19,20,21,22,23,24,25,26,27,28,29,30}-1)*LEN(Registro!$I876)+1,LEN(Registro!$I876)))," ",REPT(" ",50)),50)))),"Revisar formato"))</f>
        <v/>
      </c>
      <c r="K876" s="24" t="str">
        <f>IF(AND(Registro!$G876="",Registro!$H876=""),"",IF(AND(ISTEXT(I876),I876&lt;&gt;""),"Revisar formato",N(Registro!$G876)-N(I876)))</f>
        <v/>
      </c>
      <c r="L876" s="24" t="str">
        <f t="shared" si="27"/>
        <v/>
      </c>
      <c r="M876" s="36" t="str">
        <f>IF(AND(A876=Consulta!$B$3,C876=Consulta!$H$3),B876*10000+ROW(),"")</f>
        <v/>
      </c>
    </row>
    <row r="877" spans="1:13" x14ac:dyDescent="0.25">
      <c r="A877" s="21" t="str">
        <f>IF(Registro!$A877="","",Registro!$A877)</f>
        <v/>
      </c>
      <c r="B877" s="20" t="str">
        <f>IF(Registro!$B877="","",Registro!$B877)</f>
        <v/>
      </c>
      <c r="C877" s="35" t="str">
        <f t="shared" si="26"/>
        <v/>
      </c>
      <c r="D877" s="23" t="str">
        <f>IF(Registro!$E877="","",IF(ISERROR(FIND("x",LOWER(Registro!$E877))),"-",IFERROR(SUMPRODUCT(--("0"&amp;LEFT(TRIM(MID(SUBSTITUTE(SUBSTITUTE(SUBSTITUTE(SUBSTITUTE(SUBSTITUTE(LOWER(Registro!$E877),"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",LEN(Registro!$E877))),({1,2,3,4,5,6,7,8,9,10,11,12,13,14,15,16,17,18,19,20,21,22,23,24,25,26,27,28,29,30}-1)*LEN(Registro!$E877)+1,LEN(Registro!$E877))),FIND("x",TRIM(MID(SUBSTITUTE(SUBSTITUTE(SUBSTITUTE(SUBSTITUTE(SUBSTITUTE(LOWER(Registro!$E877),"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",LEN(Registro!$E877))),({1,2,3,4,5,6,7,8,9,10,11,12,13,14,15,16,17,18,19,20,21,22,23,24,25,26,27,28,29,30}-1)*LEN(Registro!$E877)+1,LEN(Registro!$E877)))&amp;"x")-1))),"Revisar formato")))</f>
        <v/>
      </c>
      <c r="E877" s="24" t="str">
        <f>IF(Registro!$E877="","",IF(ISERROR(FIND("x",LOWER(Registro!$E877))),"-",IFERROR(SUMPRODUCT(--("0"&amp;LEFT(TRIM(MID(SUBSTITUTE(SUBSTITUTE(SUBSTITUTE(SUBSTITUTE(SUBSTITUTE(LOWER(Registro!$E877),"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",LEN(Registro!$E877))),({1,2,3,4,5,6,7,8,9,10,11,12,13,14,15,16,17,18,19,20,21,22,23,24,25,26,27,28,29,30}-1)*LEN(Registro!$E877)+1,LEN(Registro!$E877))),FIND("x",TRIM(MID(SUBSTITUTE(SUBSTITUTE(SUBSTITUTE(SUBSTITUTE(SUBSTITUTE(LOWER(Registro!$E877),"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",LEN(Registro!$E877))),({1,2,3,4,5,6,7,8,9,10,11,12,13,14,15,16,17,18,19,20,21,22,23,24,25,26,27,28,29,30}-1)*LEN(Registro!$E877)+1,LEN(Registro!$E877)))&amp;"x")-1)),--("0"&amp;MID(TRIM(MID(SUBSTITUTE(SUBSTITUTE(SUBSTITUTE(SUBSTITUTE(SUBSTITUTE(LOWER(Registro!$E877),"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",LEN(Registro!$E877))),({1,2,3,4,5,6,7,8,9,10,11,12,13,14,15,16,17,18,19,20,21,22,23,24,25,26,27,28,29,30}-1)*LEN(Registro!$E877)+1,LEN(Registro!$E877))),FIND("x",TRIM(MID(SUBSTITUTE(SUBSTITUTE(SUBSTITUTE(SUBSTITUTE(SUBSTITUTE(LOWER(Registro!$E877),"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",LEN(Registro!$E877))),({1,2,3,4,5,6,7,8,9,10,11,12,13,14,15,16,17,18,19,20,21,22,23,24,25,26,27,28,29,30}-1)*LEN(Registro!$E877)+1,LEN(Registro!$E877)))&amp;"x")+1,20))),"Revisar formato")))</f>
        <v/>
      </c>
      <c r="F877" s="23" t="str">
        <f>IF(Registro!$F877="","",IF(ISERROR(FIND("x",LOWER(Registro!$F877))),"-",IFERROR(SUMPRODUCT(--("0"&amp;LEFT(TRIM(MID(SUBSTITUTE(SUBSTITUTE(SUBSTITUTE(SUBSTITUTE(SUBSTITUTE(LOWER(Registro!$F877)," ",""),CHAR(10),"|"),";","|"),"+","|"),"|",REPT(" ",LEN(Registro!$F877))),({1,2,3,4,5,6,7,8,9,10,11,12,13,14,15,16,17,18,19,20,21,22,23,24,25,26,27,28,29,30}-1)*LEN(Registro!$F877)+1,LEN(Registro!$F877))),FIND("x",TRIM(MID(SUBSTITUTE(SUBSTITUTE(SUBSTITUTE(SUBSTITUTE(SUBSTITUTE(LOWER(Registro!$F877)," ",""),CHAR(10),"|"),";","|"),"+","|"),"|",REPT(" ",LEN(Registro!$F877))),({1,2,3,4,5,6,7,8,9,10,11,12,13,14,15,16,17,18,19,20,21,22,23,24,25,26,27,28,29,30}-1)*LEN(Registro!$F877)+1,LEN(Registro!$F877)))&amp;"x")-1))),"Revisar formato")))</f>
        <v/>
      </c>
      <c r="G877" s="24" t="str">
        <f>IF(Registro!$F877="","",IF(ISERROR(FIND("x",LOWER(Registro!$F877))),N(Registro!$G877),IFERROR(SUMPRODUCT(--("0"&amp;LEFT(TRIM(MID(SUBSTITUTE(SUBSTITUTE(SUBSTITUTE(SUBSTITUTE(SUBSTITUTE(LOWER(Registro!$F877)," ",""),CHAR(10),"|"),";","|"),"+","|"),"|",REPT(" ",LEN(Registro!$F877))),({1,2,3,4,5,6,7,8,9,10,11,12,13,14,15,16,17,18,19,20,21,22,23,24,25,26,27,28,29,30}-1)*LEN(Registro!$F877)+1,LEN(Registro!$F877))),FIND("x",TRIM(MID(SUBSTITUTE(SUBSTITUTE(SUBSTITUTE(SUBSTITUTE(SUBSTITUTE(LOWER(Registro!$F877)," ",""),CHAR(10),"|"),";","|"),"+","|"),"|",REPT(" ",LEN(Registro!$F877))),({1,2,3,4,5,6,7,8,9,10,11,12,13,14,15,16,17,18,19,20,21,22,23,24,25,26,27,28,29,30}-1)*LEN(Registro!$F877)+1,LEN(Registro!$F877)))&amp;"x")-1)),--("0"&amp;MID(TRIM(MID(SUBSTITUTE(SUBSTITUTE(SUBSTITUTE(SUBSTITUTE(SUBSTITUTE(LOWER(Registro!$F877)," ",""),CHAR(10),"|"),";","|"),"+","|"),"|",REPT(" ",LEN(Registro!$F877))),({1,2,3,4,5,6,7,8,9,10,11,12,13,14,15,16,17,18,19,20,21,22,23,24,25,26,27,28,29,30}-1)*LEN(Registro!$F877)+1,LEN(Registro!$F877))),FIND("x",TRIM(MID(SUBSTITUTE(SUBSTITUTE(SUBSTITUTE(SUBSTITUTE(SUBSTITUTE(LOWER(Registro!$F877)," ",""),CHAR(10),"|"),";","|"),"+","|"),"|",REPT(" ",LEN(Registro!$F877))),({1,2,3,4,5,6,7,8,9,10,11,12,13,14,15,16,17,18,19,20,21,22,23,24,25,26,27,28,29,30}-1)*LEN(Registro!$F877)+1,LEN(Registro!$F877)))&amp;"x")+1,20))),"Revisar formato")))</f>
        <v/>
      </c>
      <c r="H877" s="21" t="str">
        <f>IF(AND(Registro!$E877="",Registro!$F877=""),"",IF(NOT(AND(ISNUMBER(G877),ISNUMBER(Registro!$G877))),"",IF(G877&lt;Registro!$G877,"FALTA BOLETOS",IF(G877=Registro!$G877,"CONFORME","DIFERENCIA"))))</f>
        <v/>
      </c>
      <c r="I877" s="24" t="str">
        <f>IF(Registro!$H877="","",IFERROR(SUMPRODUCT(--("0"&amp;TRIM(RIGHT(SUBSTITUTE(TRIM(MID(SUBSTITUTE(SUBSTITUTE(Registro!$H877,";",CHAR(10)),CHAR(10),REPT(" ",LEN(Registro!$H877))),({1,2,3,4,5,6,7,8,9,10,11,12,13,14,15,16,17,18,19,20,21,22,23,24,25,26,27,28,29,30}-1)*LEN(Registro!$H877)+1,LEN(Registro!$H877)))," ",REPT(" ",50)),50)))),"Revisar formato"))</f>
        <v/>
      </c>
      <c r="J877" s="24" t="str">
        <f>IF(Registro!$I877="","",IFERROR(SUMPRODUCT(--("0"&amp;TRIM(RIGHT(SUBSTITUTE(TRIM(MID(SUBSTITUTE(SUBSTITUTE(Registro!$I877,";",CHAR(10)),CHAR(10),REPT(" ",LEN(Registro!$I877))),({1,2,3,4,5,6,7,8,9,10,11,12,13,14,15,16,17,18,19,20,21,22,23,24,25,26,27,28,29,30}-1)*LEN(Registro!$I877)+1,LEN(Registro!$I877)))," ",REPT(" ",50)),50)))),"Revisar formato"))</f>
        <v/>
      </c>
      <c r="K877" s="24" t="str">
        <f>IF(AND(Registro!$G877="",Registro!$H877=""),"",IF(AND(ISTEXT(I877),I877&lt;&gt;""),"Revisar formato",N(Registro!$G877)-N(I877)))</f>
        <v/>
      </c>
      <c r="L877" s="24" t="str">
        <f t="shared" si="27"/>
        <v/>
      </c>
      <c r="M877" s="36" t="str">
        <f>IF(AND(A877=Consulta!$B$3,C877=Consulta!$H$3),B877*10000+ROW(),"")</f>
        <v/>
      </c>
    </row>
    <row r="878" spans="1:13" x14ac:dyDescent="0.25">
      <c r="A878" s="21" t="str">
        <f>IF(Registro!$A878="","",Registro!$A878)</f>
        <v/>
      </c>
      <c r="B878" s="20" t="str">
        <f>IF(Registro!$B878="","",Registro!$B878)</f>
        <v/>
      </c>
      <c r="C878" s="35" t="str">
        <f t="shared" si="26"/>
        <v/>
      </c>
      <c r="D878" s="23" t="str">
        <f>IF(Registro!$E878="","",IF(ISERROR(FIND("x",LOWER(Registro!$E878))),"-",IFERROR(SUMPRODUCT(--("0"&amp;LEFT(TRIM(MID(SUBSTITUTE(SUBSTITUTE(SUBSTITUTE(SUBSTITUTE(SUBSTITUTE(LOWER(Registro!$E878),"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",LEN(Registro!$E878))),({1,2,3,4,5,6,7,8,9,10,11,12,13,14,15,16,17,18,19,20,21,22,23,24,25,26,27,28,29,30}-1)*LEN(Registro!$E878)+1,LEN(Registro!$E878))),FIND("x",TRIM(MID(SUBSTITUTE(SUBSTITUTE(SUBSTITUTE(SUBSTITUTE(SUBSTITUTE(LOWER(Registro!$E878),"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",LEN(Registro!$E878))),({1,2,3,4,5,6,7,8,9,10,11,12,13,14,15,16,17,18,19,20,21,22,23,24,25,26,27,28,29,30}-1)*LEN(Registro!$E878)+1,LEN(Registro!$E878)))&amp;"x")-1))),"Revisar formato")))</f>
        <v/>
      </c>
      <c r="E878" s="24" t="str">
        <f>IF(Registro!$E878="","",IF(ISERROR(FIND("x",LOWER(Registro!$E878))),"-",IFERROR(SUMPRODUCT(--("0"&amp;LEFT(TRIM(MID(SUBSTITUTE(SUBSTITUTE(SUBSTITUTE(SUBSTITUTE(SUBSTITUTE(LOWER(Registro!$E878),"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",LEN(Registro!$E878))),({1,2,3,4,5,6,7,8,9,10,11,12,13,14,15,16,17,18,19,20,21,22,23,24,25,26,27,28,29,30}-1)*LEN(Registro!$E878)+1,LEN(Registro!$E878))),FIND("x",TRIM(MID(SUBSTITUTE(SUBSTITUTE(SUBSTITUTE(SUBSTITUTE(SUBSTITUTE(LOWER(Registro!$E878),"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",LEN(Registro!$E878))),({1,2,3,4,5,6,7,8,9,10,11,12,13,14,15,16,17,18,19,20,21,22,23,24,25,26,27,28,29,30}-1)*LEN(Registro!$E878)+1,LEN(Registro!$E878)))&amp;"x")-1)),--("0"&amp;MID(TRIM(MID(SUBSTITUTE(SUBSTITUTE(SUBSTITUTE(SUBSTITUTE(SUBSTITUTE(LOWER(Registro!$E878),"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",LEN(Registro!$E878))),({1,2,3,4,5,6,7,8,9,10,11,12,13,14,15,16,17,18,19,20,21,22,23,24,25,26,27,28,29,30}-1)*LEN(Registro!$E878)+1,LEN(Registro!$E878))),FIND("x",TRIM(MID(SUBSTITUTE(SUBSTITUTE(SUBSTITUTE(SUBSTITUTE(SUBSTITUTE(LOWER(Registro!$E878),"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",LEN(Registro!$E878))),({1,2,3,4,5,6,7,8,9,10,11,12,13,14,15,16,17,18,19,20,21,22,23,24,25,26,27,28,29,30}-1)*LEN(Registro!$E878)+1,LEN(Registro!$E878)))&amp;"x")+1,20))),"Revisar formato")))</f>
        <v/>
      </c>
      <c r="F878" s="23" t="str">
        <f>IF(Registro!$F878="","",IF(ISERROR(FIND("x",LOWER(Registro!$F878))),"-",IFERROR(SUMPRODUCT(--("0"&amp;LEFT(TRIM(MID(SUBSTITUTE(SUBSTITUTE(SUBSTITUTE(SUBSTITUTE(SUBSTITUTE(LOWER(Registro!$F878)," ",""),CHAR(10),"|"),";","|"),"+","|"),"|",REPT(" ",LEN(Registro!$F878))),({1,2,3,4,5,6,7,8,9,10,11,12,13,14,15,16,17,18,19,20,21,22,23,24,25,26,27,28,29,30}-1)*LEN(Registro!$F878)+1,LEN(Registro!$F878))),FIND("x",TRIM(MID(SUBSTITUTE(SUBSTITUTE(SUBSTITUTE(SUBSTITUTE(SUBSTITUTE(LOWER(Registro!$F878)," ",""),CHAR(10),"|"),";","|"),"+","|"),"|",REPT(" ",LEN(Registro!$F878))),({1,2,3,4,5,6,7,8,9,10,11,12,13,14,15,16,17,18,19,20,21,22,23,24,25,26,27,28,29,30}-1)*LEN(Registro!$F878)+1,LEN(Registro!$F878)))&amp;"x")-1))),"Revisar formato")))</f>
        <v/>
      </c>
      <c r="G878" s="24" t="str">
        <f>IF(Registro!$F878="","",IF(ISERROR(FIND("x",LOWER(Registro!$F878))),N(Registro!$G878),IFERROR(SUMPRODUCT(--("0"&amp;LEFT(TRIM(MID(SUBSTITUTE(SUBSTITUTE(SUBSTITUTE(SUBSTITUTE(SUBSTITUTE(LOWER(Registro!$F878)," ",""),CHAR(10),"|"),";","|"),"+","|"),"|",REPT(" ",LEN(Registro!$F878))),({1,2,3,4,5,6,7,8,9,10,11,12,13,14,15,16,17,18,19,20,21,22,23,24,25,26,27,28,29,30}-1)*LEN(Registro!$F878)+1,LEN(Registro!$F878))),FIND("x",TRIM(MID(SUBSTITUTE(SUBSTITUTE(SUBSTITUTE(SUBSTITUTE(SUBSTITUTE(LOWER(Registro!$F878)," ",""),CHAR(10),"|"),";","|"),"+","|"),"|",REPT(" ",LEN(Registro!$F878))),({1,2,3,4,5,6,7,8,9,10,11,12,13,14,15,16,17,18,19,20,21,22,23,24,25,26,27,28,29,30}-1)*LEN(Registro!$F878)+1,LEN(Registro!$F878)))&amp;"x")-1)),--("0"&amp;MID(TRIM(MID(SUBSTITUTE(SUBSTITUTE(SUBSTITUTE(SUBSTITUTE(SUBSTITUTE(LOWER(Registro!$F878)," ",""),CHAR(10),"|"),";","|"),"+","|"),"|",REPT(" ",LEN(Registro!$F878))),({1,2,3,4,5,6,7,8,9,10,11,12,13,14,15,16,17,18,19,20,21,22,23,24,25,26,27,28,29,30}-1)*LEN(Registro!$F878)+1,LEN(Registro!$F878))),FIND("x",TRIM(MID(SUBSTITUTE(SUBSTITUTE(SUBSTITUTE(SUBSTITUTE(SUBSTITUTE(LOWER(Registro!$F878)," ",""),CHAR(10),"|"),";","|"),"+","|"),"|",REPT(" ",LEN(Registro!$F878))),({1,2,3,4,5,6,7,8,9,10,11,12,13,14,15,16,17,18,19,20,21,22,23,24,25,26,27,28,29,30}-1)*LEN(Registro!$F878)+1,LEN(Registro!$F878)))&amp;"x")+1,20))),"Revisar formato")))</f>
        <v/>
      </c>
      <c r="H878" s="21" t="str">
        <f>IF(AND(Registro!$E878="",Registro!$F878=""),"",IF(NOT(AND(ISNUMBER(G878),ISNUMBER(Registro!$G878))),"",IF(G878&lt;Registro!$G878,"FALTA BOLETOS",IF(G878=Registro!$G878,"CONFORME","DIFERENCIA"))))</f>
        <v/>
      </c>
      <c r="I878" s="24" t="str">
        <f>IF(Registro!$H878="","",IFERROR(SUMPRODUCT(--("0"&amp;TRIM(RIGHT(SUBSTITUTE(TRIM(MID(SUBSTITUTE(SUBSTITUTE(Registro!$H878,";",CHAR(10)),CHAR(10),REPT(" ",LEN(Registro!$H878))),({1,2,3,4,5,6,7,8,9,10,11,12,13,14,15,16,17,18,19,20,21,22,23,24,25,26,27,28,29,30}-1)*LEN(Registro!$H878)+1,LEN(Registro!$H878)))," ",REPT(" ",50)),50)))),"Revisar formato"))</f>
        <v/>
      </c>
      <c r="J878" s="24" t="str">
        <f>IF(Registro!$I878="","",IFERROR(SUMPRODUCT(--("0"&amp;TRIM(RIGHT(SUBSTITUTE(TRIM(MID(SUBSTITUTE(SUBSTITUTE(Registro!$I878,";",CHAR(10)),CHAR(10),REPT(" ",LEN(Registro!$I878))),({1,2,3,4,5,6,7,8,9,10,11,12,13,14,15,16,17,18,19,20,21,22,23,24,25,26,27,28,29,30}-1)*LEN(Registro!$I878)+1,LEN(Registro!$I878)))," ",REPT(" ",50)),50)))),"Revisar formato"))</f>
        <v/>
      </c>
      <c r="K878" s="24" t="str">
        <f>IF(AND(Registro!$G878="",Registro!$H878=""),"",IF(AND(ISTEXT(I878),I878&lt;&gt;""),"Revisar formato",N(Registro!$G878)-N(I878)))</f>
        <v/>
      </c>
      <c r="L878" s="24" t="str">
        <f t="shared" si="27"/>
        <v/>
      </c>
      <c r="M878" s="36" t="str">
        <f>IF(AND(A878=Consulta!$B$3,C878=Consulta!$H$3),B878*10000+ROW(),"")</f>
        <v/>
      </c>
    </row>
    <row r="879" spans="1:13" x14ac:dyDescent="0.25">
      <c r="A879" s="21" t="str">
        <f>IF(Registro!$A879="","",Registro!$A879)</f>
        <v/>
      </c>
      <c r="B879" s="20" t="str">
        <f>IF(Registro!$B879="","",Registro!$B879)</f>
        <v/>
      </c>
      <c r="C879" s="35" t="str">
        <f t="shared" si="26"/>
        <v/>
      </c>
      <c r="D879" s="23" t="str">
        <f>IF(Registro!$E879="","",IF(ISERROR(FIND("x",LOWER(Registro!$E879))),"-",IFERROR(SUMPRODUCT(--("0"&amp;LEFT(TRIM(MID(SUBSTITUTE(SUBSTITUTE(SUBSTITUTE(SUBSTITUTE(SUBSTITUTE(LOWER(Registro!$E879),"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",LEN(Registro!$E879))),({1,2,3,4,5,6,7,8,9,10,11,12,13,14,15,16,17,18,19,20,21,22,23,24,25,26,27,28,29,30}-1)*LEN(Registro!$E879)+1,LEN(Registro!$E879))),FIND("x",TRIM(MID(SUBSTITUTE(SUBSTITUTE(SUBSTITUTE(SUBSTITUTE(SUBSTITUTE(LOWER(Registro!$E879),"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",LEN(Registro!$E879))),({1,2,3,4,5,6,7,8,9,10,11,12,13,14,15,16,17,18,19,20,21,22,23,24,25,26,27,28,29,30}-1)*LEN(Registro!$E879)+1,LEN(Registro!$E879)))&amp;"x")-1))),"Revisar formato")))</f>
        <v/>
      </c>
      <c r="E879" s="24" t="str">
        <f>IF(Registro!$E879="","",IF(ISERROR(FIND("x",LOWER(Registro!$E879))),"-",IFERROR(SUMPRODUCT(--("0"&amp;LEFT(TRIM(MID(SUBSTITUTE(SUBSTITUTE(SUBSTITUTE(SUBSTITUTE(SUBSTITUTE(LOWER(Registro!$E879),"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",LEN(Registro!$E879))),({1,2,3,4,5,6,7,8,9,10,11,12,13,14,15,16,17,18,19,20,21,22,23,24,25,26,27,28,29,30}-1)*LEN(Registro!$E879)+1,LEN(Registro!$E879))),FIND("x",TRIM(MID(SUBSTITUTE(SUBSTITUTE(SUBSTITUTE(SUBSTITUTE(SUBSTITUTE(LOWER(Registro!$E879),"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",LEN(Registro!$E879))),({1,2,3,4,5,6,7,8,9,10,11,12,13,14,15,16,17,18,19,20,21,22,23,24,25,26,27,28,29,30}-1)*LEN(Registro!$E879)+1,LEN(Registro!$E879)))&amp;"x")-1)),--("0"&amp;MID(TRIM(MID(SUBSTITUTE(SUBSTITUTE(SUBSTITUTE(SUBSTITUTE(SUBSTITUTE(LOWER(Registro!$E879),"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",LEN(Registro!$E879))),({1,2,3,4,5,6,7,8,9,10,11,12,13,14,15,16,17,18,19,20,21,22,23,24,25,26,27,28,29,30}-1)*LEN(Registro!$E879)+1,LEN(Registro!$E879))),FIND("x",TRIM(MID(SUBSTITUTE(SUBSTITUTE(SUBSTITUTE(SUBSTITUTE(SUBSTITUTE(LOWER(Registro!$E879),"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",LEN(Registro!$E879))),({1,2,3,4,5,6,7,8,9,10,11,12,13,14,15,16,17,18,19,20,21,22,23,24,25,26,27,28,29,30}-1)*LEN(Registro!$E879)+1,LEN(Registro!$E879)))&amp;"x")+1,20))),"Revisar formato")))</f>
        <v/>
      </c>
      <c r="F879" s="23" t="str">
        <f>IF(Registro!$F879="","",IF(ISERROR(FIND("x",LOWER(Registro!$F879))),"-",IFERROR(SUMPRODUCT(--("0"&amp;LEFT(TRIM(MID(SUBSTITUTE(SUBSTITUTE(SUBSTITUTE(SUBSTITUTE(SUBSTITUTE(LOWER(Registro!$F879)," ",""),CHAR(10),"|"),";","|"),"+","|"),"|",REPT(" ",LEN(Registro!$F879))),({1,2,3,4,5,6,7,8,9,10,11,12,13,14,15,16,17,18,19,20,21,22,23,24,25,26,27,28,29,30}-1)*LEN(Registro!$F879)+1,LEN(Registro!$F879))),FIND("x",TRIM(MID(SUBSTITUTE(SUBSTITUTE(SUBSTITUTE(SUBSTITUTE(SUBSTITUTE(LOWER(Registro!$F879)," ",""),CHAR(10),"|"),";","|"),"+","|"),"|",REPT(" ",LEN(Registro!$F879))),({1,2,3,4,5,6,7,8,9,10,11,12,13,14,15,16,17,18,19,20,21,22,23,24,25,26,27,28,29,30}-1)*LEN(Registro!$F879)+1,LEN(Registro!$F879)))&amp;"x")-1))),"Revisar formato")))</f>
        <v/>
      </c>
      <c r="G879" s="24" t="str">
        <f>IF(Registro!$F879="","",IF(ISERROR(FIND("x",LOWER(Registro!$F879))),N(Registro!$G879),IFERROR(SUMPRODUCT(--("0"&amp;LEFT(TRIM(MID(SUBSTITUTE(SUBSTITUTE(SUBSTITUTE(SUBSTITUTE(SUBSTITUTE(LOWER(Registro!$F879)," ",""),CHAR(10),"|"),";","|"),"+","|"),"|",REPT(" ",LEN(Registro!$F879))),({1,2,3,4,5,6,7,8,9,10,11,12,13,14,15,16,17,18,19,20,21,22,23,24,25,26,27,28,29,30}-1)*LEN(Registro!$F879)+1,LEN(Registro!$F879))),FIND("x",TRIM(MID(SUBSTITUTE(SUBSTITUTE(SUBSTITUTE(SUBSTITUTE(SUBSTITUTE(LOWER(Registro!$F879)," ",""),CHAR(10),"|"),";","|"),"+","|"),"|",REPT(" ",LEN(Registro!$F879))),({1,2,3,4,5,6,7,8,9,10,11,12,13,14,15,16,17,18,19,20,21,22,23,24,25,26,27,28,29,30}-1)*LEN(Registro!$F879)+1,LEN(Registro!$F879)))&amp;"x")-1)),--("0"&amp;MID(TRIM(MID(SUBSTITUTE(SUBSTITUTE(SUBSTITUTE(SUBSTITUTE(SUBSTITUTE(LOWER(Registro!$F879)," ",""),CHAR(10),"|"),";","|"),"+","|"),"|",REPT(" ",LEN(Registro!$F879))),({1,2,3,4,5,6,7,8,9,10,11,12,13,14,15,16,17,18,19,20,21,22,23,24,25,26,27,28,29,30}-1)*LEN(Registro!$F879)+1,LEN(Registro!$F879))),FIND("x",TRIM(MID(SUBSTITUTE(SUBSTITUTE(SUBSTITUTE(SUBSTITUTE(SUBSTITUTE(LOWER(Registro!$F879)," ",""),CHAR(10),"|"),";","|"),"+","|"),"|",REPT(" ",LEN(Registro!$F879))),({1,2,3,4,5,6,7,8,9,10,11,12,13,14,15,16,17,18,19,20,21,22,23,24,25,26,27,28,29,30}-1)*LEN(Registro!$F879)+1,LEN(Registro!$F879)))&amp;"x")+1,20))),"Revisar formato")))</f>
        <v/>
      </c>
      <c r="H879" s="21" t="str">
        <f>IF(AND(Registro!$E879="",Registro!$F879=""),"",IF(NOT(AND(ISNUMBER(G879),ISNUMBER(Registro!$G879))),"",IF(G879&lt;Registro!$G879,"FALTA BOLETOS",IF(G879=Registro!$G879,"CONFORME","DIFERENCIA"))))</f>
        <v/>
      </c>
      <c r="I879" s="24" t="str">
        <f>IF(Registro!$H879="","",IFERROR(SUMPRODUCT(--("0"&amp;TRIM(RIGHT(SUBSTITUTE(TRIM(MID(SUBSTITUTE(SUBSTITUTE(Registro!$H879,";",CHAR(10)),CHAR(10),REPT(" ",LEN(Registro!$H879))),({1,2,3,4,5,6,7,8,9,10,11,12,13,14,15,16,17,18,19,20,21,22,23,24,25,26,27,28,29,30}-1)*LEN(Registro!$H879)+1,LEN(Registro!$H879)))," ",REPT(" ",50)),50)))),"Revisar formato"))</f>
        <v/>
      </c>
      <c r="J879" s="24" t="str">
        <f>IF(Registro!$I879="","",IFERROR(SUMPRODUCT(--("0"&amp;TRIM(RIGHT(SUBSTITUTE(TRIM(MID(SUBSTITUTE(SUBSTITUTE(Registro!$I879,";",CHAR(10)),CHAR(10),REPT(" ",LEN(Registro!$I879))),({1,2,3,4,5,6,7,8,9,10,11,12,13,14,15,16,17,18,19,20,21,22,23,24,25,26,27,28,29,30}-1)*LEN(Registro!$I879)+1,LEN(Registro!$I879)))," ",REPT(" ",50)),50)))),"Revisar formato"))</f>
        <v/>
      </c>
      <c r="K879" s="24" t="str">
        <f>IF(AND(Registro!$G879="",Registro!$H879=""),"",IF(AND(ISTEXT(I879),I879&lt;&gt;""),"Revisar formato",N(Registro!$G879)-N(I879)))</f>
        <v/>
      </c>
      <c r="L879" s="24" t="str">
        <f t="shared" si="27"/>
        <v/>
      </c>
      <c r="M879" s="36" t="str">
        <f>IF(AND(A879=Consulta!$B$3,C879=Consulta!$H$3),B879*10000+ROW(),"")</f>
        <v/>
      </c>
    </row>
    <row r="880" spans="1:13" x14ac:dyDescent="0.25">
      <c r="A880" s="21" t="str">
        <f>IF(Registro!$A880="","",Registro!$A880)</f>
        <v/>
      </c>
      <c r="B880" s="20" t="str">
        <f>IF(Registro!$B880="","",Registro!$B880)</f>
        <v/>
      </c>
      <c r="C880" s="35" t="str">
        <f t="shared" si="26"/>
        <v/>
      </c>
      <c r="D880" s="23" t="str">
        <f>IF(Registro!$E880="","",IF(ISERROR(FIND("x",LOWER(Registro!$E880))),"-",IFERROR(SUMPRODUCT(--("0"&amp;LEFT(TRIM(MID(SUBSTITUTE(SUBSTITUTE(SUBSTITUTE(SUBSTITUTE(SUBSTITUTE(LOWER(Registro!$E880),"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",LEN(Registro!$E880))),({1,2,3,4,5,6,7,8,9,10,11,12,13,14,15,16,17,18,19,20,21,22,23,24,25,26,27,28,29,30}-1)*LEN(Registro!$E880)+1,LEN(Registro!$E880))),FIND("x",TRIM(MID(SUBSTITUTE(SUBSTITUTE(SUBSTITUTE(SUBSTITUTE(SUBSTITUTE(LOWER(Registro!$E880),"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",LEN(Registro!$E880))),({1,2,3,4,5,6,7,8,9,10,11,12,13,14,15,16,17,18,19,20,21,22,23,24,25,26,27,28,29,30}-1)*LEN(Registro!$E880)+1,LEN(Registro!$E880)))&amp;"x")-1))),"Revisar formato")))</f>
        <v/>
      </c>
      <c r="E880" s="24" t="str">
        <f>IF(Registro!$E880="","",IF(ISERROR(FIND("x",LOWER(Registro!$E880))),"-",IFERROR(SUMPRODUCT(--("0"&amp;LEFT(TRIM(MID(SUBSTITUTE(SUBSTITUTE(SUBSTITUTE(SUBSTITUTE(SUBSTITUTE(LOWER(Registro!$E880),"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",LEN(Registro!$E880))),({1,2,3,4,5,6,7,8,9,10,11,12,13,14,15,16,17,18,19,20,21,22,23,24,25,26,27,28,29,30}-1)*LEN(Registro!$E880)+1,LEN(Registro!$E880))),FIND("x",TRIM(MID(SUBSTITUTE(SUBSTITUTE(SUBSTITUTE(SUBSTITUTE(SUBSTITUTE(LOWER(Registro!$E880),"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",LEN(Registro!$E880))),({1,2,3,4,5,6,7,8,9,10,11,12,13,14,15,16,17,18,19,20,21,22,23,24,25,26,27,28,29,30}-1)*LEN(Registro!$E880)+1,LEN(Registro!$E880)))&amp;"x")-1)),--("0"&amp;MID(TRIM(MID(SUBSTITUTE(SUBSTITUTE(SUBSTITUTE(SUBSTITUTE(SUBSTITUTE(LOWER(Registro!$E880),"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",LEN(Registro!$E880))),({1,2,3,4,5,6,7,8,9,10,11,12,13,14,15,16,17,18,19,20,21,22,23,24,25,26,27,28,29,30}-1)*LEN(Registro!$E880)+1,LEN(Registro!$E880))),FIND("x",TRIM(MID(SUBSTITUTE(SUBSTITUTE(SUBSTITUTE(SUBSTITUTE(SUBSTITUTE(LOWER(Registro!$E880),"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",LEN(Registro!$E880))),({1,2,3,4,5,6,7,8,9,10,11,12,13,14,15,16,17,18,19,20,21,22,23,24,25,26,27,28,29,30}-1)*LEN(Registro!$E880)+1,LEN(Registro!$E880)))&amp;"x")+1,20))),"Revisar formato")))</f>
        <v/>
      </c>
      <c r="F880" s="23" t="str">
        <f>IF(Registro!$F880="","",IF(ISERROR(FIND("x",LOWER(Registro!$F880))),"-",IFERROR(SUMPRODUCT(--("0"&amp;LEFT(TRIM(MID(SUBSTITUTE(SUBSTITUTE(SUBSTITUTE(SUBSTITUTE(SUBSTITUTE(LOWER(Registro!$F880)," ",""),CHAR(10),"|"),";","|"),"+","|"),"|",REPT(" ",LEN(Registro!$F880))),({1,2,3,4,5,6,7,8,9,10,11,12,13,14,15,16,17,18,19,20,21,22,23,24,25,26,27,28,29,30}-1)*LEN(Registro!$F880)+1,LEN(Registro!$F880))),FIND("x",TRIM(MID(SUBSTITUTE(SUBSTITUTE(SUBSTITUTE(SUBSTITUTE(SUBSTITUTE(LOWER(Registro!$F880)," ",""),CHAR(10),"|"),";","|"),"+","|"),"|",REPT(" ",LEN(Registro!$F880))),({1,2,3,4,5,6,7,8,9,10,11,12,13,14,15,16,17,18,19,20,21,22,23,24,25,26,27,28,29,30}-1)*LEN(Registro!$F880)+1,LEN(Registro!$F880)))&amp;"x")-1))),"Revisar formato")))</f>
        <v/>
      </c>
      <c r="G880" s="24" t="str">
        <f>IF(Registro!$F880="","",IF(ISERROR(FIND("x",LOWER(Registro!$F880))),N(Registro!$G880),IFERROR(SUMPRODUCT(--("0"&amp;LEFT(TRIM(MID(SUBSTITUTE(SUBSTITUTE(SUBSTITUTE(SUBSTITUTE(SUBSTITUTE(LOWER(Registro!$F880)," ",""),CHAR(10),"|"),";","|"),"+","|"),"|",REPT(" ",LEN(Registro!$F880))),({1,2,3,4,5,6,7,8,9,10,11,12,13,14,15,16,17,18,19,20,21,22,23,24,25,26,27,28,29,30}-1)*LEN(Registro!$F880)+1,LEN(Registro!$F880))),FIND("x",TRIM(MID(SUBSTITUTE(SUBSTITUTE(SUBSTITUTE(SUBSTITUTE(SUBSTITUTE(LOWER(Registro!$F880)," ",""),CHAR(10),"|"),";","|"),"+","|"),"|",REPT(" ",LEN(Registro!$F880))),({1,2,3,4,5,6,7,8,9,10,11,12,13,14,15,16,17,18,19,20,21,22,23,24,25,26,27,28,29,30}-1)*LEN(Registro!$F880)+1,LEN(Registro!$F880)))&amp;"x")-1)),--("0"&amp;MID(TRIM(MID(SUBSTITUTE(SUBSTITUTE(SUBSTITUTE(SUBSTITUTE(SUBSTITUTE(LOWER(Registro!$F880)," ",""),CHAR(10),"|"),";","|"),"+","|"),"|",REPT(" ",LEN(Registro!$F880))),({1,2,3,4,5,6,7,8,9,10,11,12,13,14,15,16,17,18,19,20,21,22,23,24,25,26,27,28,29,30}-1)*LEN(Registro!$F880)+1,LEN(Registro!$F880))),FIND("x",TRIM(MID(SUBSTITUTE(SUBSTITUTE(SUBSTITUTE(SUBSTITUTE(SUBSTITUTE(LOWER(Registro!$F880)," ",""),CHAR(10),"|"),";","|"),"+","|"),"|",REPT(" ",LEN(Registro!$F880))),({1,2,3,4,5,6,7,8,9,10,11,12,13,14,15,16,17,18,19,20,21,22,23,24,25,26,27,28,29,30}-1)*LEN(Registro!$F880)+1,LEN(Registro!$F880)))&amp;"x")+1,20))),"Revisar formato")))</f>
        <v/>
      </c>
      <c r="H880" s="21" t="str">
        <f>IF(AND(Registro!$E880="",Registro!$F880=""),"",IF(NOT(AND(ISNUMBER(G880),ISNUMBER(Registro!$G880))),"",IF(G880&lt;Registro!$G880,"FALTA BOLETOS",IF(G880=Registro!$G880,"CONFORME","DIFERENCIA"))))</f>
        <v/>
      </c>
      <c r="I880" s="24" t="str">
        <f>IF(Registro!$H880="","",IFERROR(SUMPRODUCT(--("0"&amp;TRIM(RIGHT(SUBSTITUTE(TRIM(MID(SUBSTITUTE(SUBSTITUTE(Registro!$H880,";",CHAR(10)),CHAR(10),REPT(" ",LEN(Registro!$H880))),({1,2,3,4,5,6,7,8,9,10,11,12,13,14,15,16,17,18,19,20,21,22,23,24,25,26,27,28,29,30}-1)*LEN(Registro!$H880)+1,LEN(Registro!$H880)))," ",REPT(" ",50)),50)))),"Revisar formato"))</f>
        <v/>
      </c>
      <c r="J880" s="24" t="str">
        <f>IF(Registro!$I880="","",IFERROR(SUMPRODUCT(--("0"&amp;TRIM(RIGHT(SUBSTITUTE(TRIM(MID(SUBSTITUTE(SUBSTITUTE(Registro!$I880,";",CHAR(10)),CHAR(10),REPT(" ",LEN(Registro!$I880))),({1,2,3,4,5,6,7,8,9,10,11,12,13,14,15,16,17,18,19,20,21,22,23,24,25,26,27,28,29,30}-1)*LEN(Registro!$I880)+1,LEN(Registro!$I880)))," ",REPT(" ",50)),50)))),"Revisar formato"))</f>
        <v/>
      </c>
      <c r="K880" s="24" t="str">
        <f>IF(AND(Registro!$G880="",Registro!$H880=""),"",IF(AND(ISTEXT(I880),I880&lt;&gt;""),"Revisar formato",N(Registro!$G880)-N(I880)))</f>
        <v/>
      </c>
      <c r="L880" s="24" t="str">
        <f t="shared" si="27"/>
        <v/>
      </c>
      <c r="M880" s="36" t="str">
        <f>IF(AND(A880=Consulta!$B$3,C880=Consulta!$H$3),B880*10000+ROW(),"")</f>
        <v/>
      </c>
    </row>
    <row r="881" spans="1:13" x14ac:dyDescent="0.25">
      <c r="A881" s="21" t="str">
        <f>IF(Registro!$A881="","",Registro!$A881)</f>
        <v/>
      </c>
      <c r="B881" s="20" t="str">
        <f>IF(Registro!$B881="","",Registro!$B881)</f>
        <v/>
      </c>
      <c r="C881" s="35" t="str">
        <f t="shared" si="26"/>
        <v/>
      </c>
      <c r="D881" s="23" t="str">
        <f>IF(Registro!$E881="","",IF(ISERROR(FIND("x",LOWER(Registro!$E881))),"-",IFERROR(SUMPRODUCT(--("0"&amp;LEFT(TRIM(MID(SUBSTITUTE(SUBSTITUTE(SUBSTITUTE(SUBSTITUTE(SUBSTITUTE(LOWER(Registro!$E881),"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",LEN(Registro!$E881))),({1,2,3,4,5,6,7,8,9,10,11,12,13,14,15,16,17,18,19,20,21,22,23,24,25,26,27,28,29,30}-1)*LEN(Registro!$E881)+1,LEN(Registro!$E881))),FIND("x",TRIM(MID(SUBSTITUTE(SUBSTITUTE(SUBSTITUTE(SUBSTITUTE(SUBSTITUTE(LOWER(Registro!$E881),"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",LEN(Registro!$E881))),({1,2,3,4,5,6,7,8,9,10,11,12,13,14,15,16,17,18,19,20,21,22,23,24,25,26,27,28,29,30}-1)*LEN(Registro!$E881)+1,LEN(Registro!$E881)))&amp;"x")-1))),"Revisar formato")))</f>
        <v/>
      </c>
      <c r="E881" s="24" t="str">
        <f>IF(Registro!$E881="","",IF(ISERROR(FIND("x",LOWER(Registro!$E881))),"-",IFERROR(SUMPRODUCT(--("0"&amp;LEFT(TRIM(MID(SUBSTITUTE(SUBSTITUTE(SUBSTITUTE(SUBSTITUTE(SUBSTITUTE(LOWER(Registro!$E881),"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",LEN(Registro!$E881))),({1,2,3,4,5,6,7,8,9,10,11,12,13,14,15,16,17,18,19,20,21,22,23,24,25,26,27,28,29,30}-1)*LEN(Registro!$E881)+1,LEN(Registro!$E881))),FIND("x",TRIM(MID(SUBSTITUTE(SUBSTITUTE(SUBSTITUTE(SUBSTITUTE(SUBSTITUTE(LOWER(Registro!$E881),"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",LEN(Registro!$E881))),({1,2,3,4,5,6,7,8,9,10,11,12,13,14,15,16,17,18,19,20,21,22,23,24,25,26,27,28,29,30}-1)*LEN(Registro!$E881)+1,LEN(Registro!$E881)))&amp;"x")-1)),--("0"&amp;MID(TRIM(MID(SUBSTITUTE(SUBSTITUTE(SUBSTITUTE(SUBSTITUTE(SUBSTITUTE(LOWER(Registro!$E881),"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",LEN(Registro!$E881))),({1,2,3,4,5,6,7,8,9,10,11,12,13,14,15,16,17,18,19,20,21,22,23,24,25,26,27,28,29,30}-1)*LEN(Registro!$E881)+1,LEN(Registro!$E881))),FIND("x",TRIM(MID(SUBSTITUTE(SUBSTITUTE(SUBSTITUTE(SUBSTITUTE(SUBSTITUTE(LOWER(Registro!$E881),"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",LEN(Registro!$E881))),({1,2,3,4,5,6,7,8,9,10,11,12,13,14,15,16,17,18,19,20,21,22,23,24,25,26,27,28,29,30}-1)*LEN(Registro!$E881)+1,LEN(Registro!$E881)))&amp;"x")+1,20))),"Revisar formato")))</f>
        <v/>
      </c>
      <c r="F881" s="23" t="str">
        <f>IF(Registro!$F881="","",IF(ISERROR(FIND("x",LOWER(Registro!$F881))),"-",IFERROR(SUMPRODUCT(--("0"&amp;LEFT(TRIM(MID(SUBSTITUTE(SUBSTITUTE(SUBSTITUTE(SUBSTITUTE(SUBSTITUTE(LOWER(Registro!$F881)," ",""),CHAR(10),"|"),";","|"),"+","|"),"|",REPT(" ",LEN(Registro!$F881))),({1,2,3,4,5,6,7,8,9,10,11,12,13,14,15,16,17,18,19,20,21,22,23,24,25,26,27,28,29,30}-1)*LEN(Registro!$F881)+1,LEN(Registro!$F881))),FIND("x",TRIM(MID(SUBSTITUTE(SUBSTITUTE(SUBSTITUTE(SUBSTITUTE(SUBSTITUTE(LOWER(Registro!$F881)," ",""),CHAR(10),"|"),";","|"),"+","|"),"|",REPT(" ",LEN(Registro!$F881))),({1,2,3,4,5,6,7,8,9,10,11,12,13,14,15,16,17,18,19,20,21,22,23,24,25,26,27,28,29,30}-1)*LEN(Registro!$F881)+1,LEN(Registro!$F881)))&amp;"x")-1))),"Revisar formato")))</f>
        <v/>
      </c>
      <c r="G881" s="24" t="str">
        <f>IF(Registro!$F881="","",IF(ISERROR(FIND("x",LOWER(Registro!$F881))),N(Registro!$G881),IFERROR(SUMPRODUCT(--("0"&amp;LEFT(TRIM(MID(SUBSTITUTE(SUBSTITUTE(SUBSTITUTE(SUBSTITUTE(SUBSTITUTE(LOWER(Registro!$F881)," ",""),CHAR(10),"|"),";","|"),"+","|"),"|",REPT(" ",LEN(Registro!$F881))),({1,2,3,4,5,6,7,8,9,10,11,12,13,14,15,16,17,18,19,20,21,22,23,24,25,26,27,28,29,30}-1)*LEN(Registro!$F881)+1,LEN(Registro!$F881))),FIND("x",TRIM(MID(SUBSTITUTE(SUBSTITUTE(SUBSTITUTE(SUBSTITUTE(SUBSTITUTE(LOWER(Registro!$F881)," ",""),CHAR(10),"|"),";","|"),"+","|"),"|",REPT(" ",LEN(Registro!$F881))),({1,2,3,4,5,6,7,8,9,10,11,12,13,14,15,16,17,18,19,20,21,22,23,24,25,26,27,28,29,30}-1)*LEN(Registro!$F881)+1,LEN(Registro!$F881)))&amp;"x")-1)),--("0"&amp;MID(TRIM(MID(SUBSTITUTE(SUBSTITUTE(SUBSTITUTE(SUBSTITUTE(SUBSTITUTE(LOWER(Registro!$F881)," ",""),CHAR(10),"|"),";","|"),"+","|"),"|",REPT(" ",LEN(Registro!$F881))),({1,2,3,4,5,6,7,8,9,10,11,12,13,14,15,16,17,18,19,20,21,22,23,24,25,26,27,28,29,30}-1)*LEN(Registro!$F881)+1,LEN(Registro!$F881))),FIND("x",TRIM(MID(SUBSTITUTE(SUBSTITUTE(SUBSTITUTE(SUBSTITUTE(SUBSTITUTE(LOWER(Registro!$F881)," ",""),CHAR(10),"|"),";","|"),"+","|"),"|",REPT(" ",LEN(Registro!$F881))),({1,2,3,4,5,6,7,8,9,10,11,12,13,14,15,16,17,18,19,20,21,22,23,24,25,26,27,28,29,30}-1)*LEN(Registro!$F881)+1,LEN(Registro!$F881)))&amp;"x")+1,20))),"Revisar formato")))</f>
        <v/>
      </c>
      <c r="H881" s="21" t="str">
        <f>IF(AND(Registro!$E881="",Registro!$F881=""),"",IF(NOT(AND(ISNUMBER(G881),ISNUMBER(Registro!$G881))),"",IF(G881&lt;Registro!$G881,"FALTA BOLETOS",IF(G881=Registro!$G881,"CONFORME","DIFERENCIA"))))</f>
        <v/>
      </c>
      <c r="I881" s="24" t="str">
        <f>IF(Registro!$H881="","",IFERROR(SUMPRODUCT(--("0"&amp;TRIM(RIGHT(SUBSTITUTE(TRIM(MID(SUBSTITUTE(SUBSTITUTE(Registro!$H881,";",CHAR(10)),CHAR(10),REPT(" ",LEN(Registro!$H881))),({1,2,3,4,5,6,7,8,9,10,11,12,13,14,15,16,17,18,19,20,21,22,23,24,25,26,27,28,29,30}-1)*LEN(Registro!$H881)+1,LEN(Registro!$H881)))," ",REPT(" ",50)),50)))),"Revisar formato"))</f>
        <v/>
      </c>
      <c r="J881" s="24" t="str">
        <f>IF(Registro!$I881="","",IFERROR(SUMPRODUCT(--("0"&amp;TRIM(RIGHT(SUBSTITUTE(TRIM(MID(SUBSTITUTE(SUBSTITUTE(Registro!$I881,";",CHAR(10)),CHAR(10),REPT(" ",LEN(Registro!$I881))),({1,2,3,4,5,6,7,8,9,10,11,12,13,14,15,16,17,18,19,20,21,22,23,24,25,26,27,28,29,30}-1)*LEN(Registro!$I881)+1,LEN(Registro!$I881)))," ",REPT(" ",50)),50)))),"Revisar formato"))</f>
        <v/>
      </c>
      <c r="K881" s="24" t="str">
        <f>IF(AND(Registro!$G881="",Registro!$H881=""),"",IF(AND(ISTEXT(I881),I881&lt;&gt;""),"Revisar formato",N(Registro!$G881)-N(I881)))</f>
        <v/>
      </c>
      <c r="L881" s="24" t="str">
        <f t="shared" si="27"/>
        <v/>
      </c>
      <c r="M881" s="36" t="str">
        <f>IF(AND(A881=Consulta!$B$3,C881=Consulta!$H$3),B881*10000+ROW(),"")</f>
        <v/>
      </c>
    </row>
    <row r="882" spans="1:13" x14ac:dyDescent="0.25">
      <c r="A882" s="21" t="str">
        <f>IF(Registro!$A882="","",Registro!$A882)</f>
        <v/>
      </c>
      <c r="B882" s="20" t="str">
        <f>IF(Registro!$B882="","",Registro!$B882)</f>
        <v/>
      </c>
      <c r="C882" s="35" t="str">
        <f t="shared" si="26"/>
        <v/>
      </c>
      <c r="D882" s="23" t="str">
        <f>IF(Registro!$E882="","",IF(ISERROR(FIND("x",LOWER(Registro!$E882))),"-",IFERROR(SUMPRODUCT(--("0"&amp;LEFT(TRIM(MID(SUBSTITUTE(SUBSTITUTE(SUBSTITUTE(SUBSTITUTE(SUBSTITUTE(LOWER(Registro!$E882),"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",LEN(Registro!$E882))),({1,2,3,4,5,6,7,8,9,10,11,12,13,14,15,16,17,18,19,20,21,22,23,24,25,26,27,28,29,30}-1)*LEN(Registro!$E882)+1,LEN(Registro!$E882))),FIND("x",TRIM(MID(SUBSTITUTE(SUBSTITUTE(SUBSTITUTE(SUBSTITUTE(SUBSTITUTE(LOWER(Registro!$E882),"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",LEN(Registro!$E882))),({1,2,3,4,5,6,7,8,9,10,11,12,13,14,15,16,17,18,19,20,21,22,23,24,25,26,27,28,29,30}-1)*LEN(Registro!$E882)+1,LEN(Registro!$E882)))&amp;"x")-1))),"Revisar formato")))</f>
        <v/>
      </c>
      <c r="E882" s="24" t="str">
        <f>IF(Registro!$E882="","",IF(ISERROR(FIND("x",LOWER(Registro!$E882))),"-",IFERROR(SUMPRODUCT(--("0"&amp;LEFT(TRIM(MID(SUBSTITUTE(SUBSTITUTE(SUBSTITUTE(SUBSTITUTE(SUBSTITUTE(LOWER(Registro!$E882),"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",LEN(Registro!$E882))),({1,2,3,4,5,6,7,8,9,10,11,12,13,14,15,16,17,18,19,20,21,22,23,24,25,26,27,28,29,30}-1)*LEN(Registro!$E882)+1,LEN(Registro!$E882))),FIND("x",TRIM(MID(SUBSTITUTE(SUBSTITUTE(SUBSTITUTE(SUBSTITUTE(SUBSTITUTE(LOWER(Registro!$E882),"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",LEN(Registro!$E882))),({1,2,3,4,5,6,7,8,9,10,11,12,13,14,15,16,17,18,19,20,21,22,23,24,25,26,27,28,29,30}-1)*LEN(Registro!$E882)+1,LEN(Registro!$E882)))&amp;"x")-1)),--("0"&amp;MID(TRIM(MID(SUBSTITUTE(SUBSTITUTE(SUBSTITUTE(SUBSTITUTE(SUBSTITUTE(LOWER(Registro!$E882),"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",LEN(Registro!$E882))),({1,2,3,4,5,6,7,8,9,10,11,12,13,14,15,16,17,18,19,20,21,22,23,24,25,26,27,28,29,30}-1)*LEN(Registro!$E882)+1,LEN(Registro!$E882))),FIND("x",TRIM(MID(SUBSTITUTE(SUBSTITUTE(SUBSTITUTE(SUBSTITUTE(SUBSTITUTE(LOWER(Registro!$E882),"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",LEN(Registro!$E882))),({1,2,3,4,5,6,7,8,9,10,11,12,13,14,15,16,17,18,19,20,21,22,23,24,25,26,27,28,29,30}-1)*LEN(Registro!$E882)+1,LEN(Registro!$E882)))&amp;"x")+1,20))),"Revisar formato")))</f>
        <v/>
      </c>
      <c r="F882" s="23" t="str">
        <f>IF(Registro!$F882="","",IF(ISERROR(FIND("x",LOWER(Registro!$F882))),"-",IFERROR(SUMPRODUCT(--("0"&amp;LEFT(TRIM(MID(SUBSTITUTE(SUBSTITUTE(SUBSTITUTE(SUBSTITUTE(SUBSTITUTE(LOWER(Registro!$F882)," ",""),CHAR(10),"|"),";","|"),"+","|"),"|",REPT(" ",LEN(Registro!$F882))),({1,2,3,4,5,6,7,8,9,10,11,12,13,14,15,16,17,18,19,20,21,22,23,24,25,26,27,28,29,30}-1)*LEN(Registro!$F882)+1,LEN(Registro!$F882))),FIND("x",TRIM(MID(SUBSTITUTE(SUBSTITUTE(SUBSTITUTE(SUBSTITUTE(SUBSTITUTE(LOWER(Registro!$F882)," ",""),CHAR(10),"|"),";","|"),"+","|"),"|",REPT(" ",LEN(Registro!$F882))),({1,2,3,4,5,6,7,8,9,10,11,12,13,14,15,16,17,18,19,20,21,22,23,24,25,26,27,28,29,30}-1)*LEN(Registro!$F882)+1,LEN(Registro!$F882)))&amp;"x")-1))),"Revisar formato")))</f>
        <v/>
      </c>
      <c r="G882" s="24" t="str">
        <f>IF(Registro!$F882="","",IF(ISERROR(FIND("x",LOWER(Registro!$F882))),N(Registro!$G882),IFERROR(SUMPRODUCT(--("0"&amp;LEFT(TRIM(MID(SUBSTITUTE(SUBSTITUTE(SUBSTITUTE(SUBSTITUTE(SUBSTITUTE(LOWER(Registro!$F882)," ",""),CHAR(10),"|"),";","|"),"+","|"),"|",REPT(" ",LEN(Registro!$F882))),({1,2,3,4,5,6,7,8,9,10,11,12,13,14,15,16,17,18,19,20,21,22,23,24,25,26,27,28,29,30}-1)*LEN(Registro!$F882)+1,LEN(Registro!$F882))),FIND("x",TRIM(MID(SUBSTITUTE(SUBSTITUTE(SUBSTITUTE(SUBSTITUTE(SUBSTITUTE(LOWER(Registro!$F882)," ",""),CHAR(10),"|"),";","|"),"+","|"),"|",REPT(" ",LEN(Registro!$F882))),({1,2,3,4,5,6,7,8,9,10,11,12,13,14,15,16,17,18,19,20,21,22,23,24,25,26,27,28,29,30}-1)*LEN(Registro!$F882)+1,LEN(Registro!$F882)))&amp;"x")-1)),--("0"&amp;MID(TRIM(MID(SUBSTITUTE(SUBSTITUTE(SUBSTITUTE(SUBSTITUTE(SUBSTITUTE(LOWER(Registro!$F882)," ",""),CHAR(10),"|"),";","|"),"+","|"),"|",REPT(" ",LEN(Registro!$F882))),({1,2,3,4,5,6,7,8,9,10,11,12,13,14,15,16,17,18,19,20,21,22,23,24,25,26,27,28,29,30}-1)*LEN(Registro!$F882)+1,LEN(Registro!$F882))),FIND("x",TRIM(MID(SUBSTITUTE(SUBSTITUTE(SUBSTITUTE(SUBSTITUTE(SUBSTITUTE(LOWER(Registro!$F882)," ",""),CHAR(10),"|"),";","|"),"+","|"),"|",REPT(" ",LEN(Registro!$F882))),({1,2,3,4,5,6,7,8,9,10,11,12,13,14,15,16,17,18,19,20,21,22,23,24,25,26,27,28,29,30}-1)*LEN(Registro!$F882)+1,LEN(Registro!$F882)))&amp;"x")+1,20))),"Revisar formato")))</f>
        <v/>
      </c>
      <c r="H882" s="21" t="str">
        <f>IF(AND(Registro!$E882="",Registro!$F882=""),"",IF(NOT(AND(ISNUMBER(G882),ISNUMBER(Registro!$G882))),"",IF(G882&lt;Registro!$G882,"FALTA BOLETOS",IF(G882=Registro!$G882,"CONFORME","DIFERENCIA"))))</f>
        <v/>
      </c>
      <c r="I882" s="24" t="str">
        <f>IF(Registro!$H882="","",IFERROR(SUMPRODUCT(--("0"&amp;TRIM(RIGHT(SUBSTITUTE(TRIM(MID(SUBSTITUTE(SUBSTITUTE(Registro!$H882,";",CHAR(10)),CHAR(10),REPT(" ",LEN(Registro!$H882))),({1,2,3,4,5,6,7,8,9,10,11,12,13,14,15,16,17,18,19,20,21,22,23,24,25,26,27,28,29,30}-1)*LEN(Registro!$H882)+1,LEN(Registro!$H882)))," ",REPT(" ",50)),50)))),"Revisar formato"))</f>
        <v/>
      </c>
      <c r="J882" s="24" t="str">
        <f>IF(Registro!$I882="","",IFERROR(SUMPRODUCT(--("0"&amp;TRIM(RIGHT(SUBSTITUTE(TRIM(MID(SUBSTITUTE(SUBSTITUTE(Registro!$I882,";",CHAR(10)),CHAR(10),REPT(" ",LEN(Registro!$I882))),({1,2,3,4,5,6,7,8,9,10,11,12,13,14,15,16,17,18,19,20,21,22,23,24,25,26,27,28,29,30}-1)*LEN(Registro!$I882)+1,LEN(Registro!$I882)))," ",REPT(" ",50)),50)))),"Revisar formato"))</f>
        <v/>
      </c>
      <c r="K882" s="24" t="str">
        <f>IF(AND(Registro!$G882="",Registro!$H882=""),"",IF(AND(ISTEXT(I882),I882&lt;&gt;""),"Revisar formato",N(Registro!$G882)-N(I882)))</f>
        <v/>
      </c>
      <c r="L882" s="24" t="str">
        <f t="shared" si="27"/>
        <v/>
      </c>
      <c r="M882" s="36" t="str">
        <f>IF(AND(A882=Consulta!$B$3,C882=Consulta!$H$3),B882*10000+ROW(),"")</f>
        <v/>
      </c>
    </row>
    <row r="883" spans="1:13" x14ac:dyDescent="0.25">
      <c r="A883" s="21" t="str">
        <f>IF(Registro!$A883="","",Registro!$A883)</f>
        <v/>
      </c>
      <c r="B883" s="20" t="str">
        <f>IF(Registro!$B883="","",Registro!$B883)</f>
        <v/>
      </c>
      <c r="C883" s="35" t="str">
        <f t="shared" si="26"/>
        <v/>
      </c>
      <c r="D883" s="23" t="str">
        <f>IF(Registro!$E883="","",IF(ISERROR(FIND("x",LOWER(Registro!$E883))),"-",IFERROR(SUMPRODUCT(--("0"&amp;LEFT(TRIM(MID(SUBSTITUTE(SUBSTITUTE(SUBSTITUTE(SUBSTITUTE(SUBSTITUTE(LOWER(Registro!$E883),"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",LEN(Registro!$E883))),({1,2,3,4,5,6,7,8,9,10,11,12,13,14,15,16,17,18,19,20,21,22,23,24,25,26,27,28,29,30}-1)*LEN(Registro!$E883)+1,LEN(Registro!$E883))),FIND("x",TRIM(MID(SUBSTITUTE(SUBSTITUTE(SUBSTITUTE(SUBSTITUTE(SUBSTITUTE(LOWER(Registro!$E883),"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",LEN(Registro!$E883))),({1,2,3,4,5,6,7,8,9,10,11,12,13,14,15,16,17,18,19,20,21,22,23,24,25,26,27,28,29,30}-1)*LEN(Registro!$E883)+1,LEN(Registro!$E883)))&amp;"x")-1))),"Revisar formato")))</f>
        <v/>
      </c>
      <c r="E883" s="24" t="str">
        <f>IF(Registro!$E883="","",IF(ISERROR(FIND("x",LOWER(Registro!$E883))),"-",IFERROR(SUMPRODUCT(--("0"&amp;LEFT(TRIM(MID(SUBSTITUTE(SUBSTITUTE(SUBSTITUTE(SUBSTITUTE(SUBSTITUTE(LOWER(Registro!$E883),"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",LEN(Registro!$E883))),({1,2,3,4,5,6,7,8,9,10,11,12,13,14,15,16,17,18,19,20,21,22,23,24,25,26,27,28,29,30}-1)*LEN(Registro!$E883)+1,LEN(Registro!$E883))),FIND("x",TRIM(MID(SUBSTITUTE(SUBSTITUTE(SUBSTITUTE(SUBSTITUTE(SUBSTITUTE(LOWER(Registro!$E883),"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",LEN(Registro!$E883))),({1,2,3,4,5,6,7,8,9,10,11,12,13,14,15,16,17,18,19,20,21,22,23,24,25,26,27,28,29,30}-1)*LEN(Registro!$E883)+1,LEN(Registro!$E883)))&amp;"x")-1)),--("0"&amp;MID(TRIM(MID(SUBSTITUTE(SUBSTITUTE(SUBSTITUTE(SUBSTITUTE(SUBSTITUTE(LOWER(Registro!$E883),"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",LEN(Registro!$E883))),({1,2,3,4,5,6,7,8,9,10,11,12,13,14,15,16,17,18,19,20,21,22,23,24,25,26,27,28,29,30}-1)*LEN(Registro!$E883)+1,LEN(Registro!$E883))),FIND("x",TRIM(MID(SUBSTITUTE(SUBSTITUTE(SUBSTITUTE(SUBSTITUTE(SUBSTITUTE(LOWER(Registro!$E883),"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",LEN(Registro!$E883))),({1,2,3,4,5,6,7,8,9,10,11,12,13,14,15,16,17,18,19,20,21,22,23,24,25,26,27,28,29,30}-1)*LEN(Registro!$E883)+1,LEN(Registro!$E883)))&amp;"x")+1,20))),"Revisar formato")))</f>
        <v/>
      </c>
      <c r="F883" s="23" t="str">
        <f>IF(Registro!$F883="","",IF(ISERROR(FIND("x",LOWER(Registro!$F883))),"-",IFERROR(SUMPRODUCT(--("0"&amp;LEFT(TRIM(MID(SUBSTITUTE(SUBSTITUTE(SUBSTITUTE(SUBSTITUTE(SUBSTITUTE(LOWER(Registro!$F883)," ",""),CHAR(10),"|"),";","|"),"+","|"),"|",REPT(" ",LEN(Registro!$F883))),({1,2,3,4,5,6,7,8,9,10,11,12,13,14,15,16,17,18,19,20,21,22,23,24,25,26,27,28,29,30}-1)*LEN(Registro!$F883)+1,LEN(Registro!$F883))),FIND("x",TRIM(MID(SUBSTITUTE(SUBSTITUTE(SUBSTITUTE(SUBSTITUTE(SUBSTITUTE(LOWER(Registro!$F883)," ",""),CHAR(10),"|"),";","|"),"+","|"),"|",REPT(" ",LEN(Registro!$F883))),({1,2,3,4,5,6,7,8,9,10,11,12,13,14,15,16,17,18,19,20,21,22,23,24,25,26,27,28,29,30}-1)*LEN(Registro!$F883)+1,LEN(Registro!$F883)))&amp;"x")-1))),"Revisar formato")))</f>
        <v/>
      </c>
      <c r="G883" s="24" t="str">
        <f>IF(Registro!$F883="","",IF(ISERROR(FIND("x",LOWER(Registro!$F883))),N(Registro!$G883),IFERROR(SUMPRODUCT(--("0"&amp;LEFT(TRIM(MID(SUBSTITUTE(SUBSTITUTE(SUBSTITUTE(SUBSTITUTE(SUBSTITUTE(LOWER(Registro!$F883)," ",""),CHAR(10),"|"),";","|"),"+","|"),"|",REPT(" ",LEN(Registro!$F883))),({1,2,3,4,5,6,7,8,9,10,11,12,13,14,15,16,17,18,19,20,21,22,23,24,25,26,27,28,29,30}-1)*LEN(Registro!$F883)+1,LEN(Registro!$F883))),FIND("x",TRIM(MID(SUBSTITUTE(SUBSTITUTE(SUBSTITUTE(SUBSTITUTE(SUBSTITUTE(LOWER(Registro!$F883)," ",""),CHAR(10),"|"),";","|"),"+","|"),"|",REPT(" ",LEN(Registro!$F883))),({1,2,3,4,5,6,7,8,9,10,11,12,13,14,15,16,17,18,19,20,21,22,23,24,25,26,27,28,29,30}-1)*LEN(Registro!$F883)+1,LEN(Registro!$F883)))&amp;"x")-1)),--("0"&amp;MID(TRIM(MID(SUBSTITUTE(SUBSTITUTE(SUBSTITUTE(SUBSTITUTE(SUBSTITUTE(LOWER(Registro!$F883)," ",""),CHAR(10),"|"),";","|"),"+","|"),"|",REPT(" ",LEN(Registro!$F883))),({1,2,3,4,5,6,7,8,9,10,11,12,13,14,15,16,17,18,19,20,21,22,23,24,25,26,27,28,29,30}-1)*LEN(Registro!$F883)+1,LEN(Registro!$F883))),FIND("x",TRIM(MID(SUBSTITUTE(SUBSTITUTE(SUBSTITUTE(SUBSTITUTE(SUBSTITUTE(LOWER(Registro!$F883)," ",""),CHAR(10),"|"),";","|"),"+","|"),"|",REPT(" ",LEN(Registro!$F883))),({1,2,3,4,5,6,7,8,9,10,11,12,13,14,15,16,17,18,19,20,21,22,23,24,25,26,27,28,29,30}-1)*LEN(Registro!$F883)+1,LEN(Registro!$F883)))&amp;"x")+1,20))),"Revisar formato")))</f>
        <v/>
      </c>
      <c r="H883" s="21" t="str">
        <f>IF(AND(Registro!$E883="",Registro!$F883=""),"",IF(NOT(AND(ISNUMBER(G883),ISNUMBER(Registro!$G883))),"",IF(G883&lt;Registro!$G883,"FALTA BOLETOS",IF(G883=Registro!$G883,"CONFORME","DIFERENCIA"))))</f>
        <v/>
      </c>
      <c r="I883" s="24" t="str">
        <f>IF(Registro!$H883="","",IFERROR(SUMPRODUCT(--("0"&amp;TRIM(RIGHT(SUBSTITUTE(TRIM(MID(SUBSTITUTE(SUBSTITUTE(Registro!$H883,";",CHAR(10)),CHAR(10),REPT(" ",LEN(Registro!$H883))),({1,2,3,4,5,6,7,8,9,10,11,12,13,14,15,16,17,18,19,20,21,22,23,24,25,26,27,28,29,30}-1)*LEN(Registro!$H883)+1,LEN(Registro!$H883)))," ",REPT(" ",50)),50)))),"Revisar formato"))</f>
        <v/>
      </c>
      <c r="J883" s="24" t="str">
        <f>IF(Registro!$I883="","",IFERROR(SUMPRODUCT(--("0"&amp;TRIM(RIGHT(SUBSTITUTE(TRIM(MID(SUBSTITUTE(SUBSTITUTE(Registro!$I883,";",CHAR(10)),CHAR(10),REPT(" ",LEN(Registro!$I883))),({1,2,3,4,5,6,7,8,9,10,11,12,13,14,15,16,17,18,19,20,21,22,23,24,25,26,27,28,29,30}-1)*LEN(Registro!$I883)+1,LEN(Registro!$I883)))," ",REPT(" ",50)),50)))),"Revisar formato"))</f>
        <v/>
      </c>
      <c r="K883" s="24" t="str">
        <f>IF(AND(Registro!$G883="",Registro!$H883=""),"",IF(AND(ISTEXT(I883),I883&lt;&gt;""),"Revisar formato",N(Registro!$G883)-N(I883)))</f>
        <v/>
      </c>
      <c r="L883" s="24" t="str">
        <f t="shared" si="27"/>
        <v/>
      </c>
      <c r="M883" s="36" t="str">
        <f>IF(AND(A883=Consulta!$B$3,C883=Consulta!$H$3),B883*10000+ROW(),"")</f>
        <v/>
      </c>
    </row>
    <row r="884" spans="1:13" x14ac:dyDescent="0.25">
      <c r="A884" s="21" t="str">
        <f>IF(Registro!$A884="","",Registro!$A884)</f>
        <v/>
      </c>
      <c r="B884" s="20" t="str">
        <f>IF(Registro!$B884="","",Registro!$B884)</f>
        <v/>
      </c>
      <c r="C884" s="35" t="str">
        <f t="shared" si="26"/>
        <v/>
      </c>
      <c r="D884" s="23" t="str">
        <f>IF(Registro!$E884="","",IF(ISERROR(FIND("x",LOWER(Registro!$E884))),"-",IFERROR(SUMPRODUCT(--("0"&amp;LEFT(TRIM(MID(SUBSTITUTE(SUBSTITUTE(SUBSTITUTE(SUBSTITUTE(SUBSTITUTE(LOWER(Registro!$E884),"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",LEN(Registro!$E884))),({1,2,3,4,5,6,7,8,9,10,11,12,13,14,15,16,17,18,19,20,21,22,23,24,25,26,27,28,29,30}-1)*LEN(Registro!$E884)+1,LEN(Registro!$E884))),FIND("x",TRIM(MID(SUBSTITUTE(SUBSTITUTE(SUBSTITUTE(SUBSTITUTE(SUBSTITUTE(LOWER(Registro!$E884),"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",LEN(Registro!$E884))),({1,2,3,4,5,6,7,8,9,10,11,12,13,14,15,16,17,18,19,20,21,22,23,24,25,26,27,28,29,30}-1)*LEN(Registro!$E884)+1,LEN(Registro!$E884)))&amp;"x")-1))),"Revisar formato")))</f>
        <v/>
      </c>
      <c r="E884" s="24" t="str">
        <f>IF(Registro!$E884="","",IF(ISERROR(FIND("x",LOWER(Registro!$E884))),"-",IFERROR(SUMPRODUCT(--("0"&amp;LEFT(TRIM(MID(SUBSTITUTE(SUBSTITUTE(SUBSTITUTE(SUBSTITUTE(SUBSTITUTE(LOWER(Registro!$E884),"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",LEN(Registro!$E884))),({1,2,3,4,5,6,7,8,9,10,11,12,13,14,15,16,17,18,19,20,21,22,23,24,25,26,27,28,29,30}-1)*LEN(Registro!$E884)+1,LEN(Registro!$E884))),FIND("x",TRIM(MID(SUBSTITUTE(SUBSTITUTE(SUBSTITUTE(SUBSTITUTE(SUBSTITUTE(LOWER(Registro!$E884),"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",LEN(Registro!$E884))),({1,2,3,4,5,6,7,8,9,10,11,12,13,14,15,16,17,18,19,20,21,22,23,24,25,26,27,28,29,30}-1)*LEN(Registro!$E884)+1,LEN(Registro!$E884)))&amp;"x")-1)),--("0"&amp;MID(TRIM(MID(SUBSTITUTE(SUBSTITUTE(SUBSTITUTE(SUBSTITUTE(SUBSTITUTE(LOWER(Registro!$E884),"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",LEN(Registro!$E884))),({1,2,3,4,5,6,7,8,9,10,11,12,13,14,15,16,17,18,19,20,21,22,23,24,25,26,27,28,29,30}-1)*LEN(Registro!$E884)+1,LEN(Registro!$E884))),FIND("x",TRIM(MID(SUBSTITUTE(SUBSTITUTE(SUBSTITUTE(SUBSTITUTE(SUBSTITUTE(LOWER(Registro!$E884),"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",LEN(Registro!$E884))),({1,2,3,4,5,6,7,8,9,10,11,12,13,14,15,16,17,18,19,20,21,22,23,24,25,26,27,28,29,30}-1)*LEN(Registro!$E884)+1,LEN(Registro!$E884)))&amp;"x")+1,20))),"Revisar formato")))</f>
        <v/>
      </c>
      <c r="F884" s="23" t="str">
        <f>IF(Registro!$F884="","",IF(ISERROR(FIND("x",LOWER(Registro!$F884))),"-",IFERROR(SUMPRODUCT(--("0"&amp;LEFT(TRIM(MID(SUBSTITUTE(SUBSTITUTE(SUBSTITUTE(SUBSTITUTE(SUBSTITUTE(LOWER(Registro!$F884)," ",""),CHAR(10),"|"),";","|"),"+","|"),"|",REPT(" ",LEN(Registro!$F884))),({1,2,3,4,5,6,7,8,9,10,11,12,13,14,15,16,17,18,19,20,21,22,23,24,25,26,27,28,29,30}-1)*LEN(Registro!$F884)+1,LEN(Registro!$F884))),FIND("x",TRIM(MID(SUBSTITUTE(SUBSTITUTE(SUBSTITUTE(SUBSTITUTE(SUBSTITUTE(LOWER(Registro!$F884)," ",""),CHAR(10),"|"),";","|"),"+","|"),"|",REPT(" ",LEN(Registro!$F884))),({1,2,3,4,5,6,7,8,9,10,11,12,13,14,15,16,17,18,19,20,21,22,23,24,25,26,27,28,29,30}-1)*LEN(Registro!$F884)+1,LEN(Registro!$F884)))&amp;"x")-1))),"Revisar formato")))</f>
        <v/>
      </c>
      <c r="G884" s="24" t="str">
        <f>IF(Registro!$F884="","",IF(ISERROR(FIND("x",LOWER(Registro!$F884))),N(Registro!$G884),IFERROR(SUMPRODUCT(--("0"&amp;LEFT(TRIM(MID(SUBSTITUTE(SUBSTITUTE(SUBSTITUTE(SUBSTITUTE(SUBSTITUTE(LOWER(Registro!$F884)," ",""),CHAR(10),"|"),";","|"),"+","|"),"|",REPT(" ",LEN(Registro!$F884))),({1,2,3,4,5,6,7,8,9,10,11,12,13,14,15,16,17,18,19,20,21,22,23,24,25,26,27,28,29,30}-1)*LEN(Registro!$F884)+1,LEN(Registro!$F884))),FIND("x",TRIM(MID(SUBSTITUTE(SUBSTITUTE(SUBSTITUTE(SUBSTITUTE(SUBSTITUTE(LOWER(Registro!$F884)," ",""),CHAR(10),"|"),";","|"),"+","|"),"|",REPT(" ",LEN(Registro!$F884))),({1,2,3,4,5,6,7,8,9,10,11,12,13,14,15,16,17,18,19,20,21,22,23,24,25,26,27,28,29,30}-1)*LEN(Registro!$F884)+1,LEN(Registro!$F884)))&amp;"x")-1)),--("0"&amp;MID(TRIM(MID(SUBSTITUTE(SUBSTITUTE(SUBSTITUTE(SUBSTITUTE(SUBSTITUTE(LOWER(Registro!$F884)," ",""),CHAR(10),"|"),";","|"),"+","|"),"|",REPT(" ",LEN(Registro!$F884))),({1,2,3,4,5,6,7,8,9,10,11,12,13,14,15,16,17,18,19,20,21,22,23,24,25,26,27,28,29,30}-1)*LEN(Registro!$F884)+1,LEN(Registro!$F884))),FIND("x",TRIM(MID(SUBSTITUTE(SUBSTITUTE(SUBSTITUTE(SUBSTITUTE(SUBSTITUTE(LOWER(Registro!$F884)," ",""),CHAR(10),"|"),";","|"),"+","|"),"|",REPT(" ",LEN(Registro!$F884))),({1,2,3,4,5,6,7,8,9,10,11,12,13,14,15,16,17,18,19,20,21,22,23,24,25,26,27,28,29,30}-1)*LEN(Registro!$F884)+1,LEN(Registro!$F884)))&amp;"x")+1,20))),"Revisar formato")))</f>
        <v/>
      </c>
      <c r="H884" s="21" t="str">
        <f>IF(AND(Registro!$E884="",Registro!$F884=""),"",IF(NOT(AND(ISNUMBER(G884),ISNUMBER(Registro!$G884))),"",IF(G884&lt;Registro!$G884,"FALTA BOLETOS",IF(G884=Registro!$G884,"CONFORME","DIFERENCIA"))))</f>
        <v/>
      </c>
      <c r="I884" s="24" t="str">
        <f>IF(Registro!$H884="","",IFERROR(SUMPRODUCT(--("0"&amp;TRIM(RIGHT(SUBSTITUTE(TRIM(MID(SUBSTITUTE(SUBSTITUTE(Registro!$H884,";",CHAR(10)),CHAR(10),REPT(" ",LEN(Registro!$H884))),({1,2,3,4,5,6,7,8,9,10,11,12,13,14,15,16,17,18,19,20,21,22,23,24,25,26,27,28,29,30}-1)*LEN(Registro!$H884)+1,LEN(Registro!$H884)))," ",REPT(" ",50)),50)))),"Revisar formato"))</f>
        <v/>
      </c>
      <c r="J884" s="24" t="str">
        <f>IF(Registro!$I884="","",IFERROR(SUMPRODUCT(--("0"&amp;TRIM(RIGHT(SUBSTITUTE(TRIM(MID(SUBSTITUTE(SUBSTITUTE(Registro!$I884,";",CHAR(10)),CHAR(10),REPT(" ",LEN(Registro!$I884))),({1,2,3,4,5,6,7,8,9,10,11,12,13,14,15,16,17,18,19,20,21,22,23,24,25,26,27,28,29,30}-1)*LEN(Registro!$I884)+1,LEN(Registro!$I884)))," ",REPT(" ",50)),50)))),"Revisar formato"))</f>
        <v/>
      </c>
      <c r="K884" s="24" t="str">
        <f>IF(AND(Registro!$G884="",Registro!$H884=""),"",IF(AND(ISTEXT(I884),I884&lt;&gt;""),"Revisar formato",N(Registro!$G884)-N(I884)))</f>
        <v/>
      </c>
      <c r="L884" s="24" t="str">
        <f t="shared" si="27"/>
        <v/>
      </c>
      <c r="M884" s="36" t="str">
        <f>IF(AND(A884=Consulta!$B$3,C884=Consulta!$H$3),B884*10000+ROW(),"")</f>
        <v/>
      </c>
    </row>
    <row r="885" spans="1:13" x14ac:dyDescent="0.25">
      <c r="A885" s="21" t="str">
        <f>IF(Registro!$A885="","",Registro!$A885)</f>
        <v/>
      </c>
      <c r="B885" s="20" t="str">
        <f>IF(Registro!$B885="","",Registro!$B885)</f>
        <v/>
      </c>
      <c r="C885" s="35" t="str">
        <f t="shared" si="26"/>
        <v/>
      </c>
      <c r="D885" s="23" t="str">
        <f>IF(Registro!$E885="","",IF(ISERROR(FIND("x",LOWER(Registro!$E885))),"-",IFERROR(SUMPRODUCT(--("0"&amp;LEFT(TRIM(MID(SUBSTITUTE(SUBSTITUTE(SUBSTITUTE(SUBSTITUTE(SUBSTITUTE(LOWER(Registro!$E885),"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",LEN(Registro!$E885))),({1,2,3,4,5,6,7,8,9,10,11,12,13,14,15,16,17,18,19,20,21,22,23,24,25,26,27,28,29,30}-1)*LEN(Registro!$E885)+1,LEN(Registro!$E885))),FIND("x",TRIM(MID(SUBSTITUTE(SUBSTITUTE(SUBSTITUTE(SUBSTITUTE(SUBSTITUTE(LOWER(Registro!$E885),"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",LEN(Registro!$E885))),({1,2,3,4,5,6,7,8,9,10,11,12,13,14,15,16,17,18,19,20,21,22,23,24,25,26,27,28,29,30}-1)*LEN(Registro!$E885)+1,LEN(Registro!$E885)))&amp;"x")-1))),"Revisar formato")))</f>
        <v/>
      </c>
      <c r="E885" s="24" t="str">
        <f>IF(Registro!$E885="","",IF(ISERROR(FIND("x",LOWER(Registro!$E885))),"-",IFERROR(SUMPRODUCT(--("0"&amp;LEFT(TRIM(MID(SUBSTITUTE(SUBSTITUTE(SUBSTITUTE(SUBSTITUTE(SUBSTITUTE(LOWER(Registro!$E885),"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",LEN(Registro!$E885))),({1,2,3,4,5,6,7,8,9,10,11,12,13,14,15,16,17,18,19,20,21,22,23,24,25,26,27,28,29,30}-1)*LEN(Registro!$E885)+1,LEN(Registro!$E885))),FIND("x",TRIM(MID(SUBSTITUTE(SUBSTITUTE(SUBSTITUTE(SUBSTITUTE(SUBSTITUTE(LOWER(Registro!$E885),"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",LEN(Registro!$E885))),({1,2,3,4,5,6,7,8,9,10,11,12,13,14,15,16,17,18,19,20,21,22,23,24,25,26,27,28,29,30}-1)*LEN(Registro!$E885)+1,LEN(Registro!$E885)))&amp;"x")-1)),--("0"&amp;MID(TRIM(MID(SUBSTITUTE(SUBSTITUTE(SUBSTITUTE(SUBSTITUTE(SUBSTITUTE(LOWER(Registro!$E885),"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",LEN(Registro!$E885))),({1,2,3,4,5,6,7,8,9,10,11,12,13,14,15,16,17,18,19,20,21,22,23,24,25,26,27,28,29,30}-1)*LEN(Registro!$E885)+1,LEN(Registro!$E885))),FIND("x",TRIM(MID(SUBSTITUTE(SUBSTITUTE(SUBSTITUTE(SUBSTITUTE(SUBSTITUTE(LOWER(Registro!$E885),"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",LEN(Registro!$E885))),({1,2,3,4,5,6,7,8,9,10,11,12,13,14,15,16,17,18,19,20,21,22,23,24,25,26,27,28,29,30}-1)*LEN(Registro!$E885)+1,LEN(Registro!$E885)))&amp;"x")+1,20))),"Revisar formato")))</f>
        <v/>
      </c>
      <c r="F885" s="23" t="str">
        <f>IF(Registro!$F885="","",IF(ISERROR(FIND("x",LOWER(Registro!$F885))),"-",IFERROR(SUMPRODUCT(--("0"&amp;LEFT(TRIM(MID(SUBSTITUTE(SUBSTITUTE(SUBSTITUTE(SUBSTITUTE(SUBSTITUTE(LOWER(Registro!$F885)," ",""),CHAR(10),"|"),";","|"),"+","|"),"|",REPT(" ",LEN(Registro!$F885))),({1,2,3,4,5,6,7,8,9,10,11,12,13,14,15,16,17,18,19,20,21,22,23,24,25,26,27,28,29,30}-1)*LEN(Registro!$F885)+1,LEN(Registro!$F885))),FIND("x",TRIM(MID(SUBSTITUTE(SUBSTITUTE(SUBSTITUTE(SUBSTITUTE(SUBSTITUTE(LOWER(Registro!$F885)," ",""),CHAR(10),"|"),";","|"),"+","|"),"|",REPT(" ",LEN(Registro!$F885))),({1,2,3,4,5,6,7,8,9,10,11,12,13,14,15,16,17,18,19,20,21,22,23,24,25,26,27,28,29,30}-1)*LEN(Registro!$F885)+1,LEN(Registro!$F885)))&amp;"x")-1))),"Revisar formato")))</f>
        <v/>
      </c>
      <c r="G885" s="24" t="str">
        <f>IF(Registro!$F885="","",IF(ISERROR(FIND("x",LOWER(Registro!$F885))),N(Registro!$G885),IFERROR(SUMPRODUCT(--("0"&amp;LEFT(TRIM(MID(SUBSTITUTE(SUBSTITUTE(SUBSTITUTE(SUBSTITUTE(SUBSTITUTE(LOWER(Registro!$F885)," ",""),CHAR(10),"|"),";","|"),"+","|"),"|",REPT(" ",LEN(Registro!$F885))),({1,2,3,4,5,6,7,8,9,10,11,12,13,14,15,16,17,18,19,20,21,22,23,24,25,26,27,28,29,30}-1)*LEN(Registro!$F885)+1,LEN(Registro!$F885))),FIND("x",TRIM(MID(SUBSTITUTE(SUBSTITUTE(SUBSTITUTE(SUBSTITUTE(SUBSTITUTE(LOWER(Registro!$F885)," ",""),CHAR(10),"|"),";","|"),"+","|"),"|",REPT(" ",LEN(Registro!$F885))),({1,2,3,4,5,6,7,8,9,10,11,12,13,14,15,16,17,18,19,20,21,22,23,24,25,26,27,28,29,30}-1)*LEN(Registro!$F885)+1,LEN(Registro!$F885)))&amp;"x")-1)),--("0"&amp;MID(TRIM(MID(SUBSTITUTE(SUBSTITUTE(SUBSTITUTE(SUBSTITUTE(SUBSTITUTE(LOWER(Registro!$F885)," ",""),CHAR(10),"|"),";","|"),"+","|"),"|",REPT(" ",LEN(Registro!$F885))),({1,2,3,4,5,6,7,8,9,10,11,12,13,14,15,16,17,18,19,20,21,22,23,24,25,26,27,28,29,30}-1)*LEN(Registro!$F885)+1,LEN(Registro!$F885))),FIND("x",TRIM(MID(SUBSTITUTE(SUBSTITUTE(SUBSTITUTE(SUBSTITUTE(SUBSTITUTE(LOWER(Registro!$F885)," ",""),CHAR(10),"|"),";","|"),"+","|"),"|",REPT(" ",LEN(Registro!$F885))),({1,2,3,4,5,6,7,8,9,10,11,12,13,14,15,16,17,18,19,20,21,22,23,24,25,26,27,28,29,30}-1)*LEN(Registro!$F885)+1,LEN(Registro!$F885)))&amp;"x")+1,20))),"Revisar formato")))</f>
        <v/>
      </c>
      <c r="H885" s="21" t="str">
        <f>IF(AND(Registro!$E885="",Registro!$F885=""),"",IF(NOT(AND(ISNUMBER(G885),ISNUMBER(Registro!$G885))),"",IF(G885&lt;Registro!$G885,"FALTA BOLETOS",IF(G885=Registro!$G885,"CONFORME","DIFERENCIA"))))</f>
        <v/>
      </c>
      <c r="I885" s="24" t="str">
        <f>IF(Registro!$H885="","",IFERROR(SUMPRODUCT(--("0"&amp;TRIM(RIGHT(SUBSTITUTE(TRIM(MID(SUBSTITUTE(SUBSTITUTE(Registro!$H885,";",CHAR(10)),CHAR(10),REPT(" ",LEN(Registro!$H885))),({1,2,3,4,5,6,7,8,9,10,11,12,13,14,15,16,17,18,19,20,21,22,23,24,25,26,27,28,29,30}-1)*LEN(Registro!$H885)+1,LEN(Registro!$H885)))," ",REPT(" ",50)),50)))),"Revisar formato"))</f>
        <v/>
      </c>
      <c r="J885" s="24" t="str">
        <f>IF(Registro!$I885="","",IFERROR(SUMPRODUCT(--("0"&amp;TRIM(RIGHT(SUBSTITUTE(TRIM(MID(SUBSTITUTE(SUBSTITUTE(Registro!$I885,";",CHAR(10)),CHAR(10),REPT(" ",LEN(Registro!$I885))),({1,2,3,4,5,6,7,8,9,10,11,12,13,14,15,16,17,18,19,20,21,22,23,24,25,26,27,28,29,30}-1)*LEN(Registro!$I885)+1,LEN(Registro!$I885)))," ",REPT(" ",50)),50)))),"Revisar formato"))</f>
        <v/>
      </c>
      <c r="K885" s="24" t="str">
        <f>IF(AND(Registro!$G885="",Registro!$H885=""),"",IF(AND(ISTEXT(I885),I885&lt;&gt;""),"Revisar formato",N(Registro!$G885)-N(I885)))</f>
        <v/>
      </c>
      <c r="L885" s="24" t="str">
        <f t="shared" si="27"/>
        <v/>
      </c>
      <c r="M885" s="36" t="str">
        <f>IF(AND(A885=Consulta!$B$3,C885=Consulta!$H$3),B885*10000+ROW(),"")</f>
        <v/>
      </c>
    </row>
    <row r="886" spans="1:13" x14ac:dyDescent="0.25">
      <c r="A886" s="21" t="str">
        <f>IF(Registro!$A886="","",Registro!$A886)</f>
        <v/>
      </c>
      <c r="B886" s="20" t="str">
        <f>IF(Registro!$B886="","",Registro!$B886)</f>
        <v/>
      </c>
      <c r="C886" s="35" t="str">
        <f t="shared" si="26"/>
        <v/>
      </c>
      <c r="D886" s="23" t="str">
        <f>IF(Registro!$E886="","",IF(ISERROR(FIND("x",LOWER(Registro!$E886))),"-",IFERROR(SUMPRODUCT(--("0"&amp;LEFT(TRIM(MID(SUBSTITUTE(SUBSTITUTE(SUBSTITUTE(SUBSTITUTE(SUBSTITUTE(LOWER(Registro!$E886),"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",LEN(Registro!$E886))),({1,2,3,4,5,6,7,8,9,10,11,12,13,14,15,16,17,18,19,20,21,22,23,24,25,26,27,28,29,30}-1)*LEN(Registro!$E886)+1,LEN(Registro!$E886))),FIND("x",TRIM(MID(SUBSTITUTE(SUBSTITUTE(SUBSTITUTE(SUBSTITUTE(SUBSTITUTE(LOWER(Registro!$E886),"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",LEN(Registro!$E886))),({1,2,3,4,5,6,7,8,9,10,11,12,13,14,15,16,17,18,19,20,21,22,23,24,25,26,27,28,29,30}-1)*LEN(Registro!$E886)+1,LEN(Registro!$E886)))&amp;"x")-1))),"Revisar formato")))</f>
        <v/>
      </c>
      <c r="E886" s="24" t="str">
        <f>IF(Registro!$E886="","",IF(ISERROR(FIND("x",LOWER(Registro!$E886))),"-",IFERROR(SUMPRODUCT(--("0"&amp;LEFT(TRIM(MID(SUBSTITUTE(SUBSTITUTE(SUBSTITUTE(SUBSTITUTE(SUBSTITUTE(LOWER(Registro!$E886),"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",LEN(Registro!$E886))),({1,2,3,4,5,6,7,8,9,10,11,12,13,14,15,16,17,18,19,20,21,22,23,24,25,26,27,28,29,30}-1)*LEN(Registro!$E886)+1,LEN(Registro!$E886))),FIND("x",TRIM(MID(SUBSTITUTE(SUBSTITUTE(SUBSTITUTE(SUBSTITUTE(SUBSTITUTE(LOWER(Registro!$E886),"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",LEN(Registro!$E886))),({1,2,3,4,5,6,7,8,9,10,11,12,13,14,15,16,17,18,19,20,21,22,23,24,25,26,27,28,29,30}-1)*LEN(Registro!$E886)+1,LEN(Registro!$E886)))&amp;"x")-1)),--("0"&amp;MID(TRIM(MID(SUBSTITUTE(SUBSTITUTE(SUBSTITUTE(SUBSTITUTE(SUBSTITUTE(LOWER(Registro!$E886),"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",LEN(Registro!$E886))),({1,2,3,4,5,6,7,8,9,10,11,12,13,14,15,16,17,18,19,20,21,22,23,24,25,26,27,28,29,30}-1)*LEN(Registro!$E886)+1,LEN(Registro!$E886))),FIND("x",TRIM(MID(SUBSTITUTE(SUBSTITUTE(SUBSTITUTE(SUBSTITUTE(SUBSTITUTE(LOWER(Registro!$E886),"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",LEN(Registro!$E886))),({1,2,3,4,5,6,7,8,9,10,11,12,13,14,15,16,17,18,19,20,21,22,23,24,25,26,27,28,29,30}-1)*LEN(Registro!$E886)+1,LEN(Registro!$E886)))&amp;"x")+1,20))),"Revisar formato")))</f>
        <v/>
      </c>
      <c r="F886" s="23" t="str">
        <f>IF(Registro!$F886="","",IF(ISERROR(FIND("x",LOWER(Registro!$F886))),"-",IFERROR(SUMPRODUCT(--("0"&amp;LEFT(TRIM(MID(SUBSTITUTE(SUBSTITUTE(SUBSTITUTE(SUBSTITUTE(SUBSTITUTE(LOWER(Registro!$F886)," ",""),CHAR(10),"|"),";","|"),"+","|"),"|",REPT(" ",LEN(Registro!$F886))),({1,2,3,4,5,6,7,8,9,10,11,12,13,14,15,16,17,18,19,20,21,22,23,24,25,26,27,28,29,30}-1)*LEN(Registro!$F886)+1,LEN(Registro!$F886))),FIND("x",TRIM(MID(SUBSTITUTE(SUBSTITUTE(SUBSTITUTE(SUBSTITUTE(SUBSTITUTE(LOWER(Registro!$F886)," ",""),CHAR(10),"|"),";","|"),"+","|"),"|",REPT(" ",LEN(Registro!$F886))),({1,2,3,4,5,6,7,8,9,10,11,12,13,14,15,16,17,18,19,20,21,22,23,24,25,26,27,28,29,30}-1)*LEN(Registro!$F886)+1,LEN(Registro!$F886)))&amp;"x")-1))),"Revisar formato")))</f>
        <v/>
      </c>
      <c r="G886" s="24" t="str">
        <f>IF(Registro!$F886="","",IF(ISERROR(FIND("x",LOWER(Registro!$F886))),N(Registro!$G886),IFERROR(SUMPRODUCT(--("0"&amp;LEFT(TRIM(MID(SUBSTITUTE(SUBSTITUTE(SUBSTITUTE(SUBSTITUTE(SUBSTITUTE(LOWER(Registro!$F886)," ",""),CHAR(10),"|"),";","|"),"+","|"),"|",REPT(" ",LEN(Registro!$F886))),({1,2,3,4,5,6,7,8,9,10,11,12,13,14,15,16,17,18,19,20,21,22,23,24,25,26,27,28,29,30}-1)*LEN(Registro!$F886)+1,LEN(Registro!$F886))),FIND("x",TRIM(MID(SUBSTITUTE(SUBSTITUTE(SUBSTITUTE(SUBSTITUTE(SUBSTITUTE(LOWER(Registro!$F886)," ",""),CHAR(10),"|"),";","|"),"+","|"),"|",REPT(" ",LEN(Registro!$F886))),({1,2,3,4,5,6,7,8,9,10,11,12,13,14,15,16,17,18,19,20,21,22,23,24,25,26,27,28,29,30}-1)*LEN(Registro!$F886)+1,LEN(Registro!$F886)))&amp;"x")-1)),--("0"&amp;MID(TRIM(MID(SUBSTITUTE(SUBSTITUTE(SUBSTITUTE(SUBSTITUTE(SUBSTITUTE(LOWER(Registro!$F886)," ",""),CHAR(10),"|"),";","|"),"+","|"),"|",REPT(" ",LEN(Registro!$F886))),({1,2,3,4,5,6,7,8,9,10,11,12,13,14,15,16,17,18,19,20,21,22,23,24,25,26,27,28,29,30}-1)*LEN(Registro!$F886)+1,LEN(Registro!$F886))),FIND("x",TRIM(MID(SUBSTITUTE(SUBSTITUTE(SUBSTITUTE(SUBSTITUTE(SUBSTITUTE(LOWER(Registro!$F886)," ",""),CHAR(10),"|"),";","|"),"+","|"),"|",REPT(" ",LEN(Registro!$F886))),({1,2,3,4,5,6,7,8,9,10,11,12,13,14,15,16,17,18,19,20,21,22,23,24,25,26,27,28,29,30}-1)*LEN(Registro!$F886)+1,LEN(Registro!$F886)))&amp;"x")+1,20))),"Revisar formato")))</f>
        <v/>
      </c>
      <c r="H886" s="21" t="str">
        <f>IF(AND(Registro!$E886="",Registro!$F886=""),"",IF(NOT(AND(ISNUMBER(G886),ISNUMBER(Registro!$G886))),"",IF(G886&lt;Registro!$G886,"FALTA BOLETOS",IF(G886=Registro!$G886,"CONFORME","DIFERENCIA"))))</f>
        <v/>
      </c>
      <c r="I886" s="24" t="str">
        <f>IF(Registro!$H886="","",IFERROR(SUMPRODUCT(--("0"&amp;TRIM(RIGHT(SUBSTITUTE(TRIM(MID(SUBSTITUTE(SUBSTITUTE(Registro!$H886,";",CHAR(10)),CHAR(10),REPT(" ",LEN(Registro!$H886))),({1,2,3,4,5,6,7,8,9,10,11,12,13,14,15,16,17,18,19,20,21,22,23,24,25,26,27,28,29,30}-1)*LEN(Registro!$H886)+1,LEN(Registro!$H886)))," ",REPT(" ",50)),50)))),"Revisar formato"))</f>
        <v/>
      </c>
      <c r="J886" s="24" t="str">
        <f>IF(Registro!$I886="","",IFERROR(SUMPRODUCT(--("0"&amp;TRIM(RIGHT(SUBSTITUTE(TRIM(MID(SUBSTITUTE(SUBSTITUTE(Registro!$I886,";",CHAR(10)),CHAR(10),REPT(" ",LEN(Registro!$I886))),({1,2,3,4,5,6,7,8,9,10,11,12,13,14,15,16,17,18,19,20,21,22,23,24,25,26,27,28,29,30}-1)*LEN(Registro!$I886)+1,LEN(Registro!$I886)))," ",REPT(" ",50)),50)))),"Revisar formato"))</f>
        <v/>
      </c>
      <c r="K886" s="24" t="str">
        <f>IF(AND(Registro!$G886="",Registro!$H886=""),"",IF(AND(ISTEXT(I886),I886&lt;&gt;""),"Revisar formato",N(Registro!$G886)-N(I886)))</f>
        <v/>
      </c>
      <c r="L886" s="24" t="str">
        <f t="shared" si="27"/>
        <v/>
      </c>
      <c r="M886" s="36" t="str">
        <f>IF(AND(A886=Consulta!$B$3,C886=Consulta!$H$3),B886*10000+ROW(),"")</f>
        <v/>
      </c>
    </row>
    <row r="887" spans="1:13" x14ac:dyDescent="0.25">
      <c r="A887" s="21" t="str">
        <f>IF(Registro!$A887="","",Registro!$A887)</f>
        <v/>
      </c>
      <c r="B887" s="20" t="str">
        <f>IF(Registro!$B887="","",Registro!$B887)</f>
        <v/>
      </c>
      <c r="C887" s="35" t="str">
        <f t="shared" si="26"/>
        <v/>
      </c>
      <c r="D887" s="23" t="str">
        <f>IF(Registro!$E887="","",IF(ISERROR(FIND("x",LOWER(Registro!$E887))),"-",IFERROR(SUMPRODUCT(--("0"&amp;LEFT(TRIM(MID(SUBSTITUTE(SUBSTITUTE(SUBSTITUTE(SUBSTITUTE(SUBSTITUTE(LOWER(Registro!$E887),"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",LEN(Registro!$E887))),({1,2,3,4,5,6,7,8,9,10,11,12,13,14,15,16,17,18,19,20,21,22,23,24,25,26,27,28,29,30}-1)*LEN(Registro!$E887)+1,LEN(Registro!$E887))),FIND("x",TRIM(MID(SUBSTITUTE(SUBSTITUTE(SUBSTITUTE(SUBSTITUTE(SUBSTITUTE(LOWER(Registro!$E887),"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",LEN(Registro!$E887))),({1,2,3,4,5,6,7,8,9,10,11,12,13,14,15,16,17,18,19,20,21,22,23,24,25,26,27,28,29,30}-1)*LEN(Registro!$E887)+1,LEN(Registro!$E887)))&amp;"x")-1))),"Revisar formato")))</f>
        <v/>
      </c>
      <c r="E887" s="24" t="str">
        <f>IF(Registro!$E887="","",IF(ISERROR(FIND("x",LOWER(Registro!$E887))),"-",IFERROR(SUMPRODUCT(--("0"&amp;LEFT(TRIM(MID(SUBSTITUTE(SUBSTITUTE(SUBSTITUTE(SUBSTITUTE(SUBSTITUTE(LOWER(Registro!$E887),"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",LEN(Registro!$E887))),({1,2,3,4,5,6,7,8,9,10,11,12,13,14,15,16,17,18,19,20,21,22,23,24,25,26,27,28,29,30}-1)*LEN(Registro!$E887)+1,LEN(Registro!$E887))),FIND("x",TRIM(MID(SUBSTITUTE(SUBSTITUTE(SUBSTITUTE(SUBSTITUTE(SUBSTITUTE(LOWER(Registro!$E887),"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",LEN(Registro!$E887))),({1,2,3,4,5,6,7,8,9,10,11,12,13,14,15,16,17,18,19,20,21,22,23,24,25,26,27,28,29,30}-1)*LEN(Registro!$E887)+1,LEN(Registro!$E887)))&amp;"x")-1)),--("0"&amp;MID(TRIM(MID(SUBSTITUTE(SUBSTITUTE(SUBSTITUTE(SUBSTITUTE(SUBSTITUTE(LOWER(Registro!$E887),"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",LEN(Registro!$E887))),({1,2,3,4,5,6,7,8,9,10,11,12,13,14,15,16,17,18,19,20,21,22,23,24,25,26,27,28,29,30}-1)*LEN(Registro!$E887)+1,LEN(Registro!$E887))),FIND("x",TRIM(MID(SUBSTITUTE(SUBSTITUTE(SUBSTITUTE(SUBSTITUTE(SUBSTITUTE(LOWER(Registro!$E887),"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",LEN(Registro!$E887))),({1,2,3,4,5,6,7,8,9,10,11,12,13,14,15,16,17,18,19,20,21,22,23,24,25,26,27,28,29,30}-1)*LEN(Registro!$E887)+1,LEN(Registro!$E887)))&amp;"x")+1,20))),"Revisar formato")))</f>
        <v/>
      </c>
      <c r="F887" s="23" t="str">
        <f>IF(Registro!$F887="","",IF(ISERROR(FIND("x",LOWER(Registro!$F887))),"-",IFERROR(SUMPRODUCT(--("0"&amp;LEFT(TRIM(MID(SUBSTITUTE(SUBSTITUTE(SUBSTITUTE(SUBSTITUTE(SUBSTITUTE(LOWER(Registro!$F887)," ",""),CHAR(10),"|"),";","|"),"+","|"),"|",REPT(" ",LEN(Registro!$F887))),({1,2,3,4,5,6,7,8,9,10,11,12,13,14,15,16,17,18,19,20,21,22,23,24,25,26,27,28,29,30}-1)*LEN(Registro!$F887)+1,LEN(Registro!$F887))),FIND("x",TRIM(MID(SUBSTITUTE(SUBSTITUTE(SUBSTITUTE(SUBSTITUTE(SUBSTITUTE(LOWER(Registro!$F887)," ",""),CHAR(10),"|"),";","|"),"+","|"),"|",REPT(" ",LEN(Registro!$F887))),({1,2,3,4,5,6,7,8,9,10,11,12,13,14,15,16,17,18,19,20,21,22,23,24,25,26,27,28,29,30}-1)*LEN(Registro!$F887)+1,LEN(Registro!$F887)))&amp;"x")-1))),"Revisar formato")))</f>
        <v/>
      </c>
      <c r="G887" s="24" t="str">
        <f>IF(Registro!$F887="","",IF(ISERROR(FIND("x",LOWER(Registro!$F887))),N(Registro!$G887),IFERROR(SUMPRODUCT(--("0"&amp;LEFT(TRIM(MID(SUBSTITUTE(SUBSTITUTE(SUBSTITUTE(SUBSTITUTE(SUBSTITUTE(LOWER(Registro!$F887)," ",""),CHAR(10),"|"),";","|"),"+","|"),"|",REPT(" ",LEN(Registro!$F887))),({1,2,3,4,5,6,7,8,9,10,11,12,13,14,15,16,17,18,19,20,21,22,23,24,25,26,27,28,29,30}-1)*LEN(Registro!$F887)+1,LEN(Registro!$F887))),FIND("x",TRIM(MID(SUBSTITUTE(SUBSTITUTE(SUBSTITUTE(SUBSTITUTE(SUBSTITUTE(LOWER(Registro!$F887)," ",""),CHAR(10),"|"),";","|"),"+","|"),"|",REPT(" ",LEN(Registro!$F887))),({1,2,3,4,5,6,7,8,9,10,11,12,13,14,15,16,17,18,19,20,21,22,23,24,25,26,27,28,29,30}-1)*LEN(Registro!$F887)+1,LEN(Registro!$F887)))&amp;"x")-1)),--("0"&amp;MID(TRIM(MID(SUBSTITUTE(SUBSTITUTE(SUBSTITUTE(SUBSTITUTE(SUBSTITUTE(LOWER(Registro!$F887)," ",""),CHAR(10),"|"),";","|"),"+","|"),"|",REPT(" ",LEN(Registro!$F887))),({1,2,3,4,5,6,7,8,9,10,11,12,13,14,15,16,17,18,19,20,21,22,23,24,25,26,27,28,29,30}-1)*LEN(Registro!$F887)+1,LEN(Registro!$F887))),FIND("x",TRIM(MID(SUBSTITUTE(SUBSTITUTE(SUBSTITUTE(SUBSTITUTE(SUBSTITUTE(LOWER(Registro!$F887)," ",""),CHAR(10),"|"),";","|"),"+","|"),"|",REPT(" ",LEN(Registro!$F887))),({1,2,3,4,5,6,7,8,9,10,11,12,13,14,15,16,17,18,19,20,21,22,23,24,25,26,27,28,29,30}-1)*LEN(Registro!$F887)+1,LEN(Registro!$F887)))&amp;"x")+1,20))),"Revisar formato")))</f>
        <v/>
      </c>
      <c r="H887" s="21" t="str">
        <f>IF(AND(Registro!$E887="",Registro!$F887=""),"",IF(NOT(AND(ISNUMBER(G887),ISNUMBER(Registro!$G887))),"",IF(G887&lt;Registro!$G887,"FALTA BOLETOS",IF(G887=Registro!$G887,"CONFORME","DIFERENCIA"))))</f>
        <v/>
      </c>
      <c r="I887" s="24" t="str">
        <f>IF(Registro!$H887="","",IFERROR(SUMPRODUCT(--("0"&amp;TRIM(RIGHT(SUBSTITUTE(TRIM(MID(SUBSTITUTE(SUBSTITUTE(Registro!$H887,";",CHAR(10)),CHAR(10),REPT(" ",LEN(Registro!$H887))),({1,2,3,4,5,6,7,8,9,10,11,12,13,14,15,16,17,18,19,20,21,22,23,24,25,26,27,28,29,30}-1)*LEN(Registro!$H887)+1,LEN(Registro!$H887)))," ",REPT(" ",50)),50)))),"Revisar formato"))</f>
        <v/>
      </c>
      <c r="J887" s="24" t="str">
        <f>IF(Registro!$I887="","",IFERROR(SUMPRODUCT(--("0"&amp;TRIM(RIGHT(SUBSTITUTE(TRIM(MID(SUBSTITUTE(SUBSTITUTE(Registro!$I887,";",CHAR(10)),CHAR(10),REPT(" ",LEN(Registro!$I887))),({1,2,3,4,5,6,7,8,9,10,11,12,13,14,15,16,17,18,19,20,21,22,23,24,25,26,27,28,29,30}-1)*LEN(Registro!$I887)+1,LEN(Registro!$I887)))," ",REPT(" ",50)),50)))),"Revisar formato"))</f>
        <v/>
      </c>
      <c r="K887" s="24" t="str">
        <f>IF(AND(Registro!$G887="",Registro!$H887=""),"",IF(AND(ISTEXT(I887),I887&lt;&gt;""),"Revisar formato",N(Registro!$G887)-N(I887)))</f>
        <v/>
      </c>
      <c r="L887" s="24" t="str">
        <f t="shared" si="27"/>
        <v/>
      </c>
      <c r="M887" s="36" t="str">
        <f>IF(AND(A887=Consulta!$B$3,C887=Consulta!$H$3),B887*10000+ROW(),"")</f>
        <v/>
      </c>
    </row>
    <row r="888" spans="1:13" x14ac:dyDescent="0.25">
      <c r="A888" s="21" t="str">
        <f>IF(Registro!$A888="","",Registro!$A888)</f>
        <v/>
      </c>
      <c r="B888" s="20" t="str">
        <f>IF(Registro!$B888="","",Registro!$B888)</f>
        <v/>
      </c>
      <c r="C888" s="35" t="str">
        <f t="shared" si="26"/>
        <v/>
      </c>
      <c r="D888" s="23" t="str">
        <f>IF(Registro!$E888="","",IF(ISERROR(FIND("x",LOWER(Registro!$E888))),"-",IFERROR(SUMPRODUCT(--("0"&amp;LEFT(TRIM(MID(SUBSTITUTE(SUBSTITUTE(SUBSTITUTE(SUBSTITUTE(SUBSTITUTE(LOWER(Registro!$E888),"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",LEN(Registro!$E888))),({1,2,3,4,5,6,7,8,9,10,11,12,13,14,15,16,17,18,19,20,21,22,23,24,25,26,27,28,29,30}-1)*LEN(Registro!$E888)+1,LEN(Registro!$E888))),FIND("x",TRIM(MID(SUBSTITUTE(SUBSTITUTE(SUBSTITUTE(SUBSTITUTE(SUBSTITUTE(LOWER(Registro!$E888),"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",LEN(Registro!$E888))),({1,2,3,4,5,6,7,8,9,10,11,12,13,14,15,16,17,18,19,20,21,22,23,24,25,26,27,28,29,30}-1)*LEN(Registro!$E888)+1,LEN(Registro!$E888)))&amp;"x")-1))),"Revisar formato")))</f>
        <v/>
      </c>
      <c r="E888" s="24" t="str">
        <f>IF(Registro!$E888="","",IF(ISERROR(FIND("x",LOWER(Registro!$E888))),"-",IFERROR(SUMPRODUCT(--("0"&amp;LEFT(TRIM(MID(SUBSTITUTE(SUBSTITUTE(SUBSTITUTE(SUBSTITUTE(SUBSTITUTE(LOWER(Registro!$E888),"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",LEN(Registro!$E888))),({1,2,3,4,5,6,7,8,9,10,11,12,13,14,15,16,17,18,19,20,21,22,23,24,25,26,27,28,29,30}-1)*LEN(Registro!$E888)+1,LEN(Registro!$E888))),FIND("x",TRIM(MID(SUBSTITUTE(SUBSTITUTE(SUBSTITUTE(SUBSTITUTE(SUBSTITUTE(LOWER(Registro!$E888),"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",LEN(Registro!$E888))),({1,2,3,4,5,6,7,8,9,10,11,12,13,14,15,16,17,18,19,20,21,22,23,24,25,26,27,28,29,30}-1)*LEN(Registro!$E888)+1,LEN(Registro!$E888)))&amp;"x")-1)),--("0"&amp;MID(TRIM(MID(SUBSTITUTE(SUBSTITUTE(SUBSTITUTE(SUBSTITUTE(SUBSTITUTE(LOWER(Registro!$E888),"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",LEN(Registro!$E888))),({1,2,3,4,5,6,7,8,9,10,11,12,13,14,15,16,17,18,19,20,21,22,23,24,25,26,27,28,29,30}-1)*LEN(Registro!$E888)+1,LEN(Registro!$E888))),FIND("x",TRIM(MID(SUBSTITUTE(SUBSTITUTE(SUBSTITUTE(SUBSTITUTE(SUBSTITUTE(LOWER(Registro!$E888),"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",LEN(Registro!$E888))),({1,2,3,4,5,6,7,8,9,10,11,12,13,14,15,16,17,18,19,20,21,22,23,24,25,26,27,28,29,30}-1)*LEN(Registro!$E888)+1,LEN(Registro!$E888)))&amp;"x")+1,20))),"Revisar formato")))</f>
        <v/>
      </c>
      <c r="F888" s="23" t="str">
        <f>IF(Registro!$F888="","",IF(ISERROR(FIND("x",LOWER(Registro!$F888))),"-",IFERROR(SUMPRODUCT(--("0"&amp;LEFT(TRIM(MID(SUBSTITUTE(SUBSTITUTE(SUBSTITUTE(SUBSTITUTE(SUBSTITUTE(LOWER(Registro!$F888)," ",""),CHAR(10),"|"),";","|"),"+","|"),"|",REPT(" ",LEN(Registro!$F888))),({1,2,3,4,5,6,7,8,9,10,11,12,13,14,15,16,17,18,19,20,21,22,23,24,25,26,27,28,29,30}-1)*LEN(Registro!$F888)+1,LEN(Registro!$F888))),FIND("x",TRIM(MID(SUBSTITUTE(SUBSTITUTE(SUBSTITUTE(SUBSTITUTE(SUBSTITUTE(LOWER(Registro!$F888)," ",""),CHAR(10),"|"),";","|"),"+","|"),"|",REPT(" ",LEN(Registro!$F888))),({1,2,3,4,5,6,7,8,9,10,11,12,13,14,15,16,17,18,19,20,21,22,23,24,25,26,27,28,29,30}-1)*LEN(Registro!$F888)+1,LEN(Registro!$F888)))&amp;"x")-1))),"Revisar formato")))</f>
        <v/>
      </c>
      <c r="G888" s="24" t="str">
        <f>IF(Registro!$F888="","",IF(ISERROR(FIND("x",LOWER(Registro!$F888))),N(Registro!$G888),IFERROR(SUMPRODUCT(--("0"&amp;LEFT(TRIM(MID(SUBSTITUTE(SUBSTITUTE(SUBSTITUTE(SUBSTITUTE(SUBSTITUTE(LOWER(Registro!$F888)," ",""),CHAR(10),"|"),";","|"),"+","|"),"|",REPT(" ",LEN(Registro!$F888))),({1,2,3,4,5,6,7,8,9,10,11,12,13,14,15,16,17,18,19,20,21,22,23,24,25,26,27,28,29,30}-1)*LEN(Registro!$F888)+1,LEN(Registro!$F888))),FIND("x",TRIM(MID(SUBSTITUTE(SUBSTITUTE(SUBSTITUTE(SUBSTITUTE(SUBSTITUTE(LOWER(Registro!$F888)," ",""),CHAR(10),"|"),";","|"),"+","|"),"|",REPT(" ",LEN(Registro!$F888))),({1,2,3,4,5,6,7,8,9,10,11,12,13,14,15,16,17,18,19,20,21,22,23,24,25,26,27,28,29,30}-1)*LEN(Registro!$F888)+1,LEN(Registro!$F888)))&amp;"x")-1)),--("0"&amp;MID(TRIM(MID(SUBSTITUTE(SUBSTITUTE(SUBSTITUTE(SUBSTITUTE(SUBSTITUTE(LOWER(Registro!$F888)," ",""),CHAR(10),"|"),";","|"),"+","|"),"|",REPT(" ",LEN(Registro!$F888))),({1,2,3,4,5,6,7,8,9,10,11,12,13,14,15,16,17,18,19,20,21,22,23,24,25,26,27,28,29,30}-1)*LEN(Registro!$F888)+1,LEN(Registro!$F888))),FIND("x",TRIM(MID(SUBSTITUTE(SUBSTITUTE(SUBSTITUTE(SUBSTITUTE(SUBSTITUTE(LOWER(Registro!$F888)," ",""),CHAR(10),"|"),";","|"),"+","|"),"|",REPT(" ",LEN(Registro!$F888))),({1,2,3,4,5,6,7,8,9,10,11,12,13,14,15,16,17,18,19,20,21,22,23,24,25,26,27,28,29,30}-1)*LEN(Registro!$F888)+1,LEN(Registro!$F888)))&amp;"x")+1,20))),"Revisar formato")))</f>
        <v/>
      </c>
      <c r="H888" s="21" t="str">
        <f>IF(AND(Registro!$E888="",Registro!$F888=""),"",IF(NOT(AND(ISNUMBER(G888),ISNUMBER(Registro!$G888))),"",IF(G888&lt;Registro!$G888,"FALTA BOLETOS",IF(G888=Registro!$G888,"CONFORME","DIFERENCIA"))))</f>
        <v/>
      </c>
      <c r="I888" s="24" t="str">
        <f>IF(Registro!$H888="","",IFERROR(SUMPRODUCT(--("0"&amp;TRIM(RIGHT(SUBSTITUTE(TRIM(MID(SUBSTITUTE(SUBSTITUTE(Registro!$H888,";",CHAR(10)),CHAR(10),REPT(" ",LEN(Registro!$H888))),({1,2,3,4,5,6,7,8,9,10,11,12,13,14,15,16,17,18,19,20,21,22,23,24,25,26,27,28,29,30}-1)*LEN(Registro!$H888)+1,LEN(Registro!$H888)))," ",REPT(" ",50)),50)))),"Revisar formato"))</f>
        <v/>
      </c>
      <c r="J888" s="24" t="str">
        <f>IF(Registro!$I888="","",IFERROR(SUMPRODUCT(--("0"&amp;TRIM(RIGHT(SUBSTITUTE(TRIM(MID(SUBSTITUTE(SUBSTITUTE(Registro!$I888,";",CHAR(10)),CHAR(10),REPT(" ",LEN(Registro!$I888))),({1,2,3,4,5,6,7,8,9,10,11,12,13,14,15,16,17,18,19,20,21,22,23,24,25,26,27,28,29,30}-1)*LEN(Registro!$I888)+1,LEN(Registro!$I888)))," ",REPT(" ",50)),50)))),"Revisar formato"))</f>
        <v/>
      </c>
      <c r="K888" s="24" t="str">
        <f>IF(AND(Registro!$G888="",Registro!$H888=""),"",IF(AND(ISTEXT(I888),I888&lt;&gt;""),"Revisar formato",N(Registro!$G888)-N(I888)))</f>
        <v/>
      </c>
      <c r="L888" s="24" t="str">
        <f t="shared" si="27"/>
        <v/>
      </c>
      <c r="M888" s="36" t="str">
        <f>IF(AND(A888=Consulta!$B$3,C888=Consulta!$H$3),B888*10000+ROW(),"")</f>
        <v/>
      </c>
    </row>
    <row r="889" spans="1:13" x14ac:dyDescent="0.25">
      <c r="A889" s="21" t="str">
        <f>IF(Registro!$A889="","",Registro!$A889)</f>
        <v/>
      </c>
      <c r="B889" s="20" t="str">
        <f>IF(Registro!$B889="","",Registro!$B889)</f>
        <v/>
      </c>
      <c r="C889" s="35" t="str">
        <f t="shared" si="26"/>
        <v/>
      </c>
      <c r="D889" s="23" t="str">
        <f>IF(Registro!$E889="","",IF(ISERROR(FIND("x",LOWER(Registro!$E889))),"-",IFERROR(SUMPRODUCT(--("0"&amp;LEFT(TRIM(MID(SUBSTITUTE(SUBSTITUTE(SUBSTITUTE(SUBSTITUTE(SUBSTITUTE(LOWER(Registro!$E889),"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",LEN(Registro!$E889))),({1,2,3,4,5,6,7,8,9,10,11,12,13,14,15,16,17,18,19,20,21,22,23,24,25,26,27,28,29,30}-1)*LEN(Registro!$E889)+1,LEN(Registro!$E889))),FIND("x",TRIM(MID(SUBSTITUTE(SUBSTITUTE(SUBSTITUTE(SUBSTITUTE(SUBSTITUTE(LOWER(Registro!$E889),"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",LEN(Registro!$E889))),({1,2,3,4,5,6,7,8,9,10,11,12,13,14,15,16,17,18,19,20,21,22,23,24,25,26,27,28,29,30}-1)*LEN(Registro!$E889)+1,LEN(Registro!$E889)))&amp;"x")-1))),"Revisar formato")))</f>
        <v/>
      </c>
      <c r="E889" s="24" t="str">
        <f>IF(Registro!$E889="","",IF(ISERROR(FIND("x",LOWER(Registro!$E889))),"-",IFERROR(SUMPRODUCT(--("0"&amp;LEFT(TRIM(MID(SUBSTITUTE(SUBSTITUTE(SUBSTITUTE(SUBSTITUTE(SUBSTITUTE(LOWER(Registro!$E889),"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",LEN(Registro!$E889))),({1,2,3,4,5,6,7,8,9,10,11,12,13,14,15,16,17,18,19,20,21,22,23,24,25,26,27,28,29,30}-1)*LEN(Registro!$E889)+1,LEN(Registro!$E889))),FIND("x",TRIM(MID(SUBSTITUTE(SUBSTITUTE(SUBSTITUTE(SUBSTITUTE(SUBSTITUTE(LOWER(Registro!$E889),"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",LEN(Registro!$E889))),({1,2,3,4,5,6,7,8,9,10,11,12,13,14,15,16,17,18,19,20,21,22,23,24,25,26,27,28,29,30}-1)*LEN(Registro!$E889)+1,LEN(Registro!$E889)))&amp;"x")-1)),--("0"&amp;MID(TRIM(MID(SUBSTITUTE(SUBSTITUTE(SUBSTITUTE(SUBSTITUTE(SUBSTITUTE(LOWER(Registro!$E889),"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",LEN(Registro!$E889))),({1,2,3,4,5,6,7,8,9,10,11,12,13,14,15,16,17,18,19,20,21,22,23,24,25,26,27,28,29,30}-1)*LEN(Registro!$E889)+1,LEN(Registro!$E889))),FIND("x",TRIM(MID(SUBSTITUTE(SUBSTITUTE(SUBSTITUTE(SUBSTITUTE(SUBSTITUTE(LOWER(Registro!$E889),"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",LEN(Registro!$E889))),({1,2,3,4,5,6,7,8,9,10,11,12,13,14,15,16,17,18,19,20,21,22,23,24,25,26,27,28,29,30}-1)*LEN(Registro!$E889)+1,LEN(Registro!$E889)))&amp;"x")+1,20))),"Revisar formato")))</f>
        <v/>
      </c>
      <c r="F889" s="23" t="str">
        <f>IF(Registro!$F889="","",IF(ISERROR(FIND("x",LOWER(Registro!$F889))),"-",IFERROR(SUMPRODUCT(--("0"&amp;LEFT(TRIM(MID(SUBSTITUTE(SUBSTITUTE(SUBSTITUTE(SUBSTITUTE(SUBSTITUTE(LOWER(Registro!$F889)," ",""),CHAR(10),"|"),";","|"),"+","|"),"|",REPT(" ",LEN(Registro!$F889))),({1,2,3,4,5,6,7,8,9,10,11,12,13,14,15,16,17,18,19,20,21,22,23,24,25,26,27,28,29,30}-1)*LEN(Registro!$F889)+1,LEN(Registro!$F889))),FIND("x",TRIM(MID(SUBSTITUTE(SUBSTITUTE(SUBSTITUTE(SUBSTITUTE(SUBSTITUTE(LOWER(Registro!$F889)," ",""),CHAR(10),"|"),";","|"),"+","|"),"|",REPT(" ",LEN(Registro!$F889))),({1,2,3,4,5,6,7,8,9,10,11,12,13,14,15,16,17,18,19,20,21,22,23,24,25,26,27,28,29,30}-1)*LEN(Registro!$F889)+1,LEN(Registro!$F889)))&amp;"x")-1))),"Revisar formato")))</f>
        <v/>
      </c>
      <c r="G889" s="24" t="str">
        <f>IF(Registro!$F889="","",IF(ISERROR(FIND("x",LOWER(Registro!$F889))),N(Registro!$G889),IFERROR(SUMPRODUCT(--("0"&amp;LEFT(TRIM(MID(SUBSTITUTE(SUBSTITUTE(SUBSTITUTE(SUBSTITUTE(SUBSTITUTE(LOWER(Registro!$F889)," ",""),CHAR(10),"|"),";","|"),"+","|"),"|",REPT(" ",LEN(Registro!$F889))),({1,2,3,4,5,6,7,8,9,10,11,12,13,14,15,16,17,18,19,20,21,22,23,24,25,26,27,28,29,30}-1)*LEN(Registro!$F889)+1,LEN(Registro!$F889))),FIND("x",TRIM(MID(SUBSTITUTE(SUBSTITUTE(SUBSTITUTE(SUBSTITUTE(SUBSTITUTE(LOWER(Registro!$F889)," ",""),CHAR(10),"|"),";","|"),"+","|"),"|",REPT(" ",LEN(Registro!$F889))),({1,2,3,4,5,6,7,8,9,10,11,12,13,14,15,16,17,18,19,20,21,22,23,24,25,26,27,28,29,30}-1)*LEN(Registro!$F889)+1,LEN(Registro!$F889)))&amp;"x")-1)),--("0"&amp;MID(TRIM(MID(SUBSTITUTE(SUBSTITUTE(SUBSTITUTE(SUBSTITUTE(SUBSTITUTE(LOWER(Registro!$F889)," ",""),CHAR(10),"|"),";","|"),"+","|"),"|",REPT(" ",LEN(Registro!$F889))),({1,2,3,4,5,6,7,8,9,10,11,12,13,14,15,16,17,18,19,20,21,22,23,24,25,26,27,28,29,30}-1)*LEN(Registro!$F889)+1,LEN(Registro!$F889))),FIND("x",TRIM(MID(SUBSTITUTE(SUBSTITUTE(SUBSTITUTE(SUBSTITUTE(SUBSTITUTE(LOWER(Registro!$F889)," ",""),CHAR(10),"|"),";","|"),"+","|"),"|",REPT(" ",LEN(Registro!$F889))),({1,2,3,4,5,6,7,8,9,10,11,12,13,14,15,16,17,18,19,20,21,22,23,24,25,26,27,28,29,30}-1)*LEN(Registro!$F889)+1,LEN(Registro!$F889)))&amp;"x")+1,20))),"Revisar formato")))</f>
        <v/>
      </c>
      <c r="H889" s="21" t="str">
        <f>IF(AND(Registro!$E889="",Registro!$F889=""),"",IF(NOT(AND(ISNUMBER(G889),ISNUMBER(Registro!$G889))),"",IF(G889&lt;Registro!$G889,"FALTA BOLETOS",IF(G889=Registro!$G889,"CONFORME","DIFERENCIA"))))</f>
        <v/>
      </c>
      <c r="I889" s="24" t="str">
        <f>IF(Registro!$H889="","",IFERROR(SUMPRODUCT(--("0"&amp;TRIM(RIGHT(SUBSTITUTE(TRIM(MID(SUBSTITUTE(SUBSTITUTE(Registro!$H889,";",CHAR(10)),CHAR(10),REPT(" ",LEN(Registro!$H889))),({1,2,3,4,5,6,7,8,9,10,11,12,13,14,15,16,17,18,19,20,21,22,23,24,25,26,27,28,29,30}-1)*LEN(Registro!$H889)+1,LEN(Registro!$H889)))," ",REPT(" ",50)),50)))),"Revisar formato"))</f>
        <v/>
      </c>
      <c r="J889" s="24" t="str">
        <f>IF(Registro!$I889="","",IFERROR(SUMPRODUCT(--("0"&amp;TRIM(RIGHT(SUBSTITUTE(TRIM(MID(SUBSTITUTE(SUBSTITUTE(Registro!$I889,";",CHAR(10)),CHAR(10),REPT(" ",LEN(Registro!$I889))),({1,2,3,4,5,6,7,8,9,10,11,12,13,14,15,16,17,18,19,20,21,22,23,24,25,26,27,28,29,30}-1)*LEN(Registro!$I889)+1,LEN(Registro!$I889)))," ",REPT(" ",50)),50)))),"Revisar formato"))</f>
        <v/>
      </c>
      <c r="K889" s="24" t="str">
        <f>IF(AND(Registro!$G889="",Registro!$H889=""),"",IF(AND(ISTEXT(I889),I889&lt;&gt;""),"Revisar formato",N(Registro!$G889)-N(I889)))</f>
        <v/>
      </c>
      <c r="L889" s="24" t="str">
        <f t="shared" si="27"/>
        <v/>
      </c>
      <c r="M889" s="36" t="str">
        <f>IF(AND(A889=Consulta!$B$3,C889=Consulta!$H$3),B889*10000+ROW(),"")</f>
        <v/>
      </c>
    </row>
    <row r="890" spans="1:13" x14ac:dyDescent="0.25">
      <c r="A890" s="21" t="str">
        <f>IF(Registro!$A890="","",Registro!$A890)</f>
        <v/>
      </c>
      <c r="B890" s="20" t="str">
        <f>IF(Registro!$B890="","",Registro!$B890)</f>
        <v/>
      </c>
      <c r="C890" s="35" t="str">
        <f t="shared" si="26"/>
        <v/>
      </c>
      <c r="D890" s="23" t="str">
        <f>IF(Registro!$E890="","",IF(ISERROR(FIND("x",LOWER(Registro!$E890))),"-",IFERROR(SUMPRODUCT(--("0"&amp;LEFT(TRIM(MID(SUBSTITUTE(SUBSTITUTE(SUBSTITUTE(SUBSTITUTE(SUBSTITUTE(LOWER(Registro!$E890),"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",LEN(Registro!$E890))),({1,2,3,4,5,6,7,8,9,10,11,12,13,14,15,16,17,18,19,20,21,22,23,24,25,26,27,28,29,30}-1)*LEN(Registro!$E890)+1,LEN(Registro!$E890))),FIND("x",TRIM(MID(SUBSTITUTE(SUBSTITUTE(SUBSTITUTE(SUBSTITUTE(SUBSTITUTE(LOWER(Registro!$E890),"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",LEN(Registro!$E890))),({1,2,3,4,5,6,7,8,9,10,11,12,13,14,15,16,17,18,19,20,21,22,23,24,25,26,27,28,29,30}-1)*LEN(Registro!$E890)+1,LEN(Registro!$E890)))&amp;"x")-1))),"Revisar formato")))</f>
        <v/>
      </c>
      <c r="E890" s="24" t="str">
        <f>IF(Registro!$E890="","",IF(ISERROR(FIND("x",LOWER(Registro!$E890))),"-",IFERROR(SUMPRODUCT(--("0"&amp;LEFT(TRIM(MID(SUBSTITUTE(SUBSTITUTE(SUBSTITUTE(SUBSTITUTE(SUBSTITUTE(LOWER(Registro!$E890),"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",LEN(Registro!$E890))),({1,2,3,4,5,6,7,8,9,10,11,12,13,14,15,16,17,18,19,20,21,22,23,24,25,26,27,28,29,30}-1)*LEN(Registro!$E890)+1,LEN(Registro!$E890))),FIND("x",TRIM(MID(SUBSTITUTE(SUBSTITUTE(SUBSTITUTE(SUBSTITUTE(SUBSTITUTE(LOWER(Registro!$E890),"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",LEN(Registro!$E890))),({1,2,3,4,5,6,7,8,9,10,11,12,13,14,15,16,17,18,19,20,21,22,23,24,25,26,27,28,29,30}-1)*LEN(Registro!$E890)+1,LEN(Registro!$E890)))&amp;"x")-1)),--("0"&amp;MID(TRIM(MID(SUBSTITUTE(SUBSTITUTE(SUBSTITUTE(SUBSTITUTE(SUBSTITUTE(LOWER(Registro!$E890),"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",LEN(Registro!$E890))),({1,2,3,4,5,6,7,8,9,10,11,12,13,14,15,16,17,18,19,20,21,22,23,24,25,26,27,28,29,30}-1)*LEN(Registro!$E890)+1,LEN(Registro!$E890))),FIND("x",TRIM(MID(SUBSTITUTE(SUBSTITUTE(SUBSTITUTE(SUBSTITUTE(SUBSTITUTE(LOWER(Registro!$E890),"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",LEN(Registro!$E890))),({1,2,3,4,5,6,7,8,9,10,11,12,13,14,15,16,17,18,19,20,21,22,23,24,25,26,27,28,29,30}-1)*LEN(Registro!$E890)+1,LEN(Registro!$E890)))&amp;"x")+1,20))),"Revisar formato")))</f>
        <v/>
      </c>
      <c r="F890" s="23" t="str">
        <f>IF(Registro!$F890="","",IF(ISERROR(FIND("x",LOWER(Registro!$F890))),"-",IFERROR(SUMPRODUCT(--("0"&amp;LEFT(TRIM(MID(SUBSTITUTE(SUBSTITUTE(SUBSTITUTE(SUBSTITUTE(SUBSTITUTE(LOWER(Registro!$F890)," ",""),CHAR(10),"|"),";","|"),"+","|"),"|",REPT(" ",LEN(Registro!$F890))),({1,2,3,4,5,6,7,8,9,10,11,12,13,14,15,16,17,18,19,20,21,22,23,24,25,26,27,28,29,30}-1)*LEN(Registro!$F890)+1,LEN(Registro!$F890))),FIND("x",TRIM(MID(SUBSTITUTE(SUBSTITUTE(SUBSTITUTE(SUBSTITUTE(SUBSTITUTE(LOWER(Registro!$F890)," ",""),CHAR(10),"|"),";","|"),"+","|"),"|",REPT(" ",LEN(Registro!$F890))),({1,2,3,4,5,6,7,8,9,10,11,12,13,14,15,16,17,18,19,20,21,22,23,24,25,26,27,28,29,30}-1)*LEN(Registro!$F890)+1,LEN(Registro!$F890)))&amp;"x")-1))),"Revisar formato")))</f>
        <v/>
      </c>
      <c r="G890" s="24" t="str">
        <f>IF(Registro!$F890="","",IF(ISERROR(FIND("x",LOWER(Registro!$F890))),N(Registro!$G890),IFERROR(SUMPRODUCT(--("0"&amp;LEFT(TRIM(MID(SUBSTITUTE(SUBSTITUTE(SUBSTITUTE(SUBSTITUTE(SUBSTITUTE(LOWER(Registro!$F890)," ",""),CHAR(10),"|"),";","|"),"+","|"),"|",REPT(" ",LEN(Registro!$F890))),({1,2,3,4,5,6,7,8,9,10,11,12,13,14,15,16,17,18,19,20,21,22,23,24,25,26,27,28,29,30}-1)*LEN(Registro!$F890)+1,LEN(Registro!$F890))),FIND("x",TRIM(MID(SUBSTITUTE(SUBSTITUTE(SUBSTITUTE(SUBSTITUTE(SUBSTITUTE(LOWER(Registro!$F890)," ",""),CHAR(10),"|"),";","|"),"+","|"),"|",REPT(" ",LEN(Registro!$F890))),({1,2,3,4,5,6,7,8,9,10,11,12,13,14,15,16,17,18,19,20,21,22,23,24,25,26,27,28,29,30}-1)*LEN(Registro!$F890)+1,LEN(Registro!$F890)))&amp;"x")-1)),--("0"&amp;MID(TRIM(MID(SUBSTITUTE(SUBSTITUTE(SUBSTITUTE(SUBSTITUTE(SUBSTITUTE(LOWER(Registro!$F890)," ",""),CHAR(10),"|"),";","|"),"+","|"),"|",REPT(" ",LEN(Registro!$F890))),({1,2,3,4,5,6,7,8,9,10,11,12,13,14,15,16,17,18,19,20,21,22,23,24,25,26,27,28,29,30}-1)*LEN(Registro!$F890)+1,LEN(Registro!$F890))),FIND("x",TRIM(MID(SUBSTITUTE(SUBSTITUTE(SUBSTITUTE(SUBSTITUTE(SUBSTITUTE(LOWER(Registro!$F890)," ",""),CHAR(10),"|"),";","|"),"+","|"),"|",REPT(" ",LEN(Registro!$F890))),({1,2,3,4,5,6,7,8,9,10,11,12,13,14,15,16,17,18,19,20,21,22,23,24,25,26,27,28,29,30}-1)*LEN(Registro!$F890)+1,LEN(Registro!$F890)))&amp;"x")+1,20))),"Revisar formato")))</f>
        <v/>
      </c>
      <c r="H890" s="21" t="str">
        <f>IF(AND(Registro!$E890="",Registro!$F890=""),"",IF(NOT(AND(ISNUMBER(G890),ISNUMBER(Registro!$G890))),"",IF(G890&lt;Registro!$G890,"FALTA BOLETOS",IF(G890=Registro!$G890,"CONFORME","DIFERENCIA"))))</f>
        <v/>
      </c>
      <c r="I890" s="24" t="str">
        <f>IF(Registro!$H890="","",IFERROR(SUMPRODUCT(--("0"&amp;TRIM(RIGHT(SUBSTITUTE(TRIM(MID(SUBSTITUTE(SUBSTITUTE(Registro!$H890,";",CHAR(10)),CHAR(10),REPT(" ",LEN(Registro!$H890))),({1,2,3,4,5,6,7,8,9,10,11,12,13,14,15,16,17,18,19,20,21,22,23,24,25,26,27,28,29,30}-1)*LEN(Registro!$H890)+1,LEN(Registro!$H890)))," ",REPT(" ",50)),50)))),"Revisar formato"))</f>
        <v/>
      </c>
      <c r="J890" s="24" t="str">
        <f>IF(Registro!$I890="","",IFERROR(SUMPRODUCT(--("0"&amp;TRIM(RIGHT(SUBSTITUTE(TRIM(MID(SUBSTITUTE(SUBSTITUTE(Registro!$I890,";",CHAR(10)),CHAR(10),REPT(" ",LEN(Registro!$I890))),({1,2,3,4,5,6,7,8,9,10,11,12,13,14,15,16,17,18,19,20,21,22,23,24,25,26,27,28,29,30}-1)*LEN(Registro!$I890)+1,LEN(Registro!$I890)))," ",REPT(" ",50)),50)))),"Revisar formato"))</f>
        <v/>
      </c>
      <c r="K890" s="24" t="str">
        <f>IF(AND(Registro!$G890="",Registro!$H890=""),"",IF(AND(ISTEXT(I890),I890&lt;&gt;""),"Revisar formato",N(Registro!$G890)-N(I890)))</f>
        <v/>
      </c>
      <c r="L890" s="24" t="str">
        <f t="shared" si="27"/>
        <v/>
      </c>
      <c r="M890" s="36" t="str">
        <f>IF(AND(A890=Consulta!$B$3,C890=Consulta!$H$3),B890*10000+ROW(),"")</f>
        <v/>
      </c>
    </row>
    <row r="891" spans="1:13" x14ac:dyDescent="0.25">
      <c r="A891" s="21" t="str">
        <f>IF(Registro!$A891="","",Registro!$A891)</f>
        <v/>
      </c>
      <c r="B891" s="20" t="str">
        <f>IF(Registro!$B891="","",Registro!$B891)</f>
        <v/>
      </c>
      <c r="C891" s="35" t="str">
        <f t="shared" si="26"/>
        <v/>
      </c>
      <c r="D891" s="23" t="str">
        <f>IF(Registro!$E891="","",IF(ISERROR(FIND("x",LOWER(Registro!$E891))),"-",IFERROR(SUMPRODUCT(--("0"&amp;LEFT(TRIM(MID(SUBSTITUTE(SUBSTITUTE(SUBSTITUTE(SUBSTITUTE(SUBSTITUTE(LOWER(Registro!$E891),"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",LEN(Registro!$E891))),({1,2,3,4,5,6,7,8,9,10,11,12,13,14,15,16,17,18,19,20,21,22,23,24,25,26,27,28,29,30}-1)*LEN(Registro!$E891)+1,LEN(Registro!$E891))),FIND("x",TRIM(MID(SUBSTITUTE(SUBSTITUTE(SUBSTITUTE(SUBSTITUTE(SUBSTITUTE(LOWER(Registro!$E891),"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",LEN(Registro!$E891))),({1,2,3,4,5,6,7,8,9,10,11,12,13,14,15,16,17,18,19,20,21,22,23,24,25,26,27,28,29,30}-1)*LEN(Registro!$E891)+1,LEN(Registro!$E891)))&amp;"x")-1))),"Revisar formato")))</f>
        <v/>
      </c>
      <c r="E891" s="24" t="str">
        <f>IF(Registro!$E891="","",IF(ISERROR(FIND("x",LOWER(Registro!$E891))),"-",IFERROR(SUMPRODUCT(--("0"&amp;LEFT(TRIM(MID(SUBSTITUTE(SUBSTITUTE(SUBSTITUTE(SUBSTITUTE(SUBSTITUTE(LOWER(Registro!$E891),"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",LEN(Registro!$E891))),({1,2,3,4,5,6,7,8,9,10,11,12,13,14,15,16,17,18,19,20,21,22,23,24,25,26,27,28,29,30}-1)*LEN(Registro!$E891)+1,LEN(Registro!$E891))),FIND("x",TRIM(MID(SUBSTITUTE(SUBSTITUTE(SUBSTITUTE(SUBSTITUTE(SUBSTITUTE(LOWER(Registro!$E891),"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",LEN(Registro!$E891))),({1,2,3,4,5,6,7,8,9,10,11,12,13,14,15,16,17,18,19,20,21,22,23,24,25,26,27,28,29,30}-1)*LEN(Registro!$E891)+1,LEN(Registro!$E891)))&amp;"x")-1)),--("0"&amp;MID(TRIM(MID(SUBSTITUTE(SUBSTITUTE(SUBSTITUTE(SUBSTITUTE(SUBSTITUTE(LOWER(Registro!$E891),"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",LEN(Registro!$E891))),({1,2,3,4,5,6,7,8,9,10,11,12,13,14,15,16,17,18,19,20,21,22,23,24,25,26,27,28,29,30}-1)*LEN(Registro!$E891)+1,LEN(Registro!$E891))),FIND("x",TRIM(MID(SUBSTITUTE(SUBSTITUTE(SUBSTITUTE(SUBSTITUTE(SUBSTITUTE(LOWER(Registro!$E891),"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",LEN(Registro!$E891))),({1,2,3,4,5,6,7,8,9,10,11,12,13,14,15,16,17,18,19,20,21,22,23,24,25,26,27,28,29,30}-1)*LEN(Registro!$E891)+1,LEN(Registro!$E891)))&amp;"x")+1,20))),"Revisar formato")))</f>
        <v/>
      </c>
      <c r="F891" s="23" t="str">
        <f>IF(Registro!$F891="","",IF(ISERROR(FIND("x",LOWER(Registro!$F891))),"-",IFERROR(SUMPRODUCT(--("0"&amp;LEFT(TRIM(MID(SUBSTITUTE(SUBSTITUTE(SUBSTITUTE(SUBSTITUTE(SUBSTITUTE(LOWER(Registro!$F891)," ",""),CHAR(10),"|"),";","|"),"+","|"),"|",REPT(" ",LEN(Registro!$F891))),({1,2,3,4,5,6,7,8,9,10,11,12,13,14,15,16,17,18,19,20,21,22,23,24,25,26,27,28,29,30}-1)*LEN(Registro!$F891)+1,LEN(Registro!$F891))),FIND("x",TRIM(MID(SUBSTITUTE(SUBSTITUTE(SUBSTITUTE(SUBSTITUTE(SUBSTITUTE(LOWER(Registro!$F891)," ",""),CHAR(10),"|"),";","|"),"+","|"),"|",REPT(" ",LEN(Registro!$F891))),({1,2,3,4,5,6,7,8,9,10,11,12,13,14,15,16,17,18,19,20,21,22,23,24,25,26,27,28,29,30}-1)*LEN(Registro!$F891)+1,LEN(Registro!$F891)))&amp;"x")-1))),"Revisar formato")))</f>
        <v/>
      </c>
      <c r="G891" s="24" t="str">
        <f>IF(Registro!$F891="","",IF(ISERROR(FIND("x",LOWER(Registro!$F891))),N(Registro!$G891),IFERROR(SUMPRODUCT(--("0"&amp;LEFT(TRIM(MID(SUBSTITUTE(SUBSTITUTE(SUBSTITUTE(SUBSTITUTE(SUBSTITUTE(LOWER(Registro!$F891)," ",""),CHAR(10),"|"),";","|"),"+","|"),"|",REPT(" ",LEN(Registro!$F891))),({1,2,3,4,5,6,7,8,9,10,11,12,13,14,15,16,17,18,19,20,21,22,23,24,25,26,27,28,29,30}-1)*LEN(Registro!$F891)+1,LEN(Registro!$F891))),FIND("x",TRIM(MID(SUBSTITUTE(SUBSTITUTE(SUBSTITUTE(SUBSTITUTE(SUBSTITUTE(LOWER(Registro!$F891)," ",""),CHAR(10),"|"),";","|"),"+","|"),"|",REPT(" ",LEN(Registro!$F891))),({1,2,3,4,5,6,7,8,9,10,11,12,13,14,15,16,17,18,19,20,21,22,23,24,25,26,27,28,29,30}-1)*LEN(Registro!$F891)+1,LEN(Registro!$F891)))&amp;"x")-1)),--("0"&amp;MID(TRIM(MID(SUBSTITUTE(SUBSTITUTE(SUBSTITUTE(SUBSTITUTE(SUBSTITUTE(LOWER(Registro!$F891)," ",""),CHAR(10),"|"),";","|"),"+","|"),"|",REPT(" ",LEN(Registro!$F891))),({1,2,3,4,5,6,7,8,9,10,11,12,13,14,15,16,17,18,19,20,21,22,23,24,25,26,27,28,29,30}-1)*LEN(Registro!$F891)+1,LEN(Registro!$F891))),FIND("x",TRIM(MID(SUBSTITUTE(SUBSTITUTE(SUBSTITUTE(SUBSTITUTE(SUBSTITUTE(LOWER(Registro!$F891)," ",""),CHAR(10),"|"),";","|"),"+","|"),"|",REPT(" ",LEN(Registro!$F891))),({1,2,3,4,5,6,7,8,9,10,11,12,13,14,15,16,17,18,19,20,21,22,23,24,25,26,27,28,29,30}-1)*LEN(Registro!$F891)+1,LEN(Registro!$F891)))&amp;"x")+1,20))),"Revisar formato")))</f>
        <v/>
      </c>
      <c r="H891" s="21" t="str">
        <f>IF(AND(Registro!$E891="",Registro!$F891=""),"",IF(NOT(AND(ISNUMBER(G891),ISNUMBER(Registro!$G891))),"",IF(G891&lt;Registro!$G891,"FALTA BOLETOS",IF(G891=Registro!$G891,"CONFORME","DIFERENCIA"))))</f>
        <v/>
      </c>
      <c r="I891" s="24" t="str">
        <f>IF(Registro!$H891="","",IFERROR(SUMPRODUCT(--("0"&amp;TRIM(RIGHT(SUBSTITUTE(TRIM(MID(SUBSTITUTE(SUBSTITUTE(Registro!$H891,";",CHAR(10)),CHAR(10),REPT(" ",LEN(Registro!$H891))),({1,2,3,4,5,6,7,8,9,10,11,12,13,14,15,16,17,18,19,20,21,22,23,24,25,26,27,28,29,30}-1)*LEN(Registro!$H891)+1,LEN(Registro!$H891)))," ",REPT(" ",50)),50)))),"Revisar formato"))</f>
        <v/>
      </c>
      <c r="J891" s="24" t="str">
        <f>IF(Registro!$I891="","",IFERROR(SUMPRODUCT(--("0"&amp;TRIM(RIGHT(SUBSTITUTE(TRIM(MID(SUBSTITUTE(SUBSTITUTE(Registro!$I891,";",CHAR(10)),CHAR(10),REPT(" ",LEN(Registro!$I891))),({1,2,3,4,5,6,7,8,9,10,11,12,13,14,15,16,17,18,19,20,21,22,23,24,25,26,27,28,29,30}-1)*LEN(Registro!$I891)+1,LEN(Registro!$I891)))," ",REPT(" ",50)),50)))),"Revisar formato"))</f>
        <v/>
      </c>
      <c r="K891" s="24" t="str">
        <f>IF(AND(Registro!$G891="",Registro!$H891=""),"",IF(AND(ISTEXT(I891),I891&lt;&gt;""),"Revisar formato",N(Registro!$G891)-N(I891)))</f>
        <v/>
      </c>
      <c r="L891" s="24" t="str">
        <f t="shared" si="27"/>
        <v/>
      </c>
      <c r="M891" s="36" t="str">
        <f>IF(AND(A891=Consulta!$B$3,C891=Consulta!$H$3),B891*10000+ROW(),"")</f>
        <v/>
      </c>
    </row>
    <row r="892" spans="1:13" x14ac:dyDescent="0.25">
      <c r="A892" s="21" t="str">
        <f>IF(Registro!$A892="","",Registro!$A892)</f>
        <v/>
      </c>
      <c r="B892" s="20" t="str">
        <f>IF(Registro!$B892="","",Registro!$B892)</f>
        <v/>
      </c>
      <c r="C892" s="35" t="str">
        <f t="shared" si="26"/>
        <v/>
      </c>
      <c r="D892" s="23" t="str">
        <f>IF(Registro!$E892="","",IF(ISERROR(FIND("x",LOWER(Registro!$E892))),"-",IFERROR(SUMPRODUCT(--("0"&amp;LEFT(TRIM(MID(SUBSTITUTE(SUBSTITUTE(SUBSTITUTE(SUBSTITUTE(SUBSTITUTE(LOWER(Registro!$E892),"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",LEN(Registro!$E892))),({1,2,3,4,5,6,7,8,9,10,11,12,13,14,15,16,17,18,19,20,21,22,23,24,25,26,27,28,29,30}-1)*LEN(Registro!$E892)+1,LEN(Registro!$E892))),FIND("x",TRIM(MID(SUBSTITUTE(SUBSTITUTE(SUBSTITUTE(SUBSTITUTE(SUBSTITUTE(LOWER(Registro!$E892),"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",LEN(Registro!$E892))),({1,2,3,4,5,6,7,8,9,10,11,12,13,14,15,16,17,18,19,20,21,22,23,24,25,26,27,28,29,30}-1)*LEN(Registro!$E892)+1,LEN(Registro!$E892)))&amp;"x")-1))),"Revisar formato")))</f>
        <v/>
      </c>
      <c r="E892" s="24" t="str">
        <f>IF(Registro!$E892="","",IF(ISERROR(FIND("x",LOWER(Registro!$E892))),"-",IFERROR(SUMPRODUCT(--("0"&amp;LEFT(TRIM(MID(SUBSTITUTE(SUBSTITUTE(SUBSTITUTE(SUBSTITUTE(SUBSTITUTE(LOWER(Registro!$E892),"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",LEN(Registro!$E892))),({1,2,3,4,5,6,7,8,9,10,11,12,13,14,15,16,17,18,19,20,21,22,23,24,25,26,27,28,29,30}-1)*LEN(Registro!$E892)+1,LEN(Registro!$E892))),FIND("x",TRIM(MID(SUBSTITUTE(SUBSTITUTE(SUBSTITUTE(SUBSTITUTE(SUBSTITUTE(LOWER(Registro!$E892),"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",LEN(Registro!$E892))),({1,2,3,4,5,6,7,8,9,10,11,12,13,14,15,16,17,18,19,20,21,22,23,24,25,26,27,28,29,30}-1)*LEN(Registro!$E892)+1,LEN(Registro!$E892)))&amp;"x")-1)),--("0"&amp;MID(TRIM(MID(SUBSTITUTE(SUBSTITUTE(SUBSTITUTE(SUBSTITUTE(SUBSTITUTE(LOWER(Registro!$E892),"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",LEN(Registro!$E892))),({1,2,3,4,5,6,7,8,9,10,11,12,13,14,15,16,17,18,19,20,21,22,23,24,25,26,27,28,29,30}-1)*LEN(Registro!$E892)+1,LEN(Registro!$E892))),FIND("x",TRIM(MID(SUBSTITUTE(SUBSTITUTE(SUBSTITUTE(SUBSTITUTE(SUBSTITUTE(LOWER(Registro!$E892),"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",LEN(Registro!$E892))),({1,2,3,4,5,6,7,8,9,10,11,12,13,14,15,16,17,18,19,20,21,22,23,24,25,26,27,28,29,30}-1)*LEN(Registro!$E892)+1,LEN(Registro!$E892)))&amp;"x")+1,20))),"Revisar formato")))</f>
        <v/>
      </c>
      <c r="F892" s="23" t="str">
        <f>IF(Registro!$F892="","",IF(ISERROR(FIND("x",LOWER(Registro!$F892))),"-",IFERROR(SUMPRODUCT(--("0"&amp;LEFT(TRIM(MID(SUBSTITUTE(SUBSTITUTE(SUBSTITUTE(SUBSTITUTE(SUBSTITUTE(LOWER(Registro!$F892)," ",""),CHAR(10),"|"),";","|"),"+","|"),"|",REPT(" ",LEN(Registro!$F892))),({1,2,3,4,5,6,7,8,9,10,11,12,13,14,15,16,17,18,19,20,21,22,23,24,25,26,27,28,29,30}-1)*LEN(Registro!$F892)+1,LEN(Registro!$F892))),FIND("x",TRIM(MID(SUBSTITUTE(SUBSTITUTE(SUBSTITUTE(SUBSTITUTE(SUBSTITUTE(LOWER(Registro!$F892)," ",""),CHAR(10),"|"),";","|"),"+","|"),"|",REPT(" ",LEN(Registro!$F892))),({1,2,3,4,5,6,7,8,9,10,11,12,13,14,15,16,17,18,19,20,21,22,23,24,25,26,27,28,29,30}-1)*LEN(Registro!$F892)+1,LEN(Registro!$F892)))&amp;"x")-1))),"Revisar formato")))</f>
        <v/>
      </c>
      <c r="G892" s="24" t="str">
        <f>IF(Registro!$F892="","",IF(ISERROR(FIND("x",LOWER(Registro!$F892))),N(Registro!$G892),IFERROR(SUMPRODUCT(--("0"&amp;LEFT(TRIM(MID(SUBSTITUTE(SUBSTITUTE(SUBSTITUTE(SUBSTITUTE(SUBSTITUTE(LOWER(Registro!$F892)," ",""),CHAR(10),"|"),";","|"),"+","|"),"|",REPT(" ",LEN(Registro!$F892))),({1,2,3,4,5,6,7,8,9,10,11,12,13,14,15,16,17,18,19,20,21,22,23,24,25,26,27,28,29,30}-1)*LEN(Registro!$F892)+1,LEN(Registro!$F892))),FIND("x",TRIM(MID(SUBSTITUTE(SUBSTITUTE(SUBSTITUTE(SUBSTITUTE(SUBSTITUTE(LOWER(Registro!$F892)," ",""),CHAR(10),"|"),";","|"),"+","|"),"|",REPT(" ",LEN(Registro!$F892))),({1,2,3,4,5,6,7,8,9,10,11,12,13,14,15,16,17,18,19,20,21,22,23,24,25,26,27,28,29,30}-1)*LEN(Registro!$F892)+1,LEN(Registro!$F892)))&amp;"x")-1)),--("0"&amp;MID(TRIM(MID(SUBSTITUTE(SUBSTITUTE(SUBSTITUTE(SUBSTITUTE(SUBSTITUTE(LOWER(Registro!$F892)," ",""),CHAR(10),"|"),";","|"),"+","|"),"|",REPT(" ",LEN(Registro!$F892))),({1,2,3,4,5,6,7,8,9,10,11,12,13,14,15,16,17,18,19,20,21,22,23,24,25,26,27,28,29,30}-1)*LEN(Registro!$F892)+1,LEN(Registro!$F892))),FIND("x",TRIM(MID(SUBSTITUTE(SUBSTITUTE(SUBSTITUTE(SUBSTITUTE(SUBSTITUTE(LOWER(Registro!$F892)," ",""),CHAR(10),"|"),";","|"),"+","|"),"|",REPT(" ",LEN(Registro!$F892))),({1,2,3,4,5,6,7,8,9,10,11,12,13,14,15,16,17,18,19,20,21,22,23,24,25,26,27,28,29,30}-1)*LEN(Registro!$F892)+1,LEN(Registro!$F892)))&amp;"x")+1,20))),"Revisar formato")))</f>
        <v/>
      </c>
      <c r="H892" s="21" t="str">
        <f>IF(AND(Registro!$E892="",Registro!$F892=""),"",IF(NOT(AND(ISNUMBER(G892),ISNUMBER(Registro!$G892))),"",IF(G892&lt;Registro!$G892,"FALTA BOLETOS",IF(G892=Registro!$G892,"CONFORME","DIFERENCIA"))))</f>
        <v/>
      </c>
      <c r="I892" s="24" t="str">
        <f>IF(Registro!$H892="","",IFERROR(SUMPRODUCT(--("0"&amp;TRIM(RIGHT(SUBSTITUTE(TRIM(MID(SUBSTITUTE(SUBSTITUTE(Registro!$H892,";",CHAR(10)),CHAR(10),REPT(" ",LEN(Registro!$H892))),({1,2,3,4,5,6,7,8,9,10,11,12,13,14,15,16,17,18,19,20,21,22,23,24,25,26,27,28,29,30}-1)*LEN(Registro!$H892)+1,LEN(Registro!$H892)))," ",REPT(" ",50)),50)))),"Revisar formato"))</f>
        <v/>
      </c>
      <c r="J892" s="24" t="str">
        <f>IF(Registro!$I892="","",IFERROR(SUMPRODUCT(--("0"&amp;TRIM(RIGHT(SUBSTITUTE(TRIM(MID(SUBSTITUTE(SUBSTITUTE(Registro!$I892,";",CHAR(10)),CHAR(10),REPT(" ",LEN(Registro!$I892))),({1,2,3,4,5,6,7,8,9,10,11,12,13,14,15,16,17,18,19,20,21,22,23,24,25,26,27,28,29,30}-1)*LEN(Registro!$I892)+1,LEN(Registro!$I892)))," ",REPT(" ",50)),50)))),"Revisar formato"))</f>
        <v/>
      </c>
      <c r="K892" s="24" t="str">
        <f>IF(AND(Registro!$G892="",Registro!$H892=""),"",IF(AND(ISTEXT(I892),I892&lt;&gt;""),"Revisar formato",N(Registro!$G892)-N(I892)))</f>
        <v/>
      </c>
      <c r="L892" s="24" t="str">
        <f t="shared" si="27"/>
        <v/>
      </c>
      <c r="M892" s="36" t="str">
        <f>IF(AND(A892=Consulta!$B$3,C892=Consulta!$H$3),B892*10000+ROW(),"")</f>
        <v/>
      </c>
    </row>
    <row r="893" spans="1:13" x14ac:dyDescent="0.25">
      <c r="A893" s="21" t="str">
        <f>IF(Registro!$A893="","",Registro!$A893)</f>
        <v/>
      </c>
      <c r="B893" s="20" t="str">
        <f>IF(Registro!$B893="","",Registro!$B893)</f>
        <v/>
      </c>
      <c r="C893" s="35" t="str">
        <f t="shared" si="26"/>
        <v/>
      </c>
      <c r="D893" s="23" t="str">
        <f>IF(Registro!$E893="","",IF(ISERROR(FIND("x",LOWER(Registro!$E893))),"-",IFERROR(SUMPRODUCT(--("0"&amp;LEFT(TRIM(MID(SUBSTITUTE(SUBSTITUTE(SUBSTITUTE(SUBSTITUTE(SUBSTITUTE(LOWER(Registro!$E893),"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",LEN(Registro!$E893))),({1,2,3,4,5,6,7,8,9,10,11,12,13,14,15,16,17,18,19,20,21,22,23,24,25,26,27,28,29,30}-1)*LEN(Registro!$E893)+1,LEN(Registro!$E893))),FIND("x",TRIM(MID(SUBSTITUTE(SUBSTITUTE(SUBSTITUTE(SUBSTITUTE(SUBSTITUTE(LOWER(Registro!$E893),"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",LEN(Registro!$E893))),({1,2,3,4,5,6,7,8,9,10,11,12,13,14,15,16,17,18,19,20,21,22,23,24,25,26,27,28,29,30}-1)*LEN(Registro!$E893)+1,LEN(Registro!$E893)))&amp;"x")-1))),"Revisar formato")))</f>
        <v/>
      </c>
      <c r="E893" s="24" t="str">
        <f>IF(Registro!$E893="","",IF(ISERROR(FIND("x",LOWER(Registro!$E893))),"-",IFERROR(SUMPRODUCT(--("0"&amp;LEFT(TRIM(MID(SUBSTITUTE(SUBSTITUTE(SUBSTITUTE(SUBSTITUTE(SUBSTITUTE(LOWER(Registro!$E893),"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",LEN(Registro!$E893))),({1,2,3,4,5,6,7,8,9,10,11,12,13,14,15,16,17,18,19,20,21,22,23,24,25,26,27,28,29,30}-1)*LEN(Registro!$E893)+1,LEN(Registro!$E893))),FIND("x",TRIM(MID(SUBSTITUTE(SUBSTITUTE(SUBSTITUTE(SUBSTITUTE(SUBSTITUTE(LOWER(Registro!$E893),"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",LEN(Registro!$E893))),({1,2,3,4,5,6,7,8,9,10,11,12,13,14,15,16,17,18,19,20,21,22,23,24,25,26,27,28,29,30}-1)*LEN(Registro!$E893)+1,LEN(Registro!$E893)))&amp;"x")-1)),--("0"&amp;MID(TRIM(MID(SUBSTITUTE(SUBSTITUTE(SUBSTITUTE(SUBSTITUTE(SUBSTITUTE(LOWER(Registro!$E893),"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",LEN(Registro!$E893))),({1,2,3,4,5,6,7,8,9,10,11,12,13,14,15,16,17,18,19,20,21,22,23,24,25,26,27,28,29,30}-1)*LEN(Registro!$E893)+1,LEN(Registro!$E893))),FIND("x",TRIM(MID(SUBSTITUTE(SUBSTITUTE(SUBSTITUTE(SUBSTITUTE(SUBSTITUTE(LOWER(Registro!$E893),"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",LEN(Registro!$E893))),({1,2,3,4,5,6,7,8,9,10,11,12,13,14,15,16,17,18,19,20,21,22,23,24,25,26,27,28,29,30}-1)*LEN(Registro!$E893)+1,LEN(Registro!$E893)))&amp;"x")+1,20))),"Revisar formato")))</f>
        <v/>
      </c>
      <c r="F893" s="23" t="str">
        <f>IF(Registro!$F893="","",IF(ISERROR(FIND("x",LOWER(Registro!$F893))),"-",IFERROR(SUMPRODUCT(--("0"&amp;LEFT(TRIM(MID(SUBSTITUTE(SUBSTITUTE(SUBSTITUTE(SUBSTITUTE(SUBSTITUTE(LOWER(Registro!$F893)," ",""),CHAR(10),"|"),";","|"),"+","|"),"|",REPT(" ",LEN(Registro!$F893))),({1,2,3,4,5,6,7,8,9,10,11,12,13,14,15,16,17,18,19,20,21,22,23,24,25,26,27,28,29,30}-1)*LEN(Registro!$F893)+1,LEN(Registro!$F893))),FIND("x",TRIM(MID(SUBSTITUTE(SUBSTITUTE(SUBSTITUTE(SUBSTITUTE(SUBSTITUTE(LOWER(Registro!$F893)," ",""),CHAR(10),"|"),";","|"),"+","|"),"|",REPT(" ",LEN(Registro!$F893))),({1,2,3,4,5,6,7,8,9,10,11,12,13,14,15,16,17,18,19,20,21,22,23,24,25,26,27,28,29,30}-1)*LEN(Registro!$F893)+1,LEN(Registro!$F893)))&amp;"x")-1))),"Revisar formato")))</f>
        <v/>
      </c>
      <c r="G893" s="24" t="str">
        <f>IF(Registro!$F893="","",IF(ISERROR(FIND("x",LOWER(Registro!$F893))),N(Registro!$G893),IFERROR(SUMPRODUCT(--("0"&amp;LEFT(TRIM(MID(SUBSTITUTE(SUBSTITUTE(SUBSTITUTE(SUBSTITUTE(SUBSTITUTE(LOWER(Registro!$F893)," ",""),CHAR(10),"|"),";","|"),"+","|"),"|",REPT(" ",LEN(Registro!$F893))),({1,2,3,4,5,6,7,8,9,10,11,12,13,14,15,16,17,18,19,20,21,22,23,24,25,26,27,28,29,30}-1)*LEN(Registro!$F893)+1,LEN(Registro!$F893))),FIND("x",TRIM(MID(SUBSTITUTE(SUBSTITUTE(SUBSTITUTE(SUBSTITUTE(SUBSTITUTE(LOWER(Registro!$F893)," ",""),CHAR(10),"|"),";","|"),"+","|"),"|",REPT(" ",LEN(Registro!$F893))),({1,2,3,4,5,6,7,8,9,10,11,12,13,14,15,16,17,18,19,20,21,22,23,24,25,26,27,28,29,30}-1)*LEN(Registro!$F893)+1,LEN(Registro!$F893)))&amp;"x")-1)),--("0"&amp;MID(TRIM(MID(SUBSTITUTE(SUBSTITUTE(SUBSTITUTE(SUBSTITUTE(SUBSTITUTE(LOWER(Registro!$F893)," ",""),CHAR(10),"|"),";","|"),"+","|"),"|",REPT(" ",LEN(Registro!$F893))),({1,2,3,4,5,6,7,8,9,10,11,12,13,14,15,16,17,18,19,20,21,22,23,24,25,26,27,28,29,30}-1)*LEN(Registro!$F893)+1,LEN(Registro!$F893))),FIND("x",TRIM(MID(SUBSTITUTE(SUBSTITUTE(SUBSTITUTE(SUBSTITUTE(SUBSTITUTE(LOWER(Registro!$F893)," ",""),CHAR(10),"|"),";","|"),"+","|"),"|",REPT(" ",LEN(Registro!$F893))),({1,2,3,4,5,6,7,8,9,10,11,12,13,14,15,16,17,18,19,20,21,22,23,24,25,26,27,28,29,30}-1)*LEN(Registro!$F893)+1,LEN(Registro!$F893)))&amp;"x")+1,20))),"Revisar formato")))</f>
        <v/>
      </c>
      <c r="H893" s="21" t="str">
        <f>IF(AND(Registro!$E893="",Registro!$F893=""),"",IF(NOT(AND(ISNUMBER(G893),ISNUMBER(Registro!$G893))),"",IF(G893&lt;Registro!$G893,"FALTA BOLETOS",IF(G893=Registro!$G893,"CONFORME","DIFERENCIA"))))</f>
        <v/>
      </c>
      <c r="I893" s="24" t="str">
        <f>IF(Registro!$H893="","",IFERROR(SUMPRODUCT(--("0"&amp;TRIM(RIGHT(SUBSTITUTE(TRIM(MID(SUBSTITUTE(SUBSTITUTE(Registro!$H893,";",CHAR(10)),CHAR(10),REPT(" ",LEN(Registro!$H893))),({1,2,3,4,5,6,7,8,9,10,11,12,13,14,15,16,17,18,19,20,21,22,23,24,25,26,27,28,29,30}-1)*LEN(Registro!$H893)+1,LEN(Registro!$H893)))," ",REPT(" ",50)),50)))),"Revisar formato"))</f>
        <v/>
      </c>
      <c r="J893" s="24" t="str">
        <f>IF(Registro!$I893="","",IFERROR(SUMPRODUCT(--("0"&amp;TRIM(RIGHT(SUBSTITUTE(TRIM(MID(SUBSTITUTE(SUBSTITUTE(Registro!$I893,";",CHAR(10)),CHAR(10),REPT(" ",LEN(Registro!$I893))),({1,2,3,4,5,6,7,8,9,10,11,12,13,14,15,16,17,18,19,20,21,22,23,24,25,26,27,28,29,30}-1)*LEN(Registro!$I893)+1,LEN(Registro!$I893)))," ",REPT(" ",50)),50)))),"Revisar formato"))</f>
        <v/>
      </c>
      <c r="K893" s="24" t="str">
        <f>IF(AND(Registro!$G893="",Registro!$H893=""),"",IF(AND(ISTEXT(I893),I893&lt;&gt;""),"Revisar formato",N(Registro!$G893)-N(I893)))</f>
        <v/>
      </c>
      <c r="L893" s="24" t="str">
        <f t="shared" si="27"/>
        <v/>
      </c>
      <c r="M893" s="36" t="str">
        <f>IF(AND(A893=Consulta!$B$3,C893=Consulta!$H$3),B893*10000+ROW(),"")</f>
        <v/>
      </c>
    </row>
    <row r="894" spans="1:13" x14ac:dyDescent="0.25">
      <c r="A894" s="21" t="str">
        <f>IF(Registro!$A894="","",Registro!$A894)</f>
        <v/>
      </c>
      <c r="B894" s="20" t="str">
        <f>IF(Registro!$B894="","",Registro!$B894)</f>
        <v/>
      </c>
      <c r="C894" s="35" t="str">
        <f t="shared" si="26"/>
        <v/>
      </c>
      <c r="D894" s="23" t="str">
        <f>IF(Registro!$E894="","",IF(ISERROR(FIND("x",LOWER(Registro!$E894))),"-",IFERROR(SUMPRODUCT(--("0"&amp;LEFT(TRIM(MID(SUBSTITUTE(SUBSTITUTE(SUBSTITUTE(SUBSTITUTE(SUBSTITUTE(LOWER(Registro!$E894),"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",LEN(Registro!$E894))),({1,2,3,4,5,6,7,8,9,10,11,12,13,14,15,16,17,18,19,20,21,22,23,24,25,26,27,28,29,30}-1)*LEN(Registro!$E894)+1,LEN(Registro!$E894))),FIND("x",TRIM(MID(SUBSTITUTE(SUBSTITUTE(SUBSTITUTE(SUBSTITUTE(SUBSTITUTE(LOWER(Registro!$E894),"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",LEN(Registro!$E894))),({1,2,3,4,5,6,7,8,9,10,11,12,13,14,15,16,17,18,19,20,21,22,23,24,25,26,27,28,29,30}-1)*LEN(Registro!$E894)+1,LEN(Registro!$E894)))&amp;"x")-1))),"Revisar formato")))</f>
        <v/>
      </c>
      <c r="E894" s="24" t="str">
        <f>IF(Registro!$E894="","",IF(ISERROR(FIND("x",LOWER(Registro!$E894))),"-",IFERROR(SUMPRODUCT(--("0"&amp;LEFT(TRIM(MID(SUBSTITUTE(SUBSTITUTE(SUBSTITUTE(SUBSTITUTE(SUBSTITUTE(LOWER(Registro!$E894),"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",LEN(Registro!$E894))),({1,2,3,4,5,6,7,8,9,10,11,12,13,14,15,16,17,18,19,20,21,22,23,24,25,26,27,28,29,30}-1)*LEN(Registro!$E894)+1,LEN(Registro!$E894))),FIND("x",TRIM(MID(SUBSTITUTE(SUBSTITUTE(SUBSTITUTE(SUBSTITUTE(SUBSTITUTE(LOWER(Registro!$E894),"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",LEN(Registro!$E894))),({1,2,3,4,5,6,7,8,9,10,11,12,13,14,15,16,17,18,19,20,21,22,23,24,25,26,27,28,29,30}-1)*LEN(Registro!$E894)+1,LEN(Registro!$E894)))&amp;"x")-1)),--("0"&amp;MID(TRIM(MID(SUBSTITUTE(SUBSTITUTE(SUBSTITUTE(SUBSTITUTE(SUBSTITUTE(LOWER(Registro!$E894),"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",LEN(Registro!$E894))),({1,2,3,4,5,6,7,8,9,10,11,12,13,14,15,16,17,18,19,20,21,22,23,24,25,26,27,28,29,30}-1)*LEN(Registro!$E894)+1,LEN(Registro!$E894))),FIND("x",TRIM(MID(SUBSTITUTE(SUBSTITUTE(SUBSTITUTE(SUBSTITUTE(SUBSTITUTE(LOWER(Registro!$E894),"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",LEN(Registro!$E894))),({1,2,3,4,5,6,7,8,9,10,11,12,13,14,15,16,17,18,19,20,21,22,23,24,25,26,27,28,29,30}-1)*LEN(Registro!$E894)+1,LEN(Registro!$E894)))&amp;"x")+1,20))),"Revisar formato")))</f>
        <v/>
      </c>
      <c r="F894" s="23" t="str">
        <f>IF(Registro!$F894="","",IF(ISERROR(FIND("x",LOWER(Registro!$F894))),"-",IFERROR(SUMPRODUCT(--("0"&amp;LEFT(TRIM(MID(SUBSTITUTE(SUBSTITUTE(SUBSTITUTE(SUBSTITUTE(SUBSTITUTE(LOWER(Registro!$F894)," ",""),CHAR(10),"|"),";","|"),"+","|"),"|",REPT(" ",LEN(Registro!$F894))),({1,2,3,4,5,6,7,8,9,10,11,12,13,14,15,16,17,18,19,20,21,22,23,24,25,26,27,28,29,30}-1)*LEN(Registro!$F894)+1,LEN(Registro!$F894))),FIND("x",TRIM(MID(SUBSTITUTE(SUBSTITUTE(SUBSTITUTE(SUBSTITUTE(SUBSTITUTE(LOWER(Registro!$F894)," ",""),CHAR(10),"|"),";","|"),"+","|"),"|",REPT(" ",LEN(Registro!$F894))),({1,2,3,4,5,6,7,8,9,10,11,12,13,14,15,16,17,18,19,20,21,22,23,24,25,26,27,28,29,30}-1)*LEN(Registro!$F894)+1,LEN(Registro!$F894)))&amp;"x")-1))),"Revisar formato")))</f>
        <v/>
      </c>
      <c r="G894" s="24" t="str">
        <f>IF(Registro!$F894="","",IF(ISERROR(FIND("x",LOWER(Registro!$F894))),N(Registro!$G894),IFERROR(SUMPRODUCT(--("0"&amp;LEFT(TRIM(MID(SUBSTITUTE(SUBSTITUTE(SUBSTITUTE(SUBSTITUTE(SUBSTITUTE(LOWER(Registro!$F894)," ",""),CHAR(10),"|"),";","|"),"+","|"),"|",REPT(" ",LEN(Registro!$F894))),({1,2,3,4,5,6,7,8,9,10,11,12,13,14,15,16,17,18,19,20,21,22,23,24,25,26,27,28,29,30}-1)*LEN(Registro!$F894)+1,LEN(Registro!$F894))),FIND("x",TRIM(MID(SUBSTITUTE(SUBSTITUTE(SUBSTITUTE(SUBSTITUTE(SUBSTITUTE(LOWER(Registro!$F894)," ",""),CHAR(10),"|"),";","|"),"+","|"),"|",REPT(" ",LEN(Registro!$F894))),({1,2,3,4,5,6,7,8,9,10,11,12,13,14,15,16,17,18,19,20,21,22,23,24,25,26,27,28,29,30}-1)*LEN(Registro!$F894)+1,LEN(Registro!$F894)))&amp;"x")-1)),--("0"&amp;MID(TRIM(MID(SUBSTITUTE(SUBSTITUTE(SUBSTITUTE(SUBSTITUTE(SUBSTITUTE(LOWER(Registro!$F894)," ",""),CHAR(10),"|"),";","|"),"+","|"),"|",REPT(" ",LEN(Registro!$F894))),({1,2,3,4,5,6,7,8,9,10,11,12,13,14,15,16,17,18,19,20,21,22,23,24,25,26,27,28,29,30}-1)*LEN(Registro!$F894)+1,LEN(Registro!$F894))),FIND("x",TRIM(MID(SUBSTITUTE(SUBSTITUTE(SUBSTITUTE(SUBSTITUTE(SUBSTITUTE(LOWER(Registro!$F894)," ",""),CHAR(10),"|"),";","|"),"+","|"),"|",REPT(" ",LEN(Registro!$F894))),({1,2,3,4,5,6,7,8,9,10,11,12,13,14,15,16,17,18,19,20,21,22,23,24,25,26,27,28,29,30}-1)*LEN(Registro!$F894)+1,LEN(Registro!$F894)))&amp;"x")+1,20))),"Revisar formato")))</f>
        <v/>
      </c>
      <c r="H894" s="21" t="str">
        <f>IF(AND(Registro!$E894="",Registro!$F894=""),"",IF(NOT(AND(ISNUMBER(G894),ISNUMBER(Registro!$G894))),"",IF(G894&lt;Registro!$G894,"FALTA BOLETOS",IF(G894=Registro!$G894,"CONFORME","DIFERENCIA"))))</f>
        <v/>
      </c>
      <c r="I894" s="24" t="str">
        <f>IF(Registro!$H894="","",IFERROR(SUMPRODUCT(--("0"&amp;TRIM(RIGHT(SUBSTITUTE(TRIM(MID(SUBSTITUTE(SUBSTITUTE(Registro!$H894,";",CHAR(10)),CHAR(10),REPT(" ",LEN(Registro!$H894))),({1,2,3,4,5,6,7,8,9,10,11,12,13,14,15,16,17,18,19,20,21,22,23,24,25,26,27,28,29,30}-1)*LEN(Registro!$H894)+1,LEN(Registro!$H894)))," ",REPT(" ",50)),50)))),"Revisar formato"))</f>
        <v/>
      </c>
      <c r="J894" s="24" t="str">
        <f>IF(Registro!$I894="","",IFERROR(SUMPRODUCT(--("0"&amp;TRIM(RIGHT(SUBSTITUTE(TRIM(MID(SUBSTITUTE(SUBSTITUTE(Registro!$I894,";",CHAR(10)),CHAR(10),REPT(" ",LEN(Registro!$I894))),({1,2,3,4,5,6,7,8,9,10,11,12,13,14,15,16,17,18,19,20,21,22,23,24,25,26,27,28,29,30}-1)*LEN(Registro!$I894)+1,LEN(Registro!$I894)))," ",REPT(" ",50)),50)))),"Revisar formato"))</f>
        <v/>
      </c>
      <c r="K894" s="24" t="str">
        <f>IF(AND(Registro!$G894="",Registro!$H894=""),"",IF(AND(ISTEXT(I894),I894&lt;&gt;""),"Revisar formato",N(Registro!$G894)-N(I894)))</f>
        <v/>
      </c>
      <c r="L894" s="24" t="str">
        <f t="shared" si="27"/>
        <v/>
      </c>
      <c r="M894" s="36" t="str">
        <f>IF(AND(A894=Consulta!$B$3,C894=Consulta!$H$3),B894*10000+ROW(),"")</f>
        <v/>
      </c>
    </row>
    <row r="895" spans="1:13" x14ac:dyDescent="0.25">
      <c r="A895" s="21" t="str">
        <f>IF(Registro!$A895="","",Registro!$A895)</f>
        <v/>
      </c>
      <c r="B895" s="20" t="str">
        <f>IF(Registro!$B895="","",Registro!$B895)</f>
        <v/>
      </c>
      <c r="C895" s="35" t="str">
        <f t="shared" si="26"/>
        <v/>
      </c>
      <c r="D895" s="23" t="str">
        <f>IF(Registro!$E895="","",IF(ISERROR(FIND("x",LOWER(Registro!$E895))),"-",IFERROR(SUMPRODUCT(--("0"&amp;LEFT(TRIM(MID(SUBSTITUTE(SUBSTITUTE(SUBSTITUTE(SUBSTITUTE(SUBSTITUTE(LOWER(Registro!$E895),"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",LEN(Registro!$E895))),({1,2,3,4,5,6,7,8,9,10,11,12,13,14,15,16,17,18,19,20,21,22,23,24,25,26,27,28,29,30}-1)*LEN(Registro!$E895)+1,LEN(Registro!$E895))),FIND("x",TRIM(MID(SUBSTITUTE(SUBSTITUTE(SUBSTITUTE(SUBSTITUTE(SUBSTITUTE(LOWER(Registro!$E895),"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",LEN(Registro!$E895))),({1,2,3,4,5,6,7,8,9,10,11,12,13,14,15,16,17,18,19,20,21,22,23,24,25,26,27,28,29,30}-1)*LEN(Registro!$E895)+1,LEN(Registro!$E895)))&amp;"x")-1))),"Revisar formato")))</f>
        <v/>
      </c>
      <c r="E895" s="24" t="str">
        <f>IF(Registro!$E895="","",IF(ISERROR(FIND("x",LOWER(Registro!$E895))),"-",IFERROR(SUMPRODUCT(--("0"&amp;LEFT(TRIM(MID(SUBSTITUTE(SUBSTITUTE(SUBSTITUTE(SUBSTITUTE(SUBSTITUTE(LOWER(Registro!$E895),"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",LEN(Registro!$E895))),({1,2,3,4,5,6,7,8,9,10,11,12,13,14,15,16,17,18,19,20,21,22,23,24,25,26,27,28,29,30}-1)*LEN(Registro!$E895)+1,LEN(Registro!$E895))),FIND("x",TRIM(MID(SUBSTITUTE(SUBSTITUTE(SUBSTITUTE(SUBSTITUTE(SUBSTITUTE(LOWER(Registro!$E895),"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",LEN(Registro!$E895))),({1,2,3,4,5,6,7,8,9,10,11,12,13,14,15,16,17,18,19,20,21,22,23,24,25,26,27,28,29,30}-1)*LEN(Registro!$E895)+1,LEN(Registro!$E895)))&amp;"x")-1)),--("0"&amp;MID(TRIM(MID(SUBSTITUTE(SUBSTITUTE(SUBSTITUTE(SUBSTITUTE(SUBSTITUTE(LOWER(Registro!$E895),"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",LEN(Registro!$E895))),({1,2,3,4,5,6,7,8,9,10,11,12,13,14,15,16,17,18,19,20,21,22,23,24,25,26,27,28,29,30}-1)*LEN(Registro!$E895)+1,LEN(Registro!$E895))),FIND("x",TRIM(MID(SUBSTITUTE(SUBSTITUTE(SUBSTITUTE(SUBSTITUTE(SUBSTITUTE(LOWER(Registro!$E895),"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",LEN(Registro!$E895))),({1,2,3,4,5,6,7,8,9,10,11,12,13,14,15,16,17,18,19,20,21,22,23,24,25,26,27,28,29,30}-1)*LEN(Registro!$E895)+1,LEN(Registro!$E895)))&amp;"x")+1,20))),"Revisar formato")))</f>
        <v/>
      </c>
      <c r="F895" s="23" t="str">
        <f>IF(Registro!$F895="","",IF(ISERROR(FIND("x",LOWER(Registro!$F895))),"-",IFERROR(SUMPRODUCT(--("0"&amp;LEFT(TRIM(MID(SUBSTITUTE(SUBSTITUTE(SUBSTITUTE(SUBSTITUTE(SUBSTITUTE(LOWER(Registro!$F895)," ",""),CHAR(10),"|"),";","|"),"+","|"),"|",REPT(" ",LEN(Registro!$F895))),({1,2,3,4,5,6,7,8,9,10,11,12,13,14,15,16,17,18,19,20,21,22,23,24,25,26,27,28,29,30}-1)*LEN(Registro!$F895)+1,LEN(Registro!$F895))),FIND("x",TRIM(MID(SUBSTITUTE(SUBSTITUTE(SUBSTITUTE(SUBSTITUTE(SUBSTITUTE(LOWER(Registro!$F895)," ",""),CHAR(10),"|"),";","|"),"+","|"),"|",REPT(" ",LEN(Registro!$F895))),({1,2,3,4,5,6,7,8,9,10,11,12,13,14,15,16,17,18,19,20,21,22,23,24,25,26,27,28,29,30}-1)*LEN(Registro!$F895)+1,LEN(Registro!$F895)))&amp;"x")-1))),"Revisar formato")))</f>
        <v/>
      </c>
      <c r="G895" s="24" t="str">
        <f>IF(Registro!$F895="","",IF(ISERROR(FIND("x",LOWER(Registro!$F895))),N(Registro!$G895),IFERROR(SUMPRODUCT(--("0"&amp;LEFT(TRIM(MID(SUBSTITUTE(SUBSTITUTE(SUBSTITUTE(SUBSTITUTE(SUBSTITUTE(LOWER(Registro!$F895)," ",""),CHAR(10),"|"),";","|"),"+","|"),"|",REPT(" ",LEN(Registro!$F895))),({1,2,3,4,5,6,7,8,9,10,11,12,13,14,15,16,17,18,19,20,21,22,23,24,25,26,27,28,29,30}-1)*LEN(Registro!$F895)+1,LEN(Registro!$F895))),FIND("x",TRIM(MID(SUBSTITUTE(SUBSTITUTE(SUBSTITUTE(SUBSTITUTE(SUBSTITUTE(LOWER(Registro!$F895)," ",""),CHAR(10),"|"),";","|"),"+","|"),"|",REPT(" ",LEN(Registro!$F895))),({1,2,3,4,5,6,7,8,9,10,11,12,13,14,15,16,17,18,19,20,21,22,23,24,25,26,27,28,29,30}-1)*LEN(Registro!$F895)+1,LEN(Registro!$F895)))&amp;"x")-1)),--("0"&amp;MID(TRIM(MID(SUBSTITUTE(SUBSTITUTE(SUBSTITUTE(SUBSTITUTE(SUBSTITUTE(LOWER(Registro!$F895)," ",""),CHAR(10),"|"),";","|"),"+","|"),"|",REPT(" ",LEN(Registro!$F895))),({1,2,3,4,5,6,7,8,9,10,11,12,13,14,15,16,17,18,19,20,21,22,23,24,25,26,27,28,29,30}-1)*LEN(Registro!$F895)+1,LEN(Registro!$F895))),FIND("x",TRIM(MID(SUBSTITUTE(SUBSTITUTE(SUBSTITUTE(SUBSTITUTE(SUBSTITUTE(LOWER(Registro!$F895)," ",""),CHAR(10),"|"),";","|"),"+","|"),"|",REPT(" ",LEN(Registro!$F895))),({1,2,3,4,5,6,7,8,9,10,11,12,13,14,15,16,17,18,19,20,21,22,23,24,25,26,27,28,29,30}-1)*LEN(Registro!$F895)+1,LEN(Registro!$F895)))&amp;"x")+1,20))),"Revisar formato")))</f>
        <v/>
      </c>
      <c r="H895" s="21" t="str">
        <f>IF(AND(Registro!$E895="",Registro!$F895=""),"",IF(NOT(AND(ISNUMBER(G895),ISNUMBER(Registro!$G895))),"",IF(G895&lt;Registro!$G895,"FALTA BOLETOS",IF(G895=Registro!$G895,"CONFORME","DIFERENCIA"))))</f>
        <v/>
      </c>
      <c r="I895" s="24" t="str">
        <f>IF(Registro!$H895="","",IFERROR(SUMPRODUCT(--("0"&amp;TRIM(RIGHT(SUBSTITUTE(TRIM(MID(SUBSTITUTE(SUBSTITUTE(Registro!$H895,";",CHAR(10)),CHAR(10),REPT(" ",LEN(Registro!$H895))),({1,2,3,4,5,6,7,8,9,10,11,12,13,14,15,16,17,18,19,20,21,22,23,24,25,26,27,28,29,30}-1)*LEN(Registro!$H895)+1,LEN(Registro!$H895)))," ",REPT(" ",50)),50)))),"Revisar formato"))</f>
        <v/>
      </c>
      <c r="J895" s="24" t="str">
        <f>IF(Registro!$I895="","",IFERROR(SUMPRODUCT(--("0"&amp;TRIM(RIGHT(SUBSTITUTE(TRIM(MID(SUBSTITUTE(SUBSTITUTE(Registro!$I895,";",CHAR(10)),CHAR(10),REPT(" ",LEN(Registro!$I895))),({1,2,3,4,5,6,7,8,9,10,11,12,13,14,15,16,17,18,19,20,21,22,23,24,25,26,27,28,29,30}-1)*LEN(Registro!$I895)+1,LEN(Registro!$I895)))," ",REPT(" ",50)),50)))),"Revisar formato"))</f>
        <v/>
      </c>
      <c r="K895" s="24" t="str">
        <f>IF(AND(Registro!$G895="",Registro!$H895=""),"",IF(AND(ISTEXT(I895),I895&lt;&gt;""),"Revisar formato",N(Registro!$G895)-N(I895)))</f>
        <v/>
      </c>
      <c r="L895" s="24" t="str">
        <f t="shared" si="27"/>
        <v/>
      </c>
      <c r="M895" s="36" t="str">
        <f>IF(AND(A895=Consulta!$B$3,C895=Consulta!$H$3),B895*10000+ROW(),"")</f>
        <v/>
      </c>
    </row>
    <row r="896" spans="1:13" x14ac:dyDescent="0.25">
      <c r="A896" s="21" t="str">
        <f>IF(Registro!$A896="","",Registro!$A896)</f>
        <v/>
      </c>
      <c r="B896" s="20" t="str">
        <f>IF(Registro!$B896="","",Registro!$B896)</f>
        <v/>
      </c>
      <c r="C896" s="35" t="str">
        <f t="shared" si="26"/>
        <v/>
      </c>
      <c r="D896" s="23" t="str">
        <f>IF(Registro!$E896="","",IF(ISERROR(FIND("x",LOWER(Registro!$E896))),"-",IFERROR(SUMPRODUCT(--("0"&amp;LEFT(TRIM(MID(SUBSTITUTE(SUBSTITUTE(SUBSTITUTE(SUBSTITUTE(SUBSTITUTE(LOWER(Registro!$E896),"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",LEN(Registro!$E896))),({1,2,3,4,5,6,7,8,9,10,11,12,13,14,15,16,17,18,19,20,21,22,23,24,25,26,27,28,29,30}-1)*LEN(Registro!$E896)+1,LEN(Registro!$E896))),FIND("x",TRIM(MID(SUBSTITUTE(SUBSTITUTE(SUBSTITUTE(SUBSTITUTE(SUBSTITUTE(LOWER(Registro!$E896),"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",LEN(Registro!$E896))),({1,2,3,4,5,6,7,8,9,10,11,12,13,14,15,16,17,18,19,20,21,22,23,24,25,26,27,28,29,30}-1)*LEN(Registro!$E896)+1,LEN(Registro!$E896)))&amp;"x")-1))),"Revisar formato")))</f>
        <v/>
      </c>
      <c r="E896" s="24" t="str">
        <f>IF(Registro!$E896="","",IF(ISERROR(FIND("x",LOWER(Registro!$E896))),"-",IFERROR(SUMPRODUCT(--("0"&amp;LEFT(TRIM(MID(SUBSTITUTE(SUBSTITUTE(SUBSTITUTE(SUBSTITUTE(SUBSTITUTE(LOWER(Registro!$E896),"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",LEN(Registro!$E896))),({1,2,3,4,5,6,7,8,9,10,11,12,13,14,15,16,17,18,19,20,21,22,23,24,25,26,27,28,29,30}-1)*LEN(Registro!$E896)+1,LEN(Registro!$E896))),FIND("x",TRIM(MID(SUBSTITUTE(SUBSTITUTE(SUBSTITUTE(SUBSTITUTE(SUBSTITUTE(LOWER(Registro!$E896),"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",LEN(Registro!$E896))),({1,2,3,4,5,6,7,8,9,10,11,12,13,14,15,16,17,18,19,20,21,22,23,24,25,26,27,28,29,30}-1)*LEN(Registro!$E896)+1,LEN(Registro!$E896)))&amp;"x")-1)),--("0"&amp;MID(TRIM(MID(SUBSTITUTE(SUBSTITUTE(SUBSTITUTE(SUBSTITUTE(SUBSTITUTE(LOWER(Registro!$E896),"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",LEN(Registro!$E896))),({1,2,3,4,5,6,7,8,9,10,11,12,13,14,15,16,17,18,19,20,21,22,23,24,25,26,27,28,29,30}-1)*LEN(Registro!$E896)+1,LEN(Registro!$E896))),FIND("x",TRIM(MID(SUBSTITUTE(SUBSTITUTE(SUBSTITUTE(SUBSTITUTE(SUBSTITUTE(LOWER(Registro!$E896),"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",LEN(Registro!$E896))),({1,2,3,4,5,6,7,8,9,10,11,12,13,14,15,16,17,18,19,20,21,22,23,24,25,26,27,28,29,30}-1)*LEN(Registro!$E896)+1,LEN(Registro!$E896)))&amp;"x")+1,20))),"Revisar formato")))</f>
        <v/>
      </c>
      <c r="F896" s="23" t="str">
        <f>IF(Registro!$F896="","",IF(ISERROR(FIND("x",LOWER(Registro!$F896))),"-",IFERROR(SUMPRODUCT(--("0"&amp;LEFT(TRIM(MID(SUBSTITUTE(SUBSTITUTE(SUBSTITUTE(SUBSTITUTE(SUBSTITUTE(LOWER(Registro!$F896)," ",""),CHAR(10),"|"),";","|"),"+","|"),"|",REPT(" ",LEN(Registro!$F896))),({1,2,3,4,5,6,7,8,9,10,11,12,13,14,15,16,17,18,19,20,21,22,23,24,25,26,27,28,29,30}-1)*LEN(Registro!$F896)+1,LEN(Registro!$F896))),FIND("x",TRIM(MID(SUBSTITUTE(SUBSTITUTE(SUBSTITUTE(SUBSTITUTE(SUBSTITUTE(LOWER(Registro!$F896)," ",""),CHAR(10),"|"),";","|"),"+","|"),"|",REPT(" ",LEN(Registro!$F896))),({1,2,3,4,5,6,7,8,9,10,11,12,13,14,15,16,17,18,19,20,21,22,23,24,25,26,27,28,29,30}-1)*LEN(Registro!$F896)+1,LEN(Registro!$F896)))&amp;"x")-1))),"Revisar formato")))</f>
        <v/>
      </c>
      <c r="G896" s="24" t="str">
        <f>IF(Registro!$F896="","",IF(ISERROR(FIND("x",LOWER(Registro!$F896))),N(Registro!$G896),IFERROR(SUMPRODUCT(--("0"&amp;LEFT(TRIM(MID(SUBSTITUTE(SUBSTITUTE(SUBSTITUTE(SUBSTITUTE(SUBSTITUTE(LOWER(Registro!$F896)," ",""),CHAR(10),"|"),";","|"),"+","|"),"|",REPT(" ",LEN(Registro!$F896))),({1,2,3,4,5,6,7,8,9,10,11,12,13,14,15,16,17,18,19,20,21,22,23,24,25,26,27,28,29,30}-1)*LEN(Registro!$F896)+1,LEN(Registro!$F896))),FIND("x",TRIM(MID(SUBSTITUTE(SUBSTITUTE(SUBSTITUTE(SUBSTITUTE(SUBSTITUTE(LOWER(Registro!$F896)," ",""),CHAR(10),"|"),";","|"),"+","|"),"|",REPT(" ",LEN(Registro!$F896))),({1,2,3,4,5,6,7,8,9,10,11,12,13,14,15,16,17,18,19,20,21,22,23,24,25,26,27,28,29,30}-1)*LEN(Registro!$F896)+1,LEN(Registro!$F896)))&amp;"x")-1)),--("0"&amp;MID(TRIM(MID(SUBSTITUTE(SUBSTITUTE(SUBSTITUTE(SUBSTITUTE(SUBSTITUTE(LOWER(Registro!$F896)," ",""),CHAR(10),"|"),";","|"),"+","|"),"|",REPT(" ",LEN(Registro!$F896))),({1,2,3,4,5,6,7,8,9,10,11,12,13,14,15,16,17,18,19,20,21,22,23,24,25,26,27,28,29,30}-1)*LEN(Registro!$F896)+1,LEN(Registro!$F896))),FIND("x",TRIM(MID(SUBSTITUTE(SUBSTITUTE(SUBSTITUTE(SUBSTITUTE(SUBSTITUTE(LOWER(Registro!$F896)," ",""),CHAR(10),"|"),";","|"),"+","|"),"|",REPT(" ",LEN(Registro!$F896))),({1,2,3,4,5,6,7,8,9,10,11,12,13,14,15,16,17,18,19,20,21,22,23,24,25,26,27,28,29,30}-1)*LEN(Registro!$F896)+1,LEN(Registro!$F896)))&amp;"x")+1,20))),"Revisar formato")))</f>
        <v/>
      </c>
      <c r="H896" s="21" t="str">
        <f>IF(AND(Registro!$E896="",Registro!$F896=""),"",IF(NOT(AND(ISNUMBER(G896),ISNUMBER(Registro!$G896))),"",IF(G896&lt;Registro!$G896,"FALTA BOLETOS",IF(G896=Registro!$G896,"CONFORME","DIFERENCIA"))))</f>
        <v/>
      </c>
      <c r="I896" s="24" t="str">
        <f>IF(Registro!$H896="","",IFERROR(SUMPRODUCT(--("0"&amp;TRIM(RIGHT(SUBSTITUTE(TRIM(MID(SUBSTITUTE(SUBSTITUTE(Registro!$H896,";",CHAR(10)),CHAR(10),REPT(" ",LEN(Registro!$H896))),({1,2,3,4,5,6,7,8,9,10,11,12,13,14,15,16,17,18,19,20,21,22,23,24,25,26,27,28,29,30}-1)*LEN(Registro!$H896)+1,LEN(Registro!$H896)))," ",REPT(" ",50)),50)))),"Revisar formato"))</f>
        <v/>
      </c>
      <c r="J896" s="24" t="str">
        <f>IF(Registro!$I896="","",IFERROR(SUMPRODUCT(--("0"&amp;TRIM(RIGHT(SUBSTITUTE(TRIM(MID(SUBSTITUTE(SUBSTITUTE(Registro!$I896,";",CHAR(10)),CHAR(10),REPT(" ",LEN(Registro!$I896))),({1,2,3,4,5,6,7,8,9,10,11,12,13,14,15,16,17,18,19,20,21,22,23,24,25,26,27,28,29,30}-1)*LEN(Registro!$I896)+1,LEN(Registro!$I896)))," ",REPT(" ",50)),50)))),"Revisar formato"))</f>
        <v/>
      </c>
      <c r="K896" s="24" t="str">
        <f>IF(AND(Registro!$G896="",Registro!$H896=""),"",IF(AND(ISTEXT(I896),I896&lt;&gt;""),"Revisar formato",N(Registro!$G896)-N(I896)))</f>
        <v/>
      </c>
      <c r="L896" s="24" t="str">
        <f t="shared" si="27"/>
        <v/>
      </c>
      <c r="M896" s="36" t="str">
        <f>IF(AND(A896=Consulta!$B$3,C896=Consulta!$H$3),B896*10000+ROW(),"")</f>
        <v/>
      </c>
    </row>
    <row r="897" spans="1:13" x14ac:dyDescent="0.25">
      <c r="A897" s="21" t="str">
        <f>IF(Registro!$A897="","",Registro!$A897)</f>
        <v/>
      </c>
      <c r="B897" s="20" t="str">
        <f>IF(Registro!$B897="","",Registro!$B897)</f>
        <v/>
      </c>
      <c r="C897" s="35" t="str">
        <f t="shared" si="26"/>
        <v/>
      </c>
      <c r="D897" s="23" t="str">
        <f>IF(Registro!$E897="","",IF(ISERROR(FIND("x",LOWER(Registro!$E897))),"-",IFERROR(SUMPRODUCT(--("0"&amp;LEFT(TRIM(MID(SUBSTITUTE(SUBSTITUTE(SUBSTITUTE(SUBSTITUTE(SUBSTITUTE(LOWER(Registro!$E897),"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",LEN(Registro!$E897))),({1,2,3,4,5,6,7,8,9,10,11,12,13,14,15,16,17,18,19,20,21,22,23,24,25,26,27,28,29,30}-1)*LEN(Registro!$E897)+1,LEN(Registro!$E897))),FIND("x",TRIM(MID(SUBSTITUTE(SUBSTITUTE(SUBSTITUTE(SUBSTITUTE(SUBSTITUTE(LOWER(Registro!$E897),"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",LEN(Registro!$E897))),({1,2,3,4,5,6,7,8,9,10,11,12,13,14,15,16,17,18,19,20,21,22,23,24,25,26,27,28,29,30}-1)*LEN(Registro!$E897)+1,LEN(Registro!$E897)))&amp;"x")-1))),"Revisar formato")))</f>
        <v/>
      </c>
      <c r="E897" s="24" t="str">
        <f>IF(Registro!$E897="","",IF(ISERROR(FIND("x",LOWER(Registro!$E897))),"-",IFERROR(SUMPRODUCT(--("0"&amp;LEFT(TRIM(MID(SUBSTITUTE(SUBSTITUTE(SUBSTITUTE(SUBSTITUTE(SUBSTITUTE(LOWER(Registro!$E897),"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",LEN(Registro!$E897))),({1,2,3,4,5,6,7,8,9,10,11,12,13,14,15,16,17,18,19,20,21,22,23,24,25,26,27,28,29,30}-1)*LEN(Registro!$E897)+1,LEN(Registro!$E897))),FIND("x",TRIM(MID(SUBSTITUTE(SUBSTITUTE(SUBSTITUTE(SUBSTITUTE(SUBSTITUTE(LOWER(Registro!$E897),"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",LEN(Registro!$E897))),({1,2,3,4,5,6,7,8,9,10,11,12,13,14,15,16,17,18,19,20,21,22,23,24,25,26,27,28,29,30}-1)*LEN(Registro!$E897)+1,LEN(Registro!$E897)))&amp;"x")-1)),--("0"&amp;MID(TRIM(MID(SUBSTITUTE(SUBSTITUTE(SUBSTITUTE(SUBSTITUTE(SUBSTITUTE(LOWER(Registro!$E897),"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",LEN(Registro!$E897))),({1,2,3,4,5,6,7,8,9,10,11,12,13,14,15,16,17,18,19,20,21,22,23,24,25,26,27,28,29,30}-1)*LEN(Registro!$E897)+1,LEN(Registro!$E897))),FIND("x",TRIM(MID(SUBSTITUTE(SUBSTITUTE(SUBSTITUTE(SUBSTITUTE(SUBSTITUTE(LOWER(Registro!$E897),"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",LEN(Registro!$E897))),({1,2,3,4,5,6,7,8,9,10,11,12,13,14,15,16,17,18,19,20,21,22,23,24,25,26,27,28,29,30}-1)*LEN(Registro!$E897)+1,LEN(Registro!$E897)))&amp;"x")+1,20))),"Revisar formato")))</f>
        <v/>
      </c>
      <c r="F897" s="23" t="str">
        <f>IF(Registro!$F897="","",IF(ISERROR(FIND("x",LOWER(Registro!$F897))),"-",IFERROR(SUMPRODUCT(--("0"&amp;LEFT(TRIM(MID(SUBSTITUTE(SUBSTITUTE(SUBSTITUTE(SUBSTITUTE(SUBSTITUTE(LOWER(Registro!$F897)," ",""),CHAR(10),"|"),";","|"),"+","|"),"|",REPT(" ",LEN(Registro!$F897))),({1,2,3,4,5,6,7,8,9,10,11,12,13,14,15,16,17,18,19,20,21,22,23,24,25,26,27,28,29,30}-1)*LEN(Registro!$F897)+1,LEN(Registro!$F897))),FIND("x",TRIM(MID(SUBSTITUTE(SUBSTITUTE(SUBSTITUTE(SUBSTITUTE(SUBSTITUTE(LOWER(Registro!$F897)," ",""),CHAR(10),"|"),";","|"),"+","|"),"|",REPT(" ",LEN(Registro!$F897))),({1,2,3,4,5,6,7,8,9,10,11,12,13,14,15,16,17,18,19,20,21,22,23,24,25,26,27,28,29,30}-1)*LEN(Registro!$F897)+1,LEN(Registro!$F897)))&amp;"x")-1))),"Revisar formato")))</f>
        <v/>
      </c>
      <c r="G897" s="24" t="str">
        <f>IF(Registro!$F897="","",IF(ISERROR(FIND("x",LOWER(Registro!$F897))),N(Registro!$G897),IFERROR(SUMPRODUCT(--("0"&amp;LEFT(TRIM(MID(SUBSTITUTE(SUBSTITUTE(SUBSTITUTE(SUBSTITUTE(SUBSTITUTE(LOWER(Registro!$F897)," ",""),CHAR(10),"|"),";","|"),"+","|"),"|",REPT(" ",LEN(Registro!$F897))),({1,2,3,4,5,6,7,8,9,10,11,12,13,14,15,16,17,18,19,20,21,22,23,24,25,26,27,28,29,30}-1)*LEN(Registro!$F897)+1,LEN(Registro!$F897))),FIND("x",TRIM(MID(SUBSTITUTE(SUBSTITUTE(SUBSTITUTE(SUBSTITUTE(SUBSTITUTE(LOWER(Registro!$F897)," ",""),CHAR(10),"|"),";","|"),"+","|"),"|",REPT(" ",LEN(Registro!$F897))),({1,2,3,4,5,6,7,8,9,10,11,12,13,14,15,16,17,18,19,20,21,22,23,24,25,26,27,28,29,30}-1)*LEN(Registro!$F897)+1,LEN(Registro!$F897)))&amp;"x")-1)),--("0"&amp;MID(TRIM(MID(SUBSTITUTE(SUBSTITUTE(SUBSTITUTE(SUBSTITUTE(SUBSTITUTE(LOWER(Registro!$F897)," ",""),CHAR(10),"|"),";","|"),"+","|"),"|",REPT(" ",LEN(Registro!$F897))),({1,2,3,4,5,6,7,8,9,10,11,12,13,14,15,16,17,18,19,20,21,22,23,24,25,26,27,28,29,30}-1)*LEN(Registro!$F897)+1,LEN(Registro!$F897))),FIND("x",TRIM(MID(SUBSTITUTE(SUBSTITUTE(SUBSTITUTE(SUBSTITUTE(SUBSTITUTE(LOWER(Registro!$F897)," ",""),CHAR(10),"|"),";","|"),"+","|"),"|",REPT(" ",LEN(Registro!$F897))),({1,2,3,4,5,6,7,8,9,10,11,12,13,14,15,16,17,18,19,20,21,22,23,24,25,26,27,28,29,30}-1)*LEN(Registro!$F897)+1,LEN(Registro!$F897)))&amp;"x")+1,20))),"Revisar formato")))</f>
        <v/>
      </c>
      <c r="H897" s="21" t="str">
        <f>IF(AND(Registro!$E897="",Registro!$F897=""),"",IF(NOT(AND(ISNUMBER(G897),ISNUMBER(Registro!$G897))),"",IF(G897&lt;Registro!$G897,"FALTA BOLETOS",IF(G897=Registro!$G897,"CONFORME","DIFERENCIA"))))</f>
        <v/>
      </c>
      <c r="I897" s="24" t="str">
        <f>IF(Registro!$H897="","",IFERROR(SUMPRODUCT(--("0"&amp;TRIM(RIGHT(SUBSTITUTE(TRIM(MID(SUBSTITUTE(SUBSTITUTE(Registro!$H897,";",CHAR(10)),CHAR(10),REPT(" ",LEN(Registro!$H897))),({1,2,3,4,5,6,7,8,9,10,11,12,13,14,15,16,17,18,19,20,21,22,23,24,25,26,27,28,29,30}-1)*LEN(Registro!$H897)+1,LEN(Registro!$H897)))," ",REPT(" ",50)),50)))),"Revisar formato"))</f>
        <v/>
      </c>
      <c r="J897" s="24" t="str">
        <f>IF(Registro!$I897="","",IFERROR(SUMPRODUCT(--("0"&amp;TRIM(RIGHT(SUBSTITUTE(TRIM(MID(SUBSTITUTE(SUBSTITUTE(Registro!$I897,";",CHAR(10)),CHAR(10),REPT(" ",LEN(Registro!$I897))),({1,2,3,4,5,6,7,8,9,10,11,12,13,14,15,16,17,18,19,20,21,22,23,24,25,26,27,28,29,30}-1)*LEN(Registro!$I897)+1,LEN(Registro!$I897)))," ",REPT(" ",50)),50)))),"Revisar formato"))</f>
        <v/>
      </c>
      <c r="K897" s="24" t="str">
        <f>IF(AND(Registro!$G897="",Registro!$H897=""),"",IF(AND(ISTEXT(I897),I897&lt;&gt;""),"Revisar formato",N(Registro!$G897)-N(I897)))</f>
        <v/>
      </c>
      <c r="L897" s="24" t="str">
        <f t="shared" si="27"/>
        <v/>
      </c>
      <c r="M897" s="36" t="str">
        <f>IF(AND(A897=Consulta!$B$3,C897=Consulta!$H$3),B897*10000+ROW(),"")</f>
        <v/>
      </c>
    </row>
    <row r="898" spans="1:13" x14ac:dyDescent="0.25">
      <c r="A898" s="21" t="str">
        <f>IF(Registro!$A898="","",Registro!$A898)</f>
        <v/>
      </c>
      <c r="B898" s="20" t="str">
        <f>IF(Registro!$B898="","",Registro!$B898)</f>
        <v/>
      </c>
      <c r="C898" s="35" t="str">
        <f t="shared" ref="C898:C961" si="28">IF(ISNUMBER(B898),YEAR(B898)*100+MONTH(B898),"")</f>
        <v/>
      </c>
      <c r="D898" s="23" t="str">
        <f>IF(Registro!$E898="","",IF(ISERROR(FIND("x",LOWER(Registro!$E898))),"-",IFERROR(SUMPRODUCT(--("0"&amp;LEFT(TRIM(MID(SUBSTITUTE(SUBSTITUTE(SUBSTITUTE(SUBSTITUTE(SUBSTITUTE(LOWER(Registro!$E898),"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",LEN(Registro!$E898))),({1,2,3,4,5,6,7,8,9,10,11,12,13,14,15,16,17,18,19,20,21,22,23,24,25,26,27,28,29,30}-1)*LEN(Registro!$E898)+1,LEN(Registro!$E898))),FIND("x",TRIM(MID(SUBSTITUTE(SUBSTITUTE(SUBSTITUTE(SUBSTITUTE(SUBSTITUTE(LOWER(Registro!$E898),"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",LEN(Registro!$E898))),({1,2,3,4,5,6,7,8,9,10,11,12,13,14,15,16,17,18,19,20,21,22,23,24,25,26,27,28,29,30}-1)*LEN(Registro!$E898)+1,LEN(Registro!$E898)))&amp;"x")-1))),"Revisar formato")))</f>
        <v/>
      </c>
      <c r="E898" s="24" t="str">
        <f>IF(Registro!$E898="","",IF(ISERROR(FIND("x",LOWER(Registro!$E898))),"-",IFERROR(SUMPRODUCT(--("0"&amp;LEFT(TRIM(MID(SUBSTITUTE(SUBSTITUTE(SUBSTITUTE(SUBSTITUTE(SUBSTITUTE(LOWER(Registro!$E898),"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",LEN(Registro!$E898))),({1,2,3,4,5,6,7,8,9,10,11,12,13,14,15,16,17,18,19,20,21,22,23,24,25,26,27,28,29,30}-1)*LEN(Registro!$E898)+1,LEN(Registro!$E898))),FIND("x",TRIM(MID(SUBSTITUTE(SUBSTITUTE(SUBSTITUTE(SUBSTITUTE(SUBSTITUTE(LOWER(Registro!$E898),"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",LEN(Registro!$E898))),({1,2,3,4,5,6,7,8,9,10,11,12,13,14,15,16,17,18,19,20,21,22,23,24,25,26,27,28,29,30}-1)*LEN(Registro!$E898)+1,LEN(Registro!$E898)))&amp;"x")-1)),--("0"&amp;MID(TRIM(MID(SUBSTITUTE(SUBSTITUTE(SUBSTITUTE(SUBSTITUTE(SUBSTITUTE(LOWER(Registro!$E898),"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",LEN(Registro!$E898))),({1,2,3,4,5,6,7,8,9,10,11,12,13,14,15,16,17,18,19,20,21,22,23,24,25,26,27,28,29,30}-1)*LEN(Registro!$E898)+1,LEN(Registro!$E898))),FIND("x",TRIM(MID(SUBSTITUTE(SUBSTITUTE(SUBSTITUTE(SUBSTITUTE(SUBSTITUTE(LOWER(Registro!$E898),"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",LEN(Registro!$E898))),({1,2,3,4,5,6,7,8,9,10,11,12,13,14,15,16,17,18,19,20,21,22,23,24,25,26,27,28,29,30}-1)*LEN(Registro!$E898)+1,LEN(Registro!$E898)))&amp;"x")+1,20))),"Revisar formato")))</f>
        <v/>
      </c>
      <c r="F898" s="23" t="str">
        <f>IF(Registro!$F898="","",IF(ISERROR(FIND("x",LOWER(Registro!$F898))),"-",IFERROR(SUMPRODUCT(--("0"&amp;LEFT(TRIM(MID(SUBSTITUTE(SUBSTITUTE(SUBSTITUTE(SUBSTITUTE(SUBSTITUTE(LOWER(Registro!$F898)," ",""),CHAR(10),"|"),";","|"),"+","|"),"|",REPT(" ",LEN(Registro!$F898))),({1,2,3,4,5,6,7,8,9,10,11,12,13,14,15,16,17,18,19,20,21,22,23,24,25,26,27,28,29,30}-1)*LEN(Registro!$F898)+1,LEN(Registro!$F898))),FIND("x",TRIM(MID(SUBSTITUTE(SUBSTITUTE(SUBSTITUTE(SUBSTITUTE(SUBSTITUTE(LOWER(Registro!$F898)," ",""),CHAR(10),"|"),";","|"),"+","|"),"|",REPT(" ",LEN(Registro!$F898))),({1,2,3,4,5,6,7,8,9,10,11,12,13,14,15,16,17,18,19,20,21,22,23,24,25,26,27,28,29,30}-1)*LEN(Registro!$F898)+1,LEN(Registro!$F898)))&amp;"x")-1))),"Revisar formato")))</f>
        <v/>
      </c>
      <c r="G898" s="24" t="str">
        <f>IF(Registro!$F898="","",IF(ISERROR(FIND("x",LOWER(Registro!$F898))),N(Registro!$G898),IFERROR(SUMPRODUCT(--("0"&amp;LEFT(TRIM(MID(SUBSTITUTE(SUBSTITUTE(SUBSTITUTE(SUBSTITUTE(SUBSTITUTE(LOWER(Registro!$F898)," ",""),CHAR(10),"|"),";","|"),"+","|"),"|",REPT(" ",LEN(Registro!$F898))),({1,2,3,4,5,6,7,8,9,10,11,12,13,14,15,16,17,18,19,20,21,22,23,24,25,26,27,28,29,30}-1)*LEN(Registro!$F898)+1,LEN(Registro!$F898))),FIND("x",TRIM(MID(SUBSTITUTE(SUBSTITUTE(SUBSTITUTE(SUBSTITUTE(SUBSTITUTE(LOWER(Registro!$F898)," ",""),CHAR(10),"|"),";","|"),"+","|"),"|",REPT(" ",LEN(Registro!$F898))),({1,2,3,4,5,6,7,8,9,10,11,12,13,14,15,16,17,18,19,20,21,22,23,24,25,26,27,28,29,30}-1)*LEN(Registro!$F898)+1,LEN(Registro!$F898)))&amp;"x")-1)),--("0"&amp;MID(TRIM(MID(SUBSTITUTE(SUBSTITUTE(SUBSTITUTE(SUBSTITUTE(SUBSTITUTE(LOWER(Registro!$F898)," ",""),CHAR(10),"|"),";","|"),"+","|"),"|",REPT(" ",LEN(Registro!$F898))),({1,2,3,4,5,6,7,8,9,10,11,12,13,14,15,16,17,18,19,20,21,22,23,24,25,26,27,28,29,30}-1)*LEN(Registro!$F898)+1,LEN(Registro!$F898))),FIND("x",TRIM(MID(SUBSTITUTE(SUBSTITUTE(SUBSTITUTE(SUBSTITUTE(SUBSTITUTE(LOWER(Registro!$F898)," ",""),CHAR(10),"|"),";","|"),"+","|"),"|",REPT(" ",LEN(Registro!$F898))),({1,2,3,4,5,6,7,8,9,10,11,12,13,14,15,16,17,18,19,20,21,22,23,24,25,26,27,28,29,30}-1)*LEN(Registro!$F898)+1,LEN(Registro!$F898)))&amp;"x")+1,20))),"Revisar formato")))</f>
        <v/>
      </c>
      <c r="H898" s="21" t="str">
        <f>IF(AND(Registro!$E898="",Registro!$F898=""),"",IF(NOT(AND(ISNUMBER(G898),ISNUMBER(Registro!$G898))),"",IF(G898&lt;Registro!$G898,"FALTA BOLETOS",IF(G898=Registro!$G898,"CONFORME","DIFERENCIA"))))</f>
        <v/>
      </c>
      <c r="I898" s="24" t="str">
        <f>IF(Registro!$H898="","",IFERROR(SUMPRODUCT(--("0"&amp;TRIM(RIGHT(SUBSTITUTE(TRIM(MID(SUBSTITUTE(SUBSTITUTE(Registro!$H898,";",CHAR(10)),CHAR(10),REPT(" ",LEN(Registro!$H898))),({1,2,3,4,5,6,7,8,9,10,11,12,13,14,15,16,17,18,19,20,21,22,23,24,25,26,27,28,29,30}-1)*LEN(Registro!$H898)+1,LEN(Registro!$H898)))," ",REPT(" ",50)),50)))),"Revisar formato"))</f>
        <v/>
      </c>
      <c r="J898" s="24" t="str">
        <f>IF(Registro!$I898="","",IFERROR(SUMPRODUCT(--("0"&amp;TRIM(RIGHT(SUBSTITUTE(TRIM(MID(SUBSTITUTE(SUBSTITUTE(Registro!$I898,";",CHAR(10)),CHAR(10),REPT(" ",LEN(Registro!$I898))),({1,2,3,4,5,6,7,8,9,10,11,12,13,14,15,16,17,18,19,20,21,22,23,24,25,26,27,28,29,30}-1)*LEN(Registro!$I898)+1,LEN(Registro!$I898)))," ",REPT(" ",50)),50)))),"Revisar formato"))</f>
        <v/>
      </c>
      <c r="K898" s="24" t="str">
        <f>IF(AND(Registro!$G898="",Registro!$H898=""),"",IF(AND(ISTEXT(I898),I898&lt;&gt;""),"Revisar formato",N(Registro!$G898)-N(I898)))</f>
        <v/>
      </c>
      <c r="L898" s="24" t="str">
        <f t="shared" ref="L898:L961" si="29">IF(K898="","",IF(OR(K898="Revisar formato",AND(ISTEXT(J898),J898&lt;&gt;"")),"Revisar formato",K898-N(J898)))</f>
        <v/>
      </c>
      <c r="M898" s="36" t="str">
        <f>IF(AND(A898=Consulta!$B$3,C898=Consulta!$H$3),B898*10000+ROW(),"")</f>
        <v/>
      </c>
    </row>
    <row r="899" spans="1:13" x14ac:dyDescent="0.25">
      <c r="A899" s="21" t="str">
        <f>IF(Registro!$A899="","",Registro!$A899)</f>
        <v/>
      </c>
      <c r="B899" s="20" t="str">
        <f>IF(Registro!$B899="","",Registro!$B899)</f>
        <v/>
      </c>
      <c r="C899" s="35" t="str">
        <f t="shared" si="28"/>
        <v/>
      </c>
      <c r="D899" s="23" t="str">
        <f>IF(Registro!$E899="","",IF(ISERROR(FIND("x",LOWER(Registro!$E899))),"-",IFERROR(SUMPRODUCT(--("0"&amp;LEFT(TRIM(MID(SUBSTITUTE(SUBSTITUTE(SUBSTITUTE(SUBSTITUTE(SUBSTITUTE(LOWER(Registro!$E899),"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",LEN(Registro!$E899))),({1,2,3,4,5,6,7,8,9,10,11,12,13,14,15,16,17,18,19,20,21,22,23,24,25,26,27,28,29,30}-1)*LEN(Registro!$E899)+1,LEN(Registro!$E899))),FIND("x",TRIM(MID(SUBSTITUTE(SUBSTITUTE(SUBSTITUTE(SUBSTITUTE(SUBSTITUTE(LOWER(Registro!$E899),"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",LEN(Registro!$E899))),({1,2,3,4,5,6,7,8,9,10,11,12,13,14,15,16,17,18,19,20,21,22,23,24,25,26,27,28,29,30}-1)*LEN(Registro!$E899)+1,LEN(Registro!$E899)))&amp;"x")-1))),"Revisar formato")))</f>
        <v/>
      </c>
      <c r="E899" s="24" t="str">
        <f>IF(Registro!$E899="","",IF(ISERROR(FIND("x",LOWER(Registro!$E899))),"-",IFERROR(SUMPRODUCT(--("0"&amp;LEFT(TRIM(MID(SUBSTITUTE(SUBSTITUTE(SUBSTITUTE(SUBSTITUTE(SUBSTITUTE(LOWER(Registro!$E899),"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",LEN(Registro!$E899))),({1,2,3,4,5,6,7,8,9,10,11,12,13,14,15,16,17,18,19,20,21,22,23,24,25,26,27,28,29,30}-1)*LEN(Registro!$E899)+1,LEN(Registro!$E899))),FIND("x",TRIM(MID(SUBSTITUTE(SUBSTITUTE(SUBSTITUTE(SUBSTITUTE(SUBSTITUTE(LOWER(Registro!$E899),"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",LEN(Registro!$E899))),({1,2,3,4,5,6,7,8,9,10,11,12,13,14,15,16,17,18,19,20,21,22,23,24,25,26,27,28,29,30}-1)*LEN(Registro!$E899)+1,LEN(Registro!$E899)))&amp;"x")-1)),--("0"&amp;MID(TRIM(MID(SUBSTITUTE(SUBSTITUTE(SUBSTITUTE(SUBSTITUTE(SUBSTITUTE(LOWER(Registro!$E899),"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",LEN(Registro!$E899))),({1,2,3,4,5,6,7,8,9,10,11,12,13,14,15,16,17,18,19,20,21,22,23,24,25,26,27,28,29,30}-1)*LEN(Registro!$E899)+1,LEN(Registro!$E899))),FIND("x",TRIM(MID(SUBSTITUTE(SUBSTITUTE(SUBSTITUTE(SUBSTITUTE(SUBSTITUTE(LOWER(Registro!$E899),"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",LEN(Registro!$E899))),({1,2,3,4,5,6,7,8,9,10,11,12,13,14,15,16,17,18,19,20,21,22,23,24,25,26,27,28,29,30}-1)*LEN(Registro!$E899)+1,LEN(Registro!$E899)))&amp;"x")+1,20))),"Revisar formato")))</f>
        <v/>
      </c>
      <c r="F899" s="23" t="str">
        <f>IF(Registro!$F899="","",IF(ISERROR(FIND("x",LOWER(Registro!$F899))),"-",IFERROR(SUMPRODUCT(--("0"&amp;LEFT(TRIM(MID(SUBSTITUTE(SUBSTITUTE(SUBSTITUTE(SUBSTITUTE(SUBSTITUTE(LOWER(Registro!$F899)," ",""),CHAR(10),"|"),";","|"),"+","|"),"|",REPT(" ",LEN(Registro!$F899))),({1,2,3,4,5,6,7,8,9,10,11,12,13,14,15,16,17,18,19,20,21,22,23,24,25,26,27,28,29,30}-1)*LEN(Registro!$F899)+1,LEN(Registro!$F899))),FIND("x",TRIM(MID(SUBSTITUTE(SUBSTITUTE(SUBSTITUTE(SUBSTITUTE(SUBSTITUTE(LOWER(Registro!$F899)," ",""),CHAR(10),"|"),";","|"),"+","|"),"|",REPT(" ",LEN(Registro!$F899))),({1,2,3,4,5,6,7,8,9,10,11,12,13,14,15,16,17,18,19,20,21,22,23,24,25,26,27,28,29,30}-1)*LEN(Registro!$F899)+1,LEN(Registro!$F899)))&amp;"x")-1))),"Revisar formato")))</f>
        <v/>
      </c>
      <c r="G899" s="24" t="str">
        <f>IF(Registro!$F899="","",IF(ISERROR(FIND("x",LOWER(Registro!$F899))),N(Registro!$G899),IFERROR(SUMPRODUCT(--("0"&amp;LEFT(TRIM(MID(SUBSTITUTE(SUBSTITUTE(SUBSTITUTE(SUBSTITUTE(SUBSTITUTE(LOWER(Registro!$F899)," ",""),CHAR(10),"|"),";","|"),"+","|"),"|",REPT(" ",LEN(Registro!$F899))),({1,2,3,4,5,6,7,8,9,10,11,12,13,14,15,16,17,18,19,20,21,22,23,24,25,26,27,28,29,30}-1)*LEN(Registro!$F899)+1,LEN(Registro!$F899))),FIND("x",TRIM(MID(SUBSTITUTE(SUBSTITUTE(SUBSTITUTE(SUBSTITUTE(SUBSTITUTE(LOWER(Registro!$F899)," ",""),CHAR(10),"|"),";","|"),"+","|"),"|",REPT(" ",LEN(Registro!$F899))),({1,2,3,4,5,6,7,8,9,10,11,12,13,14,15,16,17,18,19,20,21,22,23,24,25,26,27,28,29,30}-1)*LEN(Registro!$F899)+1,LEN(Registro!$F899)))&amp;"x")-1)),--("0"&amp;MID(TRIM(MID(SUBSTITUTE(SUBSTITUTE(SUBSTITUTE(SUBSTITUTE(SUBSTITUTE(LOWER(Registro!$F899)," ",""),CHAR(10),"|"),";","|"),"+","|"),"|",REPT(" ",LEN(Registro!$F899))),({1,2,3,4,5,6,7,8,9,10,11,12,13,14,15,16,17,18,19,20,21,22,23,24,25,26,27,28,29,30}-1)*LEN(Registro!$F899)+1,LEN(Registro!$F899))),FIND("x",TRIM(MID(SUBSTITUTE(SUBSTITUTE(SUBSTITUTE(SUBSTITUTE(SUBSTITUTE(LOWER(Registro!$F899)," ",""),CHAR(10),"|"),";","|"),"+","|"),"|",REPT(" ",LEN(Registro!$F899))),({1,2,3,4,5,6,7,8,9,10,11,12,13,14,15,16,17,18,19,20,21,22,23,24,25,26,27,28,29,30}-1)*LEN(Registro!$F899)+1,LEN(Registro!$F899)))&amp;"x")+1,20))),"Revisar formato")))</f>
        <v/>
      </c>
      <c r="H899" s="21" t="str">
        <f>IF(AND(Registro!$E899="",Registro!$F899=""),"",IF(NOT(AND(ISNUMBER(G899),ISNUMBER(Registro!$G899))),"",IF(G899&lt;Registro!$G899,"FALTA BOLETOS",IF(G899=Registro!$G899,"CONFORME","DIFERENCIA"))))</f>
        <v/>
      </c>
      <c r="I899" s="24" t="str">
        <f>IF(Registro!$H899="","",IFERROR(SUMPRODUCT(--("0"&amp;TRIM(RIGHT(SUBSTITUTE(TRIM(MID(SUBSTITUTE(SUBSTITUTE(Registro!$H899,";",CHAR(10)),CHAR(10),REPT(" ",LEN(Registro!$H899))),({1,2,3,4,5,6,7,8,9,10,11,12,13,14,15,16,17,18,19,20,21,22,23,24,25,26,27,28,29,30}-1)*LEN(Registro!$H899)+1,LEN(Registro!$H899)))," ",REPT(" ",50)),50)))),"Revisar formato"))</f>
        <v/>
      </c>
      <c r="J899" s="24" t="str">
        <f>IF(Registro!$I899="","",IFERROR(SUMPRODUCT(--("0"&amp;TRIM(RIGHT(SUBSTITUTE(TRIM(MID(SUBSTITUTE(SUBSTITUTE(Registro!$I899,";",CHAR(10)),CHAR(10),REPT(" ",LEN(Registro!$I899))),({1,2,3,4,5,6,7,8,9,10,11,12,13,14,15,16,17,18,19,20,21,22,23,24,25,26,27,28,29,30}-1)*LEN(Registro!$I899)+1,LEN(Registro!$I899)))," ",REPT(" ",50)),50)))),"Revisar formato"))</f>
        <v/>
      </c>
      <c r="K899" s="24" t="str">
        <f>IF(AND(Registro!$G899="",Registro!$H899=""),"",IF(AND(ISTEXT(I899),I899&lt;&gt;""),"Revisar formato",N(Registro!$G899)-N(I899)))</f>
        <v/>
      </c>
      <c r="L899" s="24" t="str">
        <f t="shared" si="29"/>
        <v/>
      </c>
      <c r="M899" s="36" t="str">
        <f>IF(AND(A899=Consulta!$B$3,C899=Consulta!$H$3),B899*10000+ROW(),"")</f>
        <v/>
      </c>
    </row>
    <row r="900" spans="1:13" x14ac:dyDescent="0.25">
      <c r="A900" s="21" t="str">
        <f>IF(Registro!$A900="","",Registro!$A900)</f>
        <v/>
      </c>
      <c r="B900" s="20" t="str">
        <f>IF(Registro!$B900="","",Registro!$B900)</f>
        <v/>
      </c>
      <c r="C900" s="35" t="str">
        <f t="shared" si="28"/>
        <v/>
      </c>
      <c r="D900" s="23" t="str">
        <f>IF(Registro!$E900="","",IF(ISERROR(FIND("x",LOWER(Registro!$E900))),"-",IFERROR(SUMPRODUCT(--("0"&amp;LEFT(TRIM(MID(SUBSTITUTE(SUBSTITUTE(SUBSTITUTE(SUBSTITUTE(SUBSTITUTE(LOWER(Registro!$E900),"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",LEN(Registro!$E900))),({1,2,3,4,5,6,7,8,9,10,11,12,13,14,15,16,17,18,19,20,21,22,23,24,25,26,27,28,29,30}-1)*LEN(Registro!$E900)+1,LEN(Registro!$E900))),FIND("x",TRIM(MID(SUBSTITUTE(SUBSTITUTE(SUBSTITUTE(SUBSTITUTE(SUBSTITUTE(LOWER(Registro!$E900),"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",LEN(Registro!$E900))),({1,2,3,4,5,6,7,8,9,10,11,12,13,14,15,16,17,18,19,20,21,22,23,24,25,26,27,28,29,30}-1)*LEN(Registro!$E900)+1,LEN(Registro!$E900)))&amp;"x")-1))),"Revisar formato")))</f>
        <v/>
      </c>
      <c r="E900" s="24" t="str">
        <f>IF(Registro!$E900="","",IF(ISERROR(FIND("x",LOWER(Registro!$E900))),"-",IFERROR(SUMPRODUCT(--("0"&amp;LEFT(TRIM(MID(SUBSTITUTE(SUBSTITUTE(SUBSTITUTE(SUBSTITUTE(SUBSTITUTE(LOWER(Registro!$E900),"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",LEN(Registro!$E900))),({1,2,3,4,5,6,7,8,9,10,11,12,13,14,15,16,17,18,19,20,21,22,23,24,25,26,27,28,29,30}-1)*LEN(Registro!$E900)+1,LEN(Registro!$E900))),FIND("x",TRIM(MID(SUBSTITUTE(SUBSTITUTE(SUBSTITUTE(SUBSTITUTE(SUBSTITUTE(LOWER(Registro!$E900),"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",LEN(Registro!$E900))),({1,2,3,4,5,6,7,8,9,10,11,12,13,14,15,16,17,18,19,20,21,22,23,24,25,26,27,28,29,30}-1)*LEN(Registro!$E900)+1,LEN(Registro!$E900)))&amp;"x")-1)),--("0"&amp;MID(TRIM(MID(SUBSTITUTE(SUBSTITUTE(SUBSTITUTE(SUBSTITUTE(SUBSTITUTE(LOWER(Registro!$E900),"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",LEN(Registro!$E900))),({1,2,3,4,5,6,7,8,9,10,11,12,13,14,15,16,17,18,19,20,21,22,23,24,25,26,27,28,29,30}-1)*LEN(Registro!$E900)+1,LEN(Registro!$E900))),FIND("x",TRIM(MID(SUBSTITUTE(SUBSTITUTE(SUBSTITUTE(SUBSTITUTE(SUBSTITUTE(LOWER(Registro!$E900),"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",LEN(Registro!$E900))),({1,2,3,4,5,6,7,8,9,10,11,12,13,14,15,16,17,18,19,20,21,22,23,24,25,26,27,28,29,30}-1)*LEN(Registro!$E900)+1,LEN(Registro!$E900)))&amp;"x")+1,20))),"Revisar formato")))</f>
        <v/>
      </c>
      <c r="F900" s="23" t="str">
        <f>IF(Registro!$F900="","",IF(ISERROR(FIND("x",LOWER(Registro!$F900))),"-",IFERROR(SUMPRODUCT(--("0"&amp;LEFT(TRIM(MID(SUBSTITUTE(SUBSTITUTE(SUBSTITUTE(SUBSTITUTE(SUBSTITUTE(LOWER(Registro!$F900)," ",""),CHAR(10),"|"),";","|"),"+","|"),"|",REPT(" ",LEN(Registro!$F900))),({1,2,3,4,5,6,7,8,9,10,11,12,13,14,15,16,17,18,19,20,21,22,23,24,25,26,27,28,29,30}-1)*LEN(Registro!$F900)+1,LEN(Registro!$F900))),FIND("x",TRIM(MID(SUBSTITUTE(SUBSTITUTE(SUBSTITUTE(SUBSTITUTE(SUBSTITUTE(LOWER(Registro!$F900)," ",""),CHAR(10),"|"),";","|"),"+","|"),"|",REPT(" ",LEN(Registro!$F900))),({1,2,3,4,5,6,7,8,9,10,11,12,13,14,15,16,17,18,19,20,21,22,23,24,25,26,27,28,29,30}-1)*LEN(Registro!$F900)+1,LEN(Registro!$F900)))&amp;"x")-1))),"Revisar formato")))</f>
        <v/>
      </c>
      <c r="G900" s="24" t="str">
        <f>IF(Registro!$F900="","",IF(ISERROR(FIND("x",LOWER(Registro!$F900))),N(Registro!$G900),IFERROR(SUMPRODUCT(--("0"&amp;LEFT(TRIM(MID(SUBSTITUTE(SUBSTITUTE(SUBSTITUTE(SUBSTITUTE(SUBSTITUTE(LOWER(Registro!$F900)," ",""),CHAR(10),"|"),";","|"),"+","|"),"|",REPT(" ",LEN(Registro!$F900))),({1,2,3,4,5,6,7,8,9,10,11,12,13,14,15,16,17,18,19,20,21,22,23,24,25,26,27,28,29,30}-1)*LEN(Registro!$F900)+1,LEN(Registro!$F900))),FIND("x",TRIM(MID(SUBSTITUTE(SUBSTITUTE(SUBSTITUTE(SUBSTITUTE(SUBSTITUTE(LOWER(Registro!$F900)," ",""),CHAR(10),"|"),";","|"),"+","|"),"|",REPT(" ",LEN(Registro!$F900))),({1,2,3,4,5,6,7,8,9,10,11,12,13,14,15,16,17,18,19,20,21,22,23,24,25,26,27,28,29,30}-1)*LEN(Registro!$F900)+1,LEN(Registro!$F900)))&amp;"x")-1)),--("0"&amp;MID(TRIM(MID(SUBSTITUTE(SUBSTITUTE(SUBSTITUTE(SUBSTITUTE(SUBSTITUTE(LOWER(Registro!$F900)," ",""),CHAR(10),"|"),";","|"),"+","|"),"|",REPT(" ",LEN(Registro!$F900))),({1,2,3,4,5,6,7,8,9,10,11,12,13,14,15,16,17,18,19,20,21,22,23,24,25,26,27,28,29,30}-1)*LEN(Registro!$F900)+1,LEN(Registro!$F900))),FIND("x",TRIM(MID(SUBSTITUTE(SUBSTITUTE(SUBSTITUTE(SUBSTITUTE(SUBSTITUTE(LOWER(Registro!$F900)," ",""),CHAR(10),"|"),";","|"),"+","|"),"|",REPT(" ",LEN(Registro!$F900))),({1,2,3,4,5,6,7,8,9,10,11,12,13,14,15,16,17,18,19,20,21,22,23,24,25,26,27,28,29,30}-1)*LEN(Registro!$F900)+1,LEN(Registro!$F900)))&amp;"x")+1,20))),"Revisar formato")))</f>
        <v/>
      </c>
      <c r="H900" s="21" t="str">
        <f>IF(AND(Registro!$E900="",Registro!$F900=""),"",IF(NOT(AND(ISNUMBER(G900),ISNUMBER(Registro!$G900))),"",IF(G900&lt;Registro!$G900,"FALTA BOLETOS",IF(G900=Registro!$G900,"CONFORME","DIFERENCIA"))))</f>
        <v/>
      </c>
      <c r="I900" s="24" t="str">
        <f>IF(Registro!$H900="","",IFERROR(SUMPRODUCT(--("0"&amp;TRIM(RIGHT(SUBSTITUTE(TRIM(MID(SUBSTITUTE(SUBSTITUTE(Registro!$H900,";",CHAR(10)),CHAR(10),REPT(" ",LEN(Registro!$H900))),({1,2,3,4,5,6,7,8,9,10,11,12,13,14,15,16,17,18,19,20,21,22,23,24,25,26,27,28,29,30}-1)*LEN(Registro!$H900)+1,LEN(Registro!$H900)))," ",REPT(" ",50)),50)))),"Revisar formato"))</f>
        <v/>
      </c>
      <c r="J900" s="24" t="str">
        <f>IF(Registro!$I900="","",IFERROR(SUMPRODUCT(--("0"&amp;TRIM(RIGHT(SUBSTITUTE(TRIM(MID(SUBSTITUTE(SUBSTITUTE(Registro!$I900,";",CHAR(10)),CHAR(10),REPT(" ",LEN(Registro!$I900))),({1,2,3,4,5,6,7,8,9,10,11,12,13,14,15,16,17,18,19,20,21,22,23,24,25,26,27,28,29,30}-1)*LEN(Registro!$I900)+1,LEN(Registro!$I900)))," ",REPT(" ",50)),50)))),"Revisar formato"))</f>
        <v/>
      </c>
      <c r="K900" s="24" t="str">
        <f>IF(AND(Registro!$G900="",Registro!$H900=""),"",IF(AND(ISTEXT(I900),I900&lt;&gt;""),"Revisar formato",N(Registro!$G900)-N(I900)))</f>
        <v/>
      </c>
      <c r="L900" s="24" t="str">
        <f t="shared" si="29"/>
        <v/>
      </c>
      <c r="M900" s="36" t="str">
        <f>IF(AND(A900=Consulta!$B$3,C900=Consulta!$H$3),B900*10000+ROW(),"")</f>
        <v/>
      </c>
    </row>
    <row r="901" spans="1:13" x14ac:dyDescent="0.25">
      <c r="A901" s="21" t="str">
        <f>IF(Registro!$A901="","",Registro!$A901)</f>
        <v/>
      </c>
      <c r="B901" s="20" t="str">
        <f>IF(Registro!$B901="","",Registro!$B901)</f>
        <v/>
      </c>
      <c r="C901" s="35" t="str">
        <f t="shared" si="28"/>
        <v/>
      </c>
      <c r="D901" s="23" t="str">
        <f>IF(Registro!$E901="","",IF(ISERROR(FIND("x",LOWER(Registro!$E901))),"-",IFERROR(SUMPRODUCT(--("0"&amp;LEFT(TRIM(MID(SUBSTITUTE(SUBSTITUTE(SUBSTITUTE(SUBSTITUTE(SUBSTITUTE(LOWER(Registro!$E901),"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",LEN(Registro!$E901))),({1,2,3,4,5,6,7,8,9,10,11,12,13,14,15,16,17,18,19,20,21,22,23,24,25,26,27,28,29,30}-1)*LEN(Registro!$E901)+1,LEN(Registro!$E901))),FIND("x",TRIM(MID(SUBSTITUTE(SUBSTITUTE(SUBSTITUTE(SUBSTITUTE(SUBSTITUTE(LOWER(Registro!$E901),"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",LEN(Registro!$E901))),({1,2,3,4,5,6,7,8,9,10,11,12,13,14,15,16,17,18,19,20,21,22,23,24,25,26,27,28,29,30}-1)*LEN(Registro!$E901)+1,LEN(Registro!$E901)))&amp;"x")-1))),"Revisar formato")))</f>
        <v/>
      </c>
      <c r="E901" s="24" t="str">
        <f>IF(Registro!$E901="","",IF(ISERROR(FIND("x",LOWER(Registro!$E901))),"-",IFERROR(SUMPRODUCT(--("0"&amp;LEFT(TRIM(MID(SUBSTITUTE(SUBSTITUTE(SUBSTITUTE(SUBSTITUTE(SUBSTITUTE(LOWER(Registro!$E901),"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",LEN(Registro!$E901))),({1,2,3,4,5,6,7,8,9,10,11,12,13,14,15,16,17,18,19,20,21,22,23,24,25,26,27,28,29,30}-1)*LEN(Registro!$E901)+1,LEN(Registro!$E901))),FIND("x",TRIM(MID(SUBSTITUTE(SUBSTITUTE(SUBSTITUTE(SUBSTITUTE(SUBSTITUTE(LOWER(Registro!$E901),"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",LEN(Registro!$E901))),({1,2,3,4,5,6,7,8,9,10,11,12,13,14,15,16,17,18,19,20,21,22,23,24,25,26,27,28,29,30}-1)*LEN(Registro!$E901)+1,LEN(Registro!$E901)))&amp;"x")-1)),--("0"&amp;MID(TRIM(MID(SUBSTITUTE(SUBSTITUTE(SUBSTITUTE(SUBSTITUTE(SUBSTITUTE(LOWER(Registro!$E901),"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",LEN(Registro!$E901))),({1,2,3,4,5,6,7,8,9,10,11,12,13,14,15,16,17,18,19,20,21,22,23,24,25,26,27,28,29,30}-1)*LEN(Registro!$E901)+1,LEN(Registro!$E901))),FIND("x",TRIM(MID(SUBSTITUTE(SUBSTITUTE(SUBSTITUTE(SUBSTITUTE(SUBSTITUTE(LOWER(Registro!$E901),"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",LEN(Registro!$E901))),({1,2,3,4,5,6,7,8,9,10,11,12,13,14,15,16,17,18,19,20,21,22,23,24,25,26,27,28,29,30}-1)*LEN(Registro!$E901)+1,LEN(Registro!$E901)))&amp;"x")+1,20))),"Revisar formato")))</f>
        <v/>
      </c>
      <c r="F901" s="23" t="str">
        <f>IF(Registro!$F901="","",IF(ISERROR(FIND("x",LOWER(Registro!$F901))),"-",IFERROR(SUMPRODUCT(--("0"&amp;LEFT(TRIM(MID(SUBSTITUTE(SUBSTITUTE(SUBSTITUTE(SUBSTITUTE(SUBSTITUTE(LOWER(Registro!$F901)," ",""),CHAR(10),"|"),";","|"),"+","|"),"|",REPT(" ",LEN(Registro!$F901))),({1,2,3,4,5,6,7,8,9,10,11,12,13,14,15,16,17,18,19,20,21,22,23,24,25,26,27,28,29,30}-1)*LEN(Registro!$F901)+1,LEN(Registro!$F901))),FIND("x",TRIM(MID(SUBSTITUTE(SUBSTITUTE(SUBSTITUTE(SUBSTITUTE(SUBSTITUTE(LOWER(Registro!$F901)," ",""),CHAR(10),"|"),";","|"),"+","|"),"|",REPT(" ",LEN(Registro!$F901))),({1,2,3,4,5,6,7,8,9,10,11,12,13,14,15,16,17,18,19,20,21,22,23,24,25,26,27,28,29,30}-1)*LEN(Registro!$F901)+1,LEN(Registro!$F901)))&amp;"x")-1))),"Revisar formato")))</f>
        <v/>
      </c>
      <c r="G901" s="24" t="str">
        <f>IF(Registro!$F901="","",IF(ISERROR(FIND("x",LOWER(Registro!$F901))),N(Registro!$G901),IFERROR(SUMPRODUCT(--("0"&amp;LEFT(TRIM(MID(SUBSTITUTE(SUBSTITUTE(SUBSTITUTE(SUBSTITUTE(SUBSTITUTE(LOWER(Registro!$F901)," ",""),CHAR(10),"|"),";","|"),"+","|"),"|",REPT(" ",LEN(Registro!$F901))),({1,2,3,4,5,6,7,8,9,10,11,12,13,14,15,16,17,18,19,20,21,22,23,24,25,26,27,28,29,30}-1)*LEN(Registro!$F901)+1,LEN(Registro!$F901))),FIND("x",TRIM(MID(SUBSTITUTE(SUBSTITUTE(SUBSTITUTE(SUBSTITUTE(SUBSTITUTE(LOWER(Registro!$F901)," ",""),CHAR(10),"|"),";","|"),"+","|"),"|",REPT(" ",LEN(Registro!$F901))),({1,2,3,4,5,6,7,8,9,10,11,12,13,14,15,16,17,18,19,20,21,22,23,24,25,26,27,28,29,30}-1)*LEN(Registro!$F901)+1,LEN(Registro!$F901)))&amp;"x")-1)),--("0"&amp;MID(TRIM(MID(SUBSTITUTE(SUBSTITUTE(SUBSTITUTE(SUBSTITUTE(SUBSTITUTE(LOWER(Registro!$F901)," ",""),CHAR(10),"|"),";","|"),"+","|"),"|",REPT(" ",LEN(Registro!$F901))),({1,2,3,4,5,6,7,8,9,10,11,12,13,14,15,16,17,18,19,20,21,22,23,24,25,26,27,28,29,30}-1)*LEN(Registro!$F901)+1,LEN(Registro!$F901))),FIND("x",TRIM(MID(SUBSTITUTE(SUBSTITUTE(SUBSTITUTE(SUBSTITUTE(SUBSTITUTE(LOWER(Registro!$F901)," ",""),CHAR(10),"|"),";","|"),"+","|"),"|",REPT(" ",LEN(Registro!$F901))),({1,2,3,4,5,6,7,8,9,10,11,12,13,14,15,16,17,18,19,20,21,22,23,24,25,26,27,28,29,30}-1)*LEN(Registro!$F901)+1,LEN(Registro!$F901)))&amp;"x")+1,20))),"Revisar formato")))</f>
        <v/>
      </c>
      <c r="H901" s="21" t="str">
        <f>IF(AND(Registro!$E901="",Registro!$F901=""),"",IF(NOT(AND(ISNUMBER(G901),ISNUMBER(Registro!$G901))),"",IF(G901&lt;Registro!$G901,"FALTA BOLETOS",IF(G901=Registro!$G901,"CONFORME","DIFERENCIA"))))</f>
        <v/>
      </c>
      <c r="I901" s="24" t="str">
        <f>IF(Registro!$H901="","",IFERROR(SUMPRODUCT(--("0"&amp;TRIM(RIGHT(SUBSTITUTE(TRIM(MID(SUBSTITUTE(SUBSTITUTE(Registro!$H901,";",CHAR(10)),CHAR(10),REPT(" ",LEN(Registro!$H901))),({1,2,3,4,5,6,7,8,9,10,11,12,13,14,15,16,17,18,19,20,21,22,23,24,25,26,27,28,29,30}-1)*LEN(Registro!$H901)+1,LEN(Registro!$H901)))," ",REPT(" ",50)),50)))),"Revisar formato"))</f>
        <v/>
      </c>
      <c r="J901" s="24" t="str">
        <f>IF(Registro!$I901="","",IFERROR(SUMPRODUCT(--("0"&amp;TRIM(RIGHT(SUBSTITUTE(TRIM(MID(SUBSTITUTE(SUBSTITUTE(Registro!$I901,";",CHAR(10)),CHAR(10),REPT(" ",LEN(Registro!$I901))),({1,2,3,4,5,6,7,8,9,10,11,12,13,14,15,16,17,18,19,20,21,22,23,24,25,26,27,28,29,30}-1)*LEN(Registro!$I901)+1,LEN(Registro!$I901)))," ",REPT(" ",50)),50)))),"Revisar formato"))</f>
        <v/>
      </c>
      <c r="K901" s="24" t="str">
        <f>IF(AND(Registro!$G901="",Registro!$H901=""),"",IF(AND(ISTEXT(I901),I901&lt;&gt;""),"Revisar formato",N(Registro!$G901)-N(I901)))</f>
        <v/>
      </c>
      <c r="L901" s="24" t="str">
        <f t="shared" si="29"/>
        <v/>
      </c>
      <c r="M901" s="36" t="str">
        <f>IF(AND(A901=Consulta!$B$3,C901=Consulta!$H$3),B901*10000+ROW(),"")</f>
        <v/>
      </c>
    </row>
    <row r="902" spans="1:13" x14ac:dyDescent="0.25">
      <c r="A902" s="21" t="str">
        <f>IF(Registro!$A902="","",Registro!$A902)</f>
        <v/>
      </c>
      <c r="B902" s="20" t="str">
        <f>IF(Registro!$B902="","",Registro!$B902)</f>
        <v/>
      </c>
      <c r="C902" s="35" t="str">
        <f t="shared" si="28"/>
        <v/>
      </c>
      <c r="D902" s="23" t="str">
        <f>IF(Registro!$E902="","",IF(ISERROR(FIND("x",LOWER(Registro!$E902))),"-",IFERROR(SUMPRODUCT(--("0"&amp;LEFT(TRIM(MID(SUBSTITUTE(SUBSTITUTE(SUBSTITUTE(SUBSTITUTE(SUBSTITUTE(LOWER(Registro!$E902),"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",LEN(Registro!$E902))),({1,2,3,4,5,6,7,8,9,10,11,12,13,14,15,16,17,18,19,20,21,22,23,24,25,26,27,28,29,30}-1)*LEN(Registro!$E902)+1,LEN(Registro!$E902))),FIND("x",TRIM(MID(SUBSTITUTE(SUBSTITUTE(SUBSTITUTE(SUBSTITUTE(SUBSTITUTE(LOWER(Registro!$E902),"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",LEN(Registro!$E902))),({1,2,3,4,5,6,7,8,9,10,11,12,13,14,15,16,17,18,19,20,21,22,23,24,25,26,27,28,29,30}-1)*LEN(Registro!$E902)+1,LEN(Registro!$E902)))&amp;"x")-1))),"Revisar formato")))</f>
        <v/>
      </c>
      <c r="E902" s="24" t="str">
        <f>IF(Registro!$E902="","",IF(ISERROR(FIND("x",LOWER(Registro!$E902))),"-",IFERROR(SUMPRODUCT(--("0"&amp;LEFT(TRIM(MID(SUBSTITUTE(SUBSTITUTE(SUBSTITUTE(SUBSTITUTE(SUBSTITUTE(LOWER(Registro!$E902),"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",LEN(Registro!$E902))),({1,2,3,4,5,6,7,8,9,10,11,12,13,14,15,16,17,18,19,20,21,22,23,24,25,26,27,28,29,30}-1)*LEN(Registro!$E902)+1,LEN(Registro!$E902))),FIND("x",TRIM(MID(SUBSTITUTE(SUBSTITUTE(SUBSTITUTE(SUBSTITUTE(SUBSTITUTE(LOWER(Registro!$E902),"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",LEN(Registro!$E902))),({1,2,3,4,5,6,7,8,9,10,11,12,13,14,15,16,17,18,19,20,21,22,23,24,25,26,27,28,29,30}-1)*LEN(Registro!$E902)+1,LEN(Registro!$E902)))&amp;"x")-1)),--("0"&amp;MID(TRIM(MID(SUBSTITUTE(SUBSTITUTE(SUBSTITUTE(SUBSTITUTE(SUBSTITUTE(LOWER(Registro!$E902),"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",LEN(Registro!$E902))),({1,2,3,4,5,6,7,8,9,10,11,12,13,14,15,16,17,18,19,20,21,22,23,24,25,26,27,28,29,30}-1)*LEN(Registro!$E902)+1,LEN(Registro!$E902))),FIND("x",TRIM(MID(SUBSTITUTE(SUBSTITUTE(SUBSTITUTE(SUBSTITUTE(SUBSTITUTE(LOWER(Registro!$E902),"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",LEN(Registro!$E902))),({1,2,3,4,5,6,7,8,9,10,11,12,13,14,15,16,17,18,19,20,21,22,23,24,25,26,27,28,29,30}-1)*LEN(Registro!$E902)+1,LEN(Registro!$E902)))&amp;"x")+1,20))),"Revisar formato")))</f>
        <v/>
      </c>
      <c r="F902" s="23" t="str">
        <f>IF(Registro!$F902="","",IF(ISERROR(FIND("x",LOWER(Registro!$F902))),"-",IFERROR(SUMPRODUCT(--("0"&amp;LEFT(TRIM(MID(SUBSTITUTE(SUBSTITUTE(SUBSTITUTE(SUBSTITUTE(SUBSTITUTE(LOWER(Registro!$F902)," ",""),CHAR(10),"|"),";","|"),"+","|"),"|",REPT(" ",LEN(Registro!$F902))),({1,2,3,4,5,6,7,8,9,10,11,12,13,14,15,16,17,18,19,20,21,22,23,24,25,26,27,28,29,30}-1)*LEN(Registro!$F902)+1,LEN(Registro!$F902))),FIND("x",TRIM(MID(SUBSTITUTE(SUBSTITUTE(SUBSTITUTE(SUBSTITUTE(SUBSTITUTE(LOWER(Registro!$F902)," ",""),CHAR(10),"|"),";","|"),"+","|"),"|",REPT(" ",LEN(Registro!$F902))),({1,2,3,4,5,6,7,8,9,10,11,12,13,14,15,16,17,18,19,20,21,22,23,24,25,26,27,28,29,30}-1)*LEN(Registro!$F902)+1,LEN(Registro!$F902)))&amp;"x")-1))),"Revisar formato")))</f>
        <v/>
      </c>
      <c r="G902" s="24" t="str">
        <f>IF(Registro!$F902="","",IF(ISERROR(FIND("x",LOWER(Registro!$F902))),N(Registro!$G902),IFERROR(SUMPRODUCT(--("0"&amp;LEFT(TRIM(MID(SUBSTITUTE(SUBSTITUTE(SUBSTITUTE(SUBSTITUTE(SUBSTITUTE(LOWER(Registro!$F902)," ",""),CHAR(10),"|"),";","|"),"+","|"),"|",REPT(" ",LEN(Registro!$F902))),({1,2,3,4,5,6,7,8,9,10,11,12,13,14,15,16,17,18,19,20,21,22,23,24,25,26,27,28,29,30}-1)*LEN(Registro!$F902)+1,LEN(Registro!$F902))),FIND("x",TRIM(MID(SUBSTITUTE(SUBSTITUTE(SUBSTITUTE(SUBSTITUTE(SUBSTITUTE(LOWER(Registro!$F902)," ",""),CHAR(10),"|"),";","|"),"+","|"),"|",REPT(" ",LEN(Registro!$F902))),({1,2,3,4,5,6,7,8,9,10,11,12,13,14,15,16,17,18,19,20,21,22,23,24,25,26,27,28,29,30}-1)*LEN(Registro!$F902)+1,LEN(Registro!$F902)))&amp;"x")-1)),--("0"&amp;MID(TRIM(MID(SUBSTITUTE(SUBSTITUTE(SUBSTITUTE(SUBSTITUTE(SUBSTITUTE(LOWER(Registro!$F902)," ",""),CHAR(10),"|"),";","|"),"+","|"),"|",REPT(" ",LEN(Registro!$F902))),({1,2,3,4,5,6,7,8,9,10,11,12,13,14,15,16,17,18,19,20,21,22,23,24,25,26,27,28,29,30}-1)*LEN(Registro!$F902)+1,LEN(Registro!$F902))),FIND("x",TRIM(MID(SUBSTITUTE(SUBSTITUTE(SUBSTITUTE(SUBSTITUTE(SUBSTITUTE(LOWER(Registro!$F902)," ",""),CHAR(10),"|"),";","|"),"+","|"),"|",REPT(" ",LEN(Registro!$F902))),({1,2,3,4,5,6,7,8,9,10,11,12,13,14,15,16,17,18,19,20,21,22,23,24,25,26,27,28,29,30}-1)*LEN(Registro!$F902)+1,LEN(Registro!$F902)))&amp;"x")+1,20))),"Revisar formato")))</f>
        <v/>
      </c>
      <c r="H902" s="21" t="str">
        <f>IF(AND(Registro!$E902="",Registro!$F902=""),"",IF(NOT(AND(ISNUMBER(G902),ISNUMBER(Registro!$G902))),"",IF(G902&lt;Registro!$G902,"FALTA BOLETOS",IF(G902=Registro!$G902,"CONFORME","DIFERENCIA"))))</f>
        <v/>
      </c>
      <c r="I902" s="24" t="str">
        <f>IF(Registro!$H902="","",IFERROR(SUMPRODUCT(--("0"&amp;TRIM(RIGHT(SUBSTITUTE(TRIM(MID(SUBSTITUTE(SUBSTITUTE(Registro!$H902,";",CHAR(10)),CHAR(10),REPT(" ",LEN(Registro!$H902))),({1,2,3,4,5,6,7,8,9,10,11,12,13,14,15,16,17,18,19,20,21,22,23,24,25,26,27,28,29,30}-1)*LEN(Registro!$H902)+1,LEN(Registro!$H902)))," ",REPT(" ",50)),50)))),"Revisar formato"))</f>
        <v/>
      </c>
      <c r="J902" s="24" t="str">
        <f>IF(Registro!$I902="","",IFERROR(SUMPRODUCT(--("0"&amp;TRIM(RIGHT(SUBSTITUTE(TRIM(MID(SUBSTITUTE(SUBSTITUTE(Registro!$I902,";",CHAR(10)),CHAR(10),REPT(" ",LEN(Registro!$I902))),({1,2,3,4,5,6,7,8,9,10,11,12,13,14,15,16,17,18,19,20,21,22,23,24,25,26,27,28,29,30}-1)*LEN(Registro!$I902)+1,LEN(Registro!$I902)))," ",REPT(" ",50)),50)))),"Revisar formato"))</f>
        <v/>
      </c>
      <c r="K902" s="24" t="str">
        <f>IF(AND(Registro!$G902="",Registro!$H902=""),"",IF(AND(ISTEXT(I902),I902&lt;&gt;""),"Revisar formato",N(Registro!$G902)-N(I902)))</f>
        <v/>
      </c>
      <c r="L902" s="24" t="str">
        <f t="shared" si="29"/>
        <v/>
      </c>
      <c r="M902" s="36" t="str">
        <f>IF(AND(A902=Consulta!$B$3,C902=Consulta!$H$3),B902*10000+ROW(),"")</f>
        <v/>
      </c>
    </row>
    <row r="903" spans="1:13" x14ac:dyDescent="0.25">
      <c r="A903" s="21" t="str">
        <f>IF(Registro!$A903="","",Registro!$A903)</f>
        <v/>
      </c>
      <c r="B903" s="20" t="str">
        <f>IF(Registro!$B903="","",Registro!$B903)</f>
        <v/>
      </c>
      <c r="C903" s="35" t="str">
        <f t="shared" si="28"/>
        <v/>
      </c>
      <c r="D903" s="23" t="str">
        <f>IF(Registro!$E903="","",IF(ISERROR(FIND("x",LOWER(Registro!$E903))),"-",IFERROR(SUMPRODUCT(--("0"&amp;LEFT(TRIM(MID(SUBSTITUTE(SUBSTITUTE(SUBSTITUTE(SUBSTITUTE(SUBSTITUTE(LOWER(Registro!$E903),"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",LEN(Registro!$E903))),({1,2,3,4,5,6,7,8,9,10,11,12,13,14,15,16,17,18,19,20,21,22,23,24,25,26,27,28,29,30}-1)*LEN(Registro!$E903)+1,LEN(Registro!$E903))),FIND("x",TRIM(MID(SUBSTITUTE(SUBSTITUTE(SUBSTITUTE(SUBSTITUTE(SUBSTITUTE(LOWER(Registro!$E903),"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",LEN(Registro!$E903))),({1,2,3,4,5,6,7,8,9,10,11,12,13,14,15,16,17,18,19,20,21,22,23,24,25,26,27,28,29,30}-1)*LEN(Registro!$E903)+1,LEN(Registro!$E903)))&amp;"x")-1))),"Revisar formato")))</f>
        <v/>
      </c>
      <c r="E903" s="24" t="str">
        <f>IF(Registro!$E903="","",IF(ISERROR(FIND("x",LOWER(Registro!$E903))),"-",IFERROR(SUMPRODUCT(--("0"&amp;LEFT(TRIM(MID(SUBSTITUTE(SUBSTITUTE(SUBSTITUTE(SUBSTITUTE(SUBSTITUTE(LOWER(Registro!$E903),"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",LEN(Registro!$E903))),({1,2,3,4,5,6,7,8,9,10,11,12,13,14,15,16,17,18,19,20,21,22,23,24,25,26,27,28,29,30}-1)*LEN(Registro!$E903)+1,LEN(Registro!$E903))),FIND("x",TRIM(MID(SUBSTITUTE(SUBSTITUTE(SUBSTITUTE(SUBSTITUTE(SUBSTITUTE(LOWER(Registro!$E903),"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",LEN(Registro!$E903))),({1,2,3,4,5,6,7,8,9,10,11,12,13,14,15,16,17,18,19,20,21,22,23,24,25,26,27,28,29,30}-1)*LEN(Registro!$E903)+1,LEN(Registro!$E903)))&amp;"x")-1)),--("0"&amp;MID(TRIM(MID(SUBSTITUTE(SUBSTITUTE(SUBSTITUTE(SUBSTITUTE(SUBSTITUTE(LOWER(Registro!$E903),"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",LEN(Registro!$E903))),({1,2,3,4,5,6,7,8,9,10,11,12,13,14,15,16,17,18,19,20,21,22,23,24,25,26,27,28,29,30}-1)*LEN(Registro!$E903)+1,LEN(Registro!$E903))),FIND("x",TRIM(MID(SUBSTITUTE(SUBSTITUTE(SUBSTITUTE(SUBSTITUTE(SUBSTITUTE(LOWER(Registro!$E903),"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",LEN(Registro!$E903))),({1,2,3,4,5,6,7,8,9,10,11,12,13,14,15,16,17,18,19,20,21,22,23,24,25,26,27,28,29,30}-1)*LEN(Registro!$E903)+1,LEN(Registro!$E903)))&amp;"x")+1,20))),"Revisar formato")))</f>
        <v/>
      </c>
      <c r="F903" s="23" t="str">
        <f>IF(Registro!$F903="","",IF(ISERROR(FIND("x",LOWER(Registro!$F903))),"-",IFERROR(SUMPRODUCT(--("0"&amp;LEFT(TRIM(MID(SUBSTITUTE(SUBSTITUTE(SUBSTITUTE(SUBSTITUTE(SUBSTITUTE(LOWER(Registro!$F903)," ",""),CHAR(10),"|"),";","|"),"+","|"),"|",REPT(" ",LEN(Registro!$F903))),({1,2,3,4,5,6,7,8,9,10,11,12,13,14,15,16,17,18,19,20,21,22,23,24,25,26,27,28,29,30}-1)*LEN(Registro!$F903)+1,LEN(Registro!$F903))),FIND("x",TRIM(MID(SUBSTITUTE(SUBSTITUTE(SUBSTITUTE(SUBSTITUTE(SUBSTITUTE(LOWER(Registro!$F903)," ",""),CHAR(10),"|"),";","|"),"+","|"),"|",REPT(" ",LEN(Registro!$F903))),({1,2,3,4,5,6,7,8,9,10,11,12,13,14,15,16,17,18,19,20,21,22,23,24,25,26,27,28,29,30}-1)*LEN(Registro!$F903)+1,LEN(Registro!$F903)))&amp;"x")-1))),"Revisar formato")))</f>
        <v/>
      </c>
      <c r="G903" s="24" t="str">
        <f>IF(Registro!$F903="","",IF(ISERROR(FIND("x",LOWER(Registro!$F903))),N(Registro!$G903),IFERROR(SUMPRODUCT(--("0"&amp;LEFT(TRIM(MID(SUBSTITUTE(SUBSTITUTE(SUBSTITUTE(SUBSTITUTE(SUBSTITUTE(LOWER(Registro!$F903)," ",""),CHAR(10),"|"),";","|"),"+","|"),"|",REPT(" ",LEN(Registro!$F903))),({1,2,3,4,5,6,7,8,9,10,11,12,13,14,15,16,17,18,19,20,21,22,23,24,25,26,27,28,29,30}-1)*LEN(Registro!$F903)+1,LEN(Registro!$F903))),FIND("x",TRIM(MID(SUBSTITUTE(SUBSTITUTE(SUBSTITUTE(SUBSTITUTE(SUBSTITUTE(LOWER(Registro!$F903)," ",""),CHAR(10),"|"),";","|"),"+","|"),"|",REPT(" ",LEN(Registro!$F903))),({1,2,3,4,5,6,7,8,9,10,11,12,13,14,15,16,17,18,19,20,21,22,23,24,25,26,27,28,29,30}-1)*LEN(Registro!$F903)+1,LEN(Registro!$F903)))&amp;"x")-1)),--("0"&amp;MID(TRIM(MID(SUBSTITUTE(SUBSTITUTE(SUBSTITUTE(SUBSTITUTE(SUBSTITUTE(LOWER(Registro!$F903)," ",""),CHAR(10),"|"),";","|"),"+","|"),"|",REPT(" ",LEN(Registro!$F903))),({1,2,3,4,5,6,7,8,9,10,11,12,13,14,15,16,17,18,19,20,21,22,23,24,25,26,27,28,29,30}-1)*LEN(Registro!$F903)+1,LEN(Registro!$F903))),FIND("x",TRIM(MID(SUBSTITUTE(SUBSTITUTE(SUBSTITUTE(SUBSTITUTE(SUBSTITUTE(LOWER(Registro!$F903)," ",""),CHAR(10),"|"),";","|"),"+","|"),"|",REPT(" ",LEN(Registro!$F903))),({1,2,3,4,5,6,7,8,9,10,11,12,13,14,15,16,17,18,19,20,21,22,23,24,25,26,27,28,29,30}-1)*LEN(Registro!$F903)+1,LEN(Registro!$F903)))&amp;"x")+1,20))),"Revisar formato")))</f>
        <v/>
      </c>
      <c r="H903" s="21" t="str">
        <f>IF(AND(Registro!$E903="",Registro!$F903=""),"",IF(NOT(AND(ISNUMBER(G903),ISNUMBER(Registro!$G903))),"",IF(G903&lt;Registro!$G903,"FALTA BOLETOS",IF(G903=Registro!$G903,"CONFORME","DIFERENCIA"))))</f>
        <v/>
      </c>
      <c r="I903" s="24" t="str">
        <f>IF(Registro!$H903="","",IFERROR(SUMPRODUCT(--("0"&amp;TRIM(RIGHT(SUBSTITUTE(TRIM(MID(SUBSTITUTE(SUBSTITUTE(Registro!$H903,";",CHAR(10)),CHAR(10),REPT(" ",LEN(Registro!$H903))),({1,2,3,4,5,6,7,8,9,10,11,12,13,14,15,16,17,18,19,20,21,22,23,24,25,26,27,28,29,30}-1)*LEN(Registro!$H903)+1,LEN(Registro!$H903)))," ",REPT(" ",50)),50)))),"Revisar formato"))</f>
        <v/>
      </c>
      <c r="J903" s="24" t="str">
        <f>IF(Registro!$I903="","",IFERROR(SUMPRODUCT(--("0"&amp;TRIM(RIGHT(SUBSTITUTE(TRIM(MID(SUBSTITUTE(SUBSTITUTE(Registro!$I903,";",CHAR(10)),CHAR(10),REPT(" ",LEN(Registro!$I903))),({1,2,3,4,5,6,7,8,9,10,11,12,13,14,15,16,17,18,19,20,21,22,23,24,25,26,27,28,29,30}-1)*LEN(Registro!$I903)+1,LEN(Registro!$I903)))," ",REPT(" ",50)),50)))),"Revisar formato"))</f>
        <v/>
      </c>
      <c r="K903" s="24" t="str">
        <f>IF(AND(Registro!$G903="",Registro!$H903=""),"",IF(AND(ISTEXT(I903),I903&lt;&gt;""),"Revisar formato",N(Registro!$G903)-N(I903)))</f>
        <v/>
      </c>
      <c r="L903" s="24" t="str">
        <f t="shared" si="29"/>
        <v/>
      </c>
      <c r="M903" s="36" t="str">
        <f>IF(AND(A903=Consulta!$B$3,C903=Consulta!$H$3),B903*10000+ROW(),"")</f>
        <v/>
      </c>
    </row>
    <row r="904" spans="1:13" x14ac:dyDescent="0.25">
      <c r="A904" s="21" t="str">
        <f>IF(Registro!$A904="","",Registro!$A904)</f>
        <v/>
      </c>
      <c r="B904" s="20" t="str">
        <f>IF(Registro!$B904="","",Registro!$B904)</f>
        <v/>
      </c>
      <c r="C904" s="35" t="str">
        <f t="shared" si="28"/>
        <v/>
      </c>
      <c r="D904" s="23" t="str">
        <f>IF(Registro!$E904="","",IF(ISERROR(FIND("x",LOWER(Registro!$E904))),"-",IFERROR(SUMPRODUCT(--("0"&amp;LEFT(TRIM(MID(SUBSTITUTE(SUBSTITUTE(SUBSTITUTE(SUBSTITUTE(SUBSTITUTE(LOWER(Registro!$E904),"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",LEN(Registro!$E904))),({1,2,3,4,5,6,7,8,9,10,11,12,13,14,15,16,17,18,19,20,21,22,23,24,25,26,27,28,29,30}-1)*LEN(Registro!$E904)+1,LEN(Registro!$E904))),FIND("x",TRIM(MID(SUBSTITUTE(SUBSTITUTE(SUBSTITUTE(SUBSTITUTE(SUBSTITUTE(LOWER(Registro!$E904),"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",LEN(Registro!$E904))),({1,2,3,4,5,6,7,8,9,10,11,12,13,14,15,16,17,18,19,20,21,22,23,24,25,26,27,28,29,30}-1)*LEN(Registro!$E904)+1,LEN(Registro!$E904)))&amp;"x")-1))),"Revisar formato")))</f>
        <v/>
      </c>
      <c r="E904" s="24" t="str">
        <f>IF(Registro!$E904="","",IF(ISERROR(FIND("x",LOWER(Registro!$E904))),"-",IFERROR(SUMPRODUCT(--("0"&amp;LEFT(TRIM(MID(SUBSTITUTE(SUBSTITUTE(SUBSTITUTE(SUBSTITUTE(SUBSTITUTE(LOWER(Registro!$E904),"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",LEN(Registro!$E904))),({1,2,3,4,5,6,7,8,9,10,11,12,13,14,15,16,17,18,19,20,21,22,23,24,25,26,27,28,29,30}-1)*LEN(Registro!$E904)+1,LEN(Registro!$E904))),FIND("x",TRIM(MID(SUBSTITUTE(SUBSTITUTE(SUBSTITUTE(SUBSTITUTE(SUBSTITUTE(LOWER(Registro!$E904),"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",LEN(Registro!$E904))),({1,2,3,4,5,6,7,8,9,10,11,12,13,14,15,16,17,18,19,20,21,22,23,24,25,26,27,28,29,30}-1)*LEN(Registro!$E904)+1,LEN(Registro!$E904)))&amp;"x")-1)),--("0"&amp;MID(TRIM(MID(SUBSTITUTE(SUBSTITUTE(SUBSTITUTE(SUBSTITUTE(SUBSTITUTE(LOWER(Registro!$E904),"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",LEN(Registro!$E904))),({1,2,3,4,5,6,7,8,9,10,11,12,13,14,15,16,17,18,19,20,21,22,23,24,25,26,27,28,29,30}-1)*LEN(Registro!$E904)+1,LEN(Registro!$E904))),FIND("x",TRIM(MID(SUBSTITUTE(SUBSTITUTE(SUBSTITUTE(SUBSTITUTE(SUBSTITUTE(LOWER(Registro!$E904),"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",LEN(Registro!$E904))),({1,2,3,4,5,6,7,8,9,10,11,12,13,14,15,16,17,18,19,20,21,22,23,24,25,26,27,28,29,30}-1)*LEN(Registro!$E904)+1,LEN(Registro!$E904)))&amp;"x")+1,20))),"Revisar formato")))</f>
        <v/>
      </c>
      <c r="F904" s="23" t="str">
        <f>IF(Registro!$F904="","",IF(ISERROR(FIND("x",LOWER(Registro!$F904))),"-",IFERROR(SUMPRODUCT(--("0"&amp;LEFT(TRIM(MID(SUBSTITUTE(SUBSTITUTE(SUBSTITUTE(SUBSTITUTE(SUBSTITUTE(LOWER(Registro!$F904)," ",""),CHAR(10),"|"),";","|"),"+","|"),"|",REPT(" ",LEN(Registro!$F904))),({1,2,3,4,5,6,7,8,9,10,11,12,13,14,15,16,17,18,19,20,21,22,23,24,25,26,27,28,29,30}-1)*LEN(Registro!$F904)+1,LEN(Registro!$F904))),FIND("x",TRIM(MID(SUBSTITUTE(SUBSTITUTE(SUBSTITUTE(SUBSTITUTE(SUBSTITUTE(LOWER(Registro!$F904)," ",""),CHAR(10),"|"),";","|"),"+","|"),"|",REPT(" ",LEN(Registro!$F904))),({1,2,3,4,5,6,7,8,9,10,11,12,13,14,15,16,17,18,19,20,21,22,23,24,25,26,27,28,29,30}-1)*LEN(Registro!$F904)+1,LEN(Registro!$F904)))&amp;"x")-1))),"Revisar formato")))</f>
        <v/>
      </c>
      <c r="G904" s="24" t="str">
        <f>IF(Registro!$F904="","",IF(ISERROR(FIND("x",LOWER(Registro!$F904))),N(Registro!$G904),IFERROR(SUMPRODUCT(--("0"&amp;LEFT(TRIM(MID(SUBSTITUTE(SUBSTITUTE(SUBSTITUTE(SUBSTITUTE(SUBSTITUTE(LOWER(Registro!$F904)," ",""),CHAR(10),"|"),";","|"),"+","|"),"|",REPT(" ",LEN(Registro!$F904))),({1,2,3,4,5,6,7,8,9,10,11,12,13,14,15,16,17,18,19,20,21,22,23,24,25,26,27,28,29,30}-1)*LEN(Registro!$F904)+1,LEN(Registro!$F904))),FIND("x",TRIM(MID(SUBSTITUTE(SUBSTITUTE(SUBSTITUTE(SUBSTITUTE(SUBSTITUTE(LOWER(Registro!$F904)," ",""),CHAR(10),"|"),";","|"),"+","|"),"|",REPT(" ",LEN(Registro!$F904))),({1,2,3,4,5,6,7,8,9,10,11,12,13,14,15,16,17,18,19,20,21,22,23,24,25,26,27,28,29,30}-1)*LEN(Registro!$F904)+1,LEN(Registro!$F904)))&amp;"x")-1)),--("0"&amp;MID(TRIM(MID(SUBSTITUTE(SUBSTITUTE(SUBSTITUTE(SUBSTITUTE(SUBSTITUTE(LOWER(Registro!$F904)," ",""),CHAR(10),"|"),";","|"),"+","|"),"|",REPT(" ",LEN(Registro!$F904))),({1,2,3,4,5,6,7,8,9,10,11,12,13,14,15,16,17,18,19,20,21,22,23,24,25,26,27,28,29,30}-1)*LEN(Registro!$F904)+1,LEN(Registro!$F904))),FIND("x",TRIM(MID(SUBSTITUTE(SUBSTITUTE(SUBSTITUTE(SUBSTITUTE(SUBSTITUTE(LOWER(Registro!$F904)," ",""),CHAR(10),"|"),";","|"),"+","|"),"|",REPT(" ",LEN(Registro!$F904))),({1,2,3,4,5,6,7,8,9,10,11,12,13,14,15,16,17,18,19,20,21,22,23,24,25,26,27,28,29,30}-1)*LEN(Registro!$F904)+1,LEN(Registro!$F904)))&amp;"x")+1,20))),"Revisar formato")))</f>
        <v/>
      </c>
      <c r="H904" s="21" t="str">
        <f>IF(AND(Registro!$E904="",Registro!$F904=""),"",IF(NOT(AND(ISNUMBER(G904),ISNUMBER(Registro!$G904))),"",IF(G904&lt;Registro!$G904,"FALTA BOLETOS",IF(G904=Registro!$G904,"CONFORME","DIFERENCIA"))))</f>
        <v/>
      </c>
      <c r="I904" s="24" t="str">
        <f>IF(Registro!$H904="","",IFERROR(SUMPRODUCT(--("0"&amp;TRIM(RIGHT(SUBSTITUTE(TRIM(MID(SUBSTITUTE(SUBSTITUTE(Registro!$H904,";",CHAR(10)),CHAR(10),REPT(" ",LEN(Registro!$H904))),({1,2,3,4,5,6,7,8,9,10,11,12,13,14,15,16,17,18,19,20,21,22,23,24,25,26,27,28,29,30}-1)*LEN(Registro!$H904)+1,LEN(Registro!$H904)))," ",REPT(" ",50)),50)))),"Revisar formato"))</f>
        <v/>
      </c>
      <c r="J904" s="24" t="str">
        <f>IF(Registro!$I904="","",IFERROR(SUMPRODUCT(--("0"&amp;TRIM(RIGHT(SUBSTITUTE(TRIM(MID(SUBSTITUTE(SUBSTITUTE(Registro!$I904,";",CHAR(10)),CHAR(10),REPT(" ",LEN(Registro!$I904))),({1,2,3,4,5,6,7,8,9,10,11,12,13,14,15,16,17,18,19,20,21,22,23,24,25,26,27,28,29,30}-1)*LEN(Registro!$I904)+1,LEN(Registro!$I904)))," ",REPT(" ",50)),50)))),"Revisar formato"))</f>
        <v/>
      </c>
      <c r="K904" s="24" t="str">
        <f>IF(AND(Registro!$G904="",Registro!$H904=""),"",IF(AND(ISTEXT(I904),I904&lt;&gt;""),"Revisar formato",N(Registro!$G904)-N(I904)))</f>
        <v/>
      </c>
      <c r="L904" s="24" t="str">
        <f t="shared" si="29"/>
        <v/>
      </c>
      <c r="M904" s="36" t="str">
        <f>IF(AND(A904=Consulta!$B$3,C904=Consulta!$H$3),B904*10000+ROW(),"")</f>
        <v/>
      </c>
    </row>
    <row r="905" spans="1:13" x14ac:dyDescent="0.25">
      <c r="A905" s="21" t="str">
        <f>IF(Registro!$A905="","",Registro!$A905)</f>
        <v/>
      </c>
      <c r="B905" s="20" t="str">
        <f>IF(Registro!$B905="","",Registro!$B905)</f>
        <v/>
      </c>
      <c r="C905" s="35" t="str">
        <f t="shared" si="28"/>
        <v/>
      </c>
      <c r="D905" s="23" t="str">
        <f>IF(Registro!$E905="","",IF(ISERROR(FIND("x",LOWER(Registro!$E905))),"-",IFERROR(SUMPRODUCT(--("0"&amp;LEFT(TRIM(MID(SUBSTITUTE(SUBSTITUTE(SUBSTITUTE(SUBSTITUTE(SUBSTITUTE(LOWER(Registro!$E905),"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",LEN(Registro!$E905))),({1,2,3,4,5,6,7,8,9,10,11,12,13,14,15,16,17,18,19,20,21,22,23,24,25,26,27,28,29,30}-1)*LEN(Registro!$E905)+1,LEN(Registro!$E905))),FIND("x",TRIM(MID(SUBSTITUTE(SUBSTITUTE(SUBSTITUTE(SUBSTITUTE(SUBSTITUTE(LOWER(Registro!$E905),"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",LEN(Registro!$E905))),({1,2,3,4,5,6,7,8,9,10,11,12,13,14,15,16,17,18,19,20,21,22,23,24,25,26,27,28,29,30}-1)*LEN(Registro!$E905)+1,LEN(Registro!$E905)))&amp;"x")-1))),"Revisar formato")))</f>
        <v/>
      </c>
      <c r="E905" s="24" t="str">
        <f>IF(Registro!$E905="","",IF(ISERROR(FIND("x",LOWER(Registro!$E905))),"-",IFERROR(SUMPRODUCT(--("0"&amp;LEFT(TRIM(MID(SUBSTITUTE(SUBSTITUTE(SUBSTITUTE(SUBSTITUTE(SUBSTITUTE(LOWER(Registro!$E905),"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",LEN(Registro!$E905))),({1,2,3,4,5,6,7,8,9,10,11,12,13,14,15,16,17,18,19,20,21,22,23,24,25,26,27,28,29,30}-1)*LEN(Registro!$E905)+1,LEN(Registro!$E905))),FIND("x",TRIM(MID(SUBSTITUTE(SUBSTITUTE(SUBSTITUTE(SUBSTITUTE(SUBSTITUTE(LOWER(Registro!$E905),"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",LEN(Registro!$E905))),({1,2,3,4,5,6,7,8,9,10,11,12,13,14,15,16,17,18,19,20,21,22,23,24,25,26,27,28,29,30}-1)*LEN(Registro!$E905)+1,LEN(Registro!$E905)))&amp;"x")-1)),--("0"&amp;MID(TRIM(MID(SUBSTITUTE(SUBSTITUTE(SUBSTITUTE(SUBSTITUTE(SUBSTITUTE(LOWER(Registro!$E905),"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",LEN(Registro!$E905))),({1,2,3,4,5,6,7,8,9,10,11,12,13,14,15,16,17,18,19,20,21,22,23,24,25,26,27,28,29,30}-1)*LEN(Registro!$E905)+1,LEN(Registro!$E905))),FIND("x",TRIM(MID(SUBSTITUTE(SUBSTITUTE(SUBSTITUTE(SUBSTITUTE(SUBSTITUTE(LOWER(Registro!$E905),"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",LEN(Registro!$E905))),({1,2,3,4,5,6,7,8,9,10,11,12,13,14,15,16,17,18,19,20,21,22,23,24,25,26,27,28,29,30}-1)*LEN(Registro!$E905)+1,LEN(Registro!$E905)))&amp;"x")+1,20))),"Revisar formato")))</f>
        <v/>
      </c>
      <c r="F905" s="23" t="str">
        <f>IF(Registro!$F905="","",IF(ISERROR(FIND("x",LOWER(Registro!$F905))),"-",IFERROR(SUMPRODUCT(--("0"&amp;LEFT(TRIM(MID(SUBSTITUTE(SUBSTITUTE(SUBSTITUTE(SUBSTITUTE(SUBSTITUTE(LOWER(Registro!$F905)," ",""),CHAR(10),"|"),";","|"),"+","|"),"|",REPT(" ",LEN(Registro!$F905))),({1,2,3,4,5,6,7,8,9,10,11,12,13,14,15,16,17,18,19,20,21,22,23,24,25,26,27,28,29,30}-1)*LEN(Registro!$F905)+1,LEN(Registro!$F905))),FIND("x",TRIM(MID(SUBSTITUTE(SUBSTITUTE(SUBSTITUTE(SUBSTITUTE(SUBSTITUTE(LOWER(Registro!$F905)," ",""),CHAR(10),"|"),";","|"),"+","|"),"|",REPT(" ",LEN(Registro!$F905))),({1,2,3,4,5,6,7,8,9,10,11,12,13,14,15,16,17,18,19,20,21,22,23,24,25,26,27,28,29,30}-1)*LEN(Registro!$F905)+1,LEN(Registro!$F905)))&amp;"x")-1))),"Revisar formato")))</f>
        <v/>
      </c>
      <c r="G905" s="24" t="str">
        <f>IF(Registro!$F905="","",IF(ISERROR(FIND("x",LOWER(Registro!$F905))),N(Registro!$G905),IFERROR(SUMPRODUCT(--("0"&amp;LEFT(TRIM(MID(SUBSTITUTE(SUBSTITUTE(SUBSTITUTE(SUBSTITUTE(SUBSTITUTE(LOWER(Registro!$F905)," ",""),CHAR(10),"|"),";","|"),"+","|"),"|",REPT(" ",LEN(Registro!$F905))),({1,2,3,4,5,6,7,8,9,10,11,12,13,14,15,16,17,18,19,20,21,22,23,24,25,26,27,28,29,30}-1)*LEN(Registro!$F905)+1,LEN(Registro!$F905))),FIND("x",TRIM(MID(SUBSTITUTE(SUBSTITUTE(SUBSTITUTE(SUBSTITUTE(SUBSTITUTE(LOWER(Registro!$F905)," ",""),CHAR(10),"|"),";","|"),"+","|"),"|",REPT(" ",LEN(Registro!$F905))),({1,2,3,4,5,6,7,8,9,10,11,12,13,14,15,16,17,18,19,20,21,22,23,24,25,26,27,28,29,30}-1)*LEN(Registro!$F905)+1,LEN(Registro!$F905)))&amp;"x")-1)),--("0"&amp;MID(TRIM(MID(SUBSTITUTE(SUBSTITUTE(SUBSTITUTE(SUBSTITUTE(SUBSTITUTE(LOWER(Registro!$F905)," ",""),CHAR(10),"|"),";","|"),"+","|"),"|",REPT(" ",LEN(Registro!$F905))),({1,2,3,4,5,6,7,8,9,10,11,12,13,14,15,16,17,18,19,20,21,22,23,24,25,26,27,28,29,30}-1)*LEN(Registro!$F905)+1,LEN(Registro!$F905))),FIND("x",TRIM(MID(SUBSTITUTE(SUBSTITUTE(SUBSTITUTE(SUBSTITUTE(SUBSTITUTE(LOWER(Registro!$F905)," ",""),CHAR(10),"|"),";","|"),"+","|"),"|",REPT(" ",LEN(Registro!$F905))),({1,2,3,4,5,6,7,8,9,10,11,12,13,14,15,16,17,18,19,20,21,22,23,24,25,26,27,28,29,30}-1)*LEN(Registro!$F905)+1,LEN(Registro!$F905)))&amp;"x")+1,20))),"Revisar formato")))</f>
        <v/>
      </c>
      <c r="H905" s="21" t="str">
        <f>IF(AND(Registro!$E905="",Registro!$F905=""),"",IF(NOT(AND(ISNUMBER(G905),ISNUMBER(Registro!$G905))),"",IF(G905&lt;Registro!$G905,"FALTA BOLETOS",IF(G905=Registro!$G905,"CONFORME","DIFERENCIA"))))</f>
        <v/>
      </c>
      <c r="I905" s="24" t="str">
        <f>IF(Registro!$H905="","",IFERROR(SUMPRODUCT(--("0"&amp;TRIM(RIGHT(SUBSTITUTE(TRIM(MID(SUBSTITUTE(SUBSTITUTE(Registro!$H905,";",CHAR(10)),CHAR(10),REPT(" ",LEN(Registro!$H905))),({1,2,3,4,5,6,7,8,9,10,11,12,13,14,15,16,17,18,19,20,21,22,23,24,25,26,27,28,29,30}-1)*LEN(Registro!$H905)+1,LEN(Registro!$H905)))," ",REPT(" ",50)),50)))),"Revisar formato"))</f>
        <v/>
      </c>
      <c r="J905" s="24" t="str">
        <f>IF(Registro!$I905="","",IFERROR(SUMPRODUCT(--("0"&amp;TRIM(RIGHT(SUBSTITUTE(TRIM(MID(SUBSTITUTE(SUBSTITUTE(Registro!$I905,";",CHAR(10)),CHAR(10),REPT(" ",LEN(Registro!$I905))),({1,2,3,4,5,6,7,8,9,10,11,12,13,14,15,16,17,18,19,20,21,22,23,24,25,26,27,28,29,30}-1)*LEN(Registro!$I905)+1,LEN(Registro!$I905)))," ",REPT(" ",50)),50)))),"Revisar formato"))</f>
        <v/>
      </c>
      <c r="K905" s="24" t="str">
        <f>IF(AND(Registro!$G905="",Registro!$H905=""),"",IF(AND(ISTEXT(I905),I905&lt;&gt;""),"Revisar formato",N(Registro!$G905)-N(I905)))</f>
        <v/>
      </c>
      <c r="L905" s="24" t="str">
        <f t="shared" si="29"/>
        <v/>
      </c>
      <c r="M905" s="36" t="str">
        <f>IF(AND(A905=Consulta!$B$3,C905=Consulta!$H$3),B905*10000+ROW(),"")</f>
        <v/>
      </c>
    </row>
    <row r="906" spans="1:13" x14ac:dyDescent="0.25">
      <c r="A906" s="21" t="str">
        <f>IF(Registro!$A906="","",Registro!$A906)</f>
        <v/>
      </c>
      <c r="B906" s="20" t="str">
        <f>IF(Registro!$B906="","",Registro!$B906)</f>
        <v/>
      </c>
      <c r="C906" s="35" t="str">
        <f t="shared" si="28"/>
        <v/>
      </c>
      <c r="D906" s="23" t="str">
        <f>IF(Registro!$E906="","",IF(ISERROR(FIND("x",LOWER(Registro!$E906))),"-",IFERROR(SUMPRODUCT(--("0"&amp;LEFT(TRIM(MID(SUBSTITUTE(SUBSTITUTE(SUBSTITUTE(SUBSTITUTE(SUBSTITUTE(LOWER(Registro!$E906),"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",LEN(Registro!$E906))),({1,2,3,4,5,6,7,8,9,10,11,12,13,14,15,16,17,18,19,20,21,22,23,24,25,26,27,28,29,30}-1)*LEN(Registro!$E906)+1,LEN(Registro!$E906))),FIND("x",TRIM(MID(SUBSTITUTE(SUBSTITUTE(SUBSTITUTE(SUBSTITUTE(SUBSTITUTE(LOWER(Registro!$E906),"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",LEN(Registro!$E906))),({1,2,3,4,5,6,7,8,9,10,11,12,13,14,15,16,17,18,19,20,21,22,23,24,25,26,27,28,29,30}-1)*LEN(Registro!$E906)+1,LEN(Registro!$E906)))&amp;"x")-1))),"Revisar formato")))</f>
        <v/>
      </c>
      <c r="E906" s="24" t="str">
        <f>IF(Registro!$E906="","",IF(ISERROR(FIND("x",LOWER(Registro!$E906))),"-",IFERROR(SUMPRODUCT(--("0"&amp;LEFT(TRIM(MID(SUBSTITUTE(SUBSTITUTE(SUBSTITUTE(SUBSTITUTE(SUBSTITUTE(LOWER(Registro!$E906),"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",LEN(Registro!$E906))),({1,2,3,4,5,6,7,8,9,10,11,12,13,14,15,16,17,18,19,20,21,22,23,24,25,26,27,28,29,30}-1)*LEN(Registro!$E906)+1,LEN(Registro!$E906))),FIND("x",TRIM(MID(SUBSTITUTE(SUBSTITUTE(SUBSTITUTE(SUBSTITUTE(SUBSTITUTE(LOWER(Registro!$E906),"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",LEN(Registro!$E906))),({1,2,3,4,5,6,7,8,9,10,11,12,13,14,15,16,17,18,19,20,21,22,23,24,25,26,27,28,29,30}-1)*LEN(Registro!$E906)+1,LEN(Registro!$E906)))&amp;"x")-1)),--("0"&amp;MID(TRIM(MID(SUBSTITUTE(SUBSTITUTE(SUBSTITUTE(SUBSTITUTE(SUBSTITUTE(LOWER(Registro!$E906),"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",LEN(Registro!$E906))),({1,2,3,4,5,6,7,8,9,10,11,12,13,14,15,16,17,18,19,20,21,22,23,24,25,26,27,28,29,30}-1)*LEN(Registro!$E906)+1,LEN(Registro!$E906))),FIND("x",TRIM(MID(SUBSTITUTE(SUBSTITUTE(SUBSTITUTE(SUBSTITUTE(SUBSTITUTE(LOWER(Registro!$E906),"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",LEN(Registro!$E906))),({1,2,3,4,5,6,7,8,9,10,11,12,13,14,15,16,17,18,19,20,21,22,23,24,25,26,27,28,29,30}-1)*LEN(Registro!$E906)+1,LEN(Registro!$E906)))&amp;"x")+1,20))),"Revisar formato")))</f>
        <v/>
      </c>
      <c r="F906" s="23" t="str">
        <f>IF(Registro!$F906="","",IF(ISERROR(FIND("x",LOWER(Registro!$F906))),"-",IFERROR(SUMPRODUCT(--("0"&amp;LEFT(TRIM(MID(SUBSTITUTE(SUBSTITUTE(SUBSTITUTE(SUBSTITUTE(SUBSTITUTE(LOWER(Registro!$F906)," ",""),CHAR(10),"|"),";","|"),"+","|"),"|",REPT(" ",LEN(Registro!$F906))),({1,2,3,4,5,6,7,8,9,10,11,12,13,14,15,16,17,18,19,20,21,22,23,24,25,26,27,28,29,30}-1)*LEN(Registro!$F906)+1,LEN(Registro!$F906))),FIND("x",TRIM(MID(SUBSTITUTE(SUBSTITUTE(SUBSTITUTE(SUBSTITUTE(SUBSTITUTE(LOWER(Registro!$F906)," ",""),CHAR(10),"|"),";","|"),"+","|"),"|",REPT(" ",LEN(Registro!$F906))),({1,2,3,4,5,6,7,8,9,10,11,12,13,14,15,16,17,18,19,20,21,22,23,24,25,26,27,28,29,30}-1)*LEN(Registro!$F906)+1,LEN(Registro!$F906)))&amp;"x")-1))),"Revisar formato")))</f>
        <v/>
      </c>
      <c r="G906" s="24" t="str">
        <f>IF(Registro!$F906="","",IF(ISERROR(FIND("x",LOWER(Registro!$F906))),N(Registro!$G906),IFERROR(SUMPRODUCT(--("0"&amp;LEFT(TRIM(MID(SUBSTITUTE(SUBSTITUTE(SUBSTITUTE(SUBSTITUTE(SUBSTITUTE(LOWER(Registro!$F906)," ",""),CHAR(10),"|"),";","|"),"+","|"),"|",REPT(" ",LEN(Registro!$F906))),({1,2,3,4,5,6,7,8,9,10,11,12,13,14,15,16,17,18,19,20,21,22,23,24,25,26,27,28,29,30}-1)*LEN(Registro!$F906)+1,LEN(Registro!$F906))),FIND("x",TRIM(MID(SUBSTITUTE(SUBSTITUTE(SUBSTITUTE(SUBSTITUTE(SUBSTITUTE(LOWER(Registro!$F906)," ",""),CHAR(10),"|"),";","|"),"+","|"),"|",REPT(" ",LEN(Registro!$F906))),({1,2,3,4,5,6,7,8,9,10,11,12,13,14,15,16,17,18,19,20,21,22,23,24,25,26,27,28,29,30}-1)*LEN(Registro!$F906)+1,LEN(Registro!$F906)))&amp;"x")-1)),--("0"&amp;MID(TRIM(MID(SUBSTITUTE(SUBSTITUTE(SUBSTITUTE(SUBSTITUTE(SUBSTITUTE(LOWER(Registro!$F906)," ",""),CHAR(10),"|"),";","|"),"+","|"),"|",REPT(" ",LEN(Registro!$F906))),({1,2,3,4,5,6,7,8,9,10,11,12,13,14,15,16,17,18,19,20,21,22,23,24,25,26,27,28,29,30}-1)*LEN(Registro!$F906)+1,LEN(Registro!$F906))),FIND("x",TRIM(MID(SUBSTITUTE(SUBSTITUTE(SUBSTITUTE(SUBSTITUTE(SUBSTITUTE(LOWER(Registro!$F906)," ",""),CHAR(10),"|"),";","|"),"+","|"),"|",REPT(" ",LEN(Registro!$F906))),({1,2,3,4,5,6,7,8,9,10,11,12,13,14,15,16,17,18,19,20,21,22,23,24,25,26,27,28,29,30}-1)*LEN(Registro!$F906)+1,LEN(Registro!$F906)))&amp;"x")+1,20))),"Revisar formato")))</f>
        <v/>
      </c>
      <c r="H906" s="21" t="str">
        <f>IF(AND(Registro!$E906="",Registro!$F906=""),"",IF(NOT(AND(ISNUMBER(G906),ISNUMBER(Registro!$G906))),"",IF(G906&lt;Registro!$G906,"FALTA BOLETOS",IF(G906=Registro!$G906,"CONFORME","DIFERENCIA"))))</f>
        <v/>
      </c>
      <c r="I906" s="24" t="str">
        <f>IF(Registro!$H906="","",IFERROR(SUMPRODUCT(--("0"&amp;TRIM(RIGHT(SUBSTITUTE(TRIM(MID(SUBSTITUTE(SUBSTITUTE(Registro!$H906,";",CHAR(10)),CHAR(10),REPT(" ",LEN(Registro!$H906))),({1,2,3,4,5,6,7,8,9,10,11,12,13,14,15,16,17,18,19,20,21,22,23,24,25,26,27,28,29,30}-1)*LEN(Registro!$H906)+1,LEN(Registro!$H906)))," ",REPT(" ",50)),50)))),"Revisar formato"))</f>
        <v/>
      </c>
      <c r="J906" s="24" t="str">
        <f>IF(Registro!$I906="","",IFERROR(SUMPRODUCT(--("0"&amp;TRIM(RIGHT(SUBSTITUTE(TRIM(MID(SUBSTITUTE(SUBSTITUTE(Registro!$I906,";",CHAR(10)),CHAR(10),REPT(" ",LEN(Registro!$I906))),({1,2,3,4,5,6,7,8,9,10,11,12,13,14,15,16,17,18,19,20,21,22,23,24,25,26,27,28,29,30}-1)*LEN(Registro!$I906)+1,LEN(Registro!$I906)))," ",REPT(" ",50)),50)))),"Revisar formato"))</f>
        <v/>
      </c>
      <c r="K906" s="24" t="str">
        <f>IF(AND(Registro!$G906="",Registro!$H906=""),"",IF(AND(ISTEXT(I906),I906&lt;&gt;""),"Revisar formato",N(Registro!$G906)-N(I906)))</f>
        <v/>
      </c>
      <c r="L906" s="24" t="str">
        <f t="shared" si="29"/>
        <v/>
      </c>
      <c r="M906" s="36" t="str">
        <f>IF(AND(A906=Consulta!$B$3,C906=Consulta!$H$3),B906*10000+ROW(),"")</f>
        <v/>
      </c>
    </row>
    <row r="907" spans="1:13" x14ac:dyDescent="0.25">
      <c r="A907" s="21" t="str">
        <f>IF(Registro!$A907="","",Registro!$A907)</f>
        <v/>
      </c>
      <c r="B907" s="20" t="str">
        <f>IF(Registro!$B907="","",Registro!$B907)</f>
        <v/>
      </c>
      <c r="C907" s="35" t="str">
        <f t="shared" si="28"/>
        <v/>
      </c>
      <c r="D907" s="23" t="str">
        <f>IF(Registro!$E907="","",IF(ISERROR(FIND("x",LOWER(Registro!$E907))),"-",IFERROR(SUMPRODUCT(--("0"&amp;LEFT(TRIM(MID(SUBSTITUTE(SUBSTITUTE(SUBSTITUTE(SUBSTITUTE(SUBSTITUTE(LOWER(Registro!$E907),"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",LEN(Registro!$E907))),({1,2,3,4,5,6,7,8,9,10,11,12,13,14,15,16,17,18,19,20,21,22,23,24,25,26,27,28,29,30}-1)*LEN(Registro!$E907)+1,LEN(Registro!$E907))),FIND("x",TRIM(MID(SUBSTITUTE(SUBSTITUTE(SUBSTITUTE(SUBSTITUTE(SUBSTITUTE(LOWER(Registro!$E907),"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",LEN(Registro!$E907))),({1,2,3,4,5,6,7,8,9,10,11,12,13,14,15,16,17,18,19,20,21,22,23,24,25,26,27,28,29,30}-1)*LEN(Registro!$E907)+1,LEN(Registro!$E907)))&amp;"x")-1))),"Revisar formato")))</f>
        <v/>
      </c>
      <c r="E907" s="24" t="str">
        <f>IF(Registro!$E907="","",IF(ISERROR(FIND("x",LOWER(Registro!$E907))),"-",IFERROR(SUMPRODUCT(--("0"&amp;LEFT(TRIM(MID(SUBSTITUTE(SUBSTITUTE(SUBSTITUTE(SUBSTITUTE(SUBSTITUTE(LOWER(Registro!$E907),"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",LEN(Registro!$E907))),({1,2,3,4,5,6,7,8,9,10,11,12,13,14,15,16,17,18,19,20,21,22,23,24,25,26,27,28,29,30}-1)*LEN(Registro!$E907)+1,LEN(Registro!$E907))),FIND("x",TRIM(MID(SUBSTITUTE(SUBSTITUTE(SUBSTITUTE(SUBSTITUTE(SUBSTITUTE(LOWER(Registro!$E907),"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",LEN(Registro!$E907))),({1,2,3,4,5,6,7,8,9,10,11,12,13,14,15,16,17,18,19,20,21,22,23,24,25,26,27,28,29,30}-1)*LEN(Registro!$E907)+1,LEN(Registro!$E907)))&amp;"x")-1)),--("0"&amp;MID(TRIM(MID(SUBSTITUTE(SUBSTITUTE(SUBSTITUTE(SUBSTITUTE(SUBSTITUTE(LOWER(Registro!$E907),"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",LEN(Registro!$E907))),({1,2,3,4,5,6,7,8,9,10,11,12,13,14,15,16,17,18,19,20,21,22,23,24,25,26,27,28,29,30}-1)*LEN(Registro!$E907)+1,LEN(Registro!$E907))),FIND("x",TRIM(MID(SUBSTITUTE(SUBSTITUTE(SUBSTITUTE(SUBSTITUTE(SUBSTITUTE(LOWER(Registro!$E907),"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",LEN(Registro!$E907))),({1,2,3,4,5,6,7,8,9,10,11,12,13,14,15,16,17,18,19,20,21,22,23,24,25,26,27,28,29,30}-1)*LEN(Registro!$E907)+1,LEN(Registro!$E907)))&amp;"x")+1,20))),"Revisar formato")))</f>
        <v/>
      </c>
      <c r="F907" s="23" t="str">
        <f>IF(Registro!$F907="","",IF(ISERROR(FIND("x",LOWER(Registro!$F907))),"-",IFERROR(SUMPRODUCT(--("0"&amp;LEFT(TRIM(MID(SUBSTITUTE(SUBSTITUTE(SUBSTITUTE(SUBSTITUTE(SUBSTITUTE(LOWER(Registro!$F907)," ",""),CHAR(10),"|"),";","|"),"+","|"),"|",REPT(" ",LEN(Registro!$F907))),({1,2,3,4,5,6,7,8,9,10,11,12,13,14,15,16,17,18,19,20,21,22,23,24,25,26,27,28,29,30}-1)*LEN(Registro!$F907)+1,LEN(Registro!$F907))),FIND("x",TRIM(MID(SUBSTITUTE(SUBSTITUTE(SUBSTITUTE(SUBSTITUTE(SUBSTITUTE(LOWER(Registro!$F907)," ",""),CHAR(10),"|"),";","|"),"+","|"),"|",REPT(" ",LEN(Registro!$F907))),({1,2,3,4,5,6,7,8,9,10,11,12,13,14,15,16,17,18,19,20,21,22,23,24,25,26,27,28,29,30}-1)*LEN(Registro!$F907)+1,LEN(Registro!$F907)))&amp;"x")-1))),"Revisar formato")))</f>
        <v/>
      </c>
      <c r="G907" s="24" t="str">
        <f>IF(Registro!$F907="","",IF(ISERROR(FIND("x",LOWER(Registro!$F907))),N(Registro!$G907),IFERROR(SUMPRODUCT(--("0"&amp;LEFT(TRIM(MID(SUBSTITUTE(SUBSTITUTE(SUBSTITUTE(SUBSTITUTE(SUBSTITUTE(LOWER(Registro!$F907)," ",""),CHAR(10),"|"),";","|"),"+","|"),"|",REPT(" ",LEN(Registro!$F907))),({1,2,3,4,5,6,7,8,9,10,11,12,13,14,15,16,17,18,19,20,21,22,23,24,25,26,27,28,29,30}-1)*LEN(Registro!$F907)+1,LEN(Registro!$F907))),FIND("x",TRIM(MID(SUBSTITUTE(SUBSTITUTE(SUBSTITUTE(SUBSTITUTE(SUBSTITUTE(LOWER(Registro!$F907)," ",""),CHAR(10),"|"),";","|"),"+","|"),"|",REPT(" ",LEN(Registro!$F907))),({1,2,3,4,5,6,7,8,9,10,11,12,13,14,15,16,17,18,19,20,21,22,23,24,25,26,27,28,29,30}-1)*LEN(Registro!$F907)+1,LEN(Registro!$F907)))&amp;"x")-1)),--("0"&amp;MID(TRIM(MID(SUBSTITUTE(SUBSTITUTE(SUBSTITUTE(SUBSTITUTE(SUBSTITUTE(LOWER(Registro!$F907)," ",""),CHAR(10),"|"),";","|"),"+","|"),"|",REPT(" ",LEN(Registro!$F907))),({1,2,3,4,5,6,7,8,9,10,11,12,13,14,15,16,17,18,19,20,21,22,23,24,25,26,27,28,29,30}-1)*LEN(Registro!$F907)+1,LEN(Registro!$F907))),FIND("x",TRIM(MID(SUBSTITUTE(SUBSTITUTE(SUBSTITUTE(SUBSTITUTE(SUBSTITUTE(LOWER(Registro!$F907)," ",""),CHAR(10),"|"),";","|"),"+","|"),"|",REPT(" ",LEN(Registro!$F907))),({1,2,3,4,5,6,7,8,9,10,11,12,13,14,15,16,17,18,19,20,21,22,23,24,25,26,27,28,29,30}-1)*LEN(Registro!$F907)+1,LEN(Registro!$F907)))&amp;"x")+1,20))),"Revisar formato")))</f>
        <v/>
      </c>
      <c r="H907" s="21" t="str">
        <f>IF(AND(Registro!$E907="",Registro!$F907=""),"",IF(NOT(AND(ISNUMBER(G907),ISNUMBER(Registro!$G907))),"",IF(G907&lt;Registro!$G907,"FALTA BOLETOS",IF(G907=Registro!$G907,"CONFORME","DIFERENCIA"))))</f>
        <v/>
      </c>
      <c r="I907" s="24" t="str">
        <f>IF(Registro!$H907="","",IFERROR(SUMPRODUCT(--("0"&amp;TRIM(RIGHT(SUBSTITUTE(TRIM(MID(SUBSTITUTE(SUBSTITUTE(Registro!$H907,";",CHAR(10)),CHAR(10),REPT(" ",LEN(Registro!$H907))),({1,2,3,4,5,6,7,8,9,10,11,12,13,14,15,16,17,18,19,20,21,22,23,24,25,26,27,28,29,30}-1)*LEN(Registro!$H907)+1,LEN(Registro!$H907)))," ",REPT(" ",50)),50)))),"Revisar formato"))</f>
        <v/>
      </c>
      <c r="J907" s="24" t="str">
        <f>IF(Registro!$I907="","",IFERROR(SUMPRODUCT(--("0"&amp;TRIM(RIGHT(SUBSTITUTE(TRIM(MID(SUBSTITUTE(SUBSTITUTE(Registro!$I907,";",CHAR(10)),CHAR(10),REPT(" ",LEN(Registro!$I907))),({1,2,3,4,5,6,7,8,9,10,11,12,13,14,15,16,17,18,19,20,21,22,23,24,25,26,27,28,29,30}-1)*LEN(Registro!$I907)+1,LEN(Registro!$I907)))," ",REPT(" ",50)),50)))),"Revisar formato"))</f>
        <v/>
      </c>
      <c r="K907" s="24" t="str">
        <f>IF(AND(Registro!$G907="",Registro!$H907=""),"",IF(AND(ISTEXT(I907),I907&lt;&gt;""),"Revisar formato",N(Registro!$G907)-N(I907)))</f>
        <v/>
      </c>
      <c r="L907" s="24" t="str">
        <f t="shared" si="29"/>
        <v/>
      </c>
      <c r="M907" s="36" t="str">
        <f>IF(AND(A907=Consulta!$B$3,C907=Consulta!$H$3),B907*10000+ROW(),"")</f>
        <v/>
      </c>
    </row>
    <row r="908" spans="1:13" x14ac:dyDescent="0.25">
      <c r="A908" s="21" t="str">
        <f>IF(Registro!$A908="","",Registro!$A908)</f>
        <v/>
      </c>
      <c r="B908" s="20" t="str">
        <f>IF(Registro!$B908="","",Registro!$B908)</f>
        <v/>
      </c>
      <c r="C908" s="35" t="str">
        <f t="shared" si="28"/>
        <v/>
      </c>
      <c r="D908" s="23" t="str">
        <f>IF(Registro!$E908="","",IF(ISERROR(FIND("x",LOWER(Registro!$E908))),"-",IFERROR(SUMPRODUCT(--("0"&amp;LEFT(TRIM(MID(SUBSTITUTE(SUBSTITUTE(SUBSTITUTE(SUBSTITUTE(SUBSTITUTE(LOWER(Registro!$E908),"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",LEN(Registro!$E908))),({1,2,3,4,5,6,7,8,9,10,11,12,13,14,15,16,17,18,19,20,21,22,23,24,25,26,27,28,29,30}-1)*LEN(Registro!$E908)+1,LEN(Registro!$E908))),FIND("x",TRIM(MID(SUBSTITUTE(SUBSTITUTE(SUBSTITUTE(SUBSTITUTE(SUBSTITUTE(LOWER(Registro!$E908),"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",LEN(Registro!$E908))),({1,2,3,4,5,6,7,8,9,10,11,12,13,14,15,16,17,18,19,20,21,22,23,24,25,26,27,28,29,30}-1)*LEN(Registro!$E908)+1,LEN(Registro!$E908)))&amp;"x")-1))),"Revisar formato")))</f>
        <v/>
      </c>
      <c r="E908" s="24" t="str">
        <f>IF(Registro!$E908="","",IF(ISERROR(FIND("x",LOWER(Registro!$E908))),"-",IFERROR(SUMPRODUCT(--("0"&amp;LEFT(TRIM(MID(SUBSTITUTE(SUBSTITUTE(SUBSTITUTE(SUBSTITUTE(SUBSTITUTE(LOWER(Registro!$E908),"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",LEN(Registro!$E908))),({1,2,3,4,5,6,7,8,9,10,11,12,13,14,15,16,17,18,19,20,21,22,23,24,25,26,27,28,29,30}-1)*LEN(Registro!$E908)+1,LEN(Registro!$E908))),FIND("x",TRIM(MID(SUBSTITUTE(SUBSTITUTE(SUBSTITUTE(SUBSTITUTE(SUBSTITUTE(LOWER(Registro!$E908),"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",LEN(Registro!$E908))),({1,2,3,4,5,6,7,8,9,10,11,12,13,14,15,16,17,18,19,20,21,22,23,24,25,26,27,28,29,30}-1)*LEN(Registro!$E908)+1,LEN(Registro!$E908)))&amp;"x")-1)),--("0"&amp;MID(TRIM(MID(SUBSTITUTE(SUBSTITUTE(SUBSTITUTE(SUBSTITUTE(SUBSTITUTE(LOWER(Registro!$E908),"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",LEN(Registro!$E908))),({1,2,3,4,5,6,7,8,9,10,11,12,13,14,15,16,17,18,19,20,21,22,23,24,25,26,27,28,29,30}-1)*LEN(Registro!$E908)+1,LEN(Registro!$E908))),FIND("x",TRIM(MID(SUBSTITUTE(SUBSTITUTE(SUBSTITUTE(SUBSTITUTE(SUBSTITUTE(LOWER(Registro!$E908),"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",LEN(Registro!$E908))),({1,2,3,4,5,6,7,8,9,10,11,12,13,14,15,16,17,18,19,20,21,22,23,24,25,26,27,28,29,30}-1)*LEN(Registro!$E908)+1,LEN(Registro!$E908)))&amp;"x")+1,20))),"Revisar formato")))</f>
        <v/>
      </c>
      <c r="F908" s="23" t="str">
        <f>IF(Registro!$F908="","",IF(ISERROR(FIND("x",LOWER(Registro!$F908))),"-",IFERROR(SUMPRODUCT(--("0"&amp;LEFT(TRIM(MID(SUBSTITUTE(SUBSTITUTE(SUBSTITUTE(SUBSTITUTE(SUBSTITUTE(LOWER(Registro!$F908)," ",""),CHAR(10),"|"),";","|"),"+","|"),"|",REPT(" ",LEN(Registro!$F908))),({1,2,3,4,5,6,7,8,9,10,11,12,13,14,15,16,17,18,19,20,21,22,23,24,25,26,27,28,29,30}-1)*LEN(Registro!$F908)+1,LEN(Registro!$F908))),FIND("x",TRIM(MID(SUBSTITUTE(SUBSTITUTE(SUBSTITUTE(SUBSTITUTE(SUBSTITUTE(LOWER(Registro!$F908)," ",""),CHAR(10),"|"),";","|"),"+","|"),"|",REPT(" ",LEN(Registro!$F908))),({1,2,3,4,5,6,7,8,9,10,11,12,13,14,15,16,17,18,19,20,21,22,23,24,25,26,27,28,29,30}-1)*LEN(Registro!$F908)+1,LEN(Registro!$F908)))&amp;"x")-1))),"Revisar formato")))</f>
        <v/>
      </c>
      <c r="G908" s="24" t="str">
        <f>IF(Registro!$F908="","",IF(ISERROR(FIND("x",LOWER(Registro!$F908))),N(Registro!$G908),IFERROR(SUMPRODUCT(--("0"&amp;LEFT(TRIM(MID(SUBSTITUTE(SUBSTITUTE(SUBSTITUTE(SUBSTITUTE(SUBSTITUTE(LOWER(Registro!$F908)," ",""),CHAR(10),"|"),";","|"),"+","|"),"|",REPT(" ",LEN(Registro!$F908))),({1,2,3,4,5,6,7,8,9,10,11,12,13,14,15,16,17,18,19,20,21,22,23,24,25,26,27,28,29,30}-1)*LEN(Registro!$F908)+1,LEN(Registro!$F908))),FIND("x",TRIM(MID(SUBSTITUTE(SUBSTITUTE(SUBSTITUTE(SUBSTITUTE(SUBSTITUTE(LOWER(Registro!$F908)," ",""),CHAR(10),"|"),";","|"),"+","|"),"|",REPT(" ",LEN(Registro!$F908))),({1,2,3,4,5,6,7,8,9,10,11,12,13,14,15,16,17,18,19,20,21,22,23,24,25,26,27,28,29,30}-1)*LEN(Registro!$F908)+1,LEN(Registro!$F908)))&amp;"x")-1)),--("0"&amp;MID(TRIM(MID(SUBSTITUTE(SUBSTITUTE(SUBSTITUTE(SUBSTITUTE(SUBSTITUTE(LOWER(Registro!$F908)," ",""),CHAR(10),"|"),";","|"),"+","|"),"|",REPT(" ",LEN(Registro!$F908))),({1,2,3,4,5,6,7,8,9,10,11,12,13,14,15,16,17,18,19,20,21,22,23,24,25,26,27,28,29,30}-1)*LEN(Registro!$F908)+1,LEN(Registro!$F908))),FIND("x",TRIM(MID(SUBSTITUTE(SUBSTITUTE(SUBSTITUTE(SUBSTITUTE(SUBSTITUTE(LOWER(Registro!$F908)," ",""),CHAR(10),"|"),";","|"),"+","|"),"|",REPT(" ",LEN(Registro!$F908))),({1,2,3,4,5,6,7,8,9,10,11,12,13,14,15,16,17,18,19,20,21,22,23,24,25,26,27,28,29,30}-1)*LEN(Registro!$F908)+1,LEN(Registro!$F908)))&amp;"x")+1,20))),"Revisar formato")))</f>
        <v/>
      </c>
      <c r="H908" s="21" t="str">
        <f>IF(AND(Registro!$E908="",Registro!$F908=""),"",IF(NOT(AND(ISNUMBER(G908),ISNUMBER(Registro!$G908))),"",IF(G908&lt;Registro!$G908,"FALTA BOLETOS",IF(G908=Registro!$G908,"CONFORME","DIFERENCIA"))))</f>
        <v/>
      </c>
      <c r="I908" s="24" t="str">
        <f>IF(Registro!$H908="","",IFERROR(SUMPRODUCT(--("0"&amp;TRIM(RIGHT(SUBSTITUTE(TRIM(MID(SUBSTITUTE(SUBSTITUTE(Registro!$H908,";",CHAR(10)),CHAR(10),REPT(" ",LEN(Registro!$H908))),({1,2,3,4,5,6,7,8,9,10,11,12,13,14,15,16,17,18,19,20,21,22,23,24,25,26,27,28,29,30}-1)*LEN(Registro!$H908)+1,LEN(Registro!$H908)))," ",REPT(" ",50)),50)))),"Revisar formato"))</f>
        <v/>
      </c>
      <c r="J908" s="24" t="str">
        <f>IF(Registro!$I908="","",IFERROR(SUMPRODUCT(--("0"&amp;TRIM(RIGHT(SUBSTITUTE(TRIM(MID(SUBSTITUTE(SUBSTITUTE(Registro!$I908,";",CHAR(10)),CHAR(10),REPT(" ",LEN(Registro!$I908))),({1,2,3,4,5,6,7,8,9,10,11,12,13,14,15,16,17,18,19,20,21,22,23,24,25,26,27,28,29,30}-1)*LEN(Registro!$I908)+1,LEN(Registro!$I908)))," ",REPT(" ",50)),50)))),"Revisar formato"))</f>
        <v/>
      </c>
      <c r="K908" s="24" t="str">
        <f>IF(AND(Registro!$G908="",Registro!$H908=""),"",IF(AND(ISTEXT(I908),I908&lt;&gt;""),"Revisar formato",N(Registro!$G908)-N(I908)))</f>
        <v/>
      </c>
      <c r="L908" s="24" t="str">
        <f t="shared" si="29"/>
        <v/>
      </c>
      <c r="M908" s="36" t="str">
        <f>IF(AND(A908=Consulta!$B$3,C908=Consulta!$H$3),B908*10000+ROW(),"")</f>
        <v/>
      </c>
    </row>
    <row r="909" spans="1:13" x14ac:dyDescent="0.25">
      <c r="A909" s="21" t="str">
        <f>IF(Registro!$A909="","",Registro!$A909)</f>
        <v/>
      </c>
      <c r="B909" s="20" t="str">
        <f>IF(Registro!$B909="","",Registro!$B909)</f>
        <v/>
      </c>
      <c r="C909" s="35" t="str">
        <f t="shared" si="28"/>
        <v/>
      </c>
      <c r="D909" s="23" t="str">
        <f>IF(Registro!$E909="","",IF(ISERROR(FIND("x",LOWER(Registro!$E909))),"-",IFERROR(SUMPRODUCT(--("0"&amp;LEFT(TRIM(MID(SUBSTITUTE(SUBSTITUTE(SUBSTITUTE(SUBSTITUTE(SUBSTITUTE(LOWER(Registro!$E909),"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",LEN(Registro!$E909))),({1,2,3,4,5,6,7,8,9,10,11,12,13,14,15,16,17,18,19,20,21,22,23,24,25,26,27,28,29,30}-1)*LEN(Registro!$E909)+1,LEN(Registro!$E909))),FIND("x",TRIM(MID(SUBSTITUTE(SUBSTITUTE(SUBSTITUTE(SUBSTITUTE(SUBSTITUTE(LOWER(Registro!$E909),"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",LEN(Registro!$E909))),({1,2,3,4,5,6,7,8,9,10,11,12,13,14,15,16,17,18,19,20,21,22,23,24,25,26,27,28,29,30}-1)*LEN(Registro!$E909)+1,LEN(Registro!$E909)))&amp;"x")-1))),"Revisar formato")))</f>
        <v/>
      </c>
      <c r="E909" s="24" t="str">
        <f>IF(Registro!$E909="","",IF(ISERROR(FIND("x",LOWER(Registro!$E909))),"-",IFERROR(SUMPRODUCT(--("0"&amp;LEFT(TRIM(MID(SUBSTITUTE(SUBSTITUTE(SUBSTITUTE(SUBSTITUTE(SUBSTITUTE(LOWER(Registro!$E909),"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",LEN(Registro!$E909))),({1,2,3,4,5,6,7,8,9,10,11,12,13,14,15,16,17,18,19,20,21,22,23,24,25,26,27,28,29,30}-1)*LEN(Registro!$E909)+1,LEN(Registro!$E909))),FIND("x",TRIM(MID(SUBSTITUTE(SUBSTITUTE(SUBSTITUTE(SUBSTITUTE(SUBSTITUTE(LOWER(Registro!$E909),"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",LEN(Registro!$E909))),({1,2,3,4,5,6,7,8,9,10,11,12,13,14,15,16,17,18,19,20,21,22,23,24,25,26,27,28,29,30}-1)*LEN(Registro!$E909)+1,LEN(Registro!$E909)))&amp;"x")-1)),--("0"&amp;MID(TRIM(MID(SUBSTITUTE(SUBSTITUTE(SUBSTITUTE(SUBSTITUTE(SUBSTITUTE(LOWER(Registro!$E909),"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",LEN(Registro!$E909))),({1,2,3,4,5,6,7,8,9,10,11,12,13,14,15,16,17,18,19,20,21,22,23,24,25,26,27,28,29,30}-1)*LEN(Registro!$E909)+1,LEN(Registro!$E909))),FIND("x",TRIM(MID(SUBSTITUTE(SUBSTITUTE(SUBSTITUTE(SUBSTITUTE(SUBSTITUTE(LOWER(Registro!$E909),"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",LEN(Registro!$E909))),({1,2,3,4,5,6,7,8,9,10,11,12,13,14,15,16,17,18,19,20,21,22,23,24,25,26,27,28,29,30}-1)*LEN(Registro!$E909)+1,LEN(Registro!$E909)))&amp;"x")+1,20))),"Revisar formato")))</f>
        <v/>
      </c>
      <c r="F909" s="23" t="str">
        <f>IF(Registro!$F909="","",IF(ISERROR(FIND("x",LOWER(Registro!$F909))),"-",IFERROR(SUMPRODUCT(--("0"&amp;LEFT(TRIM(MID(SUBSTITUTE(SUBSTITUTE(SUBSTITUTE(SUBSTITUTE(SUBSTITUTE(LOWER(Registro!$F909)," ",""),CHAR(10),"|"),";","|"),"+","|"),"|",REPT(" ",LEN(Registro!$F909))),({1,2,3,4,5,6,7,8,9,10,11,12,13,14,15,16,17,18,19,20,21,22,23,24,25,26,27,28,29,30}-1)*LEN(Registro!$F909)+1,LEN(Registro!$F909))),FIND("x",TRIM(MID(SUBSTITUTE(SUBSTITUTE(SUBSTITUTE(SUBSTITUTE(SUBSTITUTE(LOWER(Registro!$F909)," ",""),CHAR(10),"|"),";","|"),"+","|"),"|",REPT(" ",LEN(Registro!$F909))),({1,2,3,4,5,6,7,8,9,10,11,12,13,14,15,16,17,18,19,20,21,22,23,24,25,26,27,28,29,30}-1)*LEN(Registro!$F909)+1,LEN(Registro!$F909)))&amp;"x")-1))),"Revisar formato")))</f>
        <v/>
      </c>
      <c r="G909" s="24" t="str">
        <f>IF(Registro!$F909="","",IF(ISERROR(FIND("x",LOWER(Registro!$F909))),N(Registro!$G909),IFERROR(SUMPRODUCT(--("0"&amp;LEFT(TRIM(MID(SUBSTITUTE(SUBSTITUTE(SUBSTITUTE(SUBSTITUTE(SUBSTITUTE(LOWER(Registro!$F909)," ",""),CHAR(10),"|"),";","|"),"+","|"),"|",REPT(" ",LEN(Registro!$F909))),({1,2,3,4,5,6,7,8,9,10,11,12,13,14,15,16,17,18,19,20,21,22,23,24,25,26,27,28,29,30}-1)*LEN(Registro!$F909)+1,LEN(Registro!$F909))),FIND("x",TRIM(MID(SUBSTITUTE(SUBSTITUTE(SUBSTITUTE(SUBSTITUTE(SUBSTITUTE(LOWER(Registro!$F909)," ",""),CHAR(10),"|"),";","|"),"+","|"),"|",REPT(" ",LEN(Registro!$F909))),({1,2,3,4,5,6,7,8,9,10,11,12,13,14,15,16,17,18,19,20,21,22,23,24,25,26,27,28,29,30}-1)*LEN(Registro!$F909)+1,LEN(Registro!$F909)))&amp;"x")-1)),--("0"&amp;MID(TRIM(MID(SUBSTITUTE(SUBSTITUTE(SUBSTITUTE(SUBSTITUTE(SUBSTITUTE(LOWER(Registro!$F909)," ",""),CHAR(10),"|"),";","|"),"+","|"),"|",REPT(" ",LEN(Registro!$F909))),({1,2,3,4,5,6,7,8,9,10,11,12,13,14,15,16,17,18,19,20,21,22,23,24,25,26,27,28,29,30}-1)*LEN(Registro!$F909)+1,LEN(Registro!$F909))),FIND("x",TRIM(MID(SUBSTITUTE(SUBSTITUTE(SUBSTITUTE(SUBSTITUTE(SUBSTITUTE(LOWER(Registro!$F909)," ",""),CHAR(10),"|"),";","|"),"+","|"),"|",REPT(" ",LEN(Registro!$F909))),({1,2,3,4,5,6,7,8,9,10,11,12,13,14,15,16,17,18,19,20,21,22,23,24,25,26,27,28,29,30}-1)*LEN(Registro!$F909)+1,LEN(Registro!$F909)))&amp;"x")+1,20))),"Revisar formato")))</f>
        <v/>
      </c>
      <c r="H909" s="21" t="str">
        <f>IF(AND(Registro!$E909="",Registro!$F909=""),"",IF(NOT(AND(ISNUMBER(G909),ISNUMBER(Registro!$G909))),"",IF(G909&lt;Registro!$G909,"FALTA BOLETOS",IF(G909=Registro!$G909,"CONFORME","DIFERENCIA"))))</f>
        <v/>
      </c>
      <c r="I909" s="24" t="str">
        <f>IF(Registro!$H909="","",IFERROR(SUMPRODUCT(--("0"&amp;TRIM(RIGHT(SUBSTITUTE(TRIM(MID(SUBSTITUTE(SUBSTITUTE(Registro!$H909,";",CHAR(10)),CHAR(10),REPT(" ",LEN(Registro!$H909))),({1,2,3,4,5,6,7,8,9,10,11,12,13,14,15,16,17,18,19,20,21,22,23,24,25,26,27,28,29,30}-1)*LEN(Registro!$H909)+1,LEN(Registro!$H909)))," ",REPT(" ",50)),50)))),"Revisar formato"))</f>
        <v/>
      </c>
      <c r="J909" s="24" t="str">
        <f>IF(Registro!$I909="","",IFERROR(SUMPRODUCT(--("0"&amp;TRIM(RIGHT(SUBSTITUTE(TRIM(MID(SUBSTITUTE(SUBSTITUTE(Registro!$I909,";",CHAR(10)),CHAR(10),REPT(" ",LEN(Registro!$I909))),({1,2,3,4,5,6,7,8,9,10,11,12,13,14,15,16,17,18,19,20,21,22,23,24,25,26,27,28,29,30}-1)*LEN(Registro!$I909)+1,LEN(Registro!$I909)))," ",REPT(" ",50)),50)))),"Revisar formato"))</f>
        <v/>
      </c>
      <c r="K909" s="24" t="str">
        <f>IF(AND(Registro!$G909="",Registro!$H909=""),"",IF(AND(ISTEXT(I909),I909&lt;&gt;""),"Revisar formato",N(Registro!$G909)-N(I909)))</f>
        <v/>
      </c>
      <c r="L909" s="24" t="str">
        <f t="shared" si="29"/>
        <v/>
      </c>
      <c r="M909" s="36" t="str">
        <f>IF(AND(A909=Consulta!$B$3,C909=Consulta!$H$3),B909*10000+ROW(),"")</f>
        <v/>
      </c>
    </row>
    <row r="910" spans="1:13" x14ac:dyDescent="0.25">
      <c r="A910" s="21" t="str">
        <f>IF(Registro!$A910="","",Registro!$A910)</f>
        <v/>
      </c>
      <c r="B910" s="20" t="str">
        <f>IF(Registro!$B910="","",Registro!$B910)</f>
        <v/>
      </c>
      <c r="C910" s="35" t="str">
        <f t="shared" si="28"/>
        <v/>
      </c>
      <c r="D910" s="23" t="str">
        <f>IF(Registro!$E910="","",IF(ISERROR(FIND("x",LOWER(Registro!$E910))),"-",IFERROR(SUMPRODUCT(--("0"&amp;LEFT(TRIM(MID(SUBSTITUTE(SUBSTITUTE(SUBSTITUTE(SUBSTITUTE(SUBSTITUTE(LOWER(Registro!$E910),"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",LEN(Registro!$E910))),({1,2,3,4,5,6,7,8,9,10,11,12,13,14,15,16,17,18,19,20,21,22,23,24,25,26,27,28,29,30}-1)*LEN(Registro!$E910)+1,LEN(Registro!$E910))),FIND("x",TRIM(MID(SUBSTITUTE(SUBSTITUTE(SUBSTITUTE(SUBSTITUTE(SUBSTITUTE(LOWER(Registro!$E910),"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",LEN(Registro!$E910))),({1,2,3,4,5,6,7,8,9,10,11,12,13,14,15,16,17,18,19,20,21,22,23,24,25,26,27,28,29,30}-1)*LEN(Registro!$E910)+1,LEN(Registro!$E910)))&amp;"x")-1))),"Revisar formato")))</f>
        <v/>
      </c>
      <c r="E910" s="24" t="str">
        <f>IF(Registro!$E910="","",IF(ISERROR(FIND("x",LOWER(Registro!$E910))),"-",IFERROR(SUMPRODUCT(--("0"&amp;LEFT(TRIM(MID(SUBSTITUTE(SUBSTITUTE(SUBSTITUTE(SUBSTITUTE(SUBSTITUTE(LOWER(Registro!$E910),"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",LEN(Registro!$E910))),({1,2,3,4,5,6,7,8,9,10,11,12,13,14,15,16,17,18,19,20,21,22,23,24,25,26,27,28,29,30}-1)*LEN(Registro!$E910)+1,LEN(Registro!$E910))),FIND("x",TRIM(MID(SUBSTITUTE(SUBSTITUTE(SUBSTITUTE(SUBSTITUTE(SUBSTITUTE(LOWER(Registro!$E910),"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",LEN(Registro!$E910))),({1,2,3,4,5,6,7,8,9,10,11,12,13,14,15,16,17,18,19,20,21,22,23,24,25,26,27,28,29,30}-1)*LEN(Registro!$E910)+1,LEN(Registro!$E910)))&amp;"x")-1)),--("0"&amp;MID(TRIM(MID(SUBSTITUTE(SUBSTITUTE(SUBSTITUTE(SUBSTITUTE(SUBSTITUTE(LOWER(Registro!$E910),"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",LEN(Registro!$E910))),({1,2,3,4,5,6,7,8,9,10,11,12,13,14,15,16,17,18,19,20,21,22,23,24,25,26,27,28,29,30}-1)*LEN(Registro!$E910)+1,LEN(Registro!$E910))),FIND("x",TRIM(MID(SUBSTITUTE(SUBSTITUTE(SUBSTITUTE(SUBSTITUTE(SUBSTITUTE(LOWER(Registro!$E910),"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",LEN(Registro!$E910))),({1,2,3,4,5,6,7,8,9,10,11,12,13,14,15,16,17,18,19,20,21,22,23,24,25,26,27,28,29,30}-1)*LEN(Registro!$E910)+1,LEN(Registro!$E910)))&amp;"x")+1,20))),"Revisar formato")))</f>
        <v/>
      </c>
      <c r="F910" s="23" t="str">
        <f>IF(Registro!$F910="","",IF(ISERROR(FIND("x",LOWER(Registro!$F910))),"-",IFERROR(SUMPRODUCT(--("0"&amp;LEFT(TRIM(MID(SUBSTITUTE(SUBSTITUTE(SUBSTITUTE(SUBSTITUTE(SUBSTITUTE(LOWER(Registro!$F910)," ",""),CHAR(10),"|"),";","|"),"+","|"),"|",REPT(" ",LEN(Registro!$F910))),({1,2,3,4,5,6,7,8,9,10,11,12,13,14,15,16,17,18,19,20,21,22,23,24,25,26,27,28,29,30}-1)*LEN(Registro!$F910)+1,LEN(Registro!$F910))),FIND("x",TRIM(MID(SUBSTITUTE(SUBSTITUTE(SUBSTITUTE(SUBSTITUTE(SUBSTITUTE(LOWER(Registro!$F910)," ",""),CHAR(10),"|"),";","|"),"+","|"),"|",REPT(" ",LEN(Registro!$F910))),({1,2,3,4,5,6,7,8,9,10,11,12,13,14,15,16,17,18,19,20,21,22,23,24,25,26,27,28,29,30}-1)*LEN(Registro!$F910)+1,LEN(Registro!$F910)))&amp;"x")-1))),"Revisar formato")))</f>
        <v/>
      </c>
      <c r="G910" s="24" t="str">
        <f>IF(Registro!$F910="","",IF(ISERROR(FIND("x",LOWER(Registro!$F910))),N(Registro!$G910),IFERROR(SUMPRODUCT(--("0"&amp;LEFT(TRIM(MID(SUBSTITUTE(SUBSTITUTE(SUBSTITUTE(SUBSTITUTE(SUBSTITUTE(LOWER(Registro!$F910)," ",""),CHAR(10),"|"),";","|"),"+","|"),"|",REPT(" ",LEN(Registro!$F910))),({1,2,3,4,5,6,7,8,9,10,11,12,13,14,15,16,17,18,19,20,21,22,23,24,25,26,27,28,29,30}-1)*LEN(Registro!$F910)+1,LEN(Registro!$F910))),FIND("x",TRIM(MID(SUBSTITUTE(SUBSTITUTE(SUBSTITUTE(SUBSTITUTE(SUBSTITUTE(LOWER(Registro!$F910)," ",""),CHAR(10),"|"),";","|"),"+","|"),"|",REPT(" ",LEN(Registro!$F910))),({1,2,3,4,5,6,7,8,9,10,11,12,13,14,15,16,17,18,19,20,21,22,23,24,25,26,27,28,29,30}-1)*LEN(Registro!$F910)+1,LEN(Registro!$F910)))&amp;"x")-1)),--("0"&amp;MID(TRIM(MID(SUBSTITUTE(SUBSTITUTE(SUBSTITUTE(SUBSTITUTE(SUBSTITUTE(LOWER(Registro!$F910)," ",""),CHAR(10),"|"),";","|"),"+","|"),"|",REPT(" ",LEN(Registro!$F910))),({1,2,3,4,5,6,7,8,9,10,11,12,13,14,15,16,17,18,19,20,21,22,23,24,25,26,27,28,29,30}-1)*LEN(Registro!$F910)+1,LEN(Registro!$F910))),FIND("x",TRIM(MID(SUBSTITUTE(SUBSTITUTE(SUBSTITUTE(SUBSTITUTE(SUBSTITUTE(LOWER(Registro!$F910)," ",""),CHAR(10),"|"),";","|"),"+","|"),"|",REPT(" ",LEN(Registro!$F910))),({1,2,3,4,5,6,7,8,9,10,11,12,13,14,15,16,17,18,19,20,21,22,23,24,25,26,27,28,29,30}-1)*LEN(Registro!$F910)+1,LEN(Registro!$F910)))&amp;"x")+1,20))),"Revisar formato")))</f>
        <v/>
      </c>
      <c r="H910" s="21" t="str">
        <f>IF(AND(Registro!$E910="",Registro!$F910=""),"",IF(NOT(AND(ISNUMBER(G910),ISNUMBER(Registro!$G910))),"",IF(G910&lt;Registro!$G910,"FALTA BOLETOS",IF(G910=Registro!$G910,"CONFORME","DIFERENCIA"))))</f>
        <v/>
      </c>
      <c r="I910" s="24" t="str">
        <f>IF(Registro!$H910="","",IFERROR(SUMPRODUCT(--("0"&amp;TRIM(RIGHT(SUBSTITUTE(TRIM(MID(SUBSTITUTE(SUBSTITUTE(Registro!$H910,";",CHAR(10)),CHAR(10),REPT(" ",LEN(Registro!$H910))),({1,2,3,4,5,6,7,8,9,10,11,12,13,14,15,16,17,18,19,20,21,22,23,24,25,26,27,28,29,30}-1)*LEN(Registro!$H910)+1,LEN(Registro!$H910)))," ",REPT(" ",50)),50)))),"Revisar formato"))</f>
        <v/>
      </c>
      <c r="J910" s="24" t="str">
        <f>IF(Registro!$I910="","",IFERROR(SUMPRODUCT(--("0"&amp;TRIM(RIGHT(SUBSTITUTE(TRIM(MID(SUBSTITUTE(SUBSTITUTE(Registro!$I910,";",CHAR(10)),CHAR(10),REPT(" ",LEN(Registro!$I910))),({1,2,3,4,5,6,7,8,9,10,11,12,13,14,15,16,17,18,19,20,21,22,23,24,25,26,27,28,29,30}-1)*LEN(Registro!$I910)+1,LEN(Registro!$I910)))," ",REPT(" ",50)),50)))),"Revisar formato"))</f>
        <v/>
      </c>
      <c r="K910" s="24" t="str">
        <f>IF(AND(Registro!$G910="",Registro!$H910=""),"",IF(AND(ISTEXT(I910),I910&lt;&gt;""),"Revisar formato",N(Registro!$G910)-N(I910)))</f>
        <v/>
      </c>
      <c r="L910" s="24" t="str">
        <f t="shared" si="29"/>
        <v/>
      </c>
      <c r="M910" s="36" t="str">
        <f>IF(AND(A910=Consulta!$B$3,C910=Consulta!$H$3),B910*10000+ROW(),"")</f>
        <v/>
      </c>
    </row>
    <row r="911" spans="1:13" x14ac:dyDescent="0.25">
      <c r="A911" s="21" t="str">
        <f>IF(Registro!$A911="","",Registro!$A911)</f>
        <v/>
      </c>
      <c r="B911" s="20" t="str">
        <f>IF(Registro!$B911="","",Registro!$B911)</f>
        <v/>
      </c>
      <c r="C911" s="35" t="str">
        <f t="shared" si="28"/>
        <v/>
      </c>
      <c r="D911" s="23" t="str">
        <f>IF(Registro!$E911="","",IF(ISERROR(FIND("x",LOWER(Registro!$E911))),"-",IFERROR(SUMPRODUCT(--("0"&amp;LEFT(TRIM(MID(SUBSTITUTE(SUBSTITUTE(SUBSTITUTE(SUBSTITUTE(SUBSTITUTE(LOWER(Registro!$E911),"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",LEN(Registro!$E911))),({1,2,3,4,5,6,7,8,9,10,11,12,13,14,15,16,17,18,19,20,21,22,23,24,25,26,27,28,29,30}-1)*LEN(Registro!$E911)+1,LEN(Registro!$E911))),FIND("x",TRIM(MID(SUBSTITUTE(SUBSTITUTE(SUBSTITUTE(SUBSTITUTE(SUBSTITUTE(LOWER(Registro!$E911),"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",LEN(Registro!$E911))),({1,2,3,4,5,6,7,8,9,10,11,12,13,14,15,16,17,18,19,20,21,22,23,24,25,26,27,28,29,30}-1)*LEN(Registro!$E911)+1,LEN(Registro!$E911)))&amp;"x")-1))),"Revisar formato")))</f>
        <v/>
      </c>
      <c r="E911" s="24" t="str">
        <f>IF(Registro!$E911="","",IF(ISERROR(FIND("x",LOWER(Registro!$E911))),"-",IFERROR(SUMPRODUCT(--("0"&amp;LEFT(TRIM(MID(SUBSTITUTE(SUBSTITUTE(SUBSTITUTE(SUBSTITUTE(SUBSTITUTE(LOWER(Registro!$E911),"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",LEN(Registro!$E911))),({1,2,3,4,5,6,7,8,9,10,11,12,13,14,15,16,17,18,19,20,21,22,23,24,25,26,27,28,29,30}-1)*LEN(Registro!$E911)+1,LEN(Registro!$E911))),FIND("x",TRIM(MID(SUBSTITUTE(SUBSTITUTE(SUBSTITUTE(SUBSTITUTE(SUBSTITUTE(LOWER(Registro!$E911),"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",LEN(Registro!$E911))),({1,2,3,4,5,6,7,8,9,10,11,12,13,14,15,16,17,18,19,20,21,22,23,24,25,26,27,28,29,30}-1)*LEN(Registro!$E911)+1,LEN(Registro!$E911)))&amp;"x")-1)),--("0"&amp;MID(TRIM(MID(SUBSTITUTE(SUBSTITUTE(SUBSTITUTE(SUBSTITUTE(SUBSTITUTE(LOWER(Registro!$E911),"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",LEN(Registro!$E911))),({1,2,3,4,5,6,7,8,9,10,11,12,13,14,15,16,17,18,19,20,21,22,23,24,25,26,27,28,29,30}-1)*LEN(Registro!$E911)+1,LEN(Registro!$E911))),FIND("x",TRIM(MID(SUBSTITUTE(SUBSTITUTE(SUBSTITUTE(SUBSTITUTE(SUBSTITUTE(LOWER(Registro!$E911),"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",LEN(Registro!$E911))),({1,2,3,4,5,6,7,8,9,10,11,12,13,14,15,16,17,18,19,20,21,22,23,24,25,26,27,28,29,30}-1)*LEN(Registro!$E911)+1,LEN(Registro!$E911)))&amp;"x")+1,20))),"Revisar formato")))</f>
        <v/>
      </c>
      <c r="F911" s="23" t="str">
        <f>IF(Registro!$F911="","",IF(ISERROR(FIND("x",LOWER(Registro!$F911))),"-",IFERROR(SUMPRODUCT(--("0"&amp;LEFT(TRIM(MID(SUBSTITUTE(SUBSTITUTE(SUBSTITUTE(SUBSTITUTE(SUBSTITUTE(LOWER(Registro!$F911)," ",""),CHAR(10),"|"),";","|"),"+","|"),"|",REPT(" ",LEN(Registro!$F911))),({1,2,3,4,5,6,7,8,9,10,11,12,13,14,15,16,17,18,19,20,21,22,23,24,25,26,27,28,29,30}-1)*LEN(Registro!$F911)+1,LEN(Registro!$F911))),FIND("x",TRIM(MID(SUBSTITUTE(SUBSTITUTE(SUBSTITUTE(SUBSTITUTE(SUBSTITUTE(LOWER(Registro!$F911)," ",""),CHAR(10),"|"),";","|"),"+","|"),"|",REPT(" ",LEN(Registro!$F911))),({1,2,3,4,5,6,7,8,9,10,11,12,13,14,15,16,17,18,19,20,21,22,23,24,25,26,27,28,29,30}-1)*LEN(Registro!$F911)+1,LEN(Registro!$F911)))&amp;"x")-1))),"Revisar formato")))</f>
        <v/>
      </c>
      <c r="G911" s="24" t="str">
        <f>IF(Registro!$F911="","",IF(ISERROR(FIND("x",LOWER(Registro!$F911))),N(Registro!$G911),IFERROR(SUMPRODUCT(--("0"&amp;LEFT(TRIM(MID(SUBSTITUTE(SUBSTITUTE(SUBSTITUTE(SUBSTITUTE(SUBSTITUTE(LOWER(Registro!$F911)," ",""),CHAR(10),"|"),";","|"),"+","|"),"|",REPT(" ",LEN(Registro!$F911))),({1,2,3,4,5,6,7,8,9,10,11,12,13,14,15,16,17,18,19,20,21,22,23,24,25,26,27,28,29,30}-1)*LEN(Registro!$F911)+1,LEN(Registro!$F911))),FIND("x",TRIM(MID(SUBSTITUTE(SUBSTITUTE(SUBSTITUTE(SUBSTITUTE(SUBSTITUTE(LOWER(Registro!$F911)," ",""),CHAR(10),"|"),";","|"),"+","|"),"|",REPT(" ",LEN(Registro!$F911))),({1,2,3,4,5,6,7,8,9,10,11,12,13,14,15,16,17,18,19,20,21,22,23,24,25,26,27,28,29,30}-1)*LEN(Registro!$F911)+1,LEN(Registro!$F911)))&amp;"x")-1)),--("0"&amp;MID(TRIM(MID(SUBSTITUTE(SUBSTITUTE(SUBSTITUTE(SUBSTITUTE(SUBSTITUTE(LOWER(Registro!$F911)," ",""),CHAR(10),"|"),";","|"),"+","|"),"|",REPT(" ",LEN(Registro!$F911))),({1,2,3,4,5,6,7,8,9,10,11,12,13,14,15,16,17,18,19,20,21,22,23,24,25,26,27,28,29,30}-1)*LEN(Registro!$F911)+1,LEN(Registro!$F911))),FIND("x",TRIM(MID(SUBSTITUTE(SUBSTITUTE(SUBSTITUTE(SUBSTITUTE(SUBSTITUTE(LOWER(Registro!$F911)," ",""),CHAR(10),"|"),";","|"),"+","|"),"|",REPT(" ",LEN(Registro!$F911))),({1,2,3,4,5,6,7,8,9,10,11,12,13,14,15,16,17,18,19,20,21,22,23,24,25,26,27,28,29,30}-1)*LEN(Registro!$F911)+1,LEN(Registro!$F911)))&amp;"x")+1,20))),"Revisar formato")))</f>
        <v/>
      </c>
      <c r="H911" s="21" t="str">
        <f>IF(AND(Registro!$E911="",Registro!$F911=""),"",IF(NOT(AND(ISNUMBER(G911),ISNUMBER(Registro!$G911))),"",IF(G911&lt;Registro!$G911,"FALTA BOLETOS",IF(G911=Registro!$G911,"CONFORME","DIFERENCIA"))))</f>
        <v/>
      </c>
      <c r="I911" s="24" t="str">
        <f>IF(Registro!$H911="","",IFERROR(SUMPRODUCT(--("0"&amp;TRIM(RIGHT(SUBSTITUTE(TRIM(MID(SUBSTITUTE(SUBSTITUTE(Registro!$H911,";",CHAR(10)),CHAR(10),REPT(" ",LEN(Registro!$H911))),({1,2,3,4,5,6,7,8,9,10,11,12,13,14,15,16,17,18,19,20,21,22,23,24,25,26,27,28,29,30}-1)*LEN(Registro!$H911)+1,LEN(Registro!$H911)))," ",REPT(" ",50)),50)))),"Revisar formato"))</f>
        <v/>
      </c>
      <c r="J911" s="24" t="str">
        <f>IF(Registro!$I911="","",IFERROR(SUMPRODUCT(--("0"&amp;TRIM(RIGHT(SUBSTITUTE(TRIM(MID(SUBSTITUTE(SUBSTITUTE(Registro!$I911,";",CHAR(10)),CHAR(10),REPT(" ",LEN(Registro!$I911))),({1,2,3,4,5,6,7,8,9,10,11,12,13,14,15,16,17,18,19,20,21,22,23,24,25,26,27,28,29,30}-1)*LEN(Registro!$I911)+1,LEN(Registro!$I911)))," ",REPT(" ",50)),50)))),"Revisar formato"))</f>
        <v/>
      </c>
      <c r="K911" s="24" t="str">
        <f>IF(AND(Registro!$G911="",Registro!$H911=""),"",IF(AND(ISTEXT(I911),I911&lt;&gt;""),"Revisar formato",N(Registro!$G911)-N(I911)))</f>
        <v/>
      </c>
      <c r="L911" s="24" t="str">
        <f t="shared" si="29"/>
        <v/>
      </c>
      <c r="M911" s="36" t="str">
        <f>IF(AND(A911=Consulta!$B$3,C911=Consulta!$H$3),B911*10000+ROW(),"")</f>
        <v/>
      </c>
    </row>
    <row r="912" spans="1:13" x14ac:dyDescent="0.25">
      <c r="A912" s="21" t="str">
        <f>IF(Registro!$A912="","",Registro!$A912)</f>
        <v/>
      </c>
      <c r="B912" s="20" t="str">
        <f>IF(Registro!$B912="","",Registro!$B912)</f>
        <v/>
      </c>
      <c r="C912" s="35" t="str">
        <f t="shared" si="28"/>
        <v/>
      </c>
      <c r="D912" s="23" t="str">
        <f>IF(Registro!$E912="","",IF(ISERROR(FIND("x",LOWER(Registro!$E912))),"-",IFERROR(SUMPRODUCT(--("0"&amp;LEFT(TRIM(MID(SUBSTITUTE(SUBSTITUTE(SUBSTITUTE(SUBSTITUTE(SUBSTITUTE(LOWER(Registro!$E912),"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",LEN(Registro!$E912))),({1,2,3,4,5,6,7,8,9,10,11,12,13,14,15,16,17,18,19,20,21,22,23,24,25,26,27,28,29,30}-1)*LEN(Registro!$E912)+1,LEN(Registro!$E912))),FIND("x",TRIM(MID(SUBSTITUTE(SUBSTITUTE(SUBSTITUTE(SUBSTITUTE(SUBSTITUTE(LOWER(Registro!$E912),"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",LEN(Registro!$E912))),({1,2,3,4,5,6,7,8,9,10,11,12,13,14,15,16,17,18,19,20,21,22,23,24,25,26,27,28,29,30}-1)*LEN(Registro!$E912)+1,LEN(Registro!$E912)))&amp;"x")-1))),"Revisar formato")))</f>
        <v/>
      </c>
      <c r="E912" s="24" t="str">
        <f>IF(Registro!$E912="","",IF(ISERROR(FIND("x",LOWER(Registro!$E912))),"-",IFERROR(SUMPRODUCT(--("0"&amp;LEFT(TRIM(MID(SUBSTITUTE(SUBSTITUTE(SUBSTITUTE(SUBSTITUTE(SUBSTITUTE(LOWER(Registro!$E912),"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",LEN(Registro!$E912))),({1,2,3,4,5,6,7,8,9,10,11,12,13,14,15,16,17,18,19,20,21,22,23,24,25,26,27,28,29,30}-1)*LEN(Registro!$E912)+1,LEN(Registro!$E912))),FIND("x",TRIM(MID(SUBSTITUTE(SUBSTITUTE(SUBSTITUTE(SUBSTITUTE(SUBSTITUTE(LOWER(Registro!$E912),"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",LEN(Registro!$E912))),({1,2,3,4,5,6,7,8,9,10,11,12,13,14,15,16,17,18,19,20,21,22,23,24,25,26,27,28,29,30}-1)*LEN(Registro!$E912)+1,LEN(Registro!$E912)))&amp;"x")-1)),--("0"&amp;MID(TRIM(MID(SUBSTITUTE(SUBSTITUTE(SUBSTITUTE(SUBSTITUTE(SUBSTITUTE(LOWER(Registro!$E912),"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",LEN(Registro!$E912))),({1,2,3,4,5,6,7,8,9,10,11,12,13,14,15,16,17,18,19,20,21,22,23,24,25,26,27,28,29,30}-1)*LEN(Registro!$E912)+1,LEN(Registro!$E912))),FIND("x",TRIM(MID(SUBSTITUTE(SUBSTITUTE(SUBSTITUTE(SUBSTITUTE(SUBSTITUTE(LOWER(Registro!$E912),"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",LEN(Registro!$E912))),({1,2,3,4,5,6,7,8,9,10,11,12,13,14,15,16,17,18,19,20,21,22,23,24,25,26,27,28,29,30}-1)*LEN(Registro!$E912)+1,LEN(Registro!$E912)))&amp;"x")+1,20))),"Revisar formato")))</f>
        <v/>
      </c>
      <c r="F912" s="23" t="str">
        <f>IF(Registro!$F912="","",IF(ISERROR(FIND("x",LOWER(Registro!$F912))),"-",IFERROR(SUMPRODUCT(--("0"&amp;LEFT(TRIM(MID(SUBSTITUTE(SUBSTITUTE(SUBSTITUTE(SUBSTITUTE(SUBSTITUTE(LOWER(Registro!$F912)," ",""),CHAR(10),"|"),";","|"),"+","|"),"|",REPT(" ",LEN(Registro!$F912))),({1,2,3,4,5,6,7,8,9,10,11,12,13,14,15,16,17,18,19,20,21,22,23,24,25,26,27,28,29,30}-1)*LEN(Registro!$F912)+1,LEN(Registro!$F912))),FIND("x",TRIM(MID(SUBSTITUTE(SUBSTITUTE(SUBSTITUTE(SUBSTITUTE(SUBSTITUTE(LOWER(Registro!$F912)," ",""),CHAR(10),"|"),";","|"),"+","|"),"|",REPT(" ",LEN(Registro!$F912))),({1,2,3,4,5,6,7,8,9,10,11,12,13,14,15,16,17,18,19,20,21,22,23,24,25,26,27,28,29,30}-1)*LEN(Registro!$F912)+1,LEN(Registro!$F912)))&amp;"x")-1))),"Revisar formato")))</f>
        <v/>
      </c>
      <c r="G912" s="24" t="str">
        <f>IF(Registro!$F912="","",IF(ISERROR(FIND("x",LOWER(Registro!$F912))),N(Registro!$G912),IFERROR(SUMPRODUCT(--("0"&amp;LEFT(TRIM(MID(SUBSTITUTE(SUBSTITUTE(SUBSTITUTE(SUBSTITUTE(SUBSTITUTE(LOWER(Registro!$F912)," ",""),CHAR(10),"|"),";","|"),"+","|"),"|",REPT(" ",LEN(Registro!$F912))),({1,2,3,4,5,6,7,8,9,10,11,12,13,14,15,16,17,18,19,20,21,22,23,24,25,26,27,28,29,30}-1)*LEN(Registro!$F912)+1,LEN(Registro!$F912))),FIND("x",TRIM(MID(SUBSTITUTE(SUBSTITUTE(SUBSTITUTE(SUBSTITUTE(SUBSTITUTE(LOWER(Registro!$F912)," ",""),CHAR(10),"|"),";","|"),"+","|"),"|",REPT(" ",LEN(Registro!$F912))),({1,2,3,4,5,6,7,8,9,10,11,12,13,14,15,16,17,18,19,20,21,22,23,24,25,26,27,28,29,30}-1)*LEN(Registro!$F912)+1,LEN(Registro!$F912)))&amp;"x")-1)),--("0"&amp;MID(TRIM(MID(SUBSTITUTE(SUBSTITUTE(SUBSTITUTE(SUBSTITUTE(SUBSTITUTE(LOWER(Registro!$F912)," ",""),CHAR(10),"|"),";","|"),"+","|"),"|",REPT(" ",LEN(Registro!$F912))),({1,2,3,4,5,6,7,8,9,10,11,12,13,14,15,16,17,18,19,20,21,22,23,24,25,26,27,28,29,30}-1)*LEN(Registro!$F912)+1,LEN(Registro!$F912))),FIND("x",TRIM(MID(SUBSTITUTE(SUBSTITUTE(SUBSTITUTE(SUBSTITUTE(SUBSTITUTE(LOWER(Registro!$F912)," ",""),CHAR(10),"|"),";","|"),"+","|"),"|",REPT(" ",LEN(Registro!$F912))),({1,2,3,4,5,6,7,8,9,10,11,12,13,14,15,16,17,18,19,20,21,22,23,24,25,26,27,28,29,30}-1)*LEN(Registro!$F912)+1,LEN(Registro!$F912)))&amp;"x")+1,20))),"Revisar formato")))</f>
        <v/>
      </c>
      <c r="H912" s="21" t="str">
        <f>IF(AND(Registro!$E912="",Registro!$F912=""),"",IF(NOT(AND(ISNUMBER(G912),ISNUMBER(Registro!$G912))),"",IF(G912&lt;Registro!$G912,"FALTA BOLETOS",IF(G912=Registro!$G912,"CONFORME","DIFERENCIA"))))</f>
        <v/>
      </c>
      <c r="I912" s="24" t="str">
        <f>IF(Registro!$H912="","",IFERROR(SUMPRODUCT(--("0"&amp;TRIM(RIGHT(SUBSTITUTE(TRIM(MID(SUBSTITUTE(SUBSTITUTE(Registro!$H912,";",CHAR(10)),CHAR(10),REPT(" ",LEN(Registro!$H912))),({1,2,3,4,5,6,7,8,9,10,11,12,13,14,15,16,17,18,19,20,21,22,23,24,25,26,27,28,29,30}-1)*LEN(Registro!$H912)+1,LEN(Registro!$H912)))," ",REPT(" ",50)),50)))),"Revisar formato"))</f>
        <v/>
      </c>
      <c r="J912" s="24" t="str">
        <f>IF(Registro!$I912="","",IFERROR(SUMPRODUCT(--("0"&amp;TRIM(RIGHT(SUBSTITUTE(TRIM(MID(SUBSTITUTE(SUBSTITUTE(Registro!$I912,";",CHAR(10)),CHAR(10),REPT(" ",LEN(Registro!$I912))),({1,2,3,4,5,6,7,8,9,10,11,12,13,14,15,16,17,18,19,20,21,22,23,24,25,26,27,28,29,30}-1)*LEN(Registro!$I912)+1,LEN(Registro!$I912)))," ",REPT(" ",50)),50)))),"Revisar formato"))</f>
        <v/>
      </c>
      <c r="K912" s="24" t="str">
        <f>IF(AND(Registro!$G912="",Registro!$H912=""),"",IF(AND(ISTEXT(I912),I912&lt;&gt;""),"Revisar formato",N(Registro!$G912)-N(I912)))</f>
        <v/>
      </c>
      <c r="L912" s="24" t="str">
        <f t="shared" si="29"/>
        <v/>
      </c>
      <c r="M912" s="36" t="str">
        <f>IF(AND(A912=Consulta!$B$3,C912=Consulta!$H$3),B912*10000+ROW(),"")</f>
        <v/>
      </c>
    </row>
    <row r="913" spans="1:13" x14ac:dyDescent="0.25">
      <c r="A913" s="21" t="str">
        <f>IF(Registro!$A913="","",Registro!$A913)</f>
        <v/>
      </c>
      <c r="B913" s="20" t="str">
        <f>IF(Registro!$B913="","",Registro!$B913)</f>
        <v/>
      </c>
      <c r="C913" s="35" t="str">
        <f t="shared" si="28"/>
        <v/>
      </c>
      <c r="D913" s="23" t="str">
        <f>IF(Registro!$E913="","",IF(ISERROR(FIND("x",LOWER(Registro!$E913))),"-",IFERROR(SUMPRODUCT(--("0"&amp;LEFT(TRIM(MID(SUBSTITUTE(SUBSTITUTE(SUBSTITUTE(SUBSTITUTE(SUBSTITUTE(LOWER(Registro!$E913),"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",LEN(Registro!$E913))),({1,2,3,4,5,6,7,8,9,10,11,12,13,14,15,16,17,18,19,20,21,22,23,24,25,26,27,28,29,30}-1)*LEN(Registro!$E913)+1,LEN(Registro!$E913))),FIND("x",TRIM(MID(SUBSTITUTE(SUBSTITUTE(SUBSTITUTE(SUBSTITUTE(SUBSTITUTE(LOWER(Registro!$E913),"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",LEN(Registro!$E913))),({1,2,3,4,5,6,7,8,9,10,11,12,13,14,15,16,17,18,19,20,21,22,23,24,25,26,27,28,29,30}-1)*LEN(Registro!$E913)+1,LEN(Registro!$E913)))&amp;"x")-1))),"Revisar formato")))</f>
        <v/>
      </c>
      <c r="E913" s="24" t="str">
        <f>IF(Registro!$E913="","",IF(ISERROR(FIND("x",LOWER(Registro!$E913))),"-",IFERROR(SUMPRODUCT(--("0"&amp;LEFT(TRIM(MID(SUBSTITUTE(SUBSTITUTE(SUBSTITUTE(SUBSTITUTE(SUBSTITUTE(LOWER(Registro!$E913),"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",LEN(Registro!$E913))),({1,2,3,4,5,6,7,8,9,10,11,12,13,14,15,16,17,18,19,20,21,22,23,24,25,26,27,28,29,30}-1)*LEN(Registro!$E913)+1,LEN(Registro!$E913))),FIND("x",TRIM(MID(SUBSTITUTE(SUBSTITUTE(SUBSTITUTE(SUBSTITUTE(SUBSTITUTE(LOWER(Registro!$E913),"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",LEN(Registro!$E913))),({1,2,3,4,5,6,7,8,9,10,11,12,13,14,15,16,17,18,19,20,21,22,23,24,25,26,27,28,29,30}-1)*LEN(Registro!$E913)+1,LEN(Registro!$E913)))&amp;"x")-1)),--("0"&amp;MID(TRIM(MID(SUBSTITUTE(SUBSTITUTE(SUBSTITUTE(SUBSTITUTE(SUBSTITUTE(LOWER(Registro!$E913),"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",LEN(Registro!$E913))),({1,2,3,4,5,6,7,8,9,10,11,12,13,14,15,16,17,18,19,20,21,22,23,24,25,26,27,28,29,30}-1)*LEN(Registro!$E913)+1,LEN(Registro!$E913))),FIND("x",TRIM(MID(SUBSTITUTE(SUBSTITUTE(SUBSTITUTE(SUBSTITUTE(SUBSTITUTE(LOWER(Registro!$E913),"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",LEN(Registro!$E913))),({1,2,3,4,5,6,7,8,9,10,11,12,13,14,15,16,17,18,19,20,21,22,23,24,25,26,27,28,29,30}-1)*LEN(Registro!$E913)+1,LEN(Registro!$E913)))&amp;"x")+1,20))),"Revisar formato")))</f>
        <v/>
      </c>
      <c r="F913" s="23" t="str">
        <f>IF(Registro!$F913="","",IF(ISERROR(FIND("x",LOWER(Registro!$F913))),"-",IFERROR(SUMPRODUCT(--("0"&amp;LEFT(TRIM(MID(SUBSTITUTE(SUBSTITUTE(SUBSTITUTE(SUBSTITUTE(SUBSTITUTE(LOWER(Registro!$F913)," ",""),CHAR(10),"|"),";","|"),"+","|"),"|",REPT(" ",LEN(Registro!$F913))),({1,2,3,4,5,6,7,8,9,10,11,12,13,14,15,16,17,18,19,20,21,22,23,24,25,26,27,28,29,30}-1)*LEN(Registro!$F913)+1,LEN(Registro!$F913))),FIND("x",TRIM(MID(SUBSTITUTE(SUBSTITUTE(SUBSTITUTE(SUBSTITUTE(SUBSTITUTE(LOWER(Registro!$F913)," ",""),CHAR(10),"|"),";","|"),"+","|"),"|",REPT(" ",LEN(Registro!$F913))),({1,2,3,4,5,6,7,8,9,10,11,12,13,14,15,16,17,18,19,20,21,22,23,24,25,26,27,28,29,30}-1)*LEN(Registro!$F913)+1,LEN(Registro!$F913)))&amp;"x")-1))),"Revisar formato")))</f>
        <v/>
      </c>
      <c r="G913" s="24" t="str">
        <f>IF(Registro!$F913="","",IF(ISERROR(FIND("x",LOWER(Registro!$F913))),N(Registro!$G913),IFERROR(SUMPRODUCT(--("0"&amp;LEFT(TRIM(MID(SUBSTITUTE(SUBSTITUTE(SUBSTITUTE(SUBSTITUTE(SUBSTITUTE(LOWER(Registro!$F913)," ",""),CHAR(10),"|"),";","|"),"+","|"),"|",REPT(" ",LEN(Registro!$F913))),({1,2,3,4,5,6,7,8,9,10,11,12,13,14,15,16,17,18,19,20,21,22,23,24,25,26,27,28,29,30}-1)*LEN(Registro!$F913)+1,LEN(Registro!$F913))),FIND("x",TRIM(MID(SUBSTITUTE(SUBSTITUTE(SUBSTITUTE(SUBSTITUTE(SUBSTITUTE(LOWER(Registro!$F913)," ",""),CHAR(10),"|"),";","|"),"+","|"),"|",REPT(" ",LEN(Registro!$F913))),({1,2,3,4,5,6,7,8,9,10,11,12,13,14,15,16,17,18,19,20,21,22,23,24,25,26,27,28,29,30}-1)*LEN(Registro!$F913)+1,LEN(Registro!$F913)))&amp;"x")-1)),--("0"&amp;MID(TRIM(MID(SUBSTITUTE(SUBSTITUTE(SUBSTITUTE(SUBSTITUTE(SUBSTITUTE(LOWER(Registro!$F913)," ",""),CHAR(10),"|"),";","|"),"+","|"),"|",REPT(" ",LEN(Registro!$F913))),({1,2,3,4,5,6,7,8,9,10,11,12,13,14,15,16,17,18,19,20,21,22,23,24,25,26,27,28,29,30}-1)*LEN(Registro!$F913)+1,LEN(Registro!$F913))),FIND("x",TRIM(MID(SUBSTITUTE(SUBSTITUTE(SUBSTITUTE(SUBSTITUTE(SUBSTITUTE(LOWER(Registro!$F913)," ",""),CHAR(10),"|"),";","|"),"+","|"),"|",REPT(" ",LEN(Registro!$F913))),({1,2,3,4,5,6,7,8,9,10,11,12,13,14,15,16,17,18,19,20,21,22,23,24,25,26,27,28,29,30}-1)*LEN(Registro!$F913)+1,LEN(Registro!$F913)))&amp;"x")+1,20))),"Revisar formato")))</f>
        <v/>
      </c>
      <c r="H913" s="21" t="str">
        <f>IF(AND(Registro!$E913="",Registro!$F913=""),"",IF(NOT(AND(ISNUMBER(G913),ISNUMBER(Registro!$G913))),"",IF(G913&lt;Registro!$G913,"FALTA BOLETOS",IF(G913=Registro!$G913,"CONFORME","DIFERENCIA"))))</f>
        <v/>
      </c>
      <c r="I913" s="24" t="str">
        <f>IF(Registro!$H913="","",IFERROR(SUMPRODUCT(--("0"&amp;TRIM(RIGHT(SUBSTITUTE(TRIM(MID(SUBSTITUTE(SUBSTITUTE(Registro!$H913,";",CHAR(10)),CHAR(10),REPT(" ",LEN(Registro!$H913))),({1,2,3,4,5,6,7,8,9,10,11,12,13,14,15,16,17,18,19,20,21,22,23,24,25,26,27,28,29,30}-1)*LEN(Registro!$H913)+1,LEN(Registro!$H913)))," ",REPT(" ",50)),50)))),"Revisar formato"))</f>
        <v/>
      </c>
      <c r="J913" s="24" t="str">
        <f>IF(Registro!$I913="","",IFERROR(SUMPRODUCT(--("0"&amp;TRIM(RIGHT(SUBSTITUTE(TRIM(MID(SUBSTITUTE(SUBSTITUTE(Registro!$I913,";",CHAR(10)),CHAR(10),REPT(" ",LEN(Registro!$I913))),({1,2,3,4,5,6,7,8,9,10,11,12,13,14,15,16,17,18,19,20,21,22,23,24,25,26,27,28,29,30}-1)*LEN(Registro!$I913)+1,LEN(Registro!$I913)))," ",REPT(" ",50)),50)))),"Revisar formato"))</f>
        <v/>
      </c>
      <c r="K913" s="24" t="str">
        <f>IF(AND(Registro!$G913="",Registro!$H913=""),"",IF(AND(ISTEXT(I913),I913&lt;&gt;""),"Revisar formato",N(Registro!$G913)-N(I913)))</f>
        <v/>
      </c>
      <c r="L913" s="24" t="str">
        <f t="shared" si="29"/>
        <v/>
      </c>
      <c r="M913" s="36" t="str">
        <f>IF(AND(A913=Consulta!$B$3,C913=Consulta!$H$3),B913*10000+ROW(),"")</f>
        <v/>
      </c>
    </row>
    <row r="914" spans="1:13" x14ac:dyDescent="0.25">
      <c r="A914" s="21" t="str">
        <f>IF(Registro!$A914="","",Registro!$A914)</f>
        <v/>
      </c>
      <c r="B914" s="20" t="str">
        <f>IF(Registro!$B914="","",Registro!$B914)</f>
        <v/>
      </c>
      <c r="C914" s="35" t="str">
        <f t="shared" si="28"/>
        <v/>
      </c>
      <c r="D914" s="23" t="str">
        <f>IF(Registro!$E914="","",IF(ISERROR(FIND("x",LOWER(Registro!$E914))),"-",IFERROR(SUMPRODUCT(--("0"&amp;LEFT(TRIM(MID(SUBSTITUTE(SUBSTITUTE(SUBSTITUTE(SUBSTITUTE(SUBSTITUTE(LOWER(Registro!$E914),"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",LEN(Registro!$E914))),({1,2,3,4,5,6,7,8,9,10,11,12,13,14,15,16,17,18,19,20,21,22,23,24,25,26,27,28,29,30}-1)*LEN(Registro!$E914)+1,LEN(Registro!$E914))),FIND("x",TRIM(MID(SUBSTITUTE(SUBSTITUTE(SUBSTITUTE(SUBSTITUTE(SUBSTITUTE(LOWER(Registro!$E914),"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",LEN(Registro!$E914))),({1,2,3,4,5,6,7,8,9,10,11,12,13,14,15,16,17,18,19,20,21,22,23,24,25,26,27,28,29,30}-1)*LEN(Registro!$E914)+1,LEN(Registro!$E914)))&amp;"x")-1))),"Revisar formato")))</f>
        <v/>
      </c>
      <c r="E914" s="24" t="str">
        <f>IF(Registro!$E914="","",IF(ISERROR(FIND("x",LOWER(Registro!$E914))),"-",IFERROR(SUMPRODUCT(--("0"&amp;LEFT(TRIM(MID(SUBSTITUTE(SUBSTITUTE(SUBSTITUTE(SUBSTITUTE(SUBSTITUTE(LOWER(Registro!$E914),"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",LEN(Registro!$E914))),({1,2,3,4,5,6,7,8,9,10,11,12,13,14,15,16,17,18,19,20,21,22,23,24,25,26,27,28,29,30}-1)*LEN(Registro!$E914)+1,LEN(Registro!$E914))),FIND("x",TRIM(MID(SUBSTITUTE(SUBSTITUTE(SUBSTITUTE(SUBSTITUTE(SUBSTITUTE(LOWER(Registro!$E914),"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",LEN(Registro!$E914))),({1,2,3,4,5,6,7,8,9,10,11,12,13,14,15,16,17,18,19,20,21,22,23,24,25,26,27,28,29,30}-1)*LEN(Registro!$E914)+1,LEN(Registro!$E914)))&amp;"x")-1)),--("0"&amp;MID(TRIM(MID(SUBSTITUTE(SUBSTITUTE(SUBSTITUTE(SUBSTITUTE(SUBSTITUTE(LOWER(Registro!$E914),"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",LEN(Registro!$E914))),({1,2,3,4,5,6,7,8,9,10,11,12,13,14,15,16,17,18,19,20,21,22,23,24,25,26,27,28,29,30}-1)*LEN(Registro!$E914)+1,LEN(Registro!$E914))),FIND("x",TRIM(MID(SUBSTITUTE(SUBSTITUTE(SUBSTITUTE(SUBSTITUTE(SUBSTITUTE(LOWER(Registro!$E914),"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",LEN(Registro!$E914))),({1,2,3,4,5,6,7,8,9,10,11,12,13,14,15,16,17,18,19,20,21,22,23,24,25,26,27,28,29,30}-1)*LEN(Registro!$E914)+1,LEN(Registro!$E914)))&amp;"x")+1,20))),"Revisar formato")))</f>
        <v/>
      </c>
      <c r="F914" s="23" t="str">
        <f>IF(Registro!$F914="","",IF(ISERROR(FIND("x",LOWER(Registro!$F914))),"-",IFERROR(SUMPRODUCT(--("0"&amp;LEFT(TRIM(MID(SUBSTITUTE(SUBSTITUTE(SUBSTITUTE(SUBSTITUTE(SUBSTITUTE(LOWER(Registro!$F914)," ",""),CHAR(10),"|"),";","|"),"+","|"),"|",REPT(" ",LEN(Registro!$F914))),({1,2,3,4,5,6,7,8,9,10,11,12,13,14,15,16,17,18,19,20,21,22,23,24,25,26,27,28,29,30}-1)*LEN(Registro!$F914)+1,LEN(Registro!$F914))),FIND("x",TRIM(MID(SUBSTITUTE(SUBSTITUTE(SUBSTITUTE(SUBSTITUTE(SUBSTITUTE(LOWER(Registro!$F914)," ",""),CHAR(10),"|"),";","|"),"+","|"),"|",REPT(" ",LEN(Registro!$F914))),({1,2,3,4,5,6,7,8,9,10,11,12,13,14,15,16,17,18,19,20,21,22,23,24,25,26,27,28,29,30}-1)*LEN(Registro!$F914)+1,LEN(Registro!$F914)))&amp;"x")-1))),"Revisar formato")))</f>
        <v/>
      </c>
      <c r="G914" s="24" t="str">
        <f>IF(Registro!$F914="","",IF(ISERROR(FIND("x",LOWER(Registro!$F914))),N(Registro!$G914),IFERROR(SUMPRODUCT(--("0"&amp;LEFT(TRIM(MID(SUBSTITUTE(SUBSTITUTE(SUBSTITUTE(SUBSTITUTE(SUBSTITUTE(LOWER(Registro!$F914)," ",""),CHAR(10),"|"),";","|"),"+","|"),"|",REPT(" ",LEN(Registro!$F914))),({1,2,3,4,5,6,7,8,9,10,11,12,13,14,15,16,17,18,19,20,21,22,23,24,25,26,27,28,29,30}-1)*LEN(Registro!$F914)+1,LEN(Registro!$F914))),FIND("x",TRIM(MID(SUBSTITUTE(SUBSTITUTE(SUBSTITUTE(SUBSTITUTE(SUBSTITUTE(LOWER(Registro!$F914)," ",""),CHAR(10),"|"),";","|"),"+","|"),"|",REPT(" ",LEN(Registro!$F914))),({1,2,3,4,5,6,7,8,9,10,11,12,13,14,15,16,17,18,19,20,21,22,23,24,25,26,27,28,29,30}-1)*LEN(Registro!$F914)+1,LEN(Registro!$F914)))&amp;"x")-1)),--("0"&amp;MID(TRIM(MID(SUBSTITUTE(SUBSTITUTE(SUBSTITUTE(SUBSTITUTE(SUBSTITUTE(LOWER(Registro!$F914)," ",""),CHAR(10),"|"),";","|"),"+","|"),"|",REPT(" ",LEN(Registro!$F914))),({1,2,3,4,5,6,7,8,9,10,11,12,13,14,15,16,17,18,19,20,21,22,23,24,25,26,27,28,29,30}-1)*LEN(Registro!$F914)+1,LEN(Registro!$F914))),FIND("x",TRIM(MID(SUBSTITUTE(SUBSTITUTE(SUBSTITUTE(SUBSTITUTE(SUBSTITUTE(LOWER(Registro!$F914)," ",""),CHAR(10),"|"),";","|"),"+","|"),"|",REPT(" ",LEN(Registro!$F914))),({1,2,3,4,5,6,7,8,9,10,11,12,13,14,15,16,17,18,19,20,21,22,23,24,25,26,27,28,29,30}-1)*LEN(Registro!$F914)+1,LEN(Registro!$F914)))&amp;"x")+1,20))),"Revisar formato")))</f>
        <v/>
      </c>
      <c r="H914" s="21" t="str">
        <f>IF(AND(Registro!$E914="",Registro!$F914=""),"",IF(NOT(AND(ISNUMBER(G914),ISNUMBER(Registro!$G914))),"",IF(G914&lt;Registro!$G914,"FALTA BOLETOS",IF(G914=Registro!$G914,"CONFORME","DIFERENCIA"))))</f>
        <v/>
      </c>
      <c r="I914" s="24" t="str">
        <f>IF(Registro!$H914="","",IFERROR(SUMPRODUCT(--("0"&amp;TRIM(RIGHT(SUBSTITUTE(TRIM(MID(SUBSTITUTE(SUBSTITUTE(Registro!$H914,";",CHAR(10)),CHAR(10),REPT(" ",LEN(Registro!$H914))),({1,2,3,4,5,6,7,8,9,10,11,12,13,14,15,16,17,18,19,20,21,22,23,24,25,26,27,28,29,30}-1)*LEN(Registro!$H914)+1,LEN(Registro!$H914)))," ",REPT(" ",50)),50)))),"Revisar formato"))</f>
        <v/>
      </c>
      <c r="J914" s="24" t="str">
        <f>IF(Registro!$I914="","",IFERROR(SUMPRODUCT(--("0"&amp;TRIM(RIGHT(SUBSTITUTE(TRIM(MID(SUBSTITUTE(SUBSTITUTE(Registro!$I914,";",CHAR(10)),CHAR(10),REPT(" ",LEN(Registro!$I914))),({1,2,3,4,5,6,7,8,9,10,11,12,13,14,15,16,17,18,19,20,21,22,23,24,25,26,27,28,29,30}-1)*LEN(Registro!$I914)+1,LEN(Registro!$I914)))," ",REPT(" ",50)),50)))),"Revisar formato"))</f>
        <v/>
      </c>
      <c r="K914" s="24" t="str">
        <f>IF(AND(Registro!$G914="",Registro!$H914=""),"",IF(AND(ISTEXT(I914),I914&lt;&gt;""),"Revisar formato",N(Registro!$G914)-N(I914)))</f>
        <v/>
      </c>
      <c r="L914" s="24" t="str">
        <f t="shared" si="29"/>
        <v/>
      </c>
      <c r="M914" s="36" t="str">
        <f>IF(AND(A914=Consulta!$B$3,C914=Consulta!$H$3),B914*10000+ROW(),"")</f>
        <v/>
      </c>
    </row>
    <row r="915" spans="1:13" x14ac:dyDescent="0.25">
      <c r="A915" s="21" t="str">
        <f>IF(Registro!$A915="","",Registro!$A915)</f>
        <v/>
      </c>
      <c r="B915" s="20" t="str">
        <f>IF(Registro!$B915="","",Registro!$B915)</f>
        <v/>
      </c>
      <c r="C915" s="35" t="str">
        <f t="shared" si="28"/>
        <v/>
      </c>
      <c r="D915" s="23" t="str">
        <f>IF(Registro!$E915="","",IF(ISERROR(FIND("x",LOWER(Registro!$E915))),"-",IFERROR(SUMPRODUCT(--("0"&amp;LEFT(TRIM(MID(SUBSTITUTE(SUBSTITUTE(SUBSTITUTE(SUBSTITUTE(SUBSTITUTE(LOWER(Registro!$E915),"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",LEN(Registro!$E915))),({1,2,3,4,5,6,7,8,9,10,11,12,13,14,15,16,17,18,19,20,21,22,23,24,25,26,27,28,29,30}-1)*LEN(Registro!$E915)+1,LEN(Registro!$E915))),FIND("x",TRIM(MID(SUBSTITUTE(SUBSTITUTE(SUBSTITUTE(SUBSTITUTE(SUBSTITUTE(LOWER(Registro!$E915),"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",LEN(Registro!$E915))),({1,2,3,4,5,6,7,8,9,10,11,12,13,14,15,16,17,18,19,20,21,22,23,24,25,26,27,28,29,30}-1)*LEN(Registro!$E915)+1,LEN(Registro!$E915)))&amp;"x")-1))),"Revisar formato")))</f>
        <v/>
      </c>
      <c r="E915" s="24" t="str">
        <f>IF(Registro!$E915="","",IF(ISERROR(FIND("x",LOWER(Registro!$E915))),"-",IFERROR(SUMPRODUCT(--("0"&amp;LEFT(TRIM(MID(SUBSTITUTE(SUBSTITUTE(SUBSTITUTE(SUBSTITUTE(SUBSTITUTE(LOWER(Registro!$E915),"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",LEN(Registro!$E915))),({1,2,3,4,5,6,7,8,9,10,11,12,13,14,15,16,17,18,19,20,21,22,23,24,25,26,27,28,29,30}-1)*LEN(Registro!$E915)+1,LEN(Registro!$E915))),FIND("x",TRIM(MID(SUBSTITUTE(SUBSTITUTE(SUBSTITUTE(SUBSTITUTE(SUBSTITUTE(LOWER(Registro!$E915),"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",LEN(Registro!$E915))),({1,2,3,4,5,6,7,8,9,10,11,12,13,14,15,16,17,18,19,20,21,22,23,24,25,26,27,28,29,30}-1)*LEN(Registro!$E915)+1,LEN(Registro!$E915)))&amp;"x")-1)),--("0"&amp;MID(TRIM(MID(SUBSTITUTE(SUBSTITUTE(SUBSTITUTE(SUBSTITUTE(SUBSTITUTE(LOWER(Registro!$E915),"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",LEN(Registro!$E915))),({1,2,3,4,5,6,7,8,9,10,11,12,13,14,15,16,17,18,19,20,21,22,23,24,25,26,27,28,29,30}-1)*LEN(Registro!$E915)+1,LEN(Registro!$E915))),FIND("x",TRIM(MID(SUBSTITUTE(SUBSTITUTE(SUBSTITUTE(SUBSTITUTE(SUBSTITUTE(LOWER(Registro!$E915),"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",LEN(Registro!$E915))),({1,2,3,4,5,6,7,8,9,10,11,12,13,14,15,16,17,18,19,20,21,22,23,24,25,26,27,28,29,30}-1)*LEN(Registro!$E915)+1,LEN(Registro!$E915)))&amp;"x")+1,20))),"Revisar formato")))</f>
        <v/>
      </c>
      <c r="F915" s="23" t="str">
        <f>IF(Registro!$F915="","",IF(ISERROR(FIND("x",LOWER(Registro!$F915))),"-",IFERROR(SUMPRODUCT(--("0"&amp;LEFT(TRIM(MID(SUBSTITUTE(SUBSTITUTE(SUBSTITUTE(SUBSTITUTE(SUBSTITUTE(LOWER(Registro!$F915)," ",""),CHAR(10),"|"),";","|"),"+","|"),"|",REPT(" ",LEN(Registro!$F915))),({1,2,3,4,5,6,7,8,9,10,11,12,13,14,15,16,17,18,19,20,21,22,23,24,25,26,27,28,29,30}-1)*LEN(Registro!$F915)+1,LEN(Registro!$F915))),FIND("x",TRIM(MID(SUBSTITUTE(SUBSTITUTE(SUBSTITUTE(SUBSTITUTE(SUBSTITUTE(LOWER(Registro!$F915)," ",""),CHAR(10),"|"),";","|"),"+","|"),"|",REPT(" ",LEN(Registro!$F915))),({1,2,3,4,5,6,7,8,9,10,11,12,13,14,15,16,17,18,19,20,21,22,23,24,25,26,27,28,29,30}-1)*LEN(Registro!$F915)+1,LEN(Registro!$F915)))&amp;"x")-1))),"Revisar formato")))</f>
        <v/>
      </c>
      <c r="G915" s="24" t="str">
        <f>IF(Registro!$F915="","",IF(ISERROR(FIND("x",LOWER(Registro!$F915))),N(Registro!$G915),IFERROR(SUMPRODUCT(--("0"&amp;LEFT(TRIM(MID(SUBSTITUTE(SUBSTITUTE(SUBSTITUTE(SUBSTITUTE(SUBSTITUTE(LOWER(Registro!$F915)," ",""),CHAR(10),"|"),";","|"),"+","|"),"|",REPT(" ",LEN(Registro!$F915))),({1,2,3,4,5,6,7,8,9,10,11,12,13,14,15,16,17,18,19,20,21,22,23,24,25,26,27,28,29,30}-1)*LEN(Registro!$F915)+1,LEN(Registro!$F915))),FIND("x",TRIM(MID(SUBSTITUTE(SUBSTITUTE(SUBSTITUTE(SUBSTITUTE(SUBSTITUTE(LOWER(Registro!$F915)," ",""),CHAR(10),"|"),";","|"),"+","|"),"|",REPT(" ",LEN(Registro!$F915))),({1,2,3,4,5,6,7,8,9,10,11,12,13,14,15,16,17,18,19,20,21,22,23,24,25,26,27,28,29,30}-1)*LEN(Registro!$F915)+1,LEN(Registro!$F915)))&amp;"x")-1)),--("0"&amp;MID(TRIM(MID(SUBSTITUTE(SUBSTITUTE(SUBSTITUTE(SUBSTITUTE(SUBSTITUTE(LOWER(Registro!$F915)," ",""),CHAR(10),"|"),";","|"),"+","|"),"|",REPT(" ",LEN(Registro!$F915))),({1,2,3,4,5,6,7,8,9,10,11,12,13,14,15,16,17,18,19,20,21,22,23,24,25,26,27,28,29,30}-1)*LEN(Registro!$F915)+1,LEN(Registro!$F915))),FIND("x",TRIM(MID(SUBSTITUTE(SUBSTITUTE(SUBSTITUTE(SUBSTITUTE(SUBSTITUTE(LOWER(Registro!$F915)," ",""),CHAR(10),"|"),";","|"),"+","|"),"|",REPT(" ",LEN(Registro!$F915))),({1,2,3,4,5,6,7,8,9,10,11,12,13,14,15,16,17,18,19,20,21,22,23,24,25,26,27,28,29,30}-1)*LEN(Registro!$F915)+1,LEN(Registro!$F915)))&amp;"x")+1,20))),"Revisar formato")))</f>
        <v/>
      </c>
      <c r="H915" s="21" t="str">
        <f>IF(AND(Registro!$E915="",Registro!$F915=""),"",IF(NOT(AND(ISNUMBER(G915),ISNUMBER(Registro!$G915))),"",IF(G915&lt;Registro!$G915,"FALTA BOLETOS",IF(G915=Registro!$G915,"CONFORME","DIFERENCIA"))))</f>
        <v/>
      </c>
      <c r="I915" s="24" t="str">
        <f>IF(Registro!$H915="","",IFERROR(SUMPRODUCT(--("0"&amp;TRIM(RIGHT(SUBSTITUTE(TRIM(MID(SUBSTITUTE(SUBSTITUTE(Registro!$H915,";",CHAR(10)),CHAR(10),REPT(" ",LEN(Registro!$H915))),({1,2,3,4,5,6,7,8,9,10,11,12,13,14,15,16,17,18,19,20,21,22,23,24,25,26,27,28,29,30}-1)*LEN(Registro!$H915)+1,LEN(Registro!$H915)))," ",REPT(" ",50)),50)))),"Revisar formato"))</f>
        <v/>
      </c>
      <c r="J915" s="24" t="str">
        <f>IF(Registro!$I915="","",IFERROR(SUMPRODUCT(--("0"&amp;TRIM(RIGHT(SUBSTITUTE(TRIM(MID(SUBSTITUTE(SUBSTITUTE(Registro!$I915,";",CHAR(10)),CHAR(10),REPT(" ",LEN(Registro!$I915))),({1,2,3,4,5,6,7,8,9,10,11,12,13,14,15,16,17,18,19,20,21,22,23,24,25,26,27,28,29,30}-1)*LEN(Registro!$I915)+1,LEN(Registro!$I915)))," ",REPT(" ",50)),50)))),"Revisar formato"))</f>
        <v/>
      </c>
      <c r="K915" s="24" t="str">
        <f>IF(AND(Registro!$G915="",Registro!$H915=""),"",IF(AND(ISTEXT(I915),I915&lt;&gt;""),"Revisar formato",N(Registro!$G915)-N(I915)))</f>
        <v/>
      </c>
      <c r="L915" s="24" t="str">
        <f t="shared" si="29"/>
        <v/>
      </c>
      <c r="M915" s="36" t="str">
        <f>IF(AND(A915=Consulta!$B$3,C915=Consulta!$H$3),B915*10000+ROW(),"")</f>
        <v/>
      </c>
    </row>
    <row r="916" spans="1:13" x14ac:dyDescent="0.25">
      <c r="A916" s="21" t="str">
        <f>IF(Registro!$A916="","",Registro!$A916)</f>
        <v/>
      </c>
      <c r="B916" s="20" t="str">
        <f>IF(Registro!$B916="","",Registro!$B916)</f>
        <v/>
      </c>
      <c r="C916" s="35" t="str">
        <f t="shared" si="28"/>
        <v/>
      </c>
      <c r="D916" s="23" t="str">
        <f>IF(Registro!$E916="","",IF(ISERROR(FIND("x",LOWER(Registro!$E916))),"-",IFERROR(SUMPRODUCT(--("0"&amp;LEFT(TRIM(MID(SUBSTITUTE(SUBSTITUTE(SUBSTITUTE(SUBSTITUTE(SUBSTITUTE(LOWER(Registro!$E916),"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",LEN(Registro!$E916))),({1,2,3,4,5,6,7,8,9,10,11,12,13,14,15,16,17,18,19,20,21,22,23,24,25,26,27,28,29,30}-1)*LEN(Registro!$E916)+1,LEN(Registro!$E916))),FIND("x",TRIM(MID(SUBSTITUTE(SUBSTITUTE(SUBSTITUTE(SUBSTITUTE(SUBSTITUTE(LOWER(Registro!$E916),"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",LEN(Registro!$E916))),({1,2,3,4,5,6,7,8,9,10,11,12,13,14,15,16,17,18,19,20,21,22,23,24,25,26,27,28,29,30}-1)*LEN(Registro!$E916)+1,LEN(Registro!$E916)))&amp;"x")-1))),"Revisar formato")))</f>
        <v/>
      </c>
      <c r="E916" s="24" t="str">
        <f>IF(Registro!$E916="","",IF(ISERROR(FIND("x",LOWER(Registro!$E916))),"-",IFERROR(SUMPRODUCT(--("0"&amp;LEFT(TRIM(MID(SUBSTITUTE(SUBSTITUTE(SUBSTITUTE(SUBSTITUTE(SUBSTITUTE(LOWER(Registro!$E916),"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",LEN(Registro!$E916))),({1,2,3,4,5,6,7,8,9,10,11,12,13,14,15,16,17,18,19,20,21,22,23,24,25,26,27,28,29,30}-1)*LEN(Registro!$E916)+1,LEN(Registro!$E916))),FIND("x",TRIM(MID(SUBSTITUTE(SUBSTITUTE(SUBSTITUTE(SUBSTITUTE(SUBSTITUTE(LOWER(Registro!$E916),"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",LEN(Registro!$E916))),({1,2,3,4,5,6,7,8,9,10,11,12,13,14,15,16,17,18,19,20,21,22,23,24,25,26,27,28,29,30}-1)*LEN(Registro!$E916)+1,LEN(Registro!$E916)))&amp;"x")-1)),--("0"&amp;MID(TRIM(MID(SUBSTITUTE(SUBSTITUTE(SUBSTITUTE(SUBSTITUTE(SUBSTITUTE(LOWER(Registro!$E916),"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",LEN(Registro!$E916))),({1,2,3,4,5,6,7,8,9,10,11,12,13,14,15,16,17,18,19,20,21,22,23,24,25,26,27,28,29,30}-1)*LEN(Registro!$E916)+1,LEN(Registro!$E916))),FIND("x",TRIM(MID(SUBSTITUTE(SUBSTITUTE(SUBSTITUTE(SUBSTITUTE(SUBSTITUTE(LOWER(Registro!$E916),"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",LEN(Registro!$E916))),({1,2,3,4,5,6,7,8,9,10,11,12,13,14,15,16,17,18,19,20,21,22,23,24,25,26,27,28,29,30}-1)*LEN(Registro!$E916)+1,LEN(Registro!$E916)))&amp;"x")+1,20))),"Revisar formato")))</f>
        <v/>
      </c>
      <c r="F916" s="23" t="str">
        <f>IF(Registro!$F916="","",IF(ISERROR(FIND("x",LOWER(Registro!$F916))),"-",IFERROR(SUMPRODUCT(--("0"&amp;LEFT(TRIM(MID(SUBSTITUTE(SUBSTITUTE(SUBSTITUTE(SUBSTITUTE(SUBSTITUTE(LOWER(Registro!$F916)," ",""),CHAR(10),"|"),";","|"),"+","|"),"|",REPT(" ",LEN(Registro!$F916))),({1,2,3,4,5,6,7,8,9,10,11,12,13,14,15,16,17,18,19,20,21,22,23,24,25,26,27,28,29,30}-1)*LEN(Registro!$F916)+1,LEN(Registro!$F916))),FIND("x",TRIM(MID(SUBSTITUTE(SUBSTITUTE(SUBSTITUTE(SUBSTITUTE(SUBSTITUTE(LOWER(Registro!$F916)," ",""),CHAR(10),"|"),";","|"),"+","|"),"|",REPT(" ",LEN(Registro!$F916))),({1,2,3,4,5,6,7,8,9,10,11,12,13,14,15,16,17,18,19,20,21,22,23,24,25,26,27,28,29,30}-1)*LEN(Registro!$F916)+1,LEN(Registro!$F916)))&amp;"x")-1))),"Revisar formato")))</f>
        <v/>
      </c>
      <c r="G916" s="24" t="str">
        <f>IF(Registro!$F916="","",IF(ISERROR(FIND("x",LOWER(Registro!$F916))),N(Registro!$G916),IFERROR(SUMPRODUCT(--("0"&amp;LEFT(TRIM(MID(SUBSTITUTE(SUBSTITUTE(SUBSTITUTE(SUBSTITUTE(SUBSTITUTE(LOWER(Registro!$F916)," ",""),CHAR(10),"|"),";","|"),"+","|"),"|",REPT(" ",LEN(Registro!$F916))),({1,2,3,4,5,6,7,8,9,10,11,12,13,14,15,16,17,18,19,20,21,22,23,24,25,26,27,28,29,30}-1)*LEN(Registro!$F916)+1,LEN(Registro!$F916))),FIND("x",TRIM(MID(SUBSTITUTE(SUBSTITUTE(SUBSTITUTE(SUBSTITUTE(SUBSTITUTE(LOWER(Registro!$F916)," ",""),CHAR(10),"|"),";","|"),"+","|"),"|",REPT(" ",LEN(Registro!$F916))),({1,2,3,4,5,6,7,8,9,10,11,12,13,14,15,16,17,18,19,20,21,22,23,24,25,26,27,28,29,30}-1)*LEN(Registro!$F916)+1,LEN(Registro!$F916)))&amp;"x")-1)),--("0"&amp;MID(TRIM(MID(SUBSTITUTE(SUBSTITUTE(SUBSTITUTE(SUBSTITUTE(SUBSTITUTE(LOWER(Registro!$F916)," ",""),CHAR(10),"|"),";","|"),"+","|"),"|",REPT(" ",LEN(Registro!$F916))),({1,2,3,4,5,6,7,8,9,10,11,12,13,14,15,16,17,18,19,20,21,22,23,24,25,26,27,28,29,30}-1)*LEN(Registro!$F916)+1,LEN(Registro!$F916))),FIND("x",TRIM(MID(SUBSTITUTE(SUBSTITUTE(SUBSTITUTE(SUBSTITUTE(SUBSTITUTE(LOWER(Registro!$F916)," ",""),CHAR(10),"|"),";","|"),"+","|"),"|",REPT(" ",LEN(Registro!$F916))),({1,2,3,4,5,6,7,8,9,10,11,12,13,14,15,16,17,18,19,20,21,22,23,24,25,26,27,28,29,30}-1)*LEN(Registro!$F916)+1,LEN(Registro!$F916)))&amp;"x")+1,20))),"Revisar formato")))</f>
        <v/>
      </c>
      <c r="H916" s="21" t="str">
        <f>IF(AND(Registro!$E916="",Registro!$F916=""),"",IF(NOT(AND(ISNUMBER(G916),ISNUMBER(Registro!$G916))),"",IF(G916&lt;Registro!$G916,"FALTA BOLETOS",IF(G916=Registro!$G916,"CONFORME","DIFERENCIA"))))</f>
        <v/>
      </c>
      <c r="I916" s="24" t="str">
        <f>IF(Registro!$H916="","",IFERROR(SUMPRODUCT(--("0"&amp;TRIM(RIGHT(SUBSTITUTE(TRIM(MID(SUBSTITUTE(SUBSTITUTE(Registro!$H916,";",CHAR(10)),CHAR(10),REPT(" ",LEN(Registro!$H916))),({1,2,3,4,5,6,7,8,9,10,11,12,13,14,15,16,17,18,19,20,21,22,23,24,25,26,27,28,29,30}-1)*LEN(Registro!$H916)+1,LEN(Registro!$H916)))," ",REPT(" ",50)),50)))),"Revisar formato"))</f>
        <v/>
      </c>
      <c r="J916" s="24" t="str">
        <f>IF(Registro!$I916="","",IFERROR(SUMPRODUCT(--("0"&amp;TRIM(RIGHT(SUBSTITUTE(TRIM(MID(SUBSTITUTE(SUBSTITUTE(Registro!$I916,";",CHAR(10)),CHAR(10),REPT(" ",LEN(Registro!$I916))),({1,2,3,4,5,6,7,8,9,10,11,12,13,14,15,16,17,18,19,20,21,22,23,24,25,26,27,28,29,30}-1)*LEN(Registro!$I916)+1,LEN(Registro!$I916)))," ",REPT(" ",50)),50)))),"Revisar formato"))</f>
        <v/>
      </c>
      <c r="K916" s="24" t="str">
        <f>IF(AND(Registro!$G916="",Registro!$H916=""),"",IF(AND(ISTEXT(I916),I916&lt;&gt;""),"Revisar formato",N(Registro!$G916)-N(I916)))</f>
        <v/>
      </c>
      <c r="L916" s="24" t="str">
        <f t="shared" si="29"/>
        <v/>
      </c>
      <c r="M916" s="36" t="str">
        <f>IF(AND(A916=Consulta!$B$3,C916=Consulta!$H$3),B916*10000+ROW(),"")</f>
        <v/>
      </c>
    </row>
    <row r="917" spans="1:13" x14ac:dyDescent="0.25">
      <c r="A917" s="21" t="str">
        <f>IF(Registro!$A917="","",Registro!$A917)</f>
        <v/>
      </c>
      <c r="B917" s="20" t="str">
        <f>IF(Registro!$B917="","",Registro!$B917)</f>
        <v/>
      </c>
      <c r="C917" s="35" t="str">
        <f t="shared" si="28"/>
        <v/>
      </c>
      <c r="D917" s="23" t="str">
        <f>IF(Registro!$E917="","",IF(ISERROR(FIND("x",LOWER(Registro!$E917))),"-",IFERROR(SUMPRODUCT(--("0"&amp;LEFT(TRIM(MID(SUBSTITUTE(SUBSTITUTE(SUBSTITUTE(SUBSTITUTE(SUBSTITUTE(LOWER(Registro!$E917),"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",LEN(Registro!$E917))),({1,2,3,4,5,6,7,8,9,10,11,12,13,14,15,16,17,18,19,20,21,22,23,24,25,26,27,28,29,30}-1)*LEN(Registro!$E917)+1,LEN(Registro!$E917))),FIND("x",TRIM(MID(SUBSTITUTE(SUBSTITUTE(SUBSTITUTE(SUBSTITUTE(SUBSTITUTE(LOWER(Registro!$E917),"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",LEN(Registro!$E917))),({1,2,3,4,5,6,7,8,9,10,11,12,13,14,15,16,17,18,19,20,21,22,23,24,25,26,27,28,29,30}-1)*LEN(Registro!$E917)+1,LEN(Registro!$E917)))&amp;"x")-1))),"Revisar formato")))</f>
        <v/>
      </c>
      <c r="E917" s="24" t="str">
        <f>IF(Registro!$E917="","",IF(ISERROR(FIND("x",LOWER(Registro!$E917))),"-",IFERROR(SUMPRODUCT(--("0"&amp;LEFT(TRIM(MID(SUBSTITUTE(SUBSTITUTE(SUBSTITUTE(SUBSTITUTE(SUBSTITUTE(LOWER(Registro!$E917),"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",LEN(Registro!$E917))),({1,2,3,4,5,6,7,8,9,10,11,12,13,14,15,16,17,18,19,20,21,22,23,24,25,26,27,28,29,30}-1)*LEN(Registro!$E917)+1,LEN(Registro!$E917))),FIND("x",TRIM(MID(SUBSTITUTE(SUBSTITUTE(SUBSTITUTE(SUBSTITUTE(SUBSTITUTE(LOWER(Registro!$E917),"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",LEN(Registro!$E917))),({1,2,3,4,5,6,7,8,9,10,11,12,13,14,15,16,17,18,19,20,21,22,23,24,25,26,27,28,29,30}-1)*LEN(Registro!$E917)+1,LEN(Registro!$E917)))&amp;"x")-1)),--("0"&amp;MID(TRIM(MID(SUBSTITUTE(SUBSTITUTE(SUBSTITUTE(SUBSTITUTE(SUBSTITUTE(LOWER(Registro!$E917),"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",LEN(Registro!$E917))),({1,2,3,4,5,6,7,8,9,10,11,12,13,14,15,16,17,18,19,20,21,22,23,24,25,26,27,28,29,30}-1)*LEN(Registro!$E917)+1,LEN(Registro!$E917))),FIND("x",TRIM(MID(SUBSTITUTE(SUBSTITUTE(SUBSTITUTE(SUBSTITUTE(SUBSTITUTE(LOWER(Registro!$E917),"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",LEN(Registro!$E917))),({1,2,3,4,5,6,7,8,9,10,11,12,13,14,15,16,17,18,19,20,21,22,23,24,25,26,27,28,29,30}-1)*LEN(Registro!$E917)+1,LEN(Registro!$E917)))&amp;"x")+1,20))),"Revisar formato")))</f>
        <v/>
      </c>
      <c r="F917" s="23" t="str">
        <f>IF(Registro!$F917="","",IF(ISERROR(FIND("x",LOWER(Registro!$F917))),"-",IFERROR(SUMPRODUCT(--("0"&amp;LEFT(TRIM(MID(SUBSTITUTE(SUBSTITUTE(SUBSTITUTE(SUBSTITUTE(SUBSTITUTE(LOWER(Registro!$F917)," ",""),CHAR(10),"|"),";","|"),"+","|"),"|",REPT(" ",LEN(Registro!$F917))),({1,2,3,4,5,6,7,8,9,10,11,12,13,14,15,16,17,18,19,20,21,22,23,24,25,26,27,28,29,30}-1)*LEN(Registro!$F917)+1,LEN(Registro!$F917))),FIND("x",TRIM(MID(SUBSTITUTE(SUBSTITUTE(SUBSTITUTE(SUBSTITUTE(SUBSTITUTE(LOWER(Registro!$F917)," ",""),CHAR(10),"|"),";","|"),"+","|"),"|",REPT(" ",LEN(Registro!$F917))),({1,2,3,4,5,6,7,8,9,10,11,12,13,14,15,16,17,18,19,20,21,22,23,24,25,26,27,28,29,30}-1)*LEN(Registro!$F917)+1,LEN(Registro!$F917)))&amp;"x")-1))),"Revisar formato")))</f>
        <v/>
      </c>
      <c r="G917" s="24" t="str">
        <f>IF(Registro!$F917="","",IF(ISERROR(FIND("x",LOWER(Registro!$F917))),N(Registro!$G917),IFERROR(SUMPRODUCT(--("0"&amp;LEFT(TRIM(MID(SUBSTITUTE(SUBSTITUTE(SUBSTITUTE(SUBSTITUTE(SUBSTITUTE(LOWER(Registro!$F917)," ",""),CHAR(10),"|"),";","|"),"+","|"),"|",REPT(" ",LEN(Registro!$F917))),({1,2,3,4,5,6,7,8,9,10,11,12,13,14,15,16,17,18,19,20,21,22,23,24,25,26,27,28,29,30}-1)*LEN(Registro!$F917)+1,LEN(Registro!$F917))),FIND("x",TRIM(MID(SUBSTITUTE(SUBSTITUTE(SUBSTITUTE(SUBSTITUTE(SUBSTITUTE(LOWER(Registro!$F917)," ",""),CHAR(10),"|"),";","|"),"+","|"),"|",REPT(" ",LEN(Registro!$F917))),({1,2,3,4,5,6,7,8,9,10,11,12,13,14,15,16,17,18,19,20,21,22,23,24,25,26,27,28,29,30}-1)*LEN(Registro!$F917)+1,LEN(Registro!$F917)))&amp;"x")-1)),--("0"&amp;MID(TRIM(MID(SUBSTITUTE(SUBSTITUTE(SUBSTITUTE(SUBSTITUTE(SUBSTITUTE(LOWER(Registro!$F917)," ",""),CHAR(10),"|"),";","|"),"+","|"),"|",REPT(" ",LEN(Registro!$F917))),({1,2,3,4,5,6,7,8,9,10,11,12,13,14,15,16,17,18,19,20,21,22,23,24,25,26,27,28,29,30}-1)*LEN(Registro!$F917)+1,LEN(Registro!$F917))),FIND("x",TRIM(MID(SUBSTITUTE(SUBSTITUTE(SUBSTITUTE(SUBSTITUTE(SUBSTITUTE(LOWER(Registro!$F917)," ",""),CHAR(10),"|"),";","|"),"+","|"),"|",REPT(" ",LEN(Registro!$F917))),({1,2,3,4,5,6,7,8,9,10,11,12,13,14,15,16,17,18,19,20,21,22,23,24,25,26,27,28,29,30}-1)*LEN(Registro!$F917)+1,LEN(Registro!$F917)))&amp;"x")+1,20))),"Revisar formato")))</f>
        <v/>
      </c>
      <c r="H917" s="21" t="str">
        <f>IF(AND(Registro!$E917="",Registro!$F917=""),"",IF(NOT(AND(ISNUMBER(G917),ISNUMBER(Registro!$G917))),"",IF(G917&lt;Registro!$G917,"FALTA BOLETOS",IF(G917=Registro!$G917,"CONFORME","DIFERENCIA"))))</f>
        <v/>
      </c>
      <c r="I917" s="24" t="str">
        <f>IF(Registro!$H917="","",IFERROR(SUMPRODUCT(--("0"&amp;TRIM(RIGHT(SUBSTITUTE(TRIM(MID(SUBSTITUTE(SUBSTITUTE(Registro!$H917,";",CHAR(10)),CHAR(10),REPT(" ",LEN(Registro!$H917))),({1,2,3,4,5,6,7,8,9,10,11,12,13,14,15,16,17,18,19,20,21,22,23,24,25,26,27,28,29,30}-1)*LEN(Registro!$H917)+1,LEN(Registro!$H917)))," ",REPT(" ",50)),50)))),"Revisar formato"))</f>
        <v/>
      </c>
      <c r="J917" s="24" t="str">
        <f>IF(Registro!$I917="","",IFERROR(SUMPRODUCT(--("0"&amp;TRIM(RIGHT(SUBSTITUTE(TRIM(MID(SUBSTITUTE(SUBSTITUTE(Registro!$I917,";",CHAR(10)),CHAR(10),REPT(" ",LEN(Registro!$I917))),({1,2,3,4,5,6,7,8,9,10,11,12,13,14,15,16,17,18,19,20,21,22,23,24,25,26,27,28,29,30}-1)*LEN(Registro!$I917)+1,LEN(Registro!$I917)))," ",REPT(" ",50)),50)))),"Revisar formato"))</f>
        <v/>
      </c>
      <c r="K917" s="24" t="str">
        <f>IF(AND(Registro!$G917="",Registro!$H917=""),"",IF(AND(ISTEXT(I917),I917&lt;&gt;""),"Revisar formato",N(Registro!$G917)-N(I917)))</f>
        <v/>
      </c>
      <c r="L917" s="24" t="str">
        <f t="shared" si="29"/>
        <v/>
      </c>
      <c r="M917" s="36" t="str">
        <f>IF(AND(A917=Consulta!$B$3,C917=Consulta!$H$3),B917*10000+ROW(),"")</f>
        <v/>
      </c>
    </row>
    <row r="918" spans="1:13" x14ac:dyDescent="0.25">
      <c r="A918" s="21" t="str">
        <f>IF(Registro!$A918="","",Registro!$A918)</f>
        <v/>
      </c>
      <c r="B918" s="20" t="str">
        <f>IF(Registro!$B918="","",Registro!$B918)</f>
        <v/>
      </c>
      <c r="C918" s="35" t="str">
        <f t="shared" si="28"/>
        <v/>
      </c>
      <c r="D918" s="23" t="str">
        <f>IF(Registro!$E918="","",IF(ISERROR(FIND("x",LOWER(Registro!$E918))),"-",IFERROR(SUMPRODUCT(--("0"&amp;LEFT(TRIM(MID(SUBSTITUTE(SUBSTITUTE(SUBSTITUTE(SUBSTITUTE(SUBSTITUTE(LOWER(Registro!$E918),"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",LEN(Registro!$E918))),({1,2,3,4,5,6,7,8,9,10,11,12,13,14,15,16,17,18,19,20,21,22,23,24,25,26,27,28,29,30}-1)*LEN(Registro!$E918)+1,LEN(Registro!$E918))),FIND("x",TRIM(MID(SUBSTITUTE(SUBSTITUTE(SUBSTITUTE(SUBSTITUTE(SUBSTITUTE(LOWER(Registro!$E918),"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",LEN(Registro!$E918))),({1,2,3,4,5,6,7,8,9,10,11,12,13,14,15,16,17,18,19,20,21,22,23,24,25,26,27,28,29,30}-1)*LEN(Registro!$E918)+1,LEN(Registro!$E918)))&amp;"x")-1))),"Revisar formato")))</f>
        <v/>
      </c>
      <c r="E918" s="24" t="str">
        <f>IF(Registro!$E918="","",IF(ISERROR(FIND("x",LOWER(Registro!$E918))),"-",IFERROR(SUMPRODUCT(--("0"&amp;LEFT(TRIM(MID(SUBSTITUTE(SUBSTITUTE(SUBSTITUTE(SUBSTITUTE(SUBSTITUTE(LOWER(Registro!$E918),"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",LEN(Registro!$E918))),({1,2,3,4,5,6,7,8,9,10,11,12,13,14,15,16,17,18,19,20,21,22,23,24,25,26,27,28,29,30}-1)*LEN(Registro!$E918)+1,LEN(Registro!$E918))),FIND("x",TRIM(MID(SUBSTITUTE(SUBSTITUTE(SUBSTITUTE(SUBSTITUTE(SUBSTITUTE(LOWER(Registro!$E918),"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",LEN(Registro!$E918))),({1,2,3,4,5,6,7,8,9,10,11,12,13,14,15,16,17,18,19,20,21,22,23,24,25,26,27,28,29,30}-1)*LEN(Registro!$E918)+1,LEN(Registro!$E918)))&amp;"x")-1)),--("0"&amp;MID(TRIM(MID(SUBSTITUTE(SUBSTITUTE(SUBSTITUTE(SUBSTITUTE(SUBSTITUTE(LOWER(Registro!$E918),"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",LEN(Registro!$E918))),({1,2,3,4,5,6,7,8,9,10,11,12,13,14,15,16,17,18,19,20,21,22,23,24,25,26,27,28,29,30}-1)*LEN(Registro!$E918)+1,LEN(Registro!$E918))),FIND("x",TRIM(MID(SUBSTITUTE(SUBSTITUTE(SUBSTITUTE(SUBSTITUTE(SUBSTITUTE(LOWER(Registro!$E918),"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",LEN(Registro!$E918))),({1,2,3,4,5,6,7,8,9,10,11,12,13,14,15,16,17,18,19,20,21,22,23,24,25,26,27,28,29,30}-1)*LEN(Registro!$E918)+1,LEN(Registro!$E918)))&amp;"x")+1,20))),"Revisar formato")))</f>
        <v/>
      </c>
      <c r="F918" s="23" t="str">
        <f>IF(Registro!$F918="","",IF(ISERROR(FIND("x",LOWER(Registro!$F918))),"-",IFERROR(SUMPRODUCT(--("0"&amp;LEFT(TRIM(MID(SUBSTITUTE(SUBSTITUTE(SUBSTITUTE(SUBSTITUTE(SUBSTITUTE(LOWER(Registro!$F918)," ",""),CHAR(10),"|"),";","|"),"+","|"),"|",REPT(" ",LEN(Registro!$F918))),({1,2,3,4,5,6,7,8,9,10,11,12,13,14,15,16,17,18,19,20,21,22,23,24,25,26,27,28,29,30}-1)*LEN(Registro!$F918)+1,LEN(Registro!$F918))),FIND("x",TRIM(MID(SUBSTITUTE(SUBSTITUTE(SUBSTITUTE(SUBSTITUTE(SUBSTITUTE(LOWER(Registro!$F918)," ",""),CHAR(10),"|"),";","|"),"+","|"),"|",REPT(" ",LEN(Registro!$F918))),({1,2,3,4,5,6,7,8,9,10,11,12,13,14,15,16,17,18,19,20,21,22,23,24,25,26,27,28,29,30}-1)*LEN(Registro!$F918)+1,LEN(Registro!$F918)))&amp;"x")-1))),"Revisar formato")))</f>
        <v/>
      </c>
      <c r="G918" s="24" t="str">
        <f>IF(Registro!$F918="","",IF(ISERROR(FIND("x",LOWER(Registro!$F918))),N(Registro!$G918),IFERROR(SUMPRODUCT(--("0"&amp;LEFT(TRIM(MID(SUBSTITUTE(SUBSTITUTE(SUBSTITUTE(SUBSTITUTE(SUBSTITUTE(LOWER(Registro!$F918)," ",""),CHAR(10),"|"),";","|"),"+","|"),"|",REPT(" ",LEN(Registro!$F918))),({1,2,3,4,5,6,7,8,9,10,11,12,13,14,15,16,17,18,19,20,21,22,23,24,25,26,27,28,29,30}-1)*LEN(Registro!$F918)+1,LEN(Registro!$F918))),FIND("x",TRIM(MID(SUBSTITUTE(SUBSTITUTE(SUBSTITUTE(SUBSTITUTE(SUBSTITUTE(LOWER(Registro!$F918)," ",""),CHAR(10),"|"),";","|"),"+","|"),"|",REPT(" ",LEN(Registro!$F918))),({1,2,3,4,5,6,7,8,9,10,11,12,13,14,15,16,17,18,19,20,21,22,23,24,25,26,27,28,29,30}-1)*LEN(Registro!$F918)+1,LEN(Registro!$F918)))&amp;"x")-1)),--("0"&amp;MID(TRIM(MID(SUBSTITUTE(SUBSTITUTE(SUBSTITUTE(SUBSTITUTE(SUBSTITUTE(LOWER(Registro!$F918)," ",""),CHAR(10),"|"),";","|"),"+","|"),"|",REPT(" ",LEN(Registro!$F918))),({1,2,3,4,5,6,7,8,9,10,11,12,13,14,15,16,17,18,19,20,21,22,23,24,25,26,27,28,29,30}-1)*LEN(Registro!$F918)+1,LEN(Registro!$F918))),FIND("x",TRIM(MID(SUBSTITUTE(SUBSTITUTE(SUBSTITUTE(SUBSTITUTE(SUBSTITUTE(LOWER(Registro!$F918)," ",""),CHAR(10),"|"),";","|"),"+","|"),"|",REPT(" ",LEN(Registro!$F918))),({1,2,3,4,5,6,7,8,9,10,11,12,13,14,15,16,17,18,19,20,21,22,23,24,25,26,27,28,29,30}-1)*LEN(Registro!$F918)+1,LEN(Registro!$F918)))&amp;"x")+1,20))),"Revisar formato")))</f>
        <v/>
      </c>
      <c r="H918" s="21" t="str">
        <f>IF(AND(Registro!$E918="",Registro!$F918=""),"",IF(NOT(AND(ISNUMBER(G918),ISNUMBER(Registro!$G918))),"",IF(G918&lt;Registro!$G918,"FALTA BOLETOS",IF(G918=Registro!$G918,"CONFORME","DIFERENCIA"))))</f>
        <v/>
      </c>
      <c r="I918" s="24" t="str">
        <f>IF(Registro!$H918="","",IFERROR(SUMPRODUCT(--("0"&amp;TRIM(RIGHT(SUBSTITUTE(TRIM(MID(SUBSTITUTE(SUBSTITUTE(Registro!$H918,";",CHAR(10)),CHAR(10),REPT(" ",LEN(Registro!$H918))),({1,2,3,4,5,6,7,8,9,10,11,12,13,14,15,16,17,18,19,20,21,22,23,24,25,26,27,28,29,30}-1)*LEN(Registro!$H918)+1,LEN(Registro!$H918)))," ",REPT(" ",50)),50)))),"Revisar formato"))</f>
        <v/>
      </c>
      <c r="J918" s="24" t="str">
        <f>IF(Registro!$I918="","",IFERROR(SUMPRODUCT(--("0"&amp;TRIM(RIGHT(SUBSTITUTE(TRIM(MID(SUBSTITUTE(SUBSTITUTE(Registro!$I918,";",CHAR(10)),CHAR(10),REPT(" ",LEN(Registro!$I918))),({1,2,3,4,5,6,7,8,9,10,11,12,13,14,15,16,17,18,19,20,21,22,23,24,25,26,27,28,29,30}-1)*LEN(Registro!$I918)+1,LEN(Registro!$I918)))," ",REPT(" ",50)),50)))),"Revisar formato"))</f>
        <v/>
      </c>
      <c r="K918" s="24" t="str">
        <f>IF(AND(Registro!$G918="",Registro!$H918=""),"",IF(AND(ISTEXT(I918),I918&lt;&gt;""),"Revisar formato",N(Registro!$G918)-N(I918)))</f>
        <v/>
      </c>
      <c r="L918" s="24" t="str">
        <f t="shared" si="29"/>
        <v/>
      </c>
      <c r="M918" s="36" t="str">
        <f>IF(AND(A918=Consulta!$B$3,C918=Consulta!$H$3),B918*10000+ROW(),"")</f>
        <v/>
      </c>
    </row>
    <row r="919" spans="1:13" x14ac:dyDescent="0.25">
      <c r="A919" s="21" t="str">
        <f>IF(Registro!$A919="","",Registro!$A919)</f>
        <v/>
      </c>
      <c r="B919" s="20" t="str">
        <f>IF(Registro!$B919="","",Registro!$B919)</f>
        <v/>
      </c>
      <c r="C919" s="35" t="str">
        <f t="shared" si="28"/>
        <v/>
      </c>
      <c r="D919" s="23" t="str">
        <f>IF(Registro!$E919="","",IF(ISERROR(FIND("x",LOWER(Registro!$E919))),"-",IFERROR(SUMPRODUCT(--("0"&amp;LEFT(TRIM(MID(SUBSTITUTE(SUBSTITUTE(SUBSTITUTE(SUBSTITUTE(SUBSTITUTE(LOWER(Registro!$E919),"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",LEN(Registro!$E919))),({1,2,3,4,5,6,7,8,9,10,11,12,13,14,15,16,17,18,19,20,21,22,23,24,25,26,27,28,29,30}-1)*LEN(Registro!$E919)+1,LEN(Registro!$E919))),FIND("x",TRIM(MID(SUBSTITUTE(SUBSTITUTE(SUBSTITUTE(SUBSTITUTE(SUBSTITUTE(LOWER(Registro!$E919),"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",LEN(Registro!$E919))),({1,2,3,4,5,6,7,8,9,10,11,12,13,14,15,16,17,18,19,20,21,22,23,24,25,26,27,28,29,30}-1)*LEN(Registro!$E919)+1,LEN(Registro!$E919)))&amp;"x")-1))),"Revisar formato")))</f>
        <v/>
      </c>
      <c r="E919" s="24" t="str">
        <f>IF(Registro!$E919="","",IF(ISERROR(FIND("x",LOWER(Registro!$E919))),"-",IFERROR(SUMPRODUCT(--("0"&amp;LEFT(TRIM(MID(SUBSTITUTE(SUBSTITUTE(SUBSTITUTE(SUBSTITUTE(SUBSTITUTE(LOWER(Registro!$E919),"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",LEN(Registro!$E919))),({1,2,3,4,5,6,7,8,9,10,11,12,13,14,15,16,17,18,19,20,21,22,23,24,25,26,27,28,29,30}-1)*LEN(Registro!$E919)+1,LEN(Registro!$E919))),FIND("x",TRIM(MID(SUBSTITUTE(SUBSTITUTE(SUBSTITUTE(SUBSTITUTE(SUBSTITUTE(LOWER(Registro!$E919),"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",LEN(Registro!$E919))),({1,2,3,4,5,6,7,8,9,10,11,12,13,14,15,16,17,18,19,20,21,22,23,24,25,26,27,28,29,30}-1)*LEN(Registro!$E919)+1,LEN(Registro!$E919)))&amp;"x")-1)),--("0"&amp;MID(TRIM(MID(SUBSTITUTE(SUBSTITUTE(SUBSTITUTE(SUBSTITUTE(SUBSTITUTE(LOWER(Registro!$E919),"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",LEN(Registro!$E919))),({1,2,3,4,5,6,7,8,9,10,11,12,13,14,15,16,17,18,19,20,21,22,23,24,25,26,27,28,29,30}-1)*LEN(Registro!$E919)+1,LEN(Registro!$E919))),FIND("x",TRIM(MID(SUBSTITUTE(SUBSTITUTE(SUBSTITUTE(SUBSTITUTE(SUBSTITUTE(LOWER(Registro!$E919),"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",LEN(Registro!$E919))),({1,2,3,4,5,6,7,8,9,10,11,12,13,14,15,16,17,18,19,20,21,22,23,24,25,26,27,28,29,30}-1)*LEN(Registro!$E919)+1,LEN(Registro!$E919)))&amp;"x")+1,20))),"Revisar formato")))</f>
        <v/>
      </c>
      <c r="F919" s="23" t="str">
        <f>IF(Registro!$F919="","",IF(ISERROR(FIND("x",LOWER(Registro!$F919))),"-",IFERROR(SUMPRODUCT(--("0"&amp;LEFT(TRIM(MID(SUBSTITUTE(SUBSTITUTE(SUBSTITUTE(SUBSTITUTE(SUBSTITUTE(LOWER(Registro!$F919)," ",""),CHAR(10),"|"),";","|"),"+","|"),"|",REPT(" ",LEN(Registro!$F919))),({1,2,3,4,5,6,7,8,9,10,11,12,13,14,15,16,17,18,19,20,21,22,23,24,25,26,27,28,29,30}-1)*LEN(Registro!$F919)+1,LEN(Registro!$F919))),FIND("x",TRIM(MID(SUBSTITUTE(SUBSTITUTE(SUBSTITUTE(SUBSTITUTE(SUBSTITUTE(LOWER(Registro!$F919)," ",""),CHAR(10),"|"),";","|"),"+","|"),"|",REPT(" ",LEN(Registro!$F919))),({1,2,3,4,5,6,7,8,9,10,11,12,13,14,15,16,17,18,19,20,21,22,23,24,25,26,27,28,29,30}-1)*LEN(Registro!$F919)+1,LEN(Registro!$F919)))&amp;"x")-1))),"Revisar formato")))</f>
        <v/>
      </c>
      <c r="G919" s="24" t="str">
        <f>IF(Registro!$F919="","",IF(ISERROR(FIND("x",LOWER(Registro!$F919))),N(Registro!$G919),IFERROR(SUMPRODUCT(--("0"&amp;LEFT(TRIM(MID(SUBSTITUTE(SUBSTITUTE(SUBSTITUTE(SUBSTITUTE(SUBSTITUTE(LOWER(Registro!$F919)," ",""),CHAR(10),"|"),";","|"),"+","|"),"|",REPT(" ",LEN(Registro!$F919))),({1,2,3,4,5,6,7,8,9,10,11,12,13,14,15,16,17,18,19,20,21,22,23,24,25,26,27,28,29,30}-1)*LEN(Registro!$F919)+1,LEN(Registro!$F919))),FIND("x",TRIM(MID(SUBSTITUTE(SUBSTITUTE(SUBSTITUTE(SUBSTITUTE(SUBSTITUTE(LOWER(Registro!$F919)," ",""),CHAR(10),"|"),";","|"),"+","|"),"|",REPT(" ",LEN(Registro!$F919))),({1,2,3,4,5,6,7,8,9,10,11,12,13,14,15,16,17,18,19,20,21,22,23,24,25,26,27,28,29,30}-1)*LEN(Registro!$F919)+1,LEN(Registro!$F919)))&amp;"x")-1)),--("0"&amp;MID(TRIM(MID(SUBSTITUTE(SUBSTITUTE(SUBSTITUTE(SUBSTITUTE(SUBSTITUTE(LOWER(Registro!$F919)," ",""),CHAR(10),"|"),";","|"),"+","|"),"|",REPT(" ",LEN(Registro!$F919))),({1,2,3,4,5,6,7,8,9,10,11,12,13,14,15,16,17,18,19,20,21,22,23,24,25,26,27,28,29,30}-1)*LEN(Registro!$F919)+1,LEN(Registro!$F919))),FIND("x",TRIM(MID(SUBSTITUTE(SUBSTITUTE(SUBSTITUTE(SUBSTITUTE(SUBSTITUTE(LOWER(Registro!$F919)," ",""),CHAR(10),"|"),";","|"),"+","|"),"|",REPT(" ",LEN(Registro!$F919))),({1,2,3,4,5,6,7,8,9,10,11,12,13,14,15,16,17,18,19,20,21,22,23,24,25,26,27,28,29,30}-1)*LEN(Registro!$F919)+1,LEN(Registro!$F919)))&amp;"x")+1,20))),"Revisar formato")))</f>
        <v/>
      </c>
      <c r="H919" s="21" t="str">
        <f>IF(AND(Registro!$E919="",Registro!$F919=""),"",IF(NOT(AND(ISNUMBER(G919),ISNUMBER(Registro!$G919))),"",IF(G919&lt;Registro!$G919,"FALTA BOLETOS",IF(G919=Registro!$G919,"CONFORME","DIFERENCIA"))))</f>
        <v/>
      </c>
      <c r="I919" s="24" t="str">
        <f>IF(Registro!$H919="","",IFERROR(SUMPRODUCT(--("0"&amp;TRIM(RIGHT(SUBSTITUTE(TRIM(MID(SUBSTITUTE(SUBSTITUTE(Registro!$H919,";",CHAR(10)),CHAR(10),REPT(" ",LEN(Registro!$H919))),({1,2,3,4,5,6,7,8,9,10,11,12,13,14,15,16,17,18,19,20,21,22,23,24,25,26,27,28,29,30}-1)*LEN(Registro!$H919)+1,LEN(Registro!$H919)))," ",REPT(" ",50)),50)))),"Revisar formato"))</f>
        <v/>
      </c>
      <c r="J919" s="24" t="str">
        <f>IF(Registro!$I919="","",IFERROR(SUMPRODUCT(--("0"&amp;TRIM(RIGHT(SUBSTITUTE(TRIM(MID(SUBSTITUTE(SUBSTITUTE(Registro!$I919,";",CHAR(10)),CHAR(10),REPT(" ",LEN(Registro!$I919))),({1,2,3,4,5,6,7,8,9,10,11,12,13,14,15,16,17,18,19,20,21,22,23,24,25,26,27,28,29,30}-1)*LEN(Registro!$I919)+1,LEN(Registro!$I919)))," ",REPT(" ",50)),50)))),"Revisar formato"))</f>
        <v/>
      </c>
      <c r="K919" s="24" t="str">
        <f>IF(AND(Registro!$G919="",Registro!$H919=""),"",IF(AND(ISTEXT(I919),I919&lt;&gt;""),"Revisar formato",N(Registro!$G919)-N(I919)))</f>
        <v/>
      </c>
      <c r="L919" s="24" t="str">
        <f t="shared" si="29"/>
        <v/>
      </c>
      <c r="M919" s="36" t="str">
        <f>IF(AND(A919=Consulta!$B$3,C919=Consulta!$H$3),B919*10000+ROW(),"")</f>
        <v/>
      </c>
    </row>
    <row r="920" spans="1:13" x14ac:dyDescent="0.25">
      <c r="A920" s="21" t="str">
        <f>IF(Registro!$A920="","",Registro!$A920)</f>
        <v/>
      </c>
      <c r="B920" s="20" t="str">
        <f>IF(Registro!$B920="","",Registro!$B920)</f>
        <v/>
      </c>
      <c r="C920" s="35" t="str">
        <f t="shared" si="28"/>
        <v/>
      </c>
      <c r="D920" s="23" t="str">
        <f>IF(Registro!$E920="","",IF(ISERROR(FIND("x",LOWER(Registro!$E920))),"-",IFERROR(SUMPRODUCT(--("0"&amp;LEFT(TRIM(MID(SUBSTITUTE(SUBSTITUTE(SUBSTITUTE(SUBSTITUTE(SUBSTITUTE(LOWER(Registro!$E920),"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",LEN(Registro!$E920))),({1,2,3,4,5,6,7,8,9,10,11,12,13,14,15,16,17,18,19,20,21,22,23,24,25,26,27,28,29,30}-1)*LEN(Registro!$E920)+1,LEN(Registro!$E920))),FIND("x",TRIM(MID(SUBSTITUTE(SUBSTITUTE(SUBSTITUTE(SUBSTITUTE(SUBSTITUTE(LOWER(Registro!$E920),"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",LEN(Registro!$E920))),({1,2,3,4,5,6,7,8,9,10,11,12,13,14,15,16,17,18,19,20,21,22,23,24,25,26,27,28,29,30}-1)*LEN(Registro!$E920)+1,LEN(Registro!$E920)))&amp;"x")-1))),"Revisar formato")))</f>
        <v/>
      </c>
      <c r="E920" s="24" t="str">
        <f>IF(Registro!$E920="","",IF(ISERROR(FIND("x",LOWER(Registro!$E920))),"-",IFERROR(SUMPRODUCT(--("0"&amp;LEFT(TRIM(MID(SUBSTITUTE(SUBSTITUTE(SUBSTITUTE(SUBSTITUTE(SUBSTITUTE(LOWER(Registro!$E920),"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",LEN(Registro!$E920))),({1,2,3,4,5,6,7,8,9,10,11,12,13,14,15,16,17,18,19,20,21,22,23,24,25,26,27,28,29,30}-1)*LEN(Registro!$E920)+1,LEN(Registro!$E920))),FIND("x",TRIM(MID(SUBSTITUTE(SUBSTITUTE(SUBSTITUTE(SUBSTITUTE(SUBSTITUTE(LOWER(Registro!$E920),"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",LEN(Registro!$E920))),({1,2,3,4,5,6,7,8,9,10,11,12,13,14,15,16,17,18,19,20,21,22,23,24,25,26,27,28,29,30}-1)*LEN(Registro!$E920)+1,LEN(Registro!$E920)))&amp;"x")-1)),--("0"&amp;MID(TRIM(MID(SUBSTITUTE(SUBSTITUTE(SUBSTITUTE(SUBSTITUTE(SUBSTITUTE(LOWER(Registro!$E920),"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",LEN(Registro!$E920))),({1,2,3,4,5,6,7,8,9,10,11,12,13,14,15,16,17,18,19,20,21,22,23,24,25,26,27,28,29,30}-1)*LEN(Registro!$E920)+1,LEN(Registro!$E920))),FIND("x",TRIM(MID(SUBSTITUTE(SUBSTITUTE(SUBSTITUTE(SUBSTITUTE(SUBSTITUTE(LOWER(Registro!$E920),"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",LEN(Registro!$E920))),({1,2,3,4,5,6,7,8,9,10,11,12,13,14,15,16,17,18,19,20,21,22,23,24,25,26,27,28,29,30}-1)*LEN(Registro!$E920)+1,LEN(Registro!$E920)))&amp;"x")+1,20))),"Revisar formato")))</f>
        <v/>
      </c>
      <c r="F920" s="23" t="str">
        <f>IF(Registro!$F920="","",IF(ISERROR(FIND("x",LOWER(Registro!$F920))),"-",IFERROR(SUMPRODUCT(--("0"&amp;LEFT(TRIM(MID(SUBSTITUTE(SUBSTITUTE(SUBSTITUTE(SUBSTITUTE(SUBSTITUTE(LOWER(Registro!$F920)," ",""),CHAR(10),"|"),";","|"),"+","|"),"|",REPT(" ",LEN(Registro!$F920))),({1,2,3,4,5,6,7,8,9,10,11,12,13,14,15,16,17,18,19,20,21,22,23,24,25,26,27,28,29,30}-1)*LEN(Registro!$F920)+1,LEN(Registro!$F920))),FIND("x",TRIM(MID(SUBSTITUTE(SUBSTITUTE(SUBSTITUTE(SUBSTITUTE(SUBSTITUTE(LOWER(Registro!$F920)," ",""),CHAR(10),"|"),";","|"),"+","|"),"|",REPT(" ",LEN(Registro!$F920))),({1,2,3,4,5,6,7,8,9,10,11,12,13,14,15,16,17,18,19,20,21,22,23,24,25,26,27,28,29,30}-1)*LEN(Registro!$F920)+1,LEN(Registro!$F920)))&amp;"x")-1))),"Revisar formato")))</f>
        <v/>
      </c>
      <c r="G920" s="24" t="str">
        <f>IF(Registro!$F920="","",IF(ISERROR(FIND("x",LOWER(Registro!$F920))),N(Registro!$G920),IFERROR(SUMPRODUCT(--("0"&amp;LEFT(TRIM(MID(SUBSTITUTE(SUBSTITUTE(SUBSTITUTE(SUBSTITUTE(SUBSTITUTE(LOWER(Registro!$F920)," ",""),CHAR(10),"|"),";","|"),"+","|"),"|",REPT(" ",LEN(Registro!$F920))),({1,2,3,4,5,6,7,8,9,10,11,12,13,14,15,16,17,18,19,20,21,22,23,24,25,26,27,28,29,30}-1)*LEN(Registro!$F920)+1,LEN(Registro!$F920))),FIND("x",TRIM(MID(SUBSTITUTE(SUBSTITUTE(SUBSTITUTE(SUBSTITUTE(SUBSTITUTE(LOWER(Registro!$F920)," ",""),CHAR(10),"|"),";","|"),"+","|"),"|",REPT(" ",LEN(Registro!$F920))),({1,2,3,4,5,6,7,8,9,10,11,12,13,14,15,16,17,18,19,20,21,22,23,24,25,26,27,28,29,30}-1)*LEN(Registro!$F920)+1,LEN(Registro!$F920)))&amp;"x")-1)),--("0"&amp;MID(TRIM(MID(SUBSTITUTE(SUBSTITUTE(SUBSTITUTE(SUBSTITUTE(SUBSTITUTE(LOWER(Registro!$F920)," ",""),CHAR(10),"|"),";","|"),"+","|"),"|",REPT(" ",LEN(Registro!$F920))),({1,2,3,4,5,6,7,8,9,10,11,12,13,14,15,16,17,18,19,20,21,22,23,24,25,26,27,28,29,30}-1)*LEN(Registro!$F920)+1,LEN(Registro!$F920))),FIND("x",TRIM(MID(SUBSTITUTE(SUBSTITUTE(SUBSTITUTE(SUBSTITUTE(SUBSTITUTE(LOWER(Registro!$F920)," ",""),CHAR(10),"|"),";","|"),"+","|"),"|",REPT(" ",LEN(Registro!$F920))),({1,2,3,4,5,6,7,8,9,10,11,12,13,14,15,16,17,18,19,20,21,22,23,24,25,26,27,28,29,30}-1)*LEN(Registro!$F920)+1,LEN(Registro!$F920)))&amp;"x")+1,20))),"Revisar formato")))</f>
        <v/>
      </c>
      <c r="H920" s="21" t="str">
        <f>IF(AND(Registro!$E920="",Registro!$F920=""),"",IF(NOT(AND(ISNUMBER(G920),ISNUMBER(Registro!$G920))),"",IF(G920&lt;Registro!$G920,"FALTA BOLETOS",IF(G920=Registro!$G920,"CONFORME","DIFERENCIA"))))</f>
        <v/>
      </c>
      <c r="I920" s="24" t="str">
        <f>IF(Registro!$H920="","",IFERROR(SUMPRODUCT(--("0"&amp;TRIM(RIGHT(SUBSTITUTE(TRIM(MID(SUBSTITUTE(SUBSTITUTE(Registro!$H920,";",CHAR(10)),CHAR(10),REPT(" ",LEN(Registro!$H920))),({1,2,3,4,5,6,7,8,9,10,11,12,13,14,15,16,17,18,19,20,21,22,23,24,25,26,27,28,29,30}-1)*LEN(Registro!$H920)+1,LEN(Registro!$H920)))," ",REPT(" ",50)),50)))),"Revisar formato"))</f>
        <v/>
      </c>
      <c r="J920" s="24" t="str">
        <f>IF(Registro!$I920="","",IFERROR(SUMPRODUCT(--("0"&amp;TRIM(RIGHT(SUBSTITUTE(TRIM(MID(SUBSTITUTE(SUBSTITUTE(Registro!$I920,";",CHAR(10)),CHAR(10),REPT(" ",LEN(Registro!$I920))),({1,2,3,4,5,6,7,8,9,10,11,12,13,14,15,16,17,18,19,20,21,22,23,24,25,26,27,28,29,30}-1)*LEN(Registro!$I920)+1,LEN(Registro!$I920)))," ",REPT(" ",50)),50)))),"Revisar formato"))</f>
        <v/>
      </c>
      <c r="K920" s="24" t="str">
        <f>IF(AND(Registro!$G920="",Registro!$H920=""),"",IF(AND(ISTEXT(I920),I920&lt;&gt;""),"Revisar formato",N(Registro!$G920)-N(I920)))</f>
        <v/>
      </c>
      <c r="L920" s="24" t="str">
        <f t="shared" si="29"/>
        <v/>
      </c>
      <c r="M920" s="36" t="str">
        <f>IF(AND(A920=Consulta!$B$3,C920=Consulta!$H$3),B920*10000+ROW(),"")</f>
        <v/>
      </c>
    </row>
    <row r="921" spans="1:13" x14ac:dyDescent="0.25">
      <c r="A921" s="21" t="str">
        <f>IF(Registro!$A921="","",Registro!$A921)</f>
        <v/>
      </c>
      <c r="B921" s="20" t="str">
        <f>IF(Registro!$B921="","",Registro!$B921)</f>
        <v/>
      </c>
      <c r="C921" s="35" t="str">
        <f t="shared" si="28"/>
        <v/>
      </c>
      <c r="D921" s="23" t="str">
        <f>IF(Registro!$E921="","",IF(ISERROR(FIND("x",LOWER(Registro!$E921))),"-",IFERROR(SUMPRODUCT(--("0"&amp;LEFT(TRIM(MID(SUBSTITUTE(SUBSTITUTE(SUBSTITUTE(SUBSTITUTE(SUBSTITUTE(LOWER(Registro!$E921),"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",LEN(Registro!$E921))),({1,2,3,4,5,6,7,8,9,10,11,12,13,14,15,16,17,18,19,20,21,22,23,24,25,26,27,28,29,30}-1)*LEN(Registro!$E921)+1,LEN(Registro!$E921))),FIND("x",TRIM(MID(SUBSTITUTE(SUBSTITUTE(SUBSTITUTE(SUBSTITUTE(SUBSTITUTE(LOWER(Registro!$E921),"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",LEN(Registro!$E921))),({1,2,3,4,5,6,7,8,9,10,11,12,13,14,15,16,17,18,19,20,21,22,23,24,25,26,27,28,29,30}-1)*LEN(Registro!$E921)+1,LEN(Registro!$E921)))&amp;"x")-1))),"Revisar formato")))</f>
        <v/>
      </c>
      <c r="E921" s="24" t="str">
        <f>IF(Registro!$E921="","",IF(ISERROR(FIND("x",LOWER(Registro!$E921))),"-",IFERROR(SUMPRODUCT(--("0"&amp;LEFT(TRIM(MID(SUBSTITUTE(SUBSTITUTE(SUBSTITUTE(SUBSTITUTE(SUBSTITUTE(LOWER(Registro!$E921),"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",LEN(Registro!$E921))),({1,2,3,4,5,6,7,8,9,10,11,12,13,14,15,16,17,18,19,20,21,22,23,24,25,26,27,28,29,30}-1)*LEN(Registro!$E921)+1,LEN(Registro!$E921))),FIND("x",TRIM(MID(SUBSTITUTE(SUBSTITUTE(SUBSTITUTE(SUBSTITUTE(SUBSTITUTE(LOWER(Registro!$E921),"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",LEN(Registro!$E921))),({1,2,3,4,5,6,7,8,9,10,11,12,13,14,15,16,17,18,19,20,21,22,23,24,25,26,27,28,29,30}-1)*LEN(Registro!$E921)+1,LEN(Registro!$E921)))&amp;"x")-1)),--("0"&amp;MID(TRIM(MID(SUBSTITUTE(SUBSTITUTE(SUBSTITUTE(SUBSTITUTE(SUBSTITUTE(LOWER(Registro!$E921),"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",LEN(Registro!$E921))),({1,2,3,4,5,6,7,8,9,10,11,12,13,14,15,16,17,18,19,20,21,22,23,24,25,26,27,28,29,30}-1)*LEN(Registro!$E921)+1,LEN(Registro!$E921))),FIND("x",TRIM(MID(SUBSTITUTE(SUBSTITUTE(SUBSTITUTE(SUBSTITUTE(SUBSTITUTE(LOWER(Registro!$E921),"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",LEN(Registro!$E921))),({1,2,3,4,5,6,7,8,9,10,11,12,13,14,15,16,17,18,19,20,21,22,23,24,25,26,27,28,29,30}-1)*LEN(Registro!$E921)+1,LEN(Registro!$E921)))&amp;"x")+1,20))),"Revisar formato")))</f>
        <v/>
      </c>
      <c r="F921" s="23" t="str">
        <f>IF(Registro!$F921="","",IF(ISERROR(FIND("x",LOWER(Registro!$F921))),"-",IFERROR(SUMPRODUCT(--("0"&amp;LEFT(TRIM(MID(SUBSTITUTE(SUBSTITUTE(SUBSTITUTE(SUBSTITUTE(SUBSTITUTE(LOWER(Registro!$F921)," ",""),CHAR(10),"|"),";","|"),"+","|"),"|",REPT(" ",LEN(Registro!$F921))),({1,2,3,4,5,6,7,8,9,10,11,12,13,14,15,16,17,18,19,20,21,22,23,24,25,26,27,28,29,30}-1)*LEN(Registro!$F921)+1,LEN(Registro!$F921))),FIND("x",TRIM(MID(SUBSTITUTE(SUBSTITUTE(SUBSTITUTE(SUBSTITUTE(SUBSTITUTE(LOWER(Registro!$F921)," ",""),CHAR(10),"|"),";","|"),"+","|"),"|",REPT(" ",LEN(Registro!$F921))),({1,2,3,4,5,6,7,8,9,10,11,12,13,14,15,16,17,18,19,20,21,22,23,24,25,26,27,28,29,30}-1)*LEN(Registro!$F921)+1,LEN(Registro!$F921)))&amp;"x")-1))),"Revisar formato")))</f>
        <v/>
      </c>
      <c r="G921" s="24" t="str">
        <f>IF(Registro!$F921="","",IF(ISERROR(FIND("x",LOWER(Registro!$F921))),N(Registro!$G921),IFERROR(SUMPRODUCT(--("0"&amp;LEFT(TRIM(MID(SUBSTITUTE(SUBSTITUTE(SUBSTITUTE(SUBSTITUTE(SUBSTITUTE(LOWER(Registro!$F921)," ",""),CHAR(10),"|"),";","|"),"+","|"),"|",REPT(" ",LEN(Registro!$F921))),({1,2,3,4,5,6,7,8,9,10,11,12,13,14,15,16,17,18,19,20,21,22,23,24,25,26,27,28,29,30}-1)*LEN(Registro!$F921)+1,LEN(Registro!$F921))),FIND("x",TRIM(MID(SUBSTITUTE(SUBSTITUTE(SUBSTITUTE(SUBSTITUTE(SUBSTITUTE(LOWER(Registro!$F921)," ",""),CHAR(10),"|"),";","|"),"+","|"),"|",REPT(" ",LEN(Registro!$F921))),({1,2,3,4,5,6,7,8,9,10,11,12,13,14,15,16,17,18,19,20,21,22,23,24,25,26,27,28,29,30}-1)*LEN(Registro!$F921)+1,LEN(Registro!$F921)))&amp;"x")-1)),--("0"&amp;MID(TRIM(MID(SUBSTITUTE(SUBSTITUTE(SUBSTITUTE(SUBSTITUTE(SUBSTITUTE(LOWER(Registro!$F921)," ",""),CHAR(10),"|"),";","|"),"+","|"),"|",REPT(" ",LEN(Registro!$F921))),({1,2,3,4,5,6,7,8,9,10,11,12,13,14,15,16,17,18,19,20,21,22,23,24,25,26,27,28,29,30}-1)*LEN(Registro!$F921)+1,LEN(Registro!$F921))),FIND("x",TRIM(MID(SUBSTITUTE(SUBSTITUTE(SUBSTITUTE(SUBSTITUTE(SUBSTITUTE(LOWER(Registro!$F921)," ",""),CHAR(10),"|"),";","|"),"+","|"),"|",REPT(" ",LEN(Registro!$F921))),({1,2,3,4,5,6,7,8,9,10,11,12,13,14,15,16,17,18,19,20,21,22,23,24,25,26,27,28,29,30}-1)*LEN(Registro!$F921)+1,LEN(Registro!$F921)))&amp;"x")+1,20))),"Revisar formato")))</f>
        <v/>
      </c>
      <c r="H921" s="21" t="str">
        <f>IF(AND(Registro!$E921="",Registro!$F921=""),"",IF(NOT(AND(ISNUMBER(G921),ISNUMBER(Registro!$G921))),"",IF(G921&lt;Registro!$G921,"FALTA BOLETOS",IF(G921=Registro!$G921,"CONFORME","DIFERENCIA"))))</f>
        <v/>
      </c>
      <c r="I921" s="24" t="str">
        <f>IF(Registro!$H921="","",IFERROR(SUMPRODUCT(--("0"&amp;TRIM(RIGHT(SUBSTITUTE(TRIM(MID(SUBSTITUTE(SUBSTITUTE(Registro!$H921,";",CHAR(10)),CHAR(10),REPT(" ",LEN(Registro!$H921))),({1,2,3,4,5,6,7,8,9,10,11,12,13,14,15,16,17,18,19,20,21,22,23,24,25,26,27,28,29,30}-1)*LEN(Registro!$H921)+1,LEN(Registro!$H921)))," ",REPT(" ",50)),50)))),"Revisar formato"))</f>
        <v/>
      </c>
      <c r="J921" s="24" t="str">
        <f>IF(Registro!$I921="","",IFERROR(SUMPRODUCT(--("0"&amp;TRIM(RIGHT(SUBSTITUTE(TRIM(MID(SUBSTITUTE(SUBSTITUTE(Registro!$I921,";",CHAR(10)),CHAR(10),REPT(" ",LEN(Registro!$I921))),({1,2,3,4,5,6,7,8,9,10,11,12,13,14,15,16,17,18,19,20,21,22,23,24,25,26,27,28,29,30}-1)*LEN(Registro!$I921)+1,LEN(Registro!$I921)))," ",REPT(" ",50)),50)))),"Revisar formato"))</f>
        <v/>
      </c>
      <c r="K921" s="24" t="str">
        <f>IF(AND(Registro!$G921="",Registro!$H921=""),"",IF(AND(ISTEXT(I921),I921&lt;&gt;""),"Revisar formato",N(Registro!$G921)-N(I921)))</f>
        <v/>
      </c>
      <c r="L921" s="24" t="str">
        <f t="shared" si="29"/>
        <v/>
      </c>
      <c r="M921" s="36" t="str">
        <f>IF(AND(A921=Consulta!$B$3,C921=Consulta!$H$3),B921*10000+ROW(),"")</f>
        <v/>
      </c>
    </row>
    <row r="922" spans="1:13" x14ac:dyDescent="0.25">
      <c r="A922" s="21" t="str">
        <f>IF(Registro!$A922="","",Registro!$A922)</f>
        <v/>
      </c>
      <c r="B922" s="20" t="str">
        <f>IF(Registro!$B922="","",Registro!$B922)</f>
        <v/>
      </c>
      <c r="C922" s="35" t="str">
        <f t="shared" si="28"/>
        <v/>
      </c>
      <c r="D922" s="23" t="str">
        <f>IF(Registro!$E922="","",IF(ISERROR(FIND("x",LOWER(Registro!$E922))),"-",IFERROR(SUMPRODUCT(--("0"&amp;LEFT(TRIM(MID(SUBSTITUTE(SUBSTITUTE(SUBSTITUTE(SUBSTITUTE(SUBSTITUTE(LOWER(Registro!$E922),"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",LEN(Registro!$E922))),({1,2,3,4,5,6,7,8,9,10,11,12,13,14,15,16,17,18,19,20,21,22,23,24,25,26,27,28,29,30}-1)*LEN(Registro!$E922)+1,LEN(Registro!$E922))),FIND("x",TRIM(MID(SUBSTITUTE(SUBSTITUTE(SUBSTITUTE(SUBSTITUTE(SUBSTITUTE(LOWER(Registro!$E922),"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",LEN(Registro!$E922))),({1,2,3,4,5,6,7,8,9,10,11,12,13,14,15,16,17,18,19,20,21,22,23,24,25,26,27,28,29,30}-1)*LEN(Registro!$E922)+1,LEN(Registro!$E922)))&amp;"x")-1))),"Revisar formato")))</f>
        <v/>
      </c>
      <c r="E922" s="24" t="str">
        <f>IF(Registro!$E922="","",IF(ISERROR(FIND("x",LOWER(Registro!$E922))),"-",IFERROR(SUMPRODUCT(--("0"&amp;LEFT(TRIM(MID(SUBSTITUTE(SUBSTITUTE(SUBSTITUTE(SUBSTITUTE(SUBSTITUTE(LOWER(Registro!$E922),"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",LEN(Registro!$E922))),({1,2,3,4,5,6,7,8,9,10,11,12,13,14,15,16,17,18,19,20,21,22,23,24,25,26,27,28,29,30}-1)*LEN(Registro!$E922)+1,LEN(Registro!$E922))),FIND("x",TRIM(MID(SUBSTITUTE(SUBSTITUTE(SUBSTITUTE(SUBSTITUTE(SUBSTITUTE(LOWER(Registro!$E922),"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",LEN(Registro!$E922))),({1,2,3,4,5,6,7,8,9,10,11,12,13,14,15,16,17,18,19,20,21,22,23,24,25,26,27,28,29,30}-1)*LEN(Registro!$E922)+1,LEN(Registro!$E922)))&amp;"x")-1)),--("0"&amp;MID(TRIM(MID(SUBSTITUTE(SUBSTITUTE(SUBSTITUTE(SUBSTITUTE(SUBSTITUTE(LOWER(Registro!$E922),"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",LEN(Registro!$E922))),({1,2,3,4,5,6,7,8,9,10,11,12,13,14,15,16,17,18,19,20,21,22,23,24,25,26,27,28,29,30}-1)*LEN(Registro!$E922)+1,LEN(Registro!$E922))),FIND("x",TRIM(MID(SUBSTITUTE(SUBSTITUTE(SUBSTITUTE(SUBSTITUTE(SUBSTITUTE(LOWER(Registro!$E922),"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",LEN(Registro!$E922))),({1,2,3,4,5,6,7,8,9,10,11,12,13,14,15,16,17,18,19,20,21,22,23,24,25,26,27,28,29,30}-1)*LEN(Registro!$E922)+1,LEN(Registro!$E922)))&amp;"x")+1,20))),"Revisar formato")))</f>
        <v/>
      </c>
      <c r="F922" s="23" t="str">
        <f>IF(Registro!$F922="","",IF(ISERROR(FIND("x",LOWER(Registro!$F922))),"-",IFERROR(SUMPRODUCT(--("0"&amp;LEFT(TRIM(MID(SUBSTITUTE(SUBSTITUTE(SUBSTITUTE(SUBSTITUTE(SUBSTITUTE(LOWER(Registro!$F922)," ",""),CHAR(10),"|"),";","|"),"+","|"),"|",REPT(" ",LEN(Registro!$F922))),({1,2,3,4,5,6,7,8,9,10,11,12,13,14,15,16,17,18,19,20,21,22,23,24,25,26,27,28,29,30}-1)*LEN(Registro!$F922)+1,LEN(Registro!$F922))),FIND("x",TRIM(MID(SUBSTITUTE(SUBSTITUTE(SUBSTITUTE(SUBSTITUTE(SUBSTITUTE(LOWER(Registro!$F922)," ",""),CHAR(10),"|"),";","|"),"+","|"),"|",REPT(" ",LEN(Registro!$F922))),({1,2,3,4,5,6,7,8,9,10,11,12,13,14,15,16,17,18,19,20,21,22,23,24,25,26,27,28,29,30}-1)*LEN(Registro!$F922)+1,LEN(Registro!$F922)))&amp;"x")-1))),"Revisar formato")))</f>
        <v/>
      </c>
      <c r="G922" s="24" t="str">
        <f>IF(Registro!$F922="","",IF(ISERROR(FIND("x",LOWER(Registro!$F922))),N(Registro!$G922),IFERROR(SUMPRODUCT(--("0"&amp;LEFT(TRIM(MID(SUBSTITUTE(SUBSTITUTE(SUBSTITUTE(SUBSTITUTE(SUBSTITUTE(LOWER(Registro!$F922)," ",""),CHAR(10),"|"),";","|"),"+","|"),"|",REPT(" ",LEN(Registro!$F922))),({1,2,3,4,5,6,7,8,9,10,11,12,13,14,15,16,17,18,19,20,21,22,23,24,25,26,27,28,29,30}-1)*LEN(Registro!$F922)+1,LEN(Registro!$F922))),FIND("x",TRIM(MID(SUBSTITUTE(SUBSTITUTE(SUBSTITUTE(SUBSTITUTE(SUBSTITUTE(LOWER(Registro!$F922)," ",""),CHAR(10),"|"),";","|"),"+","|"),"|",REPT(" ",LEN(Registro!$F922))),({1,2,3,4,5,6,7,8,9,10,11,12,13,14,15,16,17,18,19,20,21,22,23,24,25,26,27,28,29,30}-1)*LEN(Registro!$F922)+1,LEN(Registro!$F922)))&amp;"x")-1)),--("0"&amp;MID(TRIM(MID(SUBSTITUTE(SUBSTITUTE(SUBSTITUTE(SUBSTITUTE(SUBSTITUTE(LOWER(Registro!$F922)," ",""),CHAR(10),"|"),";","|"),"+","|"),"|",REPT(" ",LEN(Registro!$F922))),({1,2,3,4,5,6,7,8,9,10,11,12,13,14,15,16,17,18,19,20,21,22,23,24,25,26,27,28,29,30}-1)*LEN(Registro!$F922)+1,LEN(Registro!$F922))),FIND("x",TRIM(MID(SUBSTITUTE(SUBSTITUTE(SUBSTITUTE(SUBSTITUTE(SUBSTITUTE(LOWER(Registro!$F922)," ",""),CHAR(10),"|"),";","|"),"+","|"),"|",REPT(" ",LEN(Registro!$F922))),({1,2,3,4,5,6,7,8,9,10,11,12,13,14,15,16,17,18,19,20,21,22,23,24,25,26,27,28,29,30}-1)*LEN(Registro!$F922)+1,LEN(Registro!$F922)))&amp;"x")+1,20))),"Revisar formato")))</f>
        <v/>
      </c>
      <c r="H922" s="21" t="str">
        <f>IF(AND(Registro!$E922="",Registro!$F922=""),"",IF(NOT(AND(ISNUMBER(G922),ISNUMBER(Registro!$G922))),"",IF(G922&lt;Registro!$G922,"FALTA BOLETOS",IF(G922=Registro!$G922,"CONFORME","DIFERENCIA"))))</f>
        <v/>
      </c>
      <c r="I922" s="24" t="str">
        <f>IF(Registro!$H922="","",IFERROR(SUMPRODUCT(--("0"&amp;TRIM(RIGHT(SUBSTITUTE(TRIM(MID(SUBSTITUTE(SUBSTITUTE(Registro!$H922,";",CHAR(10)),CHAR(10),REPT(" ",LEN(Registro!$H922))),({1,2,3,4,5,6,7,8,9,10,11,12,13,14,15,16,17,18,19,20,21,22,23,24,25,26,27,28,29,30}-1)*LEN(Registro!$H922)+1,LEN(Registro!$H922)))," ",REPT(" ",50)),50)))),"Revisar formato"))</f>
        <v/>
      </c>
      <c r="J922" s="24" t="str">
        <f>IF(Registro!$I922="","",IFERROR(SUMPRODUCT(--("0"&amp;TRIM(RIGHT(SUBSTITUTE(TRIM(MID(SUBSTITUTE(SUBSTITUTE(Registro!$I922,";",CHAR(10)),CHAR(10),REPT(" ",LEN(Registro!$I922))),({1,2,3,4,5,6,7,8,9,10,11,12,13,14,15,16,17,18,19,20,21,22,23,24,25,26,27,28,29,30}-1)*LEN(Registro!$I922)+1,LEN(Registro!$I922)))," ",REPT(" ",50)),50)))),"Revisar formato"))</f>
        <v/>
      </c>
      <c r="K922" s="24" t="str">
        <f>IF(AND(Registro!$G922="",Registro!$H922=""),"",IF(AND(ISTEXT(I922),I922&lt;&gt;""),"Revisar formato",N(Registro!$G922)-N(I922)))</f>
        <v/>
      </c>
      <c r="L922" s="24" t="str">
        <f t="shared" si="29"/>
        <v/>
      </c>
      <c r="M922" s="36" t="str">
        <f>IF(AND(A922=Consulta!$B$3,C922=Consulta!$H$3),B922*10000+ROW(),"")</f>
        <v/>
      </c>
    </row>
    <row r="923" spans="1:13" x14ac:dyDescent="0.25">
      <c r="A923" s="21" t="str">
        <f>IF(Registro!$A923="","",Registro!$A923)</f>
        <v/>
      </c>
      <c r="B923" s="20" t="str">
        <f>IF(Registro!$B923="","",Registro!$B923)</f>
        <v/>
      </c>
      <c r="C923" s="35" t="str">
        <f t="shared" si="28"/>
        <v/>
      </c>
      <c r="D923" s="23" t="str">
        <f>IF(Registro!$E923="","",IF(ISERROR(FIND("x",LOWER(Registro!$E923))),"-",IFERROR(SUMPRODUCT(--("0"&amp;LEFT(TRIM(MID(SUBSTITUTE(SUBSTITUTE(SUBSTITUTE(SUBSTITUTE(SUBSTITUTE(LOWER(Registro!$E923),"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",LEN(Registro!$E923))),({1,2,3,4,5,6,7,8,9,10,11,12,13,14,15,16,17,18,19,20,21,22,23,24,25,26,27,28,29,30}-1)*LEN(Registro!$E923)+1,LEN(Registro!$E923))),FIND("x",TRIM(MID(SUBSTITUTE(SUBSTITUTE(SUBSTITUTE(SUBSTITUTE(SUBSTITUTE(LOWER(Registro!$E923),"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",LEN(Registro!$E923))),({1,2,3,4,5,6,7,8,9,10,11,12,13,14,15,16,17,18,19,20,21,22,23,24,25,26,27,28,29,30}-1)*LEN(Registro!$E923)+1,LEN(Registro!$E923)))&amp;"x")-1))),"Revisar formato")))</f>
        <v/>
      </c>
      <c r="E923" s="24" t="str">
        <f>IF(Registro!$E923="","",IF(ISERROR(FIND("x",LOWER(Registro!$E923))),"-",IFERROR(SUMPRODUCT(--("0"&amp;LEFT(TRIM(MID(SUBSTITUTE(SUBSTITUTE(SUBSTITUTE(SUBSTITUTE(SUBSTITUTE(LOWER(Registro!$E923),"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",LEN(Registro!$E923))),({1,2,3,4,5,6,7,8,9,10,11,12,13,14,15,16,17,18,19,20,21,22,23,24,25,26,27,28,29,30}-1)*LEN(Registro!$E923)+1,LEN(Registro!$E923))),FIND("x",TRIM(MID(SUBSTITUTE(SUBSTITUTE(SUBSTITUTE(SUBSTITUTE(SUBSTITUTE(LOWER(Registro!$E923),"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",LEN(Registro!$E923))),({1,2,3,4,5,6,7,8,9,10,11,12,13,14,15,16,17,18,19,20,21,22,23,24,25,26,27,28,29,30}-1)*LEN(Registro!$E923)+1,LEN(Registro!$E923)))&amp;"x")-1)),--("0"&amp;MID(TRIM(MID(SUBSTITUTE(SUBSTITUTE(SUBSTITUTE(SUBSTITUTE(SUBSTITUTE(LOWER(Registro!$E923),"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",LEN(Registro!$E923))),({1,2,3,4,5,6,7,8,9,10,11,12,13,14,15,16,17,18,19,20,21,22,23,24,25,26,27,28,29,30}-1)*LEN(Registro!$E923)+1,LEN(Registro!$E923))),FIND("x",TRIM(MID(SUBSTITUTE(SUBSTITUTE(SUBSTITUTE(SUBSTITUTE(SUBSTITUTE(LOWER(Registro!$E923),"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",LEN(Registro!$E923))),({1,2,3,4,5,6,7,8,9,10,11,12,13,14,15,16,17,18,19,20,21,22,23,24,25,26,27,28,29,30}-1)*LEN(Registro!$E923)+1,LEN(Registro!$E923)))&amp;"x")+1,20))),"Revisar formato")))</f>
        <v/>
      </c>
      <c r="F923" s="23" t="str">
        <f>IF(Registro!$F923="","",IF(ISERROR(FIND("x",LOWER(Registro!$F923))),"-",IFERROR(SUMPRODUCT(--("0"&amp;LEFT(TRIM(MID(SUBSTITUTE(SUBSTITUTE(SUBSTITUTE(SUBSTITUTE(SUBSTITUTE(LOWER(Registro!$F923)," ",""),CHAR(10),"|"),";","|"),"+","|"),"|",REPT(" ",LEN(Registro!$F923))),({1,2,3,4,5,6,7,8,9,10,11,12,13,14,15,16,17,18,19,20,21,22,23,24,25,26,27,28,29,30}-1)*LEN(Registro!$F923)+1,LEN(Registro!$F923))),FIND("x",TRIM(MID(SUBSTITUTE(SUBSTITUTE(SUBSTITUTE(SUBSTITUTE(SUBSTITUTE(LOWER(Registro!$F923)," ",""),CHAR(10),"|"),";","|"),"+","|"),"|",REPT(" ",LEN(Registro!$F923))),({1,2,3,4,5,6,7,8,9,10,11,12,13,14,15,16,17,18,19,20,21,22,23,24,25,26,27,28,29,30}-1)*LEN(Registro!$F923)+1,LEN(Registro!$F923)))&amp;"x")-1))),"Revisar formato")))</f>
        <v/>
      </c>
      <c r="G923" s="24" t="str">
        <f>IF(Registro!$F923="","",IF(ISERROR(FIND("x",LOWER(Registro!$F923))),N(Registro!$G923),IFERROR(SUMPRODUCT(--("0"&amp;LEFT(TRIM(MID(SUBSTITUTE(SUBSTITUTE(SUBSTITUTE(SUBSTITUTE(SUBSTITUTE(LOWER(Registro!$F923)," ",""),CHAR(10),"|"),";","|"),"+","|"),"|",REPT(" ",LEN(Registro!$F923))),({1,2,3,4,5,6,7,8,9,10,11,12,13,14,15,16,17,18,19,20,21,22,23,24,25,26,27,28,29,30}-1)*LEN(Registro!$F923)+1,LEN(Registro!$F923))),FIND("x",TRIM(MID(SUBSTITUTE(SUBSTITUTE(SUBSTITUTE(SUBSTITUTE(SUBSTITUTE(LOWER(Registro!$F923)," ",""),CHAR(10),"|"),";","|"),"+","|"),"|",REPT(" ",LEN(Registro!$F923))),({1,2,3,4,5,6,7,8,9,10,11,12,13,14,15,16,17,18,19,20,21,22,23,24,25,26,27,28,29,30}-1)*LEN(Registro!$F923)+1,LEN(Registro!$F923)))&amp;"x")-1)),--("0"&amp;MID(TRIM(MID(SUBSTITUTE(SUBSTITUTE(SUBSTITUTE(SUBSTITUTE(SUBSTITUTE(LOWER(Registro!$F923)," ",""),CHAR(10),"|"),";","|"),"+","|"),"|",REPT(" ",LEN(Registro!$F923))),({1,2,3,4,5,6,7,8,9,10,11,12,13,14,15,16,17,18,19,20,21,22,23,24,25,26,27,28,29,30}-1)*LEN(Registro!$F923)+1,LEN(Registro!$F923))),FIND("x",TRIM(MID(SUBSTITUTE(SUBSTITUTE(SUBSTITUTE(SUBSTITUTE(SUBSTITUTE(LOWER(Registro!$F923)," ",""),CHAR(10),"|"),";","|"),"+","|"),"|",REPT(" ",LEN(Registro!$F923))),({1,2,3,4,5,6,7,8,9,10,11,12,13,14,15,16,17,18,19,20,21,22,23,24,25,26,27,28,29,30}-1)*LEN(Registro!$F923)+1,LEN(Registro!$F923)))&amp;"x")+1,20))),"Revisar formato")))</f>
        <v/>
      </c>
      <c r="H923" s="21" t="str">
        <f>IF(AND(Registro!$E923="",Registro!$F923=""),"",IF(NOT(AND(ISNUMBER(G923),ISNUMBER(Registro!$G923))),"",IF(G923&lt;Registro!$G923,"FALTA BOLETOS",IF(G923=Registro!$G923,"CONFORME","DIFERENCIA"))))</f>
        <v/>
      </c>
      <c r="I923" s="24" t="str">
        <f>IF(Registro!$H923="","",IFERROR(SUMPRODUCT(--("0"&amp;TRIM(RIGHT(SUBSTITUTE(TRIM(MID(SUBSTITUTE(SUBSTITUTE(Registro!$H923,";",CHAR(10)),CHAR(10),REPT(" ",LEN(Registro!$H923))),({1,2,3,4,5,6,7,8,9,10,11,12,13,14,15,16,17,18,19,20,21,22,23,24,25,26,27,28,29,30}-1)*LEN(Registro!$H923)+1,LEN(Registro!$H923)))," ",REPT(" ",50)),50)))),"Revisar formato"))</f>
        <v/>
      </c>
      <c r="J923" s="24" t="str">
        <f>IF(Registro!$I923="","",IFERROR(SUMPRODUCT(--("0"&amp;TRIM(RIGHT(SUBSTITUTE(TRIM(MID(SUBSTITUTE(SUBSTITUTE(Registro!$I923,";",CHAR(10)),CHAR(10),REPT(" ",LEN(Registro!$I923))),({1,2,3,4,5,6,7,8,9,10,11,12,13,14,15,16,17,18,19,20,21,22,23,24,25,26,27,28,29,30}-1)*LEN(Registro!$I923)+1,LEN(Registro!$I923)))," ",REPT(" ",50)),50)))),"Revisar formato"))</f>
        <v/>
      </c>
      <c r="K923" s="24" t="str">
        <f>IF(AND(Registro!$G923="",Registro!$H923=""),"",IF(AND(ISTEXT(I923),I923&lt;&gt;""),"Revisar formato",N(Registro!$G923)-N(I923)))</f>
        <v/>
      </c>
      <c r="L923" s="24" t="str">
        <f t="shared" si="29"/>
        <v/>
      </c>
      <c r="M923" s="36" t="str">
        <f>IF(AND(A923=Consulta!$B$3,C923=Consulta!$H$3),B923*10000+ROW(),"")</f>
        <v/>
      </c>
    </row>
    <row r="924" spans="1:13" x14ac:dyDescent="0.25">
      <c r="A924" s="21" t="str">
        <f>IF(Registro!$A924="","",Registro!$A924)</f>
        <v/>
      </c>
      <c r="B924" s="20" t="str">
        <f>IF(Registro!$B924="","",Registro!$B924)</f>
        <v/>
      </c>
      <c r="C924" s="35" t="str">
        <f t="shared" si="28"/>
        <v/>
      </c>
      <c r="D924" s="23" t="str">
        <f>IF(Registro!$E924="","",IF(ISERROR(FIND("x",LOWER(Registro!$E924))),"-",IFERROR(SUMPRODUCT(--("0"&amp;LEFT(TRIM(MID(SUBSTITUTE(SUBSTITUTE(SUBSTITUTE(SUBSTITUTE(SUBSTITUTE(LOWER(Registro!$E924),"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",LEN(Registro!$E924))),({1,2,3,4,5,6,7,8,9,10,11,12,13,14,15,16,17,18,19,20,21,22,23,24,25,26,27,28,29,30}-1)*LEN(Registro!$E924)+1,LEN(Registro!$E924))),FIND("x",TRIM(MID(SUBSTITUTE(SUBSTITUTE(SUBSTITUTE(SUBSTITUTE(SUBSTITUTE(LOWER(Registro!$E924),"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",LEN(Registro!$E924))),({1,2,3,4,5,6,7,8,9,10,11,12,13,14,15,16,17,18,19,20,21,22,23,24,25,26,27,28,29,30}-1)*LEN(Registro!$E924)+1,LEN(Registro!$E924)))&amp;"x")-1))),"Revisar formato")))</f>
        <v/>
      </c>
      <c r="E924" s="24" t="str">
        <f>IF(Registro!$E924="","",IF(ISERROR(FIND("x",LOWER(Registro!$E924))),"-",IFERROR(SUMPRODUCT(--("0"&amp;LEFT(TRIM(MID(SUBSTITUTE(SUBSTITUTE(SUBSTITUTE(SUBSTITUTE(SUBSTITUTE(LOWER(Registro!$E924),"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",LEN(Registro!$E924))),({1,2,3,4,5,6,7,8,9,10,11,12,13,14,15,16,17,18,19,20,21,22,23,24,25,26,27,28,29,30}-1)*LEN(Registro!$E924)+1,LEN(Registro!$E924))),FIND("x",TRIM(MID(SUBSTITUTE(SUBSTITUTE(SUBSTITUTE(SUBSTITUTE(SUBSTITUTE(LOWER(Registro!$E924),"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",LEN(Registro!$E924))),({1,2,3,4,5,6,7,8,9,10,11,12,13,14,15,16,17,18,19,20,21,22,23,24,25,26,27,28,29,30}-1)*LEN(Registro!$E924)+1,LEN(Registro!$E924)))&amp;"x")-1)),--("0"&amp;MID(TRIM(MID(SUBSTITUTE(SUBSTITUTE(SUBSTITUTE(SUBSTITUTE(SUBSTITUTE(LOWER(Registro!$E924),"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",LEN(Registro!$E924))),({1,2,3,4,5,6,7,8,9,10,11,12,13,14,15,16,17,18,19,20,21,22,23,24,25,26,27,28,29,30}-1)*LEN(Registro!$E924)+1,LEN(Registro!$E924))),FIND("x",TRIM(MID(SUBSTITUTE(SUBSTITUTE(SUBSTITUTE(SUBSTITUTE(SUBSTITUTE(LOWER(Registro!$E924),"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",LEN(Registro!$E924))),({1,2,3,4,5,6,7,8,9,10,11,12,13,14,15,16,17,18,19,20,21,22,23,24,25,26,27,28,29,30}-1)*LEN(Registro!$E924)+1,LEN(Registro!$E924)))&amp;"x")+1,20))),"Revisar formato")))</f>
        <v/>
      </c>
      <c r="F924" s="23" t="str">
        <f>IF(Registro!$F924="","",IF(ISERROR(FIND("x",LOWER(Registro!$F924))),"-",IFERROR(SUMPRODUCT(--("0"&amp;LEFT(TRIM(MID(SUBSTITUTE(SUBSTITUTE(SUBSTITUTE(SUBSTITUTE(SUBSTITUTE(LOWER(Registro!$F924)," ",""),CHAR(10),"|"),";","|"),"+","|"),"|",REPT(" ",LEN(Registro!$F924))),({1,2,3,4,5,6,7,8,9,10,11,12,13,14,15,16,17,18,19,20,21,22,23,24,25,26,27,28,29,30}-1)*LEN(Registro!$F924)+1,LEN(Registro!$F924))),FIND("x",TRIM(MID(SUBSTITUTE(SUBSTITUTE(SUBSTITUTE(SUBSTITUTE(SUBSTITUTE(LOWER(Registro!$F924)," ",""),CHAR(10),"|"),";","|"),"+","|"),"|",REPT(" ",LEN(Registro!$F924))),({1,2,3,4,5,6,7,8,9,10,11,12,13,14,15,16,17,18,19,20,21,22,23,24,25,26,27,28,29,30}-1)*LEN(Registro!$F924)+1,LEN(Registro!$F924)))&amp;"x")-1))),"Revisar formato")))</f>
        <v/>
      </c>
      <c r="G924" s="24" t="str">
        <f>IF(Registro!$F924="","",IF(ISERROR(FIND("x",LOWER(Registro!$F924))),N(Registro!$G924),IFERROR(SUMPRODUCT(--("0"&amp;LEFT(TRIM(MID(SUBSTITUTE(SUBSTITUTE(SUBSTITUTE(SUBSTITUTE(SUBSTITUTE(LOWER(Registro!$F924)," ",""),CHAR(10),"|"),";","|"),"+","|"),"|",REPT(" ",LEN(Registro!$F924))),({1,2,3,4,5,6,7,8,9,10,11,12,13,14,15,16,17,18,19,20,21,22,23,24,25,26,27,28,29,30}-1)*LEN(Registro!$F924)+1,LEN(Registro!$F924))),FIND("x",TRIM(MID(SUBSTITUTE(SUBSTITUTE(SUBSTITUTE(SUBSTITUTE(SUBSTITUTE(LOWER(Registro!$F924)," ",""),CHAR(10),"|"),";","|"),"+","|"),"|",REPT(" ",LEN(Registro!$F924))),({1,2,3,4,5,6,7,8,9,10,11,12,13,14,15,16,17,18,19,20,21,22,23,24,25,26,27,28,29,30}-1)*LEN(Registro!$F924)+1,LEN(Registro!$F924)))&amp;"x")-1)),--("0"&amp;MID(TRIM(MID(SUBSTITUTE(SUBSTITUTE(SUBSTITUTE(SUBSTITUTE(SUBSTITUTE(LOWER(Registro!$F924)," ",""),CHAR(10),"|"),";","|"),"+","|"),"|",REPT(" ",LEN(Registro!$F924))),({1,2,3,4,5,6,7,8,9,10,11,12,13,14,15,16,17,18,19,20,21,22,23,24,25,26,27,28,29,30}-1)*LEN(Registro!$F924)+1,LEN(Registro!$F924))),FIND("x",TRIM(MID(SUBSTITUTE(SUBSTITUTE(SUBSTITUTE(SUBSTITUTE(SUBSTITUTE(LOWER(Registro!$F924)," ",""),CHAR(10),"|"),";","|"),"+","|"),"|",REPT(" ",LEN(Registro!$F924))),({1,2,3,4,5,6,7,8,9,10,11,12,13,14,15,16,17,18,19,20,21,22,23,24,25,26,27,28,29,30}-1)*LEN(Registro!$F924)+1,LEN(Registro!$F924)))&amp;"x")+1,20))),"Revisar formato")))</f>
        <v/>
      </c>
      <c r="H924" s="21" t="str">
        <f>IF(AND(Registro!$E924="",Registro!$F924=""),"",IF(NOT(AND(ISNUMBER(G924),ISNUMBER(Registro!$G924))),"",IF(G924&lt;Registro!$G924,"FALTA BOLETOS",IF(G924=Registro!$G924,"CONFORME","DIFERENCIA"))))</f>
        <v/>
      </c>
      <c r="I924" s="24" t="str">
        <f>IF(Registro!$H924="","",IFERROR(SUMPRODUCT(--("0"&amp;TRIM(RIGHT(SUBSTITUTE(TRIM(MID(SUBSTITUTE(SUBSTITUTE(Registro!$H924,";",CHAR(10)),CHAR(10),REPT(" ",LEN(Registro!$H924))),({1,2,3,4,5,6,7,8,9,10,11,12,13,14,15,16,17,18,19,20,21,22,23,24,25,26,27,28,29,30}-1)*LEN(Registro!$H924)+1,LEN(Registro!$H924)))," ",REPT(" ",50)),50)))),"Revisar formato"))</f>
        <v/>
      </c>
      <c r="J924" s="24" t="str">
        <f>IF(Registro!$I924="","",IFERROR(SUMPRODUCT(--("0"&amp;TRIM(RIGHT(SUBSTITUTE(TRIM(MID(SUBSTITUTE(SUBSTITUTE(Registro!$I924,";",CHAR(10)),CHAR(10),REPT(" ",LEN(Registro!$I924))),({1,2,3,4,5,6,7,8,9,10,11,12,13,14,15,16,17,18,19,20,21,22,23,24,25,26,27,28,29,30}-1)*LEN(Registro!$I924)+1,LEN(Registro!$I924)))," ",REPT(" ",50)),50)))),"Revisar formato"))</f>
        <v/>
      </c>
      <c r="K924" s="24" t="str">
        <f>IF(AND(Registro!$G924="",Registro!$H924=""),"",IF(AND(ISTEXT(I924),I924&lt;&gt;""),"Revisar formato",N(Registro!$G924)-N(I924)))</f>
        <v/>
      </c>
      <c r="L924" s="24" t="str">
        <f t="shared" si="29"/>
        <v/>
      </c>
      <c r="M924" s="36" t="str">
        <f>IF(AND(A924=Consulta!$B$3,C924=Consulta!$H$3),B924*10000+ROW(),"")</f>
        <v/>
      </c>
    </row>
    <row r="925" spans="1:13" x14ac:dyDescent="0.25">
      <c r="A925" s="21" t="str">
        <f>IF(Registro!$A925="","",Registro!$A925)</f>
        <v/>
      </c>
      <c r="B925" s="20" t="str">
        <f>IF(Registro!$B925="","",Registro!$B925)</f>
        <v/>
      </c>
      <c r="C925" s="35" t="str">
        <f t="shared" si="28"/>
        <v/>
      </c>
      <c r="D925" s="23" t="str">
        <f>IF(Registro!$E925="","",IF(ISERROR(FIND("x",LOWER(Registro!$E925))),"-",IFERROR(SUMPRODUCT(--("0"&amp;LEFT(TRIM(MID(SUBSTITUTE(SUBSTITUTE(SUBSTITUTE(SUBSTITUTE(SUBSTITUTE(LOWER(Registro!$E925),"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",LEN(Registro!$E925))),({1,2,3,4,5,6,7,8,9,10,11,12,13,14,15,16,17,18,19,20,21,22,23,24,25,26,27,28,29,30}-1)*LEN(Registro!$E925)+1,LEN(Registro!$E925))),FIND("x",TRIM(MID(SUBSTITUTE(SUBSTITUTE(SUBSTITUTE(SUBSTITUTE(SUBSTITUTE(LOWER(Registro!$E925),"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",LEN(Registro!$E925))),({1,2,3,4,5,6,7,8,9,10,11,12,13,14,15,16,17,18,19,20,21,22,23,24,25,26,27,28,29,30}-1)*LEN(Registro!$E925)+1,LEN(Registro!$E925)))&amp;"x")-1))),"Revisar formato")))</f>
        <v/>
      </c>
      <c r="E925" s="24" t="str">
        <f>IF(Registro!$E925="","",IF(ISERROR(FIND("x",LOWER(Registro!$E925))),"-",IFERROR(SUMPRODUCT(--("0"&amp;LEFT(TRIM(MID(SUBSTITUTE(SUBSTITUTE(SUBSTITUTE(SUBSTITUTE(SUBSTITUTE(LOWER(Registro!$E925),"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",LEN(Registro!$E925))),({1,2,3,4,5,6,7,8,9,10,11,12,13,14,15,16,17,18,19,20,21,22,23,24,25,26,27,28,29,30}-1)*LEN(Registro!$E925)+1,LEN(Registro!$E925))),FIND("x",TRIM(MID(SUBSTITUTE(SUBSTITUTE(SUBSTITUTE(SUBSTITUTE(SUBSTITUTE(LOWER(Registro!$E925),"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",LEN(Registro!$E925))),({1,2,3,4,5,6,7,8,9,10,11,12,13,14,15,16,17,18,19,20,21,22,23,24,25,26,27,28,29,30}-1)*LEN(Registro!$E925)+1,LEN(Registro!$E925)))&amp;"x")-1)),--("0"&amp;MID(TRIM(MID(SUBSTITUTE(SUBSTITUTE(SUBSTITUTE(SUBSTITUTE(SUBSTITUTE(LOWER(Registro!$E925),"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",LEN(Registro!$E925))),({1,2,3,4,5,6,7,8,9,10,11,12,13,14,15,16,17,18,19,20,21,22,23,24,25,26,27,28,29,30}-1)*LEN(Registro!$E925)+1,LEN(Registro!$E925))),FIND("x",TRIM(MID(SUBSTITUTE(SUBSTITUTE(SUBSTITUTE(SUBSTITUTE(SUBSTITUTE(LOWER(Registro!$E925),"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",LEN(Registro!$E925))),({1,2,3,4,5,6,7,8,9,10,11,12,13,14,15,16,17,18,19,20,21,22,23,24,25,26,27,28,29,30}-1)*LEN(Registro!$E925)+1,LEN(Registro!$E925)))&amp;"x")+1,20))),"Revisar formato")))</f>
        <v/>
      </c>
      <c r="F925" s="23" t="str">
        <f>IF(Registro!$F925="","",IF(ISERROR(FIND("x",LOWER(Registro!$F925))),"-",IFERROR(SUMPRODUCT(--("0"&amp;LEFT(TRIM(MID(SUBSTITUTE(SUBSTITUTE(SUBSTITUTE(SUBSTITUTE(SUBSTITUTE(LOWER(Registro!$F925)," ",""),CHAR(10),"|"),";","|"),"+","|"),"|",REPT(" ",LEN(Registro!$F925))),({1,2,3,4,5,6,7,8,9,10,11,12,13,14,15,16,17,18,19,20,21,22,23,24,25,26,27,28,29,30}-1)*LEN(Registro!$F925)+1,LEN(Registro!$F925))),FIND("x",TRIM(MID(SUBSTITUTE(SUBSTITUTE(SUBSTITUTE(SUBSTITUTE(SUBSTITUTE(LOWER(Registro!$F925)," ",""),CHAR(10),"|"),";","|"),"+","|"),"|",REPT(" ",LEN(Registro!$F925))),({1,2,3,4,5,6,7,8,9,10,11,12,13,14,15,16,17,18,19,20,21,22,23,24,25,26,27,28,29,30}-1)*LEN(Registro!$F925)+1,LEN(Registro!$F925)))&amp;"x")-1))),"Revisar formato")))</f>
        <v/>
      </c>
      <c r="G925" s="24" t="str">
        <f>IF(Registro!$F925="","",IF(ISERROR(FIND("x",LOWER(Registro!$F925))),N(Registro!$G925),IFERROR(SUMPRODUCT(--("0"&amp;LEFT(TRIM(MID(SUBSTITUTE(SUBSTITUTE(SUBSTITUTE(SUBSTITUTE(SUBSTITUTE(LOWER(Registro!$F925)," ",""),CHAR(10),"|"),";","|"),"+","|"),"|",REPT(" ",LEN(Registro!$F925))),({1,2,3,4,5,6,7,8,9,10,11,12,13,14,15,16,17,18,19,20,21,22,23,24,25,26,27,28,29,30}-1)*LEN(Registro!$F925)+1,LEN(Registro!$F925))),FIND("x",TRIM(MID(SUBSTITUTE(SUBSTITUTE(SUBSTITUTE(SUBSTITUTE(SUBSTITUTE(LOWER(Registro!$F925)," ",""),CHAR(10),"|"),";","|"),"+","|"),"|",REPT(" ",LEN(Registro!$F925))),({1,2,3,4,5,6,7,8,9,10,11,12,13,14,15,16,17,18,19,20,21,22,23,24,25,26,27,28,29,30}-1)*LEN(Registro!$F925)+1,LEN(Registro!$F925)))&amp;"x")-1)),--("0"&amp;MID(TRIM(MID(SUBSTITUTE(SUBSTITUTE(SUBSTITUTE(SUBSTITUTE(SUBSTITUTE(LOWER(Registro!$F925)," ",""),CHAR(10),"|"),";","|"),"+","|"),"|",REPT(" ",LEN(Registro!$F925))),({1,2,3,4,5,6,7,8,9,10,11,12,13,14,15,16,17,18,19,20,21,22,23,24,25,26,27,28,29,30}-1)*LEN(Registro!$F925)+1,LEN(Registro!$F925))),FIND("x",TRIM(MID(SUBSTITUTE(SUBSTITUTE(SUBSTITUTE(SUBSTITUTE(SUBSTITUTE(LOWER(Registro!$F925)," ",""),CHAR(10),"|"),";","|"),"+","|"),"|",REPT(" ",LEN(Registro!$F925))),({1,2,3,4,5,6,7,8,9,10,11,12,13,14,15,16,17,18,19,20,21,22,23,24,25,26,27,28,29,30}-1)*LEN(Registro!$F925)+1,LEN(Registro!$F925)))&amp;"x")+1,20))),"Revisar formato")))</f>
        <v/>
      </c>
      <c r="H925" s="21" t="str">
        <f>IF(AND(Registro!$E925="",Registro!$F925=""),"",IF(NOT(AND(ISNUMBER(G925),ISNUMBER(Registro!$G925))),"",IF(G925&lt;Registro!$G925,"FALTA BOLETOS",IF(G925=Registro!$G925,"CONFORME","DIFERENCIA"))))</f>
        <v/>
      </c>
      <c r="I925" s="24" t="str">
        <f>IF(Registro!$H925="","",IFERROR(SUMPRODUCT(--("0"&amp;TRIM(RIGHT(SUBSTITUTE(TRIM(MID(SUBSTITUTE(SUBSTITUTE(Registro!$H925,";",CHAR(10)),CHAR(10),REPT(" ",LEN(Registro!$H925))),({1,2,3,4,5,6,7,8,9,10,11,12,13,14,15,16,17,18,19,20,21,22,23,24,25,26,27,28,29,30}-1)*LEN(Registro!$H925)+1,LEN(Registro!$H925)))," ",REPT(" ",50)),50)))),"Revisar formato"))</f>
        <v/>
      </c>
      <c r="J925" s="24" t="str">
        <f>IF(Registro!$I925="","",IFERROR(SUMPRODUCT(--("0"&amp;TRIM(RIGHT(SUBSTITUTE(TRIM(MID(SUBSTITUTE(SUBSTITUTE(Registro!$I925,";",CHAR(10)),CHAR(10),REPT(" ",LEN(Registro!$I925))),({1,2,3,4,5,6,7,8,9,10,11,12,13,14,15,16,17,18,19,20,21,22,23,24,25,26,27,28,29,30}-1)*LEN(Registro!$I925)+1,LEN(Registro!$I925)))," ",REPT(" ",50)),50)))),"Revisar formato"))</f>
        <v/>
      </c>
      <c r="K925" s="24" t="str">
        <f>IF(AND(Registro!$G925="",Registro!$H925=""),"",IF(AND(ISTEXT(I925),I925&lt;&gt;""),"Revisar formato",N(Registro!$G925)-N(I925)))</f>
        <v/>
      </c>
      <c r="L925" s="24" t="str">
        <f t="shared" si="29"/>
        <v/>
      </c>
      <c r="M925" s="36" t="str">
        <f>IF(AND(A925=Consulta!$B$3,C925=Consulta!$H$3),B925*10000+ROW(),"")</f>
        <v/>
      </c>
    </row>
    <row r="926" spans="1:13" x14ac:dyDescent="0.25">
      <c r="A926" s="21" t="str">
        <f>IF(Registro!$A926="","",Registro!$A926)</f>
        <v/>
      </c>
      <c r="B926" s="20" t="str">
        <f>IF(Registro!$B926="","",Registro!$B926)</f>
        <v/>
      </c>
      <c r="C926" s="35" t="str">
        <f t="shared" si="28"/>
        <v/>
      </c>
      <c r="D926" s="23" t="str">
        <f>IF(Registro!$E926="","",IF(ISERROR(FIND("x",LOWER(Registro!$E926))),"-",IFERROR(SUMPRODUCT(--("0"&amp;LEFT(TRIM(MID(SUBSTITUTE(SUBSTITUTE(SUBSTITUTE(SUBSTITUTE(SUBSTITUTE(LOWER(Registro!$E926),"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",LEN(Registro!$E926))),({1,2,3,4,5,6,7,8,9,10,11,12,13,14,15,16,17,18,19,20,21,22,23,24,25,26,27,28,29,30}-1)*LEN(Registro!$E926)+1,LEN(Registro!$E926))),FIND("x",TRIM(MID(SUBSTITUTE(SUBSTITUTE(SUBSTITUTE(SUBSTITUTE(SUBSTITUTE(LOWER(Registro!$E926),"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",LEN(Registro!$E926))),({1,2,3,4,5,6,7,8,9,10,11,12,13,14,15,16,17,18,19,20,21,22,23,24,25,26,27,28,29,30}-1)*LEN(Registro!$E926)+1,LEN(Registro!$E926)))&amp;"x")-1))),"Revisar formato")))</f>
        <v/>
      </c>
      <c r="E926" s="24" t="str">
        <f>IF(Registro!$E926="","",IF(ISERROR(FIND("x",LOWER(Registro!$E926))),"-",IFERROR(SUMPRODUCT(--("0"&amp;LEFT(TRIM(MID(SUBSTITUTE(SUBSTITUTE(SUBSTITUTE(SUBSTITUTE(SUBSTITUTE(LOWER(Registro!$E926),"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",LEN(Registro!$E926))),({1,2,3,4,5,6,7,8,9,10,11,12,13,14,15,16,17,18,19,20,21,22,23,24,25,26,27,28,29,30}-1)*LEN(Registro!$E926)+1,LEN(Registro!$E926))),FIND("x",TRIM(MID(SUBSTITUTE(SUBSTITUTE(SUBSTITUTE(SUBSTITUTE(SUBSTITUTE(LOWER(Registro!$E926),"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",LEN(Registro!$E926))),({1,2,3,4,5,6,7,8,9,10,11,12,13,14,15,16,17,18,19,20,21,22,23,24,25,26,27,28,29,30}-1)*LEN(Registro!$E926)+1,LEN(Registro!$E926)))&amp;"x")-1)),--("0"&amp;MID(TRIM(MID(SUBSTITUTE(SUBSTITUTE(SUBSTITUTE(SUBSTITUTE(SUBSTITUTE(LOWER(Registro!$E926),"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",LEN(Registro!$E926))),({1,2,3,4,5,6,7,8,9,10,11,12,13,14,15,16,17,18,19,20,21,22,23,24,25,26,27,28,29,30}-1)*LEN(Registro!$E926)+1,LEN(Registro!$E926))),FIND("x",TRIM(MID(SUBSTITUTE(SUBSTITUTE(SUBSTITUTE(SUBSTITUTE(SUBSTITUTE(LOWER(Registro!$E926),"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",LEN(Registro!$E926))),({1,2,3,4,5,6,7,8,9,10,11,12,13,14,15,16,17,18,19,20,21,22,23,24,25,26,27,28,29,30}-1)*LEN(Registro!$E926)+1,LEN(Registro!$E926)))&amp;"x")+1,20))),"Revisar formato")))</f>
        <v/>
      </c>
      <c r="F926" s="23" t="str">
        <f>IF(Registro!$F926="","",IF(ISERROR(FIND("x",LOWER(Registro!$F926))),"-",IFERROR(SUMPRODUCT(--("0"&amp;LEFT(TRIM(MID(SUBSTITUTE(SUBSTITUTE(SUBSTITUTE(SUBSTITUTE(SUBSTITUTE(LOWER(Registro!$F926)," ",""),CHAR(10),"|"),";","|"),"+","|"),"|",REPT(" ",LEN(Registro!$F926))),({1,2,3,4,5,6,7,8,9,10,11,12,13,14,15,16,17,18,19,20,21,22,23,24,25,26,27,28,29,30}-1)*LEN(Registro!$F926)+1,LEN(Registro!$F926))),FIND("x",TRIM(MID(SUBSTITUTE(SUBSTITUTE(SUBSTITUTE(SUBSTITUTE(SUBSTITUTE(LOWER(Registro!$F926)," ",""),CHAR(10),"|"),";","|"),"+","|"),"|",REPT(" ",LEN(Registro!$F926))),({1,2,3,4,5,6,7,8,9,10,11,12,13,14,15,16,17,18,19,20,21,22,23,24,25,26,27,28,29,30}-1)*LEN(Registro!$F926)+1,LEN(Registro!$F926)))&amp;"x")-1))),"Revisar formato")))</f>
        <v/>
      </c>
      <c r="G926" s="24" t="str">
        <f>IF(Registro!$F926="","",IF(ISERROR(FIND("x",LOWER(Registro!$F926))),N(Registro!$G926),IFERROR(SUMPRODUCT(--("0"&amp;LEFT(TRIM(MID(SUBSTITUTE(SUBSTITUTE(SUBSTITUTE(SUBSTITUTE(SUBSTITUTE(LOWER(Registro!$F926)," ",""),CHAR(10),"|"),";","|"),"+","|"),"|",REPT(" ",LEN(Registro!$F926))),({1,2,3,4,5,6,7,8,9,10,11,12,13,14,15,16,17,18,19,20,21,22,23,24,25,26,27,28,29,30}-1)*LEN(Registro!$F926)+1,LEN(Registro!$F926))),FIND("x",TRIM(MID(SUBSTITUTE(SUBSTITUTE(SUBSTITUTE(SUBSTITUTE(SUBSTITUTE(LOWER(Registro!$F926)," ",""),CHAR(10),"|"),";","|"),"+","|"),"|",REPT(" ",LEN(Registro!$F926))),({1,2,3,4,5,6,7,8,9,10,11,12,13,14,15,16,17,18,19,20,21,22,23,24,25,26,27,28,29,30}-1)*LEN(Registro!$F926)+1,LEN(Registro!$F926)))&amp;"x")-1)),--("0"&amp;MID(TRIM(MID(SUBSTITUTE(SUBSTITUTE(SUBSTITUTE(SUBSTITUTE(SUBSTITUTE(LOWER(Registro!$F926)," ",""),CHAR(10),"|"),";","|"),"+","|"),"|",REPT(" ",LEN(Registro!$F926))),({1,2,3,4,5,6,7,8,9,10,11,12,13,14,15,16,17,18,19,20,21,22,23,24,25,26,27,28,29,30}-1)*LEN(Registro!$F926)+1,LEN(Registro!$F926))),FIND("x",TRIM(MID(SUBSTITUTE(SUBSTITUTE(SUBSTITUTE(SUBSTITUTE(SUBSTITUTE(LOWER(Registro!$F926)," ",""),CHAR(10),"|"),";","|"),"+","|"),"|",REPT(" ",LEN(Registro!$F926))),({1,2,3,4,5,6,7,8,9,10,11,12,13,14,15,16,17,18,19,20,21,22,23,24,25,26,27,28,29,30}-1)*LEN(Registro!$F926)+1,LEN(Registro!$F926)))&amp;"x")+1,20))),"Revisar formato")))</f>
        <v/>
      </c>
      <c r="H926" s="21" t="str">
        <f>IF(AND(Registro!$E926="",Registro!$F926=""),"",IF(NOT(AND(ISNUMBER(G926),ISNUMBER(Registro!$G926))),"",IF(G926&lt;Registro!$G926,"FALTA BOLETOS",IF(G926=Registro!$G926,"CONFORME","DIFERENCIA"))))</f>
        <v/>
      </c>
      <c r="I926" s="24" t="str">
        <f>IF(Registro!$H926="","",IFERROR(SUMPRODUCT(--("0"&amp;TRIM(RIGHT(SUBSTITUTE(TRIM(MID(SUBSTITUTE(SUBSTITUTE(Registro!$H926,";",CHAR(10)),CHAR(10),REPT(" ",LEN(Registro!$H926))),({1,2,3,4,5,6,7,8,9,10,11,12,13,14,15,16,17,18,19,20,21,22,23,24,25,26,27,28,29,30}-1)*LEN(Registro!$H926)+1,LEN(Registro!$H926)))," ",REPT(" ",50)),50)))),"Revisar formato"))</f>
        <v/>
      </c>
      <c r="J926" s="24" t="str">
        <f>IF(Registro!$I926="","",IFERROR(SUMPRODUCT(--("0"&amp;TRIM(RIGHT(SUBSTITUTE(TRIM(MID(SUBSTITUTE(SUBSTITUTE(Registro!$I926,";",CHAR(10)),CHAR(10),REPT(" ",LEN(Registro!$I926))),({1,2,3,4,5,6,7,8,9,10,11,12,13,14,15,16,17,18,19,20,21,22,23,24,25,26,27,28,29,30}-1)*LEN(Registro!$I926)+1,LEN(Registro!$I926)))," ",REPT(" ",50)),50)))),"Revisar formato"))</f>
        <v/>
      </c>
      <c r="K926" s="24" t="str">
        <f>IF(AND(Registro!$G926="",Registro!$H926=""),"",IF(AND(ISTEXT(I926),I926&lt;&gt;""),"Revisar formato",N(Registro!$G926)-N(I926)))</f>
        <v/>
      </c>
      <c r="L926" s="24" t="str">
        <f t="shared" si="29"/>
        <v/>
      </c>
      <c r="M926" s="36" t="str">
        <f>IF(AND(A926=Consulta!$B$3,C926=Consulta!$H$3),B926*10000+ROW(),"")</f>
        <v/>
      </c>
    </row>
    <row r="927" spans="1:13" x14ac:dyDescent="0.25">
      <c r="A927" s="21" t="str">
        <f>IF(Registro!$A927="","",Registro!$A927)</f>
        <v/>
      </c>
      <c r="B927" s="20" t="str">
        <f>IF(Registro!$B927="","",Registro!$B927)</f>
        <v/>
      </c>
      <c r="C927" s="35" t="str">
        <f t="shared" si="28"/>
        <v/>
      </c>
      <c r="D927" s="23" t="str">
        <f>IF(Registro!$E927="","",IF(ISERROR(FIND("x",LOWER(Registro!$E927))),"-",IFERROR(SUMPRODUCT(--("0"&amp;LEFT(TRIM(MID(SUBSTITUTE(SUBSTITUTE(SUBSTITUTE(SUBSTITUTE(SUBSTITUTE(LOWER(Registro!$E927),"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",LEN(Registro!$E927))),({1,2,3,4,5,6,7,8,9,10,11,12,13,14,15,16,17,18,19,20,21,22,23,24,25,26,27,28,29,30}-1)*LEN(Registro!$E927)+1,LEN(Registro!$E927))),FIND("x",TRIM(MID(SUBSTITUTE(SUBSTITUTE(SUBSTITUTE(SUBSTITUTE(SUBSTITUTE(LOWER(Registro!$E927),"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",LEN(Registro!$E927))),({1,2,3,4,5,6,7,8,9,10,11,12,13,14,15,16,17,18,19,20,21,22,23,24,25,26,27,28,29,30}-1)*LEN(Registro!$E927)+1,LEN(Registro!$E927)))&amp;"x")-1))),"Revisar formato")))</f>
        <v/>
      </c>
      <c r="E927" s="24" t="str">
        <f>IF(Registro!$E927="","",IF(ISERROR(FIND("x",LOWER(Registro!$E927))),"-",IFERROR(SUMPRODUCT(--("0"&amp;LEFT(TRIM(MID(SUBSTITUTE(SUBSTITUTE(SUBSTITUTE(SUBSTITUTE(SUBSTITUTE(LOWER(Registro!$E927),"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",LEN(Registro!$E927))),({1,2,3,4,5,6,7,8,9,10,11,12,13,14,15,16,17,18,19,20,21,22,23,24,25,26,27,28,29,30}-1)*LEN(Registro!$E927)+1,LEN(Registro!$E927))),FIND("x",TRIM(MID(SUBSTITUTE(SUBSTITUTE(SUBSTITUTE(SUBSTITUTE(SUBSTITUTE(LOWER(Registro!$E927),"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",LEN(Registro!$E927))),({1,2,3,4,5,6,7,8,9,10,11,12,13,14,15,16,17,18,19,20,21,22,23,24,25,26,27,28,29,30}-1)*LEN(Registro!$E927)+1,LEN(Registro!$E927)))&amp;"x")-1)),--("0"&amp;MID(TRIM(MID(SUBSTITUTE(SUBSTITUTE(SUBSTITUTE(SUBSTITUTE(SUBSTITUTE(LOWER(Registro!$E927),"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",LEN(Registro!$E927))),({1,2,3,4,5,6,7,8,9,10,11,12,13,14,15,16,17,18,19,20,21,22,23,24,25,26,27,28,29,30}-1)*LEN(Registro!$E927)+1,LEN(Registro!$E927))),FIND("x",TRIM(MID(SUBSTITUTE(SUBSTITUTE(SUBSTITUTE(SUBSTITUTE(SUBSTITUTE(LOWER(Registro!$E927),"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",LEN(Registro!$E927))),({1,2,3,4,5,6,7,8,9,10,11,12,13,14,15,16,17,18,19,20,21,22,23,24,25,26,27,28,29,30}-1)*LEN(Registro!$E927)+1,LEN(Registro!$E927)))&amp;"x")+1,20))),"Revisar formato")))</f>
        <v/>
      </c>
      <c r="F927" s="23" t="str">
        <f>IF(Registro!$F927="","",IF(ISERROR(FIND("x",LOWER(Registro!$F927))),"-",IFERROR(SUMPRODUCT(--("0"&amp;LEFT(TRIM(MID(SUBSTITUTE(SUBSTITUTE(SUBSTITUTE(SUBSTITUTE(SUBSTITUTE(LOWER(Registro!$F927)," ",""),CHAR(10),"|"),";","|"),"+","|"),"|",REPT(" ",LEN(Registro!$F927))),({1,2,3,4,5,6,7,8,9,10,11,12,13,14,15,16,17,18,19,20,21,22,23,24,25,26,27,28,29,30}-1)*LEN(Registro!$F927)+1,LEN(Registro!$F927))),FIND("x",TRIM(MID(SUBSTITUTE(SUBSTITUTE(SUBSTITUTE(SUBSTITUTE(SUBSTITUTE(LOWER(Registro!$F927)," ",""),CHAR(10),"|"),";","|"),"+","|"),"|",REPT(" ",LEN(Registro!$F927))),({1,2,3,4,5,6,7,8,9,10,11,12,13,14,15,16,17,18,19,20,21,22,23,24,25,26,27,28,29,30}-1)*LEN(Registro!$F927)+1,LEN(Registro!$F927)))&amp;"x")-1))),"Revisar formato")))</f>
        <v/>
      </c>
      <c r="G927" s="24" t="str">
        <f>IF(Registro!$F927="","",IF(ISERROR(FIND("x",LOWER(Registro!$F927))),N(Registro!$G927),IFERROR(SUMPRODUCT(--("0"&amp;LEFT(TRIM(MID(SUBSTITUTE(SUBSTITUTE(SUBSTITUTE(SUBSTITUTE(SUBSTITUTE(LOWER(Registro!$F927)," ",""),CHAR(10),"|"),";","|"),"+","|"),"|",REPT(" ",LEN(Registro!$F927))),({1,2,3,4,5,6,7,8,9,10,11,12,13,14,15,16,17,18,19,20,21,22,23,24,25,26,27,28,29,30}-1)*LEN(Registro!$F927)+1,LEN(Registro!$F927))),FIND("x",TRIM(MID(SUBSTITUTE(SUBSTITUTE(SUBSTITUTE(SUBSTITUTE(SUBSTITUTE(LOWER(Registro!$F927)," ",""),CHAR(10),"|"),";","|"),"+","|"),"|",REPT(" ",LEN(Registro!$F927))),({1,2,3,4,5,6,7,8,9,10,11,12,13,14,15,16,17,18,19,20,21,22,23,24,25,26,27,28,29,30}-1)*LEN(Registro!$F927)+1,LEN(Registro!$F927)))&amp;"x")-1)),--("0"&amp;MID(TRIM(MID(SUBSTITUTE(SUBSTITUTE(SUBSTITUTE(SUBSTITUTE(SUBSTITUTE(LOWER(Registro!$F927)," ",""),CHAR(10),"|"),";","|"),"+","|"),"|",REPT(" ",LEN(Registro!$F927))),({1,2,3,4,5,6,7,8,9,10,11,12,13,14,15,16,17,18,19,20,21,22,23,24,25,26,27,28,29,30}-1)*LEN(Registro!$F927)+1,LEN(Registro!$F927))),FIND("x",TRIM(MID(SUBSTITUTE(SUBSTITUTE(SUBSTITUTE(SUBSTITUTE(SUBSTITUTE(LOWER(Registro!$F927)," ",""),CHAR(10),"|"),";","|"),"+","|"),"|",REPT(" ",LEN(Registro!$F927))),({1,2,3,4,5,6,7,8,9,10,11,12,13,14,15,16,17,18,19,20,21,22,23,24,25,26,27,28,29,30}-1)*LEN(Registro!$F927)+1,LEN(Registro!$F927)))&amp;"x")+1,20))),"Revisar formato")))</f>
        <v/>
      </c>
      <c r="H927" s="21" t="str">
        <f>IF(AND(Registro!$E927="",Registro!$F927=""),"",IF(NOT(AND(ISNUMBER(G927),ISNUMBER(Registro!$G927))),"",IF(G927&lt;Registro!$G927,"FALTA BOLETOS",IF(G927=Registro!$G927,"CONFORME","DIFERENCIA"))))</f>
        <v/>
      </c>
      <c r="I927" s="24" t="str">
        <f>IF(Registro!$H927="","",IFERROR(SUMPRODUCT(--("0"&amp;TRIM(RIGHT(SUBSTITUTE(TRIM(MID(SUBSTITUTE(SUBSTITUTE(Registro!$H927,";",CHAR(10)),CHAR(10),REPT(" ",LEN(Registro!$H927))),({1,2,3,4,5,6,7,8,9,10,11,12,13,14,15,16,17,18,19,20,21,22,23,24,25,26,27,28,29,30}-1)*LEN(Registro!$H927)+1,LEN(Registro!$H927)))," ",REPT(" ",50)),50)))),"Revisar formato"))</f>
        <v/>
      </c>
      <c r="J927" s="24" t="str">
        <f>IF(Registro!$I927="","",IFERROR(SUMPRODUCT(--("0"&amp;TRIM(RIGHT(SUBSTITUTE(TRIM(MID(SUBSTITUTE(SUBSTITUTE(Registro!$I927,";",CHAR(10)),CHAR(10),REPT(" ",LEN(Registro!$I927))),({1,2,3,4,5,6,7,8,9,10,11,12,13,14,15,16,17,18,19,20,21,22,23,24,25,26,27,28,29,30}-1)*LEN(Registro!$I927)+1,LEN(Registro!$I927)))," ",REPT(" ",50)),50)))),"Revisar formato"))</f>
        <v/>
      </c>
      <c r="K927" s="24" t="str">
        <f>IF(AND(Registro!$G927="",Registro!$H927=""),"",IF(AND(ISTEXT(I927),I927&lt;&gt;""),"Revisar formato",N(Registro!$G927)-N(I927)))</f>
        <v/>
      </c>
      <c r="L927" s="24" t="str">
        <f t="shared" si="29"/>
        <v/>
      </c>
      <c r="M927" s="36" t="str">
        <f>IF(AND(A927=Consulta!$B$3,C927=Consulta!$H$3),B927*10000+ROW(),"")</f>
        <v/>
      </c>
    </row>
    <row r="928" spans="1:13" x14ac:dyDescent="0.25">
      <c r="A928" s="21" t="str">
        <f>IF(Registro!$A928="","",Registro!$A928)</f>
        <v/>
      </c>
      <c r="B928" s="20" t="str">
        <f>IF(Registro!$B928="","",Registro!$B928)</f>
        <v/>
      </c>
      <c r="C928" s="35" t="str">
        <f t="shared" si="28"/>
        <v/>
      </c>
      <c r="D928" s="23" t="str">
        <f>IF(Registro!$E928="","",IF(ISERROR(FIND("x",LOWER(Registro!$E928))),"-",IFERROR(SUMPRODUCT(--("0"&amp;LEFT(TRIM(MID(SUBSTITUTE(SUBSTITUTE(SUBSTITUTE(SUBSTITUTE(SUBSTITUTE(LOWER(Registro!$E928),"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",LEN(Registro!$E928))),({1,2,3,4,5,6,7,8,9,10,11,12,13,14,15,16,17,18,19,20,21,22,23,24,25,26,27,28,29,30}-1)*LEN(Registro!$E928)+1,LEN(Registro!$E928))),FIND("x",TRIM(MID(SUBSTITUTE(SUBSTITUTE(SUBSTITUTE(SUBSTITUTE(SUBSTITUTE(LOWER(Registro!$E928),"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",LEN(Registro!$E928))),({1,2,3,4,5,6,7,8,9,10,11,12,13,14,15,16,17,18,19,20,21,22,23,24,25,26,27,28,29,30}-1)*LEN(Registro!$E928)+1,LEN(Registro!$E928)))&amp;"x")-1))),"Revisar formato")))</f>
        <v/>
      </c>
      <c r="E928" s="24" t="str">
        <f>IF(Registro!$E928="","",IF(ISERROR(FIND("x",LOWER(Registro!$E928))),"-",IFERROR(SUMPRODUCT(--("0"&amp;LEFT(TRIM(MID(SUBSTITUTE(SUBSTITUTE(SUBSTITUTE(SUBSTITUTE(SUBSTITUTE(LOWER(Registro!$E928),"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",LEN(Registro!$E928))),({1,2,3,4,5,6,7,8,9,10,11,12,13,14,15,16,17,18,19,20,21,22,23,24,25,26,27,28,29,30}-1)*LEN(Registro!$E928)+1,LEN(Registro!$E928))),FIND("x",TRIM(MID(SUBSTITUTE(SUBSTITUTE(SUBSTITUTE(SUBSTITUTE(SUBSTITUTE(LOWER(Registro!$E928),"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",LEN(Registro!$E928))),({1,2,3,4,5,6,7,8,9,10,11,12,13,14,15,16,17,18,19,20,21,22,23,24,25,26,27,28,29,30}-1)*LEN(Registro!$E928)+1,LEN(Registro!$E928)))&amp;"x")-1)),--("0"&amp;MID(TRIM(MID(SUBSTITUTE(SUBSTITUTE(SUBSTITUTE(SUBSTITUTE(SUBSTITUTE(LOWER(Registro!$E928),"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",LEN(Registro!$E928))),({1,2,3,4,5,6,7,8,9,10,11,12,13,14,15,16,17,18,19,20,21,22,23,24,25,26,27,28,29,30}-1)*LEN(Registro!$E928)+1,LEN(Registro!$E928))),FIND("x",TRIM(MID(SUBSTITUTE(SUBSTITUTE(SUBSTITUTE(SUBSTITUTE(SUBSTITUTE(LOWER(Registro!$E928),"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",LEN(Registro!$E928))),({1,2,3,4,5,6,7,8,9,10,11,12,13,14,15,16,17,18,19,20,21,22,23,24,25,26,27,28,29,30}-1)*LEN(Registro!$E928)+1,LEN(Registro!$E928)))&amp;"x")+1,20))),"Revisar formato")))</f>
        <v/>
      </c>
      <c r="F928" s="23" t="str">
        <f>IF(Registro!$F928="","",IF(ISERROR(FIND("x",LOWER(Registro!$F928))),"-",IFERROR(SUMPRODUCT(--("0"&amp;LEFT(TRIM(MID(SUBSTITUTE(SUBSTITUTE(SUBSTITUTE(SUBSTITUTE(SUBSTITUTE(LOWER(Registro!$F928)," ",""),CHAR(10),"|"),";","|"),"+","|"),"|",REPT(" ",LEN(Registro!$F928))),({1,2,3,4,5,6,7,8,9,10,11,12,13,14,15,16,17,18,19,20,21,22,23,24,25,26,27,28,29,30}-1)*LEN(Registro!$F928)+1,LEN(Registro!$F928))),FIND("x",TRIM(MID(SUBSTITUTE(SUBSTITUTE(SUBSTITUTE(SUBSTITUTE(SUBSTITUTE(LOWER(Registro!$F928)," ",""),CHAR(10),"|"),";","|"),"+","|"),"|",REPT(" ",LEN(Registro!$F928))),({1,2,3,4,5,6,7,8,9,10,11,12,13,14,15,16,17,18,19,20,21,22,23,24,25,26,27,28,29,30}-1)*LEN(Registro!$F928)+1,LEN(Registro!$F928)))&amp;"x")-1))),"Revisar formato")))</f>
        <v/>
      </c>
      <c r="G928" s="24" t="str">
        <f>IF(Registro!$F928="","",IF(ISERROR(FIND("x",LOWER(Registro!$F928))),N(Registro!$G928),IFERROR(SUMPRODUCT(--("0"&amp;LEFT(TRIM(MID(SUBSTITUTE(SUBSTITUTE(SUBSTITUTE(SUBSTITUTE(SUBSTITUTE(LOWER(Registro!$F928)," ",""),CHAR(10),"|"),";","|"),"+","|"),"|",REPT(" ",LEN(Registro!$F928))),({1,2,3,4,5,6,7,8,9,10,11,12,13,14,15,16,17,18,19,20,21,22,23,24,25,26,27,28,29,30}-1)*LEN(Registro!$F928)+1,LEN(Registro!$F928))),FIND("x",TRIM(MID(SUBSTITUTE(SUBSTITUTE(SUBSTITUTE(SUBSTITUTE(SUBSTITUTE(LOWER(Registro!$F928)," ",""),CHAR(10),"|"),";","|"),"+","|"),"|",REPT(" ",LEN(Registro!$F928))),({1,2,3,4,5,6,7,8,9,10,11,12,13,14,15,16,17,18,19,20,21,22,23,24,25,26,27,28,29,30}-1)*LEN(Registro!$F928)+1,LEN(Registro!$F928)))&amp;"x")-1)),--("0"&amp;MID(TRIM(MID(SUBSTITUTE(SUBSTITUTE(SUBSTITUTE(SUBSTITUTE(SUBSTITUTE(LOWER(Registro!$F928)," ",""),CHAR(10),"|"),";","|"),"+","|"),"|",REPT(" ",LEN(Registro!$F928))),({1,2,3,4,5,6,7,8,9,10,11,12,13,14,15,16,17,18,19,20,21,22,23,24,25,26,27,28,29,30}-1)*LEN(Registro!$F928)+1,LEN(Registro!$F928))),FIND("x",TRIM(MID(SUBSTITUTE(SUBSTITUTE(SUBSTITUTE(SUBSTITUTE(SUBSTITUTE(LOWER(Registro!$F928)," ",""),CHAR(10),"|"),";","|"),"+","|"),"|",REPT(" ",LEN(Registro!$F928))),({1,2,3,4,5,6,7,8,9,10,11,12,13,14,15,16,17,18,19,20,21,22,23,24,25,26,27,28,29,30}-1)*LEN(Registro!$F928)+1,LEN(Registro!$F928)))&amp;"x")+1,20))),"Revisar formato")))</f>
        <v/>
      </c>
      <c r="H928" s="21" t="str">
        <f>IF(AND(Registro!$E928="",Registro!$F928=""),"",IF(NOT(AND(ISNUMBER(G928),ISNUMBER(Registro!$G928))),"",IF(G928&lt;Registro!$G928,"FALTA BOLETOS",IF(G928=Registro!$G928,"CONFORME","DIFERENCIA"))))</f>
        <v/>
      </c>
      <c r="I928" s="24" t="str">
        <f>IF(Registro!$H928="","",IFERROR(SUMPRODUCT(--("0"&amp;TRIM(RIGHT(SUBSTITUTE(TRIM(MID(SUBSTITUTE(SUBSTITUTE(Registro!$H928,";",CHAR(10)),CHAR(10),REPT(" ",LEN(Registro!$H928))),({1,2,3,4,5,6,7,8,9,10,11,12,13,14,15,16,17,18,19,20,21,22,23,24,25,26,27,28,29,30}-1)*LEN(Registro!$H928)+1,LEN(Registro!$H928)))," ",REPT(" ",50)),50)))),"Revisar formato"))</f>
        <v/>
      </c>
      <c r="J928" s="24" t="str">
        <f>IF(Registro!$I928="","",IFERROR(SUMPRODUCT(--("0"&amp;TRIM(RIGHT(SUBSTITUTE(TRIM(MID(SUBSTITUTE(SUBSTITUTE(Registro!$I928,";",CHAR(10)),CHAR(10),REPT(" ",LEN(Registro!$I928))),({1,2,3,4,5,6,7,8,9,10,11,12,13,14,15,16,17,18,19,20,21,22,23,24,25,26,27,28,29,30}-1)*LEN(Registro!$I928)+1,LEN(Registro!$I928)))," ",REPT(" ",50)),50)))),"Revisar formato"))</f>
        <v/>
      </c>
      <c r="K928" s="24" t="str">
        <f>IF(AND(Registro!$G928="",Registro!$H928=""),"",IF(AND(ISTEXT(I928),I928&lt;&gt;""),"Revisar formato",N(Registro!$G928)-N(I928)))</f>
        <v/>
      </c>
      <c r="L928" s="24" t="str">
        <f t="shared" si="29"/>
        <v/>
      </c>
      <c r="M928" s="36" t="str">
        <f>IF(AND(A928=Consulta!$B$3,C928=Consulta!$H$3),B928*10000+ROW(),"")</f>
        <v/>
      </c>
    </row>
    <row r="929" spans="1:13" x14ac:dyDescent="0.25">
      <c r="A929" s="21" t="str">
        <f>IF(Registro!$A929="","",Registro!$A929)</f>
        <v/>
      </c>
      <c r="B929" s="20" t="str">
        <f>IF(Registro!$B929="","",Registro!$B929)</f>
        <v/>
      </c>
      <c r="C929" s="35" t="str">
        <f t="shared" si="28"/>
        <v/>
      </c>
      <c r="D929" s="23" t="str">
        <f>IF(Registro!$E929="","",IF(ISERROR(FIND("x",LOWER(Registro!$E929))),"-",IFERROR(SUMPRODUCT(--("0"&amp;LEFT(TRIM(MID(SUBSTITUTE(SUBSTITUTE(SUBSTITUTE(SUBSTITUTE(SUBSTITUTE(LOWER(Registro!$E929),"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",LEN(Registro!$E929))),({1,2,3,4,5,6,7,8,9,10,11,12,13,14,15,16,17,18,19,20,21,22,23,24,25,26,27,28,29,30}-1)*LEN(Registro!$E929)+1,LEN(Registro!$E929))),FIND("x",TRIM(MID(SUBSTITUTE(SUBSTITUTE(SUBSTITUTE(SUBSTITUTE(SUBSTITUTE(LOWER(Registro!$E929),"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",LEN(Registro!$E929))),({1,2,3,4,5,6,7,8,9,10,11,12,13,14,15,16,17,18,19,20,21,22,23,24,25,26,27,28,29,30}-1)*LEN(Registro!$E929)+1,LEN(Registro!$E929)))&amp;"x")-1))),"Revisar formato")))</f>
        <v/>
      </c>
      <c r="E929" s="24" t="str">
        <f>IF(Registro!$E929="","",IF(ISERROR(FIND("x",LOWER(Registro!$E929))),"-",IFERROR(SUMPRODUCT(--("0"&amp;LEFT(TRIM(MID(SUBSTITUTE(SUBSTITUTE(SUBSTITUTE(SUBSTITUTE(SUBSTITUTE(LOWER(Registro!$E929),"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",LEN(Registro!$E929))),({1,2,3,4,5,6,7,8,9,10,11,12,13,14,15,16,17,18,19,20,21,22,23,24,25,26,27,28,29,30}-1)*LEN(Registro!$E929)+1,LEN(Registro!$E929))),FIND("x",TRIM(MID(SUBSTITUTE(SUBSTITUTE(SUBSTITUTE(SUBSTITUTE(SUBSTITUTE(LOWER(Registro!$E929),"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",LEN(Registro!$E929))),({1,2,3,4,5,6,7,8,9,10,11,12,13,14,15,16,17,18,19,20,21,22,23,24,25,26,27,28,29,30}-1)*LEN(Registro!$E929)+1,LEN(Registro!$E929)))&amp;"x")-1)),--("0"&amp;MID(TRIM(MID(SUBSTITUTE(SUBSTITUTE(SUBSTITUTE(SUBSTITUTE(SUBSTITUTE(LOWER(Registro!$E929),"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",LEN(Registro!$E929))),({1,2,3,4,5,6,7,8,9,10,11,12,13,14,15,16,17,18,19,20,21,22,23,24,25,26,27,28,29,30}-1)*LEN(Registro!$E929)+1,LEN(Registro!$E929))),FIND("x",TRIM(MID(SUBSTITUTE(SUBSTITUTE(SUBSTITUTE(SUBSTITUTE(SUBSTITUTE(LOWER(Registro!$E929),"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",LEN(Registro!$E929))),({1,2,3,4,5,6,7,8,9,10,11,12,13,14,15,16,17,18,19,20,21,22,23,24,25,26,27,28,29,30}-1)*LEN(Registro!$E929)+1,LEN(Registro!$E929)))&amp;"x")+1,20))),"Revisar formato")))</f>
        <v/>
      </c>
      <c r="F929" s="23" t="str">
        <f>IF(Registro!$F929="","",IF(ISERROR(FIND("x",LOWER(Registro!$F929))),"-",IFERROR(SUMPRODUCT(--("0"&amp;LEFT(TRIM(MID(SUBSTITUTE(SUBSTITUTE(SUBSTITUTE(SUBSTITUTE(SUBSTITUTE(LOWER(Registro!$F929)," ",""),CHAR(10),"|"),";","|"),"+","|"),"|",REPT(" ",LEN(Registro!$F929))),({1,2,3,4,5,6,7,8,9,10,11,12,13,14,15,16,17,18,19,20,21,22,23,24,25,26,27,28,29,30}-1)*LEN(Registro!$F929)+1,LEN(Registro!$F929))),FIND("x",TRIM(MID(SUBSTITUTE(SUBSTITUTE(SUBSTITUTE(SUBSTITUTE(SUBSTITUTE(LOWER(Registro!$F929)," ",""),CHAR(10),"|"),";","|"),"+","|"),"|",REPT(" ",LEN(Registro!$F929))),({1,2,3,4,5,6,7,8,9,10,11,12,13,14,15,16,17,18,19,20,21,22,23,24,25,26,27,28,29,30}-1)*LEN(Registro!$F929)+1,LEN(Registro!$F929)))&amp;"x")-1))),"Revisar formato")))</f>
        <v/>
      </c>
      <c r="G929" s="24" t="str">
        <f>IF(Registro!$F929="","",IF(ISERROR(FIND("x",LOWER(Registro!$F929))),N(Registro!$G929),IFERROR(SUMPRODUCT(--("0"&amp;LEFT(TRIM(MID(SUBSTITUTE(SUBSTITUTE(SUBSTITUTE(SUBSTITUTE(SUBSTITUTE(LOWER(Registro!$F929)," ",""),CHAR(10),"|"),";","|"),"+","|"),"|",REPT(" ",LEN(Registro!$F929))),({1,2,3,4,5,6,7,8,9,10,11,12,13,14,15,16,17,18,19,20,21,22,23,24,25,26,27,28,29,30}-1)*LEN(Registro!$F929)+1,LEN(Registro!$F929))),FIND("x",TRIM(MID(SUBSTITUTE(SUBSTITUTE(SUBSTITUTE(SUBSTITUTE(SUBSTITUTE(LOWER(Registro!$F929)," ",""),CHAR(10),"|"),";","|"),"+","|"),"|",REPT(" ",LEN(Registro!$F929))),({1,2,3,4,5,6,7,8,9,10,11,12,13,14,15,16,17,18,19,20,21,22,23,24,25,26,27,28,29,30}-1)*LEN(Registro!$F929)+1,LEN(Registro!$F929)))&amp;"x")-1)),--("0"&amp;MID(TRIM(MID(SUBSTITUTE(SUBSTITUTE(SUBSTITUTE(SUBSTITUTE(SUBSTITUTE(LOWER(Registro!$F929)," ",""),CHAR(10),"|"),";","|"),"+","|"),"|",REPT(" ",LEN(Registro!$F929))),({1,2,3,4,5,6,7,8,9,10,11,12,13,14,15,16,17,18,19,20,21,22,23,24,25,26,27,28,29,30}-1)*LEN(Registro!$F929)+1,LEN(Registro!$F929))),FIND("x",TRIM(MID(SUBSTITUTE(SUBSTITUTE(SUBSTITUTE(SUBSTITUTE(SUBSTITUTE(LOWER(Registro!$F929)," ",""),CHAR(10),"|"),";","|"),"+","|"),"|",REPT(" ",LEN(Registro!$F929))),({1,2,3,4,5,6,7,8,9,10,11,12,13,14,15,16,17,18,19,20,21,22,23,24,25,26,27,28,29,30}-1)*LEN(Registro!$F929)+1,LEN(Registro!$F929)))&amp;"x")+1,20))),"Revisar formato")))</f>
        <v/>
      </c>
      <c r="H929" s="21" t="str">
        <f>IF(AND(Registro!$E929="",Registro!$F929=""),"",IF(NOT(AND(ISNUMBER(G929),ISNUMBER(Registro!$G929))),"",IF(G929&lt;Registro!$G929,"FALTA BOLETOS",IF(G929=Registro!$G929,"CONFORME","DIFERENCIA"))))</f>
        <v/>
      </c>
      <c r="I929" s="24" t="str">
        <f>IF(Registro!$H929="","",IFERROR(SUMPRODUCT(--("0"&amp;TRIM(RIGHT(SUBSTITUTE(TRIM(MID(SUBSTITUTE(SUBSTITUTE(Registro!$H929,";",CHAR(10)),CHAR(10),REPT(" ",LEN(Registro!$H929))),({1,2,3,4,5,6,7,8,9,10,11,12,13,14,15,16,17,18,19,20,21,22,23,24,25,26,27,28,29,30}-1)*LEN(Registro!$H929)+1,LEN(Registro!$H929)))," ",REPT(" ",50)),50)))),"Revisar formato"))</f>
        <v/>
      </c>
      <c r="J929" s="24" t="str">
        <f>IF(Registro!$I929="","",IFERROR(SUMPRODUCT(--("0"&amp;TRIM(RIGHT(SUBSTITUTE(TRIM(MID(SUBSTITUTE(SUBSTITUTE(Registro!$I929,";",CHAR(10)),CHAR(10),REPT(" ",LEN(Registro!$I929))),({1,2,3,4,5,6,7,8,9,10,11,12,13,14,15,16,17,18,19,20,21,22,23,24,25,26,27,28,29,30}-1)*LEN(Registro!$I929)+1,LEN(Registro!$I929)))," ",REPT(" ",50)),50)))),"Revisar formato"))</f>
        <v/>
      </c>
      <c r="K929" s="24" t="str">
        <f>IF(AND(Registro!$G929="",Registro!$H929=""),"",IF(AND(ISTEXT(I929),I929&lt;&gt;""),"Revisar formato",N(Registro!$G929)-N(I929)))</f>
        <v/>
      </c>
      <c r="L929" s="24" t="str">
        <f t="shared" si="29"/>
        <v/>
      </c>
      <c r="M929" s="36" t="str">
        <f>IF(AND(A929=Consulta!$B$3,C929=Consulta!$H$3),B929*10000+ROW(),"")</f>
        <v/>
      </c>
    </row>
    <row r="930" spans="1:13" x14ac:dyDescent="0.25">
      <c r="A930" s="21" t="str">
        <f>IF(Registro!$A930="","",Registro!$A930)</f>
        <v/>
      </c>
      <c r="B930" s="20" t="str">
        <f>IF(Registro!$B930="","",Registro!$B930)</f>
        <v/>
      </c>
      <c r="C930" s="35" t="str">
        <f t="shared" si="28"/>
        <v/>
      </c>
      <c r="D930" s="23" t="str">
        <f>IF(Registro!$E930="","",IF(ISERROR(FIND("x",LOWER(Registro!$E930))),"-",IFERROR(SUMPRODUCT(--("0"&amp;LEFT(TRIM(MID(SUBSTITUTE(SUBSTITUTE(SUBSTITUTE(SUBSTITUTE(SUBSTITUTE(LOWER(Registro!$E930),"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",LEN(Registro!$E930))),({1,2,3,4,5,6,7,8,9,10,11,12,13,14,15,16,17,18,19,20,21,22,23,24,25,26,27,28,29,30}-1)*LEN(Registro!$E930)+1,LEN(Registro!$E930))),FIND("x",TRIM(MID(SUBSTITUTE(SUBSTITUTE(SUBSTITUTE(SUBSTITUTE(SUBSTITUTE(LOWER(Registro!$E930),"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",LEN(Registro!$E930))),({1,2,3,4,5,6,7,8,9,10,11,12,13,14,15,16,17,18,19,20,21,22,23,24,25,26,27,28,29,30}-1)*LEN(Registro!$E930)+1,LEN(Registro!$E930)))&amp;"x")-1))),"Revisar formato")))</f>
        <v/>
      </c>
      <c r="E930" s="24" t="str">
        <f>IF(Registro!$E930="","",IF(ISERROR(FIND("x",LOWER(Registro!$E930))),"-",IFERROR(SUMPRODUCT(--("0"&amp;LEFT(TRIM(MID(SUBSTITUTE(SUBSTITUTE(SUBSTITUTE(SUBSTITUTE(SUBSTITUTE(LOWER(Registro!$E930),"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",LEN(Registro!$E930))),({1,2,3,4,5,6,7,8,9,10,11,12,13,14,15,16,17,18,19,20,21,22,23,24,25,26,27,28,29,30}-1)*LEN(Registro!$E930)+1,LEN(Registro!$E930))),FIND("x",TRIM(MID(SUBSTITUTE(SUBSTITUTE(SUBSTITUTE(SUBSTITUTE(SUBSTITUTE(LOWER(Registro!$E930),"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",LEN(Registro!$E930))),({1,2,3,4,5,6,7,8,9,10,11,12,13,14,15,16,17,18,19,20,21,22,23,24,25,26,27,28,29,30}-1)*LEN(Registro!$E930)+1,LEN(Registro!$E930)))&amp;"x")-1)),--("0"&amp;MID(TRIM(MID(SUBSTITUTE(SUBSTITUTE(SUBSTITUTE(SUBSTITUTE(SUBSTITUTE(LOWER(Registro!$E930),"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",LEN(Registro!$E930))),({1,2,3,4,5,6,7,8,9,10,11,12,13,14,15,16,17,18,19,20,21,22,23,24,25,26,27,28,29,30}-1)*LEN(Registro!$E930)+1,LEN(Registro!$E930))),FIND("x",TRIM(MID(SUBSTITUTE(SUBSTITUTE(SUBSTITUTE(SUBSTITUTE(SUBSTITUTE(LOWER(Registro!$E930),"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",LEN(Registro!$E930))),({1,2,3,4,5,6,7,8,9,10,11,12,13,14,15,16,17,18,19,20,21,22,23,24,25,26,27,28,29,30}-1)*LEN(Registro!$E930)+1,LEN(Registro!$E930)))&amp;"x")+1,20))),"Revisar formato")))</f>
        <v/>
      </c>
      <c r="F930" s="23" t="str">
        <f>IF(Registro!$F930="","",IF(ISERROR(FIND("x",LOWER(Registro!$F930))),"-",IFERROR(SUMPRODUCT(--("0"&amp;LEFT(TRIM(MID(SUBSTITUTE(SUBSTITUTE(SUBSTITUTE(SUBSTITUTE(SUBSTITUTE(LOWER(Registro!$F930)," ",""),CHAR(10),"|"),";","|"),"+","|"),"|",REPT(" ",LEN(Registro!$F930))),({1,2,3,4,5,6,7,8,9,10,11,12,13,14,15,16,17,18,19,20,21,22,23,24,25,26,27,28,29,30}-1)*LEN(Registro!$F930)+1,LEN(Registro!$F930))),FIND("x",TRIM(MID(SUBSTITUTE(SUBSTITUTE(SUBSTITUTE(SUBSTITUTE(SUBSTITUTE(LOWER(Registro!$F930)," ",""),CHAR(10),"|"),";","|"),"+","|"),"|",REPT(" ",LEN(Registro!$F930))),({1,2,3,4,5,6,7,8,9,10,11,12,13,14,15,16,17,18,19,20,21,22,23,24,25,26,27,28,29,30}-1)*LEN(Registro!$F930)+1,LEN(Registro!$F930)))&amp;"x")-1))),"Revisar formato")))</f>
        <v/>
      </c>
      <c r="G930" s="24" t="str">
        <f>IF(Registro!$F930="","",IF(ISERROR(FIND("x",LOWER(Registro!$F930))),N(Registro!$G930),IFERROR(SUMPRODUCT(--("0"&amp;LEFT(TRIM(MID(SUBSTITUTE(SUBSTITUTE(SUBSTITUTE(SUBSTITUTE(SUBSTITUTE(LOWER(Registro!$F930)," ",""),CHAR(10),"|"),";","|"),"+","|"),"|",REPT(" ",LEN(Registro!$F930))),({1,2,3,4,5,6,7,8,9,10,11,12,13,14,15,16,17,18,19,20,21,22,23,24,25,26,27,28,29,30}-1)*LEN(Registro!$F930)+1,LEN(Registro!$F930))),FIND("x",TRIM(MID(SUBSTITUTE(SUBSTITUTE(SUBSTITUTE(SUBSTITUTE(SUBSTITUTE(LOWER(Registro!$F930)," ",""),CHAR(10),"|"),";","|"),"+","|"),"|",REPT(" ",LEN(Registro!$F930))),({1,2,3,4,5,6,7,8,9,10,11,12,13,14,15,16,17,18,19,20,21,22,23,24,25,26,27,28,29,30}-1)*LEN(Registro!$F930)+1,LEN(Registro!$F930)))&amp;"x")-1)),--("0"&amp;MID(TRIM(MID(SUBSTITUTE(SUBSTITUTE(SUBSTITUTE(SUBSTITUTE(SUBSTITUTE(LOWER(Registro!$F930)," ",""),CHAR(10),"|"),";","|"),"+","|"),"|",REPT(" ",LEN(Registro!$F930))),({1,2,3,4,5,6,7,8,9,10,11,12,13,14,15,16,17,18,19,20,21,22,23,24,25,26,27,28,29,30}-1)*LEN(Registro!$F930)+1,LEN(Registro!$F930))),FIND("x",TRIM(MID(SUBSTITUTE(SUBSTITUTE(SUBSTITUTE(SUBSTITUTE(SUBSTITUTE(LOWER(Registro!$F930)," ",""),CHAR(10),"|"),";","|"),"+","|"),"|",REPT(" ",LEN(Registro!$F930))),({1,2,3,4,5,6,7,8,9,10,11,12,13,14,15,16,17,18,19,20,21,22,23,24,25,26,27,28,29,30}-1)*LEN(Registro!$F930)+1,LEN(Registro!$F930)))&amp;"x")+1,20))),"Revisar formato")))</f>
        <v/>
      </c>
      <c r="H930" s="21" t="str">
        <f>IF(AND(Registro!$E930="",Registro!$F930=""),"",IF(NOT(AND(ISNUMBER(G930),ISNUMBER(Registro!$G930))),"",IF(G930&lt;Registro!$G930,"FALTA BOLETOS",IF(G930=Registro!$G930,"CONFORME","DIFERENCIA"))))</f>
        <v/>
      </c>
      <c r="I930" s="24" t="str">
        <f>IF(Registro!$H930="","",IFERROR(SUMPRODUCT(--("0"&amp;TRIM(RIGHT(SUBSTITUTE(TRIM(MID(SUBSTITUTE(SUBSTITUTE(Registro!$H930,";",CHAR(10)),CHAR(10),REPT(" ",LEN(Registro!$H930))),({1,2,3,4,5,6,7,8,9,10,11,12,13,14,15,16,17,18,19,20,21,22,23,24,25,26,27,28,29,30}-1)*LEN(Registro!$H930)+1,LEN(Registro!$H930)))," ",REPT(" ",50)),50)))),"Revisar formato"))</f>
        <v/>
      </c>
      <c r="J930" s="24" t="str">
        <f>IF(Registro!$I930="","",IFERROR(SUMPRODUCT(--("0"&amp;TRIM(RIGHT(SUBSTITUTE(TRIM(MID(SUBSTITUTE(SUBSTITUTE(Registro!$I930,";",CHAR(10)),CHAR(10),REPT(" ",LEN(Registro!$I930))),({1,2,3,4,5,6,7,8,9,10,11,12,13,14,15,16,17,18,19,20,21,22,23,24,25,26,27,28,29,30}-1)*LEN(Registro!$I930)+1,LEN(Registro!$I930)))," ",REPT(" ",50)),50)))),"Revisar formato"))</f>
        <v/>
      </c>
      <c r="K930" s="24" t="str">
        <f>IF(AND(Registro!$G930="",Registro!$H930=""),"",IF(AND(ISTEXT(I930),I930&lt;&gt;""),"Revisar formato",N(Registro!$G930)-N(I930)))</f>
        <v/>
      </c>
      <c r="L930" s="24" t="str">
        <f t="shared" si="29"/>
        <v/>
      </c>
      <c r="M930" s="36" t="str">
        <f>IF(AND(A930=Consulta!$B$3,C930=Consulta!$H$3),B930*10000+ROW(),"")</f>
        <v/>
      </c>
    </row>
    <row r="931" spans="1:13" x14ac:dyDescent="0.25">
      <c r="A931" s="21" t="str">
        <f>IF(Registro!$A931="","",Registro!$A931)</f>
        <v/>
      </c>
      <c r="B931" s="20" t="str">
        <f>IF(Registro!$B931="","",Registro!$B931)</f>
        <v/>
      </c>
      <c r="C931" s="35" t="str">
        <f t="shared" si="28"/>
        <v/>
      </c>
      <c r="D931" s="23" t="str">
        <f>IF(Registro!$E931="","",IF(ISERROR(FIND("x",LOWER(Registro!$E931))),"-",IFERROR(SUMPRODUCT(--("0"&amp;LEFT(TRIM(MID(SUBSTITUTE(SUBSTITUTE(SUBSTITUTE(SUBSTITUTE(SUBSTITUTE(LOWER(Registro!$E931),"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",LEN(Registro!$E931))),({1,2,3,4,5,6,7,8,9,10,11,12,13,14,15,16,17,18,19,20,21,22,23,24,25,26,27,28,29,30}-1)*LEN(Registro!$E931)+1,LEN(Registro!$E931))),FIND("x",TRIM(MID(SUBSTITUTE(SUBSTITUTE(SUBSTITUTE(SUBSTITUTE(SUBSTITUTE(LOWER(Registro!$E931),"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",LEN(Registro!$E931))),({1,2,3,4,5,6,7,8,9,10,11,12,13,14,15,16,17,18,19,20,21,22,23,24,25,26,27,28,29,30}-1)*LEN(Registro!$E931)+1,LEN(Registro!$E931)))&amp;"x")-1))),"Revisar formato")))</f>
        <v/>
      </c>
      <c r="E931" s="24" t="str">
        <f>IF(Registro!$E931="","",IF(ISERROR(FIND("x",LOWER(Registro!$E931))),"-",IFERROR(SUMPRODUCT(--("0"&amp;LEFT(TRIM(MID(SUBSTITUTE(SUBSTITUTE(SUBSTITUTE(SUBSTITUTE(SUBSTITUTE(LOWER(Registro!$E931),"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",LEN(Registro!$E931))),({1,2,3,4,5,6,7,8,9,10,11,12,13,14,15,16,17,18,19,20,21,22,23,24,25,26,27,28,29,30}-1)*LEN(Registro!$E931)+1,LEN(Registro!$E931))),FIND("x",TRIM(MID(SUBSTITUTE(SUBSTITUTE(SUBSTITUTE(SUBSTITUTE(SUBSTITUTE(LOWER(Registro!$E931),"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",LEN(Registro!$E931))),({1,2,3,4,5,6,7,8,9,10,11,12,13,14,15,16,17,18,19,20,21,22,23,24,25,26,27,28,29,30}-1)*LEN(Registro!$E931)+1,LEN(Registro!$E931)))&amp;"x")-1)),--("0"&amp;MID(TRIM(MID(SUBSTITUTE(SUBSTITUTE(SUBSTITUTE(SUBSTITUTE(SUBSTITUTE(LOWER(Registro!$E931),"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",LEN(Registro!$E931))),({1,2,3,4,5,6,7,8,9,10,11,12,13,14,15,16,17,18,19,20,21,22,23,24,25,26,27,28,29,30}-1)*LEN(Registro!$E931)+1,LEN(Registro!$E931))),FIND("x",TRIM(MID(SUBSTITUTE(SUBSTITUTE(SUBSTITUTE(SUBSTITUTE(SUBSTITUTE(LOWER(Registro!$E931),"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",LEN(Registro!$E931))),({1,2,3,4,5,6,7,8,9,10,11,12,13,14,15,16,17,18,19,20,21,22,23,24,25,26,27,28,29,30}-1)*LEN(Registro!$E931)+1,LEN(Registro!$E931)))&amp;"x")+1,20))),"Revisar formato")))</f>
        <v/>
      </c>
      <c r="F931" s="23" t="str">
        <f>IF(Registro!$F931="","",IF(ISERROR(FIND("x",LOWER(Registro!$F931))),"-",IFERROR(SUMPRODUCT(--("0"&amp;LEFT(TRIM(MID(SUBSTITUTE(SUBSTITUTE(SUBSTITUTE(SUBSTITUTE(SUBSTITUTE(LOWER(Registro!$F931)," ",""),CHAR(10),"|"),";","|"),"+","|"),"|",REPT(" ",LEN(Registro!$F931))),({1,2,3,4,5,6,7,8,9,10,11,12,13,14,15,16,17,18,19,20,21,22,23,24,25,26,27,28,29,30}-1)*LEN(Registro!$F931)+1,LEN(Registro!$F931))),FIND("x",TRIM(MID(SUBSTITUTE(SUBSTITUTE(SUBSTITUTE(SUBSTITUTE(SUBSTITUTE(LOWER(Registro!$F931)," ",""),CHAR(10),"|"),";","|"),"+","|"),"|",REPT(" ",LEN(Registro!$F931))),({1,2,3,4,5,6,7,8,9,10,11,12,13,14,15,16,17,18,19,20,21,22,23,24,25,26,27,28,29,30}-1)*LEN(Registro!$F931)+1,LEN(Registro!$F931)))&amp;"x")-1))),"Revisar formato")))</f>
        <v/>
      </c>
      <c r="G931" s="24" t="str">
        <f>IF(Registro!$F931="","",IF(ISERROR(FIND("x",LOWER(Registro!$F931))),N(Registro!$G931),IFERROR(SUMPRODUCT(--("0"&amp;LEFT(TRIM(MID(SUBSTITUTE(SUBSTITUTE(SUBSTITUTE(SUBSTITUTE(SUBSTITUTE(LOWER(Registro!$F931)," ",""),CHAR(10),"|"),";","|"),"+","|"),"|",REPT(" ",LEN(Registro!$F931))),({1,2,3,4,5,6,7,8,9,10,11,12,13,14,15,16,17,18,19,20,21,22,23,24,25,26,27,28,29,30}-1)*LEN(Registro!$F931)+1,LEN(Registro!$F931))),FIND("x",TRIM(MID(SUBSTITUTE(SUBSTITUTE(SUBSTITUTE(SUBSTITUTE(SUBSTITUTE(LOWER(Registro!$F931)," ",""),CHAR(10),"|"),";","|"),"+","|"),"|",REPT(" ",LEN(Registro!$F931))),({1,2,3,4,5,6,7,8,9,10,11,12,13,14,15,16,17,18,19,20,21,22,23,24,25,26,27,28,29,30}-1)*LEN(Registro!$F931)+1,LEN(Registro!$F931)))&amp;"x")-1)),--("0"&amp;MID(TRIM(MID(SUBSTITUTE(SUBSTITUTE(SUBSTITUTE(SUBSTITUTE(SUBSTITUTE(LOWER(Registro!$F931)," ",""),CHAR(10),"|"),";","|"),"+","|"),"|",REPT(" ",LEN(Registro!$F931))),({1,2,3,4,5,6,7,8,9,10,11,12,13,14,15,16,17,18,19,20,21,22,23,24,25,26,27,28,29,30}-1)*LEN(Registro!$F931)+1,LEN(Registro!$F931))),FIND("x",TRIM(MID(SUBSTITUTE(SUBSTITUTE(SUBSTITUTE(SUBSTITUTE(SUBSTITUTE(LOWER(Registro!$F931)," ",""),CHAR(10),"|"),";","|"),"+","|"),"|",REPT(" ",LEN(Registro!$F931))),({1,2,3,4,5,6,7,8,9,10,11,12,13,14,15,16,17,18,19,20,21,22,23,24,25,26,27,28,29,30}-1)*LEN(Registro!$F931)+1,LEN(Registro!$F931)))&amp;"x")+1,20))),"Revisar formato")))</f>
        <v/>
      </c>
      <c r="H931" s="21" t="str">
        <f>IF(AND(Registro!$E931="",Registro!$F931=""),"",IF(NOT(AND(ISNUMBER(G931),ISNUMBER(Registro!$G931))),"",IF(G931&lt;Registro!$G931,"FALTA BOLETOS",IF(G931=Registro!$G931,"CONFORME","DIFERENCIA"))))</f>
        <v/>
      </c>
      <c r="I931" s="24" t="str">
        <f>IF(Registro!$H931="","",IFERROR(SUMPRODUCT(--("0"&amp;TRIM(RIGHT(SUBSTITUTE(TRIM(MID(SUBSTITUTE(SUBSTITUTE(Registro!$H931,";",CHAR(10)),CHAR(10),REPT(" ",LEN(Registro!$H931))),({1,2,3,4,5,6,7,8,9,10,11,12,13,14,15,16,17,18,19,20,21,22,23,24,25,26,27,28,29,30}-1)*LEN(Registro!$H931)+1,LEN(Registro!$H931)))," ",REPT(" ",50)),50)))),"Revisar formato"))</f>
        <v/>
      </c>
      <c r="J931" s="24" t="str">
        <f>IF(Registro!$I931="","",IFERROR(SUMPRODUCT(--("0"&amp;TRIM(RIGHT(SUBSTITUTE(TRIM(MID(SUBSTITUTE(SUBSTITUTE(Registro!$I931,";",CHAR(10)),CHAR(10),REPT(" ",LEN(Registro!$I931))),({1,2,3,4,5,6,7,8,9,10,11,12,13,14,15,16,17,18,19,20,21,22,23,24,25,26,27,28,29,30}-1)*LEN(Registro!$I931)+1,LEN(Registro!$I931)))," ",REPT(" ",50)),50)))),"Revisar formato"))</f>
        <v/>
      </c>
      <c r="K931" s="24" t="str">
        <f>IF(AND(Registro!$G931="",Registro!$H931=""),"",IF(AND(ISTEXT(I931),I931&lt;&gt;""),"Revisar formato",N(Registro!$G931)-N(I931)))</f>
        <v/>
      </c>
      <c r="L931" s="24" t="str">
        <f t="shared" si="29"/>
        <v/>
      </c>
      <c r="M931" s="36" t="str">
        <f>IF(AND(A931=Consulta!$B$3,C931=Consulta!$H$3),B931*10000+ROW(),"")</f>
        <v/>
      </c>
    </row>
    <row r="932" spans="1:13" x14ac:dyDescent="0.25">
      <c r="A932" s="21" t="str">
        <f>IF(Registro!$A932="","",Registro!$A932)</f>
        <v/>
      </c>
      <c r="B932" s="20" t="str">
        <f>IF(Registro!$B932="","",Registro!$B932)</f>
        <v/>
      </c>
      <c r="C932" s="35" t="str">
        <f t="shared" si="28"/>
        <v/>
      </c>
      <c r="D932" s="23" t="str">
        <f>IF(Registro!$E932="","",IF(ISERROR(FIND("x",LOWER(Registro!$E932))),"-",IFERROR(SUMPRODUCT(--("0"&amp;LEFT(TRIM(MID(SUBSTITUTE(SUBSTITUTE(SUBSTITUTE(SUBSTITUTE(SUBSTITUTE(LOWER(Registro!$E932),"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",LEN(Registro!$E932))),({1,2,3,4,5,6,7,8,9,10,11,12,13,14,15,16,17,18,19,20,21,22,23,24,25,26,27,28,29,30}-1)*LEN(Registro!$E932)+1,LEN(Registro!$E932))),FIND("x",TRIM(MID(SUBSTITUTE(SUBSTITUTE(SUBSTITUTE(SUBSTITUTE(SUBSTITUTE(LOWER(Registro!$E932),"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",LEN(Registro!$E932))),({1,2,3,4,5,6,7,8,9,10,11,12,13,14,15,16,17,18,19,20,21,22,23,24,25,26,27,28,29,30}-1)*LEN(Registro!$E932)+1,LEN(Registro!$E932)))&amp;"x")-1))),"Revisar formato")))</f>
        <v/>
      </c>
      <c r="E932" s="24" t="str">
        <f>IF(Registro!$E932="","",IF(ISERROR(FIND("x",LOWER(Registro!$E932))),"-",IFERROR(SUMPRODUCT(--("0"&amp;LEFT(TRIM(MID(SUBSTITUTE(SUBSTITUTE(SUBSTITUTE(SUBSTITUTE(SUBSTITUTE(LOWER(Registro!$E932),"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",LEN(Registro!$E932))),({1,2,3,4,5,6,7,8,9,10,11,12,13,14,15,16,17,18,19,20,21,22,23,24,25,26,27,28,29,30}-1)*LEN(Registro!$E932)+1,LEN(Registro!$E932))),FIND("x",TRIM(MID(SUBSTITUTE(SUBSTITUTE(SUBSTITUTE(SUBSTITUTE(SUBSTITUTE(LOWER(Registro!$E932),"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",LEN(Registro!$E932))),({1,2,3,4,5,6,7,8,9,10,11,12,13,14,15,16,17,18,19,20,21,22,23,24,25,26,27,28,29,30}-1)*LEN(Registro!$E932)+1,LEN(Registro!$E932)))&amp;"x")-1)),--("0"&amp;MID(TRIM(MID(SUBSTITUTE(SUBSTITUTE(SUBSTITUTE(SUBSTITUTE(SUBSTITUTE(LOWER(Registro!$E932),"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",LEN(Registro!$E932))),({1,2,3,4,5,6,7,8,9,10,11,12,13,14,15,16,17,18,19,20,21,22,23,24,25,26,27,28,29,30}-1)*LEN(Registro!$E932)+1,LEN(Registro!$E932))),FIND("x",TRIM(MID(SUBSTITUTE(SUBSTITUTE(SUBSTITUTE(SUBSTITUTE(SUBSTITUTE(LOWER(Registro!$E932),"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",LEN(Registro!$E932))),({1,2,3,4,5,6,7,8,9,10,11,12,13,14,15,16,17,18,19,20,21,22,23,24,25,26,27,28,29,30}-1)*LEN(Registro!$E932)+1,LEN(Registro!$E932)))&amp;"x")+1,20))),"Revisar formato")))</f>
        <v/>
      </c>
      <c r="F932" s="23" t="str">
        <f>IF(Registro!$F932="","",IF(ISERROR(FIND("x",LOWER(Registro!$F932))),"-",IFERROR(SUMPRODUCT(--("0"&amp;LEFT(TRIM(MID(SUBSTITUTE(SUBSTITUTE(SUBSTITUTE(SUBSTITUTE(SUBSTITUTE(LOWER(Registro!$F932)," ",""),CHAR(10),"|"),";","|"),"+","|"),"|",REPT(" ",LEN(Registro!$F932))),({1,2,3,4,5,6,7,8,9,10,11,12,13,14,15,16,17,18,19,20,21,22,23,24,25,26,27,28,29,30}-1)*LEN(Registro!$F932)+1,LEN(Registro!$F932))),FIND("x",TRIM(MID(SUBSTITUTE(SUBSTITUTE(SUBSTITUTE(SUBSTITUTE(SUBSTITUTE(LOWER(Registro!$F932)," ",""),CHAR(10),"|"),";","|"),"+","|"),"|",REPT(" ",LEN(Registro!$F932))),({1,2,3,4,5,6,7,8,9,10,11,12,13,14,15,16,17,18,19,20,21,22,23,24,25,26,27,28,29,30}-1)*LEN(Registro!$F932)+1,LEN(Registro!$F932)))&amp;"x")-1))),"Revisar formato")))</f>
        <v/>
      </c>
      <c r="G932" s="24" t="str">
        <f>IF(Registro!$F932="","",IF(ISERROR(FIND("x",LOWER(Registro!$F932))),N(Registro!$G932),IFERROR(SUMPRODUCT(--("0"&amp;LEFT(TRIM(MID(SUBSTITUTE(SUBSTITUTE(SUBSTITUTE(SUBSTITUTE(SUBSTITUTE(LOWER(Registro!$F932)," ",""),CHAR(10),"|"),";","|"),"+","|"),"|",REPT(" ",LEN(Registro!$F932))),({1,2,3,4,5,6,7,8,9,10,11,12,13,14,15,16,17,18,19,20,21,22,23,24,25,26,27,28,29,30}-1)*LEN(Registro!$F932)+1,LEN(Registro!$F932))),FIND("x",TRIM(MID(SUBSTITUTE(SUBSTITUTE(SUBSTITUTE(SUBSTITUTE(SUBSTITUTE(LOWER(Registro!$F932)," ",""),CHAR(10),"|"),";","|"),"+","|"),"|",REPT(" ",LEN(Registro!$F932))),({1,2,3,4,5,6,7,8,9,10,11,12,13,14,15,16,17,18,19,20,21,22,23,24,25,26,27,28,29,30}-1)*LEN(Registro!$F932)+1,LEN(Registro!$F932)))&amp;"x")-1)),--("0"&amp;MID(TRIM(MID(SUBSTITUTE(SUBSTITUTE(SUBSTITUTE(SUBSTITUTE(SUBSTITUTE(LOWER(Registro!$F932)," ",""),CHAR(10),"|"),";","|"),"+","|"),"|",REPT(" ",LEN(Registro!$F932))),({1,2,3,4,5,6,7,8,9,10,11,12,13,14,15,16,17,18,19,20,21,22,23,24,25,26,27,28,29,30}-1)*LEN(Registro!$F932)+1,LEN(Registro!$F932))),FIND("x",TRIM(MID(SUBSTITUTE(SUBSTITUTE(SUBSTITUTE(SUBSTITUTE(SUBSTITUTE(LOWER(Registro!$F932)," ",""),CHAR(10),"|"),";","|"),"+","|"),"|",REPT(" ",LEN(Registro!$F932))),({1,2,3,4,5,6,7,8,9,10,11,12,13,14,15,16,17,18,19,20,21,22,23,24,25,26,27,28,29,30}-1)*LEN(Registro!$F932)+1,LEN(Registro!$F932)))&amp;"x")+1,20))),"Revisar formato")))</f>
        <v/>
      </c>
      <c r="H932" s="21" t="str">
        <f>IF(AND(Registro!$E932="",Registro!$F932=""),"",IF(NOT(AND(ISNUMBER(G932),ISNUMBER(Registro!$G932))),"",IF(G932&lt;Registro!$G932,"FALTA BOLETOS",IF(G932=Registro!$G932,"CONFORME","DIFERENCIA"))))</f>
        <v/>
      </c>
      <c r="I932" s="24" t="str">
        <f>IF(Registro!$H932="","",IFERROR(SUMPRODUCT(--("0"&amp;TRIM(RIGHT(SUBSTITUTE(TRIM(MID(SUBSTITUTE(SUBSTITUTE(Registro!$H932,";",CHAR(10)),CHAR(10),REPT(" ",LEN(Registro!$H932))),({1,2,3,4,5,6,7,8,9,10,11,12,13,14,15,16,17,18,19,20,21,22,23,24,25,26,27,28,29,30}-1)*LEN(Registro!$H932)+1,LEN(Registro!$H932)))," ",REPT(" ",50)),50)))),"Revisar formato"))</f>
        <v/>
      </c>
      <c r="J932" s="24" t="str">
        <f>IF(Registro!$I932="","",IFERROR(SUMPRODUCT(--("0"&amp;TRIM(RIGHT(SUBSTITUTE(TRIM(MID(SUBSTITUTE(SUBSTITUTE(Registro!$I932,";",CHAR(10)),CHAR(10),REPT(" ",LEN(Registro!$I932))),({1,2,3,4,5,6,7,8,9,10,11,12,13,14,15,16,17,18,19,20,21,22,23,24,25,26,27,28,29,30}-1)*LEN(Registro!$I932)+1,LEN(Registro!$I932)))," ",REPT(" ",50)),50)))),"Revisar formato"))</f>
        <v/>
      </c>
      <c r="K932" s="24" t="str">
        <f>IF(AND(Registro!$G932="",Registro!$H932=""),"",IF(AND(ISTEXT(I932),I932&lt;&gt;""),"Revisar formato",N(Registro!$G932)-N(I932)))</f>
        <v/>
      </c>
      <c r="L932" s="24" t="str">
        <f t="shared" si="29"/>
        <v/>
      </c>
      <c r="M932" s="36" t="str">
        <f>IF(AND(A932=Consulta!$B$3,C932=Consulta!$H$3),B932*10000+ROW(),"")</f>
        <v/>
      </c>
    </row>
    <row r="933" spans="1:13" x14ac:dyDescent="0.25">
      <c r="A933" s="21" t="str">
        <f>IF(Registro!$A933="","",Registro!$A933)</f>
        <v/>
      </c>
      <c r="B933" s="20" t="str">
        <f>IF(Registro!$B933="","",Registro!$B933)</f>
        <v/>
      </c>
      <c r="C933" s="35" t="str">
        <f t="shared" si="28"/>
        <v/>
      </c>
      <c r="D933" s="23" t="str">
        <f>IF(Registro!$E933="","",IF(ISERROR(FIND("x",LOWER(Registro!$E933))),"-",IFERROR(SUMPRODUCT(--("0"&amp;LEFT(TRIM(MID(SUBSTITUTE(SUBSTITUTE(SUBSTITUTE(SUBSTITUTE(SUBSTITUTE(LOWER(Registro!$E933),"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",LEN(Registro!$E933))),({1,2,3,4,5,6,7,8,9,10,11,12,13,14,15,16,17,18,19,20,21,22,23,24,25,26,27,28,29,30}-1)*LEN(Registro!$E933)+1,LEN(Registro!$E933))),FIND("x",TRIM(MID(SUBSTITUTE(SUBSTITUTE(SUBSTITUTE(SUBSTITUTE(SUBSTITUTE(LOWER(Registro!$E933),"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",LEN(Registro!$E933))),({1,2,3,4,5,6,7,8,9,10,11,12,13,14,15,16,17,18,19,20,21,22,23,24,25,26,27,28,29,30}-1)*LEN(Registro!$E933)+1,LEN(Registro!$E933)))&amp;"x")-1))),"Revisar formato")))</f>
        <v/>
      </c>
      <c r="E933" s="24" t="str">
        <f>IF(Registro!$E933="","",IF(ISERROR(FIND("x",LOWER(Registro!$E933))),"-",IFERROR(SUMPRODUCT(--("0"&amp;LEFT(TRIM(MID(SUBSTITUTE(SUBSTITUTE(SUBSTITUTE(SUBSTITUTE(SUBSTITUTE(LOWER(Registro!$E933),"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",LEN(Registro!$E933))),({1,2,3,4,5,6,7,8,9,10,11,12,13,14,15,16,17,18,19,20,21,22,23,24,25,26,27,28,29,30}-1)*LEN(Registro!$E933)+1,LEN(Registro!$E933))),FIND("x",TRIM(MID(SUBSTITUTE(SUBSTITUTE(SUBSTITUTE(SUBSTITUTE(SUBSTITUTE(LOWER(Registro!$E933),"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",LEN(Registro!$E933))),({1,2,3,4,5,6,7,8,9,10,11,12,13,14,15,16,17,18,19,20,21,22,23,24,25,26,27,28,29,30}-1)*LEN(Registro!$E933)+1,LEN(Registro!$E933)))&amp;"x")-1)),--("0"&amp;MID(TRIM(MID(SUBSTITUTE(SUBSTITUTE(SUBSTITUTE(SUBSTITUTE(SUBSTITUTE(LOWER(Registro!$E933),"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",LEN(Registro!$E933))),({1,2,3,4,5,6,7,8,9,10,11,12,13,14,15,16,17,18,19,20,21,22,23,24,25,26,27,28,29,30}-1)*LEN(Registro!$E933)+1,LEN(Registro!$E933))),FIND("x",TRIM(MID(SUBSTITUTE(SUBSTITUTE(SUBSTITUTE(SUBSTITUTE(SUBSTITUTE(LOWER(Registro!$E933),"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",LEN(Registro!$E933))),({1,2,3,4,5,6,7,8,9,10,11,12,13,14,15,16,17,18,19,20,21,22,23,24,25,26,27,28,29,30}-1)*LEN(Registro!$E933)+1,LEN(Registro!$E933)))&amp;"x")+1,20))),"Revisar formato")))</f>
        <v/>
      </c>
      <c r="F933" s="23" t="str">
        <f>IF(Registro!$F933="","",IF(ISERROR(FIND("x",LOWER(Registro!$F933))),"-",IFERROR(SUMPRODUCT(--("0"&amp;LEFT(TRIM(MID(SUBSTITUTE(SUBSTITUTE(SUBSTITUTE(SUBSTITUTE(SUBSTITUTE(LOWER(Registro!$F933)," ",""),CHAR(10),"|"),";","|"),"+","|"),"|",REPT(" ",LEN(Registro!$F933))),({1,2,3,4,5,6,7,8,9,10,11,12,13,14,15,16,17,18,19,20,21,22,23,24,25,26,27,28,29,30}-1)*LEN(Registro!$F933)+1,LEN(Registro!$F933))),FIND("x",TRIM(MID(SUBSTITUTE(SUBSTITUTE(SUBSTITUTE(SUBSTITUTE(SUBSTITUTE(LOWER(Registro!$F933)," ",""),CHAR(10),"|"),";","|"),"+","|"),"|",REPT(" ",LEN(Registro!$F933))),({1,2,3,4,5,6,7,8,9,10,11,12,13,14,15,16,17,18,19,20,21,22,23,24,25,26,27,28,29,30}-1)*LEN(Registro!$F933)+1,LEN(Registro!$F933)))&amp;"x")-1))),"Revisar formato")))</f>
        <v/>
      </c>
      <c r="G933" s="24" t="str">
        <f>IF(Registro!$F933="","",IF(ISERROR(FIND("x",LOWER(Registro!$F933))),N(Registro!$G933),IFERROR(SUMPRODUCT(--("0"&amp;LEFT(TRIM(MID(SUBSTITUTE(SUBSTITUTE(SUBSTITUTE(SUBSTITUTE(SUBSTITUTE(LOWER(Registro!$F933)," ",""),CHAR(10),"|"),";","|"),"+","|"),"|",REPT(" ",LEN(Registro!$F933))),({1,2,3,4,5,6,7,8,9,10,11,12,13,14,15,16,17,18,19,20,21,22,23,24,25,26,27,28,29,30}-1)*LEN(Registro!$F933)+1,LEN(Registro!$F933))),FIND("x",TRIM(MID(SUBSTITUTE(SUBSTITUTE(SUBSTITUTE(SUBSTITUTE(SUBSTITUTE(LOWER(Registro!$F933)," ",""),CHAR(10),"|"),";","|"),"+","|"),"|",REPT(" ",LEN(Registro!$F933))),({1,2,3,4,5,6,7,8,9,10,11,12,13,14,15,16,17,18,19,20,21,22,23,24,25,26,27,28,29,30}-1)*LEN(Registro!$F933)+1,LEN(Registro!$F933)))&amp;"x")-1)),--("0"&amp;MID(TRIM(MID(SUBSTITUTE(SUBSTITUTE(SUBSTITUTE(SUBSTITUTE(SUBSTITUTE(LOWER(Registro!$F933)," ",""),CHAR(10),"|"),";","|"),"+","|"),"|",REPT(" ",LEN(Registro!$F933))),({1,2,3,4,5,6,7,8,9,10,11,12,13,14,15,16,17,18,19,20,21,22,23,24,25,26,27,28,29,30}-1)*LEN(Registro!$F933)+1,LEN(Registro!$F933))),FIND("x",TRIM(MID(SUBSTITUTE(SUBSTITUTE(SUBSTITUTE(SUBSTITUTE(SUBSTITUTE(LOWER(Registro!$F933)," ",""),CHAR(10),"|"),";","|"),"+","|"),"|",REPT(" ",LEN(Registro!$F933))),({1,2,3,4,5,6,7,8,9,10,11,12,13,14,15,16,17,18,19,20,21,22,23,24,25,26,27,28,29,30}-1)*LEN(Registro!$F933)+1,LEN(Registro!$F933)))&amp;"x")+1,20))),"Revisar formato")))</f>
        <v/>
      </c>
      <c r="H933" s="21" t="str">
        <f>IF(AND(Registro!$E933="",Registro!$F933=""),"",IF(NOT(AND(ISNUMBER(G933),ISNUMBER(Registro!$G933))),"",IF(G933&lt;Registro!$G933,"FALTA BOLETOS",IF(G933=Registro!$G933,"CONFORME","DIFERENCIA"))))</f>
        <v/>
      </c>
      <c r="I933" s="24" t="str">
        <f>IF(Registro!$H933="","",IFERROR(SUMPRODUCT(--("0"&amp;TRIM(RIGHT(SUBSTITUTE(TRIM(MID(SUBSTITUTE(SUBSTITUTE(Registro!$H933,";",CHAR(10)),CHAR(10),REPT(" ",LEN(Registro!$H933))),({1,2,3,4,5,6,7,8,9,10,11,12,13,14,15,16,17,18,19,20,21,22,23,24,25,26,27,28,29,30}-1)*LEN(Registro!$H933)+1,LEN(Registro!$H933)))," ",REPT(" ",50)),50)))),"Revisar formato"))</f>
        <v/>
      </c>
      <c r="J933" s="24" t="str">
        <f>IF(Registro!$I933="","",IFERROR(SUMPRODUCT(--("0"&amp;TRIM(RIGHT(SUBSTITUTE(TRIM(MID(SUBSTITUTE(SUBSTITUTE(Registro!$I933,";",CHAR(10)),CHAR(10),REPT(" ",LEN(Registro!$I933))),({1,2,3,4,5,6,7,8,9,10,11,12,13,14,15,16,17,18,19,20,21,22,23,24,25,26,27,28,29,30}-1)*LEN(Registro!$I933)+1,LEN(Registro!$I933)))," ",REPT(" ",50)),50)))),"Revisar formato"))</f>
        <v/>
      </c>
      <c r="K933" s="24" t="str">
        <f>IF(AND(Registro!$G933="",Registro!$H933=""),"",IF(AND(ISTEXT(I933),I933&lt;&gt;""),"Revisar formato",N(Registro!$G933)-N(I933)))</f>
        <v/>
      </c>
      <c r="L933" s="24" t="str">
        <f t="shared" si="29"/>
        <v/>
      </c>
      <c r="M933" s="36" t="str">
        <f>IF(AND(A933=Consulta!$B$3,C933=Consulta!$H$3),B933*10000+ROW(),"")</f>
        <v/>
      </c>
    </row>
    <row r="934" spans="1:13" x14ac:dyDescent="0.25">
      <c r="A934" s="21" t="str">
        <f>IF(Registro!$A934="","",Registro!$A934)</f>
        <v/>
      </c>
      <c r="B934" s="20" t="str">
        <f>IF(Registro!$B934="","",Registro!$B934)</f>
        <v/>
      </c>
      <c r="C934" s="35" t="str">
        <f t="shared" si="28"/>
        <v/>
      </c>
      <c r="D934" s="23" t="str">
        <f>IF(Registro!$E934="","",IF(ISERROR(FIND("x",LOWER(Registro!$E934))),"-",IFERROR(SUMPRODUCT(--("0"&amp;LEFT(TRIM(MID(SUBSTITUTE(SUBSTITUTE(SUBSTITUTE(SUBSTITUTE(SUBSTITUTE(LOWER(Registro!$E934),"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",LEN(Registro!$E934))),({1,2,3,4,5,6,7,8,9,10,11,12,13,14,15,16,17,18,19,20,21,22,23,24,25,26,27,28,29,30}-1)*LEN(Registro!$E934)+1,LEN(Registro!$E934))),FIND("x",TRIM(MID(SUBSTITUTE(SUBSTITUTE(SUBSTITUTE(SUBSTITUTE(SUBSTITUTE(LOWER(Registro!$E934),"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",LEN(Registro!$E934))),({1,2,3,4,5,6,7,8,9,10,11,12,13,14,15,16,17,18,19,20,21,22,23,24,25,26,27,28,29,30}-1)*LEN(Registro!$E934)+1,LEN(Registro!$E934)))&amp;"x")-1))),"Revisar formato")))</f>
        <v/>
      </c>
      <c r="E934" s="24" t="str">
        <f>IF(Registro!$E934="","",IF(ISERROR(FIND("x",LOWER(Registro!$E934))),"-",IFERROR(SUMPRODUCT(--("0"&amp;LEFT(TRIM(MID(SUBSTITUTE(SUBSTITUTE(SUBSTITUTE(SUBSTITUTE(SUBSTITUTE(LOWER(Registro!$E934),"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",LEN(Registro!$E934))),({1,2,3,4,5,6,7,8,9,10,11,12,13,14,15,16,17,18,19,20,21,22,23,24,25,26,27,28,29,30}-1)*LEN(Registro!$E934)+1,LEN(Registro!$E934))),FIND("x",TRIM(MID(SUBSTITUTE(SUBSTITUTE(SUBSTITUTE(SUBSTITUTE(SUBSTITUTE(LOWER(Registro!$E934),"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",LEN(Registro!$E934))),({1,2,3,4,5,6,7,8,9,10,11,12,13,14,15,16,17,18,19,20,21,22,23,24,25,26,27,28,29,30}-1)*LEN(Registro!$E934)+1,LEN(Registro!$E934)))&amp;"x")-1)),--("0"&amp;MID(TRIM(MID(SUBSTITUTE(SUBSTITUTE(SUBSTITUTE(SUBSTITUTE(SUBSTITUTE(LOWER(Registro!$E934),"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",LEN(Registro!$E934))),({1,2,3,4,5,6,7,8,9,10,11,12,13,14,15,16,17,18,19,20,21,22,23,24,25,26,27,28,29,30}-1)*LEN(Registro!$E934)+1,LEN(Registro!$E934))),FIND("x",TRIM(MID(SUBSTITUTE(SUBSTITUTE(SUBSTITUTE(SUBSTITUTE(SUBSTITUTE(LOWER(Registro!$E934),"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",LEN(Registro!$E934))),({1,2,3,4,5,6,7,8,9,10,11,12,13,14,15,16,17,18,19,20,21,22,23,24,25,26,27,28,29,30}-1)*LEN(Registro!$E934)+1,LEN(Registro!$E934)))&amp;"x")+1,20))),"Revisar formato")))</f>
        <v/>
      </c>
      <c r="F934" s="23" t="str">
        <f>IF(Registro!$F934="","",IF(ISERROR(FIND("x",LOWER(Registro!$F934))),"-",IFERROR(SUMPRODUCT(--("0"&amp;LEFT(TRIM(MID(SUBSTITUTE(SUBSTITUTE(SUBSTITUTE(SUBSTITUTE(SUBSTITUTE(LOWER(Registro!$F934)," ",""),CHAR(10),"|"),";","|"),"+","|"),"|",REPT(" ",LEN(Registro!$F934))),({1,2,3,4,5,6,7,8,9,10,11,12,13,14,15,16,17,18,19,20,21,22,23,24,25,26,27,28,29,30}-1)*LEN(Registro!$F934)+1,LEN(Registro!$F934))),FIND("x",TRIM(MID(SUBSTITUTE(SUBSTITUTE(SUBSTITUTE(SUBSTITUTE(SUBSTITUTE(LOWER(Registro!$F934)," ",""),CHAR(10),"|"),";","|"),"+","|"),"|",REPT(" ",LEN(Registro!$F934))),({1,2,3,4,5,6,7,8,9,10,11,12,13,14,15,16,17,18,19,20,21,22,23,24,25,26,27,28,29,30}-1)*LEN(Registro!$F934)+1,LEN(Registro!$F934)))&amp;"x")-1))),"Revisar formato")))</f>
        <v/>
      </c>
      <c r="G934" s="24" t="str">
        <f>IF(Registro!$F934="","",IF(ISERROR(FIND("x",LOWER(Registro!$F934))),N(Registro!$G934),IFERROR(SUMPRODUCT(--("0"&amp;LEFT(TRIM(MID(SUBSTITUTE(SUBSTITUTE(SUBSTITUTE(SUBSTITUTE(SUBSTITUTE(LOWER(Registro!$F934)," ",""),CHAR(10),"|"),";","|"),"+","|"),"|",REPT(" ",LEN(Registro!$F934))),({1,2,3,4,5,6,7,8,9,10,11,12,13,14,15,16,17,18,19,20,21,22,23,24,25,26,27,28,29,30}-1)*LEN(Registro!$F934)+1,LEN(Registro!$F934))),FIND("x",TRIM(MID(SUBSTITUTE(SUBSTITUTE(SUBSTITUTE(SUBSTITUTE(SUBSTITUTE(LOWER(Registro!$F934)," ",""),CHAR(10),"|"),";","|"),"+","|"),"|",REPT(" ",LEN(Registro!$F934))),({1,2,3,4,5,6,7,8,9,10,11,12,13,14,15,16,17,18,19,20,21,22,23,24,25,26,27,28,29,30}-1)*LEN(Registro!$F934)+1,LEN(Registro!$F934)))&amp;"x")-1)),--("0"&amp;MID(TRIM(MID(SUBSTITUTE(SUBSTITUTE(SUBSTITUTE(SUBSTITUTE(SUBSTITUTE(LOWER(Registro!$F934)," ",""),CHAR(10),"|"),";","|"),"+","|"),"|",REPT(" ",LEN(Registro!$F934))),({1,2,3,4,5,6,7,8,9,10,11,12,13,14,15,16,17,18,19,20,21,22,23,24,25,26,27,28,29,30}-1)*LEN(Registro!$F934)+1,LEN(Registro!$F934))),FIND("x",TRIM(MID(SUBSTITUTE(SUBSTITUTE(SUBSTITUTE(SUBSTITUTE(SUBSTITUTE(LOWER(Registro!$F934)," ",""),CHAR(10),"|"),";","|"),"+","|"),"|",REPT(" ",LEN(Registro!$F934))),({1,2,3,4,5,6,7,8,9,10,11,12,13,14,15,16,17,18,19,20,21,22,23,24,25,26,27,28,29,30}-1)*LEN(Registro!$F934)+1,LEN(Registro!$F934)))&amp;"x")+1,20))),"Revisar formato")))</f>
        <v/>
      </c>
      <c r="H934" s="21" t="str">
        <f>IF(AND(Registro!$E934="",Registro!$F934=""),"",IF(NOT(AND(ISNUMBER(G934),ISNUMBER(Registro!$G934))),"",IF(G934&lt;Registro!$G934,"FALTA BOLETOS",IF(G934=Registro!$G934,"CONFORME","DIFERENCIA"))))</f>
        <v/>
      </c>
      <c r="I934" s="24" t="str">
        <f>IF(Registro!$H934="","",IFERROR(SUMPRODUCT(--("0"&amp;TRIM(RIGHT(SUBSTITUTE(TRIM(MID(SUBSTITUTE(SUBSTITUTE(Registro!$H934,";",CHAR(10)),CHAR(10),REPT(" ",LEN(Registro!$H934))),({1,2,3,4,5,6,7,8,9,10,11,12,13,14,15,16,17,18,19,20,21,22,23,24,25,26,27,28,29,30}-1)*LEN(Registro!$H934)+1,LEN(Registro!$H934)))," ",REPT(" ",50)),50)))),"Revisar formato"))</f>
        <v/>
      </c>
      <c r="J934" s="24" t="str">
        <f>IF(Registro!$I934="","",IFERROR(SUMPRODUCT(--("0"&amp;TRIM(RIGHT(SUBSTITUTE(TRIM(MID(SUBSTITUTE(SUBSTITUTE(Registro!$I934,";",CHAR(10)),CHAR(10),REPT(" ",LEN(Registro!$I934))),({1,2,3,4,5,6,7,8,9,10,11,12,13,14,15,16,17,18,19,20,21,22,23,24,25,26,27,28,29,30}-1)*LEN(Registro!$I934)+1,LEN(Registro!$I934)))," ",REPT(" ",50)),50)))),"Revisar formato"))</f>
        <v/>
      </c>
      <c r="K934" s="24" t="str">
        <f>IF(AND(Registro!$G934="",Registro!$H934=""),"",IF(AND(ISTEXT(I934),I934&lt;&gt;""),"Revisar formato",N(Registro!$G934)-N(I934)))</f>
        <v/>
      </c>
      <c r="L934" s="24" t="str">
        <f t="shared" si="29"/>
        <v/>
      </c>
      <c r="M934" s="36" t="str">
        <f>IF(AND(A934=Consulta!$B$3,C934=Consulta!$H$3),B934*10000+ROW(),"")</f>
        <v/>
      </c>
    </row>
    <row r="935" spans="1:13" x14ac:dyDescent="0.25">
      <c r="A935" s="21" t="str">
        <f>IF(Registro!$A935="","",Registro!$A935)</f>
        <v/>
      </c>
      <c r="B935" s="20" t="str">
        <f>IF(Registro!$B935="","",Registro!$B935)</f>
        <v/>
      </c>
      <c r="C935" s="35" t="str">
        <f t="shared" si="28"/>
        <v/>
      </c>
      <c r="D935" s="23" t="str">
        <f>IF(Registro!$E935="","",IF(ISERROR(FIND("x",LOWER(Registro!$E935))),"-",IFERROR(SUMPRODUCT(--("0"&amp;LEFT(TRIM(MID(SUBSTITUTE(SUBSTITUTE(SUBSTITUTE(SUBSTITUTE(SUBSTITUTE(LOWER(Registro!$E935),"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",LEN(Registro!$E935))),({1,2,3,4,5,6,7,8,9,10,11,12,13,14,15,16,17,18,19,20,21,22,23,24,25,26,27,28,29,30}-1)*LEN(Registro!$E935)+1,LEN(Registro!$E935))),FIND("x",TRIM(MID(SUBSTITUTE(SUBSTITUTE(SUBSTITUTE(SUBSTITUTE(SUBSTITUTE(LOWER(Registro!$E935),"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",LEN(Registro!$E935))),({1,2,3,4,5,6,7,8,9,10,11,12,13,14,15,16,17,18,19,20,21,22,23,24,25,26,27,28,29,30}-1)*LEN(Registro!$E935)+1,LEN(Registro!$E935)))&amp;"x")-1))),"Revisar formato")))</f>
        <v/>
      </c>
      <c r="E935" s="24" t="str">
        <f>IF(Registro!$E935="","",IF(ISERROR(FIND("x",LOWER(Registro!$E935))),"-",IFERROR(SUMPRODUCT(--("0"&amp;LEFT(TRIM(MID(SUBSTITUTE(SUBSTITUTE(SUBSTITUTE(SUBSTITUTE(SUBSTITUTE(LOWER(Registro!$E935),"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",LEN(Registro!$E935))),({1,2,3,4,5,6,7,8,9,10,11,12,13,14,15,16,17,18,19,20,21,22,23,24,25,26,27,28,29,30}-1)*LEN(Registro!$E935)+1,LEN(Registro!$E935))),FIND("x",TRIM(MID(SUBSTITUTE(SUBSTITUTE(SUBSTITUTE(SUBSTITUTE(SUBSTITUTE(LOWER(Registro!$E935),"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",LEN(Registro!$E935))),({1,2,3,4,5,6,7,8,9,10,11,12,13,14,15,16,17,18,19,20,21,22,23,24,25,26,27,28,29,30}-1)*LEN(Registro!$E935)+1,LEN(Registro!$E935)))&amp;"x")-1)),--("0"&amp;MID(TRIM(MID(SUBSTITUTE(SUBSTITUTE(SUBSTITUTE(SUBSTITUTE(SUBSTITUTE(LOWER(Registro!$E935),"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",LEN(Registro!$E935))),({1,2,3,4,5,6,7,8,9,10,11,12,13,14,15,16,17,18,19,20,21,22,23,24,25,26,27,28,29,30}-1)*LEN(Registro!$E935)+1,LEN(Registro!$E935))),FIND("x",TRIM(MID(SUBSTITUTE(SUBSTITUTE(SUBSTITUTE(SUBSTITUTE(SUBSTITUTE(LOWER(Registro!$E935),"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",LEN(Registro!$E935))),({1,2,3,4,5,6,7,8,9,10,11,12,13,14,15,16,17,18,19,20,21,22,23,24,25,26,27,28,29,30}-1)*LEN(Registro!$E935)+1,LEN(Registro!$E935)))&amp;"x")+1,20))),"Revisar formato")))</f>
        <v/>
      </c>
      <c r="F935" s="23" t="str">
        <f>IF(Registro!$F935="","",IF(ISERROR(FIND("x",LOWER(Registro!$F935))),"-",IFERROR(SUMPRODUCT(--("0"&amp;LEFT(TRIM(MID(SUBSTITUTE(SUBSTITUTE(SUBSTITUTE(SUBSTITUTE(SUBSTITUTE(LOWER(Registro!$F935)," ",""),CHAR(10),"|"),";","|"),"+","|"),"|",REPT(" ",LEN(Registro!$F935))),({1,2,3,4,5,6,7,8,9,10,11,12,13,14,15,16,17,18,19,20,21,22,23,24,25,26,27,28,29,30}-1)*LEN(Registro!$F935)+1,LEN(Registro!$F935))),FIND("x",TRIM(MID(SUBSTITUTE(SUBSTITUTE(SUBSTITUTE(SUBSTITUTE(SUBSTITUTE(LOWER(Registro!$F935)," ",""),CHAR(10),"|"),";","|"),"+","|"),"|",REPT(" ",LEN(Registro!$F935))),({1,2,3,4,5,6,7,8,9,10,11,12,13,14,15,16,17,18,19,20,21,22,23,24,25,26,27,28,29,30}-1)*LEN(Registro!$F935)+1,LEN(Registro!$F935)))&amp;"x")-1))),"Revisar formato")))</f>
        <v/>
      </c>
      <c r="G935" s="24" t="str">
        <f>IF(Registro!$F935="","",IF(ISERROR(FIND("x",LOWER(Registro!$F935))),N(Registro!$G935),IFERROR(SUMPRODUCT(--("0"&amp;LEFT(TRIM(MID(SUBSTITUTE(SUBSTITUTE(SUBSTITUTE(SUBSTITUTE(SUBSTITUTE(LOWER(Registro!$F935)," ",""),CHAR(10),"|"),";","|"),"+","|"),"|",REPT(" ",LEN(Registro!$F935))),({1,2,3,4,5,6,7,8,9,10,11,12,13,14,15,16,17,18,19,20,21,22,23,24,25,26,27,28,29,30}-1)*LEN(Registro!$F935)+1,LEN(Registro!$F935))),FIND("x",TRIM(MID(SUBSTITUTE(SUBSTITUTE(SUBSTITUTE(SUBSTITUTE(SUBSTITUTE(LOWER(Registro!$F935)," ",""),CHAR(10),"|"),";","|"),"+","|"),"|",REPT(" ",LEN(Registro!$F935))),({1,2,3,4,5,6,7,8,9,10,11,12,13,14,15,16,17,18,19,20,21,22,23,24,25,26,27,28,29,30}-1)*LEN(Registro!$F935)+1,LEN(Registro!$F935)))&amp;"x")-1)),--("0"&amp;MID(TRIM(MID(SUBSTITUTE(SUBSTITUTE(SUBSTITUTE(SUBSTITUTE(SUBSTITUTE(LOWER(Registro!$F935)," ",""),CHAR(10),"|"),";","|"),"+","|"),"|",REPT(" ",LEN(Registro!$F935))),({1,2,3,4,5,6,7,8,9,10,11,12,13,14,15,16,17,18,19,20,21,22,23,24,25,26,27,28,29,30}-1)*LEN(Registro!$F935)+1,LEN(Registro!$F935))),FIND("x",TRIM(MID(SUBSTITUTE(SUBSTITUTE(SUBSTITUTE(SUBSTITUTE(SUBSTITUTE(LOWER(Registro!$F935)," ",""),CHAR(10),"|"),";","|"),"+","|"),"|",REPT(" ",LEN(Registro!$F935))),({1,2,3,4,5,6,7,8,9,10,11,12,13,14,15,16,17,18,19,20,21,22,23,24,25,26,27,28,29,30}-1)*LEN(Registro!$F935)+1,LEN(Registro!$F935)))&amp;"x")+1,20))),"Revisar formato")))</f>
        <v/>
      </c>
      <c r="H935" s="21" t="str">
        <f>IF(AND(Registro!$E935="",Registro!$F935=""),"",IF(NOT(AND(ISNUMBER(G935),ISNUMBER(Registro!$G935))),"",IF(G935&lt;Registro!$G935,"FALTA BOLETOS",IF(G935=Registro!$G935,"CONFORME","DIFERENCIA"))))</f>
        <v/>
      </c>
      <c r="I935" s="24" t="str">
        <f>IF(Registro!$H935="","",IFERROR(SUMPRODUCT(--("0"&amp;TRIM(RIGHT(SUBSTITUTE(TRIM(MID(SUBSTITUTE(SUBSTITUTE(Registro!$H935,";",CHAR(10)),CHAR(10),REPT(" ",LEN(Registro!$H935))),({1,2,3,4,5,6,7,8,9,10,11,12,13,14,15,16,17,18,19,20,21,22,23,24,25,26,27,28,29,30}-1)*LEN(Registro!$H935)+1,LEN(Registro!$H935)))," ",REPT(" ",50)),50)))),"Revisar formato"))</f>
        <v/>
      </c>
      <c r="J935" s="24" t="str">
        <f>IF(Registro!$I935="","",IFERROR(SUMPRODUCT(--("0"&amp;TRIM(RIGHT(SUBSTITUTE(TRIM(MID(SUBSTITUTE(SUBSTITUTE(Registro!$I935,";",CHAR(10)),CHAR(10),REPT(" ",LEN(Registro!$I935))),({1,2,3,4,5,6,7,8,9,10,11,12,13,14,15,16,17,18,19,20,21,22,23,24,25,26,27,28,29,30}-1)*LEN(Registro!$I935)+1,LEN(Registro!$I935)))," ",REPT(" ",50)),50)))),"Revisar formato"))</f>
        <v/>
      </c>
      <c r="K935" s="24" t="str">
        <f>IF(AND(Registro!$G935="",Registro!$H935=""),"",IF(AND(ISTEXT(I935),I935&lt;&gt;""),"Revisar formato",N(Registro!$G935)-N(I935)))</f>
        <v/>
      </c>
      <c r="L935" s="24" t="str">
        <f t="shared" si="29"/>
        <v/>
      </c>
      <c r="M935" s="36" t="str">
        <f>IF(AND(A935=Consulta!$B$3,C935=Consulta!$H$3),B935*10000+ROW(),"")</f>
        <v/>
      </c>
    </row>
    <row r="936" spans="1:13" x14ac:dyDescent="0.25">
      <c r="A936" s="21" t="str">
        <f>IF(Registro!$A936="","",Registro!$A936)</f>
        <v/>
      </c>
      <c r="B936" s="20" t="str">
        <f>IF(Registro!$B936="","",Registro!$B936)</f>
        <v/>
      </c>
      <c r="C936" s="35" t="str">
        <f t="shared" si="28"/>
        <v/>
      </c>
      <c r="D936" s="23" t="str">
        <f>IF(Registro!$E936="","",IF(ISERROR(FIND("x",LOWER(Registro!$E936))),"-",IFERROR(SUMPRODUCT(--("0"&amp;LEFT(TRIM(MID(SUBSTITUTE(SUBSTITUTE(SUBSTITUTE(SUBSTITUTE(SUBSTITUTE(LOWER(Registro!$E936),"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",LEN(Registro!$E936))),({1,2,3,4,5,6,7,8,9,10,11,12,13,14,15,16,17,18,19,20,21,22,23,24,25,26,27,28,29,30}-1)*LEN(Registro!$E936)+1,LEN(Registro!$E936))),FIND("x",TRIM(MID(SUBSTITUTE(SUBSTITUTE(SUBSTITUTE(SUBSTITUTE(SUBSTITUTE(LOWER(Registro!$E936),"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",LEN(Registro!$E936))),({1,2,3,4,5,6,7,8,9,10,11,12,13,14,15,16,17,18,19,20,21,22,23,24,25,26,27,28,29,30}-1)*LEN(Registro!$E936)+1,LEN(Registro!$E936)))&amp;"x")-1))),"Revisar formato")))</f>
        <v/>
      </c>
      <c r="E936" s="24" t="str">
        <f>IF(Registro!$E936="","",IF(ISERROR(FIND("x",LOWER(Registro!$E936))),"-",IFERROR(SUMPRODUCT(--("0"&amp;LEFT(TRIM(MID(SUBSTITUTE(SUBSTITUTE(SUBSTITUTE(SUBSTITUTE(SUBSTITUTE(LOWER(Registro!$E936),"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",LEN(Registro!$E936))),({1,2,3,4,5,6,7,8,9,10,11,12,13,14,15,16,17,18,19,20,21,22,23,24,25,26,27,28,29,30}-1)*LEN(Registro!$E936)+1,LEN(Registro!$E936))),FIND("x",TRIM(MID(SUBSTITUTE(SUBSTITUTE(SUBSTITUTE(SUBSTITUTE(SUBSTITUTE(LOWER(Registro!$E936),"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",LEN(Registro!$E936))),({1,2,3,4,5,6,7,8,9,10,11,12,13,14,15,16,17,18,19,20,21,22,23,24,25,26,27,28,29,30}-1)*LEN(Registro!$E936)+1,LEN(Registro!$E936)))&amp;"x")-1)),--("0"&amp;MID(TRIM(MID(SUBSTITUTE(SUBSTITUTE(SUBSTITUTE(SUBSTITUTE(SUBSTITUTE(LOWER(Registro!$E936),"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",LEN(Registro!$E936))),({1,2,3,4,5,6,7,8,9,10,11,12,13,14,15,16,17,18,19,20,21,22,23,24,25,26,27,28,29,30}-1)*LEN(Registro!$E936)+1,LEN(Registro!$E936))),FIND("x",TRIM(MID(SUBSTITUTE(SUBSTITUTE(SUBSTITUTE(SUBSTITUTE(SUBSTITUTE(LOWER(Registro!$E936),"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",LEN(Registro!$E936))),({1,2,3,4,5,6,7,8,9,10,11,12,13,14,15,16,17,18,19,20,21,22,23,24,25,26,27,28,29,30}-1)*LEN(Registro!$E936)+1,LEN(Registro!$E936)))&amp;"x")+1,20))),"Revisar formato")))</f>
        <v/>
      </c>
      <c r="F936" s="23" t="str">
        <f>IF(Registro!$F936="","",IF(ISERROR(FIND("x",LOWER(Registro!$F936))),"-",IFERROR(SUMPRODUCT(--("0"&amp;LEFT(TRIM(MID(SUBSTITUTE(SUBSTITUTE(SUBSTITUTE(SUBSTITUTE(SUBSTITUTE(LOWER(Registro!$F936)," ",""),CHAR(10),"|"),";","|"),"+","|"),"|",REPT(" ",LEN(Registro!$F936))),({1,2,3,4,5,6,7,8,9,10,11,12,13,14,15,16,17,18,19,20,21,22,23,24,25,26,27,28,29,30}-1)*LEN(Registro!$F936)+1,LEN(Registro!$F936))),FIND("x",TRIM(MID(SUBSTITUTE(SUBSTITUTE(SUBSTITUTE(SUBSTITUTE(SUBSTITUTE(LOWER(Registro!$F936)," ",""),CHAR(10),"|"),";","|"),"+","|"),"|",REPT(" ",LEN(Registro!$F936))),({1,2,3,4,5,6,7,8,9,10,11,12,13,14,15,16,17,18,19,20,21,22,23,24,25,26,27,28,29,30}-1)*LEN(Registro!$F936)+1,LEN(Registro!$F936)))&amp;"x")-1))),"Revisar formato")))</f>
        <v/>
      </c>
      <c r="G936" s="24" t="str">
        <f>IF(Registro!$F936="","",IF(ISERROR(FIND("x",LOWER(Registro!$F936))),N(Registro!$G936),IFERROR(SUMPRODUCT(--("0"&amp;LEFT(TRIM(MID(SUBSTITUTE(SUBSTITUTE(SUBSTITUTE(SUBSTITUTE(SUBSTITUTE(LOWER(Registro!$F936)," ",""),CHAR(10),"|"),";","|"),"+","|"),"|",REPT(" ",LEN(Registro!$F936))),({1,2,3,4,5,6,7,8,9,10,11,12,13,14,15,16,17,18,19,20,21,22,23,24,25,26,27,28,29,30}-1)*LEN(Registro!$F936)+1,LEN(Registro!$F936))),FIND("x",TRIM(MID(SUBSTITUTE(SUBSTITUTE(SUBSTITUTE(SUBSTITUTE(SUBSTITUTE(LOWER(Registro!$F936)," ",""),CHAR(10),"|"),";","|"),"+","|"),"|",REPT(" ",LEN(Registro!$F936))),({1,2,3,4,5,6,7,8,9,10,11,12,13,14,15,16,17,18,19,20,21,22,23,24,25,26,27,28,29,30}-1)*LEN(Registro!$F936)+1,LEN(Registro!$F936)))&amp;"x")-1)),--("0"&amp;MID(TRIM(MID(SUBSTITUTE(SUBSTITUTE(SUBSTITUTE(SUBSTITUTE(SUBSTITUTE(LOWER(Registro!$F936)," ",""),CHAR(10),"|"),";","|"),"+","|"),"|",REPT(" ",LEN(Registro!$F936))),({1,2,3,4,5,6,7,8,9,10,11,12,13,14,15,16,17,18,19,20,21,22,23,24,25,26,27,28,29,30}-1)*LEN(Registro!$F936)+1,LEN(Registro!$F936))),FIND("x",TRIM(MID(SUBSTITUTE(SUBSTITUTE(SUBSTITUTE(SUBSTITUTE(SUBSTITUTE(LOWER(Registro!$F936)," ",""),CHAR(10),"|"),";","|"),"+","|"),"|",REPT(" ",LEN(Registro!$F936))),({1,2,3,4,5,6,7,8,9,10,11,12,13,14,15,16,17,18,19,20,21,22,23,24,25,26,27,28,29,30}-1)*LEN(Registro!$F936)+1,LEN(Registro!$F936)))&amp;"x")+1,20))),"Revisar formato")))</f>
        <v/>
      </c>
      <c r="H936" s="21" t="str">
        <f>IF(AND(Registro!$E936="",Registro!$F936=""),"",IF(NOT(AND(ISNUMBER(G936),ISNUMBER(Registro!$G936))),"",IF(G936&lt;Registro!$G936,"FALTA BOLETOS",IF(G936=Registro!$G936,"CONFORME","DIFERENCIA"))))</f>
        <v/>
      </c>
      <c r="I936" s="24" t="str">
        <f>IF(Registro!$H936="","",IFERROR(SUMPRODUCT(--("0"&amp;TRIM(RIGHT(SUBSTITUTE(TRIM(MID(SUBSTITUTE(SUBSTITUTE(Registro!$H936,";",CHAR(10)),CHAR(10),REPT(" ",LEN(Registro!$H936))),({1,2,3,4,5,6,7,8,9,10,11,12,13,14,15,16,17,18,19,20,21,22,23,24,25,26,27,28,29,30}-1)*LEN(Registro!$H936)+1,LEN(Registro!$H936)))," ",REPT(" ",50)),50)))),"Revisar formato"))</f>
        <v/>
      </c>
      <c r="J936" s="24" t="str">
        <f>IF(Registro!$I936="","",IFERROR(SUMPRODUCT(--("0"&amp;TRIM(RIGHT(SUBSTITUTE(TRIM(MID(SUBSTITUTE(SUBSTITUTE(Registro!$I936,";",CHAR(10)),CHAR(10),REPT(" ",LEN(Registro!$I936))),({1,2,3,4,5,6,7,8,9,10,11,12,13,14,15,16,17,18,19,20,21,22,23,24,25,26,27,28,29,30}-1)*LEN(Registro!$I936)+1,LEN(Registro!$I936)))," ",REPT(" ",50)),50)))),"Revisar formato"))</f>
        <v/>
      </c>
      <c r="K936" s="24" t="str">
        <f>IF(AND(Registro!$G936="",Registro!$H936=""),"",IF(AND(ISTEXT(I936),I936&lt;&gt;""),"Revisar formato",N(Registro!$G936)-N(I936)))</f>
        <v/>
      </c>
      <c r="L936" s="24" t="str">
        <f t="shared" si="29"/>
        <v/>
      </c>
      <c r="M936" s="36" t="str">
        <f>IF(AND(A936=Consulta!$B$3,C936=Consulta!$H$3),B936*10000+ROW(),"")</f>
        <v/>
      </c>
    </row>
    <row r="937" spans="1:13" x14ac:dyDescent="0.25">
      <c r="A937" s="21" t="str">
        <f>IF(Registro!$A937="","",Registro!$A937)</f>
        <v/>
      </c>
      <c r="B937" s="20" t="str">
        <f>IF(Registro!$B937="","",Registro!$B937)</f>
        <v/>
      </c>
      <c r="C937" s="35" t="str">
        <f t="shared" si="28"/>
        <v/>
      </c>
      <c r="D937" s="23" t="str">
        <f>IF(Registro!$E937="","",IF(ISERROR(FIND("x",LOWER(Registro!$E937))),"-",IFERROR(SUMPRODUCT(--("0"&amp;LEFT(TRIM(MID(SUBSTITUTE(SUBSTITUTE(SUBSTITUTE(SUBSTITUTE(SUBSTITUTE(LOWER(Registro!$E937),"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",LEN(Registro!$E937))),({1,2,3,4,5,6,7,8,9,10,11,12,13,14,15,16,17,18,19,20,21,22,23,24,25,26,27,28,29,30}-1)*LEN(Registro!$E937)+1,LEN(Registro!$E937))),FIND("x",TRIM(MID(SUBSTITUTE(SUBSTITUTE(SUBSTITUTE(SUBSTITUTE(SUBSTITUTE(LOWER(Registro!$E937),"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",LEN(Registro!$E937))),({1,2,3,4,5,6,7,8,9,10,11,12,13,14,15,16,17,18,19,20,21,22,23,24,25,26,27,28,29,30}-1)*LEN(Registro!$E937)+1,LEN(Registro!$E937)))&amp;"x")-1))),"Revisar formato")))</f>
        <v/>
      </c>
      <c r="E937" s="24" t="str">
        <f>IF(Registro!$E937="","",IF(ISERROR(FIND("x",LOWER(Registro!$E937))),"-",IFERROR(SUMPRODUCT(--("0"&amp;LEFT(TRIM(MID(SUBSTITUTE(SUBSTITUTE(SUBSTITUTE(SUBSTITUTE(SUBSTITUTE(LOWER(Registro!$E937),"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",LEN(Registro!$E937))),({1,2,3,4,5,6,7,8,9,10,11,12,13,14,15,16,17,18,19,20,21,22,23,24,25,26,27,28,29,30}-1)*LEN(Registro!$E937)+1,LEN(Registro!$E937))),FIND("x",TRIM(MID(SUBSTITUTE(SUBSTITUTE(SUBSTITUTE(SUBSTITUTE(SUBSTITUTE(LOWER(Registro!$E937),"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",LEN(Registro!$E937))),({1,2,3,4,5,6,7,8,9,10,11,12,13,14,15,16,17,18,19,20,21,22,23,24,25,26,27,28,29,30}-1)*LEN(Registro!$E937)+1,LEN(Registro!$E937)))&amp;"x")-1)),--("0"&amp;MID(TRIM(MID(SUBSTITUTE(SUBSTITUTE(SUBSTITUTE(SUBSTITUTE(SUBSTITUTE(LOWER(Registro!$E937),"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",LEN(Registro!$E937))),({1,2,3,4,5,6,7,8,9,10,11,12,13,14,15,16,17,18,19,20,21,22,23,24,25,26,27,28,29,30}-1)*LEN(Registro!$E937)+1,LEN(Registro!$E937))),FIND("x",TRIM(MID(SUBSTITUTE(SUBSTITUTE(SUBSTITUTE(SUBSTITUTE(SUBSTITUTE(LOWER(Registro!$E937),"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",LEN(Registro!$E937))),({1,2,3,4,5,6,7,8,9,10,11,12,13,14,15,16,17,18,19,20,21,22,23,24,25,26,27,28,29,30}-1)*LEN(Registro!$E937)+1,LEN(Registro!$E937)))&amp;"x")+1,20))),"Revisar formato")))</f>
        <v/>
      </c>
      <c r="F937" s="23" t="str">
        <f>IF(Registro!$F937="","",IF(ISERROR(FIND("x",LOWER(Registro!$F937))),"-",IFERROR(SUMPRODUCT(--("0"&amp;LEFT(TRIM(MID(SUBSTITUTE(SUBSTITUTE(SUBSTITUTE(SUBSTITUTE(SUBSTITUTE(LOWER(Registro!$F937)," ",""),CHAR(10),"|"),";","|"),"+","|"),"|",REPT(" ",LEN(Registro!$F937))),({1,2,3,4,5,6,7,8,9,10,11,12,13,14,15,16,17,18,19,20,21,22,23,24,25,26,27,28,29,30}-1)*LEN(Registro!$F937)+1,LEN(Registro!$F937))),FIND("x",TRIM(MID(SUBSTITUTE(SUBSTITUTE(SUBSTITUTE(SUBSTITUTE(SUBSTITUTE(LOWER(Registro!$F937)," ",""),CHAR(10),"|"),";","|"),"+","|"),"|",REPT(" ",LEN(Registro!$F937))),({1,2,3,4,5,6,7,8,9,10,11,12,13,14,15,16,17,18,19,20,21,22,23,24,25,26,27,28,29,30}-1)*LEN(Registro!$F937)+1,LEN(Registro!$F937)))&amp;"x")-1))),"Revisar formato")))</f>
        <v/>
      </c>
      <c r="G937" s="24" t="str">
        <f>IF(Registro!$F937="","",IF(ISERROR(FIND("x",LOWER(Registro!$F937))),N(Registro!$G937),IFERROR(SUMPRODUCT(--("0"&amp;LEFT(TRIM(MID(SUBSTITUTE(SUBSTITUTE(SUBSTITUTE(SUBSTITUTE(SUBSTITUTE(LOWER(Registro!$F937)," ",""),CHAR(10),"|"),";","|"),"+","|"),"|",REPT(" ",LEN(Registro!$F937))),({1,2,3,4,5,6,7,8,9,10,11,12,13,14,15,16,17,18,19,20,21,22,23,24,25,26,27,28,29,30}-1)*LEN(Registro!$F937)+1,LEN(Registro!$F937))),FIND("x",TRIM(MID(SUBSTITUTE(SUBSTITUTE(SUBSTITUTE(SUBSTITUTE(SUBSTITUTE(LOWER(Registro!$F937)," ",""),CHAR(10),"|"),";","|"),"+","|"),"|",REPT(" ",LEN(Registro!$F937))),({1,2,3,4,5,6,7,8,9,10,11,12,13,14,15,16,17,18,19,20,21,22,23,24,25,26,27,28,29,30}-1)*LEN(Registro!$F937)+1,LEN(Registro!$F937)))&amp;"x")-1)),--("0"&amp;MID(TRIM(MID(SUBSTITUTE(SUBSTITUTE(SUBSTITUTE(SUBSTITUTE(SUBSTITUTE(LOWER(Registro!$F937)," ",""),CHAR(10),"|"),";","|"),"+","|"),"|",REPT(" ",LEN(Registro!$F937))),({1,2,3,4,5,6,7,8,9,10,11,12,13,14,15,16,17,18,19,20,21,22,23,24,25,26,27,28,29,30}-1)*LEN(Registro!$F937)+1,LEN(Registro!$F937))),FIND("x",TRIM(MID(SUBSTITUTE(SUBSTITUTE(SUBSTITUTE(SUBSTITUTE(SUBSTITUTE(LOWER(Registro!$F937)," ",""),CHAR(10),"|"),";","|"),"+","|"),"|",REPT(" ",LEN(Registro!$F937))),({1,2,3,4,5,6,7,8,9,10,11,12,13,14,15,16,17,18,19,20,21,22,23,24,25,26,27,28,29,30}-1)*LEN(Registro!$F937)+1,LEN(Registro!$F937)))&amp;"x")+1,20))),"Revisar formato")))</f>
        <v/>
      </c>
      <c r="H937" s="21" t="str">
        <f>IF(AND(Registro!$E937="",Registro!$F937=""),"",IF(NOT(AND(ISNUMBER(G937),ISNUMBER(Registro!$G937))),"",IF(G937&lt;Registro!$G937,"FALTA BOLETOS",IF(G937=Registro!$G937,"CONFORME","DIFERENCIA"))))</f>
        <v/>
      </c>
      <c r="I937" s="24" t="str">
        <f>IF(Registro!$H937="","",IFERROR(SUMPRODUCT(--("0"&amp;TRIM(RIGHT(SUBSTITUTE(TRIM(MID(SUBSTITUTE(SUBSTITUTE(Registro!$H937,";",CHAR(10)),CHAR(10),REPT(" ",LEN(Registro!$H937))),({1,2,3,4,5,6,7,8,9,10,11,12,13,14,15,16,17,18,19,20,21,22,23,24,25,26,27,28,29,30}-1)*LEN(Registro!$H937)+1,LEN(Registro!$H937)))," ",REPT(" ",50)),50)))),"Revisar formato"))</f>
        <v/>
      </c>
      <c r="J937" s="24" t="str">
        <f>IF(Registro!$I937="","",IFERROR(SUMPRODUCT(--("0"&amp;TRIM(RIGHT(SUBSTITUTE(TRIM(MID(SUBSTITUTE(SUBSTITUTE(Registro!$I937,";",CHAR(10)),CHAR(10),REPT(" ",LEN(Registro!$I937))),({1,2,3,4,5,6,7,8,9,10,11,12,13,14,15,16,17,18,19,20,21,22,23,24,25,26,27,28,29,30}-1)*LEN(Registro!$I937)+1,LEN(Registro!$I937)))," ",REPT(" ",50)),50)))),"Revisar formato"))</f>
        <v/>
      </c>
      <c r="K937" s="24" t="str">
        <f>IF(AND(Registro!$G937="",Registro!$H937=""),"",IF(AND(ISTEXT(I937),I937&lt;&gt;""),"Revisar formato",N(Registro!$G937)-N(I937)))</f>
        <v/>
      </c>
      <c r="L937" s="24" t="str">
        <f t="shared" si="29"/>
        <v/>
      </c>
      <c r="M937" s="36" t="str">
        <f>IF(AND(A937=Consulta!$B$3,C937=Consulta!$H$3),B937*10000+ROW(),"")</f>
        <v/>
      </c>
    </row>
    <row r="938" spans="1:13" x14ac:dyDescent="0.25">
      <c r="A938" s="21" t="str">
        <f>IF(Registro!$A938="","",Registro!$A938)</f>
        <v/>
      </c>
      <c r="B938" s="20" t="str">
        <f>IF(Registro!$B938="","",Registro!$B938)</f>
        <v/>
      </c>
      <c r="C938" s="35" t="str">
        <f t="shared" si="28"/>
        <v/>
      </c>
      <c r="D938" s="23" t="str">
        <f>IF(Registro!$E938="","",IF(ISERROR(FIND("x",LOWER(Registro!$E938))),"-",IFERROR(SUMPRODUCT(--("0"&amp;LEFT(TRIM(MID(SUBSTITUTE(SUBSTITUTE(SUBSTITUTE(SUBSTITUTE(SUBSTITUTE(LOWER(Registro!$E938),"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",LEN(Registro!$E938))),({1,2,3,4,5,6,7,8,9,10,11,12,13,14,15,16,17,18,19,20,21,22,23,24,25,26,27,28,29,30}-1)*LEN(Registro!$E938)+1,LEN(Registro!$E938))),FIND("x",TRIM(MID(SUBSTITUTE(SUBSTITUTE(SUBSTITUTE(SUBSTITUTE(SUBSTITUTE(LOWER(Registro!$E938),"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",LEN(Registro!$E938))),({1,2,3,4,5,6,7,8,9,10,11,12,13,14,15,16,17,18,19,20,21,22,23,24,25,26,27,28,29,30}-1)*LEN(Registro!$E938)+1,LEN(Registro!$E938)))&amp;"x")-1))),"Revisar formato")))</f>
        <v/>
      </c>
      <c r="E938" s="24" t="str">
        <f>IF(Registro!$E938="","",IF(ISERROR(FIND("x",LOWER(Registro!$E938))),"-",IFERROR(SUMPRODUCT(--("0"&amp;LEFT(TRIM(MID(SUBSTITUTE(SUBSTITUTE(SUBSTITUTE(SUBSTITUTE(SUBSTITUTE(LOWER(Registro!$E938),"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",LEN(Registro!$E938))),({1,2,3,4,5,6,7,8,9,10,11,12,13,14,15,16,17,18,19,20,21,22,23,24,25,26,27,28,29,30}-1)*LEN(Registro!$E938)+1,LEN(Registro!$E938))),FIND("x",TRIM(MID(SUBSTITUTE(SUBSTITUTE(SUBSTITUTE(SUBSTITUTE(SUBSTITUTE(LOWER(Registro!$E938),"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",LEN(Registro!$E938))),({1,2,3,4,5,6,7,8,9,10,11,12,13,14,15,16,17,18,19,20,21,22,23,24,25,26,27,28,29,30}-1)*LEN(Registro!$E938)+1,LEN(Registro!$E938)))&amp;"x")-1)),--("0"&amp;MID(TRIM(MID(SUBSTITUTE(SUBSTITUTE(SUBSTITUTE(SUBSTITUTE(SUBSTITUTE(LOWER(Registro!$E938),"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",LEN(Registro!$E938))),({1,2,3,4,5,6,7,8,9,10,11,12,13,14,15,16,17,18,19,20,21,22,23,24,25,26,27,28,29,30}-1)*LEN(Registro!$E938)+1,LEN(Registro!$E938))),FIND("x",TRIM(MID(SUBSTITUTE(SUBSTITUTE(SUBSTITUTE(SUBSTITUTE(SUBSTITUTE(LOWER(Registro!$E938),"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",LEN(Registro!$E938))),({1,2,3,4,5,6,7,8,9,10,11,12,13,14,15,16,17,18,19,20,21,22,23,24,25,26,27,28,29,30}-1)*LEN(Registro!$E938)+1,LEN(Registro!$E938)))&amp;"x")+1,20))),"Revisar formato")))</f>
        <v/>
      </c>
      <c r="F938" s="23" t="str">
        <f>IF(Registro!$F938="","",IF(ISERROR(FIND("x",LOWER(Registro!$F938))),"-",IFERROR(SUMPRODUCT(--("0"&amp;LEFT(TRIM(MID(SUBSTITUTE(SUBSTITUTE(SUBSTITUTE(SUBSTITUTE(SUBSTITUTE(LOWER(Registro!$F938)," ",""),CHAR(10),"|"),";","|"),"+","|"),"|",REPT(" ",LEN(Registro!$F938))),({1,2,3,4,5,6,7,8,9,10,11,12,13,14,15,16,17,18,19,20,21,22,23,24,25,26,27,28,29,30}-1)*LEN(Registro!$F938)+1,LEN(Registro!$F938))),FIND("x",TRIM(MID(SUBSTITUTE(SUBSTITUTE(SUBSTITUTE(SUBSTITUTE(SUBSTITUTE(LOWER(Registro!$F938)," ",""),CHAR(10),"|"),";","|"),"+","|"),"|",REPT(" ",LEN(Registro!$F938))),({1,2,3,4,5,6,7,8,9,10,11,12,13,14,15,16,17,18,19,20,21,22,23,24,25,26,27,28,29,30}-1)*LEN(Registro!$F938)+1,LEN(Registro!$F938)))&amp;"x")-1))),"Revisar formato")))</f>
        <v/>
      </c>
      <c r="G938" s="24" t="str">
        <f>IF(Registro!$F938="","",IF(ISERROR(FIND("x",LOWER(Registro!$F938))),N(Registro!$G938),IFERROR(SUMPRODUCT(--("0"&amp;LEFT(TRIM(MID(SUBSTITUTE(SUBSTITUTE(SUBSTITUTE(SUBSTITUTE(SUBSTITUTE(LOWER(Registro!$F938)," ",""),CHAR(10),"|"),";","|"),"+","|"),"|",REPT(" ",LEN(Registro!$F938))),({1,2,3,4,5,6,7,8,9,10,11,12,13,14,15,16,17,18,19,20,21,22,23,24,25,26,27,28,29,30}-1)*LEN(Registro!$F938)+1,LEN(Registro!$F938))),FIND("x",TRIM(MID(SUBSTITUTE(SUBSTITUTE(SUBSTITUTE(SUBSTITUTE(SUBSTITUTE(LOWER(Registro!$F938)," ",""),CHAR(10),"|"),";","|"),"+","|"),"|",REPT(" ",LEN(Registro!$F938))),({1,2,3,4,5,6,7,8,9,10,11,12,13,14,15,16,17,18,19,20,21,22,23,24,25,26,27,28,29,30}-1)*LEN(Registro!$F938)+1,LEN(Registro!$F938)))&amp;"x")-1)),--("0"&amp;MID(TRIM(MID(SUBSTITUTE(SUBSTITUTE(SUBSTITUTE(SUBSTITUTE(SUBSTITUTE(LOWER(Registro!$F938)," ",""),CHAR(10),"|"),";","|"),"+","|"),"|",REPT(" ",LEN(Registro!$F938))),({1,2,3,4,5,6,7,8,9,10,11,12,13,14,15,16,17,18,19,20,21,22,23,24,25,26,27,28,29,30}-1)*LEN(Registro!$F938)+1,LEN(Registro!$F938))),FIND("x",TRIM(MID(SUBSTITUTE(SUBSTITUTE(SUBSTITUTE(SUBSTITUTE(SUBSTITUTE(LOWER(Registro!$F938)," ",""),CHAR(10),"|"),";","|"),"+","|"),"|",REPT(" ",LEN(Registro!$F938))),({1,2,3,4,5,6,7,8,9,10,11,12,13,14,15,16,17,18,19,20,21,22,23,24,25,26,27,28,29,30}-1)*LEN(Registro!$F938)+1,LEN(Registro!$F938)))&amp;"x")+1,20))),"Revisar formato")))</f>
        <v/>
      </c>
      <c r="H938" s="21" t="str">
        <f>IF(AND(Registro!$E938="",Registro!$F938=""),"",IF(NOT(AND(ISNUMBER(G938),ISNUMBER(Registro!$G938))),"",IF(G938&lt;Registro!$G938,"FALTA BOLETOS",IF(G938=Registro!$G938,"CONFORME","DIFERENCIA"))))</f>
        <v/>
      </c>
      <c r="I938" s="24" t="str">
        <f>IF(Registro!$H938="","",IFERROR(SUMPRODUCT(--("0"&amp;TRIM(RIGHT(SUBSTITUTE(TRIM(MID(SUBSTITUTE(SUBSTITUTE(Registro!$H938,";",CHAR(10)),CHAR(10),REPT(" ",LEN(Registro!$H938))),({1,2,3,4,5,6,7,8,9,10,11,12,13,14,15,16,17,18,19,20,21,22,23,24,25,26,27,28,29,30}-1)*LEN(Registro!$H938)+1,LEN(Registro!$H938)))," ",REPT(" ",50)),50)))),"Revisar formato"))</f>
        <v/>
      </c>
      <c r="J938" s="24" t="str">
        <f>IF(Registro!$I938="","",IFERROR(SUMPRODUCT(--("0"&amp;TRIM(RIGHT(SUBSTITUTE(TRIM(MID(SUBSTITUTE(SUBSTITUTE(Registro!$I938,";",CHAR(10)),CHAR(10),REPT(" ",LEN(Registro!$I938))),({1,2,3,4,5,6,7,8,9,10,11,12,13,14,15,16,17,18,19,20,21,22,23,24,25,26,27,28,29,30}-1)*LEN(Registro!$I938)+1,LEN(Registro!$I938)))," ",REPT(" ",50)),50)))),"Revisar formato"))</f>
        <v/>
      </c>
      <c r="K938" s="24" t="str">
        <f>IF(AND(Registro!$G938="",Registro!$H938=""),"",IF(AND(ISTEXT(I938),I938&lt;&gt;""),"Revisar formato",N(Registro!$G938)-N(I938)))</f>
        <v/>
      </c>
      <c r="L938" s="24" t="str">
        <f t="shared" si="29"/>
        <v/>
      </c>
      <c r="M938" s="36" t="str">
        <f>IF(AND(A938=Consulta!$B$3,C938=Consulta!$H$3),B938*10000+ROW(),"")</f>
        <v/>
      </c>
    </row>
    <row r="939" spans="1:13" x14ac:dyDescent="0.25">
      <c r="A939" s="21" t="str">
        <f>IF(Registro!$A939="","",Registro!$A939)</f>
        <v/>
      </c>
      <c r="B939" s="20" t="str">
        <f>IF(Registro!$B939="","",Registro!$B939)</f>
        <v/>
      </c>
      <c r="C939" s="35" t="str">
        <f t="shared" si="28"/>
        <v/>
      </c>
      <c r="D939" s="23" t="str">
        <f>IF(Registro!$E939="","",IF(ISERROR(FIND("x",LOWER(Registro!$E939))),"-",IFERROR(SUMPRODUCT(--("0"&amp;LEFT(TRIM(MID(SUBSTITUTE(SUBSTITUTE(SUBSTITUTE(SUBSTITUTE(SUBSTITUTE(LOWER(Registro!$E939),"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",LEN(Registro!$E939))),({1,2,3,4,5,6,7,8,9,10,11,12,13,14,15,16,17,18,19,20,21,22,23,24,25,26,27,28,29,30}-1)*LEN(Registro!$E939)+1,LEN(Registro!$E939))),FIND("x",TRIM(MID(SUBSTITUTE(SUBSTITUTE(SUBSTITUTE(SUBSTITUTE(SUBSTITUTE(LOWER(Registro!$E939),"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",LEN(Registro!$E939))),({1,2,3,4,5,6,7,8,9,10,11,12,13,14,15,16,17,18,19,20,21,22,23,24,25,26,27,28,29,30}-1)*LEN(Registro!$E939)+1,LEN(Registro!$E939)))&amp;"x")-1))),"Revisar formato")))</f>
        <v/>
      </c>
      <c r="E939" s="24" t="str">
        <f>IF(Registro!$E939="","",IF(ISERROR(FIND("x",LOWER(Registro!$E939))),"-",IFERROR(SUMPRODUCT(--("0"&amp;LEFT(TRIM(MID(SUBSTITUTE(SUBSTITUTE(SUBSTITUTE(SUBSTITUTE(SUBSTITUTE(LOWER(Registro!$E939),"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",LEN(Registro!$E939))),({1,2,3,4,5,6,7,8,9,10,11,12,13,14,15,16,17,18,19,20,21,22,23,24,25,26,27,28,29,30}-1)*LEN(Registro!$E939)+1,LEN(Registro!$E939))),FIND("x",TRIM(MID(SUBSTITUTE(SUBSTITUTE(SUBSTITUTE(SUBSTITUTE(SUBSTITUTE(LOWER(Registro!$E939),"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",LEN(Registro!$E939))),({1,2,3,4,5,6,7,8,9,10,11,12,13,14,15,16,17,18,19,20,21,22,23,24,25,26,27,28,29,30}-1)*LEN(Registro!$E939)+1,LEN(Registro!$E939)))&amp;"x")-1)),--("0"&amp;MID(TRIM(MID(SUBSTITUTE(SUBSTITUTE(SUBSTITUTE(SUBSTITUTE(SUBSTITUTE(LOWER(Registro!$E939),"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",LEN(Registro!$E939))),({1,2,3,4,5,6,7,8,9,10,11,12,13,14,15,16,17,18,19,20,21,22,23,24,25,26,27,28,29,30}-1)*LEN(Registro!$E939)+1,LEN(Registro!$E939))),FIND("x",TRIM(MID(SUBSTITUTE(SUBSTITUTE(SUBSTITUTE(SUBSTITUTE(SUBSTITUTE(LOWER(Registro!$E939),"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",LEN(Registro!$E939))),({1,2,3,4,5,6,7,8,9,10,11,12,13,14,15,16,17,18,19,20,21,22,23,24,25,26,27,28,29,30}-1)*LEN(Registro!$E939)+1,LEN(Registro!$E939)))&amp;"x")+1,20))),"Revisar formato")))</f>
        <v/>
      </c>
      <c r="F939" s="23" t="str">
        <f>IF(Registro!$F939="","",IF(ISERROR(FIND("x",LOWER(Registro!$F939))),"-",IFERROR(SUMPRODUCT(--("0"&amp;LEFT(TRIM(MID(SUBSTITUTE(SUBSTITUTE(SUBSTITUTE(SUBSTITUTE(SUBSTITUTE(LOWER(Registro!$F939)," ",""),CHAR(10),"|"),";","|"),"+","|"),"|",REPT(" ",LEN(Registro!$F939))),({1,2,3,4,5,6,7,8,9,10,11,12,13,14,15,16,17,18,19,20,21,22,23,24,25,26,27,28,29,30}-1)*LEN(Registro!$F939)+1,LEN(Registro!$F939))),FIND("x",TRIM(MID(SUBSTITUTE(SUBSTITUTE(SUBSTITUTE(SUBSTITUTE(SUBSTITUTE(LOWER(Registro!$F939)," ",""),CHAR(10),"|"),";","|"),"+","|"),"|",REPT(" ",LEN(Registro!$F939))),({1,2,3,4,5,6,7,8,9,10,11,12,13,14,15,16,17,18,19,20,21,22,23,24,25,26,27,28,29,30}-1)*LEN(Registro!$F939)+1,LEN(Registro!$F939)))&amp;"x")-1))),"Revisar formato")))</f>
        <v/>
      </c>
      <c r="G939" s="24" t="str">
        <f>IF(Registro!$F939="","",IF(ISERROR(FIND("x",LOWER(Registro!$F939))),N(Registro!$G939),IFERROR(SUMPRODUCT(--("0"&amp;LEFT(TRIM(MID(SUBSTITUTE(SUBSTITUTE(SUBSTITUTE(SUBSTITUTE(SUBSTITUTE(LOWER(Registro!$F939)," ",""),CHAR(10),"|"),";","|"),"+","|"),"|",REPT(" ",LEN(Registro!$F939))),({1,2,3,4,5,6,7,8,9,10,11,12,13,14,15,16,17,18,19,20,21,22,23,24,25,26,27,28,29,30}-1)*LEN(Registro!$F939)+1,LEN(Registro!$F939))),FIND("x",TRIM(MID(SUBSTITUTE(SUBSTITUTE(SUBSTITUTE(SUBSTITUTE(SUBSTITUTE(LOWER(Registro!$F939)," ",""),CHAR(10),"|"),";","|"),"+","|"),"|",REPT(" ",LEN(Registro!$F939))),({1,2,3,4,5,6,7,8,9,10,11,12,13,14,15,16,17,18,19,20,21,22,23,24,25,26,27,28,29,30}-1)*LEN(Registro!$F939)+1,LEN(Registro!$F939)))&amp;"x")-1)),--("0"&amp;MID(TRIM(MID(SUBSTITUTE(SUBSTITUTE(SUBSTITUTE(SUBSTITUTE(SUBSTITUTE(LOWER(Registro!$F939)," ",""),CHAR(10),"|"),";","|"),"+","|"),"|",REPT(" ",LEN(Registro!$F939))),({1,2,3,4,5,6,7,8,9,10,11,12,13,14,15,16,17,18,19,20,21,22,23,24,25,26,27,28,29,30}-1)*LEN(Registro!$F939)+1,LEN(Registro!$F939))),FIND("x",TRIM(MID(SUBSTITUTE(SUBSTITUTE(SUBSTITUTE(SUBSTITUTE(SUBSTITUTE(LOWER(Registro!$F939)," ",""),CHAR(10),"|"),";","|"),"+","|"),"|",REPT(" ",LEN(Registro!$F939))),({1,2,3,4,5,6,7,8,9,10,11,12,13,14,15,16,17,18,19,20,21,22,23,24,25,26,27,28,29,30}-1)*LEN(Registro!$F939)+1,LEN(Registro!$F939)))&amp;"x")+1,20))),"Revisar formato")))</f>
        <v/>
      </c>
      <c r="H939" s="21" t="str">
        <f>IF(AND(Registro!$E939="",Registro!$F939=""),"",IF(NOT(AND(ISNUMBER(G939),ISNUMBER(Registro!$G939))),"",IF(G939&lt;Registro!$G939,"FALTA BOLETOS",IF(G939=Registro!$G939,"CONFORME","DIFERENCIA"))))</f>
        <v/>
      </c>
      <c r="I939" s="24" t="str">
        <f>IF(Registro!$H939="","",IFERROR(SUMPRODUCT(--("0"&amp;TRIM(RIGHT(SUBSTITUTE(TRIM(MID(SUBSTITUTE(SUBSTITUTE(Registro!$H939,";",CHAR(10)),CHAR(10),REPT(" ",LEN(Registro!$H939))),({1,2,3,4,5,6,7,8,9,10,11,12,13,14,15,16,17,18,19,20,21,22,23,24,25,26,27,28,29,30}-1)*LEN(Registro!$H939)+1,LEN(Registro!$H939)))," ",REPT(" ",50)),50)))),"Revisar formato"))</f>
        <v/>
      </c>
      <c r="J939" s="24" t="str">
        <f>IF(Registro!$I939="","",IFERROR(SUMPRODUCT(--("0"&amp;TRIM(RIGHT(SUBSTITUTE(TRIM(MID(SUBSTITUTE(SUBSTITUTE(Registro!$I939,";",CHAR(10)),CHAR(10),REPT(" ",LEN(Registro!$I939))),({1,2,3,4,5,6,7,8,9,10,11,12,13,14,15,16,17,18,19,20,21,22,23,24,25,26,27,28,29,30}-1)*LEN(Registro!$I939)+1,LEN(Registro!$I939)))," ",REPT(" ",50)),50)))),"Revisar formato"))</f>
        <v/>
      </c>
      <c r="K939" s="24" t="str">
        <f>IF(AND(Registro!$G939="",Registro!$H939=""),"",IF(AND(ISTEXT(I939),I939&lt;&gt;""),"Revisar formato",N(Registro!$G939)-N(I939)))</f>
        <v/>
      </c>
      <c r="L939" s="24" t="str">
        <f t="shared" si="29"/>
        <v/>
      </c>
      <c r="M939" s="36" t="str">
        <f>IF(AND(A939=Consulta!$B$3,C939=Consulta!$H$3),B939*10000+ROW(),"")</f>
        <v/>
      </c>
    </row>
    <row r="940" spans="1:13" x14ac:dyDescent="0.25">
      <c r="A940" s="21" t="str">
        <f>IF(Registro!$A940="","",Registro!$A940)</f>
        <v/>
      </c>
      <c r="B940" s="20" t="str">
        <f>IF(Registro!$B940="","",Registro!$B940)</f>
        <v/>
      </c>
      <c r="C940" s="35" t="str">
        <f t="shared" si="28"/>
        <v/>
      </c>
      <c r="D940" s="23" t="str">
        <f>IF(Registro!$E940="","",IF(ISERROR(FIND("x",LOWER(Registro!$E940))),"-",IFERROR(SUMPRODUCT(--("0"&amp;LEFT(TRIM(MID(SUBSTITUTE(SUBSTITUTE(SUBSTITUTE(SUBSTITUTE(SUBSTITUTE(LOWER(Registro!$E940),"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",LEN(Registro!$E940))),({1,2,3,4,5,6,7,8,9,10,11,12,13,14,15,16,17,18,19,20,21,22,23,24,25,26,27,28,29,30}-1)*LEN(Registro!$E940)+1,LEN(Registro!$E940))),FIND("x",TRIM(MID(SUBSTITUTE(SUBSTITUTE(SUBSTITUTE(SUBSTITUTE(SUBSTITUTE(LOWER(Registro!$E940),"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",LEN(Registro!$E940))),({1,2,3,4,5,6,7,8,9,10,11,12,13,14,15,16,17,18,19,20,21,22,23,24,25,26,27,28,29,30}-1)*LEN(Registro!$E940)+1,LEN(Registro!$E940)))&amp;"x")-1))),"Revisar formato")))</f>
        <v/>
      </c>
      <c r="E940" s="24" t="str">
        <f>IF(Registro!$E940="","",IF(ISERROR(FIND("x",LOWER(Registro!$E940))),"-",IFERROR(SUMPRODUCT(--("0"&amp;LEFT(TRIM(MID(SUBSTITUTE(SUBSTITUTE(SUBSTITUTE(SUBSTITUTE(SUBSTITUTE(LOWER(Registro!$E940),"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",LEN(Registro!$E940))),({1,2,3,4,5,6,7,8,9,10,11,12,13,14,15,16,17,18,19,20,21,22,23,24,25,26,27,28,29,30}-1)*LEN(Registro!$E940)+1,LEN(Registro!$E940))),FIND("x",TRIM(MID(SUBSTITUTE(SUBSTITUTE(SUBSTITUTE(SUBSTITUTE(SUBSTITUTE(LOWER(Registro!$E940),"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",LEN(Registro!$E940))),({1,2,3,4,5,6,7,8,9,10,11,12,13,14,15,16,17,18,19,20,21,22,23,24,25,26,27,28,29,30}-1)*LEN(Registro!$E940)+1,LEN(Registro!$E940)))&amp;"x")-1)),--("0"&amp;MID(TRIM(MID(SUBSTITUTE(SUBSTITUTE(SUBSTITUTE(SUBSTITUTE(SUBSTITUTE(LOWER(Registro!$E940),"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",LEN(Registro!$E940))),({1,2,3,4,5,6,7,8,9,10,11,12,13,14,15,16,17,18,19,20,21,22,23,24,25,26,27,28,29,30}-1)*LEN(Registro!$E940)+1,LEN(Registro!$E940))),FIND("x",TRIM(MID(SUBSTITUTE(SUBSTITUTE(SUBSTITUTE(SUBSTITUTE(SUBSTITUTE(LOWER(Registro!$E940),"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",LEN(Registro!$E940))),({1,2,3,4,5,6,7,8,9,10,11,12,13,14,15,16,17,18,19,20,21,22,23,24,25,26,27,28,29,30}-1)*LEN(Registro!$E940)+1,LEN(Registro!$E940)))&amp;"x")+1,20))),"Revisar formato")))</f>
        <v/>
      </c>
      <c r="F940" s="23" t="str">
        <f>IF(Registro!$F940="","",IF(ISERROR(FIND("x",LOWER(Registro!$F940))),"-",IFERROR(SUMPRODUCT(--("0"&amp;LEFT(TRIM(MID(SUBSTITUTE(SUBSTITUTE(SUBSTITUTE(SUBSTITUTE(SUBSTITUTE(LOWER(Registro!$F940)," ",""),CHAR(10),"|"),";","|"),"+","|"),"|",REPT(" ",LEN(Registro!$F940))),({1,2,3,4,5,6,7,8,9,10,11,12,13,14,15,16,17,18,19,20,21,22,23,24,25,26,27,28,29,30}-1)*LEN(Registro!$F940)+1,LEN(Registro!$F940))),FIND("x",TRIM(MID(SUBSTITUTE(SUBSTITUTE(SUBSTITUTE(SUBSTITUTE(SUBSTITUTE(LOWER(Registro!$F940)," ",""),CHAR(10),"|"),";","|"),"+","|"),"|",REPT(" ",LEN(Registro!$F940))),({1,2,3,4,5,6,7,8,9,10,11,12,13,14,15,16,17,18,19,20,21,22,23,24,25,26,27,28,29,30}-1)*LEN(Registro!$F940)+1,LEN(Registro!$F940)))&amp;"x")-1))),"Revisar formato")))</f>
        <v/>
      </c>
      <c r="G940" s="24" t="str">
        <f>IF(Registro!$F940="","",IF(ISERROR(FIND("x",LOWER(Registro!$F940))),N(Registro!$G940),IFERROR(SUMPRODUCT(--("0"&amp;LEFT(TRIM(MID(SUBSTITUTE(SUBSTITUTE(SUBSTITUTE(SUBSTITUTE(SUBSTITUTE(LOWER(Registro!$F940)," ",""),CHAR(10),"|"),";","|"),"+","|"),"|",REPT(" ",LEN(Registro!$F940))),({1,2,3,4,5,6,7,8,9,10,11,12,13,14,15,16,17,18,19,20,21,22,23,24,25,26,27,28,29,30}-1)*LEN(Registro!$F940)+1,LEN(Registro!$F940))),FIND("x",TRIM(MID(SUBSTITUTE(SUBSTITUTE(SUBSTITUTE(SUBSTITUTE(SUBSTITUTE(LOWER(Registro!$F940)," ",""),CHAR(10),"|"),";","|"),"+","|"),"|",REPT(" ",LEN(Registro!$F940))),({1,2,3,4,5,6,7,8,9,10,11,12,13,14,15,16,17,18,19,20,21,22,23,24,25,26,27,28,29,30}-1)*LEN(Registro!$F940)+1,LEN(Registro!$F940)))&amp;"x")-1)),--("0"&amp;MID(TRIM(MID(SUBSTITUTE(SUBSTITUTE(SUBSTITUTE(SUBSTITUTE(SUBSTITUTE(LOWER(Registro!$F940)," ",""),CHAR(10),"|"),";","|"),"+","|"),"|",REPT(" ",LEN(Registro!$F940))),({1,2,3,4,5,6,7,8,9,10,11,12,13,14,15,16,17,18,19,20,21,22,23,24,25,26,27,28,29,30}-1)*LEN(Registro!$F940)+1,LEN(Registro!$F940))),FIND("x",TRIM(MID(SUBSTITUTE(SUBSTITUTE(SUBSTITUTE(SUBSTITUTE(SUBSTITUTE(LOWER(Registro!$F940)," ",""),CHAR(10),"|"),";","|"),"+","|"),"|",REPT(" ",LEN(Registro!$F940))),({1,2,3,4,5,6,7,8,9,10,11,12,13,14,15,16,17,18,19,20,21,22,23,24,25,26,27,28,29,30}-1)*LEN(Registro!$F940)+1,LEN(Registro!$F940)))&amp;"x")+1,20))),"Revisar formato")))</f>
        <v/>
      </c>
      <c r="H940" s="21" t="str">
        <f>IF(AND(Registro!$E940="",Registro!$F940=""),"",IF(NOT(AND(ISNUMBER(G940),ISNUMBER(Registro!$G940))),"",IF(G940&lt;Registro!$G940,"FALTA BOLETOS",IF(G940=Registro!$G940,"CONFORME","DIFERENCIA"))))</f>
        <v/>
      </c>
      <c r="I940" s="24" t="str">
        <f>IF(Registro!$H940="","",IFERROR(SUMPRODUCT(--("0"&amp;TRIM(RIGHT(SUBSTITUTE(TRIM(MID(SUBSTITUTE(SUBSTITUTE(Registro!$H940,";",CHAR(10)),CHAR(10),REPT(" ",LEN(Registro!$H940))),({1,2,3,4,5,6,7,8,9,10,11,12,13,14,15,16,17,18,19,20,21,22,23,24,25,26,27,28,29,30}-1)*LEN(Registro!$H940)+1,LEN(Registro!$H940)))," ",REPT(" ",50)),50)))),"Revisar formato"))</f>
        <v/>
      </c>
      <c r="J940" s="24" t="str">
        <f>IF(Registro!$I940="","",IFERROR(SUMPRODUCT(--("0"&amp;TRIM(RIGHT(SUBSTITUTE(TRIM(MID(SUBSTITUTE(SUBSTITUTE(Registro!$I940,";",CHAR(10)),CHAR(10),REPT(" ",LEN(Registro!$I940))),({1,2,3,4,5,6,7,8,9,10,11,12,13,14,15,16,17,18,19,20,21,22,23,24,25,26,27,28,29,30}-1)*LEN(Registro!$I940)+1,LEN(Registro!$I940)))," ",REPT(" ",50)),50)))),"Revisar formato"))</f>
        <v/>
      </c>
      <c r="K940" s="24" t="str">
        <f>IF(AND(Registro!$G940="",Registro!$H940=""),"",IF(AND(ISTEXT(I940),I940&lt;&gt;""),"Revisar formato",N(Registro!$G940)-N(I940)))</f>
        <v/>
      </c>
      <c r="L940" s="24" t="str">
        <f t="shared" si="29"/>
        <v/>
      </c>
      <c r="M940" s="36" t="str">
        <f>IF(AND(A940=Consulta!$B$3,C940=Consulta!$H$3),B940*10000+ROW(),"")</f>
        <v/>
      </c>
    </row>
    <row r="941" spans="1:13" x14ac:dyDescent="0.25">
      <c r="A941" s="21" t="str">
        <f>IF(Registro!$A941="","",Registro!$A941)</f>
        <v/>
      </c>
      <c r="B941" s="20" t="str">
        <f>IF(Registro!$B941="","",Registro!$B941)</f>
        <v/>
      </c>
      <c r="C941" s="35" t="str">
        <f t="shared" si="28"/>
        <v/>
      </c>
      <c r="D941" s="23" t="str">
        <f>IF(Registro!$E941="","",IF(ISERROR(FIND("x",LOWER(Registro!$E941))),"-",IFERROR(SUMPRODUCT(--("0"&amp;LEFT(TRIM(MID(SUBSTITUTE(SUBSTITUTE(SUBSTITUTE(SUBSTITUTE(SUBSTITUTE(LOWER(Registro!$E941),"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",LEN(Registro!$E941))),({1,2,3,4,5,6,7,8,9,10,11,12,13,14,15,16,17,18,19,20,21,22,23,24,25,26,27,28,29,30}-1)*LEN(Registro!$E941)+1,LEN(Registro!$E941))),FIND("x",TRIM(MID(SUBSTITUTE(SUBSTITUTE(SUBSTITUTE(SUBSTITUTE(SUBSTITUTE(LOWER(Registro!$E941),"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",LEN(Registro!$E941))),({1,2,3,4,5,6,7,8,9,10,11,12,13,14,15,16,17,18,19,20,21,22,23,24,25,26,27,28,29,30}-1)*LEN(Registro!$E941)+1,LEN(Registro!$E941)))&amp;"x")-1))),"Revisar formato")))</f>
        <v/>
      </c>
      <c r="E941" s="24" t="str">
        <f>IF(Registro!$E941="","",IF(ISERROR(FIND("x",LOWER(Registro!$E941))),"-",IFERROR(SUMPRODUCT(--("0"&amp;LEFT(TRIM(MID(SUBSTITUTE(SUBSTITUTE(SUBSTITUTE(SUBSTITUTE(SUBSTITUTE(LOWER(Registro!$E941),"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",LEN(Registro!$E941))),({1,2,3,4,5,6,7,8,9,10,11,12,13,14,15,16,17,18,19,20,21,22,23,24,25,26,27,28,29,30}-1)*LEN(Registro!$E941)+1,LEN(Registro!$E941))),FIND("x",TRIM(MID(SUBSTITUTE(SUBSTITUTE(SUBSTITUTE(SUBSTITUTE(SUBSTITUTE(LOWER(Registro!$E941),"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",LEN(Registro!$E941))),({1,2,3,4,5,6,7,8,9,10,11,12,13,14,15,16,17,18,19,20,21,22,23,24,25,26,27,28,29,30}-1)*LEN(Registro!$E941)+1,LEN(Registro!$E941)))&amp;"x")-1)),--("0"&amp;MID(TRIM(MID(SUBSTITUTE(SUBSTITUTE(SUBSTITUTE(SUBSTITUTE(SUBSTITUTE(LOWER(Registro!$E941),"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",LEN(Registro!$E941))),({1,2,3,4,5,6,7,8,9,10,11,12,13,14,15,16,17,18,19,20,21,22,23,24,25,26,27,28,29,30}-1)*LEN(Registro!$E941)+1,LEN(Registro!$E941))),FIND("x",TRIM(MID(SUBSTITUTE(SUBSTITUTE(SUBSTITUTE(SUBSTITUTE(SUBSTITUTE(LOWER(Registro!$E941),"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",LEN(Registro!$E941))),({1,2,3,4,5,6,7,8,9,10,11,12,13,14,15,16,17,18,19,20,21,22,23,24,25,26,27,28,29,30}-1)*LEN(Registro!$E941)+1,LEN(Registro!$E941)))&amp;"x")+1,20))),"Revisar formato")))</f>
        <v/>
      </c>
      <c r="F941" s="23" t="str">
        <f>IF(Registro!$F941="","",IF(ISERROR(FIND("x",LOWER(Registro!$F941))),"-",IFERROR(SUMPRODUCT(--("0"&amp;LEFT(TRIM(MID(SUBSTITUTE(SUBSTITUTE(SUBSTITUTE(SUBSTITUTE(SUBSTITUTE(LOWER(Registro!$F941)," ",""),CHAR(10),"|"),";","|"),"+","|"),"|",REPT(" ",LEN(Registro!$F941))),({1,2,3,4,5,6,7,8,9,10,11,12,13,14,15,16,17,18,19,20,21,22,23,24,25,26,27,28,29,30}-1)*LEN(Registro!$F941)+1,LEN(Registro!$F941))),FIND("x",TRIM(MID(SUBSTITUTE(SUBSTITUTE(SUBSTITUTE(SUBSTITUTE(SUBSTITUTE(LOWER(Registro!$F941)," ",""),CHAR(10),"|"),";","|"),"+","|"),"|",REPT(" ",LEN(Registro!$F941))),({1,2,3,4,5,6,7,8,9,10,11,12,13,14,15,16,17,18,19,20,21,22,23,24,25,26,27,28,29,30}-1)*LEN(Registro!$F941)+1,LEN(Registro!$F941)))&amp;"x")-1))),"Revisar formato")))</f>
        <v/>
      </c>
      <c r="G941" s="24" t="str">
        <f>IF(Registro!$F941="","",IF(ISERROR(FIND("x",LOWER(Registro!$F941))),N(Registro!$G941),IFERROR(SUMPRODUCT(--("0"&amp;LEFT(TRIM(MID(SUBSTITUTE(SUBSTITUTE(SUBSTITUTE(SUBSTITUTE(SUBSTITUTE(LOWER(Registro!$F941)," ",""),CHAR(10),"|"),";","|"),"+","|"),"|",REPT(" ",LEN(Registro!$F941))),({1,2,3,4,5,6,7,8,9,10,11,12,13,14,15,16,17,18,19,20,21,22,23,24,25,26,27,28,29,30}-1)*LEN(Registro!$F941)+1,LEN(Registro!$F941))),FIND("x",TRIM(MID(SUBSTITUTE(SUBSTITUTE(SUBSTITUTE(SUBSTITUTE(SUBSTITUTE(LOWER(Registro!$F941)," ",""),CHAR(10),"|"),";","|"),"+","|"),"|",REPT(" ",LEN(Registro!$F941))),({1,2,3,4,5,6,7,8,9,10,11,12,13,14,15,16,17,18,19,20,21,22,23,24,25,26,27,28,29,30}-1)*LEN(Registro!$F941)+1,LEN(Registro!$F941)))&amp;"x")-1)),--("0"&amp;MID(TRIM(MID(SUBSTITUTE(SUBSTITUTE(SUBSTITUTE(SUBSTITUTE(SUBSTITUTE(LOWER(Registro!$F941)," ",""),CHAR(10),"|"),";","|"),"+","|"),"|",REPT(" ",LEN(Registro!$F941))),({1,2,3,4,5,6,7,8,9,10,11,12,13,14,15,16,17,18,19,20,21,22,23,24,25,26,27,28,29,30}-1)*LEN(Registro!$F941)+1,LEN(Registro!$F941))),FIND("x",TRIM(MID(SUBSTITUTE(SUBSTITUTE(SUBSTITUTE(SUBSTITUTE(SUBSTITUTE(LOWER(Registro!$F941)," ",""),CHAR(10),"|"),";","|"),"+","|"),"|",REPT(" ",LEN(Registro!$F941))),({1,2,3,4,5,6,7,8,9,10,11,12,13,14,15,16,17,18,19,20,21,22,23,24,25,26,27,28,29,30}-1)*LEN(Registro!$F941)+1,LEN(Registro!$F941)))&amp;"x")+1,20))),"Revisar formato")))</f>
        <v/>
      </c>
      <c r="H941" s="21" t="str">
        <f>IF(AND(Registro!$E941="",Registro!$F941=""),"",IF(NOT(AND(ISNUMBER(G941),ISNUMBER(Registro!$G941))),"",IF(G941&lt;Registro!$G941,"FALTA BOLETOS",IF(G941=Registro!$G941,"CONFORME","DIFERENCIA"))))</f>
        <v/>
      </c>
      <c r="I941" s="24" t="str">
        <f>IF(Registro!$H941="","",IFERROR(SUMPRODUCT(--("0"&amp;TRIM(RIGHT(SUBSTITUTE(TRIM(MID(SUBSTITUTE(SUBSTITUTE(Registro!$H941,";",CHAR(10)),CHAR(10),REPT(" ",LEN(Registro!$H941))),({1,2,3,4,5,6,7,8,9,10,11,12,13,14,15,16,17,18,19,20,21,22,23,24,25,26,27,28,29,30}-1)*LEN(Registro!$H941)+1,LEN(Registro!$H941)))," ",REPT(" ",50)),50)))),"Revisar formato"))</f>
        <v/>
      </c>
      <c r="J941" s="24" t="str">
        <f>IF(Registro!$I941="","",IFERROR(SUMPRODUCT(--("0"&amp;TRIM(RIGHT(SUBSTITUTE(TRIM(MID(SUBSTITUTE(SUBSTITUTE(Registro!$I941,";",CHAR(10)),CHAR(10),REPT(" ",LEN(Registro!$I941))),({1,2,3,4,5,6,7,8,9,10,11,12,13,14,15,16,17,18,19,20,21,22,23,24,25,26,27,28,29,30}-1)*LEN(Registro!$I941)+1,LEN(Registro!$I941)))," ",REPT(" ",50)),50)))),"Revisar formato"))</f>
        <v/>
      </c>
      <c r="K941" s="24" t="str">
        <f>IF(AND(Registro!$G941="",Registro!$H941=""),"",IF(AND(ISTEXT(I941),I941&lt;&gt;""),"Revisar formato",N(Registro!$G941)-N(I941)))</f>
        <v/>
      </c>
      <c r="L941" s="24" t="str">
        <f t="shared" si="29"/>
        <v/>
      </c>
      <c r="M941" s="36" t="str">
        <f>IF(AND(A941=Consulta!$B$3,C941=Consulta!$H$3),B941*10000+ROW(),"")</f>
        <v/>
      </c>
    </row>
    <row r="942" spans="1:13" x14ac:dyDescent="0.25">
      <c r="A942" s="21" t="str">
        <f>IF(Registro!$A942="","",Registro!$A942)</f>
        <v/>
      </c>
      <c r="B942" s="20" t="str">
        <f>IF(Registro!$B942="","",Registro!$B942)</f>
        <v/>
      </c>
      <c r="C942" s="35" t="str">
        <f t="shared" si="28"/>
        <v/>
      </c>
      <c r="D942" s="23" t="str">
        <f>IF(Registro!$E942="","",IF(ISERROR(FIND("x",LOWER(Registro!$E942))),"-",IFERROR(SUMPRODUCT(--("0"&amp;LEFT(TRIM(MID(SUBSTITUTE(SUBSTITUTE(SUBSTITUTE(SUBSTITUTE(SUBSTITUTE(LOWER(Registro!$E942),"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",LEN(Registro!$E942))),({1,2,3,4,5,6,7,8,9,10,11,12,13,14,15,16,17,18,19,20,21,22,23,24,25,26,27,28,29,30}-1)*LEN(Registro!$E942)+1,LEN(Registro!$E942))),FIND("x",TRIM(MID(SUBSTITUTE(SUBSTITUTE(SUBSTITUTE(SUBSTITUTE(SUBSTITUTE(LOWER(Registro!$E942),"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",LEN(Registro!$E942))),({1,2,3,4,5,6,7,8,9,10,11,12,13,14,15,16,17,18,19,20,21,22,23,24,25,26,27,28,29,30}-1)*LEN(Registro!$E942)+1,LEN(Registro!$E942)))&amp;"x")-1))),"Revisar formato")))</f>
        <v/>
      </c>
      <c r="E942" s="24" t="str">
        <f>IF(Registro!$E942="","",IF(ISERROR(FIND("x",LOWER(Registro!$E942))),"-",IFERROR(SUMPRODUCT(--("0"&amp;LEFT(TRIM(MID(SUBSTITUTE(SUBSTITUTE(SUBSTITUTE(SUBSTITUTE(SUBSTITUTE(LOWER(Registro!$E942),"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",LEN(Registro!$E942))),({1,2,3,4,5,6,7,8,9,10,11,12,13,14,15,16,17,18,19,20,21,22,23,24,25,26,27,28,29,30}-1)*LEN(Registro!$E942)+1,LEN(Registro!$E942))),FIND("x",TRIM(MID(SUBSTITUTE(SUBSTITUTE(SUBSTITUTE(SUBSTITUTE(SUBSTITUTE(LOWER(Registro!$E942),"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",LEN(Registro!$E942))),({1,2,3,4,5,6,7,8,9,10,11,12,13,14,15,16,17,18,19,20,21,22,23,24,25,26,27,28,29,30}-1)*LEN(Registro!$E942)+1,LEN(Registro!$E942)))&amp;"x")-1)),--("0"&amp;MID(TRIM(MID(SUBSTITUTE(SUBSTITUTE(SUBSTITUTE(SUBSTITUTE(SUBSTITUTE(LOWER(Registro!$E942),"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",LEN(Registro!$E942))),({1,2,3,4,5,6,7,8,9,10,11,12,13,14,15,16,17,18,19,20,21,22,23,24,25,26,27,28,29,30}-1)*LEN(Registro!$E942)+1,LEN(Registro!$E942))),FIND("x",TRIM(MID(SUBSTITUTE(SUBSTITUTE(SUBSTITUTE(SUBSTITUTE(SUBSTITUTE(LOWER(Registro!$E942),"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",LEN(Registro!$E942))),({1,2,3,4,5,6,7,8,9,10,11,12,13,14,15,16,17,18,19,20,21,22,23,24,25,26,27,28,29,30}-1)*LEN(Registro!$E942)+1,LEN(Registro!$E942)))&amp;"x")+1,20))),"Revisar formato")))</f>
        <v/>
      </c>
      <c r="F942" s="23" t="str">
        <f>IF(Registro!$F942="","",IF(ISERROR(FIND("x",LOWER(Registro!$F942))),"-",IFERROR(SUMPRODUCT(--("0"&amp;LEFT(TRIM(MID(SUBSTITUTE(SUBSTITUTE(SUBSTITUTE(SUBSTITUTE(SUBSTITUTE(LOWER(Registro!$F942)," ",""),CHAR(10),"|"),";","|"),"+","|"),"|",REPT(" ",LEN(Registro!$F942))),({1,2,3,4,5,6,7,8,9,10,11,12,13,14,15,16,17,18,19,20,21,22,23,24,25,26,27,28,29,30}-1)*LEN(Registro!$F942)+1,LEN(Registro!$F942))),FIND("x",TRIM(MID(SUBSTITUTE(SUBSTITUTE(SUBSTITUTE(SUBSTITUTE(SUBSTITUTE(LOWER(Registro!$F942)," ",""),CHAR(10),"|"),";","|"),"+","|"),"|",REPT(" ",LEN(Registro!$F942))),({1,2,3,4,5,6,7,8,9,10,11,12,13,14,15,16,17,18,19,20,21,22,23,24,25,26,27,28,29,30}-1)*LEN(Registro!$F942)+1,LEN(Registro!$F942)))&amp;"x")-1))),"Revisar formato")))</f>
        <v/>
      </c>
      <c r="G942" s="24" t="str">
        <f>IF(Registro!$F942="","",IF(ISERROR(FIND("x",LOWER(Registro!$F942))),N(Registro!$G942),IFERROR(SUMPRODUCT(--("0"&amp;LEFT(TRIM(MID(SUBSTITUTE(SUBSTITUTE(SUBSTITUTE(SUBSTITUTE(SUBSTITUTE(LOWER(Registro!$F942)," ",""),CHAR(10),"|"),";","|"),"+","|"),"|",REPT(" ",LEN(Registro!$F942))),({1,2,3,4,5,6,7,8,9,10,11,12,13,14,15,16,17,18,19,20,21,22,23,24,25,26,27,28,29,30}-1)*LEN(Registro!$F942)+1,LEN(Registro!$F942))),FIND("x",TRIM(MID(SUBSTITUTE(SUBSTITUTE(SUBSTITUTE(SUBSTITUTE(SUBSTITUTE(LOWER(Registro!$F942)," ",""),CHAR(10),"|"),";","|"),"+","|"),"|",REPT(" ",LEN(Registro!$F942))),({1,2,3,4,5,6,7,8,9,10,11,12,13,14,15,16,17,18,19,20,21,22,23,24,25,26,27,28,29,30}-1)*LEN(Registro!$F942)+1,LEN(Registro!$F942)))&amp;"x")-1)),--("0"&amp;MID(TRIM(MID(SUBSTITUTE(SUBSTITUTE(SUBSTITUTE(SUBSTITUTE(SUBSTITUTE(LOWER(Registro!$F942)," ",""),CHAR(10),"|"),";","|"),"+","|"),"|",REPT(" ",LEN(Registro!$F942))),({1,2,3,4,5,6,7,8,9,10,11,12,13,14,15,16,17,18,19,20,21,22,23,24,25,26,27,28,29,30}-1)*LEN(Registro!$F942)+1,LEN(Registro!$F942))),FIND("x",TRIM(MID(SUBSTITUTE(SUBSTITUTE(SUBSTITUTE(SUBSTITUTE(SUBSTITUTE(LOWER(Registro!$F942)," ",""),CHAR(10),"|"),";","|"),"+","|"),"|",REPT(" ",LEN(Registro!$F942))),({1,2,3,4,5,6,7,8,9,10,11,12,13,14,15,16,17,18,19,20,21,22,23,24,25,26,27,28,29,30}-1)*LEN(Registro!$F942)+1,LEN(Registro!$F942)))&amp;"x")+1,20))),"Revisar formato")))</f>
        <v/>
      </c>
      <c r="H942" s="21" t="str">
        <f>IF(AND(Registro!$E942="",Registro!$F942=""),"",IF(NOT(AND(ISNUMBER(G942),ISNUMBER(Registro!$G942))),"",IF(G942&lt;Registro!$G942,"FALTA BOLETOS",IF(G942=Registro!$G942,"CONFORME","DIFERENCIA"))))</f>
        <v/>
      </c>
      <c r="I942" s="24" t="str">
        <f>IF(Registro!$H942="","",IFERROR(SUMPRODUCT(--("0"&amp;TRIM(RIGHT(SUBSTITUTE(TRIM(MID(SUBSTITUTE(SUBSTITUTE(Registro!$H942,";",CHAR(10)),CHAR(10),REPT(" ",LEN(Registro!$H942))),({1,2,3,4,5,6,7,8,9,10,11,12,13,14,15,16,17,18,19,20,21,22,23,24,25,26,27,28,29,30}-1)*LEN(Registro!$H942)+1,LEN(Registro!$H942)))," ",REPT(" ",50)),50)))),"Revisar formato"))</f>
        <v/>
      </c>
      <c r="J942" s="24" t="str">
        <f>IF(Registro!$I942="","",IFERROR(SUMPRODUCT(--("0"&amp;TRIM(RIGHT(SUBSTITUTE(TRIM(MID(SUBSTITUTE(SUBSTITUTE(Registro!$I942,";",CHAR(10)),CHAR(10),REPT(" ",LEN(Registro!$I942))),({1,2,3,4,5,6,7,8,9,10,11,12,13,14,15,16,17,18,19,20,21,22,23,24,25,26,27,28,29,30}-1)*LEN(Registro!$I942)+1,LEN(Registro!$I942)))," ",REPT(" ",50)),50)))),"Revisar formato"))</f>
        <v/>
      </c>
      <c r="K942" s="24" t="str">
        <f>IF(AND(Registro!$G942="",Registro!$H942=""),"",IF(AND(ISTEXT(I942),I942&lt;&gt;""),"Revisar formato",N(Registro!$G942)-N(I942)))</f>
        <v/>
      </c>
      <c r="L942" s="24" t="str">
        <f t="shared" si="29"/>
        <v/>
      </c>
      <c r="M942" s="36" t="str">
        <f>IF(AND(A942=Consulta!$B$3,C942=Consulta!$H$3),B942*10000+ROW(),"")</f>
        <v/>
      </c>
    </row>
    <row r="943" spans="1:13" x14ac:dyDescent="0.25">
      <c r="A943" s="21" t="str">
        <f>IF(Registro!$A943="","",Registro!$A943)</f>
        <v/>
      </c>
      <c r="B943" s="20" t="str">
        <f>IF(Registro!$B943="","",Registro!$B943)</f>
        <v/>
      </c>
      <c r="C943" s="35" t="str">
        <f t="shared" si="28"/>
        <v/>
      </c>
      <c r="D943" s="23" t="str">
        <f>IF(Registro!$E943="","",IF(ISERROR(FIND("x",LOWER(Registro!$E943))),"-",IFERROR(SUMPRODUCT(--("0"&amp;LEFT(TRIM(MID(SUBSTITUTE(SUBSTITUTE(SUBSTITUTE(SUBSTITUTE(SUBSTITUTE(LOWER(Registro!$E943),"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",LEN(Registro!$E943))),({1,2,3,4,5,6,7,8,9,10,11,12,13,14,15,16,17,18,19,20,21,22,23,24,25,26,27,28,29,30}-1)*LEN(Registro!$E943)+1,LEN(Registro!$E943))),FIND("x",TRIM(MID(SUBSTITUTE(SUBSTITUTE(SUBSTITUTE(SUBSTITUTE(SUBSTITUTE(LOWER(Registro!$E943),"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",LEN(Registro!$E943))),({1,2,3,4,5,6,7,8,9,10,11,12,13,14,15,16,17,18,19,20,21,22,23,24,25,26,27,28,29,30}-1)*LEN(Registro!$E943)+1,LEN(Registro!$E943)))&amp;"x")-1))),"Revisar formato")))</f>
        <v/>
      </c>
      <c r="E943" s="24" t="str">
        <f>IF(Registro!$E943="","",IF(ISERROR(FIND("x",LOWER(Registro!$E943))),"-",IFERROR(SUMPRODUCT(--("0"&amp;LEFT(TRIM(MID(SUBSTITUTE(SUBSTITUTE(SUBSTITUTE(SUBSTITUTE(SUBSTITUTE(LOWER(Registro!$E943),"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",LEN(Registro!$E943))),({1,2,3,4,5,6,7,8,9,10,11,12,13,14,15,16,17,18,19,20,21,22,23,24,25,26,27,28,29,30}-1)*LEN(Registro!$E943)+1,LEN(Registro!$E943))),FIND("x",TRIM(MID(SUBSTITUTE(SUBSTITUTE(SUBSTITUTE(SUBSTITUTE(SUBSTITUTE(LOWER(Registro!$E943),"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",LEN(Registro!$E943))),({1,2,3,4,5,6,7,8,9,10,11,12,13,14,15,16,17,18,19,20,21,22,23,24,25,26,27,28,29,30}-1)*LEN(Registro!$E943)+1,LEN(Registro!$E943)))&amp;"x")-1)),--("0"&amp;MID(TRIM(MID(SUBSTITUTE(SUBSTITUTE(SUBSTITUTE(SUBSTITUTE(SUBSTITUTE(LOWER(Registro!$E943),"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",LEN(Registro!$E943))),({1,2,3,4,5,6,7,8,9,10,11,12,13,14,15,16,17,18,19,20,21,22,23,24,25,26,27,28,29,30}-1)*LEN(Registro!$E943)+1,LEN(Registro!$E943))),FIND("x",TRIM(MID(SUBSTITUTE(SUBSTITUTE(SUBSTITUTE(SUBSTITUTE(SUBSTITUTE(LOWER(Registro!$E943),"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",LEN(Registro!$E943))),({1,2,3,4,5,6,7,8,9,10,11,12,13,14,15,16,17,18,19,20,21,22,23,24,25,26,27,28,29,30}-1)*LEN(Registro!$E943)+1,LEN(Registro!$E943)))&amp;"x")+1,20))),"Revisar formato")))</f>
        <v/>
      </c>
      <c r="F943" s="23" t="str">
        <f>IF(Registro!$F943="","",IF(ISERROR(FIND("x",LOWER(Registro!$F943))),"-",IFERROR(SUMPRODUCT(--("0"&amp;LEFT(TRIM(MID(SUBSTITUTE(SUBSTITUTE(SUBSTITUTE(SUBSTITUTE(SUBSTITUTE(LOWER(Registro!$F943)," ",""),CHAR(10),"|"),";","|"),"+","|"),"|",REPT(" ",LEN(Registro!$F943))),({1,2,3,4,5,6,7,8,9,10,11,12,13,14,15,16,17,18,19,20,21,22,23,24,25,26,27,28,29,30}-1)*LEN(Registro!$F943)+1,LEN(Registro!$F943))),FIND("x",TRIM(MID(SUBSTITUTE(SUBSTITUTE(SUBSTITUTE(SUBSTITUTE(SUBSTITUTE(LOWER(Registro!$F943)," ",""),CHAR(10),"|"),";","|"),"+","|"),"|",REPT(" ",LEN(Registro!$F943))),({1,2,3,4,5,6,7,8,9,10,11,12,13,14,15,16,17,18,19,20,21,22,23,24,25,26,27,28,29,30}-1)*LEN(Registro!$F943)+1,LEN(Registro!$F943)))&amp;"x")-1))),"Revisar formato")))</f>
        <v/>
      </c>
      <c r="G943" s="24" t="str">
        <f>IF(Registro!$F943="","",IF(ISERROR(FIND("x",LOWER(Registro!$F943))),N(Registro!$G943),IFERROR(SUMPRODUCT(--("0"&amp;LEFT(TRIM(MID(SUBSTITUTE(SUBSTITUTE(SUBSTITUTE(SUBSTITUTE(SUBSTITUTE(LOWER(Registro!$F943)," ",""),CHAR(10),"|"),";","|"),"+","|"),"|",REPT(" ",LEN(Registro!$F943))),({1,2,3,4,5,6,7,8,9,10,11,12,13,14,15,16,17,18,19,20,21,22,23,24,25,26,27,28,29,30}-1)*LEN(Registro!$F943)+1,LEN(Registro!$F943))),FIND("x",TRIM(MID(SUBSTITUTE(SUBSTITUTE(SUBSTITUTE(SUBSTITUTE(SUBSTITUTE(LOWER(Registro!$F943)," ",""),CHAR(10),"|"),";","|"),"+","|"),"|",REPT(" ",LEN(Registro!$F943))),({1,2,3,4,5,6,7,8,9,10,11,12,13,14,15,16,17,18,19,20,21,22,23,24,25,26,27,28,29,30}-1)*LEN(Registro!$F943)+1,LEN(Registro!$F943)))&amp;"x")-1)),--("0"&amp;MID(TRIM(MID(SUBSTITUTE(SUBSTITUTE(SUBSTITUTE(SUBSTITUTE(SUBSTITUTE(LOWER(Registro!$F943)," ",""),CHAR(10),"|"),";","|"),"+","|"),"|",REPT(" ",LEN(Registro!$F943))),({1,2,3,4,5,6,7,8,9,10,11,12,13,14,15,16,17,18,19,20,21,22,23,24,25,26,27,28,29,30}-1)*LEN(Registro!$F943)+1,LEN(Registro!$F943))),FIND("x",TRIM(MID(SUBSTITUTE(SUBSTITUTE(SUBSTITUTE(SUBSTITUTE(SUBSTITUTE(LOWER(Registro!$F943)," ",""),CHAR(10),"|"),";","|"),"+","|"),"|",REPT(" ",LEN(Registro!$F943))),({1,2,3,4,5,6,7,8,9,10,11,12,13,14,15,16,17,18,19,20,21,22,23,24,25,26,27,28,29,30}-1)*LEN(Registro!$F943)+1,LEN(Registro!$F943)))&amp;"x")+1,20))),"Revisar formato")))</f>
        <v/>
      </c>
      <c r="H943" s="21" t="str">
        <f>IF(AND(Registro!$E943="",Registro!$F943=""),"",IF(NOT(AND(ISNUMBER(G943),ISNUMBER(Registro!$G943))),"",IF(G943&lt;Registro!$G943,"FALTA BOLETOS",IF(G943=Registro!$G943,"CONFORME","DIFERENCIA"))))</f>
        <v/>
      </c>
      <c r="I943" s="24" t="str">
        <f>IF(Registro!$H943="","",IFERROR(SUMPRODUCT(--("0"&amp;TRIM(RIGHT(SUBSTITUTE(TRIM(MID(SUBSTITUTE(SUBSTITUTE(Registro!$H943,";",CHAR(10)),CHAR(10),REPT(" ",LEN(Registro!$H943))),({1,2,3,4,5,6,7,8,9,10,11,12,13,14,15,16,17,18,19,20,21,22,23,24,25,26,27,28,29,30}-1)*LEN(Registro!$H943)+1,LEN(Registro!$H943)))," ",REPT(" ",50)),50)))),"Revisar formato"))</f>
        <v/>
      </c>
      <c r="J943" s="24" t="str">
        <f>IF(Registro!$I943="","",IFERROR(SUMPRODUCT(--("0"&amp;TRIM(RIGHT(SUBSTITUTE(TRIM(MID(SUBSTITUTE(SUBSTITUTE(Registro!$I943,";",CHAR(10)),CHAR(10),REPT(" ",LEN(Registro!$I943))),({1,2,3,4,5,6,7,8,9,10,11,12,13,14,15,16,17,18,19,20,21,22,23,24,25,26,27,28,29,30}-1)*LEN(Registro!$I943)+1,LEN(Registro!$I943)))," ",REPT(" ",50)),50)))),"Revisar formato"))</f>
        <v/>
      </c>
      <c r="K943" s="24" t="str">
        <f>IF(AND(Registro!$G943="",Registro!$H943=""),"",IF(AND(ISTEXT(I943),I943&lt;&gt;""),"Revisar formato",N(Registro!$G943)-N(I943)))</f>
        <v/>
      </c>
      <c r="L943" s="24" t="str">
        <f t="shared" si="29"/>
        <v/>
      </c>
      <c r="M943" s="36" t="str">
        <f>IF(AND(A943=Consulta!$B$3,C943=Consulta!$H$3),B943*10000+ROW(),"")</f>
        <v/>
      </c>
    </row>
    <row r="944" spans="1:13" x14ac:dyDescent="0.25">
      <c r="A944" s="21" t="str">
        <f>IF(Registro!$A944="","",Registro!$A944)</f>
        <v/>
      </c>
      <c r="B944" s="20" t="str">
        <f>IF(Registro!$B944="","",Registro!$B944)</f>
        <v/>
      </c>
      <c r="C944" s="35" t="str">
        <f t="shared" si="28"/>
        <v/>
      </c>
      <c r="D944" s="23" t="str">
        <f>IF(Registro!$E944="","",IF(ISERROR(FIND("x",LOWER(Registro!$E944))),"-",IFERROR(SUMPRODUCT(--("0"&amp;LEFT(TRIM(MID(SUBSTITUTE(SUBSTITUTE(SUBSTITUTE(SUBSTITUTE(SUBSTITUTE(LOWER(Registro!$E944),"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",LEN(Registro!$E944))),({1,2,3,4,5,6,7,8,9,10,11,12,13,14,15,16,17,18,19,20,21,22,23,24,25,26,27,28,29,30}-1)*LEN(Registro!$E944)+1,LEN(Registro!$E944))),FIND("x",TRIM(MID(SUBSTITUTE(SUBSTITUTE(SUBSTITUTE(SUBSTITUTE(SUBSTITUTE(LOWER(Registro!$E944),"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",LEN(Registro!$E944))),({1,2,3,4,5,6,7,8,9,10,11,12,13,14,15,16,17,18,19,20,21,22,23,24,25,26,27,28,29,30}-1)*LEN(Registro!$E944)+1,LEN(Registro!$E944)))&amp;"x")-1))),"Revisar formato")))</f>
        <v/>
      </c>
      <c r="E944" s="24" t="str">
        <f>IF(Registro!$E944="","",IF(ISERROR(FIND("x",LOWER(Registro!$E944))),"-",IFERROR(SUMPRODUCT(--("0"&amp;LEFT(TRIM(MID(SUBSTITUTE(SUBSTITUTE(SUBSTITUTE(SUBSTITUTE(SUBSTITUTE(LOWER(Registro!$E944),"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",LEN(Registro!$E944))),({1,2,3,4,5,6,7,8,9,10,11,12,13,14,15,16,17,18,19,20,21,22,23,24,25,26,27,28,29,30}-1)*LEN(Registro!$E944)+1,LEN(Registro!$E944))),FIND("x",TRIM(MID(SUBSTITUTE(SUBSTITUTE(SUBSTITUTE(SUBSTITUTE(SUBSTITUTE(LOWER(Registro!$E944),"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",LEN(Registro!$E944))),({1,2,3,4,5,6,7,8,9,10,11,12,13,14,15,16,17,18,19,20,21,22,23,24,25,26,27,28,29,30}-1)*LEN(Registro!$E944)+1,LEN(Registro!$E944)))&amp;"x")-1)),--("0"&amp;MID(TRIM(MID(SUBSTITUTE(SUBSTITUTE(SUBSTITUTE(SUBSTITUTE(SUBSTITUTE(LOWER(Registro!$E944),"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",LEN(Registro!$E944))),({1,2,3,4,5,6,7,8,9,10,11,12,13,14,15,16,17,18,19,20,21,22,23,24,25,26,27,28,29,30}-1)*LEN(Registro!$E944)+1,LEN(Registro!$E944))),FIND("x",TRIM(MID(SUBSTITUTE(SUBSTITUTE(SUBSTITUTE(SUBSTITUTE(SUBSTITUTE(LOWER(Registro!$E944),"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",LEN(Registro!$E944))),({1,2,3,4,5,6,7,8,9,10,11,12,13,14,15,16,17,18,19,20,21,22,23,24,25,26,27,28,29,30}-1)*LEN(Registro!$E944)+1,LEN(Registro!$E944)))&amp;"x")+1,20))),"Revisar formato")))</f>
        <v/>
      </c>
      <c r="F944" s="23" t="str">
        <f>IF(Registro!$F944="","",IF(ISERROR(FIND("x",LOWER(Registro!$F944))),"-",IFERROR(SUMPRODUCT(--("0"&amp;LEFT(TRIM(MID(SUBSTITUTE(SUBSTITUTE(SUBSTITUTE(SUBSTITUTE(SUBSTITUTE(LOWER(Registro!$F944)," ",""),CHAR(10),"|"),";","|"),"+","|"),"|",REPT(" ",LEN(Registro!$F944))),({1,2,3,4,5,6,7,8,9,10,11,12,13,14,15,16,17,18,19,20,21,22,23,24,25,26,27,28,29,30}-1)*LEN(Registro!$F944)+1,LEN(Registro!$F944))),FIND("x",TRIM(MID(SUBSTITUTE(SUBSTITUTE(SUBSTITUTE(SUBSTITUTE(SUBSTITUTE(LOWER(Registro!$F944)," ",""),CHAR(10),"|"),";","|"),"+","|"),"|",REPT(" ",LEN(Registro!$F944))),({1,2,3,4,5,6,7,8,9,10,11,12,13,14,15,16,17,18,19,20,21,22,23,24,25,26,27,28,29,30}-1)*LEN(Registro!$F944)+1,LEN(Registro!$F944)))&amp;"x")-1))),"Revisar formato")))</f>
        <v/>
      </c>
      <c r="G944" s="24" t="str">
        <f>IF(Registro!$F944="","",IF(ISERROR(FIND("x",LOWER(Registro!$F944))),N(Registro!$G944),IFERROR(SUMPRODUCT(--("0"&amp;LEFT(TRIM(MID(SUBSTITUTE(SUBSTITUTE(SUBSTITUTE(SUBSTITUTE(SUBSTITUTE(LOWER(Registro!$F944)," ",""),CHAR(10),"|"),";","|"),"+","|"),"|",REPT(" ",LEN(Registro!$F944))),({1,2,3,4,5,6,7,8,9,10,11,12,13,14,15,16,17,18,19,20,21,22,23,24,25,26,27,28,29,30}-1)*LEN(Registro!$F944)+1,LEN(Registro!$F944))),FIND("x",TRIM(MID(SUBSTITUTE(SUBSTITUTE(SUBSTITUTE(SUBSTITUTE(SUBSTITUTE(LOWER(Registro!$F944)," ",""),CHAR(10),"|"),";","|"),"+","|"),"|",REPT(" ",LEN(Registro!$F944))),({1,2,3,4,5,6,7,8,9,10,11,12,13,14,15,16,17,18,19,20,21,22,23,24,25,26,27,28,29,30}-1)*LEN(Registro!$F944)+1,LEN(Registro!$F944)))&amp;"x")-1)),--("0"&amp;MID(TRIM(MID(SUBSTITUTE(SUBSTITUTE(SUBSTITUTE(SUBSTITUTE(SUBSTITUTE(LOWER(Registro!$F944)," ",""),CHAR(10),"|"),";","|"),"+","|"),"|",REPT(" ",LEN(Registro!$F944))),({1,2,3,4,5,6,7,8,9,10,11,12,13,14,15,16,17,18,19,20,21,22,23,24,25,26,27,28,29,30}-1)*LEN(Registro!$F944)+1,LEN(Registro!$F944))),FIND("x",TRIM(MID(SUBSTITUTE(SUBSTITUTE(SUBSTITUTE(SUBSTITUTE(SUBSTITUTE(LOWER(Registro!$F944)," ",""),CHAR(10),"|"),";","|"),"+","|"),"|",REPT(" ",LEN(Registro!$F944))),({1,2,3,4,5,6,7,8,9,10,11,12,13,14,15,16,17,18,19,20,21,22,23,24,25,26,27,28,29,30}-1)*LEN(Registro!$F944)+1,LEN(Registro!$F944)))&amp;"x")+1,20))),"Revisar formato")))</f>
        <v/>
      </c>
      <c r="H944" s="21" t="str">
        <f>IF(AND(Registro!$E944="",Registro!$F944=""),"",IF(NOT(AND(ISNUMBER(G944),ISNUMBER(Registro!$G944))),"",IF(G944&lt;Registro!$G944,"FALTA BOLETOS",IF(G944=Registro!$G944,"CONFORME","DIFERENCIA"))))</f>
        <v/>
      </c>
      <c r="I944" s="24" t="str">
        <f>IF(Registro!$H944="","",IFERROR(SUMPRODUCT(--("0"&amp;TRIM(RIGHT(SUBSTITUTE(TRIM(MID(SUBSTITUTE(SUBSTITUTE(Registro!$H944,";",CHAR(10)),CHAR(10),REPT(" ",LEN(Registro!$H944))),({1,2,3,4,5,6,7,8,9,10,11,12,13,14,15,16,17,18,19,20,21,22,23,24,25,26,27,28,29,30}-1)*LEN(Registro!$H944)+1,LEN(Registro!$H944)))," ",REPT(" ",50)),50)))),"Revisar formato"))</f>
        <v/>
      </c>
      <c r="J944" s="24" t="str">
        <f>IF(Registro!$I944="","",IFERROR(SUMPRODUCT(--("0"&amp;TRIM(RIGHT(SUBSTITUTE(TRIM(MID(SUBSTITUTE(SUBSTITUTE(Registro!$I944,";",CHAR(10)),CHAR(10),REPT(" ",LEN(Registro!$I944))),({1,2,3,4,5,6,7,8,9,10,11,12,13,14,15,16,17,18,19,20,21,22,23,24,25,26,27,28,29,30}-1)*LEN(Registro!$I944)+1,LEN(Registro!$I944)))," ",REPT(" ",50)),50)))),"Revisar formato"))</f>
        <v/>
      </c>
      <c r="K944" s="24" t="str">
        <f>IF(AND(Registro!$G944="",Registro!$H944=""),"",IF(AND(ISTEXT(I944),I944&lt;&gt;""),"Revisar formato",N(Registro!$G944)-N(I944)))</f>
        <v/>
      </c>
      <c r="L944" s="24" t="str">
        <f t="shared" si="29"/>
        <v/>
      </c>
      <c r="M944" s="36" t="str">
        <f>IF(AND(A944=Consulta!$B$3,C944=Consulta!$H$3),B944*10000+ROW(),"")</f>
        <v/>
      </c>
    </row>
    <row r="945" spans="1:13" x14ac:dyDescent="0.25">
      <c r="A945" s="21" t="str">
        <f>IF(Registro!$A945="","",Registro!$A945)</f>
        <v/>
      </c>
      <c r="B945" s="20" t="str">
        <f>IF(Registro!$B945="","",Registro!$B945)</f>
        <v/>
      </c>
      <c r="C945" s="35" t="str">
        <f t="shared" si="28"/>
        <v/>
      </c>
      <c r="D945" s="23" t="str">
        <f>IF(Registro!$E945="","",IF(ISERROR(FIND("x",LOWER(Registro!$E945))),"-",IFERROR(SUMPRODUCT(--("0"&amp;LEFT(TRIM(MID(SUBSTITUTE(SUBSTITUTE(SUBSTITUTE(SUBSTITUTE(SUBSTITUTE(LOWER(Registro!$E945),"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",LEN(Registro!$E945))),({1,2,3,4,5,6,7,8,9,10,11,12,13,14,15,16,17,18,19,20,21,22,23,24,25,26,27,28,29,30}-1)*LEN(Registro!$E945)+1,LEN(Registro!$E945))),FIND("x",TRIM(MID(SUBSTITUTE(SUBSTITUTE(SUBSTITUTE(SUBSTITUTE(SUBSTITUTE(LOWER(Registro!$E945),"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",LEN(Registro!$E945))),({1,2,3,4,5,6,7,8,9,10,11,12,13,14,15,16,17,18,19,20,21,22,23,24,25,26,27,28,29,30}-1)*LEN(Registro!$E945)+1,LEN(Registro!$E945)))&amp;"x")-1))),"Revisar formato")))</f>
        <v/>
      </c>
      <c r="E945" s="24" t="str">
        <f>IF(Registro!$E945="","",IF(ISERROR(FIND("x",LOWER(Registro!$E945))),"-",IFERROR(SUMPRODUCT(--("0"&amp;LEFT(TRIM(MID(SUBSTITUTE(SUBSTITUTE(SUBSTITUTE(SUBSTITUTE(SUBSTITUTE(LOWER(Registro!$E945),"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",LEN(Registro!$E945))),({1,2,3,4,5,6,7,8,9,10,11,12,13,14,15,16,17,18,19,20,21,22,23,24,25,26,27,28,29,30}-1)*LEN(Registro!$E945)+1,LEN(Registro!$E945))),FIND("x",TRIM(MID(SUBSTITUTE(SUBSTITUTE(SUBSTITUTE(SUBSTITUTE(SUBSTITUTE(LOWER(Registro!$E945),"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",LEN(Registro!$E945))),({1,2,3,4,5,6,7,8,9,10,11,12,13,14,15,16,17,18,19,20,21,22,23,24,25,26,27,28,29,30}-1)*LEN(Registro!$E945)+1,LEN(Registro!$E945)))&amp;"x")-1)),--("0"&amp;MID(TRIM(MID(SUBSTITUTE(SUBSTITUTE(SUBSTITUTE(SUBSTITUTE(SUBSTITUTE(LOWER(Registro!$E945),"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",LEN(Registro!$E945))),({1,2,3,4,5,6,7,8,9,10,11,12,13,14,15,16,17,18,19,20,21,22,23,24,25,26,27,28,29,30}-1)*LEN(Registro!$E945)+1,LEN(Registro!$E945))),FIND("x",TRIM(MID(SUBSTITUTE(SUBSTITUTE(SUBSTITUTE(SUBSTITUTE(SUBSTITUTE(LOWER(Registro!$E945),"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",LEN(Registro!$E945))),({1,2,3,4,5,6,7,8,9,10,11,12,13,14,15,16,17,18,19,20,21,22,23,24,25,26,27,28,29,30}-1)*LEN(Registro!$E945)+1,LEN(Registro!$E945)))&amp;"x")+1,20))),"Revisar formato")))</f>
        <v/>
      </c>
      <c r="F945" s="23" t="str">
        <f>IF(Registro!$F945="","",IF(ISERROR(FIND("x",LOWER(Registro!$F945))),"-",IFERROR(SUMPRODUCT(--("0"&amp;LEFT(TRIM(MID(SUBSTITUTE(SUBSTITUTE(SUBSTITUTE(SUBSTITUTE(SUBSTITUTE(LOWER(Registro!$F945)," ",""),CHAR(10),"|"),";","|"),"+","|"),"|",REPT(" ",LEN(Registro!$F945))),({1,2,3,4,5,6,7,8,9,10,11,12,13,14,15,16,17,18,19,20,21,22,23,24,25,26,27,28,29,30}-1)*LEN(Registro!$F945)+1,LEN(Registro!$F945))),FIND("x",TRIM(MID(SUBSTITUTE(SUBSTITUTE(SUBSTITUTE(SUBSTITUTE(SUBSTITUTE(LOWER(Registro!$F945)," ",""),CHAR(10),"|"),";","|"),"+","|"),"|",REPT(" ",LEN(Registro!$F945))),({1,2,3,4,5,6,7,8,9,10,11,12,13,14,15,16,17,18,19,20,21,22,23,24,25,26,27,28,29,30}-1)*LEN(Registro!$F945)+1,LEN(Registro!$F945)))&amp;"x")-1))),"Revisar formato")))</f>
        <v/>
      </c>
      <c r="G945" s="24" t="str">
        <f>IF(Registro!$F945="","",IF(ISERROR(FIND("x",LOWER(Registro!$F945))),N(Registro!$G945),IFERROR(SUMPRODUCT(--("0"&amp;LEFT(TRIM(MID(SUBSTITUTE(SUBSTITUTE(SUBSTITUTE(SUBSTITUTE(SUBSTITUTE(LOWER(Registro!$F945)," ",""),CHAR(10),"|"),";","|"),"+","|"),"|",REPT(" ",LEN(Registro!$F945))),({1,2,3,4,5,6,7,8,9,10,11,12,13,14,15,16,17,18,19,20,21,22,23,24,25,26,27,28,29,30}-1)*LEN(Registro!$F945)+1,LEN(Registro!$F945))),FIND("x",TRIM(MID(SUBSTITUTE(SUBSTITUTE(SUBSTITUTE(SUBSTITUTE(SUBSTITUTE(LOWER(Registro!$F945)," ",""),CHAR(10),"|"),";","|"),"+","|"),"|",REPT(" ",LEN(Registro!$F945))),({1,2,3,4,5,6,7,8,9,10,11,12,13,14,15,16,17,18,19,20,21,22,23,24,25,26,27,28,29,30}-1)*LEN(Registro!$F945)+1,LEN(Registro!$F945)))&amp;"x")-1)),--("0"&amp;MID(TRIM(MID(SUBSTITUTE(SUBSTITUTE(SUBSTITUTE(SUBSTITUTE(SUBSTITUTE(LOWER(Registro!$F945)," ",""),CHAR(10),"|"),";","|"),"+","|"),"|",REPT(" ",LEN(Registro!$F945))),({1,2,3,4,5,6,7,8,9,10,11,12,13,14,15,16,17,18,19,20,21,22,23,24,25,26,27,28,29,30}-1)*LEN(Registro!$F945)+1,LEN(Registro!$F945))),FIND("x",TRIM(MID(SUBSTITUTE(SUBSTITUTE(SUBSTITUTE(SUBSTITUTE(SUBSTITUTE(LOWER(Registro!$F945)," ",""),CHAR(10),"|"),";","|"),"+","|"),"|",REPT(" ",LEN(Registro!$F945))),({1,2,3,4,5,6,7,8,9,10,11,12,13,14,15,16,17,18,19,20,21,22,23,24,25,26,27,28,29,30}-1)*LEN(Registro!$F945)+1,LEN(Registro!$F945)))&amp;"x")+1,20))),"Revisar formato")))</f>
        <v/>
      </c>
      <c r="H945" s="21" t="str">
        <f>IF(AND(Registro!$E945="",Registro!$F945=""),"",IF(NOT(AND(ISNUMBER(G945),ISNUMBER(Registro!$G945))),"",IF(G945&lt;Registro!$G945,"FALTA BOLETOS",IF(G945=Registro!$G945,"CONFORME","DIFERENCIA"))))</f>
        <v/>
      </c>
      <c r="I945" s="24" t="str">
        <f>IF(Registro!$H945="","",IFERROR(SUMPRODUCT(--("0"&amp;TRIM(RIGHT(SUBSTITUTE(TRIM(MID(SUBSTITUTE(SUBSTITUTE(Registro!$H945,";",CHAR(10)),CHAR(10),REPT(" ",LEN(Registro!$H945))),({1,2,3,4,5,6,7,8,9,10,11,12,13,14,15,16,17,18,19,20,21,22,23,24,25,26,27,28,29,30}-1)*LEN(Registro!$H945)+1,LEN(Registro!$H945)))," ",REPT(" ",50)),50)))),"Revisar formato"))</f>
        <v/>
      </c>
      <c r="J945" s="24" t="str">
        <f>IF(Registro!$I945="","",IFERROR(SUMPRODUCT(--("0"&amp;TRIM(RIGHT(SUBSTITUTE(TRIM(MID(SUBSTITUTE(SUBSTITUTE(Registro!$I945,";",CHAR(10)),CHAR(10),REPT(" ",LEN(Registro!$I945))),({1,2,3,4,5,6,7,8,9,10,11,12,13,14,15,16,17,18,19,20,21,22,23,24,25,26,27,28,29,30}-1)*LEN(Registro!$I945)+1,LEN(Registro!$I945)))," ",REPT(" ",50)),50)))),"Revisar formato"))</f>
        <v/>
      </c>
      <c r="K945" s="24" t="str">
        <f>IF(AND(Registro!$G945="",Registro!$H945=""),"",IF(AND(ISTEXT(I945),I945&lt;&gt;""),"Revisar formato",N(Registro!$G945)-N(I945)))</f>
        <v/>
      </c>
      <c r="L945" s="24" t="str">
        <f t="shared" si="29"/>
        <v/>
      </c>
      <c r="M945" s="36" t="str">
        <f>IF(AND(A945=Consulta!$B$3,C945=Consulta!$H$3),B945*10000+ROW(),"")</f>
        <v/>
      </c>
    </row>
    <row r="946" spans="1:13" x14ac:dyDescent="0.25">
      <c r="A946" s="21" t="str">
        <f>IF(Registro!$A946="","",Registro!$A946)</f>
        <v/>
      </c>
      <c r="B946" s="20" t="str">
        <f>IF(Registro!$B946="","",Registro!$B946)</f>
        <v/>
      </c>
      <c r="C946" s="35" t="str">
        <f t="shared" si="28"/>
        <v/>
      </c>
      <c r="D946" s="23" t="str">
        <f>IF(Registro!$E946="","",IF(ISERROR(FIND("x",LOWER(Registro!$E946))),"-",IFERROR(SUMPRODUCT(--("0"&amp;LEFT(TRIM(MID(SUBSTITUTE(SUBSTITUTE(SUBSTITUTE(SUBSTITUTE(SUBSTITUTE(LOWER(Registro!$E946),"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",LEN(Registro!$E946))),({1,2,3,4,5,6,7,8,9,10,11,12,13,14,15,16,17,18,19,20,21,22,23,24,25,26,27,28,29,30}-1)*LEN(Registro!$E946)+1,LEN(Registro!$E946))),FIND("x",TRIM(MID(SUBSTITUTE(SUBSTITUTE(SUBSTITUTE(SUBSTITUTE(SUBSTITUTE(LOWER(Registro!$E946),"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",LEN(Registro!$E946))),({1,2,3,4,5,6,7,8,9,10,11,12,13,14,15,16,17,18,19,20,21,22,23,24,25,26,27,28,29,30}-1)*LEN(Registro!$E946)+1,LEN(Registro!$E946)))&amp;"x")-1))),"Revisar formato")))</f>
        <v/>
      </c>
      <c r="E946" s="24" t="str">
        <f>IF(Registro!$E946="","",IF(ISERROR(FIND("x",LOWER(Registro!$E946))),"-",IFERROR(SUMPRODUCT(--("0"&amp;LEFT(TRIM(MID(SUBSTITUTE(SUBSTITUTE(SUBSTITUTE(SUBSTITUTE(SUBSTITUTE(LOWER(Registro!$E946),"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",LEN(Registro!$E946))),({1,2,3,4,5,6,7,8,9,10,11,12,13,14,15,16,17,18,19,20,21,22,23,24,25,26,27,28,29,30}-1)*LEN(Registro!$E946)+1,LEN(Registro!$E946))),FIND("x",TRIM(MID(SUBSTITUTE(SUBSTITUTE(SUBSTITUTE(SUBSTITUTE(SUBSTITUTE(LOWER(Registro!$E946),"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",LEN(Registro!$E946))),({1,2,3,4,5,6,7,8,9,10,11,12,13,14,15,16,17,18,19,20,21,22,23,24,25,26,27,28,29,30}-1)*LEN(Registro!$E946)+1,LEN(Registro!$E946)))&amp;"x")-1)),--("0"&amp;MID(TRIM(MID(SUBSTITUTE(SUBSTITUTE(SUBSTITUTE(SUBSTITUTE(SUBSTITUTE(LOWER(Registro!$E946),"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",LEN(Registro!$E946))),({1,2,3,4,5,6,7,8,9,10,11,12,13,14,15,16,17,18,19,20,21,22,23,24,25,26,27,28,29,30}-1)*LEN(Registro!$E946)+1,LEN(Registro!$E946))),FIND("x",TRIM(MID(SUBSTITUTE(SUBSTITUTE(SUBSTITUTE(SUBSTITUTE(SUBSTITUTE(LOWER(Registro!$E946),"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",LEN(Registro!$E946))),({1,2,3,4,5,6,7,8,9,10,11,12,13,14,15,16,17,18,19,20,21,22,23,24,25,26,27,28,29,30}-1)*LEN(Registro!$E946)+1,LEN(Registro!$E946)))&amp;"x")+1,20))),"Revisar formato")))</f>
        <v/>
      </c>
      <c r="F946" s="23" t="str">
        <f>IF(Registro!$F946="","",IF(ISERROR(FIND("x",LOWER(Registro!$F946))),"-",IFERROR(SUMPRODUCT(--("0"&amp;LEFT(TRIM(MID(SUBSTITUTE(SUBSTITUTE(SUBSTITUTE(SUBSTITUTE(SUBSTITUTE(LOWER(Registro!$F946)," ",""),CHAR(10),"|"),";","|"),"+","|"),"|",REPT(" ",LEN(Registro!$F946))),({1,2,3,4,5,6,7,8,9,10,11,12,13,14,15,16,17,18,19,20,21,22,23,24,25,26,27,28,29,30}-1)*LEN(Registro!$F946)+1,LEN(Registro!$F946))),FIND("x",TRIM(MID(SUBSTITUTE(SUBSTITUTE(SUBSTITUTE(SUBSTITUTE(SUBSTITUTE(LOWER(Registro!$F946)," ",""),CHAR(10),"|"),";","|"),"+","|"),"|",REPT(" ",LEN(Registro!$F946))),({1,2,3,4,5,6,7,8,9,10,11,12,13,14,15,16,17,18,19,20,21,22,23,24,25,26,27,28,29,30}-1)*LEN(Registro!$F946)+1,LEN(Registro!$F946)))&amp;"x")-1))),"Revisar formato")))</f>
        <v/>
      </c>
      <c r="G946" s="24" t="str">
        <f>IF(Registro!$F946="","",IF(ISERROR(FIND("x",LOWER(Registro!$F946))),N(Registro!$G946),IFERROR(SUMPRODUCT(--("0"&amp;LEFT(TRIM(MID(SUBSTITUTE(SUBSTITUTE(SUBSTITUTE(SUBSTITUTE(SUBSTITUTE(LOWER(Registro!$F946)," ",""),CHAR(10),"|"),";","|"),"+","|"),"|",REPT(" ",LEN(Registro!$F946))),({1,2,3,4,5,6,7,8,9,10,11,12,13,14,15,16,17,18,19,20,21,22,23,24,25,26,27,28,29,30}-1)*LEN(Registro!$F946)+1,LEN(Registro!$F946))),FIND("x",TRIM(MID(SUBSTITUTE(SUBSTITUTE(SUBSTITUTE(SUBSTITUTE(SUBSTITUTE(LOWER(Registro!$F946)," ",""),CHAR(10),"|"),";","|"),"+","|"),"|",REPT(" ",LEN(Registro!$F946))),({1,2,3,4,5,6,7,8,9,10,11,12,13,14,15,16,17,18,19,20,21,22,23,24,25,26,27,28,29,30}-1)*LEN(Registro!$F946)+1,LEN(Registro!$F946)))&amp;"x")-1)),--("0"&amp;MID(TRIM(MID(SUBSTITUTE(SUBSTITUTE(SUBSTITUTE(SUBSTITUTE(SUBSTITUTE(LOWER(Registro!$F946)," ",""),CHAR(10),"|"),";","|"),"+","|"),"|",REPT(" ",LEN(Registro!$F946))),({1,2,3,4,5,6,7,8,9,10,11,12,13,14,15,16,17,18,19,20,21,22,23,24,25,26,27,28,29,30}-1)*LEN(Registro!$F946)+1,LEN(Registro!$F946))),FIND("x",TRIM(MID(SUBSTITUTE(SUBSTITUTE(SUBSTITUTE(SUBSTITUTE(SUBSTITUTE(LOWER(Registro!$F946)," ",""),CHAR(10),"|"),";","|"),"+","|"),"|",REPT(" ",LEN(Registro!$F946))),({1,2,3,4,5,6,7,8,9,10,11,12,13,14,15,16,17,18,19,20,21,22,23,24,25,26,27,28,29,30}-1)*LEN(Registro!$F946)+1,LEN(Registro!$F946)))&amp;"x")+1,20))),"Revisar formato")))</f>
        <v/>
      </c>
      <c r="H946" s="21" t="str">
        <f>IF(AND(Registro!$E946="",Registro!$F946=""),"",IF(NOT(AND(ISNUMBER(G946),ISNUMBER(Registro!$G946))),"",IF(G946&lt;Registro!$G946,"FALTA BOLETOS",IF(G946=Registro!$G946,"CONFORME","DIFERENCIA"))))</f>
        <v/>
      </c>
      <c r="I946" s="24" t="str">
        <f>IF(Registro!$H946="","",IFERROR(SUMPRODUCT(--("0"&amp;TRIM(RIGHT(SUBSTITUTE(TRIM(MID(SUBSTITUTE(SUBSTITUTE(Registro!$H946,";",CHAR(10)),CHAR(10),REPT(" ",LEN(Registro!$H946))),({1,2,3,4,5,6,7,8,9,10,11,12,13,14,15,16,17,18,19,20,21,22,23,24,25,26,27,28,29,30}-1)*LEN(Registro!$H946)+1,LEN(Registro!$H946)))," ",REPT(" ",50)),50)))),"Revisar formato"))</f>
        <v/>
      </c>
      <c r="J946" s="24" t="str">
        <f>IF(Registro!$I946="","",IFERROR(SUMPRODUCT(--("0"&amp;TRIM(RIGHT(SUBSTITUTE(TRIM(MID(SUBSTITUTE(SUBSTITUTE(Registro!$I946,";",CHAR(10)),CHAR(10),REPT(" ",LEN(Registro!$I946))),({1,2,3,4,5,6,7,8,9,10,11,12,13,14,15,16,17,18,19,20,21,22,23,24,25,26,27,28,29,30}-1)*LEN(Registro!$I946)+1,LEN(Registro!$I946)))," ",REPT(" ",50)),50)))),"Revisar formato"))</f>
        <v/>
      </c>
      <c r="K946" s="24" t="str">
        <f>IF(AND(Registro!$G946="",Registro!$H946=""),"",IF(AND(ISTEXT(I946),I946&lt;&gt;""),"Revisar formato",N(Registro!$G946)-N(I946)))</f>
        <v/>
      </c>
      <c r="L946" s="24" t="str">
        <f t="shared" si="29"/>
        <v/>
      </c>
      <c r="M946" s="36" t="str">
        <f>IF(AND(A946=Consulta!$B$3,C946=Consulta!$H$3),B946*10000+ROW(),"")</f>
        <v/>
      </c>
    </row>
    <row r="947" spans="1:13" x14ac:dyDescent="0.25">
      <c r="A947" s="21" t="str">
        <f>IF(Registro!$A947="","",Registro!$A947)</f>
        <v/>
      </c>
      <c r="B947" s="20" t="str">
        <f>IF(Registro!$B947="","",Registro!$B947)</f>
        <v/>
      </c>
      <c r="C947" s="35" t="str">
        <f t="shared" si="28"/>
        <v/>
      </c>
      <c r="D947" s="23" t="str">
        <f>IF(Registro!$E947="","",IF(ISERROR(FIND("x",LOWER(Registro!$E947))),"-",IFERROR(SUMPRODUCT(--("0"&amp;LEFT(TRIM(MID(SUBSTITUTE(SUBSTITUTE(SUBSTITUTE(SUBSTITUTE(SUBSTITUTE(LOWER(Registro!$E947),"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",LEN(Registro!$E947))),({1,2,3,4,5,6,7,8,9,10,11,12,13,14,15,16,17,18,19,20,21,22,23,24,25,26,27,28,29,30}-1)*LEN(Registro!$E947)+1,LEN(Registro!$E947))),FIND("x",TRIM(MID(SUBSTITUTE(SUBSTITUTE(SUBSTITUTE(SUBSTITUTE(SUBSTITUTE(LOWER(Registro!$E947),"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",LEN(Registro!$E947))),({1,2,3,4,5,6,7,8,9,10,11,12,13,14,15,16,17,18,19,20,21,22,23,24,25,26,27,28,29,30}-1)*LEN(Registro!$E947)+1,LEN(Registro!$E947)))&amp;"x")-1))),"Revisar formato")))</f>
        <v/>
      </c>
      <c r="E947" s="24" t="str">
        <f>IF(Registro!$E947="","",IF(ISERROR(FIND("x",LOWER(Registro!$E947))),"-",IFERROR(SUMPRODUCT(--("0"&amp;LEFT(TRIM(MID(SUBSTITUTE(SUBSTITUTE(SUBSTITUTE(SUBSTITUTE(SUBSTITUTE(LOWER(Registro!$E947),"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",LEN(Registro!$E947))),({1,2,3,4,5,6,7,8,9,10,11,12,13,14,15,16,17,18,19,20,21,22,23,24,25,26,27,28,29,30}-1)*LEN(Registro!$E947)+1,LEN(Registro!$E947))),FIND("x",TRIM(MID(SUBSTITUTE(SUBSTITUTE(SUBSTITUTE(SUBSTITUTE(SUBSTITUTE(LOWER(Registro!$E947),"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",LEN(Registro!$E947))),({1,2,3,4,5,6,7,8,9,10,11,12,13,14,15,16,17,18,19,20,21,22,23,24,25,26,27,28,29,30}-1)*LEN(Registro!$E947)+1,LEN(Registro!$E947)))&amp;"x")-1)),--("0"&amp;MID(TRIM(MID(SUBSTITUTE(SUBSTITUTE(SUBSTITUTE(SUBSTITUTE(SUBSTITUTE(LOWER(Registro!$E947),"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",LEN(Registro!$E947))),({1,2,3,4,5,6,7,8,9,10,11,12,13,14,15,16,17,18,19,20,21,22,23,24,25,26,27,28,29,30}-1)*LEN(Registro!$E947)+1,LEN(Registro!$E947))),FIND("x",TRIM(MID(SUBSTITUTE(SUBSTITUTE(SUBSTITUTE(SUBSTITUTE(SUBSTITUTE(LOWER(Registro!$E947),"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",LEN(Registro!$E947))),({1,2,3,4,5,6,7,8,9,10,11,12,13,14,15,16,17,18,19,20,21,22,23,24,25,26,27,28,29,30}-1)*LEN(Registro!$E947)+1,LEN(Registro!$E947)))&amp;"x")+1,20))),"Revisar formato")))</f>
        <v/>
      </c>
      <c r="F947" s="23" t="str">
        <f>IF(Registro!$F947="","",IF(ISERROR(FIND("x",LOWER(Registro!$F947))),"-",IFERROR(SUMPRODUCT(--("0"&amp;LEFT(TRIM(MID(SUBSTITUTE(SUBSTITUTE(SUBSTITUTE(SUBSTITUTE(SUBSTITUTE(LOWER(Registro!$F947)," ",""),CHAR(10),"|"),";","|"),"+","|"),"|",REPT(" ",LEN(Registro!$F947))),({1,2,3,4,5,6,7,8,9,10,11,12,13,14,15,16,17,18,19,20,21,22,23,24,25,26,27,28,29,30}-1)*LEN(Registro!$F947)+1,LEN(Registro!$F947))),FIND("x",TRIM(MID(SUBSTITUTE(SUBSTITUTE(SUBSTITUTE(SUBSTITUTE(SUBSTITUTE(LOWER(Registro!$F947)," ",""),CHAR(10),"|"),";","|"),"+","|"),"|",REPT(" ",LEN(Registro!$F947))),({1,2,3,4,5,6,7,8,9,10,11,12,13,14,15,16,17,18,19,20,21,22,23,24,25,26,27,28,29,30}-1)*LEN(Registro!$F947)+1,LEN(Registro!$F947)))&amp;"x")-1))),"Revisar formato")))</f>
        <v/>
      </c>
      <c r="G947" s="24" t="str">
        <f>IF(Registro!$F947="","",IF(ISERROR(FIND("x",LOWER(Registro!$F947))),N(Registro!$G947),IFERROR(SUMPRODUCT(--("0"&amp;LEFT(TRIM(MID(SUBSTITUTE(SUBSTITUTE(SUBSTITUTE(SUBSTITUTE(SUBSTITUTE(LOWER(Registro!$F947)," ",""),CHAR(10),"|"),";","|"),"+","|"),"|",REPT(" ",LEN(Registro!$F947))),({1,2,3,4,5,6,7,8,9,10,11,12,13,14,15,16,17,18,19,20,21,22,23,24,25,26,27,28,29,30}-1)*LEN(Registro!$F947)+1,LEN(Registro!$F947))),FIND("x",TRIM(MID(SUBSTITUTE(SUBSTITUTE(SUBSTITUTE(SUBSTITUTE(SUBSTITUTE(LOWER(Registro!$F947)," ",""),CHAR(10),"|"),";","|"),"+","|"),"|",REPT(" ",LEN(Registro!$F947))),({1,2,3,4,5,6,7,8,9,10,11,12,13,14,15,16,17,18,19,20,21,22,23,24,25,26,27,28,29,30}-1)*LEN(Registro!$F947)+1,LEN(Registro!$F947)))&amp;"x")-1)),--("0"&amp;MID(TRIM(MID(SUBSTITUTE(SUBSTITUTE(SUBSTITUTE(SUBSTITUTE(SUBSTITUTE(LOWER(Registro!$F947)," ",""),CHAR(10),"|"),";","|"),"+","|"),"|",REPT(" ",LEN(Registro!$F947))),({1,2,3,4,5,6,7,8,9,10,11,12,13,14,15,16,17,18,19,20,21,22,23,24,25,26,27,28,29,30}-1)*LEN(Registro!$F947)+1,LEN(Registro!$F947))),FIND("x",TRIM(MID(SUBSTITUTE(SUBSTITUTE(SUBSTITUTE(SUBSTITUTE(SUBSTITUTE(LOWER(Registro!$F947)," ",""),CHAR(10),"|"),";","|"),"+","|"),"|",REPT(" ",LEN(Registro!$F947))),({1,2,3,4,5,6,7,8,9,10,11,12,13,14,15,16,17,18,19,20,21,22,23,24,25,26,27,28,29,30}-1)*LEN(Registro!$F947)+1,LEN(Registro!$F947)))&amp;"x")+1,20))),"Revisar formato")))</f>
        <v/>
      </c>
      <c r="H947" s="21" t="str">
        <f>IF(AND(Registro!$E947="",Registro!$F947=""),"",IF(NOT(AND(ISNUMBER(G947),ISNUMBER(Registro!$G947))),"",IF(G947&lt;Registro!$G947,"FALTA BOLETOS",IF(G947=Registro!$G947,"CONFORME","DIFERENCIA"))))</f>
        <v/>
      </c>
      <c r="I947" s="24" t="str">
        <f>IF(Registro!$H947="","",IFERROR(SUMPRODUCT(--("0"&amp;TRIM(RIGHT(SUBSTITUTE(TRIM(MID(SUBSTITUTE(SUBSTITUTE(Registro!$H947,";",CHAR(10)),CHAR(10),REPT(" ",LEN(Registro!$H947))),({1,2,3,4,5,6,7,8,9,10,11,12,13,14,15,16,17,18,19,20,21,22,23,24,25,26,27,28,29,30}-1)*LEN(Registro!$H947)+1,LEN(Registro!$H947)))," ",REPT(" ",50)),50)))),"Revisar formato"))</f>
        <v/>
      </c>
      <c r="J947" s="24" t="str">
        <f>IF(Registro!$I947="","",IFERROR(SUMPRODUCT(--("0"&amp;TRIM(RIGHT(SUBSTITUTE(TRIM(MID(SUBSTITUTE(SUBSTITUTE(Registro!$I947,";",CHAR(10)),CHAR(10),REPT(" ",LEN(Registro!$I947))),({1,2,3,4,5,6,7,8,9,10,11,12,13,14,15,16,17,18,19,20,21,22,23,24,25,26,27,28,29,30}-1)*LEN(Registro!$I947)+1,LEN(Registro!$I947)))," ",REPT(" ",50)),50)))),"Revisar formato"))</f>
        <v/>
      </c>
      <c r="K947" s="24" t="str">
        <f>IF(AND(Registro!$G947="",Registro!$H947=""),"",IF(AND(ISTEXT(I947),I947&lt;&gt;""),"Revisar formato",N(Registro!$G947)-N(I947)))</f>
        <v/>
      </c>
      <c r="L947" s="24" t="str">
        <f t="shared" si="29"/>
        <v/>
      </c>
      <c r="M947" s="36" t="str">
        <f>IF(AND(A947=Consulta!$B$3,C947=Consulta!$H$3),B947*10000+ROW(),"")</f>
        <v/>
      </c>
    </row>
    <row r="948" spans="1:13" x14ac:dyDescent="0.25">
      <c r="A948" s="21" t="str">
        <f>IF(Registro!$A948="","",Registro!$A948)</f>
        <v/>
      </c>
      <c r="B948" s="20" t="str">
        <f>IF(Registro!$B948="","",Registro!$B948)</f>
        <v/>
      </c>
      <c r="C948" s="35" t="str">
        <f t="shared" si="28"/>
        <v/>
      </c>
      <c r="D948" s="23" t="str">
        <f>IF(Registro!$E948="","",IF(ISERROR(FIND("x",LOWER(Registro!$E948))),"-",IFERROR(SUMPRODUCT(--("0"&amp;LEFT(TRIM(MID(SUBSTITUTE(SUBSTITUTE(SUBSTITUTE(SUBSTITUTE(SUBSTITUTE(LOWER(Registro!$E948),"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",LEN(Registro!$E948))),({1,2,3,4,5,6,7,8,9,10,11,12,13,14,15,16,17,18,19,20,21,22,23,24,25,26,27,28,29,30}-1)*LEN(Registro!$E948)+1,LEN(Registro!$E948))),FIND("x",TRIM(MID(SUBSTITUTE(SUBSTITUTE(SUBSTITUTE(SUBSTITUTE(SUBSTITUTE(LOWER(Registro!$E948),"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",LEN(Registro!$E948))),({1,2,3,4,5,6,7,8,9,10,11,12,13,14,15,16,17,18,19,20,21,22,23,24,25,26,27,28,29,30}-1)*LEN(Registro!$E948)+1,LEN(Registro!$E948)))&amp;"x")-1))),"Revisar formato")))</f>
        <v/>
      </c>
      <c r="E948" s="24" t="str">
        <f>IF(Registro!$E948="","",IF(ISERROR(FIND("x",LOWER(Registro!$E948))),"-",IFERROR(SUMPRODUCT(--("0"&amp;LEFT(TRIM(MID(SUBSTITUTE(SUBSTITUTE(SUBSTITUTE(SUBSTITUTE(SUBSTITUTE(LOWER(Registro!$E948),"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",LEN(Registro!$E948))),({1,2,3,4,5,6,7,8,9,10,11,12,13,14,15,16,17,18,19,20,21,22,23,24,25,26,27,28,29,30}-1)*LEN(Registro!$E948)+1,LEN(Registro!$E948))),FIND("x",TRIM(MID(SUBSTITUTE(SUBSTITUTE(SUBSTITUTE(SUBSTITUTE(SUBSTITUTE(LOWER(Registro!$E948),"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",LEN(Registro!$E948))),({1,2,3,4,5,6,7,8,9,10,11,12,13,14,15,16,17,18,19,20,21,22,23,24,25,26,27,28,29,30}-1)*LEN(Registro!$E948)+1,LEN(Registro!$E948)))&amp;"x")-1)),--("0"&amp;MID(TRIM(MID(SUBSTITUTE(SUBSTITUTE(SUBSTITUTE(SUBSTITUTE(SUBSTITUTE(LOWER(Registro!$E948),"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",LEN(Registro!$E948))),({1,2,3,4,5,6,7,8,9,10,11,12,13,14,15,16,17,18,19,20,21,22,23,24,25,26,27,28,29,30}-1)*LEN(Registro!$E948)+1,LEN(Registro!$E948))),FIND("x",TRIM(MID(SUBSTITUTE(SUBSTITUTE(SUBSTITUTE(SUBSTITUTE(SUBSTITUTE(LOWER(Registro!$E948),"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",LEN(Registro!$E948))),({1,2,3,4,5,6,7,8,9,10,11,12,13,14,15,16,17,18,19,20,21,22,23,24,25,26,27,28,29,30}-1)*LEN(Registro!$E948)+1,LEN(Registro!$E948)))&amp;"x")+1,20))),"Revisar formato")))</f>
        <v/>
      </c>
      <c r="F948" s="23" t="str">
        <f>IF(Registro!$F948="","",IF(ISERROR(FIND("x",LOWER(Registro!$F948))),"-",IFERROR(SUMPRODUCT(--("0"&amp;LEFT(TRIM(MID(SUBSTITUTE(SUBSTITUTE(SUBSTITUTE(SUBSTITUTE(SUBSTITUTE(LOWER(Registro!$F948)," ",""),CHAR(10),"|"),";","|"),"+","|"),"|",REPT(" ",LEN(Registro!$F948))),({1,2,3,4,5,6,7,8,9,10,11,12,13,14,15,16,17,18,19,20,21,22,23,24,25,26,27,28,29,30}-1)*LEN(Registro!$F948)+1,LEN(Registro!$F948))),FIND("x",TRIM(MID(SUBSTITUTE(SUBSTITUTE(SUBSTITUTE(SUBSTITUTE(SUBSTITUTE(LOWER(Registro!$F948)," ",""),CHAR(10),"|"),";","|"),"+","|"),"|",REPT(" ",LEN(Registro!$F948))),({1,2,3,4,5,6,7,8,9,10,11,12,13,14,15,16,17,18,19,20,21,22,23,24,25,26,27,28,29,30}-1)*LEN(Registro!$F948)+1,LEN(Registro!$F948)))&amp;"x")-1))),"Revisar formato")))</f>
        <v/>
      </c>
      <c r="G948" s="24" t="str">
        <f>IF(Registro!$F948="","",IF(ISERROR(FIND("x",LOWER(Registro!$F948))),N(Registro!$G948),IFERROR(SUMPRODUCT(--("0"&amp;LEFT(TRIM(MID(SUBSTITUTE(SUBSTITUTE(SUBSTITUTE(SUBSTITUTE(SUBSTITUTE(LOWER(Registro!$F948)," ",""),CHAR(10),"|"),";","|"),"+","|"),"|",REPT(" ",LEN(Registro!$F948))),({1,2,3,4,5,6,7,8,9,10,11,12,13,14,15,16,17,18,19,20,21,22,23,24,25,26,27,28,29,30}-1)*LEN(Registro!$F948)+1,LEN(Registro!$F948))),FIND("x",TRIM(MID(SUBSTITUTE(SUBSTITUTE(SUBSTITUTE(SUBSTITUTE(SUBSTITUTE(LOWER(Registro!$F948)," ",""),CHAR(10),"|"),";","|"),"+","|"),"|",REPT(" ",LEN(Registro!$F948))),({1,2,3,4,5,6,7,8,9,10,11,12,13,14,15,16,17,18,19,20,21,22,23,24,25,26,27,28,29,30}-1)*LEN(Registro!$F948)+1,LEN(Registro!$F948)))&amp;"x")-1)),--("0"&amp;MID(TRIM(MID(SUBSTITUTE(SUBSTITUTE(SUBSTITUTE(SUBSTITUTE(SUBSTITUTE(LOWER(Registro!$F948)," ",""),CHAR(10),"|"),";","|"),"+","|"),"|",REPT(" ",LEN(Registro!$F948))),({1,2,3,4,5,6,7,8,9,10,11,12,13,14,15,16,17,18,19,20,21,22,23,24,25,26,27,28,29,30}-1)*LEN(Registro!$F948)+1,LEN(Registro!$F948))),FIND("x",TRIM(MID(SUBSTITUTE(SUBSTITUTE(SUBSTITUTE(SUBSTITUTE(SUBSTITUTE(LOWER(Registro!$F948)," ",""),CHAR(10),"|"),";","|"),"+","|"),"|",REPT(" ",LEN(Registro!$F948))),({1,2,3,4,5,6,7,8,9,10,11,12,13,14,15,16,17,18,19,20,21,22,23,24,25,26,27,28,29,30}-1)*LEN(Registro!$F948)+1,LEN(Registro!$F948)))&amp;"x")+1,20))),"Revisar formato")))</f>
        <v/>
      </c>
      <c r="H948" s="21" t="str">
        <f>IF(AND(Registro!$E948="",Registro!$F948=""),"",IF(NOT(AND(ISNUMBER(G948),ISNUMBER(Registro!$G948))),"",IF(G948&lt;Registro!$G948,"FALTA BOLETOS",IF(G948=Registro!$G948,"CONFORME","DIFERENCIA"))))</f>
        <v/>
      </c>
      <c r="I948" s="24" t="str">
        <f>IF(Registro!$H948="","",IFERROR(SUMPRODUCT(--("0"&amp;TRIM(RIGHT(SUBSTITUTE(TRIM(MID(SUBSTITUTE(SUBSTITUTE(Registro!$H948,";",CHAR(10)),CHAR(10),REPT(" ",LEN(Registro!$H948))),({1,2,3,4,5,6,7,8,9,10,11,12,13,14,15,16,17,18,19,20,21,22,23,24,25,26,27,28,29,30}-1)*LEN(Registro!$H948)+1,LEN(Registro!$H948)))," ",REPT(" ",50)),50)))),"Revisar formato"))</f>
        <v/>
      </c>
      <c r="J948" s="24" t="str">
        <f>IF(Registro!$I948="","",IFERROR(SUMPRODUCT(--("0"&amp;TRIM(RIGHT(SUBSTITUTE(TRIM(MID(SUBSTITUTE(SUBSTITUTE(Registro!$I948,";",CHAR(10)),CHAR(10),REPT(" ",LEN(Registro!$I948))),({1,2,3,4,5,6,7,8,9,10,11,12,13,14,15,16,17,18,19,20,21,22,23,24,25,26,27,28,29,30}-1)*LEN(Registro!$I948)+1,LEN(Registro!$I948)))," ",REPT(" ",50)),50)))),"Revisar formato"))</f>
        <v/>
      </c>
      <c r="K948" s="24" t="str">
        <f>IF(AND(Registro!$G948="",Registro!$H948=""),"",IF(AND(ISTEXT(I948),I948&lt;&gt;""),"Revisar formato",N(Registro!$G948)-N(I948)))</f>
        <v/>
      </c>
      <c r="L948" s="24" t="str">
        <f t="shared" si="29"/>
        <v/>
      </c>
      <c r="M948" s="36" t="str">
        <f>IF(AND(A948=Consulta!$B$3,C948=Consulta!$H$3),B948*10000+ROW(),"")</f>
        <v/>
      </c>
    </row>
    <row r="949" spans="1:13" x14ac:dyDescent="0.25">
      <c r="A949" s="21" t="str">
        <f>IF(Registro!$A949="","",Registro!$A949)</f>
        <v/>
      </c>
      <c r="B949" s="20" t="str">
        <f>IF(Registro!$B949="","",Registro!$B949)</f>
        <v/>
      </c>
      <c r="C949" s="35" t="str">
        <f t="shared" si="28"/>
        <v/>
      </c>
      <c r="D949" s="23" t="str">
        <f>IF(Registro!$E949="","",IF(ISERROR(FIND("x",LOWER(Registro!$E949))),"-",IFERROR(SUMPRODUCT(--("0"&amp;LEFT(TRIM(MID(SUBSTITUTE(SUBSTITUTE(SUBSTITUTE(SUBSTITUTE(SUBSTITUTE(LOWER(Registro!$E949),"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",LEN(Registro!$E949))),({1,2,3,4,5,6,7,8,9,10,11,12,13,14,15,16,17,18,19,20,21,22,23,24,25,26,27,28,29,30}-1)*LEN(Registro!$E949)+1,LEN(Registro!$E949))),FIND("x",TRIM(MID(SUBSTITUTE(SUBSTITUTE(SUBSTITUTE(SUBSTITUTE(SUBSTITUTE(LOWER(Registro!$E949),"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",LEN(Registro!$E949))),({1,2,3,4,5,6,7,8,9,10,11,12,13,14,15,16,17,18,19,20,21,22,23,24,25,26,27,28,29,30}-1)*LEN(Registro!$E949)+1,LEN(Registro!$E949)))&amp;"x")-1))),"Revisar formato")))</f>
        <v/>
      </c>
      <c r="E949" s="24" t="str">
        <f>IF(Registro!$E949="","",IF(ISERROR(FIND("x",LOWER(Registro!$E949))),"-",IFERROR(SUMPRODUCT(--("0"&amp;LEFT(TRIM(MID(SUBSTITUTE(SUBSTITUTE(SUBSTITUTE(SUBSTITUTE(SUBSTITUTE(LOWER(Registro!$E949),"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",LEN(Registro!$E949))),({1,2,3,4,5,6,7,8,9,10,11,12,13,14,15,16,17,18,19,20,21,22,23,24,25,26,27,28,29,30}-1)*LEN(Registro!$E949)+1,LEN(Registro!$E949))),FIND("x",TRIM(MID(SUBSTITUTE(SUBSTITUTE(SUBSTITUTE(SUBSTITUTE(SUBSTITUTE(LOWER(Registro!$E949),"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",LEN(Registro!$E949))),({1,2,3,4,5,6,7,8,9,10,11,12,13,14,15,16,17,18,19,20,21,22,23,24,25,26,27,28,29,30}-1)*LEN(Registro!$E949)+1,LEN(Registro!$E949)))&amp;"x")-1)),--("0"&amp;MID(TRIM(MID(SUBSTITUTE(SUBSTITUTE(SUBSTITUTE(SUBSTITUTE(SUBSTITUTE(LOWER(Registro!$E949),"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",LEN(Registro!$E949))),({1,2,3,4,5,6,7,8,9,10,11,12,13,14,15,16,17,18,19,20,21,22,23,24,25,26,27,28,29,30}-1)*LEN(Registro!$E949)+1,LEN(Registro!$E949))),FIND("x",TRIM(MID(SUBSTITUTE(SUBSTITUTE(SUBSTITUTE(SUBSTITUTE(SUBSTITUTE(LOWER(Registro!$E949),"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",LEN(Registro!$E949))),({1,2,3,4,5,6,7,8,9,10,11,12,13,14,15,16,17,18,19,20,21,22,23,24,25,26,27,28,29,30}-1)*LEN(Registro!$E949)+1,LEN(Registro!$E949)))&amp;"x")+1,20))),"Revisar formato")))</f>
        <v/>
      </c>
      <c r="F949" s="23" t="str">
        <f>IF(Registro!$F949="","",IF(ISERROR(FIND("x",LOWER(Registro!$F949))),"-",IFERROR(SUMPRODUCT(--("0"&amp;LEFT(TRIM(MID(SUBSTITUTE(SUBSTITUTE(SUBSTITUTE(SUBSTITUTE(SUBSTITUTE(LOWER(Registro!$F949)," ",""),CHAR(10),"|"),";","|"),"+","|"),"|",REPT(" ",LEN(Registro!$F949))),({1,2,3,4,5,6,7,8,9,10,11,12,13,14,15,16,17,18,19,20,21,22,23,24,25,26,27,28,29,30}-1)*LEN(Registro!$F949)+1,LEN(Registro!$F949))),FIND("x",TRIM(MID(SUBSTITUTE(SUBSTITUTE(SUBSTITUTE(SUBSTITUTE(SUBSTITUTE(LOWER(Registro!$F949)," ",""),CHAR(10),"|"),";","|"),"+","|"),"|",REPT(" ",LEN(Registro!$F949))),({1,2,3,4,5,6,7,8,9,10,11,12,13,14,15,16,17,18,19,20,21,22,23,24,25,26,27,28,29,30}-1)*LEN(Registro!$F949)+1,LEN(Registro!$F949)))&amp;"x")-1))),"Revisar formato")))</f>
        <v/>
      </c>
      <c r="G949" s="24" t="str">
        <f>IF(Registro!$F949="","",IF(ISERROR(FIND("x",LOWER(Registro!$F949))),N(Registro!$G949),IFERROR(SUMPRODUCT(--("0"&amp;LEFT(TRIM(MID(SUBSTITUTE(SUBSTITUTE(SUBSTITUTE(SUBSTITUTE(SUBSTITUTE(LOWER(Registro!$F949)," ",""),CHAR(10),"|"),";","|"),"+","|"),"|",REPT(" ",LEN(Registro!$F949))),({1,2,3,4,5,6,7,8,9,10,11,12,13,14,15,16,17,18,19,20,21,22,23,24,25,26,27,28,29,30}-1)*LEN(Registro!$F949)+1,LEN(Registro!$F949))),FIND("x",TRIM(MID(SUBSTITUTE(SUBSTITUTE(SUBSTITUTE(SUBSTITUTE(SUBSTITUTE(LOWER(Registro!$F949)," ",""),CHAR(10),"|"),";","|"),"+","|"),"|",REPT(" ",LEN(Registro!$F949))),({1,2,3,4,5,6,7,8,9,10,11,12,13,14,15,16,17,18,19,20,21,22,23,24,25,26,27,28,29,30}-1)*LEN(Registro!$F949)+1,LEN(Registro!$F949)))&amp;"x")-1)),--("0"&amp;MID(TRIM(MID(SUBSTITUTE(SUBSTITUTE(SUBSTITUTE(SUBSTITUTE(SUBSTITUTE(LOWER(Registro!$F949)," ",""),CHAR(10),"|"),";","|"),"+","|"),"|",REPT(" ",LEN(Registro!$F949))),({1,2,3,4,5,6,7,8,9,10,11,12,13,14,15,16,17,18,19,20,21,22,23,24,25,26,27,28,29,30}-1)*LEN(Registro!$F949)+1,LEN(Registro!$F949))),FIND("x",TRIM(MID(SUBSTITUTE(SUBSTITUTE(SUBSTITUTE(SUBSTITUTE(SUBSTITUTE(LOWER(Registro!$F949)," ",""),CHAR(10),"|"),";","|"),"+","|"),"|",REPT(" ",LEN(Registro!$F949))),({1,2,3,4,5,6,7,8,9,10,11,12,13,14,15,16,17,18,19,20,21,22,23,24,25,26,27,28,29,30}-1)*LEN(Registro!$F949)+1,LEN(Registro!$F949)))&amp;"x")+1,20))),"Revisar formato")))</f>
        <v/>
      </c>
      <c r="H949" s="21" t="str">
        <f>IF(AND(Registro!$E949="",Registro!$F949=""),"",IF(NOT(AND(ISNUMBER(G949),ISNUMBER(Registro!$G949))),"",IF(G949&lt;Registro!$G949,"FALTA BOLETOS",IF(G949=Registro!$G949,"CONFORME","DIFERENCIA"))))</f>
        <v/>
      </c>
      <c r="I949" s="24" t="str">
        <f>IF(Registro!$H949="","",IFERROR(SUMPRODUCT(--("0"&amp;TRIM(RIGHT(SUBSTITUTE(TRIM(MID(SUBSTITUTE(SUBSTITUTE(Registro!$H949,";",CHAR(10)),CHAR(10),REPT(" ",LEN(Registro!$H949))),({1,2,3,4,5,6,7,8,9,10,11,12,13,14,15,16,17,18,19,20,21,22,23,24,25,26,27,28,29,30}-1)*LEN(Registro!$H949)+1,LEN(Registro!$H949)))," ",REPT(" ",50)),50)))),"Revisar formato"))</f>
        <v/>
      </c>
      <c r="J949" s="24" t="str">
        <f>IF(Registro!$I949="","",IFERROR(SUMPRODUCT(--("0"&amp;TRIM(RIGHT(SUBSTITUTE(TRIM(MID(SUBSTITUTE(SUBSTITUTE(Registro!$I949,";",CHAR(10)),CHAR(10),REPT(" ",LEN(Registro!$I949))),({1,2,3,4,5,6,7,8,9,10,11,12,13,14,15,16,17,18,19,20,21,22,23,24,25,26,27,28,29,30}-1)*LEN(Registro!$I949)+1,LEN(Registro!$I949)))," ",REPT(" ",50)),50)))),"Revisar formato"))</f>
        <v/>
      </c>
      <c r="K949" s="24" t="str">
        <f>IF(AND(Registro!$G949="",Registro!$H949=""),"",IF(AND(ISTEXT(I949),I949&lt;&gt;""),"Revisar formato",N(Registro!$G949)-N(I949)))</f>
        <v/>
      </c>
      <c r="L949" s="24" t="str">
        <f t="shared" si="29"/>
        <v/>
      </c>
      <c r="M949" s="36" t="str">
        <f>IF(AND(A949=Consulta!$B$3,C949=Consulta!$H$3),B949*10000+ROW(),"")</f>
        <v/>
      </c>
    </row>
    <row r="950" spans="1:13" x14ac:dyDescent="0.25">
      <c r="A950" s="21" t="str">
        <f>IF(Registro!$A950="","",Registro!$A950)</f>
        <v/>
      </c>
      <c r="B950" s="20" t="str">
        <f>IF(Registro!$B950="","",Registro!$B950)</f>
        <v/>
      </c>
      <c r="C950" s="35" t="str">
        <f t="shared" si="28"/>
        <v/>
      </c>
      <c r="D950" s="23" t="str">
        <f>IF(Registro!$E950="","",IF(ISERROR(FIND("x",LOWER(Registro!$E950))),"-",IFERROR(SUMPRODUCT(--("0"&amp;LEFT(TRIM(MID(SUBSTITUTE(SUBSTITUTE(SUBSTITUTE(SUBSTITUTE(SUBSTITUTE(LOWER(Registro!$E950),"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",LEN(Registro!$E950))),({1,2,3,4,5,6,7,8,9,10,11,12,13,14,15,16,17,18,19,20,21,22,23,24,25,26,27,28,29,30}-1)*LEN(Registro!$E950)+1,LEN(Registro!$E950))),FIND("x",TRIM(MID(SUBSTITUTE(SUBSTITUTE(SUBSTITUTE(SUBSTITUTE(SUBSTITUTE(LOWER(Registro!$E950),"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",LEN(Registro!$E950))),({1,2,3,4,5,6,7,8,9,10,11,12,13,14,15,16,17,18,19,20,21,22,23,24,25,26,27,28,29,30}-1)*LEN(Registro!$E950)+1,LEN(Registro!$E950)))&amp;"x")-1))),"Revisar formato")))</f>
        <v/>
      </c>
      <c r="E950" s="24" t="str">
        <f>IF(Registro!$E950="","",IF(ISERROR(FIND("x",LOWER(Registro!$E950))),"-",IFERROR(SUMPRODUCT(--("0"&amp;LEFT(TRIM(MID(SUBSTITUTE(SUBSTITUTE(SUBSTITUTE(SUBSTITUTE(SUBSTITUTE(LOWER(Registro!$E950),"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",LEN(Registro!$E950))),({1,2,3,4,5,6,7,8,9,10,11,12,13,14,15,16,17,18,19,20,21,22,23,24,25,26,27,28,29,30}-1)*LEN(Registro!$E950)+1,LEN(Registro!$E950))),FIND("x",TRIM(MID(SUBSTITUTE(SUBSTITUTE(SUBSTITUTE(SUBSTITUTE(SUBSTITUTE(LOWER(Registro!$E950),"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",LEN(Registro!$E950))),({1,2,3,4,5,6,7,8,9,10,11,12,13,14,15,16,17,18,19,20,21,22,23,24,25,26,27,28,29,30}-1)*LEN(Registro!$E950)+1,LEN(Registro!$E950)))&amp;"x")-1)),--("0"&amp;MID(TRIM(MID(SUBSTITUTE(SUBSTITUTE(SUBSTITUTE(SUBSTITUTE(SUBSTITUTE(LOWER(Registro!$E950),"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",LEN(Registro!$E950))),({1,2,3,4,5,6,7,8,9,10,11,12,13,14,15,16,17,18,19,20,21,22,23,24,25,26,27,28,29,30}-1)*LEN(Registro!$E950)+1,LEN(Registro!$E950))),FIND("x",TRIM(MID(SUBSTITUTE(SUBSTITUTE(SUBSTITUTE(SUBSTITUTE(SUBSTITUTE(LOWER(Registro!$E950),"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",LEN(Registro!$E950))),({1,2,3,4,5,6,7,8,9,10,11,12,13,14,15,16,17,18,19,20,21,22,23,24,25,26,27,28,29,30}-1)*LEN(Registro!$E950)+1,LEN(Registro!$E950)))&amp;"x")+1,20))),"Revisar formato")))</f>
        <v/>
      </c>
      <c r="F950" s="23" t="str">
        <f>IF(Registro!$F950="","",IF(ISERROR(FIND("x",LOWER(Registro!$F950))),"-",IFERROR(SUMPRODUCT(--("0"&amp;LEFT(TRIM(MID(SUBSTITUTE(SUBSTITUTE(SUBSTITUTE(SUBSTITUTE(SUBSTITUTE(LOWER(Registro!$F950)," ",""),CHAR(10),"|"),";","|"),"+","|"),"|",REPT(" ",LEN(Registro!$F950))),({1,2,3,4,5,6,7,8,9,10,11,12,13,14,15,16,17,18,19,20,21,22,23,24,25,26,27,28,29,30}-1)*LEN(Registro!$F950)+1,LEN(Registro!$F950))),FIND("x",TRIM(MID(SUBSTITUTE(SUBSTITUTE(SUBSTITUTE(SUBSTITUTE(SUBSTITUTE(LOWER(Registro!$F950)," ",""),CHAR(10),"|"),";","|"),"+","|"),"|",REPT(" ",LEN(Registro!$F950))),({1,2,3,4,5,6,7,8,9,10,11,12,13,14,15,16,17,18,19,20,21,22,23,24,25,26,27,28,29,30}-1)*LEN(Registro!$F950)+1,LEN(Registro!$F950)))&amp;"x")-1))),"Revisar formato")))</f>
        <v/>
      </c>
      <c r="G950" s="24" t="str">
        <f>IF(Registro!$F950="","",IF(ISERROR(FIND("x",LOWER(Registro!$F950))),N(Registro!$G950),IFERROR(SUMPRODUCT(--("0"&amp;LEFT(TRIM(MID(SUBSTITUTE(SUBSTITUTE(SUBSTITUTE(SUBSTITUTE(SUBSTITUTE(LOWER(Registro!$F950)," ",""),CHAR(10),"|"),";","|"),"+","|"),"|",REPT(" ",LEN(Registro!$F950))),({1,2,3,4,5,6,7,8,9,10,11,12,13,14,15,16,17,18,19,20,21,22,23,24,25,26,27,28,29,30}-1)*LEN(Registro!$F950)+1,LEN(Registro!$F950))),FIND("x",TRIM(MID(SUBSTITUTE(SUBSTITUTE(SUBSTITUTE(SUBSTITUTE(SUBSTITUTE(LOWER(Registro!$F950)," ",""),CHAR(10),"|"),";","|"),"+","|"),"|",REPT(" ",LEN(Registro!$F950))),({1,2,3,4,5,6,7,8,9,10,11,12,13,14,15,16,17,18,19,20,21,22,23,24,25,26,27,28,29,30}-1)*LEN(Registro!$F950)+1,LEN(Registro!$F950)))&amp;"x")-1)),--("0"&amp;MID(TRIM(MID(SUBSTITUTE(SUBSTITUTE(SUBSTITUTE(SUBSTITUTE(SUBSTITUTE(LOWER(Registro!$F950)," ",""),CHAR(10),"|"),";","|"),"+","|"),"|",REPT(" ",LEN(Registro!$F950))),({1,2,3,4,5,6,7,8,9,10,11,12,13,14,15,16,17,18,19,20,21,22,23,24,25,26,27,28,29,30}-1)*LEN(Registro!$F950)+1,LEN(Registro!$F950))),FIND("x",TRIM(MID(SUBSTITUTE(SUBSTITUTE(SUBSTITUTE(SUBSTITUTE(SUBSTITUTE(LOWER(Registro!$F950)," ",""),CHAR(10),"|"),";","|"),"+","|"),"|",REPT(" ",LEN(Registro!$F950))),({1,2,3,4,5,6,7,8,9,10,11,12,13,14,15,16,17,18,19,20,21,22,23,24,25,26,27,28,29,30}-1)*LEN(Registro!$F950)+1,LEN(Registro!$F950)))&amp;"x")+1,20))),"Revisar formato")))</f>
        <v/>
      </c>
      <c r="H950" s="21" t="str">
        <f>IF(AND(Registro!$E950="",Registro!$F950=""),"",IF(NOT(AND(ISNUMBER(G950),ISNUMBER(Registro!$G950))),"",IF(G950&lt;Registro!$G950,"FALTA BOLETOS",IF(G950=Registro!$G950,"CONFORME","DIFERENCIA"))))</f>
        <v/>
      </c>
      <c r="I950" s="24" t="str">
        <f>IF(Registro!$H950="","",IFERROR(SUMPRODUCT(--("0"&amp;TRIM(RIGHT(SUBSTITUTE(TRIM(MID(SUBSTITUTE(SUBSTITUTE(Registro!$H950,";",CHAR(10)),CHAR(10),REPT(" ",LEN(Registro!$H950))),({1,2,3,4,5,6,7,8,9,10,11,12,13,14,15,16,17,18,19,20,21,22,23,24,25,26,27,28,29,30}-1)*LEN(Registro!$H950)+1,LEN(Registro!$H950)))," ",REPT(" ",50)),50)))),"Revisar formato"))</f>
        <v/>
      </c>
      <c r="J950" s="24" t="str">
        <f>IF(Registro!$I950="","",IFERROR(SUMPRODUCT(--("0"&amp;TRIM(RIGHT(SUBSTITUTE(TRIM(MID(SUBSTITUTE(SUBSTITUTE(Registro!$I950,";",CHAR(10)),CHAR(10),REPT(" ",LEN(Registro!$I950))),({1,2,3,4,5,6,7,8,9,10,11,12,13,14,15,16,17,18,19,20,21,22,23,24,25,26,27,28,29,30}-1)*LEN(Registro!$I950)+1,LEN(Registro!$I950)))," ",REPT(" ",50)),50)))),"Revisar formato"))</f>
        <v/>
      </c>
      <c r="K950" s="24" t="str">
        <f>IF(AND(Registro!$G950="",Registro!$H950=""),"",IF(AND(ISTEXT(I950),I950&lt;&gt;""),"Revisar formato",N(Registro!$G950)-N(I950)))</f>
        <v/>
      </c>
      <c r="L950" s="24" t="str">
        <f t="shared" si="29"/>
        <v/>
      </c>
      <c r="M950" s="36" t="str">
        <f>IF(AND(A950=Consulta!$B$3,C950=Consulta!$H$3),B950*10000+ROW(),"")</f>
        <v/>
      </c>
    </row>
    <row r="951" spans="1:13" x14ac:dyDescent="0.25">
      <c r="A951" s="21" t="str">
        <f>IF(Registro!$A951="","",Registro!$A951)</f>
        <v/>
      </c>
      <c r="B951" s="20" t="str">
        <f>IF(Registro!$B951="","",Registro!$B951)</f>
        <v/>
      </c>
      <c r="C951" s="35" t="str">
        <f t="shared" si="28"/>
        <v/>
      </c>
      <c r="D951" s="23" t="str">
        <f>IF(Registro!$E951="","",IF(ISERROR(FIND("x",LOWER(Registro!$E951))),"-",IFERROR(SUMPRODUCT(--("0"&amp;LEFT(TRIM(MID(SUBSTITUTE(SUBSTITUTE(SUBSTITUTE(SUBSTITUTE(SUBSTITUTE(LOWER(Registro!$E951),"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",LEN(Registro!$E951))),({1,2,3,4,5,6,7,8,9,10,11,12,13,14,15,16,17,18,19,20,21,22,23,24,25,26,27,28,29,30}-1)*LEN(Registro!$E951)+1,LEN(Registro!$E951))),FIND("x",TRIM(MID(SUBSTITUTE(SUBSTITUTE(SUBSTITUTE(SUBSTITUTE(SUBSTITUTE(LOWER(Registro!$E951),"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",LEN(Registro!$E951))),({1,2,3,4,5,6,7,8,9,10,11,12,13,14,15,16,17,18,19,20,21,22,23,24,25,26,27,28,29,30}-1)*LEN(Registro!$E951)+1,LEN(Registro!$E951)))&amp;"x")-1))),"Revisar formato")))</f>
        <v/>
      </c>
      <c r="E951" s="24" t="str">
        <f>IF(Registro!$E951="","",IF(ISERROR(FIND("x",LOWER(Registro!$E951))),"-",IFERROR(SUMPRODUCT(--("0"&amp;LEFT(TRIM(MID(SUBSTITUTE(SUBSTITUTE(SUBSTITUTE(SUBSTITUTE(SUBSTITUTE(LOWER(Registro!$E951),"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",LEN(Registro!$E951))),({1,2,3,4,5,6,7,8,9,10,11,12,13,14,15,16,17,18,19,20,21,22,23,24,25,26,27,28,29,30}-1)*LEN(Registro!$E951)+1,LEN(Registro!$E951))),FIND("x",TRIM(MID(SUBSTITUTE(SUBSTITUTE(SUBSTITUTE(SUBSTITUTE(SUBSTITUTE(LOWER(Registro!$E951),"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",LEN(Registro!$E951))),({1,2,3,4,5,6,7,8,9,10,11,12,13,14,15,16,17,18,19,20,21,22,23,24,25,26,27,28,29,30}-1)*LEN(Registro!$E951)+1,LEN(Registro!$E951)))&amp;"x")-1)),--("0"&amp;MID(TRIM(MID(SUBSTITUTE(SUBSTITUTE(SUBSTITUTE(SUBSTITUTE(SUBSTITUTE(LOWER(Registro!$E951),"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",LEN(Registro!$E951))),({1,2,3,4,5,6,7,8,9,10,11,12,13,14,15,16,17,18,19,20,21,22,23,24,25,26,27,28,29,30}-1)*LEN(Registro!$E951)+1,LEN(Registro!$E951))),FIND("x",TRIM(MID(SUBSTITUTE(SUBSTITUTE(SUBSTITUTE(SUBSTITUTE(SUBSTITUTE(LOWER(Registro!$E951),"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",LEN(Registro!$E951))),({1,2,3,4,5,6,7,8,9,10,11,12,13,14,15,16,17,18,19,20,21,22,23,24,25,26,27,28,29,30}-1)*LEN(Registro!$E951)+1,LEN(Registro!$E951)))&amp;"x")+1,20))),"Revisar formato")))</f>
        <v/>
      </c>
      <c r="F951" s="23" t="str">
        <f>IF(Registro!$F951="","",IF(ISERROR(FIND("x",LOWER(Registro!$F951))),"-",IFERROR(SUMPRODUCT(--("0"&amp;LEFT(TRIM(MID(SUBSTITUTE(SUBSTITUTE(SUBSTITUTE(SUBSTITUTE(SUBSTITUTE(LOWER(Registro!$F951)," ",""),CHAR(10),"|"),";","|"),"+","|"),"|",REPT(" ",LEN(Registro!$F951))),({1,2,3,4,5,6,7,8,9,10,11,12,13,14,15,16,17,18,19,20,21,22,23,24,25,26,27,28,29,30}-1)*LEN(Registro!$F951)+1,LEN(Registro!$F951))),FIND("x",TRIM(MID(SUBSTITUTE(SUBSTITUTE(SUBSTITUTE(SUBSTITUTE(SUBSTITUTE(LOWER(Registro!$F951)," ",""),CHAR(10),"|"),";","|"),"+","|"),"|",REPT(" ",LEN(Registro!$F951))),({1,2,3,4,5,6,7,8,9,10,11,12,13,14,15,16,17,18,19,20,21,22,23,24,25,26,27,28,29,30}-1)*LEN(Registro!$F951)+1,LEN(Registro!$F951)))&amp;"x")-1))),"Revisar formato")))</f>
        <v/>
      </c>
      <c r="G951" s="24" t="str">
        <f>IF(Registro!$F951="","",IF(ISERROR(FIND("x",LOWER(Registro!$F951))),N(Registro!$G951),IFERROR(SUMPRODUCT(--("0"&amp;LEFT(TRIM(MID(SUBSTITUTE(SUBSTITUTE(SUBSTITUTE(SUBSTITUTE(SUBSTITUTE(LOWER(Registro!$F951)," ",""),CHAR(10),"|"),";","|"),"+","|"),"|",REPT(" ",LEN(Registro!$F951))),({1,2,3,4,5,6,7,8,9,10,11,12,13,14,15,16,17,18,19,20,21,22,23,24,25,26,27,28,29,30}-1)*LEN(Registro!$F951)+1,LEN(Registro!$F951))),FIND("x",TRIM(MID(SUBSTITUTE(SUBSTITUTE(SUBSTITUTE(SUBSTITUTE(SUBSTITUTE(LOWER(Registro!$F951)," ",""),CHAR(10),"|"),";","|"),"+","|"),"|",REPT(" ",LEN(Registro!$F951))),({1,2,3,4,5,6,7,8,9,10,11,12,13,14,15,16,17,18,19,20,21,22,23,24,25,26,27,28,29,30}-1)*LEN(Registro!$F951)+1,LEN(Registro!$F951)))&amp;"x")-1)),--("0"&amp;MID(TRIM(MID(SUBSTITUTE(SUBSTITUTE(SUBSTITUTE(SUBSTITUTE(SUBSTITUTE(LOWER(Registro!$F951)," ",""),CHAR(10),"|"),";","|"),"+","|"),"|",REPT(" ",LEN(Registro!$F951))),({1,2,3,4,5,6,7,8,9,10,11,12,13,14,15,16,17,18,19,20,21,22,23,24,25,26,27,28,29,30}-1)*LEN(Registro!$F951)+1,LEN(Registro!$F951))),FIND("x",TRIM(MID(SUBSTITUTE(SUBSTITUTE(SUBSTITUTE(SUBSTITUTE(SUBSTITUTE(LOWER(Registro!$F951)," ",""),CHAR(10),"|"),";","|"),"+","|"),"|",REPT(" ",LEN(Registro!$F951))),({1,2,3,4,5,6,7,8,9,10,11,12,13,14,15,16,17,18,19,20,21,22,23,24,25,26,27,28,29,30}-1)*LEN(Registro!$F951)+1,LEN(Registro!$F951)))&amp;"x")+1,20))),"Revisar formato")))</f>
        <v/>
      </c>
      <c r="H951" s="21" t="str">
        <f>IF(AND(Registro!$E951="",Registro!$F951=""),"",IF(NOT(AND(ISNUMBER(G951),ISNUMBER(Registro!$G951))),"",IF(G951&lt;Registro!$G951,"FALTA BOLETOS",IF(G951=Registro!$G951,"CONFORME","DIFERENCIA"))))</f>
        <v/>
      </c>
      <c r="I951" s="24" t="str">
        <f>IF(Registro!$H951="","",IFERROR(SUMPRODUCT(--("0"&amp;TRIM(RIGHT(SUBSTITUTE(TRIM(MID(SUBSTITUTE(SUBSTITUTE(Registro!$H951,";",CHAR(10)),CHAR(10),REPT(" ",LEN(Registro!$H951))),({1,2,3,4,5,6,7,8,9,10,11,12,13,14,15,16,17,18,19,20,21,22,23,24,25,26,27,28,29,30}-1)*LEN(Registro!$H951)+1,LEN(Registro!$H951)))," ",REPT(" ",50)),50)))),"Revisar formato"))</f>
        <v/>
      </c>
      <c r="J951" s="24" t="str">
        <f>IF(Registro!$I951="","",IFERROR(SUMPRODUCT(--("0"&amp;TRIM(RIGHT(SUBSTITUTE(TRIM(MID(SUBSTITUTE(SUBSTITUTE(Registro!$I951,";",CHAR(10)),CHAR(10),REPT(" ",LEN(Registro!$I951))),({1,2,3,4,5,6,7,8,9,10,11,12,13,14,15,16,17,18,19,20,21,22,23,24,25,26,27,28,29,30}-1)*LEN(Registro!$I951)+1,LEN(Registro!$I951)))," ",REPT(" ",50)),50)))),"Revisar formato"))</f>
        <v/>
      </c>
      <c r="K951" s="24" t="str">
        <f>IF(AND(Registro!$G951="",Registro!$H951=""),"",IF(AND(ISTEXT(I951),I951&lt;&gt;""),"Revisar formato",N(Registro!$G951)-N(I951)))</f>
        <v/>
      </c>
      <c r="L951" s="24" t="str">
        <f t="shared" si="29"/>
        <v/>
      </c>
      <c r="M951" s="36" t="str">
        <f>IF(AND(A951=Consulta!$B$3,C951=Consulta!$H$3),B951*10000+ROW(),"")</f>
        <v/>
      </c>
    </row>
    <row r="952" spans="1:13" x14ac:dyDescent="0.25">
      <c r="A952" s="21" t="str">
        <f>IF(Registro!$A952="","",Registro!$A952)</f>
        <v/>
      </c>
      <c r="B952" s="20" t="str">
        <f>IF(Registro!$B952="","",Registro!$B952)</f>
        <v/>
      </c>
      <c r="C952" s="35" t="str">
        <f t="shared" si="28"/>
        <v/>
      </c>
      <c r="D952" s="23" t="str">
        <f>IF(Registro!$E952="","",IF(ISERROR(FIND("x",LOWER(Registro!$E952))),"-",IFERROR(SUMPRODUCT(--("0"&amp;LEFT(TRIM(MID(SUBSTITUTE(SUBSTITUTE(SUBSTITUTE(SUBSTITUTE(SUBSTITUTE(LOWER(Registro!$E952),"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",LEN(Registro!$E952))),({1,2,3,4,5,6,7,8,9,10,11,12,13,14,15,16,17,18,19,20,21,22,23,24,25,26,27,28,29,30}-1)*LEN(Registro!$E952)+1,LEN(Registro!$E952))),FIND("x",TRIM(MID(SUBSTITUTE(SUBSTITUTE(SUBSTITUTE(SUBSTITUTE(SUBSTITUTE(LOWER(Registro!$E952),"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",LEN(Registro!$E952))),({1,2,3,4,5,6,7,8,9,10,11,12,13,14,15,16,17,18,19,20,21,22,23,24,25,26,27,28,29,30}-1)*LEN(Registro!$E952)+1,LEN(Registro!$E952)))&amp;"x")-1))),"Revisar formato")))</f>
        <v/>
      </c>
      <c r="E952" s="24" t="str">
        <f>IF(Registro!$E952="","",IF(ISERROR(FIND("x",LOWER(Registro!$E952))),"-",IFERROR(SUMPRODUCT(--("0"&amp;LEFT(TRIM(MID(SUBSTITUTE(SUBSTITUTE(SUBSTITUTE(SUBSTITUTE(SUBSTITUTE(LOWER(Registro!$E952),"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",LEN(Registro!$E952))),({1,2,3,4,5,6,7,8,9,10,11,12,13,14,15,16,17,18,19,20,21,22,23,24,25,26,27,28,29,30}-1)*LEN(Registro!$E952)+1,LEN(Registro!$E952))),FIND("x",TRIM(MID(SUBSTITUTE(SUBSTITUTE(SUBSTITUTE(SUBSTITUTE(SUBSTITUTE(LOWER(Registro!$E952),"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",LEN(Registro!$E952))),({1,2,3,4,5,6,7,8,9,10,11,12,13,14,15,16,17,18,19,20,21,22,23,24,25,26,27,28,29,30}-1)*LEN(Registro!$E952)+1,LEN(Registro!$E952)))&amp;"x")-1)),--("0"&amp;MID(TRIM(MID(SUBSTITUTE(SUBSTITUTE(SUBSTITUTE(SUBSTITUTE(SUBSTITUTE(LOWER(Registro!$E952),"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",LEN(Registro!$E952))),({1,2,3,4,5,6,7,8,9,10,11,12,13,14,15,16,17,18,19,20,21,22,23,24,25,26,27,28,29,30}-1)*LEN(Registro!$E952)+1,LEN(Registro!$E952))),FIND("x",TRIM(MID(SUBSTITUTE(SUBSTITUTE(SUBSTITUTE(SUBSTITUTE(SUBSTITUTE(LOWER(Registro!$E952),"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",LEN(Registro!$E952))),({1,2,3,4,5,6,7,8,9,10,11,12,13,14,15,16,17,18,19,20,21,22,23,24,25,26,27,28,29,30}-1)*LEN(Registro!$E952)+1,LEN(Registro!$E952)))&amp;"x")+1,20))),"Revisar formato")))</f>
        <v/>
      </c>
      <c r="F952" s="23" t="str">
        <f>IF(Registro!$F952="","",IF(ISERROR(FIND("x",LOWER(Registro!$F952))),"-",IFERROR(SUMPRODUCT(--("0"&amp;LEFT(TRIM(MID(SUBSTITUTE(SUBSTITUTE(SUBSTITUTE(SUBSTITUTE(SUBSTITUTE(LOWER(Registro!$F952)," ",""),CHAR(10),"|"),";","|"),"+","|"),"|",REPT(" ",LEN(Registro!$F952))),({1,2,3,4,5,6,7,8,9,10,11,12,13,14,15,16,17,18,19,20,21,22,23,24,25,26,27,28,29,30}-1)*LEN(Registro!$F952)+1,LEN(Registro!$F952))),FIND("x",TRIM(MID(SUBSTITUTE(SUBSTITUTE(SUBSTITUTE(SUBSTITUTE(SUBSTITUTE(LOWER(Registro!$F952)," ",""),CHAR(10),"|"),";","|"),"+","|"),"|",REPT(" ",LEN(Registro!$F952))),({1,2,3,4,5,6,7,8,9,10,11,12,13,14,15,16,17,18,19,20,21,22,23,24,25,26,27,28,29,30}-1)*LEN(Registro!$F952)+1,LEN(Registro!$F952)))&amp;"x")-1))),"Revisar formato")))</f>
        <v/>
      </c>
      <c r="G952" s="24" t="str">
        <f>IF(Registro!$F952="","",IF(ISERROR(FIND("x",LOWER(Registro!$F952))),N(Registro!$G952),IFERROR(SUMPRODUCT(--("0"&amp;LEFT(TRIM(MID(SUBSTITUTE(SUBSTITUTE(SUBSTITUTE(SUBSTITUTE(SUBSTITUTE(LOWER(Registro!$F952)," ",""),CHAR(10),"|"),";","|"),"+","|"),"|",REPT(" ",LEN(Registro!$F952))),({1,2,3,4,5,6,7,8,9,10,11,12,13,14,15,16,17,18,19,20,21,22,23,24,25,26,27,28,29,30}-1)*LEN(Registro!$F952)+1,LEN(Registro!$F952))),FIND("x",TRIM(MID(SUBSTITUTE(SUBSTITUTE(SUBSTITUTE(SUBSTITUTE(SUBSTITUTE(LOWER(Registro!$F952)," ",""),CHAR(10),"|"),";","|"),"+","|"),"|",REPT(" ",LEN(Registro!$F952))),({1,2,3,4,5,6,7,8,9,10,11,12,13,14,15,16,17,18,19,20,21,22,23,24,25,26,27,28,29,30}-1)*LEN(Registro!$F952)+1,LEN(Registro!$F952)))&amp;"x")-1)),--("0"&amp;MID(TRIM(MID(SUBSTITUTE(SUBSTITUTE(SUBSTITUTE(SUBSTITUTE(SUBSTITUTE(LOWER(Registro!$F952)," ",""),CHAR(10),"|"),";","|"),"+","|"),"|",REPT(" ",LEN(Registro!$F952))),({1,2,3,4,5,6,7,8,9,10,11,12,13,14,15,16,17,18,19,20,21,22,23,24,25,26,27,28,29,30}-1)*LEN(Registro!$F952)+1,LEN(Registro!$F952))),FIND("x",TRIM(MID(SUBSTITUTE(SUBSTITUTE(SUBSTITUTE(SUBSTITUTE(SUBSTITUTE(LOWER(Registro!$F952)," ",""),CHAR(10),"|"),";","|"),"+","|"),"|",REPT(" ",LEN(Registro!$F952))),({1,2,3,4,5,6,7,8,9,10,11,12,13,14,15,16,17,18,19,20,21,22,23,24,25,26,27,28,29,30}-1)*LEN(Registro!$F952)+1,LEN(Registro!$F952)))&amp;"x")+1,20))),"Revisar formato")))</f>
        <v/>
      </c>
      <c r="H952" s="21" t="str">
        <f>IF(AND(Registro!$E952="",Registro!$F952=""),"",IF(NOT(AND(ISNUMBER(G952),ISNUMBER(Registro!$G952))),"",IF(G952&lt;Registro!$G952,"FALTA BOLETOS",IF(G952=Registro!$G952,"CONFORME","DIFERENCIA"))))</f>
        <v/>
      </c>
      <c r="I952" s="24" t="str">
        <f>IF(Registro!$H952="","",IFERROR(SUMPRODUCT(--("0"&amp;TRIM(RIGHT(SUBSTITUTE(TRIM(MID(SUBSTITUTE(SUBSTITUTE(Registro!$H952,";",CHAR(10)),CHAR(10),REPT(" ",LEN(Registro!$H952))),({1,2,3,4,5,6,7,8,9,10,11,12,13,14,15,16,17,18,19,20,21,22,23,24,25,26,27,28,29,30}-1)*LEN(Registro!$H952)+1,LEN(Registro!$H952)))," ",REPT(" ",50)),50)))),"Revisar formato"))</f>
        <v/>
      </c>
      <c r="J952" s="24" t="str">
        <f>IF(Registro!$I952="","",IFERROR(SUMPRODUCT(--("0"&amp;TRIM(RIGHT(SUBSTITUTE(TRIM(MID(SUBSTITUTE(SUBSTITUTE(Registro!$I952,";",CHAR(10)),CHAR(10),REPT(" ",LEN(Registro!$I952))),({1,2,3,4,5,6,7,8,9,10,11,12,13,14,15,16,17,18,19,20,21,22,23,24,25,26,27,28,29,30}-1)*LEN(Registro!$I952)+1,LEN(Registro!$I952)))," ",REPT(" ",50)),50)))),"Revisar formato"))</f>
        <v/>
      </c>
      <c r="K952" s="24" t="str">
        <f>IF(AND(Registro!$G952="",Registro!$H952=""),"",IF(AND(ISTEXT(I952),I952&lt;&gt;""),"Revisar formato",N(Registro!$G952)-N(I952)))</f>
        <v/>
      </c>
      <c r="L952" s="24" t="str">
        <f t="shared" si="29"/>
        <v/>
      </c>
      <c r="M952" s="36" t="str">
        <f>IF(AND(A952=Consulta!$B$3,C952=Consulta!$H$3),B952*10000+ROW(),"")</f>
        <v/>
      </c>
    </row>
    <row r="953" spans="1:13" x14ac:dyDescent="0.25">
      <c r="A953" s="21" t="str">
        <f>IF(Registro!$A953="","",Registro!$A953)</f>
        <v/>
      </c>
      <c r="B953" s="20" t="str">
        <f>IF(Registro!$B953="","",Registro!$B953)</f>
        <v/>
      </c>
      <c r="C953" s="35" t="str">
        <f t="shared" si="28"/>
        <v/>
      </c>
      <c r="D953" s="23" t="str">
        <f>IF(Registro!$E953="","",IF(ISERROR(FIND("x",LOWER(Registro!$E953))),"-",IFERROR(SUMPRODUCT(--("0"&amp;LEFT(TRIM(MID(SUBSTITUTE(SUBSTITUTE(SUBSTITUTE(SUBSTITUTE(SUBSTITUTE(LOWER(Registro!$E953),"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",LEN(Registro!$E953))),({1,2,3,4,5,6,7,8,9,10,11,12,13,14,15,16,17,18,19,20,21,22,23,24,25,26,27,28,29,30}-1)*LEN(Registro!$E953)+1,LEN(Registro!$E953))),FIND("x",TRIM(MID(SUBSTITUTE(SUBSTITUTE(SUBSTITUTE(SUBSTITUTE(SUBSTITUTE(LOWER(Registro!$E953),"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",LEN(Registro!$E953))),({1,2,3,4,5,6,7,8,9,10,11,12,13,14,15,16,17,18,19,20,21,22,23,24,25,26,27,28,29,30}-1)*LEN(Registro!$E953)+1,LEN(Registro!$E953)))&amp;"x")-1))),"Revisar formato")))</f>
        <v/>
      </c>
      <c r="E953" s="24" t="str">
        <f>IF(Registro!$E953="","",IF(ISERROR(FIND("x",LOWER(Registro!$E953))),"-",IFERROR(SUMPRODUCT(--("0"&amp;LEFT(TRIM(MID(SUBSTITUTE(SUBSTITUTE(SUBSTITUTE(SUBSTITUTE(SUBSTITUTE(LOWER(Registro!$E953),"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",LEN(Registro!$E953))),({1,2,3,4,5,6,7,8,9,10,11,12,13,14,15,16,17,18,19,20,21,22,23,24,25,26,27,28,29,30}-1)*LEN(Registro!$E953)+1,LEN(Registro!$E953))),FIND("x",TRIM(MID(SUBSTITUTE(SUBSTITUTE(SUBSTITUTE(SUBSTITUTE(SUBSTITUTE(LOWER(Registro!$E953),"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",LEN(Registro!$E953))),({1,2,3,4,5,6,7,8,9,10,11,12,13,14,15,16,17,18,19,20,21,22,23,24,25,26,27,28,29,30}-1)*LEN(Registro!$E953)+1,LEN(Registro!$E953)))&amp;"x")-1)),--("0"&amp;MID(TRIM(MID(SUBSTITUTE(SUBSTITUTE(SUBSTITUTE(SUBSTITUTE(SUBSTITUTE(LOWER(Registro!$E953),"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",LEN(Registro!$E953))),({1,2,3,4,5,6,7,8,9,10,11,12,13,14,15,16,17,18,19,20,21,22,23,24,25,26,27,28,29,30}-1)*LEN(Registro!$E953)+1,LEN(Registro!$E953))),FIND("x",TRIM(MID(SUBSTITUTE(SUBSTITUTE(SUBSTITUTE(SUBSTITUTE(SUBSTITUTE(LOWER(Registro!$E953),"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",LEN(Registro!$E953))),({1,2,3,4,5,6,7,8,9,10,11,12,13,14,15,16,17,18,19,20,21,22,23,24,25,26,27,28,29,30}-1)*LEN(Registro!$E953)+1,LEN(Registro!$E953)))&amp;"x")+1,20))),"Revisar formato")))</f>
        <v/>
      </c>
      <c r="F953" s="23" t="str">
        <f>IF(Registro!$F953="","",IF(ISERROR(FIND("x",LOWER(Registro!$F953))),"-",IFERROR(SUMPRODUCT(--("0"&amp;LEFT(TRIM(MID(SUBSTITUTE(SUBSTITUTE(SUBSTITUTE(SUBSTITUTE(SUBSTITUTE(LOWER(Registro!$F953)," ",""),CHAR(10),"|"),";","|"),"+","|"),"|",REPT(" ",LEN(Registro!$F953))),({1,2,3,4,5,6,7,8,9,10,11,12,13,14,15,16,17,18,19,20,21,22,23,24,25,26,27,28,29,30}-1)*LEN(Registro!$F953)+1,LEN(Registro!$F953))),FIND("x",TRIM(MID(SUBSTITUTE(SUBSTITUTE(SUBSTITUTE(SUBSTITUTE(SUBSTITUTE(LOWER(Registro!$F953)," ",""),CHAR(10),"|"),";","|"),"+","|"),"|",REPT(" ",LEN(Registro!$F953))),({1,2,3,4,5,6,7,8,9,10,11,12,13,14,15,16,17,18,19,20,21,22,23,24,25,26,27,28,29,30}-1)*LEN(Registro!$F953)+1,LEN(Registro!$F953)))&amp;"x")-1))),"Revisar formato")))</f>
        <v/>
      </c>
      <c r="G953" s="24" t="str">
        <f>IF(Registro!$F953="","",IF(ISERROR(FIND("x",LOWER(Registro!$F953))),N(Registro!$G953),IFERROR(SUMPRODUCT(--("0"&amp;LEFT(TRIM(MID(SUBSTITUTE(SUBSTITUTE(SUBSTITUTE(SUBSTITUTE(SUBSTITUTE(LOWER(Registro!$F953)," ",""),CHAR(10),"|"),";","|"),"+","|"),"|",REPT(" ",LEN(Registro!$F953))),({1,2,3,4,5,6,7,8,9,10,11,12,13,14,15,16,17,18,19,20,21,22,23,24,25,26,27,28,29,30}-1)*LEN(Registro!$F953)+1,LEN(Registro!$F953))),FIND("x",TRIM(MID(SUBSTITUTE(SUBSTITUTE(SUBSTITUTE(SUBSTITUTE(SUBSTITUTE(LOWER(Registro!$F953)," ",""),CHAR(10),"|"),";","|"),"+","|"),"|",REPT(" ",LEN(Registro!$F953))),({1,2,3,4,5,6,7,8,9,10,11,12,13,14,15,16,17,18,19,20,21,22,23,24,25,26,27,28,29,30}-1)*LEN(Registro!$F953)+1,LEN(Registro!$F953)))&amp;"x")-1)),--("0"&amp;MID(TRIM(MID(SUBSTITUTE(SUBSTITUTE(SUBSTITUTE(SUBSTITUTE(SUBSTITUTE(LOWER(Registro!$F953)," ",""),CHAR(10),"|"),";","|"),"+","|"),"|",REPT(" ",LEN(Registro!$F953))),({1,2,3,4,5,6,7,8,9,10,11,12,13,14,15,16,17,18,19,20,21,22,23,24,25,26,27,28,29,30}-1)*LEN(Registro!$F953)+1,LEN(Registro!$F953))),FIND("x",TRIM(MID(SUBSTITUTE(SUBSTITUTE(SUBSTITUTE(SUBSTITUTE(SUBSTITUTE(LOWER(Registro!$F953)," ",""),CHAR(10),"|"),";","|"),"+","|"),"|",REPT(" ",LEN(Registro!$F953))),({1,2,3,4,5,6,7,8,9,10,11,12,13,14,15,16,17,18,19,20,21,22,23,24,25,26,27,28,29,30}-1)*LEN(Registro!$F953)+1,LEN(Registro!$F953)))&amp;"x")+1,20))),"Revisar formato")))</f>
        <v/>
      </c>
      <c r="H953" s="21" t="str">
        <f>IF(AND(Registro!$E953="",Registro!$F953=""),"",IF(NOT(AND(ISNUMBER(G953),ISNUMBER(Registro!$G953))),"",IF(G953&lt;Registro!$G953,"FALTA BOLETOS",IF(G953=Registro!$G953,"CONFORME","DIFERENCIA"))))</f>
        <v/>
      </c>
      <c r="I953" s="24" t="str">
        <f>IF(Registro!$H953="","",IFERROR(SUMPRODUCT(--("0"&amp;TRIM(RIGHT(SUBSTITUTE(TRIM(MID(SUBSTITUTE(SUBSTITUTE(Registro!$H953,";",CHAR(10)),CHAR(10),REPT(" ",LEN(Registro!$H953))),({1,2,3,4,5,6,7,8,9,10,11,12,13,14,15,16,17,18,19,20,21,22,23,24,25,26,27,28,29,30}-1)*LEN(Registro!$H953)+1,LEN(Registro!$H953)))," ",REPT(" ",50)),50)))),"Revisar formato"))</f>
        <v/>
      </c>
      <c r="J953" s="24" t="str">
        <f>IF(Registro!$I953="","",IFERROR(SUMPRODUCT(--("0"&amp;TRIM(RIGHT(SUBSTITUTE(TRIM(MID(SUBSTITUTE(SUBSTITUTE(Registro!$I953,";",CHAR(10)),CHAR(10),REPT(" ",LEN(Registro!$I953))),({1,2,3,4,5,6,7,8,9,10,11,12,13,14,15,16,17,18,19,20,21,22,23,24,25,26,27,28,29,30}-1)*LEN(Registro!$I953)+1,LEN(Registro!$I953)))," ",REPT(" ",50)),50)))),"Revisar formato"))</f>
        <v/>
      </c>
      <c r="K953" s="24" t="str">
        <f>IF(AND(Registro!$G953="",Registro!$H953=""),"",IF(AND(ISTEXT(I953),I953&lt;&gt;""),"Revisar formato",N(Registro!$G953)-N(I953)))</f>
        <v/>
      </c>
      <c r="L953" s="24" t="str">
        <f t="shared" si="29"/>
        <v/>
      </c>
      <c r="M953" s="36" t="str">
        <f>IF(AND(A953=Consulta!$B$3,C953=Consulta!$H$3),B953*10000+ROW(),"")</f>
        <v/>
      </c>
    </row>
    <row r="954" spans="1:13" x14ac:dyDescent="0.25">
      <c r="A954" s="21" t="str">
        <f>IF(Registro!$A954="","",Registro!$A954)</f>
        <v/>
      </c>
      <c r="B954" s="20" t="str">
        <f>IF(Registro!$B954="","",Registro!$B954)</f>
        <v/>
      </c>
      <c r="C954" s="35" t="str">
        <f t="shared" si="28"/>
        <v/>
      </c>
      <c r="D954" s="23" t="str">
        <f>IF(Registro!$E954="","",IF(ISERROR(FIND("x",LOWER(Registro!$E954))),"-",IFERROR(SUMPRODUCT(--("0"&amp;LEFT(TRIM(MID(SUBSTITUTE(SUBSTITUTE(SUBSTITUTE(SUBSTITUTE(SUBSTITUTE(LOWER(Registro!$E954),"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",LEN(Registro!$E954))),({1,2,3,4,5,6,7,8,9,10,11,12,13,14,15,16,17,18,19,20,21,22,23,24,25,26,27,28,29,30}-1)*LEN(Registro!$E954)+1,LEN(Registro!$E954))),FIND("x",TRIM(MID(SUBSTITUTE(SUBSTITUTE(SUBSTITUTE(SUBSTITUTE(SUBSTITUTE(LOWER(Registro!$E954),"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",LEN(Registro!$E954))),({1,2,3,4,5,6,7,8,9,10,11,12,13,14,15,16,17,18,19,20,21,22,23,24,25,26,27,28,29,30}-1)*LEN(Registro!$E954)+1,LEN(Registro!$E954)))&amp;"x")-1))),"Revisar formato")))</f>
        <v/>
      </c>
      <c r="E954" s="24" t="str">
        <f>IF(Registro!$E954="","",IF(ISERROR(FIND("x",LOWER(Registro!$E954))),"-",IFERROR(SUMPRODUCT(--("0"&amp;LEFT(TRIM(MID(SUBSTITUTE(SUBSTITUTE(SUBSTITUTE(SUBSTITUTE(SUBSTITUTE(LOWER(Registro!$E954),"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",LEN(Registro!$E954))),({1,2,3,4,5,6,7,8,9,10,11,12,13,14,15,16,17,18,19,20,21,22,23,24,25,26,27,28,29,30}-1)*LEN(Registro!$E954)+1,LEN(Registro!$E954))),FIND("x",TRIM(MID(SUBSTITUTE(SUBSTITUTE(SUBSTITUTE(SUBSTITUTE(SUBSTITUTE(LOWER(Registro!$E954),"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",LEN(Registro!$E954))),({1,2,3,4,5,6,7,8,9,10,11,12,13,14,15,16,17,18,19,20,21,22,23,24,25,26,27,28,29,30}-1)*LEN(Registro!$E954)+1,LEN(Registro!$E954)))&amp;"x")-1)),--("0"&amp;MID(TRIM(MID(SUBSTITUTE(SUBSTITUTE(SUBSTITUTE(SUBSTITUTE(SUBSTITUTE(LOWER(Registro!$E954),"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",LEN(Registro!$E954))),({1,2,3,4,5,6,7,8,9,10,11,12,13,14,15,16,17,18,19,20,21,22,23,24,25,26,27,28,29,30}-1)*LEN(Registro!$E954)+1,LEN(Registro!$E954))),FIND("x",TRIM(MID(SUBSTITUTE(SUBSTITUTE(SUBSTITUTE(SUBSTITUTE(SUBSTITUTE(LOWER(Registro!$E954),"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",LEN(Registro!$E954))),({1,2,3,4,5,6,7,8,9,10,11,12,13,14,15,16,17,18,19,20,21,22,23,24,25,26,27,28,29,30}-1)*LEN(Registro!$E954)+1,LEN(Registro!$E954)))&amp;"x")+1,20))),"Revisar formato")))</f>
        <v/>
      </c>
      <c r="F954" s="23" t="str">
        <f>IF(Registro!$F954="","",IF(ISERROR(FIND("x",LOWER(Registro!$F954))),"-",IFERROR(SUMPRODUCT(--("0"&amp;LEFT(TRIM(MID(SUBSTITUTE(SUBSTITUTE(SUBSTITUTE(SUBSTITUTE(SUBSTITUTE(LOWER(Registro!$F954)," ",""),CHAR(10),"|"),";","|"),"+","|"),"|",REPT(" ",LEN(Registro!$F954))),({1,2,3,4,5,6,7,8,9,10,11,12,13,14,15,16,17,18,19,20,21,22,23,24,25,26,27,28,29,30}-1)*LEN(Registro!$F954)+1,LEN(Registro!$F954))),FIND("x",TRIM(MID(SUBSTITUTE(SUBSTITUTE(SUBSTITUTE(SUBSTITUTE(SUBSTITUTE(LOWER(Registro!$F954)," ",""),CHAR(10),"|"),";","|"),"+","|"),"|",REPT(" ",LEN(Registro!$F954))),({1,2,3,4,5,6,7,8,9,10,11,12,13,14,15,16,17,18,19,20,21,22,23,24,25,26,27,28,29,30}-1)*LEN(Registro!$F954)+1,LEN(Registro!$F954)))&amp;"x")-1))),"Revisar formato")))</f>
        <v/>
      </c>
      <c r="G954" s="24" t="str">
        <f>IF(Registro!$F954="","",IF(ISERROR(FIND("x",LOWER(Registro!$F954))),N(Registro!$G954),IFERROR(SUMPRODUCT(--("0"&amp;LEFT(TRIM(MID(SUBSTITUTE(SUBSTITUTE(SUBSTITUTE(SUBSTITUTE(SUBSTITUTE(LOWER(Registro!$F954)," ",""),CHAR(10),"|"),";","|"),"+","|"),"|",REPT(" ",LEN(Registro!$F954))),({1,2,3,4,5,6,7,8,9,10,11,12,13,14,15,16,17,18,19,20,21,22,23,24,25,26,27,28,29,30}-1)*LEN(Registro!$F954)+1,LEN(Registro!$F954))),FIND("x",TRIM(MID(SUBSTITUTE(SUBSTITUTE(SUBSTITUTE(SUBSTITUTE(SUBSTITUTE(LOWER(Registro!$F954)," ",""),CHAR(10),"|"),";","|"),"+","|"),"|",REPT(" ",LEN(Registro!$F954))),({1,2,3,4,5,6,7,8,9,10,11,12,13,14,15,16,17,18,19,20,21,22,23,24,25,26,27,28,29,30}-1)*LEN(Registro!$F954)+1,LEN(Registro!$F954)))&amp;"x")-1)),--("0"&amp;MID(TRIM(MID(SUBSTITUTE(SUBSTITUTE(SUBSTITUTE(SUBSTITUTE(SUBSTITUTE(LOWER(Registro!$F954)," ",""),CHAR(10),"|"),";","|"),"+","|"),"|",REPT(" ",LEN(Registro!$F954))),({1,2,3,4,5,6,7,8,9,10,11,12,13,14,15,16,17,18,19,20,21,22,23,24,25,26,27,28,29,30}-1)*LEN(Registro!$F954)+1,LEN(Registro!$F954))),FIND("x",TRIM(MID(SUBSTITUTE(SUBSTITUTE(SUBSTITUTE(SUBSTITUTE(SUBSTITUTE(LOWER(Registro!$F954)," ",""),CHAR(10),"|"),";","|"),"+","|"),"|",REPT(" ",LEN(Registro!$F954))),({1,2,3,4,5,6,7,8,9,10,11,12,13,14,15,16,17,18,19,20,21,22,23,24,25,26,27,28,29,30}-1)*LEN(Registro!$F954)+1,LEN(Registro!$F954)))&amp;"x")+1,20))),"Revisar formato")))</f>
        <v/>
      </c>
      <c r="H954" s="21" t="str">
        <f>IF(AND(Registro!$E954="",Registro!$F954=""),"",IF(NOT(AND(ISNUMBER(G954),ISNUMBER(Registro!$G954))),"",IF(G954&lt;Registro!$G954,"FALTA BOLETOS",IF(G954=Registro!$G954,"CONFORME","DIFERENCIA"))))</f>
        <v/>
      </c>
      <c r="I954" s="24" t="str">
        <f>IF(Registro!$H954="","",IFERROR(SUMPRODUCT(--("0"&amp;TRIM(RIGHT(SUBSTITUTE(TRIM(MID(SUBSTITUTE(SUBSTITUTE(Registro!$H954,";",CHAR(10)),CHAR(10),REPT(" ",LEN(Registro!$H954))),({1,2,3,4,5,6,7,8,9,10,11,12,13,14,15,16,17,18,19,20,21,22,23,24,25,26,27,28,29,30}-1)*LEN(Registro!$H954)+1,LEN(Registro!$H954)))," ",REPT(" ",50)),50)))),"Revisar formato"))</f>
        <v/>
      </c>
      <c r="J954" s="24" t="str">
        <f>IF(Registro!$I954="","",IFERROR(SUMPRODUCT(--("0"&amp;TRIM(RIGHT(SUBSTITUTE(TRIM(MID(SUBSTITUTE(SUBSTITUTE(Registro!$I954,";",CHAR(10)),CHAR(10),REPT(" ",LEN(Registro!$I954))),({1,2,3,4,5,6,7,8,9,10,11,12,13,14,15,16,17,18,19,20,21,22,23,24,25,26,27,28,29,30}-1)*LEN(Registro!$I954)+1,LEN(Registro!$I954)))," ",REPT(" ",50)),50)))),"Revisar formato"))</f>
        <v/>
      </c>
      <c r="K954" s="24" t="str">
        <f>IF(AND(Registro!$G954="",Registro!$H954=""),"",IF(AND(ISTEXT(I954),I954&lt;&gt;""),"Revisar formato",N(Registro!$G954)-N(I954)))</f>
        <v/>
      </c>
      <c r="L954" s="24" t="str">
        <f t="shared" si="29"/>
        <v/>
      </c>
      <c r="M954" s="36" t="str">
        <f>IF(AND(A954=Consulta!$B$3,C954=Consulta!$H$3),B954*10000+ROW(),"")</f>
        <v/>
      </c>
    </row>
    <row r="955" spans="1:13" x14ac:dyDescent="0.25">
      <c r="A955" s="21" t="str">
        <f>IF(Registro!$A955="","",Registro!$A955)</f>
        <v/>
      </c>
      <c r="B955" s="20" t="str">
        <f>IF(Registro!$B955="","",Registro!$B955)</f>
        <v/>
      </c>
      <c r="C955" s="35" t="str">
        <f t="shared" si="28"/>
        <v/>
      </c>
      <c r="D955" s="23" t="str">
        <f>IF(Registro!$E955="","",IF(ISERROR(FIND("x",LOWER(Registro!$E955))),"-",IFERROR(SUMPRODUCT(--("0"&amp;LEFT(TRIM(MID(SUBSTITUTE(SUBSTITUTE(SUBSTITUTE(SUBSTITUTE(SUBSTITUTE(LOWER(Registro!$E955),"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",LEN(Registro!$E955))),({1,2,3,4,5,6,7,8,9,10,11,12,13,14,15,16,17,18,19,20,21,22,23,24,25,26,27,28,29,30}-1)*LEN(Registro!$E955)+1,LEN(Registro!$E955))),FIND("x",TRIM(MID(SUBSTITUTE(SUBSTITUTE(SUBSTITUTE(SUBSTITUTE(SUBSTITUTE(LOWER(Registro!$E955),"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",LEN(Registro!$E955))),({1,2,3,4,5,6,7,8,9,10,11,12,13,14,15,16,17,18,19,20,21,22,23,24,25,26,27,28,29,30}-1)*LEN(Registro!$E955)+1,LEN(Registro!$E955)))&amp;"x")-1))),"Revisar formato")))</f>
        <v/>
      </c>
      <c r="E955" s="24" t="str">
        <f>IF(Registro!$E955="","",IF(ISERROR(FIND("x",LOWER(Registro!$E955))),"-",IFERROR(SUMPRODUCT(--("0"&amp;LEFT(TRIM(MID(SUBSTITUTE(SUBSTITUTE(SUBSTITUTE(SUBSTITUTE(SUBSTITUTE(LOWER(Registro!$E955),"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",LEN(Registro!$E955))),({1,2,3,4,5,6,7,8,9,10,11,12,13,14,15,16,17,18,19,20,21,22,23,24,25,26,27,28,29,30}-1)*LEN(Registro!$E955)+1,LEN(Registro!$E955))),FIND("x",TRIM(MID(SUBSTITUTE(SUBSTITUTE(SUBSTITUTE(SUBSTITUTE(SUBSTITUTE(LOWER(Registro!$E955),"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",LEN(Registro!$E955))),({1,2,3,4,5,6,7,8,9,10,11,12,13,14,15,16,17,18,19,20,21,22,23,24,25,26,27,28,29,30}-1)*LEN(Registro!$E955)+1,LEN(Registro!$E955)))&amp;"x")-1)),--("0"&amp;MID(TRIM(MID(SUBSTITUTE(SUBSTITUTE(SUBSTITUTE(SUBSTITUTE(SUBSTITUTE(LOWER(Registro!$E955),"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",LEN(Registro!$E955))),({1,2,3,4,5,6,7,8,9,10,11,12,13,14,15,16,17,18,19,20,21,22,23,24,25,26,27,28,29,30}-1)*LEN(Registro!$E955)+1,LEN(Registro!$E955))),FIND("x",TRIM(MID(SUBSTITUTE(SUBSTITUTE(SUBSTITUTE(SUBSTITUTE(SUBSTITUTE(LOWER(Registro!$E955),"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",LEN(Registro!$E955))),({1,2,3,4,5,6,7,8,9,10,11,12,13,14,15,16,17,18,19,20,21,22,23,24,25,26,27,28,29,30}-1)*LEN(Registro!$E955)+1,LEN(Registro!$E955)))&amp;"x")+1,20))),"Revisar formato")))</f>
        <v/>
      </c>
      <c r="F955" s="23" t="str">
        <f>IF(Registro!$F955="","",IF(ISERROR(FIND("x",LOWER(Registro!$F955))),"-",IFERROR(SUMPRODUCT(--("0"&amp;LEFT(TRIM(MID(SUBSTITUTE(SUBSTITUTE(SUBSTITUTE(SUBSTITUTE(SUBSTITUTE(LOWER(Registro!$F955)," ",""),CHAR(10),"|"),";","|"),"+","|"),"|",REPT(" ",LEN(Registro!$F955))),({1,2,3,4,5,6,7,8,9,10,11,12,13,14,15,16,17,18,19,20,21,22,23,24,25,26,27,28,29,30}-1)*LEN(Registro!$F955)+1,LEN(Registro!$F955))),FIND("x",TRIM(MID(SUBSTITUTE(SUBSTITUTE(SUBSTITUTE(SUBSTITUTE(SUBSTITUTE(LOWER(Registro!$F955)," ",""),CHAR(10),"|"),";","|"),"+","|"),"|",REPT(" ",LEN(Registro!$F955))),({1,2,3,4,5,6,7,8,9,10,11,12,13,14,15,16,17,18,19,20,21,22,23,24,25,26,27,28,29,30}-1)*LEN(Registro!$F955)+1,LEN(Registro!$F955)))&amp;"x")-1))),"Revisar formato")))</f>
        <v/>
      </c>
      <c r="G955" s="24" t="str">
        <f>IF(Registro!$F955="","",IF(ISERROR(FIND("x",LOWER(Registro!$F955))),N(Registro!$G955),IFERROR(SUMPRODUCT(--("0"&amp;LEFT(TRIM(MID(SUBSTITUTE(SUBSTITUTE(SUBSTITUTE(SUBSTITUTE(SUBSTITUTE(LOWER(Registro!$F955)," ",""),CHAR(10),"|"),";","|"),"+","|"),"|",REPT(" ",LEN(Registro!$F955))),({1,2,3,4,5,6,7,8,9,10,11,12,13,14,15,16,17,18,19,20,21,22,23,24,25,26,27,28,29,30}-1)*LEN(Registro!$F955)+1,LEN(Registro!$F955))),FIND("x",TRIM(MID(SUBSTITUTE(SUBSTITUTE(SUBSTITUTE(SUBSTITUTE(SUBSTITUTE(LOWER(Registro!$F955)," ",""),CHAR(10),"|"),";","|"),"+","|"),"|",REPT(" ",LEN(Registro!$F955))),({1,2,3,4,5,6,7,8,9,10,11,12,13,14,15,16,17,18,19,20,21,22,23,24,25,26,27,28,29,30}-1)*LEN(Registro!$F955)+1,LEN(Registro!$F955)))&amp;"x")-1)),--("0"&amp;MID(TRIM(MID(SUBSTITUTE(SUBSTITUTE(SUBSTITUTE(SUBSTITUTE(SUBSTITUTE(LOWER(Registro!$F955)," ",""),CHAR(10),"|"),";","|"),"+","|"),"|",REPT(" ",LEN(Registro!$F955))),({1,2,3,4,5,6,7,8,9,10,11,12,13,14,15,16,17,18,19,20,21,22,23,24,25,26,27,28,29,30}-1)*LEN(Registro!$F955)+1,LEN(Registro!$F955))),FIND("x",TRIM(MID(SUBSTITUTE(SUBSTITUTE(SUBSTITUTE(SUBSTITUTE(SUBSTITUTE(LOWER(Registro!$F955)," ",""),CHAR(10),"|"),";","|"),"+","|"),"|",REPT(" ",LEN(Registro!$F955))),({1,2,3,4,5,6,7,8,9,10,11,12,13,14,15,16,17,18,19,20,21,22,23,24,25,26,27,28,29,30}-1)*LEN(Registro!$F955)+1,LEN(Registro!$F955)))&amp;"x")+1,20))),"Revisar formato")))</f>
        <v/>
      </c>
      <c r="H955" s="21" t="str">
        <f>IF(AND(Registro!$E955="",Registro!$F955=""),"",IF(NOT(AND(ISNUMBER(G955),ISNUMBER(Registro!$G955))),"",IF(G955&lt;Registro!$G955,"FALTA BOLETOS",IF(G955=Registro!$G955,"CONFORME","DIFERENCIA"))))</f>
        <v/>
      </c>
      <c r="I955" s="24" t="str">
        <f>IF(Registro!$H955="","",IFERROR(SUMPRODUCT(--("0"&amp;TRIM(RIGHT(SUBSTITUTE(TRIM(MID(SUBSTITUTE(SUBSTITUTE(Registro!$H955,";",CHAR(10)),CHAR(10),REPT(" ",LEN(Registro!$H955))),({1,2,3,4,5,6,7,8,9,10,11,12,13,14,15,16,17,18,19,20,21,22,23,24,25,26,27,28,29,30}-1)*LEN(Registro!$H955)+1,LEN(Registro!$H955)))," ",REPT(" ",50)),50)))),"Revisar formato"))</f>
        <v/>
      </c>
      <c r="J955" s="24" t="str">
        <f>IF(Registro!$I955="","",IFERROR(SUMPRODUCT(--("0"&amp;TRIM(RIGHT(SUBSTITUTE(TRIM(MID(SUBSTITUTE(SUBSTITUTE(Registro!$I955,";",CHAR(10)),CHAR(10),REPT(" ",LEN(Registro!$I955))),({1,2,3,4,5,6,7,8,9,10,11,12,13,14,15,16,17,18,19,20,21,22,23,24,25,26,27,28,29,30}-1)*LEN(Registro!$I955)+1,LEN(Registro!$I955)))," ",REPT(" ",50)),50)))),"Revisar formato"))</f>
        <v/>
      </c>
      <c r="K955" s="24" t="str">
        <f>IF(AND(Registro!$G955="",Registro!$H955=""),"",IF(AND(ISTEXT(I955),I955&lt;&gt;""),"Revisar formato",N(Registro!$G955)-N(I955)))</f>
        <v/>
      </c>
      <c r="L955" s="24" t="str">
        <f t="shared" si="29"/>
        <v/>
      </c>
      <c r="M955" s="36" t="str">
        <f>IF(AND(A955=Consulta!$B$3,C955=Consulta!$H$3),B955*10000+ROW(),"")</f>
        <v/>
      </c>
    </row>
    <row r="956" spans="1:13" x14ac:dyDescent="0.25">
      <c r="A956" s="21" t="str">
        <f>IF(Registro!$A956="","",Registro!$A956)</f>
        <v/>
      </c>
      <c r="B956" s="20" t="str">
        <f>IF(Registro!$B956="","",Registro!$B956)</f>
        <v/>
      </c>
      <c r="C956" s="35" t="str">
        <f t="shared" si="28"/>
        <v/>
      </c>
      <c r="D956" s="23" t="str">
        <f>IF(Registro!$E956="","",IF(ISERROR(FIND("x",LOWER(Registro!$E956))),"-",IFERROR(SUMPRODUCT(--("0"&amp;LEFT(TRIM(MID(SUBSTITUTE(SUBSTITUTE(SUBSTITUTE(SUBSTITUTE(SUBSTITUTE(LOWER(Registro!$E956),"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",LEN(Registro!$E956))),({1,2,3,4,5,6,7,8,9,10,11,12,13,14,15,16,17,18,19,20,21,22,23,24,25,26,27,28,29,30}-1)*LEN(Registro!$E956)+1,LEN(Registro!$E956))),FIND("x",TRIM(MID(SUBSTITUTE(SUBSTITUTE(SUBSTITUTE(SUBSTITUTE(SUBSTITUTE(LOWER(Registro!$E956),"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",LEN(Registro!$E956))),({1,2,3,4,5,6,7,8,9,10,11,12,13,14,15,16,17,18,19,20,21,22,23,24,25,26,27,28,29,30}-1)*LEN(Registro!$E956)+1,LEN(Registro!$E956)))&amp;"x")-1))),"Revisar formato")))</f>
        <v/>
      </c>
      <c r="E956" s="24" t="str">
        <f>IF(Registro!$E956="","",IF(ISERROR(FIND("x",LOWER(Registro!$E956))),"-",IFERROR(SUMPRODUCT(--("0"&amp;LEFT(TRIM(MID(SUBSTITUTE(SUBSTITUTE(SUBSTITUTE(SUBSTITUTE(SUBSTITUTE(LOWER(Registro!$E956),"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",LEN(Registro!$E956))),({1,2,3,4,5,6,7,8,9,10,11,12,13,14,15,16,17,18,19,20,21,22,23,24,25,26,27,28,29,30}-1)*LEN(Registro!$E956)+1,LEN(Registro!$E956))),FIND("x",TRIM(MID(SUBSTITUTE(SUBSTITUTE(SUBSTITUTE(SUBSTITUTE(SUBSTITUTE(LOWER(Registro!$E956),"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",LEN(Registro!$E956))),({1,2,3,4,5,6,7,8,9,10,11,12,13,14,15,16,17,18,19,20,21,22,23,24,25,26,27,28,29,30}-1)*LEN(Registro!$E956)+1,LEN(Registro!$E956)))&amp;"x")-1)),--("0"&amp;MID(TRIM(MID(SUBSTITUTE(SUBSTITUTE(SUBSTITUTE(SUBSTITUTE(SUBSTITUTE(LOWER(Registro!$E956),"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",LEN(Registro!$E956))),({1,2,3,4,5,6,7,8,9,10,11,12,13,14,15,16,17,18,19,20,21,22,23,24,25,26,27,28,29,30}-1)*LEN(Registro!$E956)+1,LEN(Registro!$E956))),FIND("x",TRIM(MID(SUBSTITUTE(SUBSTITUTE(SUBSTITUTE(SUBSTITUTE(SUBSTITUTE(LOWER(Registro!$E956),"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",LEN(Registro!$E956))),({1,2,3,4,5,6,7,8,9,10,11,12,13,14,15,16,17,18,19,20,21,22,23,24,25,26,27,28,29,30}-1)*LEN(Registro!$E956)+1,LEN(Registro!$E956)))&amp;"x")+1,20))),"Revisar formato")))</f>
        <v/>
      </c>
      <c r="F956" s="23" t="str">
        <f>IF(Registro!$F956="","",IF(ISERROR(FIND("x",LOWER(Registro!$F956))),"-",IFERROR(SUMPRODUCT(--("0"&amp;LEFT(TRIM(MID(SUBSTITUTE(SUBSTITUTE(SUBSTITUTE(SUBSTITUTE(SUBSTITUTE(LOWER(Registro!$F956)," ",""),CHAR(10),"|"),";","|"),"+","|"),"|",REPT(" ",LEN(Registro!$F956))),({1,2,3,4,5,6,7,8,9,10,11,12,13,14,15,16,17,18,19,20,21,22,23,24,25,26,27,28,29,30}-1)*LEN(Registro!$F956)+1,LEN(Registro!$F956))),FIND("x",TRIM(MID(SUBSTITUTE(SUBSTITUTE(SUBSTITUTE(SUBSTITUTE(SUBSTITUTE(LOWER(Registro!$F956)," ",""),CHAR(10),"|"),";","|"),"+","|"),"|",REPT(" ",LEN(Registro!$F956))),({1,2,3,4,5,6,7,8,9,10,11,12,13,14,15,16,17,18,19,20,21,22,23,24,25,26,27,28,29,30}-1)*LEN(Registro!$F956)+1,LEN(Registro!$F956)))&amp;"x")-1))),"Revisar formato")))</f>
        <v/>
      </c>
      <c r="G956" s="24" t="str">
        <f>IF(Registro!$F956="","",IF(ISERROR(FIND("x",LOWER(Registro!$F956))),N(Registro!$G956),IFERROR(SUMPRODUCT(--("0"&amp;LEFT(TRIM(MID(SUBSTITUTE(SUBSTITUTE(SUBSTITUTE(SUBSTITUTE(SUBSTITUTE(LOWER(Registro!$F956)," ",""),CHAR(10),"|"),";","|"),"+","|"),"|",REPT(" ",LEN(Registro!$F956))),({1,2,3,4,5,6,7,8,9,10,11,12,13,14,15,16,17,18,19,20,21,22,23,24,25,26,27,28,29,30}-1)*LEN(Registro!$F956)+1,LEN(Registro!$F956))),FIND("x",TRIM(MID(SUBSTITUTE(SUBSTITUTE(SUBSTITUTE(SUBSTITUTE(SUBSTITUTE(LOWER(Registro!$F956)," ",""),CHAR(10),"|"),";","|"),"+","|"),"|",REPT(" ",LEN(Registro!$F956))),({1,2,3,4,5,6,7,8,9,10,11,12,13,14,15,16,17,18,19,20,21,22,23,24,25,26,27,28,29,30}-1)*LEN(Registro!$F956)+1,LEN(Registro!$F956)))&amp;"x")-1)),--("0"&amp;MID(TRIM(MID(SUBSTITUTE(SUBSTITUTE(SUBSTITUTE(SUBSTITUTE(SUBSTITUTE(LOWER(Registro!$F956)," ",""),CHAR(10),"|"),";","|"),"+","|"),"|",REPT(" ",LEN(Registro!$F956))),({1,2,3,4,5,6,7,8,9,10,11,12,13,14,15,16,17,18,19,20,21,22,23,24,25,26,27,28,29,30}-1)*LEN(Registro!$F956)+1,LEN(Registro!$F956))),FIND("x",TRIM(MID(SUBSTITUTE(SUBSTITUTE(SUBSTITUTE(SUBSTITUTE(SUBSTITUTE(LOWER(Registro!$F956)," ",""),CHAR(10),"|"),";","|"),"+","|"),"|",REPT(" ",LEN(Registro!$F956))),({1,2,3,4,5,6,7,8,9,10,11,12,13,14,15,16,17,18,19,20,21,22,23,24,25,26,27,28,29,30}-1)*LEN(Registro!$F956)+1,LEN(Registro!$F956)))&amp;"x")+1,20))),"Revisar formato")))</f>
        <v/>
      </c>
      <c r="H956" s="21" t="str">
        <f>IF(AND(Registro!$E956="",Registro!$F956=""),"",IF(NOT(AND(ISNUMBER(G956),ISNUMBER(Registro!$G956))),"",IF(G956&lt;Registro!$G956,"FALTA BOLETOS",IF(G956=Registro!$G956,"CONFORME","DIFERENCIA"))))</f>
        <v/>
      </c>
      <c r="I956" s="24" t="str">
        <f>IF(Registro!$H956="","",IFERROR(SUMPRODUCT(--("0"&amp;TRIM(RIGHT(SUBSTITUTE(TRIM(MID(SUBSTITUTE(SUBSTITUTE(Registro!$H956,";",CHAR(10)),CHAR(10),REPT(" ",LEN(Registro!$H956))),({1,2,3,4,5,6,7,8,9,10,11,12,13,14,15,16,17,18,19,20,21,22,23,24,25,26,27,28,29,30}-1)*LEN(Registro!$H956)+1,LEN(Registro!$H956)))," ",REPT(" ",50)),50)))),"Revisar formato"))</f>
        <v/>
      </c>
      <c r="J956" s="24" t="str">
        <f>IF(Registro!$I956="","",IFERROR(SUMPRODUCT(--("0"&amp;TRIM(RIGHT(SUBSTITUTE(TRIM(MID(SUBSTITUTE(SUBSTITUTE(Registro!$I956,";",CHAR(10)),CHAR(10),REPT(" ",LEN(Registro!$I956))),({1,2,3,4,5,6,7,8,9,10,11,12,13,14,15,16,17,18,19,20,21,22,23,24,25,26,27,28,29,30}-1)*LEN(Registro!$I956)+1,LEN(Registro!$I956)))," ",REPT(" ",50)),50)))),"Revisar formato"))</f>
        <v/>
      </c>
      <c r="K956" s="24" t="str">
        <f>IF(AND(Registro!$G956="",Registro!$H956=""),"",IF(AND(ISTEXT(I956),I956&lt;&gt;""),"Revisar formato",N(Registro!$G956)-N(I956)))</f>
        <v/>
      </c>
      <c r="L956" s="24" t="str">
        <f t="shared" si="29"/>
        <v/>
      </c>
      <c r="M956" s="36" t="str">
        <f>IF(AND(A956=Consulta!$B$3,C956=Consulta!$H$3),B956*10000+ROW(),"")</f>
        <v/>
      </c>
    </row>
    <row r="957" spans="1:13" x14ac:dyDescent="0.25">
      <c r="A957" s="21" t="str">
        <f>IF(Registro!$A957="","",Registro!$A957)</f>
        <v/>
      </c>
      <c r="B957" s="20" t="str">
        <f>IF(Registro!$B957="","",Registro!$B957)</f>
        <v/>
      </c>
      <c r="C957" s="35" t="str">
        <f t="shared" si="28"/>
        <v/>
      </c>
      <c r="D957" s="23" t="str">
        <f>IF(Registro!$E957="","",IF(ISERROR(FIND("x",LOWER(Registro!$E957))),"-",IFERROR(SUMPRODUCT(--("0"&amp;LEFT(TRIM(MID(SUBSTITUTE(SUBSTITUTE(SUBSTITUTE(SUBSTITUTE(SUBSTITUTE(LOWER(Registro!$E957),"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",LEN(Registro!$E957))),({1,2,3,4,5,6,7,8,9,10,11,12,13,14,15,16,17,18,19,20,21,22,23,24,25,26,27,28,29,30}-1)*LEN(Registro!$E957)+1,LEN(Registro!$E957))),FIND("x",TRIM(MID(SUBSTITUTE(SUBSTITUTE(SUBSTITUTE(SUBSTITUTE(SUBSTITUTE(LOWER(Registro!$E957),"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",LEN(Registro!$E957))),({1,2,3,4,5,6,7,8,9,10,11,12,13,14,15,16,17,18,19,20,21,22,23,24,25,26,27,28,29,30}-1)*LEN(Registro!$E957)+1,LEN(Registro!$E957)))&amp;"x")-1))),"Revisar formato")))</f>
        <v/>
      </c>
      <c r="E957" s="24" t="str">
        <f>IF(Registro!$E957="","",IF(ISERROR(FIND("x",LOWER(Registro!$E957))),"-",IFERROR(SUMPRODUCT(--("0"&amp;LEFT(TRIM(MID(SUBSTITUTE(SUBSTITUTE(SUBSTITUTE(SUBSTITUTE(SUBSTITUTE(LOWER(Registro!$E957),"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",LEN(Registro!$E957))),({1,2,3,4,5,6,7,8,9,10,11,12,13,14,15,16,17,18,19,20,21,22,23,24,25,26,27,28,29,30}-1)*LEN(Registro!$E957)+1,LEN(Registro!$E957))),FIND("x",TRIM(MID(SUBSTITUTE(SUBSTITUTE(SUBSTITUTE(SUBSTITUTE(SUBSTITUTE(LOWER(Registro!$E957),"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",LEN(Registro!$E957))),({1,2,3,4,5,6,7,8,9,10,11,12,13,14,15,16,17,18,19,20,21,22,23,24,25,26,27,28,29,30}-1)*LEN(Registro!$E957)+1,LEN(Registro!$E957)))&amp;"x")-1)),--("0"&amp;MID(TRIM(MID(SUBSTITUTE(SUBSTITUTE(SUBSTITUTE(SUBSTITUTE(SUBSTITUTE(LOWER(Registro!$E957),"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",LEN(Registro!$E957))),({1,2,3,4,5,6,7,8,9,10,11,12,13,14,15,16,17,18,19,20,21,22,23,24,25,26,27,28,29,30}-1)*LEN(Registro!$E957)+1,LEN(Registro!$E957))),FIND("x",TRIM(MID(SUBSTITUTE(SUBSTITUTE(SUBSTITUTE(SUBSTITUTE(SUBSTITUTE(LOWER(Registro!$E957),"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",LEN(Registro!$E957))),({1,2,3,4,5,6,7,8,9,10,11,12,13,14,15,16,17,18,19,20,21,22,23,24,25,26,27,28,29,30}-1)*LEN(Registro!$E957)+1,LEN(Registro!$E957)))&amp;"x")+1,20))),"Revisar formato")))</f>
        <v/>
      </c>
      <c r="F957" s="23" t="str">
        <f>IF(Registro!$F957="","",IF(ISERROR(FIND("x",LOWER(Registro!$F957))),"-",IFERROR(SUMPRODUCT(--("0"&amp;LEFT(TRIM(MID(SUBSTITUTE(SUBSTITUTE(SUBSTITUTE(SUBSTITUTE(SUBSTITUTE(LOWER(Registro!$F957)," ",""),CHAR(10),"|"),";","|"),"+","|"),"|",REPT(" ",LEN(Registro!$F957))),({1,2,3,4,5,6,7,8,9,10,11,12,13,14,15,16,17,18,19,20,21,22,23,24,25,26,27,28,29,30}-1)*LEN(Registro!$F957)+1,LEN(Registro!$F957))),FIND("x",TRIM(MID(SUBSTITUTE(SUBSTITUTE(SUBSTITUTE(SUBSTITUTE(SUBSTITUTE(LOWER(Registro!$F957)," ",""),CHAR(10),"|"),";","|"),"+","|"),"|",REPT(" ",LEN(Registro!$F957))),({1,2,3,4,5,6,7,8,9,10,11,12,13,14,15,16,17,18,19,20,21,22,23,24,25,26,27,28,29,30}-1)*LEN(Registro!$F957)+1,LEN(Registro!$F957)))&amp;"x")-1))),"Revisar formato")))</f>
        <v/>
      </c>
      <c r="G957" s="24" t="str">
        <f>IF(Registro!$F957="","",IF(ISERROR(FIND("x",LOWER(Registro!$F957))),N(Registro!$G957),IFERROR(SUMPRODUCT(--("0"&amp;LEFT(TRIM(MID(SUBSTITUTE(SUBSTITUTE(SUBSTITUTE(SUBSTITUTE(SUBSTITUTE(LOWER(Registro!$F957)," ",""),CHAR(10),"|"),";","|"),"+","|"),"|",REPT(" ",LEN(Registro!$F957))),({1,2,3,4,5,6,7,8,9,10,11,12,13,14,15,16,17,18,19,20,21,22,23,24,25,26,27,28,29,30}-1)*LEN(Registro!$F957)+1,LEN(Registro!$F957))),FIND("x",TRIM(MID(SUBSTITUTE(SUBSTITUTE(SUBSTITUTE(SUBSTITUTE(SUBSTITUTE(LOWER(Registro!$F957)," ",""),CHAR(10),"|"),";","|"),"+","|"),"|",REPT(" ",LEN(Registro!$F957))),({1,2,3,4,5,6,7,8,9,10,11,12,13,14,15,16,17,18,19,20,21,22,23,24,25,26,27,28,29,30}-1)*LEN(Registro!$F957)+1,LEN(Registro!$F957)))&amp;"x")-1)),--("0"&amp;MID(TRIM(MID(SUBSTITUTE(SUBSTITUTE(SUBSTITUTE(SUBSTITUTE(SUBSTITUTE(LOWER(Registro!$F957)," ",""),CHAR(10),"|"),";","|"),"+","|"),"|",REPT(" ",LEN(Registro!$F957))),({1,2,3,4,5,6,7,8,9,10,11,12,13,14,15,16,17,18,19,20,21,22,23,24,25,26,27,28,29,30}-1)*LEN(Registro!$F957)+1,LEN(Registro!$F957))),FIND("x",TRIM(MID(SUBSTITUTE(SUBSTITUTE(SUBSTITUTE(SUBSTITUTE(SUBSTITUTE(LOWER(Registro!$F957)," ",""),CHAR(10),"|"),";","|"),"+","|"),"|",REPT(" ",LEN(Registro!$F957))),({1,2,3,4,5,6,7,8,9,10,11,12,13,14,15,16,17,18,19,20,21,22,23,24,25,26,27,28,29,30}-1)*LEN(Registro!$F957)+1,LEN(Registro!$F957)))&amp;"x")+1,20))),"Revisar formato")))</f>
        <v/>
      </c>
      <c r="H957" s="21" t="str">
        <f>IF(AND(Registro!$E957="",Registro!$F957=""),"",IF(NOT(AND(ISNUMBER(G957),ISNUMBER(Registro!$G957))),"",IF(G957&lt;Registro!$G957,"FALTA BOLETOS",IF(G957=Registro!$G957,"CONFORME","DIFERENCIA"))))</f>
        <v/>
      </c>
      <c r="I957" s="24" t="str">
        <f>IF(Registro!$H957="","",IFERROR(SUMPRODUCT(--("0"&amp;TRIM(RIGHT(SUBSTITUTE(TRIM(MID(SUBSTITUTE(SUBSTITUTE(Registro!$H957,";",CHAR(10)),CHAR(10),REPT(" ",LEN(Registro!$H957))),({1,2,3,4,5,6,7,8,9,10,11,12,13,14,15,16,17,18,19,20,21,22,23,24,25,26,27,28,29,30}-1)*LEN(Registro!$H957)+1,LEN(Registro!$H957)))," ",REPT(" ",50)),50)))),"Revisar formato"))</f>
        <v/>
      </c>
      <c r="J957" s="24" t="str">
        <f>IF(Registro!$I957="","",IFERROR(SUMPRODUCT(--("0"&amp;TRIM(RIGHT(SUBSTITUTE(TRIM(MID(SUBSTITUTE(SUBSTITUTE(Registro!$I957,";",CHAR(10)),CHAR(10),REPT(" ",LEN(Registro!$I957))),({1,2,3,4,5,6,7,8,9,10,11,12,13,14,15,16,17,18,19,20,21,22,23,24,25,26,27,28,29,30}-1)*LEN(Registro!$I957)+1,LEN(Registro!$I957)))," ",REPT(" ",50)),50)))),"Revisar formato"))</f>
        <v/>
      </c>
      <c r="K957" s="24" t="str">
        <f>IF(AND(Registro!$G957="",Registro!$H957=""),"",IF(AND(ISTEXT(I957),I957&lt;&gt;""),"Revisar formato",N(Registro!$G957)-N(I957)))</f>
        <v/>
      </c>
      <c r="L957" s="24" t="str">
        <f t="shared" si="29"/>
        <v/>
      </c>
      <c r="M957" s="36" t="str">
        <f>IF(AND(A957=Consulta!$B$3,C957=Consulta!$H$3),B957*10000+ROW(),"")</f>
        <v/>
      </c>
    </row>
    <row r="958" spans="1:13" x14ac:dyDescent="0.25">
      <c r="A958" s="21" t="str">
        <f>IF(Registro!$A958="","",Registro!$A958)</f>
        <v/>
      </c>
      <c r="B958" s="20" t="str">
        <f>IF(Registro!$B958="","",Registro!$B958)</f>
        <v/>
      </c>
      <c r="C958" s="35" t="str">
        <f t="shared" si="28"/>
        <v/>
      </c>
      <c r="D958" s="23" t="str">
        <f>IF(Registro!$E958="","",IF(ISERROR(FIND("x",LOWER(Registro!$E958))),"-",IFERROR(SUMPRODUCT(--("0"&amp;LEFT(TRIM(MID(SUBSTITUTE(SUBSTITUTE(SUBSTITUTE(SUBSTITUTE(SUBSTITUTE(LOWER(Registro!$E958),"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",LEN(Registro!$E958))),({1,2,3,4,5,6,7,8,9,10,11,12,13,14,15,16,17,18,19,20,21,22,23,24,25,26,27,28,29,30}-1)*LEN(Registro!$E958)+1,LEN(Registro!$E958))),FIND("x",TRIM(MID(SUBSTITUTE(SUBSTITUTE(SUBSTITUTE(SUBSTITUTE(SUBSTITUTE(LOWER(Registro!$E958),"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",LEN(Registro!$E958))),({1,2,3,4,5,6,7,8,9,10,11,12,13,14,15,16,17,18,19,20,21,22,23,24,25,26,27,28,29,30}-1)*LEN(Registro!$E958)+1,LEN(Registro!$E958)))&amp;"x")-1))),"Revisar formato")))</f>
        <v/>
      </c>
      <c r="E958" s="24" t="str">
        <f>IF(Registro!$E958="","",IF(ISERROR(FIND("x",LOWER(Registro!$E958))),"-",IFERROR(SUMPRODUCT(--("0"&amp;LEFT(TRIM(MID(SUBSTITUTE(SUBSTITUTE(SUBSTITUTE(SUBSTITUTE(SUBSTITUTE(LOWER(Registro!$E958),"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",LEN(Registro!$E958))),({1,2,3,4,5,6,7,8,9,10,11,12,13,14,15,16,17,18,19,20,21,22,23,24,25,26,27,28,29,30}-1)*LEN(Registro!$E958)+1,LEN(Registro!$E958))),FIND("x",TRIM(MID(SUBSTITUTE(SUBSTITUTE(SUBSTITUTE(SUBSTITUTE(SUBSTITUTE(LOWER(Registro!$E958),"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",LEN(Registro!$E958))),({1,2,3,4,5,6,7,8,9,10,11,12,13,14,15,16,17,18,19,20,21,22,23,24,25,26,27,28,29,30}-1)*LEN(Registro!$E958)+1,LEN(Registro!$E958)))&amp;"x")-1)),--("0"&amp;MID(TRIM(MID(SUBSTITUTE(SUBSTITUTE(SUBSTITUTE(SUBSTITUTE(SUBSTITUTE(LOWER(Registro!$E958),"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",LEN(Registro!$E958))),({1,2,3,4,5,6,7,8,9,10,11,12,13,14,15,16,17,18,19,20,21,22,23,24,25,26,27,28,29,30}-1)*LEN(Registro!$E958)+1,LEN(Registro!$E958))),FIND("x",TRIM(MID(SUBSTITUTE(SUBSTITUTE(SUBSTITUTE(SUBSTITUTE(SUBSTITUTE(LOWER(Registro!$E958),"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",LEN(Registro!$E958))),({1,2,3,4,5,6,7,8,9,10,11,12,13,14,15,16,17,18,19,20,21,22,23,24,25,26,27,28,29,30}-1)*LEN(Registro!$E958)+1,LEN(Registro!$E958)))&amp;"x")+1,20))),"Revisar formato")))</f>
        <v/>
      </c>
      <c r="F958" s="23" t="str">
        <f>IF(Registro!$F958="","",IF(ISERROR(FIND("x",LOWER(Registro!$F958))),"-",IFERROR(SUMPRODUCT(--("0"&amp;LEFT(TRIM(MID(SUBSTITUTE(SUBSTITUTE(SUBSTITUTE(SUBSTITUTE(SUBSTITUTE(LOWER(Registro!$F958)," ",""),CHAR(10),"|"),";","|"),"+","|"),"|",REPT(" ",LEN(Registro!$F958))),({1,2,3,4,5,6,7,8,9,10,11,12,13,14,15,16,17,18,19,20,21,22,23,24,25,26,27,28,29,30}-1)*LEN(Registro!$F958)+1,LEN(Registro!$F958))),FIND("x",TRIM(MID(SUBSTITUTE(SUBSTITUTE(SUBSTITUTE(SUBSTITUTE(SUBSTITUTE(LOWER(Registro!$F958)," ",""),CHAR(10),"|"),";","|"),"+","|"),"|",REPT(" ",LEN(Registro!$F958))),({1,2,3,4,5,6,7,8,9,10,11,12,13,14,15,16,17,18,19,20,21,22,23,24,25,26,27,28,29,30}-1)*LEN(Registro!$F958)+1,LEN(Registro!$F958)))&amp;"x")-1))),"Revisar formato")))</f>
        <v/>
      </c>
      <c r="G958" s="24" t="str">
        <f>IF(Registro!$F958="","",IF(ISERROR(FIND("x",LOWER(Registro!$F958))),N(Registro!$G958),IFERROR(SUMPRODUCT(--("0"&amp;LEFT(TRIM(MID(SUBSTITUTE(SUBSTITUTE(SUBSTITUTE(SUBSTITUTE(SUBSTITUTE(LOWER(Registro!$F958)," ",""),CHAR(10),"|"),";","|"),"+","|"),"|",REPT(" ",LEN(Registro!$F958))),({1,2,3,4,5,6,7,8,9,10,11,12,13,14,15,16,17,18,19,20,21,22,23,24,25,26,27,28,29,30}-1)*LEN(Registro!$F958)+1,LEN(Registro!$F958))),FIND("x",TRIM(MID(SUBSTITUTE(SUBSTITUTE(SUBSTITUTE(SUBSTITUTE(SUBSTITUTE(LOWER(Registro!$F958)," ",""),CHAR(10),"|"),";","|"),"+","|"),"|",REPT(" ",LEN(Registro!$F958))),({1,2,3,4,5,6,7,8,9,10,11,12,13,14,15,16,17,18,19,20,21,22,23,24,25,26,27,28,29,30}-1)*LEN(Registro!$F958)+1,LEN(Registro!$F958)))&amp;"x")-1)),--("0"&amp;MID(TRIM(MID(SUBSTITUTE(SUBSTITUTE(SUBSTITUTE(SUBSTITUTE(SUBSTITUTE(LOWER(Registro!$F958)," ",""),CHAR(10),"|"),";","|"),"+","|"),"|",REPT(" ",LEN(Registro!$F958))),({1,2,3,4,5,6,7,8,9,10,11,12,13,14,15,16,17,18,19,20,21,22,23,24,25,26,27,28,29,30}-1)*LEN(Registro!$F958)+1,LEN(Registro!$F958))),FIND("x",TRIM(MID(SUBSTITUTE(SUBSTITUTE(SUBSTITUTE(SUBSTITUTE(SUBSTITUTE(LOWER(Registro!$F958)," ",""),CHAR(10),"|"),";","|"),"+","|"),"|",REPT(" ",LEN(Registro!$F958))),({1,2,3,4,5,6,7,8,9,10,11,12,13,14,15,16,17,18,19,20,21,22,23,24,25,26,27,28,29,30}-1)*LEN(Registro!$F958)+1,LEN(Registro!$F958)))&amp;"x")+1,20))),"Revisar formato")))</f>
        <v/>
      </c>
      <c r="H958" s="21" t="str">
        <f>IF(AND(Registro!$E958="",Registro!$F958=""),"",IF(NOT(AND(ISNUMBER(G958),ISNUMBER(Registro!$G958))),"",IF(G958&lt;Registro!$G958,"FALTA BOLETOS",IF(G958=Registro!$G958,"CONFORME","DIFERENCIA"))))</f>
        <v/>
      </c>
      <c r="I958" s="24" t="str">
        <f>IF(Registro!$H958="","",IFERROR(SUMPRODUCT(--("0"&amp;TRIM(RIGHT(SUBSTITUTE(TRIM(MID(SUBSTITUTE(SUBSTITUTE(Registro!$H958,";",CHAR(10)),CHAR(10),REPT(" ",LEN(Registro!$H958))),({1,2,3,4,5,6,7,8,9,10,11,12,13,14,15,16,17,18,19,20,21,22,23,24,25,26,27,28,29,30}-1)*LEN(Registro!$H958)+1,LEN(Registro!$H958)))," ",REPT(" ",50)),50)))),"Revisar formato"))</f>
        <v/>
      </c>
      <c r="J958" s="24" t="str">
        <f>IF(Registro!$I958="","",IFERROR(SUMPRODUCT(--("0"&amp;TRIM(RIGHT(SUBSTITUTE(TRIM(MID(SUBSTITUTE(SUBSTITUTE(Registro!$I958,";",CHAR(10)),CHAR(10),REPT(" ",LEN(Registro!$I958))),({1,2,3,4,5,6,7,8,9,10,11,12,13,14,15,16,17,18,19,20,21,22,23,24,25,26,27,28,29,30}-1)*LEN(Registro!$I958)+1,LEN(Registro!$I958)))," ",REPT(" ",50)),50)))),"Revisar formato"))</f>
        <v/>
      </c>
      <c r="K958" s="24" t="str">
        <f>IF(AND(Registro!$G958="",Registro!$H958=""),"",IF(AND(ISTEXT(I958),I958&lt;&gt;""),"Revisar formato",N(Registro!$G958)-N(I958)))</f>
        <v/>
      </c>
      <c r="L958" s="24" t="str">
        <f t="shared" si="29"/>
        <v/>
      </c>
      <c r="M958" s="36" t="str">
        <f>IF(AND(A958=Consulta!$B$3,C958=Consulta!$H$3),B958*10000+ROW(),"")</f>
        <v/>
      </c>
    </row>
    <row r="959" spans="1:13" x14ac:dyDescent="0.25">
      <c r="A959" s="21" t="str">
        <f>IF(Registro!$A959="","",Registro!$A959)</f>
        <v/>
      </c>
      <c r="B959" s="20" t="str">
        <f>IF(Registro!$B959="","",Registro!$B959)</f>
        <v/>
      </c>
      <c r="C959" s="35" t="str">
        <f t="shared" si="28"/>
        <v/>
      </c>
      <c r="D959" s="23" t="str">
        <f>IF(Registro!$E959="","",IF(ISERROR(FIND("x",LOWER(Registro!$E959))),"-",IFERROR(SUMPRODUCT(--("0"&amp;LEFT(TRIM(MID(SUBSTITUTE(SUBSTITUTE(SUBSTITUTE(SUBSTITUTE(SUBSTITUTE(LOWER(Registro!$E959),"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",LEN(Registro!$E959))),({1,2,3,4,5,6,7,8,9,10,11,12,13,14,15,16,17,18,19,20,21,22,23,24,25,26,27,28,29,30}-1)*LEN(Registro!$E959)+1,LEN(Registro!$E959))),FIND("x",TRIM(MID(SUBSTITUTE(SUBSTITUTE(SUBSTITUTE(SUBSTITUTE(SUBSTITUTE(LOWER(Registro!$E959),"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",LEN(Registro!$E959))),({1,2,3,4,5,6,7,8,9,10,11,12,13,14,15,16,17,18,19,20,21,22,23,24,25,26,27,28,29,30}-1)*LEN(Registro!$E959)+1,LEN(Registro!$E959)))&amp;"x")-1))),"Revisar formato")))</f>
        <v/>
      </c>
      <c r="E959" s="24" t="str">
        <f>IF(Registro!$E959="","",IF(ISERROR(FIND("x",LOWER(Registro!$E959))),"-",IFERROR(SUMPRODUCT(--("0"&amp;LEFT(TRIM(MID(SUBSTITUTE(SUBSTITUTE(SUBSTITUTE(SUBSTITUTE(SUBSTITUTE(LOWER(Registro!$E959),"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",LEN(Registro!$E959))),({1,2,3,4,5,6,7,8,9,10,11,12,13,14,15,16,17,18,19,20,21,22,23,24,25,26,27,28,29,30}-1)*LEN(Registro!$E959)+1,LEN(Registro!$E959))),FIND("x",TRIM(MID(SUBSTITUTE(SUBSTITUTE(SUBSTITUTE(SUBSTITUTE(SUBSTITUTE(LOWER(Registro!$E959),"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",LEN(Registro!$E959))),({1,2,3,4,5,6,7,8,9,10,11,12,13,14,15,16,17,18,19,20,21,22,23,24,25,26,27,28,29,30}-1)*LEN(Registro!$E959)+1,LEN(Registro!$E959)))&amp;"x")-1)),--("0"&amp;MID(TRIM(MID(SUBSTITUTE(SUBSTITUTE(SUBSTITUTE(SUBSTITUTE(SUBSTITUTE(LOWER(Registro!$E959),"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",LEN(Registro!$E959))),({1,2,3,4,5,6,7,8,9,10,11,12,13,14,15,16,17,18,19,20,21,22,23,24,25,26,27,28,29,30}-1)*LEN(Registro!$E959)+1,LEN(Registro!$E959))),FIND("x",TRIM(MID(SUBSTITUTE(SUBSTITUTE(SUBSTITUTE(SUBSTITUTE(SUBSTITUTE(LOWER(Registro!$E959),"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",LEN(Registro!$E959))),({1,2,3,4,5,6,7,8,9,10,11,12,13,14,15,16,17,18,19,20,21,22,23,24,25,26,27,28,29,30}-1)*LEN(Registro!$E959)+1,LEN(Registro!$E959)))&amp;"x")+1,20))),"Revisar formato")))</f>
        <v/>
      </c>
      <c r="F959" s="23" t="str">
        <f>IF(Registro!$F959="","",IF(ISERROR(FIND("x",LOWER(Registro!$F959))),"-",IFERROR(SUMPRODUCT(--("0"&amp;LEFT(TRIM(MID(SUBSTITUTE(SUBSTITUTE(SUBSTITUTE(SUBSTITUTE(SUBSTITUTE(LOWER(Registro!$F959)," ",""),CHAR(10),"|"),";","|"),"+","|"),"|",REPT(" ",LEN(Registro!$F959))),({1,2,3,4,5,6,7,8,9,10,11,12,13,14,15,16,17,18,19,20,21,22,23,24,25,26,27,28,29,30}-1)*LEN(Registro!$F959)+1,LEN(Registro!$F959))),FIND("x",TRIM(MID(SUBSTITUTE(SUBSTITUTE(SUBSTITUTE(SUBSTITUTE(SUBSTITUTE(LOWER(Registro!$F959)," ",""),CHAR(10),"|"),";","|"),"+","|"),"|",REPT(" ",LEN(Registro!$F959))),({1,2,3,4,5,6,7,8,9,10,11,12,13,14,15,16,17,18,19,20,21,22,23,24,25,26,27,28,29,30}-1)*LEN(Registro!$F959)+1,LEN(Registro!$F959)))&amp;"x")-1))),"Revisar formato")))</f>
        <v/>
      </c>
      <c r="G959" s="24" t="str">
        <f>IF(Registro!$F959="","",IF(ISERROR(FIND("x",LOWER(Registro!$F959))),N(Registro!$G959),IFERROR(SUMPRODUCT(--("0"&amp;LEFT(TRIM(MID(SUBSTITUTE(SUBSTITUTE(SUBSTITUTE(SUBSTITUTE(SUBSTITUTE(LOWER(Registro!$F959)," ",""),CHAR(10),"|"),";","|"),"+","|"),"|",REPT(" ",LEN(Registro!$F959))),({1,2,3,4,5,6,7,8,9,10,11,12,13,14,15,16,17,18,19,20,21,22,23,24,25,26,27,28,29,30}-1)*LEN(Registro!$F959)+1,LEN(Registro!$F959))),FIND("x",TRIM(MID(SUBSTITUTE(SUBSTITUTE(SUBSTITUTE(SUBSTITUTE(SUBSTITUTE(LOWER(Registro!$F959)," ",""),CHAR(10),"|"),";","|"),"+","|"),"|",REPT(" ",LEN(Registro!$F959))),({1,2,3,4,5,6,7,8,9,10,11,12,13,14,15,16,17,18,19,20,21,22,23,24,25,26,27,28,29,30}-1)*LEN(Registro!$F959)+1,LEN(Registro!$F959)))&amp;"x")-1)),--("0"&amp;MID(TRIM(MID(SUBSTITUTE(SUBSTITUTE(SUBSTITUTE(SUBSTITUTE(SUBSTITUTE(LOWER(Registro!$F959)," ",""),CHAR(10),"|"),";","|"),"+","|"),"|",REPT(" ",LEN(Registro!$F959))),({1,2,3,4,5,6,7,8,9,10,11,12,13,14,15,16,17,18,19,20,21,22,23,24,25,26,27,28,29,30}-1)*LEN(Registro!$F959)+1,LEN(Registro!$F959))),FIND("x",TRIM(MID(SUBSTITUTE(SUBSTITUTE(SUBSTITUTE(SUBSTITUTE(SUBSTITUTE(LOWER(Registro!$F959)," ",""),CHAR(10),"|"),";","|"),"+","|"),"|",REPT(" ",LEN(Registro!$F959))),({1,2,3,4,5,6,7,8,9,10,11,12,13,14,15,16,17,18,19,20,21,22,23,24,25,26,27,28,29,30}-1)*LEN(Registro!$F959)+1,LEN(Registro!$F959)))&amp;"x")+1,20))),"Revisar formato")))</f>
        <v/>
      </c>
      <c r="H959" s="21" t="str">
        <f>IF(AND(Registro!$E959="",Registro!$F959=""),"",IF(NOT(AND(ISNUMBER(G959),ISNUMBER(Registro!$G959))),"",IF(G959&lt;Registro!$G959,"FALTA BOLETOS",IF(G959=Registro!$G959,"CONFORME","DIFERENCIA"))))</f>
        <v/>
      </c>
      <c r="I959" s="24" t="str">
        <f>IF(Registro!$H959="","",IFERROR(SUMPRODUCT(--("0"&amp;TRIM(RIGHT(SUBSTITUTE(TRIM(MID(SUBSTITUTE(SUBSTITUTE(Registro!$H959,";",CHAR(10)),CHAR(10),REPT(" ",LEN(Registro!$H959))),({1,2,3,4,5,6,7,8,9,10,11,12,13,14,15,16,17,18,19,20,21,22,23,24,25,26,27,28,29,30}-1)*LEN(Registro!$H959)+1,LEN(Registro!$H959)))," ",REPT(" ",50)),50)))),"Revisar formato"))</f>
        <v/>
      </c>
      <c r="J959" s="24" t="str">
        <f>IF(Registro!$I959="","",IFERROR(SUMPRODUCT(--("0"&amp;TRIM(RIGHT(SUBSTITUTE(TRIM(MID(SUBSTITUTE(SUBSTITUTE(Registro!$I959,";",CHAR(10)),CHAR(10),REPT(" ",LEN(Registro!$I959))),({1,2,3,4,5,6,7,8,9,10,11,12,13,14,15,16,17,18,19,20,21,22,23,24,25,26,27,28,29,30}-1)*LEN(Registro!$I959)+1,LEN(Registro!$I959)))," ",REPT(" ",50)),50)))),"Revisar formato"))</f>
        <v/>
      </c>
      <c r="K959" s="24" t="str">
        <f>IF(AND(Registro!$G959="",Registro!$H959=""),"",IF(AND(ISTEXT(I959),I959&lt;&gt;""),"Revisar formato",N(Registro!$G959)-N(I959)))</f>
        <v/>
      </c>
      <c r="L959" s="24" t="str">
        <f t="shared" si="29"/>
        <v/>
      </c>
      <c r="M959" s="36" t="str">
        <f>IF(AND(A959=Consulta!$B$3,C959=Consulta!$H$3),B959*10000+ROW(),"")</f>
        <v/>
      </c>
    </row>
    <row r="960" spans="1:13" x14ac:dyDescent="0.25">
      <c r="A960" s="21" t="str">
        <f>IF(Registro!$A960="","",Registro!$A960)</f>
        <v/>
      </c>
      <c r="B960" s="20" t="str">
        <f>IF(Registro!$B960="","",Registro!$B960)</f>
        <v/>
      </c>
      <c r="C960" s="35" t="str">
        <f t="shared" si="28"/>
        <v/>
      </c>
      <c r="D960" s="23" t="str">
        <f>IF(Registro!$E960="","",IF(ISERROR(FIND("x",LOWER(Registro!$E960))),"-",IFERROR(SUMPRODUCT(--("0"&amp;LEFT(TRIM(MID(SUBSTITUTE(SUBSTITUTE(SUBSTITUTE(SUBSTITUTE(SUBSTITUTE(LOWER(Registro!$E960),"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",LEN(Registro!$E960))),({1,2,3,4,5,6,7,8,9,10,11,12,13,14,15,16,17,18,19,20,21,22,23,24,25,26,27,28,29,30}-1)*LEN(Registro!$E960)+1,LEN(Registro!$E960))),FIND("x",TRIM(MID(SUBSTITUTE(SUBSTITUTE(SUBSTITUTE(SUBSTITUTE(SUBSTITUTE(LOWER(Registro!$E960),"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",LEN(Registro!$E960))),({1,2,3,4,5,6,7,8,9,10,11,12,13,14,15,16,17,18,19,20,21,22,23,24,25,26,27,28,29,30}-1)*LEN(Registro!$E960)+1,LEN(Registro!$E960)))&amp;"x")-1))),"Revisar formato")))</f>
        <v/>
      </c>
      <c r="E960" s="24" t="str">
        <f>IF(Registro!$E960="","",IF(ISERROR(FIND("x",LOWER(Registro!$E960))),"-",IFERROR(SUMPRODUCT(--("0"&amp;LEFT(TRIM(MID(SUBSTITUTE(SUBSTITUTE(SUBSTITUTE(SUBSTITUTE(SUBSTITUTE(LOWER(Registro!$E960),"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",LEN(Registro!$E960))),({1,2,3,4,5,6,7,8,9,10,11,12,13,14,15,16,17,18,19,20,21,22,23,24,25,26,27,28,29,30}-1)*LEN(Registro!$E960)+1,LEN(Registro!$E960))),FIND("x",TRIM(MID(SUBSTITUTE(SUBSTITUTE(SUBSTITUTE(SUBSTITUTE(SUBSTITUTE(LOWER(Registro!$E960),"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",LEN(Registro!$E960))),({1,2,3,4,5,6,7,8,9,10,11,12,13,14,15,16,17,18,19,20,21,22,23,24,25,26,27,28,29,30}-1)*LEN(Registro!$E960)+1,LEN(Registro!$E960)))&amp;"x")-1)),--("0"&amp;MID(TRIM(MID(SUBSTITUTE(SUBSTITUTE(SUBSTITUTE(SUBSTITUTE(SUBSTITUTE(LOWER(Registro!$E960),"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",LEN(Registro!$E960))),({1,2,3,4,5,6,7,8,9,10,11,12,13,14,15,16,17,18,19,20,21,22,23,24,25,26,27,28,29,30}-1)*LEN(Registro!$E960)+1,LEN(Registro!$E960))),FIND("x",TRIM(MID(SUBSTITUTE(SUBSTITUTE(SUBSTITUTE(SUBSTITUTE(SUBSTITUTE(LOWER(Registro!$E960),"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",LEN(Registro!$E960))),({1,2,3,4,5,6,7,8,9,10,11,12,13,14,15,16,17,18,19,20,21,22,23,24,25,26,27,28,29,30}-1)*LEN(Registro!$E960)+1,LEN(Registro!$E960)))&amp;"x")+1,20))),"Revisar formato")))</f>
        <v/>
      </c>
      <c r="F960" s="23" t="str">
        <f>IF(Registro!$F960="","",IF(ISERROR(FIND("x",LOWER(Registro!$F960))),"-",IFERROR(SUMPRODUCT(--("0"&amp;LEFT(TRIM(MID(SUBSTITUTE(SUBSTITUTE(SUBSTITUTE(SUBSTITUTE(SUBSTITUTE(LOWER(Registro!$F960)," ",""),CHAR(10),"|"),";","|"),"+","|"),"|",REPT(" ",LEN(Registro!$F960))),({1,2,3,4,5,6,7,8,9,10,11,12,13,14,15,16,17,18,19,20,21,22,23,24,25,26,27,28,29,30}-1)*LEN(Registro!$F960)+1,LEN(Registro!$F960))),FIND("x",TRIM(MID(SUBSTITUTE(SUBSTITUTE(SUBSTITUTE(SUBSTITUTE(SUBSTITUTE(LOWER(Registro!$F960)," ",""),CHAR(10),"|"),";","|"),"+","|"),"|",REPT(" ",LEN(Registro!$F960))),({1,2,3,4,5,6,7,8,9,10,11,12,13,14,15,16,17,18,19,20,21,22,23,24,25,26,27,28,29,30}-1)*LEN(Registro!$F960)+1,LEN(Registro!$F960)))&amp;"x")-1))),"Revisar formato")))</f>
        <v/>
      </c>
      <c r="G960" s="24" t="str">
        <f>IF(Registro!$F960="","",IF(ISERROR(FIND("x",LOWER(Registro!$F960))),N(Registro!$G960),IFERROR(SUMPRODUCT(--("0"&amp;LEFT(TRIM(MID(SUBSTITUTE(SUBSTITUTE(SUBSTITUTE(SUBSTITUTE(SUBSTITUTE(LOWER(Registro!$F960)," ",""),CHAR(10),"|"),";","|"),"+","|"),"|",REPT(" ",LEN(Registro!$F960))),({1,2,3,4,5,6,7,8,9,10,11,12,13,14,15,16,17,18,19,20,21,22,23,24,25,26,27,28,29,30}-1)*LEN(Registro!$F960)+1,LEN(Registro!$F960))),FIND("x",TRIM(MID(SUBSTITUTE(SUBSTITUTE(SUBSTITUTE(SUBSTITUTE(SUBSTITUTE(LOWER(Registro!$F960)," ",""),CHAR(10),"|"),";","|"),"+","|"),"|",REPT(" ",LEN(Registro!$F960))),({1,2,3,4,5,6,7,8,9,10,11,12,13,14,15,16,17,18,19,20,21,22,23,24,25,26,27,28,29,30}-1)*LEN(Registro!$F960)+1,LEN(Registro!$F960)))&amp;"x")-1)),--("0"&amp;MID(TRIM(MID(SUBSTITUTE(SUBSTITUTE(SUBSTITUTE(SUBSTITUTE(SUBSTITUTE(LOWER(Registro!$F960)," ",""),CHAR(10),"|"),";","|"),"+","|"),"|",REPT(" ",LEN(Registro!$F960))),({1,2,3,4,5,6,7,8,9,10,11,12,13,14,15,16,17,18,19,20,21,22,23,24,25,26,27,28,29,30}-1)*LEN(Registro!$F960)+1,LEN(Registro!$F960))),FIND("x",TRIM(MID(SUBSTITUTE(SUBSTITUTE(SUBSTITUTE(SUBSTITUTE(SUBSTITUTE(LOWER(Registro!$F960)," ",""),CHAR(10),"|"),";","|"),"+","|"),"|",REPT(" ",LEN(Registro!$F960))),({1,2,3,4,5,6,7,8,9,10,11,12,13,14,15,16,17,18,19,20,21,22,23,24,25,26,27,28,29,30}-1)*LEN(Registro!$F960)+1,LEN(Registro!$F960)))&amp;"x")+1,20))),"Revisar formato")))</f>
        <v/>
      </c>
      <c r="H960" s="21" t="str">
        <f>IF(AND(Registro!$E960="",Registro!$F960=""),"",IF(NOT(AND(ISNUMBER(G960),ISNUMBER(Registro!$G960))),"",IF(G960&lt;Registro!$G960,"FALTA BOLETOS",IF(G960=Registro!$G960,"CONFORME","DIFERENCIA"))))</f>
        <v/>
      </c>
      <c r="I960" s="24" t="str">
        <f>IF(Registro!$H960="","",IFERROR(SUMPRODUCT(--("0"&amp;TRIM(RIGHT(SUBSTITUTE(TRIM(MID(SUBSTITUTE(SUBSTITUTE(Registro!$H960,";",CHAR(10)),CHAR(10),REPT(" ",LEN(Registro!$H960))),({1,2,3,4,5,6,7,8,9,10,11,12,13,14,15,16,17,18,19,20,21,22,23,24,25,26,27,28,29,30}-1)*LEN(Registro!$H960)+1,LEN(Registro!$H960)))," ",REPT(" ",50)),50)))),"Revisar formato"))</f>
        <v/>
      </c>
      <c r="J960" s="24" t="str">
        <f>IF(Registro!$I960="","",IFERROR(SUMPRODUCT(--("0"&amp;TRIM(RIGHT(SUBSTITUTE(TRIM(MID(SUBSTITUTE(SUBSTITUTE(Registro!$I960,";",CHAR(10)),CHAR(10),REPT(" ",LEN(Registro!$I960))),({1,2,3,4,5,6,7,8,9,10,11,12,13,14,15,16,17,18,19,20,21,22,23,24,25,26,27,28,29,30}-1)*LEN(Registro!$I960)+1,LEN(Registro!$I960)))," ",REPT(" ",50)),50)))),"Revisar formato"))</f>
        <v/>
      </c>
      <c r="K960" s="24" t="str">
        <f>IF(AND(Registro!$G960="",Registro!$H960=""),"",IF(AND(ISTEXT(I960),I960&lt;&gt;""),"Revisar formato",N(Registro!$G960)-N(I960)))</f>
        <v/>
      </c>
      <c r="L960" s="24" t="str">
        <f t="shared" si="29"/>
        <v/>
      </c>
      <c r="M960" s="36" t="str">
        <f>IF(AND(A960=Consulta!$B$3,C960=Consulta!$H$3),B960*10000+ROW(),"")</f>
        <v/>
      </c>
    </row>
    <row r="961" spans="1:13" x14ac:dyDescent="0.25">
      <c r="A961" s="21" t="str">
        <f>IF(Registro!$A961="","",Registro!$A961)</f>
        <v/>
      </c>
      <c r="B961" s="20" t="str">
        <f>IF(Registro!$B961="","",Registro!$B961)</f>
        <v/>
      </c>
      <c r="C961" s="35" t="str">
        <f t="shared" si="28"/>
        <v/>
      </c>
      <c r="D961" s="23" t="str">
        <f>IF(Registro!$E961="","",IF(ISERROR(FIND("x",LOWER(Registro!$E961))),"-",IFERROR(SUMPRODUCT(--("0"&amp;LEFT(TRIM(MID(SUBSTITUTE(SUBSTITUTE(SUBSTITUTE(SUBSTITUTE(SUBSTITUTE(LOWER(Registro!$E961),"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",LEN(Registro!$E961))),({1,2,3,4,5,6,7,8,9,10,11,12,13,14,15,16,17,18,19,20,21,22,23,24,25,26,27,28,29,30}-1)*LEN(Registro!$E961)+1,LEN(Registro!$E961))),FIND("x",TRIM(MID(SUBSTITUTE(SUBSTITUTE(SUBSTITUTE(SUBSTITUTE(SUBSTITUTE(LOWER(Registro!$E961),"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",LEN(Registro!$E961))),({1,2,3,4,5,6,7,8,9,10,11,12,13,14,15,16,17,18,19,20,21,22,23,24,25,26,27,28,29,30}-1)*LEN(Registro!$E961)+1,LEN(Registro!$E961)))&amp;"x")-1))),"Revisar formato")))</f>
        <v/>
      </c>
      <c r="E961" s="24" t="str">
        <f>IF(Registro!$E961="","",IF(ISERROR(FIND("x",LOWER(Registro!$E961))),"-",IFERROR(SUMPRODUCT(--("0"&amp;LEFT(TRIM(MID(SUBSTITUTE(SUBSTITUTE(SUBSTITUTE(SUBSTITUTE(SUBSTITUTE(LOWER(Registro!$E961),"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",LEN(Registro!$E961))),({1,2,3,4,5,6,7,8,9,10,11,12,13,14,15,16,17,18,19,20,21,22,23,24,25,26,27,28,29,30}-1)*LEN(Registro!$E961)+1,LEN(Registro!$E961))),FIND("x",TRIM(MID(SUBSTITUTE(SUBSTITUTE(SUBSTITUTE(SUBSTITUTE(SUBSTITUTE(LOWER(Registro!$E961),"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",LEN(Registro!$E961))),({1,2,3,4,5,6,7,8,9,10,11,12,13,14,15,16,17,18,19,20,21,22,23,24,25,26,27,28,29,30}-1)*LEN(Registro!$E961)+1,LEN(Registro!$E961)))&amp;"x")-1)),--("0"&amp;MID(TRIM(MID(SUBSTITUTE(SUBSTITUTE(SUBSTITUTE(SUBSTITUTE(SUBSTITUTE(LOWER(Registro!$E961),"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",LEN(Registro!$E961))),({1,2,3,4,5,6,7,8,9,10,11,12,13,14,15,16,17,18,19,20,21,22,23,24,25,26,27,28,29,30}-1)*LEN(Registro!$E961)+1,LEN(Registro!$E961))),FIND("x",TRIM(MID(SUBSTITUTE(SUBSTITUTE(SUBSTITUTE(SUBSTITUTE(SUBSTITUTE(LOWER(Registro!$E961),"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",LEN(Registro!$E961))),({1,2,3,4,5,6,7,8,9,10,11,12,13,14,15,16,17,18,19,20,21,22,23,24,25,26,27,28,29,30}-1)*LEN(Registro!$E961)+1,LEN(Registro!$E961)))&amp;"x")+1,20))),"Revisar formato")))</f>
        <v/>
      </c>
      <c r="F961" s="23" t="str">
        <f>IF(Registro!$F961="","",IF(ISERROR(FIND("x",LOWER(Registro!$F961))),"-",IFERROR(SUMPRODUCT(--("0"&amp;LEFT(TRIM(MID(SUBSTITUTE(SUBSTITUTE(SUBSTITUTE(SUBSTITUTE(SUBSTITUTE(LOWER(Registro!$F961)," ",""),CHAR(10),"|"),";","|"),"+","|"),"|",REPT(" ",LEN(Registro!$F961))),({1,2,3,4,5,6,7,8,9,10,11,12,13,14,15,16,17,18,19,20,21,22,23,24,25,26,27,28,29,30}-1)*LEN(Registro!$F961)+1,LEN(Registro!$F961))),FIND("x",TRIM(MID(SUBSTITUTE(SUBSTITUTE(SUBSTITUTE(SUBSTITUTE(SUBSTITUTE(LOWER(Registro!$F961)," ",""),CHAR(10),"|"),";","|"),"+","|"),"|",REPT(" ",LEN(Registro!$F961))),({1,2,3,4,5,6,7,8,9,10,11,12,13,14,15,16,17,18,19,20,21,22,23,24,25,26,27,28,29,30}-1)*LEN(Registro!$F961)+1,LEN(Registro!$F961)))&amp;"x")-1))),"Revisar formato")))</f>
        <v/>
      </c>
      <c r="G961" s="24" t="str">
        <f>IF(Registro!$F961="","",IF(ISERROR(FIND("x",LOWER(Registro!$F961))),N(Registro!$G961),IFERROR(SUMPRODUCT(--("0"&amp;LEFT(TRIM(MID(SUBSTITUTE(SUBSTITUTE(SUBSTITUTE(SUBSTITUTE(SUBSTITUTE(LOWER(Registro!$F961)," ",""),CHAR(10),"|"),";","|"),"+","|"),"|",REPT(" ",LEN(Registro!$F961))),({1,2,3,4,5,6,7,8,9,10,11,12,13,14,15,16,17,18,19,20,21,22,23,24,25,26,27,28,29,30}-1)*LEN(Registro!$F961)+1,LEN(Registro!$F961))),FIND("x",TRIM(MID(SUBSTITUTE(SUBSTITUTE(SUBSTITUTE(SUBSTITUTE(SUBSTITUTE(LOWER(Registro!$F961)," ",""),CHAR(10),"|"),";","|"),"+","|"),"|",REPT(" ",LEN(Registro!$F961))),({1,2,3,4,5,6,7,8,9,10,11,12,13,14,15,16,17,18,19,20,21,22,23,24,25,26,27,28,29,30}-1)*LEN(Registro!$F961)+1,LEN(Registro!$F961)))&amp;"x")-1)),--("0"&amp;MID(TRIM(MID(SUBSTITUTE(SUBSTITUTE(SUBSTITUTE(SUBSTITUTE(SUBSTITUTE(LOWER(Registro!$F961)," ",""),CHAR(10),"|"),";","|"),"+","|"),"|",REPT(" ",LEN(Registro!$F961))),({1,2,3,4,5,6,7,8,9,10,11,12,13,14,15,16,17,18,19,20,21,22,23,24,25,26,27,28,29,30}-1)*LEN(Registro!$F961)+1,LEN(Registro!$F961))),FIND("x",TRIM(MID(SUBSTITUTE(SUBSTITUTE(SUBSTITUTE(SUBSTITUTE(SUBSTITUTE(LOWER(Registro!$F961)," ",""),CHAR(10),"|"),";","|"),"+","|"),"|",REPT(" ",LEN(Registro!$F961))),({1,2,3,4,5,6,7,8,9,10,11,12,13,14,15,16,17,18,19,20,21,22,23,24,25,26,27,28,29,30}-1)*LEN(Registro!$F961)+1,LEN(Registro!$F961)))&amp;"x")+1,20))),"Revisar formato")))</f>
        <v/>
      </c>
      <c r="H961" s="21" t="str">
        <f>IF(AND(Registro!$E961="",Registro!$F961=""),"",IF(NOT(AND(ISNUMBER(G961),ISNUMBER(Registro!$G961))),"",IF(G961&lt;Registro!$G961,"FALTA BOLETOS",IF(G961=Registro!$G961,"CONFORME","DIFERENCIA"))))</f>
        <v/>
      </c>
      <c r="I961" s="24" t="str">
        <f>IF(Registro!$H961="","",IFERROR(SUMPRODUCT(--("0"&amp;TRIM(RIGHT(SUBSTITUTE(TRIM(MID(SUBSTITUTE(SUBSTITUTE(Registro!$H961,";",CHAR(10)),CHAR(10),REPT(" ",LEN(Registro!$H961))),({1,2,3,4,5,6,7,8,9,10,11,12,13,14,15,16,17,18,19,20,21,22,23,24,25,26,27,28,29,30}-1)*LEN(Registro!$H961)+1,LEN(Registro!$H961)))," ",REPT(" ",50)),50)))),"Revisar formato"))</f>
        <v/>
      </c>
      <c r="J961" s="24" t="str">
        <f>IF(Registro!$I961="","",IFERROR(SUMPRODUCT(--("0"&amp;TRIM(RIGHT(SUBSTITUTE(TRIM(MID(SUBSTITUTE(SUBSTITUTE(Registro!$I961,";",CHAR(10)),CHAR(10),REPT(" ",LEN(Registro!$I961))),({1,2,3,4,5,6,7,8,9,10,11,12,13,14,15,16,17,18,19,20,21,22,23,24,25,26,27,28,29,30}-1)*LEN(Registro!$I961)+1,LEN(Registro!$I961)))," ",REPT(" ",50)),50)))),"Revisar formato"))</f>
        <v/>
      </c>
      <c r="K961" s="24" t="str">
        <f>IF(AND(Registro!$G961="",Registro!$H961=""),"",IF(AND(ISTEXT(I961),I961&lt;&gt;""),"Revisar formato",N(Registro!$G961)-N(I961)))</f>
        <v/>
      </c>
      <c r="L961" s="24" t="str">
        <f t="shared" si="29"/>
        <v/>
      </c>
      <c r="M961" s="36" t="str">
        <f>IF(AND(A961=Consulta!$B$3,C961=Consulta!$H$3),B961*10000+ROW(),"")</f>
        <v/>
      </c>
    </row>
    <row r="962" spans="1:13" x14ac:dyDescent="0.25">
      <c r="A962" s="21" t="str">
        <f>IF(Registro!$A962="","",Registro!$A962)</f>
        <v/>
      </c>
      <c r="B962" s="20" t="str">
        <f>IF(Registro!$B962="","",Registro!$B962)</f>
        <v/>
      </c>
      <c r="C962" s="35" t="str">
        <f t="shared" ref="C962:C1001" si="30">IF(ISNUMBER(B962),YEAR(B962)*100+MONTH(B962),"")</f>
        <v/>
      </c>
      <c r="D962" s="23" t="str">
        <f>IF(Registro!$E962="","",IF(ISERROR(FIND("x",LOWER(Registro!$E962))),"-",IFERROR(SUMPRODUCT(--("0"&amp;LEFT(TRIM(MID(SUBSTITUTE(SUBSTITUTE(SUBSTITUTE(SUBSTITUTE(SUBSTITUTE(LOWER(Registro!$E962),"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",LEN(Registro!$E962))),({1,2,3,4,5,6,7,8,9,10,11,12,13,14,15,16,17,18,19,20,21,22,23,24,25,26,27,28,29,30}-1)*LEN(Registro!$E962)+1,LEN(Registro!$E962))),FIND("x",TRIM(MID(SUBSTITUTE(SUBSTITUTE(SUBSTITUTE(SUBSTITUTE(SUBSTITUTE(LOWER(Registro!$E962),"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",LEN(Registro!$E962))),({1,2,3,4,5,6,7,8,9,10,11,12,13,14,15,16,17,18,19,20,21,22,23,24,25,26,27,28,29,30}-1)*LEN(Registro!$E962)+1,LEN(Registro!$E962)))&amp;"x")-1))),"Revisar formato")))</f>
        <v/>
      </c>
      <c r="E962" s="24" t="str">
        <f>IF(Registro!$E962="","",IF(ISERROR(FIND("x",LOWER(Registro!$E962))),"-",IFERROR(SUMPRODUCT(--("0"&amp;LEFT(TRIM(MID(SUBSTITUTE(SUBSTITUTE(SUBSTITUTE(SUBSTITUTE(SUBSTITUTE(LOWER(Registro!$E962),"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",LEN(Registro!$E962))),({1,2,3,4,5,6,7,8,9,10,11,12,13,14,15,16,17,18,19,20,21,22,23,24,25,26,27,28,29,30}-1)*LEN(Registro!$E962)+1,LEN(Registro!$E962))),FIND("x",TRIM(MID(SUBSTITUTE(SUBSTITUTE(SUBSTITUTE(SUBSTITUTE(SUBSTITUTE(LOWER(Registro!$E962),"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",LEN(Registro!$E962))),({1,2,3,4,5,6,7,8,9,10,11,12,13,14,15,16,17,18,19,20,21,22,23,24,25,26,27,28,29,30}-1)*LEN(Registro!$E962)+1,LEN(Registro!$E962)))&amp;"x")-1)),--("0"&amp;MID(TRIM(MID(SUBSTITUTE(SUBSTITUTE(SUBSTITUTE(SUBSTITUTE(SUBSTITUTE(LOWER(Registro!$E962),"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",LEN(Registro!$E962))),({1,2,3,4,5,6,7,8,9,10,11,12,13,14,15,16,17,18,19,20,21,22,23,24,25,26,27,28,29,30}-1)*LEN(Registro!$E962)+1,LEN(Registro!$E962))),FIND("x",TRIM(MID(SUBSTITUTE(SUBSTITUTE(SUBSTITUTE(SUBSTITUTE(SUBSTITUTE(LOWER(Registro!$E962),"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",LEN(Registro!$E962))),({1,2,3,4,5,6,7,8,9,10,11,12,13,14,15,16,17,18,19,20,21,22,23,24,25,26,27,28,29,30}-1)*LEN(Registro!$E962)+1,LEN(Registro!$E962)))&amp;"x")+1,20))),"Revisar formato")))</f>
        <v/>
      </c>
      <c r="F962" s="23" t="str">
        <f>IF(Registro!$F962="","",IF(ISERROR(FIND("x",LOWER(Registro!$F962))),"-",IFERROR(SUMPRODUCT(--("0"&amp;LEFT(TRIM(MID(SUBSTITUTE(SUBSTITUTE(SUBSTITUTE(SUBSTITUTE(SUBSTITUTE(LOWER(Registro!$F962)," ",""),CHAR(10),"|"),";","|"),"+","|"),"|",REPT(" ",LEN(Registro!$F962))),({1,2,3,4,5,6,7,8,9,10,11,12,13,14,15,16,17,18,19,20,21,22,23,24,25,26,27,28,29,30}-1)*LEN(Registro!$F962)+1,LEN(Registro!$F962))),FIND("x",TRIM(MID(SUBSTITUTE(SUBSTITUTE(SUBSTITUTE(SUBSTITUTE(SUBSTITUTE(LOWER(Registro!$F962)," ",""),CHAR(10),"|"),";","|"),"+","|"),"|",REPT(" ",LEN(Registro!$F962))),({1,2,3,4,5,6,7,8,9,10,11,12,13,14,15,16,17,18,19,20,21,22,23,24,25,26,27,28,29,30}-1)*LEN(Registro!$F962)+1,LEN(Registro!$F962)))&amp;"x")-1))),"Revisar formato")))</f>
        <v/>
      </c>
      <c r="G962" s="24" t="str">
        <f>IF(Registro!$F962="","",IF(ISERROR(FIND("x",LOWER(Registro!$F962))),N(Registro!$G962),IFERROR(SUMPRODUCT(--("0"&amp;LEFT(TRIM(MID(SUBSTITUTE(SUBSTITUTE(SUBSTITUTE(SUBSTITUTE(SUBSTITUTE(LOWER(Registro!$F962)," ",""),CHAR(10),"|"),";","|"),"+","|"),"|",REPT(" ",LEN(Registro!$F962))),({1,2,3,4,5,6,7,8,9,10,11,12,13,14,15,16,17,18,19,20,21,22,23,24,25,26,27,28,29,30}-1)*LEN(Registro!$F962)+1,LEN(Registro!$F962))),FIND("x",TRIM(MID(SUBSTITUTE(SUBSTITUTE(SUBSTITUTE(SUBSTITUTE(SUBSTITUTE(LOWER(Registro!$F962)," ",""),CHAR(10),"|"),";","|"),"+","|"),"|",REPT(" ",LEN(Registro!$F962))),({1,2,3,4,5,6,7,8,9,10,11,12,13,14,15,16,17,18,19,20,21,22,23,24,25,26,27,28,29,30}-1)*LEN(Registro!$F962)+1,LEN(Registro!$F962)))&amp;"x")-1)),--("0"&amp;MID(TRIM(MID(SUBSTITUTE(SUBSTITUTE(SUBSTITUTE(SUBSTITUTE(SUBSTITUTE(LOWER(Registro!$F962)," ",""),CHAR(10),"|"),";","|"),"+","|"),"|",REPT(" ",LEN(Registro!$F962))),({1,2,3,4,5,6,7,8,9,10,11,12,13,14,15,16,17,18,19,20,21,22,23,24,25,26,27,28,29,30}-1)*LEN(Registro!$F962)+1,LEN(Registro!$F962))),FIND("x",TRIM(MID(SUBSTITUTE(SUBSTITUTE(SUBSTITUTE(SUBSTITUTE(SUBSTITUTE(LOWER(Registro!$F962)," ",""),CHAR(10),"|"),";","|"),"+","|"),"|",REPT(" ",LEN(Registro!$F962))),({1,2,3,4,5,6,7,8,9,10,11,12,13,14,15,16,17,18,19,20,21,22,23,24,25,26,27,28,29,30}-1)*LEN(Registro!$F962)+1,LEN(Registro!$F962)))&amp;"x")+1,20))),"Revisar formato")))</f>
        <v/>
      </c>
      <c r="H962" s="21" t="str">
        <f>IF(AND(Registro!$E962="",Registro!$F962=""),"",IF(NOT(AND(ISNUMBER(G962),ISNUMBER(Registro!$G962))),"",IF(G962&lt;Registro!$G962,"FALTA BOLETOS",IF(G962=Registro!$G962,"CONFORME","DIFERENCIA"))))</f>
        <v/>
      </c>
      <c r="I962" s="24" t="str">
        <f>IF(Registro!$H962="","",IFERROR(SUMPRODUCT(--("0"&amp;TRIM(RIGHT(SUBSTITUTE(TRIM(MID(SUBSTITUTE(SUBSTITUTE(Registro!$H962,";",CHAR(10)),CHAR(10),REPT(" ",LEN(Registro!$H962))),({1,2,3,4,5,6,7,8,9,10,11,12,13,14,15,16,17,18,19,20,21,22,23,24,25,26,27,28,29,30}-1)*LEN(Registro!$H962)+1,LEN(Registro!$H962)))," ",REPT(" ",50)),50)))),"Revisar formato"))</f>
        <v/>
      </c>
      <c r="J962" s="24" t="str">
        <f>IF(Registro!$I962="","",IFERROR(SUMPRODUCT(--("0"&amp;TRIM(RIGHT(SUBSTITUTE(TRIM(MID(SUBSTITUTE(SUBSTITUTE(Registro!$I962,";",CHAR(10)),CHAR(10),REPT(" ",LEN(Registro!$I962))),({1,2,3,4,5,6,7,8,9,10,11,12,13,14,15,16,17,18,19,20,21,22,23,24,25,26,27,28,29,30}-1)*LEN(Registro!$I962)+1,LEN(Registro!$I962)))," ",REPT(" ",50)),50)))),"Revisar formato"))</f>
        <v/>
      </c>
      <c r="K962" s="24" t="str">
        <f>IF(AND(Registro!$G962="",Registro!$H962=""),"",IF(AND(ISTEXT(I962),I962&lt;&gt;""),"Revisar formato",N(Registro!$G962)-N(I962)))</f>
        <v/>
      </c>
      <c r="L962" s="24" t="str">
        <f t="shared" ref="L962:L1001" si="31">IF(K962="","",IF(OR(K962="Revisar formato",AND(ISTEXT(J962),J962&lt;&gt;"")),"Revisar formato",K962-N(J962)))</f>
        <v/>
      </c>
      <c r="M962" s="36" t="str">
        <f>IF(AND(A962=Consulta!$B$3,C962=Consulta!$H$3),B962*10000+ROW(),"")</f>
        <v/>
      </c>
    </row>
    <row r="963" spans="1:13" x14ac:dyDescent="0.25">
      <c r="A963" s="21" t="str">
        <f>IF(Registro!$A963="","",Registro!$A963)</f>
        <v/>
      </c>
      <c r="B963" s="20" t="str">
        <f>IF(Registro!$B963="","",Registro!$B963)</f>
        <v/>
      </c>
      <c r="C963" s="35" t="str">
        <f t="shared" si="30"/>
        <v/>
      </c>
      <c r="D963" s="23" t="str">
        <f>IF(Registro!$E963="","",IF(ISERROR(FIND("x",LOWER(Registro!$E963))),"-",IFERROR(SUMPRODUCT(--("0"&amp;LEFT(TRIM(MID(SUBSTITUTE(SUBSTITUTE(SUBSTITUTE(SUBSTITUTE(SUBSTITUTE(LOWER(Registro!$E963),"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",LEN(Registro!$E963))),({1,2,3,4,5,6,7,8,9,10,11,12,13,14,15,16,17,18,19,20,21,22,23,24,25,26,27,28,29,30}-1)*LEN(Registro!$E963)+1,LEN(Registro!$E963))),FIND("x",TRIM(MID(SUBSTITUTE(SUBSTITUTE(SUBSTITUTE(SUBSTITUTE(SUBSTITUTE(LOWER(Registro!$E963),"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",LEN(Registro!$E963))),({1,2,3,4,5,6,7,8,9,10,11,12,13,14,15,16,17,18,19,20,21,22,23,24,25,26,27,28,29,30}-1)*LEN(Registro!$E963)+1,LEN(Registro!$E963)))&amp;"x")-1))),"Revisar formato")))</f>
        <v/>
      </c>
      <c r="E963" s="24" t="str">
        <f>IF(Registro!$E963="","",IF(ISERROR(FIND("x",LOWER(Registro!$E963))),"-",IFERROR(SUMPRODUCT(--("0"&amp;LEFT(TRIM(MID(SUBSTITUTE(SUBSTITUTE(SUBSTITUTE(SUBSTITUTE(SUBSTITUTE(LOWER(Registro!$E963),"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",LEN(Registro!$E963))),({1,2,3,4,5,6,7,8,9,10,11,12,13,14,15,16,17,18,19,20,21,22,23,24,25,26,27,28,29,30}-1)*LEN(Registro!$E963)+1,LEN(Registro!$E963))),FIND("x",TRIM(MID(SUBSTITUTE(SUBSTITUTE(SUBSTITUTE(SUBSTITUTE(SUBSTITUTE(LOWER(Registro!$E963),"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",LEN(Registro!$E963))),({1,2,3,4,5,6,7,8,9,10,11,12,13,14,15,16,17,18,19,20,21,22,23,24,25,26,27,28,29,30}-1)*LEN(Registro!$E963)+1,LEN(Registro!$E963)))&amp;"x")-1)),--("0"&amp;MID(TRIM(MID(SUBSTITUTE(SUBSTITUTE(SUBSTITUTE(SUBSTITUTE(SUBSTITUTE(LOWER(Registro!$E963),"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",LEN(Registro!$E963))),({1,2,3,4,5,6,7,8,9,10,11,12,13,14,15,16,17,18,19,20,21,22,23,24,25,26,27,28,29,30}-1)*LEN(Registro!$E963)+1,LEN(Registro!$E963))),FIND("x",TRIM(MID(SUBSTITUTE(SUBSTITUTE(SUBSTITUTE(SUBSTITUTE(SUBSTITUTE(LOWER(Registro!$E963),"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",LEN(Registro!$E963))),({1,2,3,4,5,6,7,8,9,10,11,12,13,14,15,16,17,18,19,20,21,22,23,24,25,26,27,28,29,30}-1)*LEN(Registro!$E963)+1,LEN(Registro!$E963)))&amp;"x")+1,20))),"Revisar formato")))</f>
        <v/>
      </c>
      <c r="F963" s="23" t="str">
        <f>IF(Registro!$F963="","",IF(ISERROR(FIND("x",LOWER(Registro!$F963))),"-",IFERROR(SUMPRODUCT(--("0"&amp;LEFT(TRIM(MID(SUBSTITUTE(SUBSTITUTE(SUBSTITUTE(SUBSTITUTE(SUBSTITUTE(LOWER(Registro!$F963)," ",""),CHAR(10),"|"),";","|"),"+","|"),"|",REPT(" ",LEN(Registro!$F963))),({1,2,3,4,5,6,7,8,9,10,11,12,13,14,15,16,17,18,19,20,21,22,23,24,25,26,27,28,29,30}-1)*LEN(Registro!$F963)+1,LEN(Registro!$F963))),FIND("x",TRIM(MID(SUBSTITUTE(SUBSTITUTE(SUBSTITUTE(SUBSTITUTE(SUBSTITUTE(LOWER(Registro!$F963)," ",""),CHAR(10),"|"),";","|"),"+","|"),"|",REPT(" ",LEN(Registro!$F963))),({1,2,3,4,5,6,7,8,9,10,11,12,13,14,15,16,17,18,19,20,21,22,23,24,25,26,27,28,29,30}-1)*LEN(Registro!$F963)+1,LEN(Registro!$F963)))&amp;"x")-1))),"Revisar formato")))</f>
        <v/>
      </c>
      <c r="G963" s="24" t="str">
        <f>IF(Registro!$F963="","",IF(ISERROR(FIND("x",LOWER(Registro!$F963))),N(Registro!$G963),IFERROR(SUMPRODUCT(--("0"&amp;LEFT(TRIM(MID(SUBSTITUTE(SUBSTITUTE(SUBSTITUTE(SUBSTITUTE(SUBSTITUTE(LOWER(Registro!$F963)," ",""),CHAR(10),"|"),";","|"),"+","|"),"|",REPT(" ",LEN(Registro!$F963))),({1,2,3,4,5,6,7,8,9,10,11,12,13,14,15,16,17,18,19,20,21,22,23,24,25,26,27,28,29,30}-1)*LEN(Registro!$F963)+1,LEN(Registro!$F963))),FIND("x",TRIM(MID(SUBSTITUTE(SUBSTITUTE(SUBSTITUTE(SUBSTITUTE(SUBSTITUTE(LOWER(Registro!$F963)," ",""),CHAR(10),"|"),";","|"),"+","|"),"|",REPT(" ",LEN(Registro!$F963))),({1,2,3,4,5,6,7,8,9,10,11,12,13,14,15,16,17,18,19,20,21,22,23,24,25,26,27,28,29,30}-1)*LEN(Registro!$F963)+1,LEN(Registro!$F963)))&amp;"x")-1)),--("0"&amp;MID(TRIM(MID(SUBSTITUTE(SUBSTITUTE(SUBSTITUTE(SUBSTITUTE(SUBSTITUTE(LOWER(Registro!$F963)," ",""),CHAR(10),"|"),";","|"),"+","|"),"|",REPT(" ",LEN(Registro!$F963))),({1,2,3,4,5,6,7,8,9,10,11,12,13,14,15,16,17,18,19,20,21,22,23,24,25,26,27,28,29,30}-1)*LEN(Registro!$F963)+1,LEN(Registro!$F963))),FIND("x",TRIM(MID(SUBSTITUTE(SUBSTITUTE(SUBSTITUTE(SUBSTITUTE(SUBSTITUTE(LOWER(Registro!$F963)," ",""),CHAR(10),"|"),";","|"),"+","|"),"|",REPT(" ",LEN(Registro!$F963))),({1,2,3,4,5,6,7,8,9,10,11,12,13,14,15,16,17,18,19,20,21,22,23,24,25,26,27,28,29,30}-1)*LEN(Registro!$F963)+1,LEN(Registro!$F963)))&amp;"x")+1,20))),"Revisar formato")))</f>
        <v/>
      </c>
      <c r="H963" s="21" t="str">
        <f>IF(AND(Registro!$E963="",Registro!$F963=""),"",IF(NOT(AND(ISNUMBER(G963),ISNUMBER(Registro!$G963))),"",IF(G963&lt;Registro!$G963,"FALTA BOLETOS",IF(G963=Registro!$G963,"CONFORME","DIFERENCIA"))))</f>
        <v/>
      </c>
      <c r="I963" s="24" t="str">
        <f>IF(Registro!$H963="","",IFERROR(SUMPRODUCT(--("0"&amp;TRIM(RIGHT(SUBSTITUTE(TRIM(MID(SUBSTITUTE(SUBSTITUTE(Registro!$H963,";",CHAR(10)),CHAR(10),REPT(" ",LEN(Registro!$H963))),({1,2,3,4,5,6,7,8,9,10,11,12,13,14,15,16,17,18,19,20,21,22,23,24,25,26,27,28,29,30}-1)*LEN(Registro!$H963)+1,LEN(Registro!$H963)))," ",REPT(" ",50)),50)))),"Revisar formato"))</f>
        <v/>
      </c>
      <c r="J963" s="24" t="str">
        <f>IF(Registro!$I963="","",IFERROR(SUMPRODUCT(--("0"&amp;TRIM(RIGHT(SUBSTITUTE(TRIM(MID(SUBSTITUTE(SUBSTITUTE(Registro!$I963,";",CHAR(10)),CHAR(10),REPT(" ",LEN(Registro!$I963))),({1,2,3,4,5,6,7,8,9,10,11,12,13,14,15,16,17,18,19,20,21,22,23,24,25,26,27,28,29,30}-1)*LEN(Registro!$I963)+1,LEN(Registro!$I963)))," ",REPT(" ",50)),50)))),"Revisar formato"))</f>
        <v/>
      </c>
      <c r="K963" s="24" t="str">
        <f>IF(AND(Registro!$G963="",Registro!$H963=""),"",IF(AND(ISTEXT(I963),I963&lt;&gt;""),"Revisar formato",N(Registro!$G963)-N(I963)))</f>
        <v/>
      </c>
      <c r="L963" s="24" t="str">
        <f t="shared" si="31"/>
        <v/>
      </c>
      <c r="M963" s="36" t="str">
        <f>IF(AND(A963=Consulta!$B$3,C963=Consulta!$H$3),B963*10000+ROW(),"")</f>
        <v/>
      </c>
    </row>
    <row r="964" spans="1:13" x14ac:dyDescent="0.25">
      <c r="A964" s="21" t="str">
        <f>IF(Registro!$A964="","",Registro!$A964)</f>
        <v/>
      </c>
      <c r="B964" s="20" t="str">
        <f>IF(Registro!$B964="","",Registro!$B964)</f>
        <v/>
      </c>
      <c r="C964" s="35" t="str">
        <f t="shared" si="30"/>
        <v/>
      </c>
      <c r="D964" s="23" t="str">
        <f>IF(Registro!$E964="","",IF(ISERROR(FIND("x",LOWER(Registro!$E964))),"-",IFERROR(SUMPRODUCT(--("0"&amp;LEFT(TRIM(MID(SUBSTITUTE(SUBSTITUTE(SUBSTITUTE(SUBSTITUTE(SUBSTITUTE(LOWER(Registro!$E964),"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",LEN(Registro!$E964))),({1,2,3,4,5,6,7,8,9,10,11,12,13,14,15,16,17,18,19,20,21,22,23,24,25,26,27,28,29,30}-1)*LEN(Registro!$E964)+1,LEN(Registro!$E964))),FIND("x",TRIM(MID(SUBSTITUTE(SUBSTITUTE(SUBSTITUTE(SUBSTITUTE(SUBSTITUTE(LOWER(Registro!$E964),"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",LEN(Registro!$E964))),({1,2,3,4,5,6,7,8,9,10,11,12,13,14,15,16,17,18,19,20,21,22,23,24,25,26,27,28,29,30}-1)*LEN(Registro!$E964)+1,LEN(Registro!$E964)))&amp;"x")-1))),"Revisar formato")))</f>
        <v/>
      </c>
      <c r="E964" s="24" t="str">
        <f>IF(Registro!$E964="","",IF(ISERROR(FIND("x",LOWER(Registro!$E964))),"-",IFERROR(SUMPRODUCT(--("0"&amp;LEFT(TRIM(MID(SUBSTITUTE(SUBSTITUTE(SUBSTITUTE(SUBSTITUTE(SUBSTITUTE(LOWER(Registro!$E964),"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",LEN(Registro!$E964))),({1,2,3,4,5,6,7,8,9,10,11,12,13,14,15,16,17,18,19,20,21,22,23,24,25,26,27,28,29,30}-1)*LEN(Registro!$E964)+1,LEN(Registro!$E964))),FIND("x",TRIM(MID(SUBSTITUTE(SUBSTITUTE(SUBSTITUTE(SUBSTITUTE(SUBSTITUTE(LOWER(Registro!$E964),"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",LEN(Registro!$E964))),({1,2,3,4,5,6,7,8,9,10,11,12,13,14,15,16,17,18,19,20,21,22,23,24,25,26,27,28,29,30}-1)*LEN(Registro!$E964)+1,LEN(Registro!$E964)))&amp;"x")-1)),--("0"&amp;MID(TRIM(MID(SUBSTITUTE(SUBSTITUTE(SUBSTITUTE(SUBSTITUTE(SUBSTITUTE(LOWER(Registro!$E964),"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",LEN(Registro!$E964))),({1,2,3,4,5,6,7,8,9,10,11,12,13,14,15,16,17,18,19,20,21,22,23,24,25,26,27,28,29,30}-1)*LEN(Registro!$E964)+1,LEN(Registro!$E964))),FIND("x",TRIM(MID(SUBSTITUTE(SUBSTITUTE(SUBSTITUTE(SUBSTITUTE(SUBSTITUTE(LOWER(Registro!$E964),"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",LEN(Registro!$E964))),({1,2,3,4,5,6,7,8,9,10,11,12,13,14,15,16,17,18,19,20,21,22,23,24,25,26,27,28,29,30}-1)*LEN(Registro!$E964)+1,LEN(Registro!$E964)))&amp;"x")+1,20))),"Revisar formato")))</f>
        <v/>
      </c>
      <c r="F964" s="23" t="str">
        <f>IF(Registro!$F964="","",IF(ISERROR(FIND("x",LOWER(Registro!$F964))),"-",IFERROR(SUMPRODUCT(--("0"&amp;LEFT(TRIM(MID(SUBSTITUTE(SUBSTITUTE(SUBSTITUTE(SUBSTITUTE(SUBSTITUTE(LOWER(Registro!$F964)," ",""),CHAR(10),"|"),";","|"),"+","|"),"|",REPT(" ",LEN(Registro!$F964))),({1,2,3,4,5,6,7,8,9,10,11,12,13,14,15,16,17,18,19,20,21,22,23,24,25,26,27,28,29,30}-1)*LEN(Registro!$F964)+1,LEN(Registro!$F964))),FIND("x",TRIM(MID(SUBSTITUTE(SUBSTITUTE(SUBSTITUTE(SUBSTITUTE(SUBSTITUTE(LOWER(Registro!$F964)," ",""),CHAR(10),"|"),";","|"),"+","|"),"|",REPT(" ",LEN(Registro!$F964))),({1,2,3,4,5,6,7,8,9,10,11,12,13,14,15,16,17,18,19,20,21,22,23,24,25,26,27,28,29,30}-1)*LEN(Registro!$F964)+1,LEN(Registro!$F964)))&amp;"x")-1))),"Revisar formato")))</f>
        <v/>
      </c>
      <c r="G964" s="24" t="str">
        <f>IF(Registro!$F964="","",IF(ISERROR(FIND("x",LOWER(Registro!$F964))),N(Registro!$G964),IFERROR(SUMPRODUCT(--("0"&amp;LEFT(TRIM(MID(SUBSTITUTE(SUBSTITUTE(SUBSTITUTE(SUBSTITUTE(SUBSTITUTE(LOWER(Registro!$F964)," ",""),CHAR(10),"|"),";","|"),"+","|"),"|",REPT(" ",LEN(Registro!$F964))),({1,2,3,4,5,6,7,8,9,10,11,12,13,14,15,16,17,18,19,20,21,22,23,24,25,26,27,28,29,30}-1)*LEN(Registro!$F964)+1,LEN(Registro!$F964))),FIND("x",TRIM(MID(SUBSTITUTE(SUBSTITUTE(SUBSTITUTE(SUBSTITUTE(SUBSTITUTE(LOWER(Registro!$F964)," ",""),CHAR(10),"|"),";","|"),"+","|"),"|",REPT(" ",LEN(Registro!$F964))),({1,2,3,4,5,6,7,8,9,10,11,12,13,14,15,16,17,18,19,20,21,22,23,24,25,26,27,28,29,30}-1)*LEN(Registro!$F964)+1,LEN(Registro!$F964)))&amp;"x")-1)),--("0"&amp;MID(TRIM(MID(SUBSTITUTE(SUBSTITUTE(SUBSTITUTE(SUBSTITUTE(SUBSTITUTE(LOWER(Registro!$F964)," ",""),CHAR(10),"|"),";","|"),"+","|"),"|",REPT(" ",LEN(Registro!$F964))),({1,2,3,4,5,6,7,8,9,10,11,12,13,14,15,16,17,18,19,20,21,22,23,24,25,26,27,28,29,30}-1)*LEN(Registro!$F964)+1,LEN(Registro!$F964))),FIND("x",TRIM(MID(SUBSTITUTE(SUBSTITUTE(SUBSTITUTE(SUBSTITUTE(SUBSTITUTE(LOWER(Registro!$F964)," ",""),CHAR(10),"|"),";","|"),"+","|"),"|",REPT(" ",LEN(Registro!$F964))),({1,2,3,4,5,6,7,8,9,10,11,12,13,14,15,16,17,18,19,20,21,22,23,24,25,26,27,28,29,30}-1)*LEN(Registro!$F964)+1,LEN(Registro!$F964)))&amp;"x")+1,20))),"Revisar formato")))</f>
        <v/>
      </c>
      <c r="H964" s="21" t="str">
        <f>IF(AND(Registro!$E964="",Registro!$F964=""),"",IF(NOT(AND(ISNUMBER(G964),ISNUMBER(Registro!$G964))),"",IF(G964&lt;Registro!$G964,"FALTA BOLETOS",IF(G964=Registro!$G964,"CONFORME","DIFERENCIA"))))</f>
        <v/>
      </c>
      <c r="I964" s="24" t="str">
        <f>IF(Registro!$H964="","",IFERROR(SUMPRODUCT(--("0"&amp;TRIM(RIGHT(SUBSTITUTE(TRIM(MID(SUBSTITUTE(SUBSTITUTE(Registro!$H964,";",CHAR(10)),CHAR(10),REPT(" ",LEN(Registro!$H964))),({1,2,3,4,5,6,7,8,9,10,11,12,13,14,15,16,17,18,19,20,21,22,23,24,25,26,27,28,29,30}-1)*LEN(Registro!$H964)+1,LEN(Registro!$H964)))," ",REPT(" ",50)),50)))),"Revisar formato"))</f>
        <v/>
      </c>
      <c r="J964" s="24" t="str">
        <f>IF(Registro!$I964="","",IFERROR(SUMPRODUCT(--("0"&amp;TRIM(RIGHT(SUBSTITUTE(TRIM(MID(SUBSTITUTE(SUBSTITUTE(Registro!$I964,";",CHAR(10)),CHAR(10),REPT(" ",LEN(Registro!$I964))),({1,2,3,4,5,6,7,8,9,10,11,12,13,14,15,16,17,18,19,20,21,22,23,24,25,26,27,28,29,30}-1)*LEN(Registro!$I964)+1,LEN(Registro!$I964)))," ",REPT(" ",50)),50)))),"Revisar formato"))</f>
        <v/>
      </c>
      <c r="K964" s="24" t="str">
        <f>IF(AND(Registro!$G964="",Registro!$H964=""),"",IF(AND(ISTEXT(I964),I964&lt;&gt;""),"Revisar formato",N(Registro!$G964)-N(I964)))</f>
        <v/>
      </c>
      <c r="L964" s="24" t="str">
        <f t="shared" si="31"/>
        <v/>
      </c>
      <c r="M964" s="36" t="str">
        <f>IF(AND(A964=Consulta!$B$3,C964=Consulta!$H$3),B964*10000+ROW(),"")</f>
        <v/>
      </c>
    </row>
    <row r="965" spans="1:13" x14ac:dyDescent="0.25">
      <c r="A965" s="21" t="str">
        <f>IF(Registro!$A965="","",Registro!$A965)</f>
        <v/>
      </c>
      <c r="B965" s="20" t="str">
        <f>IF(Registro!$B965="","",Registro!$B965)</f>
        <v/>
      </c>
      <c r="C965" s="35" t="str">
        <f t="shared" si="30"/>
        <v/>
      </c>
      <c r="D965" s="23" t="str">
        <f>IF(Registro!$E965="","",IF(ISERROR(FIND("x",LOWER(Registro!$E965))),"-",IFERROR(SUMPRODUCT(--("0"&amp;LEFT(TRIM(MID(SUBSTITUTE(SUBSTITUTE(SUBSTITUTE(SUBSTITUTE(SUBSTITUTE(LOWER(Registro!$E965),"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",LEN(Registro!$E965))),({1,2,3,4,5,6,7,8,9,10,11,12,13,14,15,16,17,18,19,20,21,22,23,24,25,26,27,28,29,30}-1)*LEN(Registro!$E965)+1,LEN(Registro!$E965))),FIND("x",TRIM(MID(SUBSTITUTE(SUBSTITUTE(SUBSTITUTE(SUBSTITUTE(SUBSTITUTE(LOWER(Registro!$E965),"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",LEN(Registro!$E965))),({1,2,3,4,5,6,7,8,9,10,11,12,13,14,15,16,17,18,19,20,21,22,23,24,25,26,27,28,29,30}-1)*LEN(Registro!$E965)+1,LEN(Registro!$E965)))&amp;"x")-1))),"Revisar formato")))</f>
        <v/>
      </c>
      <c r="E965" s="24" t="str">
        <f>IF(Registro!$E965="","",IF(ISERROR(FIND("x",LOWER(Registro!$E965))),"-",IFERROR(SUMPRODUCT(--("0"&amp;LEFT(TRIM(MID(SUBSTITUTE(SUBSTITUTE(SUBSTITUTE(SUBSTITUTE(SUBSTITUTE(LOWER(Registro!$E965),"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",LEN(Registro!$E965))),({1,2,3,4,5,6,7,8,9,10,11,12,13,14,15,16,17,18,19,20,21,22,23,24,25,26,27,28,29,30}-1)*LEN(Registro!$E965)+1,LEN(Registro!$E965))),FIND("x",TRIM(MID(SUBSTITUTE(SUBSTITUTE(SUBSTITUTE(SUBSTITUTE(SUBSTITUTE(LOWER(Registro!$E965),"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",LEN(Registro!$E965))),({1,2,3,4,5,6,7,8,9,10,11,12,13,14,15,16,17,18,19,20,21,22,23,24,25,26,27,28,29,30}-1)*LEN(Registro!$E965)+1,LEN(Registro!$E965)))&amp;"x")-1)),--("0"&amp;MID(TRIM(MID(SUBSTITUTE(SUBSTITUTE(SUBSTITUTE(SUBSTITUTE(SUBSTITUTE(LOWER(Registro!$E965),"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",LEN(Registro!$E965))),({1,2,3,4,5,6,7,8,9,10,11,12,13,14,15,16,17,18,19,20,21,22,23,24,25,26,27,28,29,30}-1)*LEN(Registro!$E965)+1,LEN(Registro!$E965))),FIND("x",TRIM(MID(SUBSTITUTE(SUBSTITUTE(SUBSTITUTE(SUBSTITUTE(SUBSTITUTE(LOWER(Registro!$E965),"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",LEN(Registro!$E965))),({1,2,3,4,5,6,7,8,9,10,11,12,13,14,15,16,17,18,19,20,21,22,23,24,25,26,27,28,29,30}-1)*LEN(Registro!$E965)+1,LEN(Registro!$E965)))&amp;"x")+1,20))),"Revisar formato")))</f>
        <v/>
      </c>
      <c r="F965" s="23" t="str">
        <f>IF(Registro!$F965="","",IF(ISERROR(FIND("x",LOWER(Registro!$F965))),"-",IFERROR(SUMPRODUCT(--("0"&amp;LEFT(TRIM(MID(SUBSTITUTE(SUBSTITUTE(SUBSTITUTE(SUBSTITUTE(SUBSTITUTE(LOWER(Registro!$F965)," ",""),CHAR(10),"|"),";","|"),"+","|"),"|",REPT(" ",LEN(Registro!$F965))),({1,2,3,4,5,6,7,8,9,10,11,12,13,14,15,16,17,18,19,20,21,22,23,24,25,26,27,28,29,30}-1)*LEN(Registro!$F965)+1,LEN(Registro!$F965))),FIND("x",TRIM(MID(SUBSTITUTE(SUBSTITUTE(SUBSTITUTE(SUBSTITUTE(SUBSTITUTE(LOWER(Registro!$F965)," ",""),CHAR(10),"|"),";","|"),"+","|"),"|",REPT(" ",LEN(Registro!$F965))),({1,2,3,4,5,6,7,8,9,10,11,12,13,14,15,16,17,18,19,20,21,22,23,24,25,26,27,28,29,30}-1)*LEN(Registro!$F965)+1,LEN(Registro!$F965)))&amp;"x")-1))),"Revisar formato")))</f>
        <v/>
      </c>
      <c r="G965" s="24" t="str">
        <f>IF(Registro!$F965="","",IF(ISERROR(FIND("x",LOWER(Registro!$F965))),N(Registro!$G965),IFERROR(SUMPRODUCT(--("0"&amp;LEFT(TRIM(MID(SUBSTITUTE(SUBSTITUTE(SUBSTITUTE(SUBSTITUTE(SUBSTITUTE(LOWER(Registro!$F965)," ",""),CHAR(10),"|"),";","|"),"+","|"),"|",REPT(" ",LEN(Registro!$F965))),({1,2,3,4,5,6,7,8,9,10,11,12,13,14,15,16,17,18,19,20,21,22,23,24,25,26,27,28,29,30}-1)*LEN(Registro!$F965)+1,LEN(Registro!$F965))),FIND("x",TRIM(MID(SUBSTITUTE(SUBSTITUTE(SUBSTITUTE(SUBSTITUTE(SUBSTITUTE(LOWER(Registro!$F965)," ",""),CHAR(10),"|"),";","|"),"+","|"),"|",REPT(" ",LEN(Registro!$F965))),({1,2,3,4,5,6,7,8,9,10,11,12,13,14,15,16,17,18,19,20,21,22,23,24,25,26,27,28,29,30}-1)*LEN(Registro!$F965)+1,LEN(Registro!$F965)))&amp;"x")-1)),--("0"&amp;MID(TRIM(MID(SUBSTITUTE(SUBSTITUTE(SUBSTITUTE(SUBSTITUTE(SUBSTITUTE(LOWER(Registro!$F965)," ",""),CHAR(10),"|"),";","|"),"+","|"),"|",REPT(" ",LEN(Registro!$F965))),({1,2,3,4,5,6,7,8,9,10,11,12,13,14,15,16,17,18,19,20,21,22,23,24,25,26,27,28,29,30}-1)*LEN(Registro!$F965)+1,LEN(Registro!$F965))),FIND("x",TRIM(MID(SUBSTITUTE(SUBSTITUTE(SUBSTITUTE(SUBSTITUTE(SUBSTITUTE(LOWER(Registro!$F965)," ",""),CHAR(10),"|"),";","|"),"+","|"),"|",REPT(" ",LEN(Registro!$F965))),({1,2,3,4,5,6,7,8,9,10,11,12,13,14,15,16,17,18,19,20,21,22,23,24,25,26,27,28,29,30}-1)*LEN(Registro!$F965)+1,LEN(Registro!$F965)))&amp;"x")+1,20))),"Revisar formato")))</f>
        <v/>
      </c>
      <c r="H965" s="21" t="str">
        <f>IF(AND(Registro!$E965="",Registro!$F965=""),"",IF(NOT(AND(ISNUMBER(G965),ISNUMBER(Registro!$G965))),"",IF(G965&lt;Registro!$G965,"FALTA BOLETOS",IF(G965=Registro!$G965,"CONFORME","DIFERENCIA"))))</f>
        <v/>
      </c>
      <c r="I965" s="24" t="str">
        <f>IF(Registro!$H965="","",IFERROR(SUMPRODUCT(--("0"&amp;TRIM(RIGHT(SUBSTITUTE(TRIM(MID(SUBSTITUTE(SUBSTITUTE(Registro!$H965,";",CHAR(10)),CHAR(10),REPT(" ",LEN(Registro!$H965))),({1,2,3,4,5,6,7,8,9,10,11,12,13,14,15,16,17,18,19,20,21,22,23,24,25,26,27,28,29,30}-1)*LEN(Registro!$H965)+1,LEN(Registro!$H965)))," ",REPT(" ",50)),50)))),"Revisar formato"))</f>
        <v/>
      </c>
      <c r="J965" s="24" t="str">
        <f>IF(Registro!$I965="","",IFERROR(SUMPRODUCT(--("0"&amp;TRIM(RIGHT(SUBSTITUTE(TRIM(MID(SUBSTITUTE(SUBSTITUTE(Registro!$I965,";",CHAR(10)),CHAR(10),REPT(" ",LEN(Registro!$I965))),({1,2,3,4,5,6,7,8,9,10,11,12,13,14,15,16,17,18,19,20,21,22,23,24,25,26,27,28,29,30}-1)*LEN(Registro!$I965)+1,LEN(Registro!$I965)))," ",REPT(" ",50)),50)))),"Revisar formato"))</f>
        <v/>
      </c>
      <c r="K965" s="24" t="str">
        <f>IF(AND(Registro!$G965="",Registro!$H965=""),"",IF(AND(ISTEXT(I965),I965&lt;&gt;""),"Revisar formato",N(Registro!$G965)-N(I965)))</f>
        <v/>
      </c>
      <c r="L965" s="24" t="str">
        <f t="shared" si="31"/>
        <v/>
      </c>
      <c r="M965" s="36" t="str">
        <f>IF(AND(A965=Consulta!$B$3,C965=Consulta!$H$3),B965*10000+ROW(),"")</f>
        <v/>
      </c>
    </row>
    <row r="966" spans="1:13" x14ac:dyDescent="0.25">
      <c r="A966" s="21" t="str">
        <f>IF(Registro!$A966="","",Registro!$A966)</f>
        <v/>
      </c>
      <c r="B966" s="20" t="str">
        <f>IF(Registro!$B966="","",Registro!$B966)</f>
        <v/>
      </c>
      <c r="C966" s="35" t="str">
        <f t="shared" si="30"/>
        <v/>
      </c>
      <c r="D966" s="23" t="str">
        <f>IF(Registro!$E966="","",IF(ISERROR(FIND("x",LOWER(Registro!$E966))),"-",IFERROR(SUMPRODUCT(--("0"&amp;LEFT(TRIM(MID(SUBSTITUTE(SUBSTITUTE(SUBSTITUTE(SUBSTITUTE(SUBSTITUTE(LOWER(Registro!$E966),"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",LEN(Registro!$E966))),({1,2,3,4,5,6,7,8,9,10,11,12,13,14,15,16,17,18,19,20,21,22,23,24,25,26,27,28,29,30}-1)*LEN(Registro!$E966)+1,LEN(Registro!$E966))),FIND("x",TRIM(MID(SUBSTITUTE(SUBSTITUTE(SUBSTITUTE(SUBSTITUTE(SUBSTITUTE(LOWER(Registro!$E966),"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",LEN(Registro!$E966))),({1,2,3,4,5,6,7,8,9,10,11,12,13,14,15,16,17,18,19,20,21,22,23,24,25,26,27,28,29,30}-1)*LEN(Registro!$E966)+1,LEN(Registro!$E966)))&amp;"x")-1))),"Revisar formato")))</f>
        <v/>
      </c>
      <c r="E966" s="24" t="str">
        <f>IF(Registro!$E966="","",IF(ISERROR(FIND("x",LOWER(Registro!$E966))),"-",IFERROR(SUMPRODUCT(--("0"&amp;LEFT(TRIM(MID(SUBSTITUTE(SUBSTITUTE(SUBSTITUTE(SUBSTITUTE(SUBSTITUTE(LOWER(Registro!$E966),"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",LEN(Registro!$E966))),({1,2,3,4,5,6,7,8,9,10,11,12,13,14,15,16,17,18,19,20,21,22,23,24,25,26,27,28,29,30}-1)*LEN(Registro!$E966)+1,LEN(Registro!$E966))),FIND("x",TRIM(MID(SUBSTITUTE(SUBSTITUTE(SUBSTITUTE(SUBSTITUTE(SUBSTITUTE(LOWER(Registro!$E966),"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",LEN(Registro!$E966))),({1,2,3,4,5,6,7,8,9,10,11,12,13,14,15,16,17,18,19,20,21,22,23,24,25,26,27,28,29,30}-1)*LEN(Registro!$E966)+1,LEN(Registro!$E966)))&amp;"x")-1)),--("0"&amp;MID(TRIM(MID(SUBSTITUTE(SUBSTITUTE(SUBSTITUTE(SUBSTITUTE(SUBSTITUTE(LOWER(Registro!$E966),"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",LEN(Registro!$E966))),({1,2,3,4,5,6,7,8,9,10,11,12,13,14,15,16,17,18,19,20,21,22,23,24,25,26,27,28,29,30}-1)*LEN(Registro!$E966)+1,LEN(Registro!$E966))),FIND("x",TRIM(MID(SUBSTITUTE(SUBSTITUTE(SUBSTITUTE(SUBSTITUTE(SUBSTITUTE(LOWER(Registro!$E966),"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",LEN(Registro!$E966))),({1,2,3,4,5,6,7,8,9,10,11,12,13,14,15,16,17,18,19,20,21,22,23,24,25,26,27,28,29,30}-1)*LEN(Registro!$E966)+1,LEN(Registro!$E966)))&amp;"x")+1,20))),"Revisar formato")))</f>
        <v/>
      </c>
      <c r="F966" s="23" t="str">
        <f>IF(Registro!$F966="","",IF(ISERROR(FIND("x",LOWER(Registro!$F966))),"-",IFERROR(SUMPRODUCT(--("0"&amp;LEFT(TRIM(MID(SUBSTITUTE(SUBSTITUTE(SUBSTITUTE(SUBSTITUTE(SUBSTITUTE(LOWER(Registro!$F966)," ",""),CHAR(10),"|"),";","|"),"+","|"),"|",REPT(" ",LEN(Registro!$F966))),({1,2,3,4,5,6,7,8,9,10,11,12,13,14,15,16,17,18,19,20,21,22,23,24,25,26,27,28,29,30}-1)*LEN(Registro!$F966)+1,LEN(Registro!$F966))),FIND("x",TRIM(MID(SUBSTITUTE(SUBSTITUTE(SUBSTITUTE(SUBSTITUTE(SUBSTITUTE(LOWER(Registro!$F966)," ",""),CHAR(10),"|"),";","|"),"+","|"),"|",REPT(" ",LEN(Registro!$F966))),({1,2,3,4,5,6,7,8,9,10,11,12,13,14,15,16,17,18,19,20,21,22,23,24,25,26,27,28,29,30}-1)*LEN(Registro!$F966)+1,LEN(Registro!$F966)))&amp;"x")-1))),"Revisar formato")))</f>
        <v/>
      </c>
      <c r="G966" s="24" t="str">
        <f>IF(Registro!$F966="","",IF(ISERROR(FIND("x",LOWER(Registro!$F966))),N(Registro!$G966),IFERROR(SUMPRODUCT(--("0"&amp;LEFT(TRIM(MID(SUBSTITUTE(SUBSTITUTE(SUBSTITUTE(SUBSTITUTE(SUBSTITUTE(LOWER(Registro!$F966)," ",""),CHAR(10),"|"),";","|"),"+","|"),"|",REPT(" ",LEN(Registro!$F966))),({1,2,3,4,5,6,7,8,9,10,11,12,13,14,15,16,17,18,19,20,21,22,23,24,25,26,27,28,29,30}-1)*LEN(Registro!$F966)+1,LEN(Registro!$F966))),FIND("x",TRIM(MID(SUBSTITUTE(SUBSTITUTE(SUBSTITUTE(SUBSTITUTE(SUBSTITUTE(LOWER(Registro!$F966)," ",""),CHAR(10),"|"),";","|"),"+","|"),"|",REPT(" ",LEN(Registro!$F966))),({1,2,3,4,5,6,7,8,9,10,11,12,13,14,15,16,17,18,19,20,21,22,23,24,25,26,27,28,29,30}-1)*LEN(Registro!$F966)+1,LEN(Registro!$F966)))&amp;"x")-1)),--("0"&amp;MID(TRIM(MID(SUBSTITUTE(SUBSTITUTE(SUBSTITUTE(SUBSTITUTE(SUBSTITUTE(LOWER(Registro!$F966)," ",""),CHAR(10),"|"),";","|"),"+","|"),"|",REPT(" ",LEN(Registro!$F966))),({1,2,3,4,5,6,7,8,9,10,11,12,13,14,15,16,17,18,19,20,21,22,23,24,25,26,27,28,29,30}-1)*LEN(Registro!$F966)+1,LEN(Registro!$F966))),FIND("x",TRIM(MID(SUBSTITUTE(SUBSTITUTE(SUBSTITUTE(SUBSTITUTE(SUBSTITUTE(LOWER(Registro!$F966)," ",""),CHAR(10),"|"),";","|"),"+","|"),"|",REPT(" ",LEN(Registro!$F966))),({1,2,3,4,5,6,7,8,9,10,11,12,13,14,15,16,17,18,19,20,21,22,23,24,25,26,27,28,29,30}-1)*LEN(Registro!$F966)+1,LEN(Registro!$F966)))&amp;"x")+1,20))),"Revisar formato")))</f>
        <v/>
      </c>
      <c r="H966" s="21" t="str">
        <f>IF(AND(Registro!$E966="",Registro!$F966=""),"",IF(NOT(AND(ISNUMBER(G966),ISNUMBER(Registro!$G966))),"",IF(G966&lt;Registro!$G966,"FALTA BOLETOS",IF(G966=Registro!$G966,"CONFORME","DIFERENCIA"))))</f>
        <v/>
      </c>
      <c r="I966" s="24" t="str">
        <f>IF(Registro!$H966="","",IFERROR(SUMPRODUCT(--("0"&amp;TRIM(RIGHT(SUBSTITUTE(TRIM(MID(SUBSTITUTE(SUBSTITUTE(Registro!$H966,";",CHAR(10)),CHAR(10),REPT(" ",LEN(Registro!$H966))),({1,2,3,4,5,6,7,8,9,10,11,12,13,14,15,16,17,18,19,20,21,22,23,24,25,26,27,28,29,30}-1)*LEN(Registro!$H966)+1,LEN(Registro!$H966)))," ",REPT(" ",50)),50)))),"Revisar formato"))</f>
        <v/>
      </c>
      <c r="J966" s="24" t="str">
        <f>IF(Registro!$I966="","",IFERROR(SUMPRODUCT(--("0"&amp;TRIM(RIGHT(SUBSTITUTE(TRIM(MID(SUBSTITUTE(SUBSTITUTE(Registro!$I966,";",CHAR(10)),CHAR(10),REPT(" ",LEN(Registro!$I966))),({1,2,3,4,5,6,7,8,9,10,11,12,13,14,15,16,17,18,19,20,21,22,23,24,25,26,27,28,29,30}-1)*LEN(Registro!$I966)+1,LEN(Registro!$I966)))," ",REPT(" ",50)),50)))),"Revisar formato"))</f>
        <v/>
      </c>
      <c r="K966" s="24" t="str">
        <f>IF(AND(Registro!$G966="",Registro!$H966=""),"",IF(AND(ISTEXT(I966),I966&lt;&gt;""),"Revisar formato",N(Registro!$G966)-N(I966)))</f>
        <v/>
      </c>
      <c r="L966" s="24" t="str">
        <f t="shared" si="31"/>
        <v/>
      </c>
      <c r="M966" s="36" t="str">
        <f>IF(AND(A966=Consulta!$B$3,C966=Consulta!$H$3),B966*10000+ROW(),"")</f>
        <v/>
      </c>
    </row>
    <row r="967" spans="1:13" x14ac:dyDescent="0.25">
      <c r="A967" s="21" t="str">
        <f>IF(Registro!$A967="","",Registro!$A967)</f>
        <v/>
      </c>
      <c r="B967" s="20" t="str">
        <f>IF(Registro!$B967="","",Registro!$B967)</f>
        <v/>
      </c>
      <c r="C967" s="35" t="str">
        <f t="shared" si="30"/>
        <v/>
      </c>
      <c r="D967" s="23" t="str">
        <f>IF(Registro!$E967="","",IF(ISERROR(FIND("x",LOWER(Registro!$E967))),"-",IFERROR(SUMPRODUCT(--("0"&amp;LEFT(TRIM(MID(SUBSTITUTE(SUBSTITUTE(SUBSTITUTE(SUBSTITUTE(SUBSTITUTE(LOWER(Registro!$E967),"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",LEN(Registro!$E967))),({1,2,3,4,5,6,7,8,9,10,11,12,13,14,15,16,17,18,19,20,21,22,23,24,25,26,27,28,29,30}-1)*LEN(Registro!$E967)+1,LEN(Registro!$E967))),FIND("x",TRIM(MID(SUBSTITUTE(SUBSTITUTE(SUBSTITUTE(SUBSTITUTE(SUBSTITUTE(LOWER(Registro!$E967),"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",LEN(Registro!$E967))),({1,2,3,4,5,6,7,8,9,10,11,12,13,14,15,16,17,18,19,20,21,22,23,24,25,26,27,28,29,30}-1)*LEN(Registro!$E967)+1,LEN(Registro!$E967)))&amp;"x")-1))),"Revisar formato")))</f>
        <v/>
      </c>
      <c r="E967" s="24" t="str">
        <f>IF(Registro!$E967="","",IF(ISERROR(FIND("x",LOWER(Registro!$E967))),"-",IFERROR(SUMPRODUCT(--("0"&amp;LEFT(TRIM(MID(SUBSTITUTE(SUBSTITUTE(SUBSTITUTE(SUBSTITUTE(SUBSTITUTE(LOWER(Registro!$E967),"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",LEN(Registro!$E967))),({1,2,3,4,5,6,7,8,9,10,11,12,13,14,15,16,17,18,19,20,21,22,23,24,25,26,27,28,29,30}-1)*LEN(Registro!$E967)+1,LEN(Registro!$E967))),FIND("x",TRIM(MID(SUBSTITUTE(SUBSTITUTE(SUBSTITUTE(SUBSTITUTE(SUBSTITUTE(LOWER(Registro!$E967),"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",LEN(Registro!$E967))),({1,2,3,4,5,6,7,8,9,10,11,12,13,14,15,16,17,18,19,20,21,22,23,24,25,26,27,28,29,30}-1)*LEN(Registro!$E967)+1,LEN(Registro!$E967)))&amp;"x")-1)),--("0"&amp;MID(TRIM(MID(SUBSTITUTE(SUBSTITUTE(SUBSTITUTE(SUBSTITUTE(SUBSTITUTE(LOWER(Registro!$E967),"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",LEN(Registro!$E967))),({1,2,3,4,5,6,7,8,9,10,11,12,13,14,15,16,17,18,19,20,21,22,23,24,25,26,27,28,29,30}-1)*LEN(Registro!$E967)+1,LEN(Registro!$E967))),FIND("x",TRIM(MID(SUBSTITUTE(SUBSTITUTE(SUBSTITUTE(SUBSTITUTE(SUBSTITUTE(LOWER(Registro!$E967),"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",LEN(Registro!$E967))),({1,2,3,4,5,6,7,8,9,10,11,12,13,14,15,16,17,18,19,20,21,22,23,24,25,26,27,28,29,30}-1)*LEN(Registro!$E967)+1,LEN(Registro!$E967)))&amp;"x")+1,20))),"Revisar formato")))</f>
        <v/>
      </c>
      <c r="F967" s="23" t="str">
        <f>IF(Registro!$F967="","",IF(ISERROR(FIND("x",LOWER(Registro!$F967))),"-",IFERROR(SUMPRODUCT(--("0"&amp;LEFT(TRIM(MID(SUBSTITUTE(SUBSTITUTE(SUBSTITUTE(SUBSTITUTE(SUBSTITUTE(LOWER(Registro!$F967)," ",""),CHAR(10),"|"),";","|"),"+","|"),"|",REPT(" ",LEN(Registro!$F967))),({1,2,3,4,5,6,7,8,9,10,11,12,13,14,15,16,17,18,19,20,21,22,23,24,25,26,27,28,29,30}-1)*LEN(Registro!$F967)+1,LEN(Registro!$F967))),FIND("x",TRIM(MID(SUBSTITUTE(SUBSTITUTE(SUBSTITUTE(SUBSTITUTE(SUBSTITUTE(LOWER(Registro!$F967)," ",""),CHAR(10),"|"),";","|"),"+","|"),"|",REPT(" ",LEN(Registro!$F967))),({1,2,3,4,5,6,7,8,9,10,11,12,13,14,15,16,17,18,19,20,21,22,23,24,25,26,27,28,29,30}-1)*LEN(Registro!$F967)+1,LEN(Registro!$F967)))&amp;"x")-1))),"Revisar formato")))</f>
        <v/>
      </c>
      <c r="G967" s="24" t="str">
        <f>IF(Registro!$F967="","",IF(ISERROR(FIND("x",LOWER(Registro!$F967))),N(Registro!$G967),IFERROR(SUMPRODUCT(--("0"&amp;LEFT(TRIM(MID(SUBSTITUTE(SUBSTITUTE(SUBSTITUTE(SUBSTITUTE(SUBSTITUTE(LOWER(Registro!$F967)," ",""),CHAR(10),"|"),";","|"),"+","|"),"|",REPT(" ",LEN(Registro!$F967))),({1,2,3,4,5,6,7,8,9,10,11,12,13,14,15,16,17,18,19,20,21,22,23,24,25,26,27,28,29,30}-1)*LEN(Registro!$F967)+1,LEN(Registro!$F967))),FIND("x",TRIM(MID(SUBSTITUTE(SUBSTITUTE(SUBSTITUTE(SUBSTITUTE(SUBSTITUTE(LOWER(Registro!$F967)," ",""),CHAR(10),"|"),";","|"),"+","|"),"|",REPT(" ",LEN(Registro!$F967))),({1,2,3,4,5,6,7,8,9,10,11,12,13,14,15,16,17,18,19,20,21,22,23,24,25,26,27,28,29,30}-1)*LEN(Registro!$F967)+1,LEN(Registro!$F967)))&amp;"x")-1)),--("0"&amp;MID(TRIM(MID(SUBSTITUTE(SUBSTITUTE(SUBSTITUTE(SUBSTITUTE(SUBSTITUTE(LOWER(Registro!$F967)," ",""),CHAR(10),"|"),";","|"),"+","|"),"|",REPT(" ",LEN(Registro!$F967))),({1,2,3,4,5,6,7,8,9,10,11,12,13,14,15,16,17,18,19,20,21,22,23,24,25,26,27,28,29,30}-1)*LEN(Registro!$F967)+1,LEN(Registro!$F967))),FIND("x",TRIM(MID(SUBSTITUTE(SUBSTITUTE(SUBSTITUTE(SUBSTITUTE(SUBSTITUTE(LOWER(Registro!$F967)," ",""),CHAR(10),"|"),";","|"),"+","|"),"|",REPT(" ",LEN(Registro!$F967))),({1,2,3,4,5,6,7,8,9,10,11,12,13,14,15,16,17,18,19,20,21,22,23,24,25,26,27,28,29,30}-1)*LEN(Registro!$F967)+1,LEN(Registro!$F967)))&amp;"x")+1,20))),"Revisar formato")))</f>
        <v/>
      </c>
      <c r="H967" s="21" t="str">
        <f>IF(AND(Registro!$E967="",Registro!$F967=""),"",IF(NOT(AND(ISNUMBER(G967),ISNUMBER(Registro!$G967))),"",IF(G967&lt;Registro!$G967,"FALTA BOLETOS",IF(G967=Registro!$G967,"CONFORME","DIFERENCIA"))))</f>
        <v/>
      </c>
      <c r="I967" s="24" t="str">
        <f>IF(Registro!$H967="","",IFERROR(SUMPRODUCT(--("0"&amp;TRIM(RIGHT(SUBSTITUTE(TRIM(MID(SUBSTITUTE(SUBSTITUTE(Registro!$H967,";",CHAR(10)),CHAR(10),REPT(" ",LEN(Registro!$H967))),({1,2,3,4,5,6,7,8,9,10,11,12,13,14,15,16,17,18,19,20,21,22,23,24,25,26,27,28,29,30}-1)*LEN(Registro!$H967)+1,LEN(Registro!$H967)))," ",REPT(" ",50)),50)))),"Revisar formato"))</f>
        <v/>
      </c>
      <c r="J967" s="24" t="str">
        <f>IF(Registro!$I967="","",IFERROR(SUMPRODUCT(--("0"&amp;TRIM(RIGHT(SUBSTITUTE(TRIM(MID(SUBSTITUTE(SUBSTITUTE(Registro!$I967,";",CHAR(10)),CHAR(10),REPT(" ",LEN(Registro!$I967))),({1,2,3,4,5,6,7,8,9,10,11,12,13,14,15,16,17,18,19,20,21,22,23,24,25,26,27,28,29,30}-1)*LEN(Registro!$I967)+1,LEN(Registro!$I967)))," ",REPT(" ",50)),50)))),"Revisar formato"))</f>
        <v/>
      </c>
      <c r="K967" s="24" t="str">
        <f>IF(AND(Registro!$G967="",Registro!$H967=""),"",IF(AND(ISTEXT(I967),I967&lt;&gt;""),"Revisar formato",N(Registro!$G967)-N(I967)))</f>
        <v/>
      </c>
      <c r="L967" s="24" t="str">
        <f t="shared" si="31"/>
        <v/>
      </c>
      <c r="M967" s="36" t="str">
        <f>IF(AND(A967=Consulta!$B$3,C967=Consulta!$H$3),B967*10000+ROW(),"")</f>
        <v/>
      </c>
    </row>
    <row r="968" spans="1:13" x14ac:dyDescent="0.25">
      <c r="A968" s="21" t="str">
        <f>IF(Registro!$A968="","",Registro!$A968)</f>
        <v/>
      </c>
      <c r="B968" s="20" t="str">
        <f>IF(Registro!$B968="","",Registro!$B968)</f>
        <v/>
      </c>
      <c r="C968" s="35" t="str">
        <f t="shared" si="30"/>
        <v/>
      </c>
      <c r="D968" s="23" t="str">
        <f>IF(Registro!$E968="","",IF(ISERROR(FIND("x",LOWER(Registro!$E968))),"-",IFERROR(SUMPRODUCT(--("0"&amp;LEFT(TRIM(MID(SUBSTITUTE(SUBSTITUTE(SUBSTITUTE(SUBSTITUTE(SUBSTITUTE(LOWER(Registro!$E968),"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",LEN(Registro!$E968))),({1,2,3,4,5,6,7,8,9,10,11,12,13,14,15,16,17,18,19,20,21,22,23,24,25,26,27,28,29,30}-1)*LEN(Registro!$E968)+1,LEN(Registro!$E968))),FIND("x",TRIM(MID(SUBSTITUTE(SUBSTITUTE(SUBSTITUTE(SUBSTITUTE(SUBSTITUTE(LOWER(Registro!$E968),"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",LEN(Registro!$E968))),({1,2,3,4,5,6,7,8,9,10,11,12,13,14,15,16,17,18,19,20,21,22,23,24,25,26,27,28,29,30}-1)*LEN(Registro!$E968)+1,LEN(Registro!$E968)))&amp;"x")-1))),"Revisar formato")))</f>
        <v/>
      </c>
      <c r="E968" s="24" t="str">
        <f>IF(Registro!$E968="","",IF(ISERROR(FIND("x",LOWER(Registro!$E968))),"-",IFERROR(SUMPRODUCT(--("0"&amp;LEFT(TRIM(MID(SUBSTITUTE(SUBSTITUTE(SUBSTITUTE(SUBSTITUTE(SUBSTITUTE(LOWER(Registro!$E968),"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",LEN(Registro!$E968))),({1,2,3,4,5,6,7,8,9,10,11,12,13,14,15,16,17,18,19,20,21,22,23,24,25,26,27,28,29,30}-1)*LEN(Registro!$E968)+1,LEN(Registro!$E968))),FIND("x",TRIM(MID(SUBSTITUTE(SUBSTITUTE(SUBSTITUTE(SUBSTITUTE(SUBSTITUTE(LOWER(Registro!$E968),"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",LEN(Registro!$E968))),({1,2,3,4,5,6,7,8,9,10,11,12,13,14,15,16,17,18,19,20,21,22,23,24,25,26,27,28,29,30}-1)*LEN(Registro!$E968)+1,LEN(Registro!$E968)))&amp;"x")-1)),--("0"&amp;MID(TRIM(MID(SUBSTITUTE(SUBSTITUTE(SUBSTITUTE(SUBSTITUTE(SUBSTITUTE(LOWER(Registro!$E968),"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",LEN(Registro!$E968))),({1,2,3,4,5,6,7,8,9,10,11,12,13,14,15,16,17,18,19,20,21,22,23,24,25,26,27,28,29,30}-1)*LEN(Registro!$E968)+1,LEN(Registro!$E968))),FIND("x",TRIM(MID(SUBSTITUTE(SUBSTITUTE(SUBSTITUTE(SUBSTITUTE(SUBSTITUTE(LOWER(Registro!$E968),"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",LEN(Registro!$E968))),({1,2,3,4,5,6,7,8,9,10,11,12,13,14,15,16,17,18,19,20,21,22,23,24,25,26,27,28,29,30}-1)*LEN(Registro!$E968)+1,LEN(Registro!$E968)))&amp;"x")+1,20))),"Revisar formato")))</f>
        <v/>
      </c>
      <c r="F968" s="23" t="str">
        <f>IF(Registro!$F968="","",IF(ISERROR(FIND("x",LOWER(Registro!$F968))),"-",IFERROR(SUMPRODUCT(--("0"&amp;LEFT(TRIM(MID(SUBSTITUTE(SUBSTITUTE(SUBSTITUTE(SUBSTITUTE(SUBSTITUTE(LOWER(Registro!$F968)," ",""),CHAR(10),"|"),";","|"),"+","|"),"|",REPT(" ",LEN(Registro!$F968))),({1,2,3,4,5,6,7,8,9,10,11,12,13,14,15,16,17,18,19,20,21,22,23,24,25,26,27,28,29,30}-1)*LEN(Registro!$F968)+1,LEN(Registro!$F968))),FIND("x",TRIM(MID(SUBSTITUTE(SUBSTITUTE(SUBSTITUTE(SUBSTITUTE(SUBSTITUTE(LOWER(Registro!$F968)," ",""),CHAR(10),"|"),";","|"),"+","|"),"|",REPT(" ",LEN(Registro!$F968))),({1,2,3,4,5,6,7,8,9,10,11,12,13,14,15,16,17,18,19,20,21,22,23,24,25,26,27,28,29,30}-1)*LEN(Registro!$F968)+1,LEN(Registro!$F968)))&amp;"x")-1))),"Revisar formato")))</f>
        <v/>
      </c>
      <c r="G968" s="24" t="str">
        <f>IF(Registro!$F968="","",IF(ISERROR(FIND("x",LOWER(Registro!$F968))),N(Registro!$G968),IFERROR(SUMPRODUCT(--("0"&amp;LEFT(TRIM(MID(SUBSTITUTE(SUBSTITUTE(SUBSTITUTE(SUBSTITUTE(SUBSTITUTE(LOWER(Registro!$F968)," ",""),CHAR(10),"|"),";","|"),"+","|"),"|",REPT(" ",LEN(Registro!$F968))),({1,2,3,4,5,6,7,8,9,10,11,12,13,14,15,16,17,18,19,20,21,22,23,24,25,26,27,28,29,30}-1)*LEN(Registro!$F968)+1,LEN(Registro!$F968))),FIND("x",TRIM(MID(SUBSTITUTE(SUBSTITUTE(SUBSTITUTE(SUBSTITUTE(SUBSTITUTE(LOWER(Registro!$F968)," ",""),CHAR(10),"|"),";","|"),"+","|"),"|",REPT(" ",LEN(Registro!$F968))),({1,2,3,4,5,6,7,8,9,10,11,12,13,14,15,16,17,18,19,20,21,22,23,24,25,26,27,28,29,30}-1)*LEN(Registro!$F968)+1,LEN(Registro!$F968)))&amp;"x")-1)),--("0"&amp;MID(TRIM(MID(SUBSTITUTE(SUBSTITUTE(SUBSTITUTE(SUBSTITUTE(SUBSTITUTE(LOWER(Registro!$F968)," ",""),CHAR(10),"|"),";","|"),"+","|"),"|",REPT(" ",LEN(Registro!$F968))),({1,2,3,4,5,6,7,8,9,10,11,12,13,14,15,16,17,18,19,20,21,22,23,24,25,26,27,28,29,30}-1)*LEN(Registro!$F968)+1,LEN(Registro!$F968))),FIND("x",TRIM(MID(SUBSTITUTE(SUBSTITUTE(SUBSTITUTE(SUBSTITUTE(SUBSTITUTE(LOWER(Registro!$F968)," ",""),CHAR(10),"|"),";","|"),"+","|"),"|",REPT(" ",LEN(Registro!$F968))),({1,2,3,4,5,6,7,8,9,10,11,12,13,14,15,16,17,18,19,20,21,22,23,24,25,26,27,28,29,30}-1)*LEN(Registro!$F968)+1,LEN(Registro!$F968)))&amp;"x")+1,20))),"Revisar formato")))</f>
        <v/>
      </c>
      <c r="H968" s="21" t="str">
        <f>IF(AND(Registro!$E968="",Registro!$F968=""),"",IF(NOT(AND(ISNUMBER(G968),ISNUMBER(Registro!$G968))),"",IF(G968&lt;Registro!$G968,"FALTA BOLETOS",IF(G968=Registro!$G968,"CONFORME","DIFERENCIA"))))</f>
        <v/>
      </c>
      <c r="I968" s="24" t="str">
        <f>IF(Registro!$H968="","",IFERROR(SUMPRODUCT(--("0"&amp;TRIM(RIGHT(SUBSTITUTE(TRIM(MID(SUBSTITUTE(SUBSTITUTE(Registro!$H968,";",CHAR(10)),CHAR(10),REPT(" ",LEN(Registro!$H968))),({1,2,3,4,5,6,7,8,9,10,11,12,13,14,15,16,17,18,19,20,21,22,23,24,25,26,27,28,29,30}-1)*LEN(Registro!$H968)+1,LEN(Registro!$H968)))," ",REPT(" ",50)),50)))),"Revisar formato"))</f>
        <v/>
      </c>
      <c r="J968" s="24" t="str">
        <f>IF(Registro!$I968="","",IFERROR(SUMPRODUCT(--("0"&amp;TRIM(RIGHT(SUBSTITUTE(TRIM(MID(SUBSTITUTE(SUBSTITUTE(Registro!$I968,";",CHAR(10)),CHAR(10),REPT(" ",LEN(Registro!$I968))),({1,2,3,4,5,6,7,8,9,10,11,12,13,14,15,16,17,18,19,20,21,22,23,24,25,26,27,28,29,30}-1)*LEN(Registro!$I968)+1,LEN(Registro!$I968)))," ",REPT(" ",50)),50)))),"Revisar formato"))</f>
        <v/>
      </c>
      <c r="K968" s="24" t="str">
        <f>IF(AND(Registro!$G968="",Registro!$H968=""),"",IF(AND(ISTEXT(I968),I968&lt;&gt;""),"Revisar formato",N(Registro!$G968)-N(I968)))</f>
        <v/>
      </c>
      <c r="L968" s="24" t="str">
        <f t="shared" si="31"/>
        <v/>
      </c>
      <c r="M968" s="36" t="str">
        <f>IF(AND(A968=Consulta!$B$3,C968=Consulta!$H$3),B968*10000+ROW(),"")</f>
        <v/>
      </c>
    </row>
    <row r="969" spans="1:13" x14ac:dyDescent="0.25">
      <c r="A969" s="21" t="str">
        <f>IF(Registro!$A969="","",Registro!$A969)</f>
        <v/>
      </c>
      <c r="B969" s="20" t="str">
        <f>IF(Registro!$B969="","",Registro!$B969)</f>
        <v/>
      </c>
      <c r="C969" s="35" t="str">
        <f t="shared" si="30"/>
        <v/>
      </c>
      <c r="D969" s="23" t="str">
        <f>IF(Registro!$E969="","",IF(ISERROR(FIND("x",LOWER(Registro!$E969))),"-",IFERROR(SUMPRODUCT(--("0"&amp;LEFT(TRIM(MID(SUBSTITUTE(SUBSTITUTE(SUBSTITUTE(SUBSTITUTE(SUBSTITUTE(LOWER(Registro!$E969),"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",LEN(Registro!$E969))),({1,2,3,4,5,6,7,8,9,10,11,12,13,14,15,16,17,18,19,20,21,22,23,24,25,26,27,28,29,30}-1)*LEN(Registro!$E969)+1,LEN(Registro!$E969))),FIND("x",TRIM(MID(SUBSTITUTE(SUBSTITUTE(SUBSTITUTE(SUBSTITUTE(SUBSTITUTE(LOWER(Registro!$E969),"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",LEN(Registro!$E969))),({1,2,3,4,5,6,7,8,9,10,11,12,13,14,15,16,17,18,19,20,21,22,23,24,25,26,27,28,29,30}-1)*LEN(Registro!$E969)+1,LEN(Registro!$E969)))&amp;"x")-1))),"Revisar formato")))</f>
        <v/>
      </c>
      <c r="E969" s="24" t="str">
        <f>IF(Registro!$E969="","",IF(ISERROR(FIND("x",LOWER(Registro!$E969))),"-",IFERROR(SUMPRODUCT(--("0"&amp;LEFT(TRIM(MID(SUBSTITUTE(SUBSTITUTE(SUBSTITUTE(SUBSTITUTE(SUBSTITUTE(LOWER(Registro!$E969),"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",LEN(Registro!$E969))),({1,2,3,4,5,6,7,8,9,10,11,12,13,14,15,16,17,18,19,20,21,22,23,24,25,26,27,28,29,30}-1)*LEN(Registro!$E969)+1,LEN(Registro!$E969))),FIND("x",TRIM(MID(SUBSTITUTE(SUBSTITUTE(SUBSTITUTE(SUBSTITUTE(SUBSTITUTE(LOWER(Registro!$E969),"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",LEN(Registro!$E969))),({1,2,3,4,5,6,7,8,9,10,11,12,13,14,15,16,17,18,19,20,21,22,23,24,25,26,27,28,29,30}-1)*LEN(Registro!$E969)+1,LEN(Registro!$E969)))&amp;"x")-1)),--("0"&amp;MID(TRIM(MID(SUBSTITUTE(SUBSTITUTE(SUBSTITUTE(SUBSTITUTE(SUBSTITUTE(LOWER(Registro!$E969),"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",LEN(Registro!$E969))),({1,2,3,4,5,6,7,8,9,10,11,12,13,14,15,16,17,18,19,20,21,22,23,24,25,26,27,28,29,30}-1)*LEN(Registro!$E969)+1,LEN(Registro!$E969))),FIND("x",TRIM(MID(SUBSTITUTE(SUBSTITUTE(SUBSTITUTE(SUBSTITUTE(SUBSTITUTE(LOWER(Registro!$E969),"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",LEN(Registro!$E969))),({1,2,3,4,5,6,7,8,9,10,11,12,13,14,15,16,17,18,19,20,21,22,23,24,25,26,27,28,29,30}-1)*LEN(Registro!$E969)+1,LEN(Registro!$E969)))&amp;"x")+1,20))),"Revisar formato")))</f>
        <v/>
      </c>
      <c r="F969" s="23" t="str">
        <f>IF(Registro!$F969="","",IF(ISERROR(FIND("x",LOWER(Registro!$F969))),"-",IFERROR(SUMPRODUCT(--("0"&amp;LEFT(TRIM(MID(SUBSTITUTE(SUBSTITUTE(SUBSTITUTE(SUBSTITUTE(SUBSTITUTE(LOWER(Registro!$F969)," ",""),CHAR(10),"|"),";","|"),"+","|"),"|",REPT(" ",LEN(Registro!$F969))),({1,2,3,4,5,6,7,8,9,10,11,12,13,14,15,16,17,18,19,20,21,22,23,24,25,26,27,28,29,30}-1)*LEN(Registro!$F969)+1,LEN(Registro!$F969))),FIND("x",TRIM(MID(SUBSTITUTE(SUBSTITUTE(SUBSTITUTE(SUBSTITUTE(SUBSTITUTE(LOWER(Registro!$F969)," ",""),CHAR(10),"|"),";","|"),"+","|"),"|",REPT(" ",LEN(Registro!$F969))),({1,2,3,4,5,6,7,8,9,10,11,12,13,14,15,16,17,18,19,20,21,22,23,24,25,26,27,28,29,30}-1)*LEN(Registro!$F969)+1,LEN(Registro!$F969)))&amp;"x")-1))),"Revisar formato")))</f>
        <v/>
      </c>
      <c r="G969" s="24" t="str">
        <f>IF(Registro!$F969="","",IF(ISERROR(FIND("x",LOWER(Registro!$F969))),N(Registro!$G969),IFERROR(SUMPRODUCT(--("0"&amp;LEFT(TRIM(MID(SUBSTITUTE(SUBSTITUTE(SUBSTITUTE(SUBSTITUTE(SUBSTITUTE(LOWER(Registro!$F969)," ",""),CHAR(10),"|"),";","|"),"+","|"),"|",REPT(" ",LEN(Registro!$F969))),({1,2,3,4,5,6,7,8,9,10,11,12,13,14,15,16,17,18,19,20,21,22,23,24,25,26,27,28,29,30}-1)*LEN(Registro!$F969)+1,LEN(Registro!$F969))),FIND("x",TRIM(MID(SUBSTITUTE(SUBSTITUTE(SUBSTITUTE(SUBSTITUTE(SUBSTITUTE(LOWER(Registro!$F969)," ",""),CHAR(10),"|"),";","|"),"+","|"),"|",REPT(" ",LEN(Registro!$F969))),({1,2,3,4,5,6,7,8,9,10,11,12,13,14,15,16,17,18,19,20,21,22,23,24,25,26,27,28,29,30}-1)*LEN(Registro!$F969)+1,LEN(Registro!$F969)))&amp;"x")-1)),--("0"&amp;MID(TRIM(MID(SUBSTITUTE(SUBSTITUTE(SUBSTITUTE(SUBSTITUTE(SUBSTITUTE(LOWER(Registro!$F969)," ",""),CHAR(10),"|"),";","|"),"+","|"),"|",REPT(" ",LEN(Registro!$F969))),({1,2,3,4,5,6,7,8,9,10,11,12,13,14,15,16,17,18,19,20,21,22,23,24,25,26,27,28,29,30}-1)*LEN(Registro!$F969)+1,LEN(Registro!$F969))),FIND("x",TRIM(MID(SUBSTITUTE(SUBSTITUTE(SUBSTITUTE(SUBSTITUTE(SUBSTITUTE(LOWER(Registro!$F969)," ",""),CHAR(10),"|"),";","|"),"+","|"),"|",REPT(" ",LEN(Registro!$F969))),({1,2,3,4,5,6,7,8,9,10,11,12,13,14,15,16,17,18,19,20,21,22,23,24,25,26,27,28,29,30}-1)*LEN(Registro!$F969)+1,LEN(Registro!$F969)))&amp;"x")+1,20))),"Revisar formato")))</f>
        <v/>
      </c>
      <c r="H969" s="21" t="str">
        <f>IF(AND(Registro!$E969="",Registro!$F969=""),"",IF(NOT(AND(ISNUMBER(G969),ISNUMBER(Registro!$G969))),"",IF(G969&lt;Registro!$G969,"FALTA BOLETOS",IF(G969=Registro!$G969,"CONFORME","DIFERENCIA"))))</f>
        <v/>
      </c>
      <c r="I969" s="24" t="str">
        <f>IF(Registro!$H969="","",IFERROR(SUMPRODUCT(--("0"&amp;TRIM(RIGHT(SUBSTITUTE(TRIM(MID(SUBSTITUTE(SUBSTITUTE(Registro!$H969,";",CHAR(10)),CHAR(10),REPT(" ",LEN(Registro!$H969))),({1,2,3,4,5,6,7,8,9,10,11,12,13,14,15,16,17,18,19,20,21,22,23,24,25,26,27,28,29,30}-1)*LEN(Registro!$H969)+1,LEN(Registro!$H969)))," ",REPT(" ",50)),50)))),"Revisar formato"))</f>
        <v/>
      </c>
      <c r="J969" s="24" t="str">
        <f>IF(Registro!$I969="","",IFERROR(SUMPRODUCT(--("0"&amp;TRIM(RIGHT(SUBSTITUTE(TRIM(MID(SUBSTITUTE(SUBSTITUTE(Registro!$I969,";",CHAR(10)),CHAR(10),REPT(" ",LEN(Registro!$I969))),({1,2,3,4,5,6,7,8,9,10,11,12,13,14,15,16,17,18,19,20,21,22,23,24,25,26,27,28,29,30}-1)*LEN(Registro!$I969)+1,LEN(Registro!$I969)))," ",REPT(" ",50)),50)))),"Revisar formato"))</f>
        <v/>
      </c>
      <c r="K969" s="24" t="str">
        <f>IF(AND(Registro!$G969="",Registro!$H969=""),"",IF(AND(ISTEXT(I969),I969&lt;&gt;""),"Revisar formato",N(Registro!$G969)-N(I969)))</f>
        <v/>
      </c>
      <c r="L969" s="24" t="str">
        <f t="shared" si="31"/>
        <v/>
      </c>
      <c r="M969" s="36" t="str">
        <f>IF(AND(A969=Consulta!$B$3,C969=Consulta!$H$3),B969*10000+ROW(),"")</f>
        <v/>
      </c>
    </row>
    <row r="970" spans="1:13" x14ac:dyDescent="0.25">
      <c r="A970" s="21" t="str">
        <f>IF(Registro!$A970="","",Registro!$A970)</f>
        <v/>
      </c>
      <c r="B970" s="20" t="str">
        <f>IF(Registro!$B970="","",Registro!$B970)</f>
        <v/>
      </c>
      <c r="C970" s="35" t="str">
        <f t="shared" si="30"/>
        <v/>
      </c>
      <c r="D970" s="23" t="str">
        <f>IF(Registro!$E970="","",IF(ISERROR(FIND("x",LOWER(Registro!$E970))),"-",IFERROR(SUMPRODUCT(--("0"&amp;LEFT(TRIM(MID(SUBSTITUTE(SUBSTITUTE(SUBSTITUTE(SUBSTITUTE(SUBSTITUTE(LOWER(Registro!$E970),"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",LEN(Registro!$E970))),({1,2,3,4,5,6,7,8,9,10,11,12,13,14,15,16,17,18,19,20,21,22,23,24,25,26,27,28,29,30}-1)*LEN(Registro!$E970)+1,LEN(Registro!$E970))),FIND("x",TRIM(MID(SUBSTITUTE(SUBSTITUTE(SUBSTITUTE(SUBSTITUTE(SUBSTITUTE(LOWER(Registro!$E970),"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",LEN(Registro!$E970))),({1,2,3,4,5,6,7,8,9,10,11,12,13,14,15,16,17,18,19,20,21,22,23,24,25,26,27,28,29,30}-1)*LEN(Registro!$E970)+1,LEN(Registro!$E970)))&amp;"x")-1))),"Revisar formato")))</f>
        <v/>
      </c>
      <c r="E970" s="24" t="str">
        <f>IF(Registro!$E970="","",IF(ISERROR(FIND("x",LOWER(Registro!$E970))),"-",IFERROR(SUMPRODUCT(--("0"&amp;LEFT(TRIM(MID(SUBSTITUTE(SUBSTITUTE(SUBSTITUTE(SUBSTITUTE(SUBSTITUTE(LOWER(Registro!$E970),"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",LEN(Registro!$E970))),({1,2,3,4,5,6,7,8,9,10,11,12,13,14,15,16,17,18,19,20,21,22,23,24,25,26,27,28,29,30}-1)*LEN(Registro!$E970)+1,LEN(Registro!$E970))),FIND("x",TRIM(MID(SUBSTITUTE(SUBSTITUTE(SUBSTITUTE(SUBSTITUTE(SUBSTITUTE(LOWER(Registro!$E970),"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",LEN(Registro!$E970))),({1,2,3,4,5,6,7,8,9,10,11,12,13,14,15,16,17,18,19,20,21,22,23,24,25,26,27,28,29,30}-1)*LEN(Registro!$E970)+1,LEN(Registro!$E970)))&amp;"x")-1)),--("0"&amp;MID(TRIM(MID(SUBSTITUTE(SUBSTITUTE(SUBSTITUTE(SUBSTITUTE(SUBSTITUTE(LOWER(Registro!$E970),"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",LEN(Registro!$E970))),({1,2,3,4,5,6,7,8,9,10,11,12,13,14,15,16,17,18,19,20,21,22,23,24,25,26,27,28,29,30}-1)*LEN(Registro!$E970)+1,LEN(Registro!$E970))),FIND("x",TRIM(MID(SUBSTITUTE(SUBSTITUTE(SUBSTITUTE(SUBSTITUTE(SUBSTITUTE(LOWER(Registro!$E970),"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",LEN(Registro!$E970))),({1,2,3,4,5,6,7,8,9,10,11,12,13,14,15,16,17,18,19,20,21,22,23,24,25,26,27,28,29,30}-1)*LEN(Registro!$E970)+1,LEN(Registro!$E970)))&amp;"x")+1,20))),"Revisar formato")))</f>
        <v/>
      </c>
      <c r="F970" s="23" t="str">
        <f>IF(Registro!$F970="","",IF(ISERROR(FIND("x",LOWER(Registro!$F970))),"-",IFERROR(SUMPRODUCT(--("0"&amp;LEFT(TRIM(MID(SUBSTITUTE(SUBSTITUTE(SUBSTITUTE(SUBSTITUTE(SUBSTITUTE(LOWER(Registro!$F970)," ",""),CHAR(10),"|"),";","|"),"+","|"),"|",REPT(" ",LEN(Registro!$F970))),({1,2,3,4,5,6,7,8,9,10,11,12,13,14,15,16,17,18,19,20,21,22,23,24,25,26,27,28,29,30}-1)*LEN(Registro!$F970)+1,LEN(Registro!$F970))),FIND("x",TRIM(MID(SUBSTITUTE(SUBSTITUTE(SUBSTITUTE(SUBSTITUTE(SUBSTITUTE(LOWER(Registro!$F970)," ",""),CHAR(10),"|"),";","|"),"+","|"),"|",REPT(" ",LEN(Registro!$F970))),({1,2,3,4,5,6,7,8,9,10,11,12,13,14,15,16,17,18,19,20,21,22,23,24,25,26,27,28,29,30}-1)*LEN(Registro!$F970)+1,LEN(Registro!$F970)))&amp;"x")-1))),"Revisar formato")))</f>
        <v/>
      </c>
      <c r="G970" s="24" t="str">
        <f>IF(Registro!$F970="","",IF(ISERROR(FIND("x",LOWER(Registro!$F970))),N(Registro!$G970),IFERROR(SUMPRODUCT(--("0"&amp;LEFT(TRIM(MID(SUBSTITUTE(SUBSTITUTE(SUBSTITUTE(SUBSTITUTE(SUBSTITUTE(LOWER(Registro!$F970)," ",""),CHAR(10),"|"),";","|"),"+","|"),"|",REPT(" ",LEN(Registro!$F970))),({1,2,3,4,5,6,7,8,9,10,11,12,13,14,15,16,17,18,19,20,21,22,23,24,25,26,27,28,29,30}-1)*LEN(Registro!$F970)+1,LEN(Registro!$F970))),FIND("x",TRIM(MID(SUBSTITUTE(SUBSTITUTE(SUBSTITUTE(SUBSTITUTE(SUBSTITUTE(LOWER(Registro!$F970)," ",""),CHAR(10),"|"),";","|"),"+","|"),"|",REPT(" ",LEN(Registro!$F970))),({1,2,3,4,5,6,7,8,9,10,11,12,13,14,15,16,17,18,19,20,21,22,23,24,25,26,27,28,29,30}-1)*LEN(Registro!$F970)+1,LEN(Registro!$F970)))&amp;"x")-1)),--("0"&amp;MID(TRIM(MID(SUBSTITUTE(SUBSTITUTE(SUBSTITUTE(SUBSTITUTE(SUBSTITUTE(LOWER(Registro!$F970)," ",""),CHAR(10),"|"),";","|"),"+","|"),"|",REPT(" ",LEN(Registro!$F970))),({1,2,3,4,5,6,7,8,9,10,11,12,13,14,15,16,17,18,19,20,21,22,23,24,25,26,27,28,29,30}-1)*LEN(Registro!$F970)+1,LEN(Registro!$F970))),FIND("x",TRIM(MID(SUBSTITUTE(SUBSTITUTE(SUBSTITUTE(SUBSTITUTE(SUBSTITUTE(LOWER(Registro!$F970)," ",""),CHAR(10),"|"),";","|"),"+","|"),"|",REPT(" ",LEN(Registro!$F970))),({1,2,3,4,5,6,7,8,9,10,11,12,13,14,15,16,17,18,19,20,21,22,23,24,25,26,27,28,29,30}-1)*LEN(Registro!$F970)+1,LEN(Registro!$F970)))&amp;"x")+1,20))),"Revisar formato")))</f>
        <v/>
      </c>
      <c r="H970" s="21" t="str">
        <f>IF(AND(Registro!$E970="",Registro!$F970=""),"",IF(NOT(AND(ISNUMBER(G970),ISNUMBER(Registro!$G970))),"",IF(G970&lt;Registro!$G970,"FALTA BOLETOS",IF(G970=Registro!$G970,"CONFORME","DIFERENCIA"))))</f>
        <v/>
      </c>
      <c r="I970" s="24" t="str">
        <f>IF(Registro!$H970="","",IFERROR(SUMPRODUCT(--("0"&amp;TRIM(RIGHT(SUBSTITUTE(TRIM(MID(SUBSTITUTE(SUBSTITUTE(Registro!$H970,";",CHAR(10)),CHAR(10),REPT(" ",LEN(Registro!$H970))),({1,2,3,4,5,6,7,8,9,10,11,12,13,14,15,16,17,18,19,20,21,22,23,24,25,26,27,28,29,30}-1)*LEN(Registro!$H970)+1,LEN(Registro!$H970)))," ",REPT(" ",50)),50)))),"Revisar formato"))</f>
        <v/>
      </c>
      <c r="J970" s="24" t="str">
        <f>IF(Registro!$I970="","",IFERROR(SUMPRODUCT(--("0"&amp;TRIM(RIGHT(SUBSTITUTE(TRIM(MID(SUBSTITUTE(SUBSTITUTE(Registro!$I970,";",CHAR(10)),CHAR(10),REPT(" ",LEN(Registro!$I970))),({1,2,3,4,5,6,7,8,9,10,11,12,13,14,15,16,17,18,19,20,21,22,23,24,25,26,27,28,29,30}-1)*LEN(Registro!$I970)+1,LEN(Registro!$I970)))," ",REPT(" ",50)),50)))),"Revisar formato"))</f>
        <v/>
      </c>
      <c r="K970" s="24" t="str">
        <f>IF(AND(Registro!$G970="",Registro!$H970=""),"",IF(AND(ISTEXT(I970),I970&lt;&gt;""),"Revisar formato",N(Registro!$G970)-N(I970)))</f>
        <v/>
      </c>
      <c r="L970" s="24" t="str">
        <f t="shared" si="31"/>
        <v/>
      </c>
      <c r="M970" s="36" t="str">
        <f>IF(AND(A970=Consulta!$B$3,C970=Consulta!$H$3),B970*10000+ROW(),"")</f>
        <v/>
      </c>
    </row>
    <row r="971" spans="1:13" x14ac:dyDescent="0.25">
      <c r="A971" s="21" t="str">
        <f>IF(Registro!$A971="","",Registro!$A971)</f>
        <v/>
      </c>
      <c r="B971" s="20" t="str">
        <f>IF(Registro!$B971="","",Registro!$B971)</f>
        <v/>
      </c>
      <c r="C971" s="35" t="str">
        <f t="shared" si="30"/>
        <v/>
      </c>
      <c r="D971" s="23" t="str">
        <f>IF(Registro!$E971="","",IF(ISERROR(FIND("x",LOWER(Registro!$E971))),"-",IFERROR(SUMPRODUCT(--("0"&amp;LEFT(TRIM(MID(SUBSTITUTE(SUBSTITUTE(SUBSTITUTE(SUBSTITUTE(SUBSTITUTE(LOWER(Registro!$E971),"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",LEN(Registro!$E971))),({1,2,3,4,5,6,7,8,9,10,11,12,13,14,15,16,17,18,19,20,21,22,23,24,25,26,27,28,29,30}-1)*LEN(Registro!$E971)+1,LEN(Registro!$E971))),FIND("x",TRIM(MID(SUBSTITUTE(SUBSTITUTE(SUBSTITUTE(SUBSTITUTE(SUBSTITUTE(LOWER(Registro!$E971),"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",LEN(Registro!$E971))),({1,2,3,4,5,6,7,8,9,10,11,12,13,14,15,16,17,18,19,20,21,22,23,24,25,26,27,28,29,30}-1)*LEN(Registro!$E971)+1,LEN(Registro!$E971)))&amp;"x")-1))),"Revisar formato")))</f>
        <v/>
      </c>
      <c r="E971" s="24" t="str">
        <f>IF(Registro!$E971="","",IF(ISERROR(FIND("x",LOWER(Registro!$E971))),"-",IFERROR(SUMPRODUCT(--("0"&amp;LEFT(TRIM(MID(SUBSTITUTE(SUBSTITUTE(SUBSTITUTE(SUBSTITUTE(SUBSTITUTE(LOWER(Registro!$E971),"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",LEN(Registro!$E971))),({1,2,3,4,5,6,7,8,9,10,11,12,13,14,15,16,17,18,19,20,21,22,23,24,25,26,27,28,29,30}-1)*LEN(Registro!$E971)+1,LEN(Registro!$E971))),FIND("x",TRIM(MID(SUBSTITUTE(SUBSTITUTE(SUBSTITUTE(SUBSTITUTE(SUBSTITUTE(LOWER(Registro!$E971),"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",LEN(Registro!$E971))),({1,2,3,4,5,6,7,8,9,10,11,12,13,14,15,16,17,18,19,20,21,22,23,24,25,26,27,28,29,30}-1)*LEN(Registro!$E971)+1,LEN(Registro!$E971)))&amp;"x")-1)),--("0"&amp;MID(TRIM(MID(SUBSTITUTE(SUBSTITUTE(SUBSTITUTE(SUBSTITUTE(SUBSTITUTE(LOWER(Registro!$E971),"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",LEN(Registro!$E971))),({1,2,3,4,5,6,7,8,9,10,11,12,13,14,15,16,17,18,19,20,21,22,23,24,25,26,27,28,29,30}-1)*LEN(Registro!$E971)+1,LEN(Registro!$E971))),FIND("x",TRIM(MID(SUBSTITUTE(SUBSTITUTE(SUBSTITUTE(SUBSTITUTE(SUBSTITUTE(LOWER(Registro!$E971),"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",LEN(Registro!$E971))),({1,2,3,4,5,6,7,8,9,10,11,12,13,14,15,16,17,18,19,20,21,22,23,24,25,26,27,28,29,30}-1)*LEN(Registro!$E971)+1,LEN(Registro!$E971)))&amp;"x")+1,20))),"Revisar formato")))</f>
        <v/>
      </c>
      <c r="F971" s="23" t="str">
        <f>IF(Registro!$F971="","",IF(ISERROR(FIND("x",LOWER(Registro!$F971))),"-",IFERROR(SUMPRODUCT(--("0"&amp;LEFT(TRIM(MID(SUBSTITUTE(SUBSTITUTE(SUBSTITUTE(SUBSTITUTE(SUBSTITUTE(LOWER(Registro!$F971)," ",""),CHAR(10),"|"),";","|"),"+","|"),"|",REPT(" ",LEN(Registro!$F971))),({1,2,3,4,5,6,7,8,9,10,11,12,13,14,15,16,17,18,19,20,21,22,23,24,25,26,27,28,29,30}-1)*LEN(Registro!$F971)+1,LEN(Registro!$F971))),FIND("x",TRIM(MID(SUBSTITUTE(SUBSTITUTE(SUBSTITUTE(SUBSTITUTE(SUBSTITUTE(LOWER(Registro!$F971)," ",""),CHAR(10),"|"),";","|"),"+","|"),"|",REPT(" ",LEN(Registro!$F971))),({1,2,3,4,5,6,7,8,9,10,11,12,13,14,15,16,17,18,19,20,21,22,23,24,25,26,27,28,29,30}-1)*LEN(Registro!$F971)+1,LEN(Registro!$F971)))&amp;"x")-1))),"Revisar formato")))</f>
        <v/>
      </c>
      <c r="G971" s="24" t="str">
        <f>IF(Registro!$F971="","",IF(ISERROR(FIND("x",LOWER(Registro!$F971))),N(Registro!$G971),IFERROR(SUMPRODUCT(--("0"&amp;LEFT(TRIM(MID(SUBSTITUTE(SUBSTITUTE(SUBSTITUTE(SUBSTITUTE(SUBSTITUTE(LOWER(Registro!$F971)," ",""),CHAR(10),"|"),";","|"),"+","|"),"|",REPT(" ",LEN(Registro!$F971))),({1,2,3,4,5,6,7,8,9,10,11,12,13,14,15,16,17,18,19,20,21,22,23,24,25,26,27,28,29,30}-1)*LEN(Registro!$F971)+1,LEN(Registro!$F971))),FIND("x",TRIM(MID(SUBSTITUTE(SUBSTITUTE(SUBSTITUTE(SUBSTITUTE(SUBSTITUTE(LOWER(Registro!$F971)," ",""),CHAR(10),"|"),";","|"),"+","|"),"|",REPT(" ",LEN(Registro!$F971))),({1,2,3,4,5,6,7,8,9,10,11,12,13,14,15,16,17,18,19,20,21,22,23,24,25,26,27,28,29,30}-1)*LEN(Registro!$F971)+1,LEN(Registro!$F971)))&amp;"x")-1)),--("0"&amp;MID(TRIM(MID(SUBSTITUTE(SUBSTITUTE(SUBSTITUTE(SUBSTITUTE(SUBSTITUTE(LOWER(Registro!$F971)," ",""),CHAR(10),"|"),";","|"),"+","|"),"|",REPT(" ",LEN(Registro!$F971))),({1,2,3,4,5,6,7,8,9,10,11,12,13,14,15,16,17,18,19,20,21,22,23,24,25,26,27,28,29,30}-1)*LEN(Registro!$F971)+1,LEN(Registro!$F971))),FIND("x",TRIM(MID(SUBSTITUTE(SUBSTITUTE(SUBSTITUTE(SUBSTITUTE(SUBSTITUTE(LOWER(Registro!$F971)," ",""),CHAR(10),"|"),";","|"),"+","|"),"|",REPT(" ",LEN(Registro!$F971))),({1,2,3,4,5,6,7,8,9,10,11,12,13,14,15,16,17,18,19,20,21,22,23,24,25,26,27,28,29,30}-1)*LEN(Registro!$F971)+1,LEN(Registro!$F971)))&amp;"x")+1,20))),"Revisar formato")))</f>
        <v/>
      </c>
      <c r="H971" s="21" t="str">
        <f>IF(AND(Registro!$E971="",Registro!$F971=""),"",IF(NOT(AND(ISNUMBER(G971),ISNUMBER(Registro!$G971))),"",IF(G971&lt;Registro!$G971,"FALTA BOLETOS",IF(G971=Registro!$G971,"CONFORME","DIFERENCIA"))))</f>
        <v/>
      </c>
      <c r="I971" s="24" t="str">
        <f>IF(Registro!$H971="","",IFERROR(SUMPRODUCT(--("0"&amp;TRIM(RIGHT(SUBSTITUTE(TRIM(MID(SUBSTITUTE(SUBSTITUTE(Registro!$H971,";",CHAR(10)),CHAR(10),REPT(" ",LEN(Registro!$H971))),({1,2,3,4,5,6,7,8,9,10,11,12,13,14,15,16,17,18,19,20,21,22,23,24,25,26,27,28,29,30}-1)*LEN(Registro!$H971)+1,LEN(Registro!$H971)))," ",REPT(" ",50)),50)))),"Revisar formato"))</f>
        <v/>
      </c>
      <c r="J971" s="24" t="str">
        <f>IF(Registro!$I971="","",IFERROR(SUMPRODUCT(--("0"&amp;TRIM(RIGHT(SUBSTITUTE(TRIM(MID(SUBSTITUTE(SUBSTITUTE(Registro!$I971,";",CHAR(10)),CHAR(10),REPT(" ",LEN(Registro!$I971))),({1,2,3,4,5,6,7,8,9,10,11,12,13,14,15,16,17,18,19,20,21,22,23,24,25,26,27,28,29,30}-1)*LEN(Registro!$I971)+1,LEN(Registro!$I971)))," ",REPT(" ",50)),50)))),"Revisar formato"))</f>
        <v/>
      </c>
      <c r="K971" s="24" t="str">
        <f>IF(AND(Registro!$G971="",Registro!$H971=""),"",IF(AND(ISTEXT(I971),I971&lt;&gt;""),"Revisar formato",N(Registro!$G971)-N(I971)))</f>
        <v/>
      </c>
      <c r="L971" s="24" t="str">
        <f t="shared" si="31"/>
        <v/>
      </c>
      <c r="M971" s="36" t="str">
        <f>IF(AND(A971=Consulta!$B$3,C971=Consulta!$H$3),B971*10000+ROW(),"")</f>
        <v/>
      </c>
    </row>
    <row r="972" spans="1:13" x14ac:dyDescent="0.25">
      <c r="A972" s="21" t="str">
        <f>IF(Registro!$A972="","",Registro!$A972)</f>
        <v/>
      </c>
      <c r="B972" s="20" t="str">
        <f>IF(Registro!$B972="","",Registro!$B972)</f>
        <v/>
      </c>
      <c r="C972" s="35" t="str">
        <f t="shared" si="30"/>
        <v/>
      </c>
      <c r="D972" s="23" t="str">
        <f>IF(Registro!$E972="","",IF(ISERROR(FIND("x",LOWER(Registro!$E972))),"-",IFERROR(SUMPRODUCT(--("0"&amp;LEFT(TRIM(MID(SUBSTITUTE(SUBSTITUTE(SUBSTITUTE(SUBSTITUTE(SUBSTITUTE(LOWER(Registro!$E972),"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",LEN(Registro!$E972))),({1,2,3,4,5,6,7,8,9,10,11,12,13,14,15,16,17,18,19,20,21,22,23,24,25,26,27,28,29,30}-1)*LEN(Registro!$E972)+1,LEN(Registro!$E972))),FIND("x",TRIM(MID(SUBSTITUTE(SUBSTITUTE(SUBSTITUTE(SUBSTITUTE(SUBSTITUTE(LOWER(Registro!$E972),"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",LEN(Registro!$E972))),({1,2,3,4,5,6,7,8,9,10,11,12,13,14,15,16,17,18,19,20,21,22,23,24,25,26,27,28,29,30}-1)*LEN(Registro!$E972)+1,LEN(Registro!$E972)))&amp;"x")-1))),"Revisar formato")))</f>
        <v/>
      </c>
      <c r="E972" s="24" t="str">
        <f>IF(Registro!$E972="","",IF(ISERROR(FIND("x",LOWER(Registro!$E972))),"-",IFERROR(SUMPRODUCT(--("0"&amp;LEFT(TRIM(MID(SUBSTITUTE(SUBSTITUTE(SUBSTITUTE(SUBSTITUTE(SUBSTITUTE(LOWER(Registro!$E972),"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",LEN(Registro!$E972))),({1,2,3,4,5,6,7,8,9,10,11,12,13,14,15,16,17,18,19,20,21,22,23,24,25,26,27,28,29,30}-1)*LEN(Registro!$E972)+1,LEN(Registro!$E972))),FIND("x",TRIM(MID(SUBSTITUTE(SUBSTITUTE(SUBSTITUTE(SUBSTITUTE(SUBSTITUTE(LOWER(Registro!$E972),"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",LEN(Registro!$E972))),({1,2,3,4,5,6,7,8,9,10,11,12,13,14,15,16,17,18,19,20,21,22,23,24,25,26,27,28,29,30}-1)*LEN(Registro!$E972)+1,LEN(Registro!$E972)))&amp;"x")-1)),--("0"&amp;MID(TRIM(MID(SUBSTITUTE(SUBSTITUTE(SUBSTITUTE(SUBSTITUTE(SUBSTITUTE(LOWER(Registro!$E972),"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",LEN(Registro!$E972))),({1,2,3,4,5,6,7,8,9,10,11,12,13,14,15,16,17,18,19,20,21,22,23,24,25,26,27,28,29,30}-1)*LEN(Registro!$E972)+1,LEN(Registro!$E972))),FIND("x",TRIM(MID(SUBSTITUTE(SUBSTITUTE(SUBSTITUTE(SUBSTITUTE(SUBSTITUTE(LOWER(Registro!$E972),"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",LEN(Registro!$E972))),({1,2,3,4,5,6,7,8,9,10,11,12,13,14,15,16,17,18,19,20,21,22,23,24,25,26,27,28,29,30}-1)*LEN(Registro!$E972)+1,LEN(Registro!$E972)))&amp;"x")+1,20))),"Revisar formato")))</f>
        <v/>
      </c>
      <c r="F972" s="23" t="str">
        <f>IF(Registro!$F972="","",IF(ISERROR(FIND("x",LOWER(Registro!$F972))),"-",IFERROR(SUMPRODUCT(--("0"&amp;LEFT(TRIM(MID(SUBSTITUTE(SUBSTITUTE(SUBSTITUTE(SUBSTITUTE(SUBSTITUTE(LOWER(Registro!$F972)," ",""),CHAR(10),"|"),";","|"),"+","|"),"|",REPT(" ",LEN(Registro!$F972))),({1,2,3,4,5,6,7,8,9,10,11,12,13,14,15,16,17,18,19,20,21,22,23,24,25,26,27,28,29,30}-1)*LEN(Registro!$F972)+1,LEN(Registro!$F972))),FIND("x",TRIM(MID(SUBSTITUTE(SUBSTITUTE(SUBSTITUTE(SUBSTITUTE(SUBSTITUTE(LOWER(Registro!$F972)," ",""),CHAR(10),"|"),";","|"),"+","|"),"|",REPT(" ",LEN(Registro!$F972))),({1,2,3,4,5,6,7,8,9,10,11,12,13,14,15,16,17,18,19,20,21,22,23,24,25,26,27,28,29,30}-1)*LEN(Registro!$F972)+1,LEN(Registro!$F972)))&amp;"x")-1))),"Revisar formato")))</f>
        <v/>
      </c>
      <c r="G972" s="24" t="str">
        <f>IF(Registro!$F972="","",IF(ISERROR(FIND("x",LOWER(Registro!$F972))),N(Registro!$G972),IFERROR(SUMPRODUCT(--("0"&amp;LEFT(TRIM(MID(SUBSTITUTE(SUBSTITUTE(SUBSTITUTE(SUBSTITUTE(SUBSTITUTE(LOWER(Registro!$F972)," ",""),CHAR(10),"|"),";","|"),"+","|"),"|",REPT(" ",LEN(Registro!$F972))),({1,2,3,4,5,6,7,8,9,10,11,12,13,14,15,16,17,18,19,20,21,22,23,24,25,26,27,28,29,30}-1)*LEN(Registro!$F972)+1,LEN(Registro!$F972))),FIND("x",TRIM(MID(SUBSTITUTE(SUBSTITUTE(SUBSTITUTE(SUBSTITUTE(SUBSTITUTE(LOWER(Registro!$F972)," ",""),CHAR(10),"|"),";","|"),"+","|"),"|",REPT(" ",LEN(Registro!$F972))),({1,2,3,4,5,6,7,8,9,10,11,12,13,14,15,16,17,18,19,20,21,22,23,24,25,26,27,28,29,30}-1)*LEN(Registro!$F972)+1,LEN(Registro!$F972)))&amp;"x")-1)),--("0"&amp;MID(TRIM(MID(SUBSTITUTE(SUBSTITUTE(SUBSTITUTE(SUBSTITUTE(SUBSTITUTE(LOWER(Registro!$F972)," ",""),CHAR(10),"|"),";","|"),"+","|"),"|",REPT(" ",LEN(Registro!$F972))),({1,2,3,4,5,6,7,8,9,10,11,12,13,14,15,16,17,18,19,20,21,22,23,24,25,26,27,28,29,30}-1)*LEN(Registro!$F972)+1,LEN(Registro!$F972))),FIND("x",TRIM(MID(SUBSTITUTE(SUBSTITUTE(SUBSTITUTE(SUBSTITUTE(SUBSTITUTE(LOWER(Registro!$F972)," ",""),CHAR(10),"|"),";","|"),"+","|"),"|",REPT(" ",LEN(Registro!$F972))),({1,2,3,4,5,6,7,8,9,10,11,12,13,14,15,16,17,18,19,20,21,22,23,24,25,26,27,28,29,30}-1)*LEN(Registro!$F972)+1,LEN(Registro!$F972)))&amp;"x")+1,20))),"Revisar formato")))</f>
        <v/>
      </c>
      <c r="H972" s="21" t="str">
        <f>IF(AND(Registro!$E972="",Registro!$F972=""),"",IF(NOT(AND(ISNUMBER(G972),ISNUMBER(Registro!$G972))),"",IF(G972&lt;Registro!$G972,"FALTA BOLETOS",IF(G972=Registro!$G972,"CONFORME","DIFERENCIA"))))</f>
        <v/>
      </c>
      <c r="I972" s="24" t="str">
        <f>IF(Registro!$H972="","",IFERROR(SUMPRODUCT(--("0"&amp;TRIM(RIGHT(SUBSTITUTE(TRIM(MID(SUBSTITUTE(SUBSTITUTE(Registro!$H972,";",CHAR(10)),CHAR(10),REPT(" ",LEN(Registro!$H972))),({1,2,3,4,5,6,7,8,9,10,11,12,13,14,15,16,17,18,19,20,21,22,23,24,25,26,27,28,29,30}-1)*LEN(Registro!$H972)+1,LEN(Registro!$H972)))," ",REPT(" ",50)),50)))),"Revisar formato"))</f>
        <v/>
      </c>
      <c r="J972" s="24" t="str">
        <f>IF(Registro!$I972="","",IFERROR(SUMPRODUCT(--("0"&amp;TRIM(RIGHT(SUBSTITUTE(TRIM(MID(SUBSTITUTE(SUBSTITUTE(Registro!$I972,";",CHAR(10)),CHAR(10),REPT(" ",LEN(Registro!$I972))),({1,2,3,4,5,6,7,8,9,10,11,12,13,14,15,16,17,18,19,20,21,22,23,24,25,26,27,28,29,30}-1)*LEN(Registro!$I972)+1,LEN(Registro!$I972)))," ",REPT(" ",50)),50)))),"Revisar formato"))</f>
        <v/>
      </c>
      <c r="K972" s="24" t="str">
        <f>IF(AND(Registro!$G972="",Registro!$H972=""),"",IF(AND(ISTEXT(I972),I972&lt;&gt;""),"Revisar formato",N(Registro!$G972)-N(I972)))</f>
        <v/>
      </c>
      <c r="L972" s="24" t="str">
        <f t="shared" si="31"/>
        <v/>
      </c>
      <c r="M972" s="36" t="str">
        <f>IF(AND(A972=Consulta!$B$3,C972=Consulta!$H$3),B972*10000+ROW(),"")</f>
        <v/>
      </c>
    </row>
    <row r="973" spans="1:13" x14ac:dyDescent="0.25">
      <c r="A973" s="21" t="str">
        <f>IF(Registro!$A973="","",Registro!$A973)</f>
        <v/>
      </c>
      <c r="B973" s="20" t="str">
        <f>IF(Registro!$B973="","",Registro!$B973)</f>
        <v/>
      </c>
      <c r="C973" s="35" t="str">
        <f t="shared" si="30"/>
        <v/>
      </c>
      <c r="D973" s="23" t="str">
        <f>IF(Registro!$E973="","",IF(ISERROR(FIND("x",LOWER(Registro!$E973))),"-",IFERROR(SUMPRODUCT(--("0"&amp;LEFT(TRIM(MID(SUBSTITUTE(SUBSTITUTE(SUBSTITUTE(SUBSTITUTE(SUBSTITUTE(LOWER(Registro!$E973),"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",LEN(Registro!$E973))),({1,2,3,4,5,6,7,8,9,10,11,12,13,14,15,16,17,18,19,20,21,22,23,24,25,26,27,28,29,30}-1)*LEN(Registro!$E973)+1,LEN(Registro!$E973))),FIND("x",TRIM(MID(SUBSTITUTE(SUBSTITUTE(SUBSTITUTE(SUBSTITUTE(SUBSTITUTE(LOWER(Registro!$E973),"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",LEN(Registro!$E973))),({1,2,3,4,5,6,7,8,9,10,11,12,13,14,15,16,17,18,19,20,21,22,23,24,25,26,27,28,29,30}-1)*LEN(Registro!$E973)+1,LEN(Registro!$E973)))&amp;"x")-1))),"Revisar formato")))</f>
        <v/>
      </c>
      <c r="E973" s="24" t="str">
        <f>IF(Registro!$E973="","",IF(ISERROR(FIND("x",LOWER(Registro!$E973))),"-",IFERROR(SUMPRODUCT(--("0"&amp;LEFT(TRIM(MID(SUBSTITUTE(SUBSTITUTE(SUBSTITUTE(SUBSTITUTE(SUBSTITUTE(LOWER(Registro!$E973),"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",LEN(Registro!$E973))),({1,2,3,4,5,6,7,8,9,10,11,12,13,14,15,16,17,18,19,20,21,22,23,24,25,26,27,28,29,30}-1)*LEN(Registro!$E973)+1,LEN(Registro!$E973))),FIND("x",TRIM(MID(SUBSTITUTE(SUBSTITUTE(SUBSTITUTE(SUBSTITUTE(SUBSTITUTE(LOWER(Registro!$E973),"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",LEN(Registro!$E973))),({1,2,3,4,5,6,7,8,9,10,11,12,13,14,15,16,17,18,19,20,21,22,23,24,25,26,27,28,29,30}-1)*LEN(Registro!$E973)+1,LEN(Registro!$E973)))&amp;"x")-1)),--("0"&amp;MID(TRIM(MID(SUBSTITUTE(SUBSTITUTE(SUBSTITUTE(SUBSTITUTE(SUBSTITUTE(LOWER(Registro!$E973),"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",LEN(Registro!$E973))),({1,2,3,4,5,6,7,8,9,10,11,12,13,14,15,16,17,18,19,20,21,22,23,24,25,26,27,28,29,30}-1)*LEN(Registro!$E973)+1,LEN(Registro!$E973))),FIND("x",TRIM(MID(SUBSTITUTE(SUBSTITUTE(SUBSTITUTE(SUBSTITUTE(SUBSTITUTE(LOWER(Registro!$E973),"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",LEN(Registro!$E973))),({1,2,3,4,5,6,7,8,9,10,11,12,13,14,15,16,17,18,19,20,21,22,23,24,25,26,27,28,29,30}-1)*LEN(Registro!$E973)+1,LEN(Registro!$E973)))&amp;"x")+1,20))),"Revisar formato")))</f>
        <v/>
      </c>
      <c r="F973" s="23" t="str">
        <f>IF(Registro!$F973="","",IF(ISERROR(FIND("x",LOWER(Registro!$F973))),"-",IFERROR(SUMPRODUCT(--("0"&amp;LEFT(TRIM(MID(SUBSTITUTE(SUBSTITUTE(SUBSTITUTE(SUBSTITUTE(SUBSTITUTE(LOWER(Registro!$F973)," ",""),CHAR(10),"|"),";","|"),"+","|"),"|",REPT(" ",LEN(Registro!$F973))),({1,2,3,4,5,6,7,8,9,10,11,12,13,14,15,16,17,18,19,20,21,22,23,24,25,26,27,28,29,30}-1)*LEN(Registro!$F973)+1,LEN(Registro!$F973))),FIND("x",TRIM(MID(SUBSTITUTE(SUBSTITUTE(SUBSTITUTE(SUBSTITUTE(SUBSTITUTE(LOWER(Registro!$F973)," ",""),CHAR(10),"|"),";","|"),"+","|"),"|",REPT(" ",LEN(Registro!$F973))),({1,2,3,4,5,6,7,8,9,10,11,12,13,14,15,16,17,18,19,20,21,22,23,24,25,26,27,28,29,30}-1)*LEN(Registro!$F973)+1,LEN(Registro!$F973)))&amp;"x")-1))),"Revisar formato")))</f>
        <v/>
      </c>
      <c r="G973" s="24" t="str">
        <f>IF(Registro!$F973="","",IF(ISERROR(FIND("x",LOWER(Registro!$F973))),N(Registro!$G973),IFERROR(SUMPRODUCT(--("0"&amp;LEFT(TRIM(MID(SUBSTITUTE(SUBSTITUTE(SUBSTITUTE(SUBSTITUTE(SUBSTITUTE(LOWER(Registro!$F973)," ",""),CHAR(10),"|"),";","|"),"+","|"),"|",REPT(" ",LEN(Registro!$F973))),({1,2,3,4,5,6,7,8,9,10,11,12,13,14,15,16,17,18,19,20,21,22,23,24,25,26,27,28,29,30}-1)*LEN(Registro!$F973)+1,LEN(Registro!$F973))),FIND("x",TRIM(MID(SUBSTITUTE(SUBSTITUTE(SUBSTITUTE(SUBSTITUTE(SUBSTITUTE(LOWER(Registro!$F973)," ",""),CHAR(10),"|"),";","|"),"+","|"),"|",REPT(" ",LEN(Registro!$F973))),({1,2,3,4,5,6,7,8,9,10,11,12,13,14,15,16,17,18,19,20,21,22,23,24,25,26,27,28,29,30}-1)*LEN(Registro!$F973)+1,LEN(Registro!$F973)))&amp;"x")-1)),--("0"&amp;MID(TRIM(MID(SUBSTITUTE(SUBSTITUTE(SUBSTITUTE(SUBSTITUTE(SUBSTITUTE(LOWER(Registro!$F973)," ",""),CHAR(10),"|"),";","|"),"+","|"),"|",REPT(" ",LEN(Registro!$F973))),({1,2,3,4,5,6,7,8,9,10,11,12,13,14,15,16,17,18,19,20,21,22,23,24,25,26,27,28,29,30}-1)*LEN(Registro!$F973)+1,LEN(Registro!$F973))),FIND("x",TRIM(MID(SUBSTITUTE(SUBSTITUTE(SUBSTITUTE(SUBSTITUTE(SUBSTITUTE(LOWER(Registro!$F973)," ",""),CHAR(10),"|"),";","|"),"+","|"),"|",REPT(" ",LEN(Registro!$F973))),({1,2,3,4,5,6,7,8,9,10,11,12,13,14,15,16,17,18,19,20,21,22,23,24,25,26,27,28,29,30}-1)*LEN(Registro!$F973)+1,LEN(Registro!$F973)))&amp;"x")+1,20))),"Revisar formato")))</f>
        <v/>
      </c>
      <c r="H973" s="21" t="str">
        <f>IF(AND(Registro!$E973="",Registro!$F973=""),"",IF(NOT(AND(ISNUMBER(G973),ISNUMBER(Registro!$G973))),"",IF(G973&lt;Registro!$G973,"FALTA BOLETOS",IF(G973=Registro!$G973,"CONFORME","DIFERENCIA"))))</f>
        <v/>
      </c>
      <c r="I973" s="24" t="str">
        <f>IF(Registro!$H973="","",IFERROR(SUMPRODUCT(--("0"&amp;TRIM(RIGHT(SUBSTITUTE(TRIM(MID(SUBSTITUTE(SUBSTITUTE(Registro!$H973,";",CHAR(10)),CHAR(10),REPT(" ",LEN(Registro!$H973))),({1,2,3,4,5,6,7,8,9,10,11,12,13,14,15,16,17,18,19,20,21,22,23,24,25,26,27,28,29,30}-1)*LEN(Registro!$H973)+1,LEN(Registro!$H973)))," ",REPT(" ",50)),50)))),"Revisar formato"))</f>
        <v/>
      </c>
      <c r="J973" s="24" t="str">
        <f>IF(Registro!$I973="","",IFERROR(SUMPRODUCT(--("0"&amp;TRIM(RIGHT(SUBSTITUTE(TRIM(MID(SUBSTITUTE(SUBSTITUTE(Registro!$I973,";",CHAR(10)),CHAR(10),REPT(" ",LEN(Registro!$I973))),({1,2,3,4,5,6,7,8,9,10,11,12,13,14,15,16,17,18,19,20,21,22,23,24,25,26,27,28,29,30}-1)*LEN(Registro!$I973)+1,LEN(Registro!$I973)))," ",REPT(" ",50)),50)))),"Revisar formato"))</f>
        <v/>
      </c>
      <c r="K973" s="24" t="str">
        <f>IF(AND(Registro!$G973="",Registro!$H973=""),"",IF(AND(ISTEXT(I973),I973&lt;&gt;""),"Revisar formato",N(Registro!$G973)-N(I973)))</f>
        <v/>
      </c>
      <c r="L973" s="24" t="str">
        <f t="shared" si="31"/>
        <v/>
      </c>
      <c r="M973" s="36" t="str">
        <f>IF(AND(A973=Consulta!$B$3,C973=Consulta!$H$3),B973*10000+ROW(),"")</f>
        <v/>
      </c>
    </row>
    <row r="974" spans="1:13" x14ac:dyDescent="0.25">
      <c r="A974" s="21" t="str">
        <f>IF(Registro!$A974="","",Registro!$A974)</f>
        <v/>
      </c>
      <c r="B974" s="20" t="str">
        <f>IF(Registro!$B974="","",Registro!$B974)</f>
        <v/>
      </c>
      <c r="C974" s="35" t="str">
        <f t="shared" si="30"/>
        <v/>
      </c>
      <c r="D974" s="23" t="str">
        <f>IF(Registro!$E974="","",IF(ISERROR(FIND("x",LOWER(Registro!$E974))),"-",IFERROR(SUMPRODUCT(--("0"&amp;LEFT(TRIM(MID(SUBSTITUTE(SUBSTITUTE(SUBSTITUTE(SUBSTITUTE(SUBSTITUTE(LOWER(Registro!$E974),"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",LEN(Registro!$E974))),({1,2,3,4,5,6,7,8,9,10,11,12,13,14,15,16,17,18,19,20,21,22,23,24,25,26,27,28,29,30}-1)*LEN(Registro!$E974)+1,LEN(Registro!$E974))),FIND("x",TRIM(MID(SUBSTITUTE(SUBSTITUTE(SUBSTITUTE(SUBSTITUTE(SUBSTITUTE(LOWER(Registro!$E974),"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",LEN(Registro!$E974))),({1,2,3,4,5,6,7,8,9,10,11,12,13,14,15,16,17,18,19,20,21,22,23,24,25,26,27,28,29,30}-1)*LEN(Registro!$E974)+1,LEN(Registro!$E974)))&amp;"x")-1))),"Revisar formato")))</f>
        <v/>
      </c>
      <c r="E974" s="24" t="str">
        <f>IF(Registro!$E974="","",IF(ISERROR(FIND("x",LOWER(Registro!$E974))),"-",IFERROR(SUMPRODUCT(--("0"&amp;LEFT(TRIM(MID(SUBSTITUTE(SUBSTITUTE(SUBSTITUTE(SUBSTITUTE(SUBSTITUTE(LOWER(Registro!$E974),"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",LEN(Registro!$E974))),({1,2,3,4,5,6,7,8,9,10,11,12,13,14,15,16,17,18,19,20,21,22,23,24,25,26,27,28,29,30}-1)*LEN(Registro!$E974)+1,LEN(Registro!$E974))),FIND("x",TRIM(MID(SUBSTITUTE(SUBSTITUTE(SUBSTITUTE(SUBSTITUTE(SUBSTITUTE(LOWER(Registro!$E974),"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",LEN(Registro!$E974))),({1,2,3,4,5,6,7,8,9,10,11,12,13,14,15,16,17,18,19,20,21,22,23,24,25,26,27,28,29,30}-1)*LEN(Registro!$E974)+1,LEN(Registro!$E974)))&amp;"x")-1)),--("0"&amp;MID(TRIM(MID(SUBSTITUTE(SUBSTITUTE(SUBSTITUTE(SUBSTITUTE(SUBSTITUTE(LOWER(Registro!$E974),"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",LEN(Registro!$E974))),({1,2,3,4,5,6,7,8,9,10,11,12,13,14,15,16,17,18,19,20,21,22,23,24,25,26,27,28,29,30}-1)*LEN(Registro!$E974)+1,LEN(Registro!$E974))),FIND("x",TRIM(MID(SUBSTITUTE(SUBSTITUTE(SUBSTITUTE(SUBSTITUTE(SUBSTITUTE(LOWER(Registro!$E974),"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",LEN(Registro!$E974))),({1,2,3,4,5,6,7,8,9,10,11,12,13,14,15,16,17,18,19,20,21,22,23,24,25,26,27,28,29,30}-1)*LEN(Registro!$E974)+1,LEN(Registro!$E974)))&amp;"x")+1,20))),"Revisar formato")))</f>
        <v/>
      </c>
      <c r="F974" s="23" t="str">
        <f>IF(Registro!$F974="","",IF(ISERROR(FIND("x",LOWER(Registro!$F974))),"-",IFERROR(SUMPRODUCT(--("0"&amp;LEFT(TRIM(MID(SUBSTITUTE(SUBSTITUTE(SUBSTITUTE(SUBSTITUTE(SUBSTITUTE(LOWER(Registro!$F974)," ",""),CHAR(10),"|"),";","|"),"+","|"),"|",REPT(" ",LEN(Registro!$F974))),({1,2,3,4,5,6,7,8,9,10,11,12,13,14,15,16,17,18,19,20,21,22,23,24,25,26,27,28,29,30}-1)*LEN(Registro!$F974)+1,LEN(Registro!$F974))),FIND("x",TRIM(MID(SUBSTITUTE(SUBSTITUTE(SUBSTITUTE(SUBSTITUTE(SUBSTITUTE(LOWER(Registro!$F974)," ",""),CHAR(10),"|"),";","|"),"+","|"),"|",REPT(" ",LEN(Registro!$F974))),({1,2,3,4,5,6,7,8,9,10,11,12,13,14,15,16,17,18,19,20,21,22,23,24,25,26,27,28,29,30}-1)*LEN(Registro!$F974)+1,LEN(Registro!$F974)))&amp;"x")-1))),"Revisar formato")))</f>
        <v/>
      </c>
      <c r="G974" s="24" t="str">
        <f>IF(Registro!$F974="","",IF(ISERROR(FIND("x",LOWER(Registro!$F974))),N(Registro!$G974),IFERROR(SUMPRODUCT(--("0"&amp;LEFT(TRIM(MID(SUBSTITUTE(SUBSTITUTE(SUBSTITUTE(SUBSTITUTE(SUBSTITUTE(LOWER(Registro!$F974)," ",""),CHAR(10),"|"),";","|"),"+","|"),"|",REPT(" ",LEN(Registro!$F974))),({1,2,3,4,5,6,7,8,9,10,11,12,13,14,15,16,17,18,19,20,21,22,23,24,25,26,27,28,29,30}-1)*LEN(Registro!$F974)+1,LEN(Registro!$F974))),FIND("x",TRIM(MID(SUBSTITUTE(SUBSTITUTE(SUBSTITUTE(SUBSTITUTE(SUBSTITUTE(LOWER(Registro!$F974)," ",""),CHAR(10),"|"),";","|"),"+","|"),"|",REPT(" ",LEN(Registro!$F974))),({1,2,3,4,5,6,7,8,9,10,11,12,13,14,15,16,17,18,19,20,21,22,23,24,25,26,27,28,29,30}-1)*LEN(Registro!$F974)+1,LEN(Registro!$F974)))&amp;"x")-1)),--("0"&amp;MID(TRIM(MID(SUBSTITUTE(SUBSTITUTE(SUBSTITUTE(SUBSTITUTE(SUBSTITUTE(LOWER(Registro!$F974)," ",""),CHAR(10),"|"),";","|"),"+","|"),"|",REPT(" ",LEN(Registro!$F974))),({1,2,3,4,5,6,7,8,9,10,11,12,13,14,15,16,17,18,19,20,21,22,23,24,25,26,27,28,29,30}-1)*LEN(Registro!$F974)+1,LEN(Registro!$F974))),FIND("x",TRIM(MID(SUBSTITUTE(SUBSTITUTE(SUBSTITUTE(SUBSTITUTE(SUBSTITUTE(LOWER(Registro!$F974)," ",""),CHAR(10),"|"),";","|"),"+","|"),"|",REPT(" ",LEN(Registro!$F974))),({1,2,3,4,5,6,7,8,9,10,11,12,13,14,15,16,17,18,19,20,21,22,23,24,25,26,27,28,29,30}-1)*LEN(Registro!$F974)+1,LEN(Registro!$F974)))&amp;"x")+1,20))),"Revisar formato")))</f>
        <v/>
      </c>
      <c r="H974" s="21" t="str">
        <f>IF(AND(Registro!$E974="",Registro!$F974=""),"",IF(NOT(AND(ISNUMBER(G974),ISNUMBER(Registro!$G974))),"",IF(G974&lt;Registro!$G974,"FALTA BOLETOS",IF(G974=Registro!$G974,"CONFORME","DIFERENCIA"))))</f>
        <v/>
      </c>
      <c r="I974" s="24" t="str">
        <f>IF(Registro!$H974="","",IFERROR(SUMPRODUCT(--("0"&amp;TRIM(RIGHT(SUBSTITUTE(TRIM(MID(SUBSTITUTE(SUBSTITUTE(Registro!$H974,";",CHAR(10)),CHAR(10),REPT(" ",LEN(Registro!$H974))),({1,2,3,4,5,6,7,8,9,10,11,12,13,14,15,16,17,18,19,20,21,22,23,24,25,26,27,28,29,30}-1)*LEN(Registro!$H974)+1,LEN(Registro!$H974)))," ",REPT(" ",50)),50)))),"Revisar formato"))</f>
        <v/>
      </c>
      <c r="J974" s="24" t="str">
        <f>IF(Registro!$I974="","",IFERROR(SUMPRODUCT(--("0"&amp;TRIM(RIGHT(SUBSTITUTE(TRIM(MID(SUBSTITUTE(SUBSTITUTE(Registro!$I974,";",CHAR(10)),CHAR(10),REPT(" ",LEN(Registro!$I974))),({1,2,3,4,5,6,7,8,9,10,11,12,13,14,15,16,17,18,19,20,21,22,23,24,25,26,27,28,29,30}-1)*LEN(Registro!$I974)+1,LEN(Registro!$I974)))," ",REPT(" ",50)),50)))),"Revisar formato"))</f>
        <v/>
      </c>
      <c r="K974" s="24" t="str">
        <f>IF(AND(Registro!$G974="",Registro!$H974=""),"",IF(AND(ISTEXT(I974),I974&lt;&gt;""),"Revisar formato",N(Registro!$G974)-N(I974)))</f>
        <v/>
      </c>
      <c r="L974" s="24" t="str">
        <f t="shared" si="31"/>
        <v/>
      </c>
      <c r="M974" s="36" t="str">
        <f>IF(AND(A974=Consulta!$B$3,C974=Consulta!$H$3),B974*10000+ROW(),"")</f>
        <v/>
      </c>
    </row>
    <row r="975" spans="1:13" x14ac:dyDescent="0.25">
      <c r="A975" s="21" t="str">
        <f>IF(Registro!$A975="","",Registro!$A975)</f>
        <v/>
      </c>
      <c r="B975" s="20" t="str">
        <f>IF(Registro!$B975="","",Registro!$B975)</f>
        <v/>
      </c>
      <c r="C975" s="35" t="str">
        <f t="shared" si="30"/>
        <v/>
      </c>
      <c r="D975" s="23" t="str">
        <f>IF(Registro!$E975="","",IF(ISERROR(FIND("x",LOWER(Registro!$E975))),"-",IFERROR(SUMPRODUCT(--("0"&amp;LEFT(TRIM(MID(SUBSTITUTE(SUBSTITUTE(SUBSTITUTE(SUBSTITUTE(SUBSTITUTE(LOWER(Registro!$E975),"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",LEN(Registro!$E975))),({1,2,3,4,5,6,7,8,9,10,11,12,13,14,15,16,17,18,19,20,21,22,23,24,25,26,27,28,29,30}-1)*LEN(Registro!$E975)+1,LEN(Registro!$E975))),FIND("x",TRIM(MID(SUBSTITUTE(SUBSTITUTE(SUBSTITUTE(SUBSTITUTE(SUBSTITUTE(LOWER(Registro!$E975),"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",LEN(Registro!$E975))),({1,2,3,4,5,6,7,8,9,10,11,12,13,14,15,16,17,18,19,20,21,22,23,24,25,26,27,28,29,30}-1)*LEN(Registro!$E975)+1,LEN(Registro!$E975)))&amp;"x")-1))),"Revisar formato")))</f>
        <v/>
      </c>
      <c r="E975" s="24" t="str">
        <f>IF(Registro!$E975="","",IF(ISERROR(FIND("x",LOWER(Registro!$E975))),"-",IFERROR(SUMPRODUCT(--("0"&amp;LEFT(TRIM(MID(SUBSTITUTE(SUBSTITUTE(SUBSTITUTE(SUBSTITUTE(SUBSTITUTE(LOWER(Registro!$E975),"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",LEN(Registro!$E975))),({1,2,3,4,5,6,7,8,9,10,11,12,13,14,15,16,17,18,19,20,21,22,23,24,25,26,27,28,29,30}-1)*LEN(Registro!$E975)+1,LEN(Registro!$E975))),FIND("x",TRIM(MID(SUBSTITUTE(SUBSTITUTE(SUBSTITUTE(SUBSTITUTE(SUBSTITUTE(LOWER(Registro!$E975),"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",LEN(Registro!$E975))),({1,2,3,4,5,6,7,8,9,10,11,12,13,14,15,16,17,18,19,20,21,22,23,24,25,26,27,28,29,30}-1)*LEN(Registro!$E975)+1,LEN(Registro!$E975)))&amp;"x")-1)),--("0"&amp;MID(TRIM(MID(SUBSTITUTE(SUBSTITUTE(SUBSTITUTE(SUBSTITUTE(SUBSTITUTE(LOWER(Registro!$E975),"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",LEN(Registro!$E975))),({1,2,3,4,5,6,7,8,9,10,11,12,13,14,15,16,17,18,19,20,21,22,23,24,25,26,27,28,29,30}-1)*LEN(Registro!$E975)+1,LEN(Registro!$E975))),FIND("x",TRIM(MID(SUBSTITUTE(SUBSTITUTE(SUBSTITUTE(SUBSTITUTE(SUBSTITUTE(LOWER(Registro!$E975),"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",LEN(Registro!$E975))),({1,2,3,4,5,6,7,8,9,10,11,12,13,14,15,16,17,18,19,20,21,22,23,24,25,26,27,28,29,30}-1)*LEN(Registro!$E975)+1,LEN(Registro!$E975)))&amp;"x")+1,20))),"Revisar formato")))</f>
        <v/>
      </c>
      <c r="F975" s="23" t="str">
        <f>IF(Registro!$F975="","",IF(ISERROR(FIND("x",LOWER(Registro!$F975))),"-",IFERROR(SUMPRODUCT(--("0"&amp;LEFT(TRIM(MID(SUBSTITUTE(SUBSTITUTE(SUBSTITUTE(SUBSTITUTE(SUBSTITUTE(LOWER(Registro!$F975)," ",""),CHAR(10),"|"),";","|"),"+","|"),"|",REPT(" ",LEN(Registro!$F975))),({1,2,3,4,5,6,7,8,9,10,11,12,13,14,15,16,17,18,19,20,21,22,23,24,25,26,27,28,29,30}-1)*LEN(Registro!$F975)+1,LEN(Registro!$F975))),FIND("x",TRIM(MID(SUBSTITUTE(SUBSTITUTE(SUBSTITUTE(SUBSTITUTE(SUBSTITUTE(LOWER(Registro!$F975)," ",""),CHAR(10),"|"),";","|"),"+","|"),"|",REPT(" ",LEN(Registro!$F975))),({1,2,3,4,5,6,7,8,9,10,11,12,13,14,15,16,17,18,19,20,21,22,23,24,25,26,27,28,29,30}-1)*LEN(Registro!$F975)+1,LEN(Registro!$F975)))&amp;"x")-1))),"Revisar formato")))</f>
        <v/>
      </c>
      <c r="G975" s="24" t="str">
        <f>IF(Registro!$F975="","",IF(ISERROR(FIND("x",LOWER(Registro!$F975))),N(Registro!$G975),IFERROR(SUMPRODUCT(--("0"&amp;LEFT(TRIM(MID(SUBSTITUTE(SUBSTITUTE(SUBSTITUTE(SUBSTITUTE(SUBSTITUTE(LOWER(Registro!$F975)," ",""),CHAR(10),"|"),";","|"),"+","|"),"|",REPT(" ",LEN(Registro!$F975))),({1,2,3,4,5,6,7,8,9,10,11,12,13,14,15,16,17,18,19,20,21,22,23,24,25,26,27,28,29,30}-1)*LEN(Registro!$F975)+1,LEN(Registro!$F975))),FIND("x",TRIM(MID(SUBSTITUTE(SUBSTITUTE(SUBSTITUTE(SUBSTITUTE(SUBSTITUTE(LOWER(Registro!$F975)," ",""),CHAR(10),"|"),";","|"),"+","|"),"|",REPT(" ",LEN(Registro!$F975))),({1,2,3,4,5,6,7,8,9,10,11,12,13,14,15,16,17,18,19,20,21,22,23,24,25,26,27,28,29,30}-1)*LEN(Registro!$F975)+1,LEN(Registro!$F975)))&amp;"x")-1)),--("0"&amp;MID(TRIM(MID(SUBSTITUTE(SUBSTITUTE(SUBSTITUTE(SUBSTITUTE(SUBSTITUTE(LOWER(Registro!$F975)," ",""),CHAR(10),"|"),";","|"),"+","|"),"|",REPT(" ",LEN(Registro!$F975))),({1,2,3,4,5,6,7,8,9,10,11,12,13,14,15,16,17,18,19,20,21,22,23,24,25,26,27,28,29,30}-1)*LEN(Registro!$F975)+1,LEN(Registro!$F975))),FIND("x",TRIM(MID(SUBSTITUTE(SUBSTITUTE(SUBSTITUTE(SUBSTITUTE(SUBSTITUTE(LOWER(Registro!$F975)," ",""),CHAR(10),"|"),";","|"),"+","|"),"|",REPT(" ",LEN(Registro!$F975))),({1,2,3,4,5,6,7,8,9,10,11,12,13,14,15,16,17,18,19,20,21,22,23,24,25,26,27,28,29,30}-1)*LEN(Registro!$F975)+1,LEN(Registro!$F975)))&amp;"x")+1,20))),"Revisar formato")))</f>
        <v/>
      </c>
      <c r="H975" s="21" t="str">
        <f>IF(AND(Registro!$E975="",Registro!$F975=""),"",IF(NOT(AND(ISNUMBER(G975),ISNUMBER(Registro!$G975))),"",IF(G975&lt;Registro!$G975,"FALTA BOLETOS",IF(G975=Registro!$G975,"CONFORME","DIFERENCIA"))))</f>
        <v/>
      </c>
      <c r="I975" s="24" t="str">
        <f>IF(Registro!$H975="","",IFERROR(SUMPRODUCT(--("0"&amp;TRIM(RIGHT(SUBSTITUTE(TRIM(MID(SUBSTITUTE(SUBSTITUTE(Registro!$H975,";",CHAR(10)),CHAR(10),REPT(" ",LEN(Registro!$H975))),({1,2,3,4,5,6,7,8,9,10,11,12,13,14,15,16,17,18,19,20,21,22,23,24,25,26,27,28,29,30}-1)*LEN(Registro!$H975)+1,LEN(Registro!$H975)))," ",REPT(" ",50)),50)))),"Revisar formato"))</f>
        <v/>
      </c>
      <c r="J975" s="24" t="str">
        <f>IF(Registro!$I975="","",IFERROR(SUMPRODUCT(--("0"&amp;TRIM(RIGHT(SUBSTITUTE(TRIM(MID(SUBSTITUTE(SUBSTITUTE(Registro!$I975,";",CHAR(10)),CHAR(10),REPT(" ",LEN(Registro!$I975))),({1,2,3,4,5,6,7,8,9,10,11,12,13,14,15,16,17,18,19,20,21,22,23,24,25,26,27,28,29,30}-1)*LEN(Registro!$I975)+1,LEN(Registro!$I975)))," ",REPT(" ",50)),50)))),"Revisar formato"))</f>
        <v/>
      </c>
      <c r="K975" s="24" t="str">
        <f>IF(AND(Registro!$G975="",Registro!$H975=""),"",IF(AND(ISTEXT(I975),I975&lt;&gt;""),"Revisar formato",N(Registro!$G975)-N(I975)))</f>
        <v/>
      </c>
      <c r="L975" s="24" t="str">
        <f t="shared" si="31"/>
        <v/>
      </c>
      <c r="M975" s="36" t="str">
        <f>IF(AND(A975=Consulta!$B$3,C975=Consulta!$H$3),B975*10000+ROW(),"")</f>
        <v/>
      </c>
    </row>
    <row r="976" spans="1:13" x14ac:dyDescent="0.25">
      <c r="A976" s="21" t="str">
        <f>IF(Registro!$A976="","",Registro!$A976)</f>
        <v/>
      </c>
      <c r="B976" s="20" t="str">
        <f>IF(Registro!$B976="","",Registro!$B976)</f>
        <v/>
      </c>
      <c r="C976" s="35" t="str">
        <f t="shared" si="30"/>
        <v/>
      </c>
      <c r="D976" s="23" t="str">
        <f>IF(Registro!$E976="","",IF(ISERROR(FIND("x",LOWER(Registro!$E976))),"-",IFERROR(SUMPRODUCT(--("0"&amp;LEFT(TRIM(MID(SUBSTITUTE(SUBSTITUTE(SUBSTITUTE(SUBSTITUTE(SUBSTITUTE(LOWER(Registro!$E976),"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",LEN(Registro!$E976))),({1,2,3,4,5,6,7,8,9,10,11,12,13,14,15,16,17,18,19,20,21,22,23,24,25,26,27,28,29,30}-1)*LEN(Registro!$E976)+1,LEN(Registro!$E976))),FIND("x",TRIM(MID(SUBSTITUTE(SUBSTITUTE(SUBSTITUTE(SUBSTITUTE(SUBSTITUTE(LOWER(Registro!$E976),"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",LEN(Registro!$E976))),({1,2,3,4,5,6,7,8,9,10,11,12,13,14,15,16,17,18,19,20,21,22,23,24,25,26,27,28,29,30}-1)*LEN(Registro!$E976)+1,LEN(Registro!$E976)))&amp;"x")-1))),"Revisar formato")))</f>
        <v/>
      </c>
      <c r="E976" s="24" t="str">
        <f>IF(Registro!$E976="","",IF(ISERROR(FIND("x",LOWER(Registro!$E976))),"-",IFERROR(SUMPRODUCT(--("0"&amp;LEFT(TRIM(MID(SUBSTITUTE(SUBSTITUTE(SUBSTITUTE(SUBSTITUTE(SUBSTITUTE(LOWER(Registro!$E976),"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",LEN(Registro!$E976))),({1,2,3,4,5,6,7,8,9,10,11,12,13,14,15,16,17,18,19,20,21,22,23,24,25,26,27,28,29,30}-1)*LEN(Registro!$E976)+1,LEN(Registro!$E976))),FIND("x",TRIM(MID(SUBSTITUTE(SUBSTITUTE(SUBSTITUTE(SUBSTITUTE(SUBSTITUTE(LOWER(Registro!$E976),"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",LEN(Registro!$E976))),({1,2,3,4,5,6,7,8,9,10,11,12,13,14,15,16,17,18,19,20,21,22,23,24,25,26,27,28,29,30}-1)*LEN(Registro!$E976)+1,LEN(Registro!$E976)))&amp;"x")-1)),--("0"&amp;MID(TRIM(MID(SUBSTITUTE(SUBSTITUTE(SUBSTITUTE(SUBSTITUTE(SUBSTITUTE(LOWER(Registro!$E976),"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",LEN(Registro!$E976))),({1,2,3,4,5,6,7,8,9,10,11,12,13,14,15,16,17,18,19,20,21,22,23,24,25,26,27,28,29,30}-1)*LEN(Registro!$E976)+1,LEN(Registro!$E976))),FIND("x",TRIM(MID(SUBSTITUTE(SUBSTITUTE(SUBSTITUTE(SUBSTITUTE(SUBSTITUTE(LOWER(Registro!$E976),"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",LEN(Registro!$E976))),({1,2,3,4,5,6,7,8,9,10,11,12,13,14,15,16,17,18,19,20,21,22,23,24,25,26,27,28,29,30}-1)*LEN(Registro!$E976)+1,LEN(Registro!$E976)))&amp;"x")+1,20))),"Revisar formato")))</f>
        <v/>
      </c>
      <c r="F976" s="23" t="str">
        <f>IF(Registro!$F976="","",IF(ISERROR(FIND("x",LOWER(Registro!$F976))),"-",IFERROR(SUMPRODUCT(--("0"&amp;LEFT(TRIM(MID(SUBSTITUTE(SUBSTITUTE(SUBSTITUTE(SUBSTITUTE(SUBSTITUTE(LOWER(Registro!$F976)," ",""),CHAR(10),"|"),";","|"),"+","|"),"|",REPT(" ",LEN(Registro!$F976))),({1,2,3,4,5,6,7,8,9,10,11,12,13,14,15,16,17,18,19,20,21,22,23,24,25,26,27,28,29,30}-1)*LEN(Registro!$F976)+1,LEN(Registro!$F976))),FIND("x",TRIM(MID(SUBSTITUTE(SUBSTITUTE(SUBSTITUTE(SUBSTITUTE(SUBSTITUTE(LOWER(Registro!$F976)," ",""),CHAR(10),"|"),";","|"),"+","|"),"|",REPT(" ",LEN(Registro!$F976))),({1,2,3,4,5,6,7,8,9,10,11,12,13,14,15,16,17,18,19,20,21,22,23,24,25,26,27,28,29,30}-1)*LEN(Registro!$F976)+1,LEN(Registro!$F976)))&amp;"x")-1))),"Revisar formato")))</f>
        <v/>
      </c>
      <c r="G976" s="24" t="str">
        <f>IF(Registro!$F976="","",IF(ISERROR(FIND("x",LOWER(Registro!$F976))),N(Registro!$G976),IFERROR(SUMPRODUCT(--("0"&amp;LEFT(TRIM(MID(SUBSTITUTE(SUBSTITUTE(SUBSTITUTE(SUBSTITUTE(SUBSTITUTE(LOWER(Registro!$F976)," ",""),CHAR(10),"|"),";","|"),"+","|"),"|",REPT(" ",LEN(Registro!$F976))),({1,2,3,4,5,6,7,8,9,10,11,12,13,14,15,16,17,18,19,20,21,22,23,24,25,26,27,28,29,30}-1)*LEN(Registro!$F976)+1,LEN(Registro!$F976))),FIND("x",TRIM(MID(SUBSTITUTE(SUBSTITUTE(SUBSTITUTE(SUBSTITUTE(SUBSTITUTE(LOWER(Registro!$F976)," ",""),CHAR(10),"|"),";","|"),"+","|"),"|",REPT(" ",LEN(Registro!$F976))),({1,2,3,4,5,6,7,8,9,10,11,12,13,14,15,16,17,18,19,20,21,22,23,24,25,26,27,28,29,30}-1)*LEN(Registro!$F976)+1,LEN(Registro!$F976)))&amp;"x")-1)),--("0"&amp;MID(TRIM(MID(SUBSTITUTE(SUBSTITUTE(SUBSTITUTE(SUBSTITUTE(SUBSTITUTE(LOWER(Registro!$F976)," ",""),CHAR(10),"|"),";","|"),"+","|"),"|",REPT(" ",LEN(Registro!$F976))),({1,2,3,4,5,6,7,8,9,10,11,12,13,14,15,16,17,18,19,20,21,22,23,24,25,26,27,28,29,30}-1)*LEN(Registro!$F976)+1,LEN(Registro!$F976))),FIND("x",TRIM(MID(SUBSTITUTE(SUBSTITUTE(SUBSTITUTE(SUBSTITUTE(SUBSTITUTE(LOWER(Registro!$F976)," ",""),CHAR(10),"|"),";","|"),"+","|"),"|",REPT(" ",LEN(Registro!$F976))),({1,2,3,4,5,6,7,8,9,10,11,12,13,14,15,16,17,18,19,20,21,22,23,24,25,26,27,28,29,30}-1)*LEN(Registro!$F976)+1,LEN(Registro!$F976)))&amp;"x")+1,20))),"Revisar formato")))</f>
        <v/>
      </c>
      <c r="H976" s="21" t="str">
        <f>IF(AND(Registro!$E976="",Registro!$F976=""),"",IF(NOT(AND(ISNUMBER(G976),ISNUMBER(Registro!$G976))),"",IF(G976&lt;Registro!$G976,"FALTA BOLETOS",IF(G976=Registro!$G976,"CONFORME","DIFERENCIA"))))</f>
        <v/>
      </c>
      <c r="I976" s="24" t="str">
        <f>IF(Registro!$H976="","",IFERROR(SUMPRODUCT(--("0"&amp;TRIM(RIGHT(SUBSTITUTE(TRIM(MID(SUBSTITUTE(SUBSTITUTE(Registro!$H976,";",CHAR(10)),CHAR(10),REPT(" ",LEN(Registro!$H976))),({1,2,3,4,5,6,7,8,9,10,11,12,13,14,15,16,17,18,19,20,21,22,23,24,25,26,27,28,29,30}-1)*LEN(Registro!$H976)+1,LEN(Registro!$H976)))," ",REPT(" ",50)),50)))),"Revisar formato"))</f>
        <v/>
      </c>
      <c r="J976" s="24" t="str">
        <f>IF(Registro!$I976="","",IFERROR(SUMPRODUCT(--("0"&amp;TRIM(RIGHT(SUBSTITUTE(TRIM(MID(SUBSTITUTE(SUBSTITUTE(Registro!$I976,";",CHAR(10)),CHAR(10),REPT(" ",LEN(Registro!$I976))),({1,2,3,4,5,6,7,8,9,10,11,12,13,14,15,16,17,18,19,20,21,22,23,24,25,26,27,28,29,30}-1)*LEN(Registro!$I976)+1,LEN(Registro!$I976)))," ",REPT(" ",50)),50)))),"Revisar formato"))</f>
        <v/>
      </c>
      <c r="K976" s="24" t="str">
        <f>IF(AND(Registro!$G976="",Registro!$H976=""),"",IF(AND(ISTEXT(I976),I976&lt;&gt;""),"Revisar formato",N(Registro!$G976)-N(I976)))</f>
        <v/>
      </c>
      <c r="L976" s="24" t="str">
        <f t="shared" si="31"/>
        <v/>
      </c>
      <c r="M976" s="36" t="str">
        <f>IF(AND(A976=Consulta!$B$3,C976=Consulta!$H$3),B976*10000+ROW(),"")</f>
        <v/>
      </c>
    </row>
    <row r="977" spans="1:13" x14ac:dyDescent="0.25">
      <c r="A977" s="21" t="str">
        <f>IF(Registro!$A977="","",Registro!$A977)</f>
        <v/>
      </c>
      <c r="B977" s="20" t="str">
        <f>IF(Registro!$B977="","",Registro!$B977)</f>
        <v/>
      </c>
      <c r="C977" s="35" t="str">
        <f t="shared" si="30"/>
        <v/>
      </c>
      <c r="D977" s="23" t="str">
        <f>IF(Registro!$E977="","",IF(ISERROR(FIND("x",LOWER(Registro!$E977))),"-",IFERROR(SUMPRODUCT(--("0"&amp;LEFT(TRIM(MID(SUBSTITUTE(SUBSTITUTE(SUBSTITUTE(SUBSTITUTE(SUBSTITUTE(LOWER(Registro!$E977),"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",LEN(Registro!$E977))),({1,2,3,4,5,6,7,8,9,10,11,12,13,14,15,16,17,18,19,20,21,22,23,24,25,26,27,28,29,30}-1)*LEN(Registro!$E977)+1,LEN(Registro!$E977))),FIND("x",TRIM(MID(SUBSTITUTE(SUBSTITUTE(SUBSTITUTE(SUBSTITUTE(SUBSTITUTE(LOWER(Registro!$E977),"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",LEN(Registro!$E977))),({1,2,3,4,5,6,7,8,9,10,11,12,13,14,15,16,17,18,19,20,21,22,23,24,25,26,27,28,29,30}-1)*LEN(Registro!$E977)+1,LEN(Registro!$E977)))&amp;"x")-1))),"Revisar formato")))</f>
        <v/>
      </c>
      <c r="E977" s="24" t="str">
        <f>IF(Registro!$E977="","",IF(ISERROR(FIND("x",LOWER(Registro!$E977))),"-",IFERROR(SUMPRODUCT(--("0"&amp;LEFT(TRIM(MID(SUBSTITUTE(SUBSTITUTE(SUBSTITUTE(SUBSTITUTE(SUBSTITUTE(LOWER(Registro!$E977),"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",LEN(Registro!$E977))),({1,2,3,4,5,6,7,8,9,10,11,12,13,14,15,16,17,18,19,20,21,22,23,24,25,26,27,28,29,30}-1)*LEN(Registro!$E977)+1,LEN(Registro!$E977))),FIND("x",TRIM(MID(SUBSTITUTE(SUBSTITUTE(SUBSTITUTE(SUBSTITUTE(SUBSTITUTE(LOWER(Registro!$E977),"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",LEN(Registro!$E977))),({1,2,3,4,5,6,7,8,9,10,11,12,13,14,15,16,17,18,19,20,21,22,23,24,25,26,27,28,29,30}-1)*LEN(Registro!$E977)+1,LEN(Registro!$E977)))&amp;"x")-1)),--("0"&amp;MID(TRIM(MID(SUBSTITUTE(SUBSTITUTE(SUBSTITUTE(SUBSTITUTE(SUBSTITUTE(LOWER(Registro!$E977),"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",LEN(Registro!$E977))),({1,2,3,4,5,6,7,8,9,10,11,12,13,14,15,16,17,18,19,20,21,22,23,24,25,26,27,28,29,30}-1)*LEN(Registro!$E977)+1,LEN(Registro!$E977))),FIND("x",TRIM(MID(SUBSTITUTE(SUBSTITUTE(SUBSTITUTE(SUBSTITUTE(SUBSTITUTE(LOWER(Registro!$E977),"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",LEN(Registro!$E977))),({1,2,3,4,5,6,7,8,9,10,11,12,13,14,15,16,17,18,19,20,21,22,23,24,25,26,27,28,29,30}-1)*LEN(Registro!$E977)+1,LEN(Registro!$E977)))&amp;"x")+1,20))),"Revisar formato")))</f>
        <v/>
      </c>
      <c r="F977" s="23" t="str">
        <f>IF(Registro!$F977="","",IF(ISERROR(FIND("x",LOWER(Registro!$F977))),"-",IFERROR(SUMPRODUCT(--("0"&amp;LEFT(TRIM(MID(SUBSTITUTE(SUBSTITUTE(SUBSTITUTE(SUBSTITUTE(SUBSTITUTE(LOWER(Registro!$F977)," ",""),CHAR(10),"|"),";","|"),"+","|"),"|",REPT(" ",LEN(Registro!$F977))),({1,2,3,4,5,6,7,8,9,10,11,12,13,14,15,16,17,18,19,20,21,22,23,24,25,26,27,28,29,30}-1)*LEN(Registro!$F977)+1,LEN(Registro!$F977))),FIND("x",TRIM(MID(SUBSTITUTE(SUBSTITUTE(SUBSTITUTE(SUBSTITUTE(SUBSTITUTE(LOWER(Registro!$F977)," ",""),CHAR(10),"|"),";","|"),"+","|"),"|",REPT(" ",LEN(Registro!$F977))),({1,2,3,4,5,6,7,8,9,10,11,12,13,14,15,16,17,18,19,20,21,22,23,24,25,26,27,28,29,30}-1)*LEN(Registro!$F977)+1,LEN(Registro!$F977)))&amp;"x")-1))),"Revisar formato")))</f>
        <v/>
      </c>
      <c r="G977" s="24" t="str">
        <f>IF(Registro!$F977="","",IF(ISERROR(FIND("x",LOWER(Registro!$F977))),N(Registro!$G977),IFERROR(SUMPRODUCT(--("0"&amp;LEFT(TRIM(MID(SUBSTITUTE(SUBSTITUTE(SUBSTITUTE(SUBSTITUTE(SUBSTITUTE(LOWER(Registro!$F977)," ",""),CHAR(10),"|"),";","|"),"+","|"),"|",REPT(" ",LEN(Registro!$F977))),({1,2,3,4,5,6,7,8,9,10,11,12,13,14,15,16,17,18,19,20,21,22,23,24,25,26,27,28,29,30}-1)*LEN(Registro!$F977)+1,LEN(Registro!$F977))),FIND("x",TRIM(MID(SUBSTITUTE(SUBSTITUTE(SUBSTITUTE(SUBSTITUTE(SUBSTITUTE(LOWER(Registro!$F977)," ",""),CHAR(10),"|"),";","|"),"+","|"),"|",REPT(" ",LEN(Registro!$F977))),({1,2,3,4,5,6,7,8,9,10,11,12,13,14,15,16,17,18,19,20,21,22,23,24,25,26,27,28,29,30}-1)*LEN(Registro!$F977)+1,LEN(Registro!$F977)))&amp;"x")-1)),--("0"&amp;MID(TRIM(MID(SUBSTITUTE(SUBSTITUTE(SUBSTITUTE(SUBSTITUTE(SUBSTITUTE(LOWER(Registro!$F977)," ",""),CHAR(10),"|"),";","|"),"+","|"),"|",REPT(" ",LEN(Registro!$F977))),({1,2,3,4,5,6,7,8,9,10,11,12,13,14,15,16,17,18,19,20,21,22,23,24,25,26,27,28,29,30}-1)*LEN(Registro!$F977)+1,LEN(Registro!$F977))),FIND("x",TRIM(MID(SUBSTITUTE(SUBSTITUTE(SUBSTITUTE(SUBSTITUTE(SUBSTITUTE(LOWER(Registro!$F977)," ",""),CHAR(10),"|"),";","|"),"+","|"),"|",REPT(" ",LEN(Registro!$F977))),({1,2,3,4,5,6,7,8,9,10,11,12,13,14,15,16,17,18,19,20,21,22,23,24,25,26,27,28,29,30}-1)*LEN(Registro!$F977)+1,LEN(Registro!$F977)))&amp;"x")+1,20))),"Revisar formato")))</f>
        <v/>
      </c>
      <c r="H977" s="21" t="str">
        <f>IF(AND(Registro!$E977="",Registro!$F977=""),"",IF(NOT(AND(ISNUMBER(G977),ISNUMBER(Registro!$G977))),"",IF(G977&lt;Registro!$G977,"FALTA BOLETOS",IF(G977=Registro!$G977,"CONFORME","DIFERENCIA"))))</f>
        <v/>
      </c>
      <c r="I977" s="24" t="str">
        <f>IF(Registro!$H977="","",IFERROR(SUMPRODUCT(--("0"&amp;TRIM(RIGHT(SUBSTITUTE(TRIM(MID(SUBSTITUTE(SUBSTITUTE(Registro!$H977,";",CHAR(10)),CHAR(10),REPT(" ",LEN(Registro!$H977))),({1,2,3,4,5,6,7,8,9,10,11,12,13,14,15,16,17,18,19,20,21,22,23,24,25,26,27,28,29,30}-1)*LEN(Registro!$H977)+1,LEN(Registro!$H977)))," ",REPT(" ",50)),50)))),"Revisar formato"))</f>
        <v/>
      </c>
      <c r="J977" s="24" t="str">
        <f>IF(Registro!$I977="","",IFERROR(SUMPRODUCT(--("0"&amp;TRIM(RIGHT(SUBSTITUTE(TRIM(MID(SUBSTITUTE(SUBSTITUTE(Registro!$I977,";",CHAR(10)),CHAR(10),REPT(" ",LEN(Registro!$I977))),({1,2,3,4,5,6,7,8,9,10,11,12,13,14,15,16,17,18,19,20,21,22,23,24,25,26,27,28,29,30}-1)*LEN(Registro!$I977)+1,LEN(Registro!$I977)))," ",REPT(" ",50)),50)))),"Revisar formato"))</f>
        <v/>
      </c>
      <c r="K977" s="24" t="str">
        <f>IF(AND(Registro!$G977="",Registro!$H977=""),"",IF(AND(ISTEXT(I977),I977&lt;&gt;""),"Revisar formato",N(Registro!$G977)-N(I977)))</f>
        <v/>
      </c>
      <c r="L977" s="24" t="str">
        <f t="shared" si="31"/>
        <v/>
      </c>
      <c r="M977" s="36" t="str">
        <f>IF(AND(A977=Consulta!$B$3,C977=Consulta!$H$3),B977*10000+ROW(),"")</f>
        <v/>
      </c>
    </row>
    <row r="978" spans="1:13" x14ac:dyDescent="0.25">
      <c r="A978" s="21" t="str">
        <f>IF(Registro!$A978="","",Registro!$A978)</f>
        <v/>
      </c>
      <c r="B978" s="20" t="str">
        <f>IF(Registro!$B978="","",Registro!$B978)</f>
        <v/>
      </c>
      <c r="C978" s="35" t="str">
        <f t="shared" si="30"/>
        <v/>
      </c>
      <c r="D978" s="23" t="str">
        <f>IF(Registro!$E978="","",IF(ISERROR(FIND("x",LOWER(Registro!$E978))),"-",IFERROR(SUMPRODUCT(--("0"&amp;LEFT(TRIM(MID(SUBSTITUTE(SUBSTITUTE(SUBSTITUTE(SUBSTITUTE(SUBSTITUTE(LOWER(Registro!$E978),"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",LEN(Registro!$E978))),({1,2,3,4,5,6,7,8,9,10,11,12,13,14,15,16,17,18,19,20,21,22,23,24,25,26,27,28,29,30}-1)*LEN(Registro!$E978)+1,LEN(Registro!$E978))),FIND("x",TRIM(MID(SUBSTITUTE(SUBSTITUTE(SUBSTITUTE(SUBSTITUTE(SUBSTITUTE(LOWER(Registro!$E978),"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",LEN(Registro!$E978))),({1,2,3,4,5,6,7,8,9,10,11,12,13,14,15,16,17,18,19,20,21,22,23,24,25,26,27,28,29,30}-1)*LEN(Registro!$E978)+1,LEN(Registro!$E978)))&amp;"x")-1))),"Revisar formato")))</f>
        <v/>
      </c>
      <c r="E978" s="24" t="str">
        <f>IF(Registro!$E978="","",IF(ISERROR(FIND("x",LOWER(Registro!$E978))),"-",IFERROR(SUMPRODUCT(--("0"&amp;LEFT(TRIM(MID(SUBSTITUTE(SUBSTITUTE(SUBSTITUTE(SUBSTITUTE(SUBSTITUTE(LOWER(Registro!$E978),"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",LEN(Registro!$E978))),({1,2,3,4,5,6,7,8,9,10,11,12,13,14,15,16,17,18,19,20,21,22,23,24,25,26,27,28,29,30}-1)*LEN(Registro!$E978)+1,LEN(Registro!$E978))),FIND("x",TRIM(MID(SUBSTITUTE(SUBSTITUTE(SUBSTITUTE(SUBSTITUTE(SUBSTITUTE(LOWER(Registro!$E978),"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",LEN(Registro!$E978))),({1,2,3,4,5,6,7,8,9,10,11,12,13,14,15,16,17,18,19,20,21,22,23,24,25,26,27,28,29,30}-1)*LEN(Registro!$E978)+1,LEN(Registro!$E978)))&amp;"x")-1)),--("0"&amp;MID(TRIM(MID(SUBSTITUTE(SUBSTITUTE(SUBSTITUTE(SUBSTITUTE(SUBSTITUTE(LOWER(Registro!$E978),"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",LEN(Registro!$E978))),({1,2,3,4,5,6,7,8,9,10,11,12,13,14,15,16,17,18,19,20,21,22,23,24,25,26,27,28,29,30}-1)*LEN(Registro!$E978)+1,LEN(Registro!$E978))),FIND("x",TRIM(MID(SUBSTITUTE(SUBSTITUTE(SUBSTITUTE(SUBSTITUTE(SUBSTITUTE(LOWER(Registro!$E978),"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",LEN(Registro!$E978))),({1,2,3,4,5,6,7,8,9,10,11,12,13,14,15,16,17,18,19,20,21,22,23,24,25,26,27,28,29,30}-1)*LEN(Registro!$E978)+1,LEN(Registro!$E978)))&amp;"x")+1,20))),"Revisar formato")))</f>
        <v/>
      </c>
      <c r="F978" s="23" t="str">
        <f>IF(Registro!$F978="","",IF(ISERROR(FIND("x",LOWER(Registro!$F978))),"-",IFERROR(SUMPRODUCT(--("0"&amp;LEFT(TRIM(MID(SUBSTITUTE(SUBSTITUTE(SUBSTITUTE(SUBSTITUTE(SUBSTITUTE(LOWER(Registro!$F978)," ",""),CHAR(10),"|"),";","|"),"+","|"),"|",REPT(" ",LEN(Registro!$F978))),({1,2,3,4,5,6,7,8,9,10,11,12,13,14,15,16,17,18,19,20,21,22,23,24,25,26,27,28,29,30}-1)*LEN(Registro!$F978)+1,LEN(Registro!$F978))),FIND("x",TRIM(MID(SUBSTITUTE(SUBSTITUTE(SUBSTITUTE(SUBSTITUTE(SUBSTITUTE(LOWER(Registro!$F978)," ",""),CHAR(10),"|"),";","|"),"+","|"),"|",REPT(" ",LEN(Registro!$F978))),({1,2,3,4,5,6,7,8,9,10,11,12,13,14,15,16,17,18,19,20,21,22,23,24,25,26,27,28,29,30}-1)*LEN(Registro!$F978)+1,LEN(Registro!$F978)))&amp;"x")-1))),"Revisar formato")))</f>
        <v/>
      </c>
      <c r="G978" s="24" t="str">
        <f>IF(Registro!$F978="","",IF(ISERROR(FIND("x",LOWER(Registro!$F978))),N(Registro!$G978),IFERROR(SUMPRODUCT(--("0"&amp;LEFT(TRIM(MID(SUBSTITUTE(SUBSTITUTE(SUBSTITUTE(SUBSTITUTE(SUBSTITUTE(LOWER(Registro!$F978)," ",""),CHAR(10),"|"),";","|"),"+","|"),"|",REPT(" ",LEN(Registro!$F978))),({1,2,3,4,5,6,7,8,9,10,11,12,13,14,15,16,17,18,19,20,21,22,23,24,25,26,27,28,29,30}-1)*LEN(Registro!$F978)+1,LEN(Registro!$F978))),FIND("x",TRIM(MID(SUBSTITUTE(SUBSTITUTE(SUBSTITUTE(SUBSTITUTE(SUBSTITUTE(LOWER(Registro!$F978)," ",""),CHAR(10),"|"),";","|"),"+","|"),"|",REPT(" ",LEN(Registro!$F978))),({1,2,3,4,5,6,7,8,9,10,11,12,13,14,15,16,17,18,19,20,21,22,23,24,25,26,27,28,29,30}-1)*LEN(Registro!$F978)+1,LEN(Registro!$F978)))&amp;"x")-1)),--("0"&amp;MID(TRIM(MID(SUBSTITUTE(SUBSTITUTE(SUBSTITUTE(SUBSTITUTE(SUBSTITUTE(LOWER(Registro!$F978)," ",""),CHAR(10),"|"),";","|"),"+","|"),"|",REPT(" ",LEN(Registro!$F978))),({1,2,3,4,5,6,7,8,9,10,11,12,13,14,15,16,17,18,19,20,21,22,23,24,25,26,27,28,29,30}-1)*LEN(Registro!$F978)+1,LEN(Registro!$F978))),FIND("x",TRIM(MID(SUBSTITUTE(SUBSTITUTE(SUBSTITUTE(SUBSTITUTE(SUBSTITUTE(LOWER(Registro!$F978)," ",""),CHAR(10),"|"),";","|"),"+","|"),"|",REPT(" ",LEN(Registro!$F978))),({1,2,3,4,5,6,7,8,9,10,11,12,13,14,15,16,17,18,19,20,21,22,23,24,25,26,27,28,29,30}-1)*LEN(Registro!$F978)+1,LEN(Registro!$F978)))&amp;"x")+1,20))),"Revisar formato")))</f>
        <v/>
      </c>
      <c r="H978" s="21" t="str">
        <f>IF(AND(Registro!$E978="",Registro!$F978=""),"",IF(NOT(AND(ISNUMBER(G978),ISNUMBER(Registro!$G978))),"",IF(G978&lt;Registro!$G978,"FALTA BOLETOS",IF(G978=Registro!$G978,"CONFORME","DIFERENCIA"))))</f>
        <v/>
      </c>
      <c r="I978" s="24" t="str">
        <f>IF(Registro!$H978="","",IFERROR(SUMPRODUCT(--("0"&amp;TRIM(RIGHT(SUBSTITUTE(TRIM(MID(SUBSTITUTE(SUBSTITUTE(Registro!$H978,";",CHAR(10)),CHAR(10),REPT(" ",LEN(Registro!$H978))),({1,2,3,4,5,6,7,8,9,10,11,12,13,14,15,16,17,18,19,20,21,22,23,24,25,26,27,28,29,30}-1)*LEN(Registro!$H978)+1,LEN(Registro!$H978)))," ",REPT(" ",50)),50)))),"Revisar formato"))</f>
        <v/>
      </c>
      <c r="J978" s="24" t="str">
        <f>IF(Registro!$I978="","",IFERROR(SUMPRODUCT(--("0"&amp;TRIM(RIGHT(SUBSTITUTE(TRIM(MID(SUBSTITUTE(SUBSTITUTE(Registro!$I978,";",CHAR(10)),CHAR(10),REPT(" ",LEN(Registro!$I978))),({1,2,3,4,5,6,7,8,9,10,11,12,13,14,15,16,17,18,19,20,21,22,23,24,25,26,27,28,29,30}-1)*LEN(Registro!$I978)+1,LEN(Registro!$I978)))," ",REPT(" ",50)),50)))),"Revisar formato"))</f>
        <v/>
      </c>
      <c r="K978" s="24" t="str">
        <f>IF(AND(Registro!$G978="",Registro!$H978=""),"",IF(AND(ISTEXT(I978),I978&lt;&gt;""),"Revisar formato",N(Registro!$G978)-N(I978)))</f>
        <v/>
      </c>
      <c r="L978" s="24" t="str">
        <f t="shared" si="31"/>
        <v/>
      </c>
      <c r="M978" s="36" t="str">
        <f>IF(AND(A978=Consulta!$B$3,C978=Consulta!$H$3),B978*10000+ROW(),"")</f>
        <v/>
      </c>
    </row>
    <row r="979" spans="1:13" x14ac:dyDescent="0.25">
      <c r="A979" s="21" t="str">
        <f>IF(Registro!$A979="","",Registro!$A979)</f>
        <v/>
      </c>
      <c r="B979" s="20" t="str">
        <f>IF(Registro!$B979="","",Registro!$B979)</f>
        <v/>
      </c>
      <c r="C979" s="35" t="str">
        <f t="shared" si="30"/>
        <v/>
      </c>
      <c r="D979" s="23" t="str">
        <f>IF(Registro!$E979="","",IF(ISERROR(FIND("x",LOWER(Registro!$E979))),"-",IFERROR(SUMPRODUCT(--("0"&amp;LEFT(TRIM(MID(SUBSTITUTE(SUBSTITUTE(SUBSTITUTE(SUBSTITUTE(SUBSTITUTE(LOWER(Registro!$E979),"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",LEN(Registro!$E979))),({1,2,3,4,5,6,7,8,9,10,11,12,13,14,15,16,17,18,19,20,21,22,23,24,25,26,27,28,29,30}-1)*LEN(Registro!$E979)+1,LEN(Registro!$E979))),FIND("x",TRIM(MID(SUBSTITUTE(SUBSTITUTE(SUBSTITUTE(SUBSTITUTE(SUBSTITUTE(LOWER(Registro!$E979),"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",LEN(Registro!$E979))),({1,2,3,4,5,6,7,8,9,10,11,12,13,14,15,16,17,18,19,20,21,22,23,24,25,26,27,28,29,30}-1)*LEN(Registro!$E979)+1,LEN(Registro!$E979)))&amp;"x")-1))),"Revisar formato")))</f>
        <v/>
      </c>
      <c r="E979" s="24" t="str">
        <f>IF(Registro!$E979="","",IF(ISERROR(FIND("x",LOWER(Registro!$E979))),"-",IFERROR(SUMPRODUCT(--("0"&amp;LEFT(TRIM(MID(SUBSTITUTE(SUBSTITUTE(SUBSTITUTE(SUBSTITUTE(SUBSTITUTE(LOWER(Registro!$E979),"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",LEN(Registro!$E979))),({1,2,3,4,5,6,7,8,9,10,11,12,13,14,15,16,17,18,19,20,21,22,23,24,25,26,27,28,29,30}-1)*LEN(Registro!$E979)+1,LEN(Registro!$E979))),FIND("x",TRIM(MID(SUBSTITUTE(SUBSTITUTE(SUBSTITUTE(SUBSTITUTE(SUBSTITUTE(LOWER(Registro!$E979),"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",LEN(Registro!$E979))),({1,2,3,4,5,6,7,8,9,10,11,12,13,14,15,16,17,18,19,20,21,22,23,24,25,26,27,28,29,30}-1)*LEN(Registro!$E979)+1,LEN(Registro!$E979)))&amp;"x")-1)),--("0"&amp;MID(TRIM(MID(SUBSTITUTE(SUBSTITUTE(SUBSTITUTE(SUBSTITUTE(SUBSTITUTE(LOWER(Registro!$E979),"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",LEN(Registro!$E979))),({1,2,3,4,5,6,7,8,9,10,11,12,13,14,15,16,17,18,19,20,21,22,23,24,25,26,27,28,29,30}-1)*LEN(Registro!$E979)+1,LEN(Registro!$E979))),FIND("x",TRIM(MID(SUBSTITUTE(SUBSTITUTE(SUBSTITUTE(SUBSTITUTE(SUBSTITUTE(LOWER(Registro!$E979),"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",LEN(Registro!$E979))),({1,2,3,4,5,6,7,8,9,10,11,12,13,14,15,16,17,18,19,20,21,22,23,24,25,26,27,28,29,30}-1)*LEN(Registro!$E979)+1,LEN(Registro!$E979)))&amp;"x")+1,20))),"Revisar formato")))</f>
        <v/>
      </c>
      <c r="F979" s="23" t="str">
        <f>IF(Registro!$F979="","",IF(ISERROR(FIND("x",LOWER(Registro!$F979))),"-",IFERROR(SUMPRODUCT(--("0"&amp;LEFT(TRIM(MID(SUBSTITUTE(SUBSTITUTE(SUBSTITUTE(SUBSTITUTE(SUBSTITUTE(LOWER(Registro!$F979)," ",""),CHAR(10),"|"),";","|"),"+","|"),"|",REPT(" ",LEN(Registro!$F979))),({1,2,3,4,5,6,7,8,9,10,11,12,13,14,15,16,17,18,19,20,21,22,23,24,25,26,27,28,29,30}-1)*LEN(Registro!$F979)+1,LEN(Registro!$F979))),FIND("x",TRIM(MID(SUBSTITUTE(SUBSTITUTE(SUBSTITUTE(SUBSTITUTE(SUBSTITUTE(LOWER(Registro!$F979)," ",""),CHAR(10),"|"),";","|"),"+","|"),"|",REPT(" ",LEN(Registro!$F979))),({1,2,3,4,5,6,7,8,9,10,11,12,13,14,15,16,17,18,19,20,21,22,23,24,25,26,27,28,29,30}-1)*LEN(Registro!$F979)+1,LEN(Registro!$F979)))&amp;"x")-1))),"Revisar formato")))</f>
        <v/>
      </c>
      <c r="G979" s="24" t="str">
        <f>IF(Registro!$F979="","",IF(ISERROR(FIND("x",LOWER(Registro!$F979))),N(Registro!$G979),IFERROR(SUMPRODUCT(--("0"&amp;LEFT(TRIM(MID(SUBSTITUTE(SUBSTITUTE(SUBSTITUTE(SUBSTITUTE(SUBSTITUTE(LOWER(Registro!$F979)," ",""),CHAR(10),"|"),";","|"),"+","|"),"|",REPT(" ",LEN(Registro!$F979))),({1,2,3,4,5,6,7,8,9,10,11,12,13,14,15,16,17,18,19,20,21,22,23,24,25,26,27,28,29,30}-1)*LEN(Registro!$F979)+1,LEN(Registro!$F979))),FIND("x",TRIM(MID(SUBSTITUTE(SUBSTITUTE(SUBSTITUTE(SUBSTITUTE(SUBSTITUTE(LOWER(Registro!$F979)," ",""),CHAR(10),"|"),";","|"),"+","|"),"|",REPT(" ",LEN(Registro!$F979))),({1,2,3,4,5,6,7,8,9,10,11,12,13,14,15,16,17,18,19,20,21,22,23,24,25,26,27,28,29,30}-1)*LEN(Registro!$F979)+1,LEN(Registro!$F979)))&amp;"x")-1)),--("0"&amp;MID(TRIM(MID(SUBSTITUTE(SUBSTITUTE(SUBSTITUTE(SUBSTITUTE(SUBSTITUTE(LOWER(Registro!$F979)," ",""),CHAR(10),"|"),";","|"),"+","|"),"|",REPT(" ",LEN(Registro!$F979))),({1,2,3,4,5,6,7,8,9,10,11,12,13,14,15,16,17,18,19,20,21,22,23,24,25,26,27,28,29,30}-1)*LEN(Registro!$F979)+1,LEN(Registro!$F979))),FIND("x",TRIM(MID(SUBSTITUTE(SUBSTITUTE(SUBSTITUTE(SUBSTITUTE(SUBSTITUTE(LOWER(Registro!$F979)," ",""),CHAR(10),"|"),";","|"),"+","|"),"|",REPT(" ",LEN(Registro!$F979))),({1,2,3,4,5,6,7,8,9,10,11,12,13,14,15,16,17,18,19,20,21,22,23,24,25,26,27,28,29,30}-1)*LEN(Registro!$F979)+1,LEN(Registro!$F979)))&amp;"x")+1,20))),"Revisar formato")))</f>
        <v/>
      </c>
      <c r="H979" s="21" t="str">
        <f>IF(AND(Registro!$E979="",Registro!$F979=""),"",IF(NOT(AND(ISNUMBER(G979),ISNUMBER(Registro!$G979))),"",IF(G979&lt;Registro!$G979,"FALTA BOLETOS",IF(G979=Registro!$G979,"CONFORME","DIFERENCIA"))))</f>
        <v/>
      </c>
      <c r="I979" s="24" t="str">
        <f>IF(Registro!$H979="","",IFERROR(SUMPRODUCT(--("0"&amp;TRIM(RIGHT(SUBSTITUTE(TRIM(MID(SUBSTITUTE(SUBSTITUTE(Registro!$H979,";",CHAR(10)),CHAR(10),REPT(" ",LEN(Registro!$H979))),({1,2,3,4,5,6,7,8,9,10,11,12,13,14,15,16,17,18,19,20,21,22,23,24,25,26,27,28,29,30}-1)*LEN(Registro!$H979)+1,LEN(Registro!$H979)))," ",REPT(" ",50)),50)))),"Revisar formato"))</f>
        <v/>
      </c>
      <c r="J979" s="24" t="str">
        <f>IF(Registro!$I979="","",IFERROR(SUMPRODUCT(--("0"&amp;TRIM(RIGHT(SUBSTITUTE(TRIM(MID(SUBSTITUTE(SUBSTITUTE(Registro!$I979,";",CHAR(10)),CHAR(10),REPT(" ",LEN(Registro!$I979))),({1,2,3,4,5,6,7,8,9,10,11,12,13,14,15,16,17,18,19,20,21,22,23,24,25,26,27,28,29,30}-1)*LEN(Registro!$I979)+1,LEN(Registro!$I979)))," ",REPT(" ",50)),50)))),"Revisar formato"))</f>
        <v/>
      </c>
      <c r="K979" s="24" t="str">
        <f>IF(AND(Registro!$G979="",Registro!$H979=""),"",IF(AND(ISTEXT(I979),I979&lt;&gt;""),"Revisar formato",N(Registro!$G979)-N(I979)))</f>
        <v/>
      </c>
      <c r="L979" s="24" t="str">
        <f t="shared" si="31"/>
        <v/>
      </c>
      <c r="M979" s="36" t="str">
        <f>IF(AND(A979=Consulta!$B$3,C979=Consulta!$H$3),B979*10000+ROW(),"")</f>
        <v/>
      </c>
    </row>
    <row r="980" spans="1:13" x14ac:dyDescent="0.25">
      <c r="A980" s="21" t="str">
        <f>IF(Registro!$A980="","",Registro!$A980)</f>
        <v/>
      </c>
      <c r="B980" s="20" t="str">
        <f>IF(Registro!$B980="","",Registro!$B980)</f>
        <v/>
      </c>
      <c r="C980" s="35" t="str">
        <f t="shared" si="30"/>
        <v/>
      </c>
      <c r="D980" s="23" t="str">
        <f>IF(Registro!$E980="","",IF(ISERROR(FIND("x",LOWER(Registro!$E980))),"-",IFERROR(SUMPRODUCT(--("0"&amp;LEFT(TRIM(MID(SUBSTITUTE(SUBSTITUTE(SUBSTITUTE(SUBSTITUTE(SUBSTITUTE(LOWER(Registro!$E980),"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",LEN(Registro!$E980))),({1,2,3,4,5,6,7,8,9,10,11,12,13,14,15,16,17,18,19,20,21,22,23,24,25,26,27,28,29,30}-1)*LEN(Registro!$E980)+1,LEN(Registro!$E980))),FIND("x",TRIM(MID(SUBSTITUTE(SUBSTITUTE(SUBSTITUTE(SUBSTITUTE(SUBSTITUTE(LOWER(Registro!$E980),"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",LEN(Registro!$E980))),({1,2,3,4,5,6,7,8,9,10,11,12,13,14,15,16,17,18,19,20,21,22,23,24,25,26,27,28,29,30}-1)*LEN(Registro!$E980)+1,LEN(Registro!$E980)))&amp;"x")-1))),"Revisar formato")))</f>
        <v/>
      </c>
      <c r="E980" s="24" t="str">
        <f>IF(Registro!$E980="","",IF(ISERROR(FIND("x",LOWER(Registro!$E980))),"-",IFERROR(SUMPRODUCT(--("0"&amp;LEFT(TRIM(MID(SUBSTITUTE(SUBSTITUTE(SUBSTITUTE(SUBSTITUTE(SUBSTITUTE(LOWER(Registro!$E980),"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",LEN(Registro!$E980))),({1,2,3,4,5,6,7,8,9,10,11,12,13,14,15,16,17,18,19,20,21,22,23,24,25,26,27,28,29,30}-1)*LEN(Registro!$E980)+1,LEN(Registro!$E980))),FIND("x",TRIM(MID(SUBSTITUTE(SUBSTITUTE(SUBSTITUTE(SUBSTITUTE(SUBSTITUTE(LOWER(Registro!$E980),"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",LEN(Registro!$E980))),({1,2,3,4,5,6,7,8,9,10,11,12,13,14,15,16,17,18,19,20,21,22,23,24,25,26,27,28,29,30}-1)*LEN(Registro!$E980)+1,LEN(Registro!$E980)))&amp;"x")-1)),--("0"&amp;MID(TRIM(MID(SUBSTITUTE(SUBSTITUTE(SUBSTITUTE(SUBSTITUTE(SUBSTITUTE(LOWER(Registro!$E980),"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",LEN(Registro!$E980))),({1,2,3,4,5,6,7,8,9,10,11,12,13,14,15,16,17,18,19,20,21,22,23,24,25,26,27,28,29,30}-1)*LEN(Registro!$E980)+1,LEN(Registro!$E980))),FIND("x",TRIM(MID(SUBSTITUTE(SUBSTITUTE(SUBSTITUTE(SUBSTITUTE(SUBSTITUTE(LOWER(Registro!$E980),"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",LEN(Registro!$E980))),({1,2,3,4,5,6,7,8,9,10,11,12,13,14,15,16,17,18,19,20,21,22,23,24,25,26,27,28,29,30}-1)*LEN(Registro!$E980)+1,LEN(Registro!$E980)))&amp;"x")+1,20))),"Revisar formato")))</f>
        <v/>
      </c>
      <c r="F980" s="23" t="str">
        <f>IF(Registro!$F980="","",IF(ISERROR(FIND("x",LOWER(Registro!$F980))),"-",IFERROR(SUMPRODUCT(--("0"&amp;LEFT(TRIM(MID(SUBSTITUTE(SUBSTITUTE(SUBSTITUTE(SUBSTITUTE(SUBSTITUTE(LOWER(Registro!$F980)," ",""),CHAR(10),"|"),";","|"),"+","|"),"|",REPT(" ",LEN(Registro!$F980))),({1,2,3,4,5,6,7,8,9,10,11,12,13,14,15,16,17,18,19,20,21,22,23,24,25,26,27,28,29,30}-1)*LEN(Registro!$F980)+1,LEN(Registro!$F980))),FIND("x",TRIM(MID(SUBSTITUTE(SUBSTITUTE(SUBSTITUTE(SUBSTITUTE(SUBSTITUTE(LOWER(Registro!$F980)," ",""),CHAR(10),"|"),";","|"),"+","|"),"|",REPT(" ",LEN(Registro!$F980))),({1,2,3,4,5,6,7,8,9,10,11,12,13,14,15,16,17,18,19,20,21,22,23,24,25,26,27,28,29,30}-1)*LEN(Registro!$F980)+1,LEN(Registro!$F980)))&amp;"x")-1))),"Revisar formato")))</f>
        <v/>
      </c>
      <c r="G980" s="24" t="str">
        <f>IF(Registro!$F980="","",IF(ISERROR(FIND("x",LOWER(Registro!$F980))),N(Registro!$G980),IFERROR(SUMPRODUCT(--("0"&amp;LEFT(TRIM(MID(SUBSTITUTE(SUBSTITUTE(SUBSTITUTE(SUBSTITUTE(SUBSTITUTE(LOWER(Registro!$F980)," ",""),CHAR(10),"|"),";","|"),"+","|"),"|",REPT(" ",LEN(Registro!$F980))),({1,2,3,4,5,6,7,8,9,10,11,12,13,14,15,16,17,18,19,20,21,22,23,24,25,26,27,28,29,30}-1)*LEN(Registro!$F980)+1,LEN(Registro!$F980))),FIND("x",TRIM(MID(SUBSTITUTE(SUBSTITUTE(SUBSTITUTE(SUBSTITUTE(SUBSTITUTE(LOWER(Registro!$F980)," ",""),CHAR(10),"|"),";","|"),"+","|"),"|",REPT(" ",LEN(Registro!$F980))),({1,2,3,4,5,6,7,8,9,10,11,12,13,14,15,16,17,18,19,20,21,22,23,24,25,26,27,28,29,30}-1)*LEN(Registro!$F980)+1,LEN(Registro!$F980)))&amp;"x")-1)),--("0"&amp;MID(TRIM(MID(SUBSTITUTE(SUBSTITUTE(SUBSTITUTE(SUBSTITUTE(SUBSTITUTE(LOWER(Registro!$F980)," ",""),CHAR(10),"|"),";","|"),"+","|"),"|",REPT(" ",LEN(Registro!$F980))),({1,2,3,4,5,6,7,8,9,10,11,12,13,14,15,16,17,18,19,20,21,22,23,24,25,26,27,28,29,30}-1)*LEN(Registro!$F980)+1,LEN(Registro!$F980))),FIND("x",TRIM(MID(SUBSTITUTE(SUBSTITUTE(SUBSTITUTE(SUBSTITUTE(SUBSTITUTE(LOWER(Registro!$F980)," ",""),CHAR(10),"|"),";","|"),"+","|"),"|",REPT(" ",LEN(Registro!$F980))),({1,2,3,4,5,6,7,8,9,10,11,12,13,14,15,16,17,18,19,20,21,22,23,24,25,26,27,28,29,30}-1)*LEN(Registro!$F980)+1,LEN(Registro!$F980)))&amp;"x")+1,20))),"Revisar formato")))</f>
        <v/>
      </c>
      <c r="H980" s="21" t="str">
        <f>IF(AND(Registro!$E980="",Registro!$F980=""),"",IF(NOT(AND(ISNUMBER(G980),ISNUMBER(Registro!$G980))),"",IF(G980&lt;Registro!$G980,"FALTA BOLETOS",IF(G980=Registro!$G980,"CONFORME","DIFERENCIA"))))</f>
        <v/>
      </c>
      <c r="I980" s="24" t="str">
        <f>IF(Registro!$H980="","",IFERROR(SUMPRODUCT(--("0"&amp;TRIM(RIGHT(SUBSTITUTE(TRIM(MID(SUBSTITUTE(SUBSTITUTE(Registro!$H980,";",CHAR(10)),CHAR(10),REPT(" ",LEN(Registro!$H980))),({1,2,3,4,5,6,7,8,9,10,11,12,13,14,15,16,17,18,19,20,21,22,23,24,25,26,27,28,29,30}-1)*LEN(Registro!$H980)+1,LEN(Registro!$H980)))," ",REPT(" ",50)),50)))),"Revisar formato"))</f>
        <v/>
      </c>
      <c r="J980" s="24" t="str">
        <f>IF(Registro!$I980="","",IFERROR(SUMPRODUCT(--("0"&amp;TRIM(RIGHT(SUBSTITUTE(TRIM(MID(SUBSTITUTE(SUBSTITUTE(Registro!$I980,";",CHAR(10)),CHAR(10),REPT(" ",LEN(Registro!$I980))),({1,2,3,4,5,6,7,8,9,10,11,12,13,14,15,16,17,18,19,20,21,22,23,24,25,26,27,28,29,30}-1)*LEN(Registro!$I980)+1,LEN(Registro!$I980)))," ",REPT(" ",50)),50)))),"Revisar formato"))</f>
        <v/>
      </c>
      <c r="K980" s="24" t="str">
        <f>IF(AND(Registro!$G980="",Registro!$H980=""),"",IF(AND(ISTEXT(I980),I980&lt;&gt;""),"Revisar formato",N(Registro!$G980)-N(I980)))</f>
        <v/>
      </c>
      <c r="L980" s="24" t="str">
        <f t="shared" si="31"/>
        <v/>
      </c>
      <c r="M980" s="36" t="str">
        <f>IF(AND(A980=Consulta!$B$3,C980=Consulta!$H$3),B980*10000+ROW(),"")</f>
        <v/>
      </c>
    </row>
    <row r="981" spans="1:13" x14ac:dyDescent="0.25">
      <c r="A981" s="21" t="str">
        <f>IF(Registro!$A981="","",Registro!$A981)</f>
        <v/>
      </c>
      <c r="B981" s="20" t="str">
        <f>IF(Registro!$B981="","",Registro!$B981)</f>
        <v/>
      </c>
      <c r="C981" s="35" t="str">
        <f t="shared" si="30"/>
        <v/>
      </c>
      <c r="D981" s="23" t="str">
        <f>IF(Registro!$E981="","",IF(ISERROR(FIND("x",LOWER(Registro!$E981))),"-",IFERROR(SUMPRODUCT(--("0"&amp;LEFT(TRIM(MID(SUBSTITUTE(SUBSTITUTE(SUBSTITUTE(SUBSTITUTE(SUBSTITUTE(LOWER(Registro!$E981),"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",LEN(Registro!$E981))),({1,2,3,4,5,6,7,8,9,10,11,12,13,14,15,16,17,18,19,20,21,22,23,24,25,26,27,28,29,30}-1)*LEN(Registro!$E981)+1,LEN(Registro!$E981))),FIND("x",TRIM(MID(SUBSTITUTE(SUBSTITUTE(SUBSTITUTE(SUBSTITUTE(SUBSTITUTE(LOWER(Registro!$E981),"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",LEN(Registro!$E981))),({1,2,3,4,5,6,7,8,9,10,11,12,13,14,15,16,17,18,19,20,21,22,23,24,25,26,27,28,29,30}-1)*LEN(Registro!$E981)+1,LEN(Registro!$E981)))&amp;"x")-1))),"Revisar formato")))</f>
        <v/>
      </c>
      <c r="E981" s="24" t="str">
        <f>IF(Registro!$E981="","",IF(ISERROR(FIND("x",LOWER(Registro!$E981))),"-",IFERROR(SUMPRODUCT(--("0"&amp;LEFT(TRIM(MID(SUBSTITUTE(SUBSTITUTE(SUBSTITUTE(SUBSTITUTE(SUBSTITUTE(LOWER(Registro!$E981),"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",LEN(Registro!$E981))),({1,2,3,4,5,6,7,8,9,10,11,12,13,14,15,16,17,18,19,20,21,22,23,24,25,26,27,28,29,30}-1)*LEN(Registro!$E981)+1,LEN(Registro!$E981))),FIND("x",TRIM(MID(SUBSTITUTE(SUBSTITUTE(SUBSTITUTE(SUBSTITUTE(SUBSTITUTE(LOWER(Registro!$E981),"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",LEN(Registro!$E981))),({1,2,3,4,5,6,7,8,9,10,11,12,13,14,15,16,17,18,19,20,21,22,23,24,25,26,27,28,29,30}-1)*LEN(Registro!$E981)+1,LEN(Registro!$E981)))&amp;"x")-1)),--("0"&amp;MID(TRIM(MID(SUBSTITUTE(SUBSTITUTE(SUBSTITUTE(SUBSTITUTE(SUBSTITUTE(LOWER(Registro!$E981),"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",LEN(Registro!$E981))),({1,2,3,4,5,6,7,8,9,10,11,12,13,14,15,16,17,18,19,20,21,22,23,24,25,26,27,28,29,30}-1)*LEN(Registro!$E981)+1,LEN(Registro!$E981))),FIND("x",TRIM(MID(SUBSTITUTE(SUBSTITUTE(SUBSTITUTE(SUBSTITUTE(SUBSTITUTE(LOWER(Registro!$E981),"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",LEN(Registro!$E981))),({1,2,3,4,5,6,7,8,9,10,11,12,13,14,15,16,17,18,19,20,21,22,23,24,25,26,27,28,29,30}-1)*LEN(Registro!$E981)+1,LEN(Registro!$E981)))&amp;"x")+1,20))),"Revisar formato")))</f>
        <v/>
      </c>
      <c r="F981" s="23" t="str">
        <f>IF(Registro!$F981="","",IF(ISERROR(FIND("x",LOWER(Registro!$F981))),"-",IFERROR(SUMPRODUCT(--("0"&amp;LEFT(TRIM(MID(SUBSTITUTE(SUBSTITUTE(SUBSTITUTE(SUBSTITUTE(SUBSTITUTE(LOWER(Registro!$F981)," ",""),CHAR(10),"|"),";","|"),"+","|"),"|",REPT(" ",LEN(Registro!$F981))),({1,2,3,4,5,6,7,8,9,10,11,12,13,14,15,16,17,18,19,20,21,22,23,24,25,26,27,28,29,30}-1)*LEN(Registro!$F981)+1,LEN(Registro!$F981))),FIND("x",TRIM(MID(SUBSTITUTE(SUBSTITUTE(SUBSTITUTE(SUBSTITUTE(SUBSTITUTE(LOWER(Registro!$F981)," ",""),CHAR(10),"|"),";","|"),"+","|"),"|",REPT(" ",LEN(Registro!$F981))),({1,2,3,4,5,6,7,8,9,10,11,12,13,14,15,16,17,18,19,20,21,22,23,24,25,26,27,28,29,30}-1)*LEN(Registro!$F981)+1,LEN(Registro!$F981)))&amp;"x")-1))),"Revisar formato")))</f>
        <v/>
      </c>
      <c r="G981" s="24" t="str">
        <f>IF(Registro!$F981="","",IF(ISERROR(FIND("x",LOWER(Registro!$F981))),N(Registro!$G981),IFERROR(SUMPRODUCT(--("0"&amp;LEFT(TRIM(MID(SUBSTITUTE(SUBSTITUTE(SUBSTITUTE(SUBSTITUTE(SUBSTITUTE(LOWER(Registro!$F981)," ",""),CHAR(10),"|"),";","|"),"+","|"),"|",REPT(" ",LEN(Registro!$F981))),({1,2,3,4,5,6,7,8,9,10,11,12,13,14,15,16,17,18,19,20,21,22,23,24,25,26,27,28,29,30}-1)*LEN(Registro!$F981)+1,LEN(Registro!$F981))),FIND("x",TRIM(MID(SUBSTITUTE(SUBSTITUTE(SUBSTITUTE(SUBSTITUTE(SUBSTITUTE(LOWER(Registro!$F981)," ",""),CHAR(10),"|"),";","|"),"+","|"),"|",REPT(" ",LEN(Registro!$F981))),({1,2,3,4,5,6,7,8,9,10,11,12,13,14,15,16,17,18,19,20,21,22,23,24,25,26,27,28,29,30}-1)*LEN(Registro!$F981)+1,LEN(Registro!$F981)))&amp;"x")-1)),--("0"&amp;MID(TRIM(MID(SUBSTITUTE(SUBSTITUTE(SUBSTITUTE(SUBSTITUTE(SUBSTITUTE(LOWER(Registro!$F981)," ",""),CHAR(10),"|"),";","|"),"+","|"),"|",REPT(" ",LEN(Registro!$F981))),({1,2,3,4,5,6,7,8,9,10,11,12,13,14,15,16,17,18,19,20,21,22,23,24,25,26,27,28,29,30}-1)*LEN(Registro!$F981)+1,LEN(Registro!$F981))),FIND("x",TRIM(MID(SUBSTITUTE(SUBSTITUTE(SUBSTITUTE(SUBSTITUTE(SUBSTITUTE(LOWER(Registro!$F981)," ",""),CHAR(10),"|"),";","|"),"+","|"),"|",REPT(" ",LEN(Registro!$F981))),({1,2,3,4,5,6,7,8,9,10,11,12,13,14,15,16,17,18,19,20,21,22,23,24,25,26,27,28,29,30}-1)*LEN(Registro!$F981)+1,LEN(Registro!$F981)))&amp;"x")+1,20))),"Revisar formato")))</f>
        <v/>
      </c>
      <c r="H981" s="21" t="str">
        <f>IF(AND(Registro!$E981="",Registro!$F981=""),"",IF(NOT(AND(ISNUMBER(G981),ISNUMBER(Registro!$G981))),"",IF(G981&lt;Registro!$G981,"FALTA BOLETOS",IF(G981=Registro!$G981,"CONFORME","DIFERENCIA"))))</f>
        <v/>
      </c>
      <c r="I981" s="24" t="str">
        <f>IF(Registro!$H981="","",IFERROR(SUMPRODUCT(--("0"&amp;TRIM(RIGHT(SUBSTITUTE(TRIM(MID(SUBSTITUTE(SUBSTITUTE(Registro!$H981,";",CHAR(10)),CHAR(10),REPT(" ",LEN(Registro!$H981))),({1,2,3,4,5,6,7,8,9,10,11,12,13,14,15,16,17,18,19,20,21,22,23,24,25,26,27,28,29,30}-1)*LEN(Registro!$H981)+1,LEN(Registro!$H981)))," ",REPT(" ",50)),50)))),"Revisar formato"))</f>
        <v/>
      </c>
      <c r="J981" s="24" t="str">
        <f>IF(Registro!$I981="","",IFERROR(SUMPRODUCT(--("0"&amp;TRIM(RIGHT(SUBSTITUTE(TRIM(MID(SUBSTITUTE(SUBSTITUTE(Registro!$I981,";",CHAR(10)),CHAR(10),REPT(" ",LEN(Registro!$I981))),({1,2,3,4,5,6,7,8,9,10,11,12,13,14,15,16,17,18,19,20,21,22,23,24,25,26,27,28,29,30}-1)*LEN(Registro!$I981)+1,LEN(Registro!$I981)))," ",REPT(" ",50)),50)))),"Revisar formato"))</f>
        <v/>
      </c>
      <c r="K981" s="24" t="str">
        <f>IF(AND(Registro!$G981="",Registro!$H981=""),"",IF(AND(ISTEXT(I981),I981&lt;&gt;""),"Revisar formato",N(Registro!$G981)-N(I981)))</f>
        <v/>
      </c>
      <c r="L981" s="24" t="str">
        <f t="shared" si="31"/>
        <v/>
      </c>
      <c r="M981" s="36" t="str">
        <f>IF(AND(A981=Consulta!$B$3,C981=Consulta!$H$3),B981*10000+ROW(),"")</f>
        <v/>
      </c>
    </row>
    <row r="982" spans="1:13" x14ac:dyDescent="0.25">
      <c r="A982" s="21" t="str">
        <f>IF(Registro!$A982="","",Registro!$A982)</f>
        <v/>
      </c>
      <c r="B982" s="20" t="str">
        <f>IF(Registro!$B982="","",Registro!$B982)</f>
        <v/>
      </c>
      <c r="C982" s="35" t="str">
        <f t="shared" si="30"/>
        <v/>
      </c>
      <c r="D982" s="23" t="str">
        <f>IF(Registro!$E982="","",IF(ISERROR(FIND("x",LOWER(Registro!$E982))),"-",IFERROR(SUMPRODUCT(--("0"&amp;LEFT(TRIM(MID(SUBSTITUTE(SUBSTITUTE(SUBSTITUTE(SUBSTITUTE(SUBSTITUTE(LOWER(Registro!$E982),"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",LEN(Registro!$E982))),({1,2,3,4,5,6,7,8,9,10,11,12,13,14,15,16,17,18,19,20,21,22,23,24,25,26,27,28,29,30}-1)*LEN(Registro!$E982)+1,LEN(Registro!$E982))),FIND("x",TRIM(MID(SUBSTITUTE(SUBSTITUTE(SUBSTITUTE(SUBSTITUTE(SUBSTITUTE(LOWER(Registro!$E982),"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",LEN(Registro!$E982))),({1,2,3,4,5,6,7,8,9,10,11,12,13,14,15,16,17,18,19,20,21,22,23,24,25,26,27,28,29,30}-1)*LEN(Registro!$E982)+1,LEN(Registro!$E982)))&amp;"x")-1))),"Revisar formato")))</f>
        <v/>
      </c>
      <c r="E982" s="24" t="str">
        <f>IF(Registro!$E982="","",IF(ISERROR(FIND("x",LOWER(Registro!$E982))),"-",IFERROR(SUMPRODUCT(--("0"&amp;LEFT(TRIM(MID(SUBSTITUTE(SUBSTITUTE(SUBSTITUTE(SUBSTITUTE(SUBSTITUTE(LOWER(Registro!$E982),"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",LEN(Registro!$E982))),({1,2,3,4,5,6,7,8,9,10,11,12,13,14,15,16,17,18,19,20,21,22,23,24,25,26,27,28,29,30}-1)*LEN(Registro!$E982)+1,LEN(Registro!$E982))),FIND("x",TRIM(MID(SUBSTITUTE(SUBSTITUTE(SUBSTITUTE(SUBSTITUTE(SUBSTITUTE(LOWER(Registro!$E982),"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",LEN(Registro!$E982))),({1,2,3,4,5,6,7,8,9,10,11,12,13,14,15,16,17,18,19,20,21,22,23,24,25,26,27,28,29,30}-1)*LEN(Registro!$E982)+1,LEN(Registro!$E982)))&amp;"x")-1)),--("0"&amp;MID(TRIM(MID(SUBSTITUTE(SUBSTITUTE(SUBSTITUTE(SUBSTITUTE(SUBSTITUTE(LOWER(Registro!$E982),"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",LEN(Registro!$E982))),({1,2,3,4,5,6,7,8,9,10,11,12,13,14,15,16,17,18,19,20,21,22,23,24,25,26,27,28,29,30}-1)*LEN(Registro!$E982)+1,LEN(Registro!$E982))),FIND("x",TRIM(MID(SUBSTITUTE(SUBSTITUTE(SUBSTITUTE(SUBSTITUTE(SUBSTITUTE(LOWER(Registro!$E982),"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",LEN(Registro!$E982))),({1,2,3,4,5,6,7,8,9,10,11,12,13,14,15,16,17,18,19,20,21,22,23,24,25,26,27,28,29,30}-1)*LEN(Registro!$E982)+1,LEN(Registro!$E982)))&amp;"x")+1,20))),"Revisar formato")))</f>
        <v/>
      </c>
      <c r="F982" s="23" t="str">
        <f>IF(Registro!$F982="","",IF(ISERROR(FIND("x",LOWER(Registro!$F982))),"-",IFERROR(SUMPRODUCT(--("0"&amp;LEFT(TRIM(MID(SUBSTITUTE(SUBSTITUTE(SUBSTITUTE(SUBSTITUTE(SUBSTITUTE(LOWER(Registro!$F982)," ",""),CHAR(10),"|"),";","|"),"+","|"),"|",REPT(" ",LEN(Registro!$F982))),({1,2,3,4,5,6,7,8,9,10,11,12,13,14,15,16,17,18,19,20,21,22,23,24,25,26,27,28,29,30}-1)*LEN(Registro!$F982)+1,LEN(Registro!$F982))),FIND("x",TRIM(MID(SUBSTITUTE(SUBSTITUTE(SUBSTITUTE(SUBSTITUTE(SUBSTITUTE(LOWER(Registro!$F982)," ",""),CHAR(10),"|"),";","|"),"+","|"),"|",REPT(" ",LEN(Registro!$F982))),({1,2,3,4,5,6,7,8,9,10,11,12,13,14,15,16,17,18,19,20,21,22,23,24,25,26,27,28,29,30}-1)*LEN(Registro!$F982)+1,LEN(Registro!$F982)))&amp;"x")-1))),"Revisar formato")))</f>
        <v/>
      </c>
      <c r="G982" s="24" t="str">
        <f>IF(Registro!$F982="","",IF(ISERROR(FIND("x",LOWER(Registro!$F982))),N(Registro!$G982),IFERROR(SUMPRODUCT(--("0"&amp;LEFT(TRIM(MID(SUBSTITUTE(SUBSTITUTE(SUBSTITUTE(SUBSTITUTE(SUBSTITUTE(LOWER(Registro!$F982)," ",""),CHAR(10),"|"),";","|"),"+","|"),"|",REPT(" ",LEN(Registro!$F982))),({1,2,3,4,5,6,7,8,9,10,11,12,13,14,15,16,17,18,19,20,21,22,23,24,25,26,27,28,29,30}-1)*LEN(Registro!$F982)+1,LEN(Registro!$F982))),FIND("x",TRIM(MID(SUBSTITUTE(SUBSTITUTE(SUBSTITUTE(SUBSTITUTE(SUBSTITUTE(LOWER(Registro!$F982)," ",""),CHAR(10),"|"),";","|"),"+","|"),"|",REPT(" ",LEN(Registro!$F982))),({1,2,3,4,5,6,7,8,9,10,11,12,13,14,15,16,17,18,19,20,21,22,23,24,25,26,27,28,29,30}-1)*LEN(Registro!$F982)+1,LEN(Registro!$F982)))&amp;"x")-1)),--("0"&amp;MID(TRIM(MID(SUBSTITUTE(SUBSTITUTE(SUBSTITUTE(SUBSTITUTE(SUBSTITUTE(LOWER(Registro!$F982)," ",""),CHAR(10),"|"),";","|"),"+","|"),"|",REPT(" ",LEN(Registro!$F982))),({1,2,3,4,5,6,7,8,9,10,11,12,13,14,15,16,17,18,19,20,21,22,23,24,25,26,27,28,29,30}-1)*LEN(Registro!$F982)+1,LEN(Registro!$F982))),FIND("x",TRIM(MID(SUBSTITUTE(SUBSTITUTE(SUBSTITUTE(SUBSTITUTE(SUBSTITUTE(LOWER(Registro!$F982)," ",""),CHAR(10),"|"),";","|"),"+","|"),"|",REPT(" ",LEN(Registro!$F982))),({1,2,3,4,5,6,7,8,9,10,11,12,13,14,15,16,17,18,19,20,21,22,23,24,25,26,27,28,29,30}-1)*LEN(Registro!$F982)+1,LEN(Registro!$F982)))&amp;"x")+1,20))),"Revisar formato")))</f>
        <v/>
      </c>
      <c r="H982" s="21" t="str">
        <f>IF(AND(Registro!$E982="",Registro!$F982=""),"",IF(NOT(AND(ISNUMBER(G982),ISNUMBER(Registro!$G982))),"",IF(G982&lt;Registro!$G982,"FALTA BOLETOS",IF(G982=Registro!$G982,"CONFORME","DIFERENCIA"))))</f>
        <v/>
      </c>
      <c r="I982" s="24" t="str">
        <f>IF(Registro!$H982="","",IFERROR(SUMPRODUCT(--("0"&amp;TRIM(RIGHT(SUBSTITUTE(TRIM(MID(SUBSTITUTE(SUBSTITUTE(Registro!$H982,";",CHAR(10)),CHAR(10),REPT(" ",LEN(Registro!$H982))),({1,2,3,4,5,6,7,8,9,10,11,12,13,14,15,16,17,18,19,20,21,22,23,24,25,26,27,28,29,30}-1)*LEN(Registro!$H982)+1,LEN(Registro!$H982)))," ",REPT(" ",50)),50)))),"Revisar formato"))</f>
        <v/>
      </c>
      <c r="J982" s="24" t="str">
        <f>IF(Registro!$I982="","",IFERROR(SUMPRODUCT(--("0"&amp;TRIM(RIGHT(SUBSTITUTE(TRIM(MID(SUBSTITUTE(SUBSTITUTE(Registro!$I982,";",CHAR(10)),CHAR(10),REPT(" ",LEN(Registro!$I982))),({1,2,3,4,5,6,7,8,9,10,11,12,13,14,15,16,17,18,19,20,21,22,23,24,25,26,27,28,29,30}-1)*LEN(Registro!$I982)+1,LEN(Registro!$I982)))," ",REPT(" ",50)),50)))),"Revisar formato"))</f>
        <v/>
      </c>
      <c r="K982" s="24" t="str">
        <f>IF(AND(Registro!$G982="",Registro!$H982=""),"",IF(AND(ISTEXT(I982),I982&lt;&gt;""),"Revisar formato",N(Registro!$G982)-N(I982)))</f>
        <v/>
      </c>
      <c r="L982" s="24" t="str">
        <f t="shared" si="31"/>
        <v/>
      </c>
      <c r="M982" s="36" t="str">
        <f>IF(AND(A982=Consulta!$B$3,C982=Consulta!$H$3),B982*10000+ROW(),"")</f>
        <v/>
      </c>
    </row>
    <row r="983" spans="1:13" x14ac:dyDescent="0.25">
      <c r="A983" s="21" t="str">
        <f>IF(Registro!$A983="","",Registro!$A983)</f>
        <v/>
      </c>
      <c r="B983" s="20" t="str">
        <f>IF(Registro!$B983="","",Registro!$B983)</f>
        <v/>
      </c>
      <c r="C983" s="35" t="str">
        <f t="shared" si="30"/>
        <v/>
      </c>
      <c r="D983" s="23" t="str">
        <f>IF(Registro!$E983="","",IF(ISERROR(FIND("x",LOWER(Registro!$E983))),"-",IFERROR(SUMPRODUCT(--("0"&amp;LEFT(TRIM(MID(SUBSTITUTE(SUBSTITUTE(SUBSTITUTE(SUBSTITUTE(SUBSTITUTE(LOWER(Registro!$E983),"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",LEN(Registro!$E983))),({1,2,3,4,5,6,7,8,9,10,11,12,13,14,15,16,17,18,19,20,21,22,23,24,25,26,27,28,29,30}-1)*LEN(Registro!$E983)+1,LEN(Registro!$E983))),FIND("x",TRIM(MID(SUBSTITUTE(SUBSTITUTE(SUBSTITUTE(SUBSTITUTE(SUBSTITUTE(LOWER(Registro!$E983),"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",LEN(Registro!$E983))),({1,2,3,4,5,6,7,8,9,10,11,12,13,14,15,16,17,18,19,20,21,22,23,24,25,26,27,28,29,30}-1)*LEN(Registro!$E983)+1,LEN(Registro!$E983)))&amp;"x")-1))),"Revisar formato")))</f>
        <v/>
      </c>
      <c r="E983" s="24" t="str">
        <f>IF(Registro!$E983="","",IF(ISERROR(FIND("x",LOWER(Registro!$E983))),"-",IFERROR(SUMPRODUCT(--("0"&amp;LEFT(TRIM(MID(SUBSTITUTE(SUBSTITUTE(SUBSTITUTE(SUBSTITUTE(SUBSTITUTE(LOWER(Registro!$E983),"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",LEN(Registro!$E983))),({1,2,3,4,5,6,7,8,9,10,11,12,13,14,15,16,17,18,19,20,21,22,23,24,25,26,27,28,29,30}-1)*LEN(Registro!$E983)+1,LEN(Registro!$E983))),FIND("x",TRIM(MID(SUBSTITUTE(SUBSTITUTE(SUBSTITUTE(SUBSTITUTE(SUBSTITUTE(LOWER(Registro!$E983),"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",LEN(Registro!$E983))),({1,2,3,4,5,6,7,8,9,10,11,12,13,14,15,16,17,18,19,20,21,22,23,24,25,26,27,28,29,30}-1)*LEN(Registro!$E983)+1,LEN(Registro!$E983)))&amp;"x")-1)),--("0"&amp;MID(TRIM(MID(SUBSTITUTE(SUBSTITUTE(SUBSTITUTE(SUBSTITUTE(SUBSTITUTE(LOWER(Registro!$E983),"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",LEN(Registro!$E983))),({1,2,3,4,5,6,7,8,9,10,11,12,13,14,15,16,17,18,19,20,21,22,23,24,25,26,27,28,29,30}-1)*LEN(Registro!$E983)+1,LEN(Registro!$E983))),FIND("x",TRIM(MID(SUBSTITUTE(SUBSTITUTE(SUBSTITUTE(SUBSTITUTE(SUBSTITUTE(LOWER(Registro!$E983),"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",LEN(Registro!$E983))),({1,2,3,4,5,6,7,8,9,10,11,12,13,14,15,16,17,18,19,20,21,22,23,24,25,26,27,28,29,30}-1)*LEN(Registro!$E983)+1,LEN(Registro!$E983)))&amp;"x")+1,20))),"Revisar formato")))</f>
        <v/>
      </c>
      <c r="F983" s="23" t="str">
        <f>IF(Registro!$F983="","",IF(ISERROR(FIND("x",LOWER(Registro!$F983))),"-",IFERROR(SUMPRODUCT(--("0"&amp;LEFT(TRIM(MID(SUBSTITUTE(SUBSTITUTE(SUBSTITUTE(SUBSTITUTE(SUBSTITUTE(LOWER(Registro!$F983)," ",""),CHAR(10),"|"),";","|"),"+","|"),"|",REPT(" ",LEN(Registro!$F983))),({1,2,3,4,5,6,7,8,9,10,11,12,13,14,15,16,17,18,19,20,21,22,23,24,25,26,27,28,29,30}-1)*LEN(Registro!$F983)+1,LEN(Registro!$F983))),FIND("x",TRIM(MID(SUBSTITUTE(SUBSTITUTE(SUBSTITUTE(SUBSTITUTE(SUBSTITUTE(LOWER(Registro!$F983)," ",""),CHAR(10),"|"),";","|"),"+","|"),"|",REPT(" ",LEN(Registro!$F983))),({1,2,3,4,5,6,7,8,9,10,11,12,13,14,15,16,17,18,19,20,21,22,23,24,25,26,27,28,29,30}-1)*LEN(Registro!$F983)+1,LEN(Registro!$F983)))&amp;"x")-1))),"Revisar formato")))</f>
        <v/>
      </c>
      <c r="G983" s="24" t="str">
        <f>IF(Registro!$F983="","",IF(ISERROR(FIND("x",LOWER(Registro!$F983))),N(Registro!$G983),IFERROR(SUMPRODUCT(--("0"&amp;LEFT(TRIM(MID(SUBSTITUTE(SUBSTITUTE(SUBSTITUTE(SUBSTITUTE(SUBSTITUTE(LOWER(Registro!$F983)," ",""),CHAR(10),"|"),";","|"),"+","|"),"|",REPT(" ",LEN(Registro!$F983))),({1,2,3,4,5,6,7,8,9,10,11,12,13,14,15,16,17,18,19,20,21,22,23,24,25,26,27,28,29,30}-1)*LEN(Registro!$F983)+1,LEN(Registro!$F983))),FIND("x",TRIM(MID(SUBSTITUTE(SUBSTITUTE(SUBSTITUTE(SUBSTITUTE(SUBSTITUTE(LOWER(Registro!$F983)," ",""),CHAR(10),"|"),";","|"),"+","|"),"|",REPT(" ",LEN(Registro!$F983))),({1,2,3,4,5,6,7,8,9,10,11,12,13,14,15,16,17,18,19,20,21,22,23,24,25,26,27,28,29,30}-1)*LEN(Registro!$F983)+1,LEN(Registro!$F983)))&amp;"x")-1)),--("0"&amp;MID(TRIM(MID(SUBSTITUTE(SUBSTITUTE(SUBSTITUTE(SUBSTITUTE(SUBSTITUTE(LOWER(Registro!$F983)," ",""),CHAR(10),"|"),";","|"),"+","|"),"|",REPT(" ",LEN(Registro!$F983))),({1,2,3,4,5,6,7,8,9,10,11,12,13,14,15,16,17,18,19,20,21,22,23,24,25,26,27,28,29,30}-1)*LEN(Registro!$F983)+1,LEN(Registro!$F983))),FIND("x",TRIM(MID(SUBSTITUTE(SUBSTITUTE(SUBSTITUTE(SUBSTITUTE(SUBSTITUTE(LOWER(Registro!$F983)," ",""),CHAR(10),"|"),";","|"),"+","|"),"|",REPT(" ",LEN(Registro!$F983))),({1,2,3,4,5,6,7,8,9,10,11,12,13,14,15,16,17,18,19,20,21,22,23,24,25,26,27,28,29,30}-1)*LEN(Registro!$F983)+1,LEN(Registro!$F983)))&amp;"x")+1,20))),"Revisar formato")))</f>
        <v/>
      </c>
      <c r="H983" s="21" t="str">
        <f>IF(AND(Registro!$E983="",Registro!$F983=""),"",IF(NOT(AND(ISNUMBER(G983),ISNUMBER(Registro!$G983))),"",IF(G983&lt;Registro!$G983,"FALTA BOLETOS",IF(G983=Registro!$G983,"CONFORME","DIFERENCIA"))))</f>
        <v/>
      </c>
      <c r="I983" s="24" t="str">
        <f>IF(Registro!$H983="","",IFERROR(SUMPRODUCT(--("0"&amp;TRIM(RIGHT(SUBSTITUTE(TRIM(MID(SUBSTITUTE(SUBSTITUTE(Registro!$H983,";",CHAR(10)),CHAR(10),REPT(" ",LEN(Registro!$H983))),({1,2,3,4,5,6,7,8,9,10,11,12,13,14,15,16,17,18,19,20,21,22,23,24,25,26,27,28,29,30}-1)*LEN(Registro!$H983)+1,LEN(Registro!$H983)))," ",REPT(" ",50)),50)))),"Revisar formato"))</f>
        <v/>
      </c>
      <c r="J983" s="24" t="str">
        <f>IF(Registro!$I983="","",IFERROR(SUMPRODUCT(--("0"&amp;TRIM(RIGHT(SUBSTITUTE(TRIM(MID(SUBSTITUTE(SUBSTITUTE(Registro!$I983,";",CHAR(10)),CHAR(10),REPT(" ",LEN(Registro!$I983))),({1,2,3,4,5,6,7,8,9,10,11,12,13,14,15,16,17,18,19,20,21,22,23,24,25,26,27,28,29,30}-1)*LEN(Registro!$I983)+1,LEN(Registro!$I983)))," ",REPT(" ",50)),50)))),"Revisar formato"))</f>
        <v/>
      </c>
      <c r="K983" s="24" t="str">
        <f>IF(AND(Registro!$G983="",Registro!$H983=""),"",IF(AND(ISTEXT(I983),I983&lt;&gt;""),"Revisar formato",N(Registro!$G983)-N(I983)))</f>
        <v/>
      </c>
      <c r="L983" s="24" t="str">
        <f t="shared" si="31"/>
        <v/>
      </c>
      <c r="M983" s="36" t="str">
        <f>IF(AND(A983=Consulta!$B$3,C983=Consulta!$H$3),B983*10000+ROW(),"")</f>
        <v/>
      </c>
    </row>
    <row r="984" spans="1:13" x14ac:dyDescent="0.25">
      <c r="A984" s="21" t="str">
        <f>IF(Registro!$A984="","",Registro!$A984)</f>
        <v/>
      </c>
      <c r="B984" s="20" t="str">
        <f>IF(Registro!$B984="","",Registro!$B984)</f>
        <v/>
      </c>
      <c r="C984" s="35" t="str">
        <f t="shared" si="30"/>
        <v/>
      </c>
      <c r="D984" s="23" t="str">
        <f>IF(Registro!$E984="","",IF(ISERROR(FIND("x",LOWER(Registro!$E984))),"-",IFERROR(SUMPRODUCT(--("0"&amp;LEFT(TRIM(MID(SUBSTITUTE(SUBSTITUTE(SUBSTITUTE(SUBSTITUTE(SUBSTITUTE(LOWER(Registro!$E984),"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",LEN(Registro!$E984))),({1,2,3,4,5,6,7,8,9,10,11,12,13,14,15,16,17,18,19,20,21,22,23,24,25,26,27,28,29,30}-1)*LEN(Registro!$E984)+1,LEN(Registro!$E984))),FIND("x",TRIM(MID(SUBSTITUTE(SUBSTITUTE(SUBSTITUTE(SUBSTITUTE(SUBSTITUTE(LOWER(Registro!$E984),"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",LEN(Registro!$E984))),({1,2,3,4,5,6,7,8,9,10,11,12,13,14,15,16,17,18,19,20,21,22,23,24,25,26,27,28,29,30}-1)*LEN(Registro!$E984)+1,LEN(Registro!$E984)))&amp;"x")-1))),"Revisar formato")))</f>
        <v/>
      </c>
      <c r="E984" s="24" t="str">
        <f>IF(Registro!$E984="","",IF(ISERROR(FIND("x",LOWER(Registro!$E984))),"-",IFERROR(SUMPRODUCT(--("0"&amp;LEFT(TRIM(MID(SUBSTITUTE(SUBSTITUTE(SUBSTITUTE(SUBSTITUTE(SUBSTITUTE(LOWER(Registro!$E984),"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",LEN(Registro!$E984))),({1,2,3,4,5,6,7,8,9,10,11,12,13,14,15,16,17,18,19,20,21,22,23,24,25,26,27,28,29,30}-1)*LEN(Registro!$E984)+1,LEN(Registro!$E984))),FIND("x",TRIM(MID(SUBSTITUTE(SUBSTITUTE(SUBSTITUTE(SUBSTITUTE(SUBSTITUTE(LOWER(Registro!$E984),"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",LEN(Registro!$E984))),({1,2,3,4,5,6,7,8,9,10,11,12,13,14,15,16,17,18,19,20,21,22,23,24,25,26,27,28,29,30}-1)*LEN(Registro!$E984)+1,LEN(Registro!$E984)))&amp;"x")-1)),--("0"&amp;MID(TRIM(MID(SUBSTITUTE(SUBSTITUTE(SUBSTITUTE(SUBSTITUTE(SUBSTITUTE(LOWER(Registro!$E984),"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",LEN(Registro!$E984))),({1,2,3,4,5,6,7,8,9,10,11,12,13,14,15,16,17,18,19,20,21,22,23,24,25,26,27,28,29,30}-1)*LEN(Registro!$E984)+1,LEN(Registro!$E984))),FIND("x",TRIM(MID(SUBSTITUTE(SUBSTITUTE(SUBSTITUTE(SUBSTITUTE(SUBSTITUTE(LOWER(Registro!$E984),"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",LEN(Registro!$E984))),({1,2,3,4,5,6,7,8,9,10,11,12,13,14,15,16,17,18,19,20,21,22,23,24,25,26,27,28,29,30}-1)*LEN(Registro!$E984)+1,LEN(Registro!$E984)))&amp;"x")+1,20))),"Revisar formato")))</f>
        <v/>
      </c>
      <c r="F984" s="23" t="str">
        <f>IF(Registro!$F984="","",IF(ISERROR(FIND("x",LOWER(Registro!$F984))),"-",IFERROR(SUMPRODUCT(--("0"&amp;LEFT(TRIM(MID(SUBSTITUTE(SUBSTITUTE(SUBSTITUTE(SUBSTITUTE(SUBSTITUTE(LOWER(Registro!$F984)," ",""),CHAR(10),"|"),";","|"),"+","|"),"|",REPT(" ",LEN(Registro!$F984))),({1,2,3,4,5,6,7,8,9,10,11,12,13,14,15,16,17,18,19,20,21,22,23,24,25,26,27,28,29,30}-1)*LEN(Registro!$F984)+1,LEN(Registro!$F984))),FIND("x",TRIM(MID(SUBSTITUTE(SUBSTITUTE(SUBSTITUTE(SUBSTITUTE(SUBSTITUTE(LOWER(Registro!$F984)," ",""),CHAR(10),"|"),";","|"),"+","|"),"|",REPT(" ",LEN(Registro!$F984))),({1,2,3,4,5,6,7,8,9,10,11,12,13,14,15,16,17,18,19,20,21,22,23,24,25,26,27,28,29,30}-1)*LEN(Registro!$F984)+1,LEN(Registro!$F984)))&amp;"x")-1))),"Revisar formato")))</f>
        <v/>
      </c>
      <c r="G984" s="24" t="str">
        <f>IF(Registro!$F984="","",IF(ISERROR(FIND("x",LOWER(Registro!$F984))),N(Registro!$G984),IFERROR(SUMPRODUCT(--("0"&amp;LEFT(TRIM(MID(SUBSTITUTE(SUBSTITUTE(SUBSTITUTE(SUBSTITUTE(SUBSTITUTE(LOWER(Registro!$F984)," ",""),CHAR(10),"|"),";","|"),"+","|"),"|",REPT(" ",LEN(Registro!$F984))),({1,2,3,4,5,6,7,8,9,10,11,12,13,14,15,16,17,18,19,20,21,22,23,24,25,26,27,28,29,30}-1)*LEN(Registro!$F984)+1,LEN(Registro!$F984))),FIND("x",TRIM(MID(SUBSTITUTE(SUBSTITUTE(SUBSTITUTE(SUBSTITUTE(SUBSTITUTE(LOWER(Registro!$F984)," ",""),CHAR(10),"|"),";","|"),"+","|"),"|",REPT(" ",LEN(Registro!$F984))),({1,2,3,4,5,6,7,8,9,10,11,12,13,14,15,16,17,18,19,20,21,22,23,24,25,26,27,28,29,30}-1)*LEN(Registro!$F984)+1,LEN(Registro!$F984)))&amp;"x")-1)),--("0"&amp;MID(TRIM(MID(SUBSTITUTE(SUBSTITUTE(SUBSTITUTE(SUBSTITUTE(SUBSTITUTE(LOWER(Registro!$F984)," ",""),CHAR(10),"|"),";","|"),"+","|"),"|",REPT(" ",LEN(Registro!$F984))),({1,2,3,4,5,6,7,8,9,10,11,12,13,14,15,16,17,18,19,20,21,22,23,24,25,26,27,28,29,30}-1)*LEN(Registro!$F984)+1,LEN(Registro!$F984))),FIND("x",TRIM(MID(SUBSTITUTE(SUBSTITUTE(SUBSTITUTE(SUBSTITUTE(SUBSTITUTE(LOWER(Registro!$F984)," ",""),CHAR(10),"|"),";","|"),"+","|"),"|",REPT(" ",LEN(Registro!$F984))),({1,2,3,4,5,6,7,8,9,10,11,12,13,14,15,16,17,18,19,20,21,22,23,24,25,26,27,28,29,30}-1)*LEN(Registro!$F984)+1,LEN(Registro!$F984)))&amp;"x")+1,20))),"Revisar formato")))</f>
        <v/>
      </c>
      <c r="H984" s="21" t="str">
        <f>IF(AND(Registro!$E984="",Registro!$F984=""),"",IF(NOT(AND(ISNUMBER(G984),ISNUMBER(Registro!$G984))),"",IF(G984&lt;Registro!$G984,"FALTA BOLETOS",IF(G984=Registro!$G984,"CONFORME","DIFERENCIA"))))</f>
        <v/>
      </c>
      <c r="I984" s="24" t="str">
        <f>IF(Registro!$H984="","",IFERROR(SUMPRODUCT(--("0"&amp;TRIM(RIGHT(SUBSTITUTE(TRIM(MID(SUBSTITUTE(SUBSTITUTE(Registro!$H984,";",CHAR(10)),CHAR(10),REPT(" ",LEN(Registro!$H984))),({1,2,3,4,5,6,7,8,9,10,11,12,13,14,15,16,17,18,19,20,21,22,23,24,25,26,27,28,29,30}-1)*LEN(Registro!$H984)+1,LEN(Registro!$H984)))," ",REPT(" ",50)),50)))),"Revisar formato"))</f>
        <v/>
      </c>
      <c r="J984" s="24" t="str">
        <f>IF(Registro!$I984="","",IFERROR(SUMPRODUCT(--("0"&amp;TRIM(RIGHT(SUBSTITUTE(TRIM(MID(SUBSTITUTE(SUBSTITUTE(Registro!$I984,";",CHAR(10)),CHAR(10),REPT(" ",LEN(Registro!$I984))),({1,2,3,4,5,6,7,8,9,10,11,12,13,14,15,16,17,18,19,20,21,22,23,24,25,26,27,28,29,30}-1)*LEN(Registro!$I984)+1,LEN(Registro!$I984)))," ",REPT(" ",50)),50)))),"Revisar formato"))</f>
        <v/>
      </c>
      <c r="K984" s="24" t="str">
        <f>IF(AND(Registro!$G984="",Registro!$H984=""),"",IF(AND(ISTEXT(I984),I984&lt;&gt;""),"Revisar formato",N(Registro!$G984)-N(I984)))</f>
        <v/>
      </c>
      <c r="L984" s="24" t="str">
        <f t="shared" si="31"/>
        <v/>
      </c>
      <c r="M984" s="36" t="str">
        <f>IF(AND(A984=Consulta!$B$3,C984=Consulta!$H$3),B984*10000+ROW(),"")</f>
        <v/>
      </c>
    </row>
    <row r="985" spans="1:13" x14ac:dyDescent="0.25">
      <c r="A985" s="21" t="str">
        <f>IF(Registro!$A985="","",Registro!$A985)</f>
        <v/>
      </c>
      <c r="B985" s="20" t="str">
        <f>IF(Registro!$B985="","",Registro!$B985)</f>
        <v/>
      </c>
      <c r="C985" s="35" t="str">
        <f t="shared" si="30"/>
        <v/>
      </c>
      <c r="D985" s="23" t="str">
        <f>IF(Registro!$E985="","",IF(ISERROR(FIND("x",LOWER(Registro!$E985))),"-",IFERROR(SUMPRODUCT(--("0"&amp;LEFT(TRIM(MID(SUBSTITUTE(SUBSTITUTE(SUBSTITUTE(SUBSTITUTE(SUBSTITUTE(LOWER(Registro!$E985),"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",LEN(Registro!$E985))),({1,2,3,4,5,6,7,8,9,10,11,12,13,14,15,16,17,18,19,20,21,22,23,24,25,26,27,28,29,30}-1)*LEN(Registro!$E985)+1,LEN(Registro!$E985))),FIND("x",TRIM(MID(SUBSTITUTE(SUBSTITUTE(SUBSTITUTE(SUBSTITUTE(SUBSTITUTE(LOWER(Registro!$E985),"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",LEN(Registro!$E985))),({1,2,3,4,5,6,7,8,9,10,11,12,13,14,15,16,17,18,19,20,21,22,23,24,25,26,27,28,29,30}-1)*LEN(Registro!$E985)+1,LEN(Registro!$E985)))&amp;"x")-1))),"Revisar formato")))</f>
        <v/>
      </c>
      <c r="E985" s="24" t="str">
        <f>IF(Registro!$E985="","",IF(ISERROR(FIND("x",LOWER(Registro!$E985))),"-",IFERROR(SUMPRODUCT(--("0"&amp;LEFT(TRIM(MID(SUBSTITUTE(SUBSTITUTE(SUBSTITUTE(SUBSTITUTE(SUBSTITUTE(LOWER(Registro!$E985),"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",LEN(Registro!$E985))),({1,2,3,4,5,6,7,8,9,10,11,12,13,14,15,16,17,18,19,20,21,22,23,24,25,26,27,28,29,30}-1)*LEN(Registro!$E985)+1,LEN(Registro!$E985))),FIND("x",TRIM(MID(SUBSTITUTE(SUBSTITUTE(SUBSTITUTE(SUBSTITUTE(SUBSTITUTE(LOWER(Registro!$E985),"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",LEN(Registro!$E985))),({1,2,3,4,5,6,7,8,9,10,11,12,13,14,15,16,17,18,19,20,21,22,23,24,25,26,27,28,29,30}-1)*LEN(Registro!$E985)+1,LEN(Registro!$E985)))&amp;"x")-1)),--("0"&amp;MID(TRIM(MID(SUBSTITUTE(SUBSTITUTE(SUBSTITUTE(SUBSTITUTE(SUBSTITUTE(LOWER(Registro!$E985),"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",LEN(Registro!$E985))),({1,2,3,4,5,6,7,8,9,10,11,12,13,14,15,16,17,18,19,20,21,22,23,24,25,26,27,28,29,30}-1)*LEN(Registro!$E985)+1,LEN(Registro!$E985))),FIND("x",TRIM(MID(SUBSTITUTE(SUBSTITUTE(SUBSTITUTE(SUBSTITUTE(SUBSTITUTE(LOWER(Registro!$E985),"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",LEN(Registro!$E985))),({1,2,3,4,5,6,7,8,9,10,11,12,13,14,15,16,17,18,19,20,21,22,23,24,25,26,27,28,29,30}-1)*LEN(Registro!$E985)+1,LEN(Registro!$E985)))&amp;"x")+1,20))),"Revisar formato")))</f>
        <v/>
      </c>
      <c r="F985" s="23" t="str">
        <f>IF(Registro!$F985="","",IF(ISERROR(FIND("x",LOWER(Registro!$F985))),"-",IFERROR(SUMPRODUCT(--("0"&amp;LEFT(TRIM(MID(SUBSTITUTE(SUBSTITUTE(SUBSTITUTE(SUBSTITUTE(SUBSTITUTE(LOWER(Registro!$F985)," ",""),CHAR(10),"|"),";","|"),"+","|"),"|",REPT(" ",LEN(Registro!$F985))),({1,2,3,4,5,6,7,8,9,10,11,12,13,14,15,16,17,18,19,20,21,22,23,24,25,26,27,28,29,30}-1)*LEN(Registro!$F985)+1,LEN(Registro!$F985))),FIND("x",TRIM(MID(SUBSTITUTE(SUBSTITUTE(SUBSTITUTE(SUBSTITUTE(SUBSTITUTE(LOWER(Registro!$F985)," ",""),CHAR(10),"|"),";","|"),"+","|"),"|",REPT(" ",LEN(Registro!$F985))),({1,2,3,4,5,6,7,8,9,10,11,12,13,14,15,16,17,18,19,20,21,22,23,24,25,26,27,28,29,30}-1)*LEN(Registro!$F985)+1,LEN(Registro!$F985)))&amp;"x")-1))),"Revisar formato")))</f>
        <v/>
      </c>
      <c r="G985" s="24" t="str">
        <f>IF(Registro!$F985="","",IF(ISERROR(FIND("x",LOWER(Registro!$F985))),N(Registro!$G985),IFERROR(SUMPRODUCT(--("0"&amp;LEFT(TRIM(MID(SUBSTITUTE(SUBSTITUTE(SUBSTITUTE(SUBSTITUTE(SUBSTITUTE(LOWER(Registro!$F985)," ",""),CHAR(10),"|"),";","|"),"+","|"),"|",REPT(" ",LEN(Registro!$F985))),({1,2,3,4,5,6,7,8,9,10,11,12,13,14,15,16,17,18,19,20,21,22,23,24,25,26,27,28,29,30}-1)*LEN(Registro!$F985)+1,LEN(Registro!$F985))),FIND("x",TRIM(MID(SUBSTITUTE(SUBSTITUTE(SUBSTITUTE(SUBSTITUTE(SUBSTITUTE(LOWER(Registro!$F985)," ",""),CHAR(10),"|"),";","|"),"+","|"),"|",REPT(" ",LEN(Registro!$F985))),({1,2,3,4,5,6,7,8,9,10,11,12,13,14,15,16,17,18,19,20,21,22,23,24,25,26,27,28,29,30}-1)*LEN(Registro!$F985)+1,LEN(Registro!$F985)))&amp;"x")-1)),--("0"&amp;MID(TRIM(MID(SUBSTITUTE(SUBSTITUTE(SUBSTITUTE(SUBSTITUTE(SUBSTITUTE(LOWER(Registro!$F985)," ",""),CHAR(10),"|"),";","|"),"+","|"),"|",REPT(" ",LEN(Registro!$F985))),({1,2,3,4,5,6,7,8,9,10,11,12,13,14,15,16,17,18,19,20,21,22,23,24,25,26,27,28,29,30}-1)*LEN(Registro!$F985)+1,LEN(Registro!$F985))),FIND("x",TRIM(MID(SUBSTITUTE(SUBSTITUTE(SUBSTITUTE(SUBSTITUTE(SUBSTITUTE(LOWER(Registro!$F985)," ",""),CHAR(10),"|"),";","|"),"+","|"),"|",REPT(" ",LEN(Registro!$F985))),({1,2,3,4,5,6,7,8,9,10,11,12,13,14,15,16,17,18,19,20,21,22,23,24,25,26,27,28,29,30}-1)*LEN(Registro!$F985)+1,LEN(Registro!$F985)))&amp;"x")+1,20))),"Revisar formato")))</f>
        <v/>
      </c>
      <c r="H985" s="21" t="str">
        <f>IF(AND(Registro!$E985="",Registro!$F985=""),"",IF(NOT(AND(ISNUMBER(G985),ISNUMBER(Registro!$G985))),"",IF(G985&lt;Registro!$G985,"FALTA BOLETOS",IF(G985=Registro!$G985,"CONFORME","DIFERENCIA"))))</f>
        <v/>
      </c>
      <c r="I985" s="24" t="str">
        <f>IF(Registro!$H985="","",IFERROR(SUMPRODUCT(--("0"&amp;TRIM(RIGHT(SUBSTITUTE(TRIM(MID(SUBSTITUTE(SUBSTITUTE(Registro!$H985,";",CHAR(10)),CHAR(10),REPT(" ",LEN(Registro!$H985))),({1,2,3,4,5,6,7,8,9,10,11,12,13,14,15,16,17,18,19,20,21,22,23,24,25,26,27,28,29,30}-1)*LEN(Registro!$H985)+1,LEN(Registro!$H985)))," ",REPT(" ",50)),50)))),"Revisar formato"))</f>
        <v/>
      </c>
      <c r="J985" s="24" t="str">
        <f>IF(Registro!$I985="","",IFERROR(SUMPRODUCT(--("0"&amp;TRIM(RIGHT(SUBSTITUTE(TRIM(MID(SUBSTITUTE(SUBSTITUTE(Registro!$I985,";",CHAR(10)),CHAR(10),REPT(" ",LEN(Registro!$I985))),({1,2,3,4,5,6,7,8,9,10,11,12,13,14,15,16,17,18,19,20,21,22,23,24,25,26,27,28,29,30}-1)*LEN(Registro!$I985)+1,LEN(Registro!$I985)))," ",REPT(" ",50)),50)))),"Revisar formato"))</f>
        <v/>
      </c>
      <c r="K985" s="24" t="str">
        <f>IF(AND(Registro!$G985="",Registro!$H985=""),"",IF(AND(ISTEXT(I985),I985&lt;&gt;""),"Revisar formato",N(Registro!$G985)-N(I985)))</f>
        <v/>
      </c>
      <c r="L985" s="24" t="str">
        <f t="shared" si="31"/>
        <v/>
      </c>
      <c r="M985" s="36" t="str">
        <f>IF(AND(A985=Consulta!$B$3,C985=Consulta!$H$3),B985*10000+ROW(),"")</f>
        <v/>
      </c>
    </row>
    <row r="986" spans="1:13" x14ac:dyDescent="0.25">
      <c r="A986" s="21" t="str">
        <f>IF(Registro!$A986="","",Registro!$A986)</f>
        <v/>
      </c>
      <c r="B986" s="20" t="str">
        <f>IF(Registro!$B986="","",Registro!$B986)</f>
        <v/>
      </c>
      <c r="C986" s="35" t="str">
        <f t="shared" si="30"/>
        <v/>
      </c>
      <c r="D986" s="23" t="str">
        <f>IF(Registro!$E986="","",IF(ISERROR(FIND("x",LOWER(Registro!$E986))),"-",IFERROR(SUMPRODUCT(--("0"&amp;LEFT(TRIM(MID(SUBSTITUTE(SUBSTITUTE(SUBSTITUTE(SUBSTITUTE(SUBSTITUTE(LOWER(Registro!$E986),"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",LEN(Registro!$E986))),({1,2,3,4,5,6,7,8,9,10,11,12,13,14,15,16,17,18,19,20,21,22,23,24,25,26,27,28,29,30}-1)*LEN(Registro!$E986)+1,LEN(Registro!$E986))),FIND("x",TRIM(MID(SUBSTITUTE(SUBSTITUTE(SUBSTITUTE(SUBSTITUTE(SUBSTITUTE(LOWER(Registro!$E986),"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",LEN(Registro!$E986))),({1,2,3,4,5,6,7,8,9,10,11,12,13,14,15,16,17,18,19,20,21,22,23,24,25,26,27,28,29,30}-1)*LEN(Registro!$E986)+1,LEN(Registro!$E986)))&amp;"x")-1))),"Revisar formato")))</f>
        <v/>
      </c>
      <c r="E986" s="24" t="str">
        <f>IF(Registro!$E986="","",IF(ISERROR(FIND("x",LOWER(Registro!$E986))),"-",IFERROR(SUMPRODUCT(--("0"&amp;LEFT(TRIM(MID(SUBSTITUTE(SUBSTITUTE(SUBSTITUTE(SUBSTITUTE(SUBSTITUTE(LOWER(Registro!$E986),"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",LEN(Registro!$E986))),({1,2,3,4,5,6,7,8,9,10,11,12,13,14,15,16,17,18,19,20,21,22,23,24,25,26,27,28,29,30}-1)*LEN(Registro!$E986)+1,LEN(Registro!$E986))),FIND("x",TRIM(MID(SUBSTITUTE(SUBSTITUTE(SUBSTITUTE(SUBSTITUTE(SUBSTITUTE(LOWER(Registro!$E986),"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",LEN(Registro!$E986))),({1,2,3,4,5,6,7,8,9,10,11,12,13,14,15,16,17,18,19,20,21,22,23,24,25,26,27,28,29,30}-1)*LEN(Registro!$E986)+1,LEN(Registro!$E986)))&amp;"x")-1)),--("0"&amp;MID(TRIM(MID(SUBSTITUTE(SUBSTITUTE(SUBSTITUTE(SUBSTITUTE(SUBSTITUTE(LOWER(Registro!$E986),"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",LEN(Registro!$E986))),({1,2,3,4,5,6,7,8,9,10,11,12,13,14,15,16,17,18,19,20,21,22,23,24,25,26,27,28,29,30}-1)*LEN(Registro!$E986)+1,LEN(Registro!$E986))),FIND("x",TRIM(MID(SUBSTITUTE(SUBSTITUTE(SUBSTITUTE(SUBSTITUTE(SUBSTITUTE(LOWER(Registro!$E986),"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",LEN(Registro!$E986))),({1,2,3,4,5,6,7,8,9,10,11,12,13,14,15,16,17,18,19,20,21,22,23,24,25,26,27,28,29,30}-1)*LEN(Registro!$E986)+1,LEN(Registro!$E986)))&amp;"x")+1,20))),"Revisar formato")))</f>
        <v/>
      </c>
      <c r="F986" s="23" t="str">
        <f>IF(Registro!$F986="","",IF(ISERROR(FIND("x",LOWER(Registro!$F986))),"-",IFERROR(SUMPRODUCT(--("0"&amp;LEFT(TRIM(MID(SUBSTITUTE(SUBSTITUTE(SUBSTITUTE(SUBSTITUTE(SUBSTITUTE(LOWER(Registro!$F986)," ",""),CHAR(10),"|"),";","|"),"+","|"),"|",REPT(" ",LEN(Registro!$F986))),({1,2,3,4,5,6,7,8,9,10,11,12,13,14,15,16,17,18,19,20,21,22,23,24,25,26,27,28,29,30}-1)*LEN(Registro!$F986)+1,LEN(Registro!$F986))),FIND("x",TRIM(MID(SUBSTITUTE(SUBSTITUTE(SUBSTITUTE(SUBSTITUTE(SUBSTITUTE(LOWER(Registro!$F986)," ",""),CHAR(10),"|"),";","|"),"+","|"),"|",REPT(" ",LEN(Registro!$F986))),({1,2,3,4,5,6,7,8,9,10,11,12,13,14,15,16,17,18,19,20,21,22,23,24,25,26,27,28,29,30}-1)*LEN(Registro!$F986)+1,LEN(Registro!$F986)))&amp;"x")-1))),"Revisar formato")))</f>
        <v/>
      </c>
      <c r="G986" s="24" t="str">
        <f>IF(Registro!$F986="","",IF(ISERROR(FIND("x",LOWER(Registro!$F986))),N(Registro!$G986),IFERROR(SUMPRODUCT(--("0"&amp;LEFT(TRIM(MID(SUBSTITUTE(SUBSTITUTE(SUBSTITUTE(SUBSTITUTE(SUBSTITUTE(LOWER(Registro!$F986)," ",""),CHAR(10),"|"),";","|"),"+","|"),"|",REPT(" ",LEN(Registro!$F986))),({1,2,3,4,5,6,7,8,9,10,11,12,13,14,15,16,17,18,19,20,21,22,23,24,25,26,27,28,29,30}-1)*LEN(Registro!$F986)+1,LEN(Registro!$F986))),FIND("x",TRIM(MID(SUBSTITUTE(SUBSTITUTE(SUBSTITUTE(SUBSTITUTE(SUBSTITUTE(LOWER(Registro!$F986)," ",""),CHAR(10),"|"),";","|"),"+","|"),"|",REPT(" ",LEN(Registro!$F986))),({1,2,3,4,5,6,7,8,9,10,11,12,13,14,15,16,17,18,19,20,21,22,23,24,25,26,27,28,29,30}-1)*LEN(Registro!$F986)+1,LEN(Registro!$F986)))&amp;"x")-1)),--("0"&amp;MID(TRIM(MID(SUBSTITUTE(SUBSTITUTE(SUBSTITUTE(SUBSTITUTE(SUBSTITUTE(LOWER(Registro!$F986)," ",""),CHAR(10),"|"),";","|"),"+","|"),"|",REPT(" ",LEN(Registro!$F986))),({1,2,3,4,5,6,7,8,9,10,11,12,13,14,15,16,17,18,19,20,21,22,23,24,25,26,27,28,29,30}-1)*LEN(Registro!$F986)+1,LEN(Registro!$F986))),FIND("x",TRIM(MID(SUBSTITUTE(SUBSTITUTE(SUBSTITUTE(SUBSTITUTE(SUBSTITUTE(LOWER(Registro!$F986)," ",""),CHAR(10),"|"),";","|"),"+","|"),"|",REPT(" ",LEN(Registro!$F986))),({1,2,3,4,5,6,7,8,9,10,11,12,13,14,15,16,17,18,19,20,21,22,23,24,25,26,27,28,29,30}-1)*LEN(Registro!$F986)+1,LEN(Registro!$F986)))&amp;"x")+1,20))),"Revisar formato")))</f>
        <v/>
      </c>
      <c r="H986" s="21" t="str">
        <f>IF(AND(Registro!$E986="",Registro!$F986=""),"",IF(NOT(AND(ISNUMBER(G986),ISNUMBER(Registro!$G986))),"",IF(G986&lt;Registro!$G986,"FALTA BOLETOS",IF(G986=Registro!$G986,"CONFORME","DIFERENCIA"))))</f>
        <v/>
      </c>
      <c r="I986" s="24" t="str">
        <f>IF(Registro!$H986="","",IFERROR(SUMPRODUCT(--("0"&amp;TRIM(RIGHT(SUBSTITUTE(TRIM(MID(SUBSTITUTE(SUBSTITUTE(Registro!$H986,";",CHAR(10)),CHAR(10),REPT(" ",LEN(Registro!$H986))),({1,2,3,4,5,6,7,8,9,10,11,12,13,14,15,16,17,18,19,20,21,22,23,24,25,26,27,28,29,30}-1)*LEN(Registro!$H986)+1,LEN(Registro!$H986)))," ",REPT(" ",50)),50)))),"Revisar formato"))</f>
        <v/>
      </c>
      <c r="J986" s="24" t="str">
        <f>IF(Registro!$I986="","",IFERROR(SUMPRODUCT(--("0"&amp;TRIM(RIGHT(SUBSTITUTE(TRIM(MID(SUBSTITUTE(SUBSTITUTE(Registro!$I986,";",CHAR(10)),CHAR(10),REPT(" ",LEN(Registro!$I986))),({1,2,3,4,5,6,7,8,9,10,11,12,13,14,15,16,17,18,19,20,21,22,23,24,25,26,27,28,29,30}-1)*LEN(Registro!$I986)+1,LEN(Registro!$I986)))," ",REPT(" ",50)),50)))),"Revisar formato"))</f>
        <v/>
      </c>
      <c r="K986" s="24" t="str">
        <f>IF(AND(Registro!$G986="",Registro!$H986=""),"",IF(AND(ISTEXT(I986),I986&lt;&gt;""),"Revisar formato",N(Registro!$G986)-N(I986)))</f>
        <v/>
      </c>
      <c r="L986" s="24" t="str">
        <f t="shared" si="31"/>
        <v/>
      </c>
      <c r="M986" s="36" t="str">
        <f>IF(AND(A986=Consulta!$B$3,C986=Consulta!$H$3),B986*10000+ROW(),"")</f>
        <v/>
      </c>
    </row>
    <row r="987" spans="1:13" x14ac:dyDescent="0.25">
      <c r="A987" s="21" t="str">
        <f>IF(Registro!$A987="","",Registro!$A987)</f>
        <v/>
      </c>
      <c r="B987" s="20" t="str">
        <f>IF(Registro!$B987="","",Registro!$B987)</f>
        <v/>
      </c>
      <c r="C987" s="35" t="str">
        <f t="shared" si="30"/>
        <v/>
      </c>
      <c r="D987" s="23" t="str">
        <f>IF(Registro!$E987="","",IF(ISERROR(FIND("x",LOWER(Registro!$E987))),"-",IFERROR(SUMPRODUCT(--("0"&amp;LEFT(TRIM(MID(SUBSTITUTE(SUBSTITUTE(SUBSTITUTE(SUBSTITUTE(SUBSTITUTE(LOWER(Registro!$E987),"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",LEN(Registro!$E987))),({1,2,3,4,5,6,7,8,9,10,11,12,13,14,15,16,17,18,19,20,21,22,23,24,25,26,27,28,29,30}-1)*LEN(Registro!$E987)+1,LEN(Registro!$E987))),FIND("x",TRIM(MID(SUBSTITUTE(SUBSTITUTE(SUBSTITUTE(SUBSTITUTE(SUBSTITUTE(LOWER(Registro!$E987),"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",LEN(Registro!$E987))),({1,2,3,4,5,6,7,8,9,10,11,12,13,14,15,16,17,18,19,20,21,22,23,24,25,26,27,28,29,30}-1)*LEN(Registro!$E987)+1,LEN(Registro!$E987)))&amp;"x")-1))),"Revisar formato")))</f>
        <v/>
      </c>
      <c r="E987" s="24" t="str">
        <f>IF(Registro!$E987="","",IF(ISERROR(FIND("x",LOWER(Registro!$E987))),"-",IFERROR(SUMPRODUCT(--("0"&amp;LEFT(TRIM(MID(SUBSTITUTE(SUBSTITUTE(SUBSTITUTE(SUBSTITUTE(SUBSTITUTE(LOWER(Registro!$E987),"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",LEN(Registro!$E987))),({1,2,3,4,5,6,7,8,9,10,11,12,13,14,15,16,17,18,19,20,21,22,23,24,25,26,27,28,29,30}-1)*LEN(Registro!$E987)+1,LEN(Registro!$E987))),FIND("x",TRIM(MID(SUBSTITUTE(SUBSTITUTE(SUBSTITUTE(SUBSTITUTE(SUBSTITUTE(LOWER(Registro!$E987),"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",LEN(Registro!$E987))),({1,2,3,4,5,6,7,8,9,10,11,12,13,14,15,16,17,18,19,20,21,22,23,24,25,26,27,28,29,30}-1)*LEN(Registro!$E987)+1,LEN(Registro!$E987)))&amp;"x")-1)),--("0"&amp;MID(TRIM(MID(SUBSTITUTE(SUBSTITUTE(SUBSTITUTE(SUBSTITUTE(SUBSTITUTE(LOWER(Registro!$E987),"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",LEN(Registro!$E987))),({1,2,3,4,5,6,7,8,9,10,11,12,13,14,15,16,17,18,19,20,21,22,23,24,25,26,27,28,29,30}-1)*LEN(Registro!$E987)+1,LEN(Registro!$E987))),FIND("x",TRIM(MID(SUBSTITUTE(SUBSTITUTE(SUBSTITUTE(SUBSTITUTE(SUBSTITUTE(LOWER(Registro!$E987),"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",LEN(Registro!$E987))),({1,2,3,4,5,6,7,8,9,10,11,12,13,14,15,16,17,18,19,20,21,22,23,24,25,26,27,28,29,30}-1)*LEN(Registro!$E987)+1,LEN(Registro!$E987)))&amp;"x")+1,20))),"Revisar formato")))</f>
        <v/>
      </c>
      <c r="F987" s="23" t="str">
        <f>IF(Registro!$F987="","",IF(ISERROR(FIND("x",LOWER(Registro!$F987))),"-",IFERROR(SUMPRODUCT(--("0"&amp;LEFT(TRIM(MID(SUBSTITUTE(SUBSTITUTE(SUBSTITUTE(SUBSTITUTE(SUBSTITUTE(LOWER(Registro!$F987)," ",""),CHAR(10),"|"),";","|"),"+","|"),"|",REPT(" ",LEN(Registro!$F987))),({1,2,3,4,5,6,7,8,9,10,11,12,13,14,15,16,17,18,19,20,21,22,23,24,25,26,27,28,29,30}-1)*LEN(Registro!$F987)+1,LEN(Registro!$F987))),FIND("x",TRIM(MID(SUBSTITUTE(SUBSTITUTE(SUBSTITUTE(SUBSTITUTE(SUBSTITUTE(LOWER(Registro!$F987)," ",""),CHAR(10),"|"),";","|"),"+","|"),"|",REPT(" ",LEN(Registro!$F987))),({1,2,3,4,5,6,7,8,9,10,11,12,13,14,15,16,17,18,19,20,21,22,23,24,25,26,27,28,29,30}-1)*LEN(Registro!$F987)+1,LEN(Registro!$F987)))&amp;"x")-1))),"Revisar formato")))</f>
        <v/>
      </c>
      <c r="G987" s="24" t="str">
        <f>IF(Registro!$F987="","",IF(ISERROR(FIND("x",LOWER(Registro!$F987))),N(Registro!$G987),IFERROR(SUMPRODUCT(--("0"&amp;LEFT(TRIM(MID(SUBSTITUTE(SUBSTITUTE(SUBSTITUTE(SUBSTITUTE(SUBSTITUTE(LOWER(Registro!$F987)," ",""),CHAR(10),"|"),";","|"),"+","|"),"|",REPT(" ",LEN(Registro!$F987))),({1,2,3,4,5,6,7,8,9,10,11,12,13,14,15,16,17,18,19,20,21,22,23,24,25,26,27,28,29,30}-1)*LEN(Registro!$F987)+1,LEN(Registro!$F987))),FIND("x",TRIM(MID(SUBSTITUTE(SUBSTITUTE(SUBSTITUTE(SUBSTITUTE(SUBSTITUTE(LOWER(Registro!$F987)," ",""),CHAR(10),"|"),";","|"),"+","|"),"|",REPT(" ",LEN(Registro!$F987))),({1,2,3,4,5,6,7,8,9,10,11,12,13,14,15,16,17,18,19,20,21,22,23,24,25,26,27,28,29,30}-1)*LEN(Registro!$F987)+1,LEN(Registro!$F987)))&amp;"x")-1)),--("0"&amp;MID(TRIM(MID(SUBSTITUTE(SUBSTITUTE(SUBSTITUTE(SUBSTITUTE(SUBSTITUTE(LOWER(Registro!$F987)," ",""),CHAR(10),"|"),";","|"),"+","|"),"|",REPT(" ",LEN(Registro!$F987))),({1,2,3,4,5,6,7,8,9,10,11,12,13,14,15,16,17,18,19,20,21,22,23,24,25,26,27,28,29,30}-1)*LEN(Registro!$F987)+1,LEN(Registro!$F987))),FIND("x",TRIM(MID(SUBSTITUTE(SUBSTITUTE(SUBSTITUTE(SUBSTITUTE(SUBSTITUTE(LOWER(Registro!$F987)," ",""),CHAR(10),"|"),";","|"),"+","|"),"|",REPT(" ",LEN(Registro!$F987))),({1,2,3,4,5,6,7,8,9,10,11,12,13,14,15,16,17,18,19,20,21,22,23,24,25,26,27,28,29,30}-1)*LEN(Registro!$F987)+1,LEN(Registro!$F987)))&amp;"x")+1,20))),"Revisar formato")))</f>
        <v/>
      </c>
      <c r="H987" s="21" t="str">
        <f>IF(AND(Registro!$E987="",Registro!$F987=""),"",IF(NOT(AND(ISNUMBER(G987),ISNUMBER(Registro!$G987))),"",IF(G987&lt;Registro!$G987,"FALTA BOLETOS",IF(G987=Registro!$G987,"CONFORME","DIFERENCIA"))))</f>
        <v/>
      </c>
      <c r="I987" s="24" t="str">
        <f>IF(Registro!$H987="","",IFERROR(SUMPRODUCT(--("0"&amp;TRIM(RIGHT(SUBSTITUTE(TRIM(MID(SUBSTITUTE(SUBSTITUTE(Registro!$H987,";",CHAR(10)),CHAR(10),REPT(" ",LEN(Registro!$H987))),({1,2,3,4,5,6,7,8,9,10,11,12,13,14,15,16,17,18,19,20,21,22,23,24,25,26,27,28,29,30}-1)*LEN(Registro!$H987)+1,LEN(Registro!$H987)))," ",REPT(" ",50)),50)))),"Revisar formato"))</f>
        <v/>
      </c>
      <c r="J987" s="24" t="str">
        <f>IF(Registro!$I987="","",IFERROR(SUMPRODUCT(--("0"&amp;TRIM(RIGHT(SUBSTITUTE(TRIM(MID(SUBSTITUTE(SUBSTITUTE(Registro!$I987,";",CHAR(10)),CHAR(10),REPT(" ",LEN(Registro!$I987))),({1,2,3,4,5,6,7,8,9,10,11,12,13,14,15,16,17,18,19,20,21,22,23,24,25,26,27,28,29,30}-1)*LEN(Registro!$I987)+1,LEN(Registro!$I987)))," ",REPT(" ",50)),50)))),"Revisar formato"))</f>
        <v/>
      </c>
      <c r="K987" s="24" t="str">
        <f>IF(AND(Registro!$G987="",Registro!$H987=""),"",IF(AND(ISTEXT(I987),I987&lt;&gt;""),"Revisar formato",N(Registro!$G987)-N(I987)))</f>
        <v/>
      </c>
      <c r="L987" s="24" t="str">
        <f t="shared" si="31"/>
        <v/>
      </c>
      <c r="M987" s="36" t="str">
        <f>IF(AND(A987=Consulta!$B$3,C987=Consulta!$H$3),B987*10000+ROW(),"")</f>
        <v/>
      </c>
    </row>
    <row r="988" spans="1:13" x14ac:dyDescent="0.25">
      <c r="A988" s="21" t="str">
        <f>IF(Registro!$A988="","",Registro!$A988)</f>
        <v/>
      </c>
      <c r="B988" s="20" t="str">
        <f>IF(Registro!$B988="","",Registro!$B988)</f>
        <v/>
      </c>
      <c r="C988" s="35" t="str">
        <f t="shared" si="30"/>
        <v/>
      </c>
      <c r="D988" s="23" t="str">
        <f>IF(Registro!$E988="","",IF(ISERROR(FIND("x",LOWER(Registro!$E988))),"-",IFERROR(SUMPRODUCT(--("0"&amp;LEFT(TRIM(MID(SUBSTITUTE(SUBSTITUTE(SUBSTITUTE(SUBSTITUTE(SUBSTITUTE(LOWER(Registro!$E988),"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",LEN(Registro!$E988))),({1,2,3,4,5,6,7,8,9,10,11,12,13,14,15,16,17,18,19,20,21,22,23,24,25,26,27,28,29,30}-1)*LEN(Registro!$E988)+1,LEN(Registro!$E988))),FIND("x",TRIM(MID(SUBSTITUTE(SUBSTITUTE(SUBSTITUTE(SUBSTITUTE(SUBSTITUTE(LOWER(Registro!$E988),"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",LEN(Registro!$E988))),({1,2,3,4,5,6,7,8,9,10,11,12,13,14,15,16,17,18,19,20,21,22,23,24,25,26,27,28,29,30}-1)*LEN(Registro!$E988)+1,LEN(Registro!$E988)))&amp;"x")-1))),"Revisar formato")))</f>
        <v/>
      </c>
      <c r="E988" s="24" t="str">
        <f>IF(Registro!$E988="","",IF(ISERROR(FIND("x",LOWER(Registro!$E988))),"-",IFERROR(SUMPRODUCT(--("0"&amp;LEFT(TRIM(MID(SUBSTITUTE(SUBSTITUTE(SUBSTITUTE(SUBSTITUTE(SUBSTITUTE(LOWER(Registro!$E988),"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",LEN(Registro!$E988))),({1,2,3,4,5,6,7,8,9,10,11,12,13,14,15,16,17,18,19,20,21,22,23,24,25,26,27,28,29,30}-1)*LEN(Registro!$E988)+1,LEN(Registro!$E988))),FIND("x",TRIM(MID(SUBSTITUTE(SUBSTITUTE(SUBSTITUTE(SUBSTITUTE(SUBSTITUTE(LOWER(Registro!$E988),"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",LEN(Registro!$E988))),({1,2,3,4,5,6,7,8,9,10,11,12,13,14,15,16,17,18,19,20,21,22,23,24,25,26,27,28,29,30}-1)*LEN(Registro!$E988)+1,LEN(Registro!$E988)))&amp;"x")-1)),--("0"&amp;MID(TRIM(MID(SUBSTITUTE(SUBSTITUTE(SUBSTITUTE(SUBSTITUTE(SUBSTITUTE(LOWER(Registro!$E988),"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",LEN(Registro!$E988))),({1,2,3,4,5,6,7,8,9,10,11,12,13,14,15,16,17,18,19,20,21,22,23,24,25,26,27,28,29,30}-1)*LEN(Registro!$E988)+1,LEN(Registro!$E988))),FIND("x",TRIM(MID(SUBSTITUTE(SUBSTITUTE(SUBSTITUTE(SUBSTITUTE(SUBSTITUTE(LOWER(Registro!$E988),"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",LEN(Registro!$E988))),({1,2,3,4,5,6,7,8,9,10,11,12,13,14,15,16,17,18,19,20,21,22,23,24,25,26,27,28,29,30}-1)*LEN(Registro!$E988)+1,LEN(Registro!$E988)))&amp;"x")+1,20))),"Revisar formato")))</f>
        <v/>
      </c>
      <c r="F988" s="23" t="str">
        <f>IF(Registro!$F988="","",IF(ISERROR(FIND("x",LOWER(Registro!$F988))),"-",IFERROR(SUMPRODUCT(--("0"&amp;LEFT(TRIM(MID(SUBSTITUTE(SUBSTITUTE(SUBSTITUTE(SUBSTITUTE(SUBSTITUTE(LOWER(Registro!$F988)," ",""),CHAR(10),"|"),";","|"),"+","|"),"|",REPT(" ",LEN(Registro!$F988))),({1,2,3,4,5,6,7,8,9,10,11,12,13,14,15,16,17,18,19,20,21,22,23,24,25,26,27,28,29,30}-1)*LEN(Registro!$F988)+1,LEN(Registro!$F988))),FIND("x",TRIM(MID(SUBSTITUTE(SUBSTITUTE(SUBSTITUTE(SUBSTITUTE(SUBSTITUTE(LOWER(Registro!$F988)," ",""),CHAR(10),"|"),";","|"),"+","|"),"|",REPT(" ",LEN(Registro!$F988))),({1,2,3,4,5,6,7,8,9,10,11,12,13,14,15,16,17,18,19,20,21,22,23,24,25,26,27,28,29,30}-1)*LEN(Registro!$F988)+1,LEN(Registro!$F988)))&amp;"x")-1))),"Revisar formato")))</f>
        <v/>
      </c>
      <c r="G988" s="24" t="str">
        <f>IF(Registro!$F988="","",IF(ISERROR(FIND("x",LOWER(Registro!$F988))),N(Registro!$G988),IFERROR(SUMPRODUCT(--("0"&amp;LEFT(TRIM(MID(SUBSTITUTE(SUBSTITUTE(SUBSTITUTE(SUBSTITUTE(SUBSTITUTE(LOWER(Registro!$F988)," ",""),CHAR(10),"|"),";","|"),"+","|"),"|",REPT(" ",LEN(Registro!$F988))),({1,2,3,4,5,6,7,8,9,10,11,12,13,14,15,16,17,18,19,20,21,22,23,24,25,26,27,28,29,30}-1)*LEN(Registro!$F988)+1,LEN(Registro!$F988))),FIND("x",TRIM(MID(SUBSTITUTE(SUBSTITUTE(SUBSTITUTE(SUBSTITUTE(SUBSTITUTE(LOWER(Registro!$F988)," ",""),CHAR(10),"|"),";","|"),"+","|"),"|",REPT(" ",LEN(Registro!$F988))),({1,2,3,4,5,6,7,8,9,10,11,12,13,14,15,16,17,18,19,20,21,22,23,24,25,26,27,28,29,30}-1)*LEN(Registro!$F988)+1,LEN(Registro!$F988)))&amp;"x")-1)),--("0"&amp;MID(TRIM(MID(SUBSTITUTE(SUBSTITUTE(SUBSTITUTE(SUBSTITUTE(SUBSTITUTE(LOWER(Registro!$F988)," ",""),CHAR(10),"|"),";","|"),"+","|"),"|",REPT(" ",LEN(Registro!$F988))),({1,2,3,4,5,6,7,8,9,10,11,12,13,14,15,16,17,18,19,20,21,22,23,24,25,26,27,28,29,30}-1)*LEN(Registro!$F988)+1,LEN(Registro!$F988))),FIND("x",TRIM(MID(SUBSTITUTE(SUBSTITUTE(SUBSTITUTE(SUBSTITUTE(SUBSTITUTE(LOWER(Registro!$F988)," ",""),CHAR(10),"|"),";","|"),"+","|"),"|",REPT(" ",LEN(Registro!$F988))),({1,2,3,4,5,6,7,8,9,10,11,12,13,14,15,16,17,18,19,20,21,22,23,24,25,26,27,28,29,30}-1)*LEN(Registro!$F988)+1,LEN(Registro!$F988)))&amp;"x")+1,20))),"Revisar formato")))</f>
        <v/>
      </c>
      <c r="H988" s="21" t="str">
        <f>IF(AND(Registro!$E988="",Registro!$F988=""),"",IF(NOT(AND(ISNUMBER(G988),ISNUMBER(Registro!$G988))),"",IF(G988&lt;Registro!$G988,"FALTA BOLETOS",IF(G988=Registro!$G988,"CONFORME","DIFERENCIA"))))</f>
        <v/>
      </c>
      <c r="I988" s="24" t="str">
        <f>IF(Registro!$H988="","",IFERROR(SUMPRODUCT(--("0"&amp;TRIM(RIGHT(SUBSTITUTE(TRIM(MID(SUBSTITUTE(SUBSTITUTE(Registro!$H988,";",CHAR(10)),CHAR(10),REPT(" ",LEN(Registro!$H988))),({1,2,3,4,5,6,7,8,9,10,11,12,13,14,15,16,17,18,19,20,21,22,23,24,25,26,27,28,29,30}-1)*LEN(Registro!$H988)+1,LEN(Registro!$H988)))," ",REPT(" ",50)),50)))),"Revisar formato"))</f>
        <v/>
      </c>
      <c r="J988" s="24" t="str">
        <f>IF(Registro!$I988="","",IFERROR(SUMPRODUCT(--("0"&amp;TRIM(RIGHT(SUBSTITUTE(TRIM(MID(SUBSTITUTE(SUBSTITUTE(Registro!$I988,";",CHAR(10)),CHAR(10),REPT(" ",LEN(Registro!$I988))),({1,2,3,4,5,6,7,8,9,10,11,12,13,14,15,16,17,18,19,20,21,22,23,24,25,26,27,28,29,30}-1)*LEN(Registro!$I988)+1,LEN(Registro!$I988)))," ",REPT(" ",50)),50)))),"Revisar formato"))</f>
        <v/>
      </c>
      <c r="K988" s="24" t="str">
        <f>IF(AND(Registro!$G988="",Registro!$H988=""),"",IF(AND(ISTEXT(I988),I988&lt;&gt;""),"Revisar formato",N(Registro!$G988)-N(I988)))</f>
        <v/>
      </c>
      <c r="L988" s="24" t="str">
        <f t="shared" si="31"/>
        <v/>
      </c>
      <c r="M988" s="36" t="str">
        <f>IF(AND(A988=Consulta!$B$3,C988=Consulta!$H$3),B988*10000+ROW(),"")</f>
        <v/>
      </c>
    </row>
    <row r="989" spans="1:13" x14ac:dyDescent="0.25">
      <c r="A989" s="21" t="str">
        <f>IF(Registro!$A989="","",Registro!$A989)</f>
        <v/>
      </c>
      <c r="B989" s="20" t="str">
        <f>IF(Registro!$B989="","",Registro!$B989)</f>
        <v/>
      </c>
      <c r="C989" s="35" t="str">
        <f t="shared" si="30"/>
        <v/>
      </c>
      <c r="D989" s="23" t="str">
        <f>IF(Registro!$E989="","",IF(ISERROR(FIND("x",LOWER(Registro!$E989))),"-",IFERROR(SUMPRODUCT(--("0"&amp;LEFT(TRIM(MID(SUBSTITUTE(SUBSTITUTE(SUBSTITUTE(SUBSTITUTE(SUBSTITUTE(LOWER(Registro!$E989),"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",LEN(Registro!$E989))),({1,2,3,4,5,6,7,8,9,10,11,12,13,14,15,16,17,18,19,20,21,22,23,24,25,26,27,28,29,30}-1)*LEN(Registro!$E989)+1,LEN(Registro!$E989))),FIND("x",TRIM(MID(SUBSTITUTE(SUBSTITUTE(SUBSTITUTE(SUBSTITUTE(SUBSTITUTE(LOWER(Registro!$E989),"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",LEN(Registro!$E989))),({1,2,3,4,5,6,7,8,9,10,11,12,13,14,15,16,17,18,19,20,21,22,23,24,25,26,27,28,29,30}-1)*LEN(Registro!$E989)+1,LEN(Registro!$E989)))&amp;"x")-1))),"Revisar formato")))</f>
        <v/>
      </c>
      <c r="E989" s="24" t="str">
        <f>IF(Registro!$E989="","",IF(ISERROR(FIND("x",LOWER(Registro!$E989))),"-",IFERROR(SUMPRODUCT(--("0"&amp;LEFT(TRIM(MID(SUBSTITUTE(SUBSTITUTE(SUBSTITUTE(SUBSTITUTE(SUBSTITUTE(LOWER(Registro!$E989),"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",LEN(Registro!$E989))),({1,2,3,4,5,6,7,8,9,10,11,12,13,14,15,16,17,18,19,20,21,22,23,24,25,26,27,28,29,30}-1)*LEN(Registro!$E989)+1,LEN(Registro!$E989))),FIND("x",TRIM(MID(SUBSTITUTE(SUBSTITUTE(SUBSTITUTE(SUBSTITUTE(SUBSTITUTE(LOWER(Registro!$E989),"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",LEN(Registro!$E989))),({1,2,3,4,5,6,7,8,9,10,11,12,13,14,15,16,17,18,19,20,21,22,23,24,25,26,27,28,29,30}-1)*LEN(Registro!$E989)+1,LEN(Registro!$E989)))&amp;"x")-1)),--("0"&amp;MID(TRIM(MID(SUBSTITUTE(SUBSTITUTE(SUBSTITUTE(SUBSTITUTE(SUBSTITUTE(LOWER(Registro!$E989),"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",LEN(Registro!$E989))),({1,2,3,4,5,6,7,8,9,10,11,12,13,14,15,16,17,18,19,20,21,22,23,24,25,26,27,28,29,30}-1)*LEN(Registro!$E989)+1,LEN(Registro!$E989))),FIND("x",TRIM(MID(SUBSTITUTE(SUBSTITUTE(SUBSTITUTE(SUBSTITUTE(SUBSTITUTE(LOWER(Registro!$E989),"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",LEN(Registro!$E989))),({1,2,3,4,5,6,7,8,9,10,11,12,13,14,15,16,17,18,19,20,21,22,23,24,25,26,27,28,29,30}-1)*LEN(Registro!$E989)+1,LEN(Registro!$E989)))&amp;"x")+1,20))),"Revisar formato")))</f>
        <v/>
      </c>
      <c r="F989" s="23" t="str">
        <f>IF(Registro!$F989="","",IF(ISERROR(FIND("x",LOWER(Registro!$F989))),"-",IFERROR(SUMPRODUCT(--("0"&amp;LEFT(TRIM(MID(SUBSTITUTE(SUBSTITUTE(SUBSTITUTE(SUBSTITUTE(SUBSTITUTE(LOWER(Registro!$F989)," ",""),CHAR(10),"|"),";","|"),"+","|"),"|",REPT(" ",LEN(Registro!$F989))),({1,2,3,4,5,6,7,8,9,10,11,12,13,14,15,16,17,18,19,20,21,22,23,24,25,26,27,28,29,30}-1)*LEN(Registro!$F989)+1,LEN(Registro!$F989))),FIND("x",TRIM(MID(SUBSTITUTE(SUBSTITUTE(SUBSTITUTE(SUBSTITUTE(SUBSTITUTE(LOWER(Registro!$F989)," ",""),CHAR(10),"|"),";","|"),"+","|"),"|",REPT(" ",LEN(Registro!$F989))),({1,2,3,4,5,6,7,8,9,10,11,12,13,14,15,16,17,18,19,20,21,22,23,24,25,26,27,28,29,30}-1)*LEN(Registro!$F989)+1,LEN(Registro!$F989)))&amp;"x")-1))),"Revisar formato")))</f>
        <v/>
      </c>
      <c r="G989" s="24" t="str">
        <f>IF(Registro!$F989="","",IF(ISERROR(FIND("x",LOWER(Registro!$F989))),N(Registro!$G989),IFERROR(SUMPRODUCT(--("0"&amp;LEFT(TRIM(MID(SUBSTITUTE(SUBSTITUTE(SUBSTITUTE(SUBSTITUTE(SUBSTITUTE(LOWER(Registro!$F989)," ",""),CHAR(10),"|"),";","|"),"+","|"),"|",REPT(" ",LEN(Registro!$F989))),({1,2,3,4,5,6,7,8,9,10,11,12,13,14,15,16,17,18,19,20,21,22,23,24,25,26,27,28,29,30}-1)*LEN(Registro!$F989)+1,LEN(Registro!$F989))),FIND("x",TRIM(MID(SUBSTITUTE(SUBSTITUTE(SUBSTITUTE(SUBSTITUTE(SUBSTITUTE(LOWER(Registro!$F989)," ",""),CHAR(10),"|"),";","|"),"+","|"),"|",REPT(" ",LEN(Registro!$F989))),({1,2,3,4,5,6,7,8,9,10,11,12,13,14,15,16,17,18,19,20,21,22,23,24,25,26,27,28,29,30}-1)*LEN(Registro!$F989)+1,LEN(Registro!$F989)))&amp;"x")-1)),--("0"&amp;MID(TRIM(MID(SUBSTITUTE(SUBSTITUTE(SUBSTITUTE(SUBSTITUTE(SUBSTITUTE(LOWER(Registro!$F989)," ",""),CHAR(10),"|"),";","|"),"+","|"),"|",REPT(" ",LEN(Registro!$F989))),({1,2,3,4,5,6,7,8,9,10,11,12,13,14,15,16,17,18,19,20,21,22,23,24,25,26,27,28,29,30}-1)*LEN(Registro!$F989)+1,LEN(Registro!$F989))),FIND("x",TRIM(MID(SUBSTITUTE(SUBSTITUTE(SUBSTITUTE(SUBSTITUTE(SUBSTITUTE(LOWER(Registro!$F989)," ",""),CHAR(10),"|"),";","|"),"+","|"),"|",REPT(" ",LEN(Registro!$F989))),({1,2,3,4,5,6,7,8,9,10,11,12,13,14,15,16,17,18,19,20,21,22,23,24,25,26,27,28,29,30}-1)*LEN(Registro!$F989)+1,LEN(Registro!$F989)))&amp;"x")+1,20))),"Revisar formato")))</f>
        <v/>
      </c>
      <c r="H989" s="21" t="str">
        <f>IF(AND(Registro!$E989="",Registro!$F989=""),"",IF(NOT(AND(ISNUMBER(G989),ISNUMBER(Registro!$G989))),"",IF(G989&lt;Registro!$G989,"FALTA BOLETOS",IF(G989=Registro!$G989,"CONFORME","DIFERENCIA"))))</f>
        <v/>
      </c>
      <c r="I989" s="24" t="str">
        <f>IF(Registro!$H989="","",IFERROR(SUMPRODUCT(--("0"&amp;TRIM(RIGHT(SUBSTITUTE(TRIM(MID(SUBSTITUTE(SUBSTITUTE(Registro!$H989,";",CHAR(10)),CHAR(10),REPT(" ",LEN(Registro!$H989))),({1,2,3,4,5,6,7,8,9,10,11,12,13,14,15,16,17,18,19,20,21,22,23,24,25,26,27,28,29,30}-1)*LEN(Registro!$H989)+1,LEN(Registro!$H989)))," ",REPT(" ",50)),50)))),"Revisar formato"))</f>
        <v/>
      </c>
      <c r="J989" s="24" t="str">
        <f>IF(Registro!$I989="","",IFERROR(SUMPRODUCT(--("0"&amp;TRIM(RIGHT(SUBSTITUTE(TRIM(MID(SUBSTITUTE(SUBSTITUTE(Registro!$I989,";",CHAR(10)),CHAR(10),REPT(" ",LEN(Registro!$I989))),({1,2,3,4,5,6,7,8,9,10,11,12,13,14,15,16,17,18,19,20,21,22,23,24,25,26,27,28,29,30}-1)*LEN(Registro!$I989)+1,LEN(Registro!$I989)))," ",REPT(" ",50)),50)))),"Revisar formato"))</f>
        <v/>
      </c>
      <c r="K989" s="24" t="str">
        <f>IF(AND(Registro!$G989="",Registro!$H989=""),"",IF(AND(ISTEXT(I989),I989&lt;&gt;""),"Revisar formato",N(Registro!$G989)-N(I989)))</f>
        <v/>
      </c>
      <c r="L989" s="24" t="str">
        <f t="shared" si="31"/>
        <v/>
      </c>
      <c r="M989" s="36" t="str">
        <f>IF(AND(A989=Consulta!$B$3,C989=Consulta!$H$3),B989*10000+ROW(),"")</f>
        <v/>
      </c>
    </row>
    <row r="990" spans="1:13" x14ac:dyDescent="0.25">
      <c r="A990" s="21" t="str">
        <f>IF(Registro!$A990="","",Registro!$A990)</f>
        <v/>
      </c>
      <c r="B990" s="20" t="str">
        <f>IF(Registro!$B990="","",Registro!$B990)</f>
        <v/>
      </c>
      <c r="C990" s="35" t="str">
        <f t="shared" si="30"/>
        <v/>
      </c>
      <c r="D990" s="23" t="str">
        <f>IF(Registro!$E990="","",IF(ISERROR(FIND("x",LOWER(Registro!$E990))),"-",IFERROR(SUMPRODUCT(--("0"&amp;LEFT(TRIM(MID(SUBSTITUTE(SUBSTITUTE(SUBSTITUTE(SUBSTITUTE(SUBSTITUTE(LOWER(Registro!$E990),"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",LEN(Registro!$E990))),({1,2,3,4,5,6,7,8,9,10,11,12,13,14,15,16,17,18,19,20,21,22,23,24,25,26,27,28,29,30}-1)*LEN(Registro!$E990)+1,LEN(Registro!$E990))),FIND("x",TRIM(MID(SUBSTITUTE(SUBSTITUTE(SUBSTITUTE(SUBSTITUTE(SUBSTITUTE(LOWER(Registro!$E990),"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",LEN(Registro!$E990))),({1,2,3,4,5,6,7,8,9,10,11,12,13,14,15,16,17,18,19,20,21,22,23,24,25,26,27,28,29,30}-1)*LEN(Registro!$E990)+1,LEN(Registro!$E990)))&amp;"x")-1))),"Revisar formato")))</f>
        <v/>
      </c>
      <c r="E990" s="24" t="str">
        <f>IF(Registro!$E990="","",IF(ISERROR(FIND("x",LOWER(Registro!$E990))),"-",IFERROR(SUMPRODUCT(--("0"&amp;LEFT(TRIM(MID(SUBSTITUTE(SUBSTITUTE(SUBSTITUTE(SUBSTITUTE(SUBSTITUTE(LOWER(Registro!$E990),"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",LEN(Registro!$E990))),({1,2,3,4,5,6,7,8,9,10,11,12,13,14,15,16,17,18,19,20,21,22,23,24,25,26,27,28,29,30}-1)*LEN(Registro!$E990)+1,LEN(Registro!$E990))),FIND("x",TRIM(MID(SUBSTITUTE(SUBSTITUTE(SUBSTITUTE(SUBSTITUTE(SUBSTITUTE(LOWER(Registro!$E990),"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",LEN(Registro!$E990))),({1,2,3,4,5,6,7,8,9,10,11,12,13,14,15,16,17,18,19,20,21,22,23,24,25,26,27,28,29,30}-1)*LEN(Registro!$E990)+1,LEN(Registro!$E990)))&amp;"x")-1)),--("0"&amp;MID(TRIM(MID(SUBSTITUTE(SUBSTITUTE(SUBSTITUTE(SUBSTITUTE(SUBSTITUTE(LOWER(Registro!$E990),"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",LEN(Registro!$E990))),({1,2,3,4,5,6,7,8,9,10,11,12,13,14,15,16,17,18,19,20,21,22,23,24,25,26,27,28,29,30}-1)*LEN(Registro!$E990)+1,LEN(Registro!$E990))),FIND("x",TRIM(MID(SUBSTITUTE(SUBSTITUTE(SUBSTITUTE(SUBSTITUTE(SUBSTITUTE(LOWER(Registro!$E990),"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",LEN(Registro!$E990))),({1,2,3,4,5,6,7,8,9,10,11,12,13,14,15,16,17,18,19,20,21,22,23,24,25,26,27,28,29,30}-1)*LEN(Registro!$E990)+1,LEN(Registro!$E990)))&amp;"x")+1,20))),"Revisar formato")))</f>
        <v/>
      </c>
      <c r="F990" s="23" t="str">
        <f>IF(Registro!$F990="","",IF(ISERROR(FIND("x",LOWER(Registro!$F990))),"-",IFERROR(SUMPRODUCT(--("0"&amp;LEFT(TRIM(MID(SUBSTITUTE(SUBSTITUTE(SUBSTITUTE(SUBSTITUTE(SUBSTITUTE(LOWER(Registro!$F990)," ",""),CHAR(10),"|"),";","|"),"+","|"),"|",REPT(" ",LEN(Registro!$F990))),({1,2,3,4,5,6,7,8,9,10,11,12,13,14,15,16,17,18,19,20,21,22,23,24,25,26,27,28,29,30}-1)*LEN(Registro!$F990)+1,LEN(Registro!$F990))),FIND("x",TRIM(MID(SUBSTITUTE(SUBSTITUTE(SUBSTITUTE(SUBSTITUTE(SUBSTITUTE(LOWER(Registro!$F990)," ",""),CHAR(10),"|"),";","|"),"+","|"),"|",REPT(" ",LEN(Registro!$F990))),({1,2,3,4,5,6,7,8,9,10,11,12,13,14,15,16,17,18,19,20,21,22,23,24,25,26,27,28,29,30}-1)*LEN(Registro!$F990)+1,LEN(Registro!$F990)))&amp;"x")-1))),"Revisar formato")))</f>
        <v/>
      </c>
      <c r="G990" s="24" t="str">
        <f>IF(Registro!$F990="","",IF(ISERROR(FIND("x",LOWER(Registro!$F990))),N(Registro!$G990),IFERROR(SUMPRODUCT(--("0"&amp;LEFT(TRIM(MID(SUBSTITUTE(SUBSTITUTE(SUBSTITUTE(SUBSTITUTE(SUBSTITUTE(LOWER(Registro!$F990)," ",""),CHAR(10),"|"),";","|"),"+","|"),"|",REPT(" ",LEN(Registro!$F990))),({1,2,3,4,5,6,7,8,9,10,11,12,13,14,15,16,17,18,19,20,21,22,23,24,25,26,27,28,29,30}-1)*LEN(Registro!$F990)+1,LEN(Registro!$F990))),FIND("x",TRIM(MID(SUBSTITUTE(SUBSTITUTE(SUBSTITUTE(SUBSTITUTE(SUBSTITUTE(LOWER(Registro!$F990)," ",""),CHAR(10),"|"),";","|"),"+","|"),"|",REPT(" ",LEN(Registro!$F990))),({1,2,3,4,5,6,7,8,9,10,11,12,13,14,15,16,17,18,19,20,21,22,23,24,25,26,27,28,29,30}-1)*LEN(Registro!$F990)+1,LEN(Registro!$F990)))&amp;"x")-1)),--("0"&amp;MID(TRIM(MID(SUBSTITUTE(SUBSTITUTE(SUBSTITUTE(SUBSTITUTE(SUBSTITUTE(LOWER(Registro!$F990)," ",""),CHAR(10),"|"),";","|"),"+","|"),"|",REPT(" ",LEN(Registro!$F990))),({1,2,3,4,5,6,7,8,9,10,11,12,13,14,15,16,17,18,19,20,21,22,23,24,25,26,27,28,29,30}-1)*LEN(Registro!$F990)+1,LEN(Registro!$F990))),FIND("x",TRIM(MID(SUBSTITUTE(SUBSTITUTE(SUBSTITUTE(SUBSTITUTE(SUBSTITUTE(LOWER(Registro!$F990)," ",""),CHAR(10),"|"),";","|"),"+","|"),"|",REPT(" ",LEN(Registro!$F990))),({1,2,3,4,5,6,7,8,9,10,11,12,13,14,15,16,17,18,19,20,21,22,23,24,25,26,27,28,29,30}-1)*LEN(Registro!$F990)+1,LEN(Registro!$F990)))&amp;"x")+1,20))),"Revisar formato")))</f>
        <v/>
      </c>
      <c r="H990" s="21" t="str">
        <f>IF(AND(Registro!$E990="",Registro!$F990=""),"",IF(NOT(AND(ISNUMBER(G990),ISNUMBER(Registro!$G990))),"",IF(G990&lt;Registro!$G990,"FALTA BOLETOS",IF(G990=Registro!$G990,"CONFORME","DIFERENCIA"))))</f>
        <v/>
      </c>
      <c r="I990" s="24" t="str">
        <f>IF(Registro!$H990="","",IFERROR(SUMPRODUCT(--("0"&amp;TRIM(RIGHT(SUBSTITUTE(TRIM(MID(SUBSTITUTE(SUBSTITUTE(Registro!$H990,";",CHAR(10)),CHAR(10),REPT(" ",LEN(Registro!$H990))),({1,2,3,4,5,6,7,8,9,10,11,12,13,14,15,16,17,18,19,20,21,22,23,24,25,26,27,28,29,30}-1)*LEN(Registro!$H990)+1,LEN(Registro!$H990)))," ",REPT(" ",50)),50)))),"Revisar formato"))</f>
        <v/>
      </c>
      <c r="J990" s="24" t="str">
        <f>IF(Registro!$I990="","",IFERROR(SUMPRODUCT(--("0"&amp;TRIM(RIGHT(SUBSTITUTE(TRIM(MID(SUBSTITUTE(SUBSTITUTE(Registro!$I990,";",CHAR(10)),CHAR(10),REPT(" ",LEN(Registro!$I990))),({1,2,3,4,5,6,7,8,9,10,11,12,13,14,15,16,17,18,19,20,21,22,23,24,25,26,27,28,29,30}-1)*LEN(Registro!$I990)+1,LEN(Registro!$I990)))," ",REPT(" ",50)),50)))),"Revisar formato"))</f>
        <v/>
      </c>
      <c r="K990" s="24" t="str">
        <f>IF(AND(Registro!$G990="",Registro!$H990=""),"",IF(AND(ISTEXT(I990),I990&lt;&gt;""),"Revisar formato",N(Registro!$G990)-N(I990)))</f>
        <v/>
      </c>
      <c r="L990" s="24" t="str">
        <f t="shared" si="31"/>
        <v/>
      </c>
      <c r="M990" s="36" t="str">
        <f>IF(AND(A990=Consulta!$B$3,C990=Consulta!$H$3),B990*10000+ROW(),"")</f>
        <v/>
      </c>
    </row>
    <row r="991" spans="1:13" x14ac:dyDescent="0.25">
      <c r="A991" s="21" t="str">
        <f>IF(Registro!$A991="","",Registro!$A991)</f>
        <v/>
      </c>
      <c r="B991" s="20" t="str">
        <f>IF(Registro!$B991="","",Registro!$B991)</f>
        <v/>
      </c>
      <c r="C991" s="35" t="str">
        <f t="shared" si="30"/>
        <v/>
      </c>
      <c r="D991" s="23" t="str">
        <f>IF(Registro!$E991="","",IF(ISERROR(FIND("x",LOWER(Registro!$E991))),"-",IFERROR(SUMPRODUCT(--("0"&amp;LEFT(TRIM(MID(SUBSTITUTE(SUBSTITUTE(SUBSTITUTE(SUBSTITUTE(SUBSTITUTE(LOWER(Registro!$E991),"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",LEN(Registro!$E991))),({1,2,3,4,5,6,7,8,9,10,11,12,13,14,15,16,17,18,19,20,21,22,23,24,25,26,27,28,29,30}-1)*LEN(Registro!$E991)+1,LEN(Registro!$E991))),FIND("x",TRIM(MID(SUBSTITUTE(SUBSTITUTE(SUBSTITUTE(SUBSTITUTE(SUBSTITUTE(LOWER(Registro!$E991),"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",LEN(Registro!$E991))),({1,2,3,4,5,6,7,8,9,10,11,12,13,14,15,16,17,18,19,20,21,22,23,24,25,26,27,28,29,30}-1)*LEN(Registro!$E991)+1,LEN(Registro!$E991)))&amp;"x")-1))),"Revisar formato")))</f>
        <v/>
      </c>
      <c r="E991" s="24" t="str">
        <f>IF(Registro!$E991="","",IF(ISERROR(FIND("x",LOWER(Registro!$E991))),"-",IFERROR(SUMPRODUCT(--("0"&amp;LEFT(TRIM(MID(SUBSTITUTE(SUBSTITUTE(SUBSTITUTE(SUBSTITUTE(SUBSTITUTE(LOWER(Registro!$E991),"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",LEN(Registro!$E991))),({1,2,3,4,5,6,7,8,9,10,11,12,13,14,15,16,17,18,19,20,21,22,23,24,25,26,27,28,29,30}-1)*LEN(Registro!$E991)+1,LEN(Registro!$E991))),FIND("x",TRIM(MID(SUBSTITUTE(SUBSTITUTE(SUBSTITUTE(SUBSTITUTE(SUBSTITUTE(LOWER(Registro!$E991),"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",LEN(Registro!$E991))),({1,2,3,4,5,6,7,8,9,10,11,12,13,14,15,16,17,18,19,20,21,22,23,24,25,26,27,28,29,30}-1)*LEN(Registro!$E991)+1,LEN(Registro!$E991)))&amp;"x")-1)),--("0"&amp;MID(TRIM(MID(SUBSTITUTE(SUBSTITUTE(SUBSTITUTE(SUBSTITUTE(SUBSTITUTE(LOWER(Registro!$E991),"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",LEN(Registro!$E991))),({1,2,3,4,5,6,7,8,9,10,11,12,13,14,15,16,17,18,19,20,21,22,23,24,25,26,27,28,29,30}-1)*LEN(Registro!$E991)+1,LEN(Registro!$E991))),FIND("x",TRIM(MID(SUBSTITUTE(SUBSTITUTE(SUBSTITUTE(SUBSTITUTE(SUBSTITUTE(LOWER(Registro!$E991),"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",LEN(Registro!$E991))),({1,2,3,4,5,6,7,8,9,10,11,12,13,14,15,16,17,18,19,20,21,22,23,24,25,26,27,28,29,30}-1)*LEN(Registro!$E991)+1,LEN(Registro!$E991)))&amp;"x")+1,20))),"Revisar formato")))</f>
        <v/>
      </c>
      <c r="F991" s="23" t="str">
        <f>IF(Registro!$F991="","",IF(ISERROR(FIND("x",LOWER(Registro!$F991))),"-",IFERROR(SUMPRODUCT(--("0"&amp;LEFT(TRIM(MID(SUBSTITUTE(SUBSTITUTE(SUBSTITUTE(SUBSTITUTE(SUBSTITUTE(LOWER(Registro!$F991)," ",""),CHAR(10),"|"),";","|"),"+","|"),"|",REPT(" ",LEN(Registro!$F991))),({1,2,3,4,5,6,7,8,9,10,11,12,13,14,15,16,17,18,19,20,21,22,23,24,25,26,27,28,29,30}-1)*LEN(Registro!$F991)+1,LEN(Registro!$F991))),FIND("x",TRIM(MID(SUBSTITUTE(SUBSTITUTE(SUBSTITUTE(SUBSTITUTE(SUBSTITUTE(LOWER(Registro!$F991)," ",""),CHAR(10),"|"),";","|"),"+","|"),"|",REPT(" ",LEN(Registro!$F991))),({1,2,3,4,5,6,7,8,9,10,11,12,13,14,15,16,17,18,19,20,21,22,23,24,25,26,27,28,29,30}-1)*LEN(Registro!$F991)+1,LEN(Registro!$F991)))&amp;"x")-1))),"Revisar formato")))</f>
        <v/>
      </c>
      <c r="G991" s="24" t="str">
        <f>IF(Registro!$F991="","",IF(ISERROR(FIND("x",LOWER(Registro!$F991))),N(Registro!$G991),IFERROR(SUMPRODUCT(--("0"&amp;LEFT(TRIM(MID(SUBSTITUTE(SUBSTITUTE(SUBSTITUTE(SUBSTITUTE(SUBSTITUTE(LOWER(Registro!$F991)," ",""),CHAR(10),"|"),";","|"),"+","|"),"|",REPT(" ",LEN(Registro!$F991))),({1,2,3,4,5,6,7,8,9,10,11,12,13,14,15,16,17,18,19,20,21,22,23,24,25,26,27,28,29,30}-1)*LEN(Registro!$F991)+1,LEN(Registro!$F991))),FIND("x",TRIM(MID(SUBSTITUTE(SUBSTITUTE(SUBSTITUTE(SUBSTITUTE(SUBSTITUTE(LOWER(Registro!$F991)," ",""),CHAR(10),"|"),";","|"),"+","|"),"|",REPT(" ",LEN(Registro!$F991))),({1,2,3,4,5,6,7,8,9,10,11,12,13,14,15,16,17,18,19,20,21,22,23,24,25,26,27,28,29,30}-1)*LEN(Registro!$F991)+1,LEN(Registro!$F991)))&amp;"x")-1)),--("0"&amp;MID(TRIM(MID(SUBSTITUTE(SUBSTITUTE(SUBSTITUTE(SUBSTITUTE(SUBSTITUTE(LOWER(Registro!$F991)," ",""),CHAR(10),"|"),";","|"),"+","|"),"|",REPT(" ",LEN(Registro!$F991))),({1,2,3,4,5,6,7,8,9,10,11,12,13,14,15,16,17,18,19,20,21,22,23,24,25,26,27,28,29,30}-1)*LEN(Registro!$F991)+1,LEN(Registro!$F991))),FIND("x",TRIM(MID(SUBSTITUTE(SUBSTITUTE(SUBSTITUTE(SUBSTITUTE(SUBSTITUTE(LOWER(Registro!$F991)," ",""),CHAR(10),"|"),";","|"),"+","|"),"|",REPT(" ",LEN(Registro!$F991))),({1,2,3,4,5,6,7,8,9,10,11,12,13,14,15,16,17,18,19,20,21,22,23,24,25,26,27,28,29,30}-1)*LEN(Registro!$F991)+1,LEN(Registro!$F991)))&amp;"x")+1,20))),"Revisar formato")))</f>
        <v/>
      </c>
      <c r="H991" s="21" t="str">
        <f>IF(AND(Registro!$E991="",Registro!$F991=""),"",IF(NOT(AND(ISNUMBER(G991),ISNUMBER(Registro!$G991))),"",IF(G991&lt;Registro!$G991,"FALTA BOLETOS",IF(G991=Registro!$G991,"CONFORME","DIFERENCIA"))))</f>
        <v/>
      </c>
      <c r="I991" s="24" t="str">
        <f>IF(Registro!$H991="","",IFERROR(SUMPRODUCT(--("0"&amp;TRIM(RIGHT(SUBSTITUTE(TRIM(MID(SUBSTITUTE(SUBSTITUTE(Registro!$H991,";",CHAR(10)),CHAR(10),REPT(" ",LEN(Registro!$H991))),({1,2,3,4,5,6,7,8,9,10,11,12,13,14,15,16,17,18,19,20,21,22,23,24,25,26,27,28,29,30}-1)*LEN(Registro!$H991)+1,LEN(Registro!$H991)))," ",REPT(" ",50)),50)))),"Revisar formato"))</f>
        <v/>
      </c>
      <c r="J991" s="24" t="str">
        <f>IF(Registro!$I991="","",IFERROR(SUMPRODUCT(--("0"&amp;TRIM(RIGHT(SUBSTITUTE(TRIM(MID(SUBSTITUTE(SUBSTITUTE(Registro!$I991,";",CHAR(10)),CHAR(10),REPT(" ",LEN(Registro!$I991))),({1,2,3,4,5,6,7,8,9,10,11,12,13,14,15,16,17,18,19,20,21,22,23,24,25,26,27,28,29,30}-1)*LEN(Registro!$I991)+1,LEN(Registro!$I991)))," ",REPT(" ",50)),50)))),"Revisar formato"))</f>
        <v/>
      </c>
      <c r="K991" s="24" t="str">
        <f>IF(AND(Registro!$G991="",Registro!$H991=""),"",IF(AND(ISTEXT(I991),I991&lt;&gt;""),"Revisar formato",N(Registro!$G991)-N(I991)))</f>
        <v/>
      </c>
      <c r="L991" s="24" t="str">
        <f t="shared" si="31"/>
        <v/>
      </c>
      <c r="M991" s="36" t="str">
        <f>IF(AND(A991=Consulta!$B$3,C991=Consulta!$H$3),B991*10000+ROW(),"")</f>
        <v/>
      </c>
    </row>
    <row r="992" spans="1:13" x14ac:dyDescent="0.25">
      <c r="A992" s="21" t="str">
        <f>IF(Registro!$A992="","",Registro!$A992)</f>
        <v/>
      </c>
      <c r="B992" s="20" t="str">
        <f>IF(Registro!$B992="","",Registro!$B992)</f>
        <v/>
      </c>
      <c r="C992" s="35" t="str">
        <f t="shared" si="30"/>
        <v/>
      </c>
      <c r="D992" s="23" t="str">
        <f>IF(Registro!$E992="","",IF(ISERROR(FIND("x",LOWER(Registro!$E992))),"-",IFERROR(SUMPRODUCT(--("0"&amp;LEFT(TRIM(MID(SUBSTITUTE(SUBSTITUTE(SUBSTITUTE(SUBSTITUTE(SUBSTITUTE(LOWER(Registro!$E992),"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",LEN(Registro!$E992))),({1,2,3,4,5,6,7,8,9,10,11,12,13,14,15,16,17,18,19,20,21,22,23,24,25,26,27,28,29,30}-1)*LEN(Registro!$E992)+1,LEN(Registro!$E992))),FIND("x",TRIM(MID(SUBSTITUTE(SUBSTITUTE(SUBSTITUTE(SUBSTITUTE(SUBSTITUTE(LOWER(Registro!$E992),"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",LEN(Registro!$E992))),({1,2,3,4,5,6,7,8,9,10,11,12,13,14,15,16,17,18,19,20,21,22,23,24,25,26,27,28,29,30}-1)*LEN(Registro!$E992)+1,LEN(Registro!$E992)))&amp;"x")-1))),"Revisar formato")))</f>
        <v/>
      </c>
      <c r="E992" s="24" t="str">
        <f>IF(Registro!$E992="","",IF(ISERROR(FIND("x",LOWER(Registro!$E992))),"-",IFERROR(SUMPRODUCT(--("0"&amp;LEFT(TRIM(MID(SUBSTITUTE(SUBSTITUTE(SUBSTITUTE(SUBSTITUTE(SUBSTITUTE(LOWER(Registro!$E992),"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",LEN(Registro!$E992))),({1,2,3,4,5,6,7,8,9,10,11,12,13,14,15,16,17,18,19,20,21,22,23,24,25,26,27,28,29,30}-1)*LEN(Registro!$E992)+1,LEN(Registro!$E992))),FIND("x",TRIM(MID(SUBSTITUTE(SUBSTITUTE(SUBSTITUTE(SUBSTITUTE(SUBSTITUTE(LOWER(Registro!$E992),"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",LEN(Registro!$E992))),({1,2,3,4,5,6,7,8,9,10,11,12,13,14,15,16,17,18,19,20,21,22,23,24,25,26,27,28,29,30}-1)*LEN(Registro!$E992)+1,LEN(Registro!$E992)))&amp;"x")-1)),--("0"&amp;MID(TRIM(MID(SUBSTITUTE(SUBSTITUTE(SUBSTITUTE(SUBSTITUTE(SUBSTITUTE(LOWER(Registro!$E992),"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",LEN(Registro!$E992))),({1,2,3,4,5,6,7,8,9,10,11,12,13,14,15,16,17,18,19,20,21,22,23,24,25,26,27,28,29,30}-1)*LEN(Registro!$E992)+1,LEN(Registro!$E992))),FIND("x",TRIM(MID(SUBSTITUTE(SUBSTITUTE(SUBSTITUTE(SUBSTITUTE(SUBSTITUTE(LOWER(Registro!$E992),"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",LEN(Registro!$E992))),({1,2,3,4,5,6,7,8,9,10,11,12,13,14,15,16,17,18,19,20,21,22,23,24,25,26,27,28,29,30}-1)*LEN(Registro!$E992)+1,LEN(Registro!$E992)))&amp;"x")+1,20))),"Revisar formato")))</f>
        <v/>
      </c>
      <c r="F992" s="23" t="str">
        <f>IF(Registro!$F992="","",IF(ISERROR(FIND("x",LOWER(Registro!$F992))),"-",IFERROR(SUMPRODUCT(--("0"&amp;LEFT(TRIM(MID(SUBSTITUTE(SUBSTITUTE(SUBSTITUTE(SUBSTITUTE(SUBSTITUTE(LOWER(Registro!$F992)," ",""),CHAR(10),"|"),";","|"),"+","|"),"|",REPT(" ",LEN(Registro!$F992))),({1,2,3,4,5,6,7,8,9,10,11,12,13,14,15,16,17,18,19,20,21,22,23,24,25,26,27,28,29,30}-1)*LEN(Registro!$F992)+1,LEN(Registro!$F992))),FIND("x",TRIM(MID(SUBSTITUTE(SUBSTITUTE(SUBSTITUTE(SUBSTITUTE(SUBSTITUTE(LOWER(Registro!$F992)," ",""),CHAR(10),"|"),";","|"),"+","|"),"|",REPT(" ",LEN(Registro!$F992))),({1,2,3,4,5,6,7,8,9,10,11,12,13,14,15,16,17,18,19,20,21,22,23,24,25,26,27,28,29,30}-1)*LEN(Registro!$F992)+1,LEN(Registro!$F992)))&amp;"x")-1))),"Revisar formato")))</f>
        <v/>
      </c>
      <c r="G992" s="24" t="str">
        <f>IF(Registro!$F992="","",IF(ISERROR(FIND("x",LOWER(Registro!$F992))),N(Registro!$G992),IFERROR(SUMPRODUCT(--("0"&amp;LEFT(TRIM(MID(SUBSTITUTE(SUBSTITUTE(SUBSTITUTE(SUBSTITUTE(SUBSTITUTE(LOWER(Registro!$F992)," ",""),CHAR(10),"|"),";","|"),"+","|"),"|",REPT(" ",LEN(Registro!$F992))),({1,2,3,4,5,6,7,8,9,10,11,12,13,14,15,16,17,18,19,20,21,22,23,24,25,26,27,28,29,30}-1)*LEN(Registro!$F992)+1,LEN(Registro!$F992))),FIND("x",TRIM(MID(SUBSTITUTE(SUBSTITUTE(SUBSTITUTE(SUBSTITUTE(SUBSTITUTE(LOWER(Registro!$F992)," ",""),CHAR(10),"|"),";","|"),"+","|"),"|",REPT(" ",LEN(Registro!$F992))),({1,2,3,4,5,6,7,8,9,10,11,12,13,14,15,16,17,18,19,20,21,22,23,24,25,26,27,28,29,30}-1)*LEN(Registro!$F992)+1,LEN(Registro!$F992)))&amp;"x")-1)),--("0"&amp;MID(TRIM(MID(SUBSTITUTE(SUBSTITUTE(SUBSTITUTE(SUBSTITUTE(SUBSTITUTE(LOWER(Registro!$F992)," ",""),CHAR(10),"|"),";","|"),"+","|"),"|",REPT(" ",LEN(Registro!$F992))),({1,2,3,4,5,6,7,8,9,10,11,12,13,14,15,16,17,18,19,20,21,22,23,24,25,26,27,28,29,30}-1)*LEN(Registro!$F992)+1,LEN(Registro!$F992))),FIND("x",TRIM(MID(SUBSTITUTE(SUBSTITUTE(SUBSTITUTE(SUBSTITUTE(SUBSTITUTE(LOWER(Registro!$F992)," ",""),CHAR(10),"|"),";","|"),"+","|"),"|",REPT(" ",LEN(Registro!$F992))),({1,2,3,4,5,6,7,8,9,10,11,12,13,14,15,16,17,18,19,20,21,22,23,24,25,26,27,28,29,30}-1)*LEN(Registro!$F992)+1,LEN(Registro!$F992)))&amp;"x")+1,20))),"Revisar formato")))</f>
        <v/>
      </c>
      <c r="H992" s="21" t="str">
        <f>IF(AND(Registro!$E992="",Registro!$F992=""),"",IF(NOT(AND(ISNUMBER(G992),ISNUMBER(Registro!$G992))),"",IF(G992&lt;Registro!$G992,"FALTA BOLETOS",IF(G992=Registro!$G992,"CONFORME","DIFERENCIA"))))</f>
        <v/>
      </c>
      <c r="I992" s="24" t="str">
        <f>IF(Registro!$H992="","",IFERROR(SUMPRODUCT(--("0"&amp;TRIM(RIGHT(SUBSTITUTE(TRIM(MID(SUBSTITUTE(SUBSTITUTE(Registro!$H992,";",CHAR(10)),CHAR(10),REPT(" ",LEN(Registro!$H992))),({1,2,3,4,5,6,7,8,9,10,11,12,13,14,15,16,17,18,19,20,21,22,23,24,25,26,27,28,29,30}-1)*LEN(Registro!$H992)+1,LEN(Registro!$H992)))," ",REPT(" ",50)),50)))),"Revisar formato"))</f>
        <v/>
      </c>
      <c r="J992" s="24" t="str">
        <f>IF(Registro!$I992="","",IFERROR(SUMPRODUCT(--("0"&amp;TRIM(RIGHT(SUBSTITUTE(TRIM(MID(SUBSTITUTE(SUBSTITUTE(Registro!$I992,";",CHAR(10)),CHAR(10),REPT(" ",LEN(Registro!$I992))),({1,2,3,4,5,6,7,8,9,10,11,12,13,14,15,16,17,18,19,20,21,22,23,24,25,26,27,28,29,30}-1)*LEN(Registro!$I992)+1,LEN(Registro!$I992)))," ",REPT(" ",50)),50)))),"Revisar formato"))</f>
        <v/>
      </c>
      <c r="K992" s="24" t="str">
        <f>IF(AND(Registro!$G992="",Registro!$H992=""),"",IF(AND(ISTEXT(I992),I992&lt;&gt;""),"Revisar formato",N(Registro!$G992)-N(I992)))</f>
        <v/>
      </c>
      <c r="L992" s="24" t="str">
        <f t="shared" si="31"/>
        <v/>
      </c>
      <c r="M992" s="36" t="str">
        <f>IF(AND(A992=Consulta!$B$3,C992=Consulta!$H$3),B992*10000+ROW(),"")</f>
        <v/>
      </c>
    </row>
    <row r="993" spans="1:13" x14ac:dyDescent="0.25">
      <c r="A993" s="21" t="str">
        <f>IF(Registro!$A993="","",Registro!$A993)</f>
        <v/>
      </c>
      <c r="B993" s="20" t="str">
        <f>IF(Registro!$B993="","",Registro!$B993)</f>
        <v/>
      </c>
      <c r="C993" s="35" t="str">
        <f t="shared" si="30"/>
        <v/>
      </c>
      <c r="D993" s="23" t="str">
        <f>IF(Registro!$E993="","",IF(ISERROR(FIND("x",LOWER(Registro!$E993))),"-",IFERROR(SUMPRODUCT(--("0"&amp;LEFT(TRIM(MID(SUBSTITUTE(SUBSTITUTE(SUBSTITUTE(SUBSTITUTE(SUBSTITUTE(LOWER(Registro!$E993),"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",LEN(Registro!$E993))),({1,2,3,4,5,6,7,8,9,10,11,12,13,14,15,16,17,18,19,20,21,22,23,24,25,26,27,28,29,30}-1)*LEN(Registro!$E993)+1,LEN(Registro!$E993))),FIND("x",TRIM(MID(SUBSTITUTE(SUBSTITUTE(SUBSTITUTE(SUBSTITUTE(SUBSTITUTE(LOWER(Registro!$E993),"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",LEN(Registro!$E993))),({1,2,3,4,5,6,7,8,9,10,11,12,13,14,15,16,17,18,19,20,21,22,23,24,25,26,27,28,29,30}-1)*LEN(Registro!$E993)+1,LEN(Registro!$E993)))&amp;"x")-1))),"Revisar formato")))</f>
        <v/>
      </c>
      <c r="E993" s="24" t="str">
        <f>IF(Registro!$E993="","",IF(ISERROR(FIND("x",LOWER(Registro!$E993))),"-",IFERROR(SUMPRODUCT(--("0"&amp;LEFT(TRIM(MID(SUBSTITUTE(SUBSTITUTE(SUBSTITUTE(SUBSTITUTE(SUBSTITUTE(LOWER(Registro!$E993),"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",LEN(Registro!$E993))),({1,2,3,4,5,6,7,8,9,10,11,12,13,14,15,16,17,18,19,20,21,22,23,24,25,26,27,28,29,30}-1)*LEN(Registro!$E993)+1,LEN(Registro!$E993))),FIND("x",TRIM(MID(SUBSTITUTE(SUBSTITUTE(SUBSTITUTE(SUBSTITUTE(SUBSTITUTE(LOWER(Registro!$E993),"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",LEN(Registro!$E993))),({1,2,3,4,5,6,7,8,9,10,11,12,13,14,15,16,17,18,19,20,21,22,23,24,25,26,27,28,29,30}-1)*LEN(Registro!$E993)+1,LEN(Registro!$E993)))&amp;"x")-1)),--("0"&amp;MID(TRIM(MID(SUBSTITUTE(SUBSTITUTE(SUBSTITUTE(SUBSTITUTE(SUBSTITUTE(LOWER(Registro!$E993),"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",LEN(Registro!$E993))),({1,2,3,4,5,6,7,8,9,10,11,12,13,14,15,16,17,18,19,20,21,22,23,24,25,26,27,28,29,30}-1)*LEN(Registro!$E993)+1,LEN(Registro!$E993))),FIND("x",TRIM(MID(SUBSTITUTE(SUBSTITUTE(SUBSTITUTE(SUBSTITUTE(SUBSTITUTE(LOWER(Registro!$E993),"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",LEN(Registro!$E993))),({1,2,3,4,5,6,7,8,9,10,11,12,13,14,15,16,17,18,19,20,21,22,23,24,25,26,27,28,29,30}-1)*LEN(Registro!$E993)+1,LEN(Registro!$E993)))&amp;"x")+1,20))),"Revisar formato")))</f>
        <v/>
      </c>
      <c r="F993" s="23" t="str">
        <f>IF(Registro!$F993="","",IF(ISERROR(FIND("x",LOWER(Registro!$F993))),"-",IFERROR(SUMPRODUCT(--("0"&amp;LEFT(TRIM(MID(SUBSTITUTE(SUBSTITUTE(SUBSTITUTE(SUBSTITUTE(SUBSTITUTE(LOWER(Registro!$F993)," ",""),CHAR(10),"|"),";","|"),"+","|"),"|",REPT(" ",LEN(Registro!$F993))),({1,2,3,4,5,6,7,8,9,10,11,12,13,14,15,16,17,18,19,20,21,22,23,24,25,26,27,28,29,30}-1)*LEN(Registro!$F993)+1,LEN(Registro!$F993))),FIND("x",TRIM(MID(SUBSTITUTE(SUBSTITUTE(SUBSTITUTE(SUBSTITUTE(SUBSTITUTE(LOWER(Registro!$F993)," ",""),CHAR(10),"|"),";","|"),"+","|"),"|",REPT(" ",LEN(Registro!$F993))),({1,2,3,4,5,6,7,8,9,10,11,12,13,14,15,16,17,18,19,20,21,22,23,24,25,26,27,28,29,30}-1)*LEN(Registro!$F993)+1,LEN(Registro!$F993)))&amp;"x")-1))),"Revisar formato")))</f>
        <v/>
      </c>
      <c r="G993" s="24" t="str">
        <f>IF(Registro!$F993="","",IF(ISERROR(FIND("x",LOWER(Registro!$F993))),N(Registro!$G993),IFERROR(SUMPRODUCT(--("0"&amp;LEFT(TRIM(MID(SUBSTITUTE(SUBSTITUTE(SUBSTITUTE(SUBSTITUTE(SUBSTITUTE(LOWER(Registro!$F993)," ",""),CHAR(10),"|"),";","|"),"+","|"),"|",REPT(" ",LEN(Registro!$F993))),({1,2,3,4,5,6,7,8,9,10,11,12,13,14,15,16,17,18,19,20,21,22,23,24,25,26,27,28,29,30}-1)*LEN(Registro!$F993)+1,LEN(Registro!$F993))),FIND("x",TRIM(MID(SUBSTITUTE(SUBSTITUTE(SUBSTITUTE(SUBSTITUTE(SUBSTITUTE(LOWER(Registro!$F993)," ",""),CHAR(10),"|"),";","|"),"+","|"),"|",REPT(" ",LEN(Registro!$F993))),({1,2,3,4,5,6,7,8,9,10,11,12,13,14,15,16,17,18,19,20,21,22,23,24,25,26,27,28,29,30}-1)*LEN(Registro!$F993)+1,LEN(Registro!$F993)))&amp;"x")-1)),--("0"&amp;MID(TRIM(MID(SUBSTITUTE(SUBSTITUTE(SUBSTITUTE(SUBSTITUTE(SUBSTITUTE(LOWER(Registro!$F993)," ",""),CHAR(10),"|"),";","|"),"+","|"),"|",REPT(" ",LEN(Registro!$F993))),({1,2,3,4,5,6,7,8,9,10,11,12,13,14,15,16,17,18,19,20,21,22,23,24,25,26,27,28,29,30}-1)*LEN(Registro!$F993)+1,LEN(Registro!$F993))),FIND("x",TRIM(MID(SUBSTITUTE(SUBSTITUTE(SUBSTITUTE(SUBSTITUTE(SUBSTITUTE(LOWER(Registro!$F993)," ",""),CHAR(10),"|"),";","|"),"+","|"),"|",REPT(" ",LEN(Registro!$F993))),({1,2,3,4,5,6,7,8,9,10,11,12,13,14,15,16,17,18,19,20,21,22,23,24,25,26,27,28,29,30}-1)*LEN(Registro!$F993)+1,LEN(Registro!$F993)))&amp;"x")+1,20))),"Revisar formato")))</f>
        <v/>
      </c>
      <c r="H993" s="21" t="str">
        <f>IF(AND(Registro!$E993="",Registro!$F993=""),"",IF(NOT(AND(ISNUMBER(G993),ISNUMBER(Registro!$G993))),"",IF(G993&lt;Registro!$G993,"FALTA BOLETOS",IF(G993=Registro!$G993,"CONFORME","DIFERENCIA"))))</f>
        <v/>
      </c>
      <c r="I993" s="24" t="str">
        <f>IF(Registro!$H993="","",IFERROR(SUMPRODUCT(--("0"&amp;TRIM(RIGHT(SUBSTITUTE(TRIM(MID(SUBSTITUTE(SUBSTITUTE(Registro!$H993,";",CHAR(10)),CHAR(10),REPT(" ",LEN(Registro!$H993))),({1,2,3,4,5,6,7,8,9,10,11,12,13,14,15,16,17,18,19,20,21,22,23,24,25,26,27,28,29,30}-1)*LEN(Registro!$H993)+1,LEN(Registro!$H993)))," ",REPT(" ",50)),50)))),"Revisar formato"))</f>
        <v/>
      </c>
      <c r="J993" s="24" t="str">
        <f>IF(Registro!$I993="","",IFERROR(SUMPRODUCT(--("0"&amp;TRIM(RIGHT(SUBSTITUTE(TRIM(MID(SUBSTITUTE(SUBSTITUTE(Registro!$I993,";",CHAR(10)),CHAR(10),REPT(" ",LEN(Registro!$I993))),({1,2,3,4,5,6,7,8,9,10,11,12,13,14,15,16,17,18,19,20,21,22,23,24,25,26,27,28,29,30}-1)*LEN(Registro!$I993)+1,LEN(Registro!$I993)))," ",REPT(" ",50)),50)))),"Revisar formato"))</f>
        <v/>
      </c>
      <c r="K993" s="24" t="str">
        <f>IF(AND(Registro!$G993="",Registro!$H993=""),"",IF(AND(ISTEXT(I993),I993&lt;&gt;""),"Revisar formato",N(Registro!$G993)-N(I993)))</f>
        <v/>
      </c>
      <c r="L993" s="24" t="str">
        <f t="shared" si="31"/>
        <v/>
      </c>
      <c r="M993" s="36" t="str">
        <f>IF(AND(A993=Consulta!$B$3,C993=Consulta!$H$3),B993*10000+ROW(),"")</f>
        <v/>
      </c>
    </row>
    <row r="994" spans="1:13" x14ac:dyDescent="0.25">
      <c r="A994" s="21" t="str">
        <f>IF(Registro!$A994="","",Registro!$A994)</f>
        <v/>
      </c>
      <c r="B994" s="20" t="str">
        <f>IF(Registro!$B994="","",Registro!$B994)</f>
        <v/>
      </c>
      <c r="C994" s="35" t="str">
        <f t="shared" si="30"/>
        <v/>
      </c>
      <c r="D994" s="23" t="str">
        <f>IF(Registro!$E994="","",IF(ISERROR(FIND("x",LOWER(Registro!$E994))),"-",IFERROR(SUMPRODUCT(--("0"&amp;LEFT(TRIM(MID(SUBSTITUTE(SUBSTITUTE(SUBSTITUTE(SUBSTITUTE(SUBSTITUTE(LOWER(Registro!$E994),"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",LEN(Registro!$E994))),({1,2,3,4,5,6,7,8,9,10,11,12,13,14,15,16,17,18,19,20,21,22,23,24,25,26,27,28,29,30}-1)*LEN(Registro!$E994)+1,LEN(Registro!$E994))),FIND("x",TRIM(MID(SUBSTITUTE(SUBSTITUTE(SUBSTITUTE(SUBSTITUTE(SUBSTITUTE(LOWER(Registro!$E994),"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",LEN(Registro!$E994))),({1,2,3,4,5,6,7,8,9,10,11,12,13,14,15,16,17,18,19,20,21,22,23,24,25,26,27,28,29,30}-1)*LEN(Registro!$E994)+1,LEN(Registro!$E994)))&amp;"x")-1))),"Revisar formato")))</f>
        <v/>
      </c>
      <c r="E994" s="24" t="str">
        <f>IF(Registro!$E994="","",IF(ISERROR(FIND("x",LOWER(Registro!$E994))),"-",IFERROR(SUMPRODUCT(--("0"&amp;LEFT(TRIM(MID(SUBSTITUTE(SUBSTITUTE(SUBSTITUTE(SUBSTITUTE(SUBSTITUTE(LOWER(Registro!$E994),"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",LEN(Registro!$E994))),({1,2,3,4,5,6,7,8,9,10,11,12,13,14,15,16,17,18,19,20,21,22,23,24,25,26,27,28,29,30}-1)*LEN(Registro!$E994)+1,LEN(Registro!$E994))),FIND("x",TRIM(MID(SUBSTITUTE(SUBSTITUTE(SUBSTITUTE(SUBSTITUTE(SUBSTITUTE(LOWER(Registro!$E994),"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",LEN(Registro!$E994))),({1,2,3,4,5,6,7,8,9,10,11,12,13,14,15,16,17,18,19,20,21,22,23,24,25,26,27,28,29,30}-1)*LEN(Registro!$E994)+1,LEN(Registro!$E994)))&amp;"x")-1)),--("0"&amp;MID(TRIM(MID(SUBSTITUTE(SUBSTITUTE(SUBSTITUTE(SUBSTITUTE(SUBSTITUTE(LOWER(Registro!$E994),"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",LEN(Registro!$E994))),({1,2,3,4,5,6,7,8,9,10,11,12,13,14,15,16,17,18,19,20,21,22,23,24,25,26,27,28,29,30}-1)*LEN(Registro!$E994)+1,LEN(Registro!$E994))),FIND("x",TRIM(MID(SUBSTITUTE(SUBSTITUTE(SUBSTITUTE(SUBSTITUTE(SUBSTITUTE(LOWER(Registro!$E994),"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",LEN(Registro!$E994))),({1,2,3,4,5,6,7,8,9,10,11,12,13,14,15,16,17,18,19,20,21,22,23,24,25,26,27,28,29,30}-1)*LEN(Registro!$E994)+1,LEN(Registro!$E994)))&amp;"x")+1,20))),"Revisar formato")))</f>
        <v/>
      </c>
      <c r="F994" s="23" t="str">
        <f>IF(Registro!$F994="","",IF(ISERROR(FIND("x",LOWER(Registro!$F994))),"-",IFERROR(SUMPRODUCT(--("0"&amp;LEFT(TRIM(MID(SUBSTITUTE(SUBSTITUTE(SUBSTITUTE(SUBSTITUTE(SUBSTITUTE(LOWER(Registro!$F994)," ",""),CHAR(10),"|"),";","|"),"+","|"),"|",REPT(" ",LEN(Registro!$F994))),({1,2,3,4,5,6,7,8,9,10,11,12,13,14,15,16,17,18,19,20,21,22,23,24,25,26,27,28,29,30}-1)*LEN(Registro!$F994)+1,LEN(Registro!$F994))),FIND("x",TRIM(MID(SUBSTITUTE(SUBSTITUTE(SUBSTITUTE(SUBSTITUTE(SUBSTITUTE(LOWER(Registro!$F994)," ",""),CHAR(10),"|"),";","|"),"+","|"),"|",REPT(" ",LEN(Registro!$F994))),({1,2,3,4,5,6,7,8,9,10,11,12,13,14,15,16,17,18,19,20,21,22,23,24,25,26,27,28,29,30}-1)*LEN(Registro!$F994)+1,LEN(Registro!$F994)))&amp;"x")-1))),"Revisar formato")))</f>
        <v/>
      </c>
      <c r="G994" s="24" t="str">
        <f>IF(Registro!$F994="","",IF(ISERROR(FIND("x",LOWER(Registro!$F994))),N(Registro!$G994),IFERROR(SUMPRODUCT(--("0"&amp;LEFT(TRIM(MID(SUBSTITUTE(SUBSTITUTE(SUBSTITUTE(SUBSTITUTE(SUBSTITUTE(LOWER(Registro!$F994)," ",""),CHAR(10),"|"),";","|"),"+","|"),"|",REPT(" ",LEN(Registro!$F994))),({1,2,3,4,5,6,7,8,9,10,11,12,13,14,15,16,17,18,19,20,21,22,23,24,25,26,27,28,29,30}-1)*LEN(Registro!$F994)+1,LEN(Registro!$F994))),FIND("x",TRIM(MID(SUBSTITUTE(SUBSTITUTE(SUBSTITUTE(SUBSTITUTE(SUBSTITUTE(LOWER(Registro!$F994)," ",""),CHAR(10),"|"),";","|"),"+","|"),"|",REPT(" ",LEN(Registro!$F994))),({1,2,3,4,5,6,7,8,9,10,11,12,13,14,15,16,17,18,19,20,21,22,23,24,25,26,27,28,29,30}-1)*LEN(Registro!$F994)+1,LEN(Registro!$F994)))&amp;"x")-1)),--("0"&amp;MID(TRIM(MID(SUBSTITUTE(SUBSTITUTE(SUBSTITUTE(SUBSTITUTE(SUBSTITUTE(LOWER(Registro!$F994)," ",""),CHAR(10),"|"),";","|"),"+","|"),"|",REPT(" ",LEN(Registro!$F994))),({1,2,3,4,5,6,7,8,9,10,11,12,13,14,15,16,17,18,19,20,21,22,23,24,25,26,27,28,29,30}-1)*LEN(Registro!$F994)+1,LEN(Registro!$F994))),FIND("x",TRIM(MID(SUBSTITUTE(SUBSTITUTE(SUBSTITUTE(SUBSTITUTE(SUBSTITUTE(LOWER(Registro!$F994)," ",""),CHAR(10),"|"),";","|"),"+","|"),"|",REPT(" ",LEN(Registro!$F994))),({1,2,3,4,5,6,7,8,9,10,11,12,13,14,15,16,17,18,19,20,21,22,23,24,25,26,27,28,29,30}-1)*LEN(Registro!$F994)+1,LEN(Registro!$F994)))&amp;"x")+1,20))),"Revisar formato")))</f>
        <v/>
      </c>
      <c r="H994" s="21" t="str">
        <f>IF(AND(Registro!$E994="",Registro!$F994=""),"",IF(NOT(AND(ISNUMBER(G994),ISNUMBER(Registro!$G994))),"",IF(G994&lt;Registro!$G994,"FALTA BOLETOS",IF(G994=Registro!$G994,"CONFORME","DIFERENCIA"))))</f>
        <v/>
      </c>
      <c r="I994" s="24" t="str">
        <f>IF(Registro!$H994="","",IFERROR(SUMPRODUCT(--("0"&amp;TRIM(RIGHT(SUBSTITUTE(TRIM(MID(SUBSTITUTE(SUBSTITUTE(Registro!$H994,";",CHAR(10)),CHAR(10),REPT(" ",LEN(Registro!$H994))),({1,2,3,4,5,6,7,8,9,10,11,12,13,14,15,16,17,18,19,20,21,22,23,24,25,26,27,28,29,30}-1)*LEN(Registro!$H994)+1,LEN(Registro!$H994)))," ",REPT(" ",50)),50)))),"Revisar formato"))</f>
        <v/>
      </c>
      <c r="J994" s="24" t="str">
        <f>IF(Registro!$I994="","",IFERROR(SUMPRODUCT(--("0"&amp;TRIM(RIGHT(SUBSTITUTE(TRIM(MID(SUBSTITUTE(SUBSTITUTE(Registro!$I994,";",CHAR(10)),CHAR(10),REPT(" ",LEN(Registro!$I994))),({1,2,3,4,5,6,7,8,9,10,11,12,13,14,15,16,17,18,19,20,21,22,23,24,25,26,27,28,29,30}-1)*LEN(Registro!$I994)+1,LEN(Registro!$I994)))," ",REPT(" ",50)),50)))),"Revisar formato"))</f>
        <v/>
      </c>
      <c r="K994" s="24" t="str">
        <f>IF(AND(Registro!$G994="",Registro!$H994=""),"",IF(AND(ISTEXT(I994),I994&lt;&gt;""),"Revisar formato",N(Registro!$G994)-N(I994)))</f>
        <v/>
      </c>
      <c r="L994" s="24" t="str">
        <f t="shared" si="31"/>
        <v/>
      </c>
      <c r="M994" s="36" t="str">
        <f>IF(AND(A994=Consulta!$B$3,C994=Consulta!$H$3),B994*10000+ROW(),"")</f>
        <v/>
      </c>
    </row>
    <row r="995" spans="1:13" x14ac:dyDescent="0.25">
      <c r="A995" s="21" t="str">
        <f>IF(Registro!$A995="","",Registro!$A995)</f>
        <v/>
      </c>
      <c r="B995" s="20" t="str">
        <f>IF(Registro!$B995="","",Registro!$B995)</f>
        <v/>
      </c>
      <c r="C995" s="35" t="str">
        <f t="shared" si="30"/>
        <v/>
      </c>
      <c r="D995" s="23" t="str">
        <f>IF(Registro!$E995="","",IF(ISERROR(FIND("x",LOWER(Registro!$E995))),"-",IFERROR(SUMPRODUCT(--("0"&amp;LEFT(TRIM(MID(SUBSTITUTE(SUBSTITUTE(SUBSTITUTE(SUBSTITUTE(SUBSTITUTE(LOWER(Registro!$E995),"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",LEN(Registro!$E995))),({1,2,3,4,5,6,7,8,9,10,11,12,13,14,15,16,17,18,19,20,21,22,23,24,25,26,27,28,29,30}-1)*LEN(Registro!$E995)+1,LEN(Registro!$E995))),FIND("x",TRIM(MID(SUBSTITUTE(SUBSTITUTE(SUBSTITUTE(SUBSTITUTE(SUBSTITUTE(LOWER(Registro!$E995),"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",LEN(Registro!$E995))),({1,2,3,4,5,6,7,8,9,10,11,12,13,14,15,16,17,18,19,20,21,22,23,24,25,26,27,28,29,30}-1)*LEN(Registro!$E995)+1,LEN(Registro!$E995)))&amp;"x")-1))),"Revisar formato")))</f>
        <v/>
      </c>
      <c r="E995" s="24" t="str">
        <f>IF(Registro!$E995="","",IF(ISERROR(FIND("x",LOWER(Registro!$E995))),"-",IFERROR(SUMPRODUCT(--("0"&amp;LEFT(TRIM(MID(SUBSTITUTE(SUBSTITUTE(SUBSTITUTE(SUBSTITUTE(SUBSTITUTE(LOWER(Registro!$E995),"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",LEN(Registro!$E995))),({1,2,3,4,5,6,7,8,9,10,11,12,13,14,15,16,17,18,19,20,21,22,23,24,25,26,27,28,29,30}-1)*LEN(Registro!$E995)+1,LEN(Registro!$E995))),FIND("x",TRIM(MID(SUBSTITUTE(SUBSTITUTE(SUBSTITUTE(SUBSTITUTE(SUBSTITUTE(LOWER(Registro!$E995),"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",LEN(Registro!$E995))),({1,2,3,4,5,6,7,8,9,10,11,12,13,14,15,16,17,18,19,20,21,22,23,24,25,26,27,28,29,30}-1)*LEN(Registro!$E995)+1,LEN(Registro!$E995)))&amp;"x")-1)),--("0"&amp;MID(TRIM(MID(SUBSTITUTE(SUBSTITUTE(SUBSTITUTE(SUBSTITUTE(SUBSTITUTE(LOWER(Registro!$E995),"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",LEN(Registro!$E995))),({1,2,3,4,5,6,7,8,9,10,11,12,13,14,15,16,17,18,19,20,21,22,23,24,25,26,27,28,29,30}-1)*LEN(Registro!$E995)+1,LEN(Registro!$E995))),FIND("x",TRIM(MID(SUBSTITUTE(SUBSTITUTE(SUBSTITUTE(SUBSTITUTE(SUBSTITUTE(LOWER(Registro!$E995),"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",LEN(Registro!$E995))),({1,2,3,4,5,6,7,8,9,10,11,12,13,14,15,16,17,18,19,20,21,22,23,24,25,26,27,28,29,30}-1)*LEN(Registro!$E995)+1,LEN(Registro!$E995)))&amp;"x")+1,20))),"Revisar formato")))</f>
        <v/>
      </c>
      <c r="F995" s="23" t="str">
        <f>IF(Registro!$F995="","",IF(ISERROR(FIND("x",LOWER(Registro!$F995))),"-",IFERROR(SUMPRODUCT(--("0"&amp;LEFT(TRIM(MID(SUBSTITUTE(SUBSTITUTE(SUBSTITUTE(SUBSTITUTE(SUBSTITUTE(LOWER(Registro!$F995)," ",""),CHAR(10),"|"),";","|"),"+","|"),"|",REPT(" ",LEN(Registro!$F995))),({1,2,3,4,5,6,7,8,9,10,11,12,13,14,15,16,17,18,19,20,21,22,23,24,25,26,27,28,29,30}-1)*LEN(Registro!$F995)+1,LEN(Registro!$F995))),FIND("x",TRIM(MID(SUBSTITUTE(SUBSTITUTE(SUBSTITUTE(SUBSTITUTE(SUBSTITUTE(LOWER(Registro!$F995)," ",""),CHAR(10),"|"),";","|"),"+","|"),"|",REPT(" ",LEN(Registro!$F995))),({1,2,3,4,5,6,7,8,9,10,11,12,13,14,15,16,17,18,19,20,21,22,23,24,25,26,27,28,29,30}-1)*LEN(Registro!$F995)+1,LEN(Registro!$F995)))&amp;"x")-1))),"Revisar formato")))</f>
        <v/>
      </c>
      <c r="G995" s="24" t="str">
        <f>IF(Registro!$F995="","",IF(ISERROR(FIND("x",LOWER(Registro!$F995))),N(Registro!$G995),IFERROR(SUMPRODUCT(--("0"&amp;LEFT(TRIM(MID(SUBSTITUTE(SUBSTITUTE(SUBSTITUTE(SUBSTITUTE(SUBSTITUTE(LOWER(Registro!$F995)," ",""),CHAR(10),"|"),";","|"),"+","|"),"|",REPT(" ",LEN(Registro!$F995))),({1,2,3,4,5,6,7,8,9,10,11,12,13,14,15,16,17,18,19,20,21,22,23,24,25,26,27,28,29,30}-1)*LEN(Registro!$F995)+1,LEN(Registro!$F995))),FIND("x",TRIM(MID(SUBSTITUTE(SUBSTITUTE(SUBSTITUTE(SUBSTITUTE(SUBSTITUTE(LOWER(Registro!$F995)," ",""),CHAR(10),"|"),";","|"),"+","|"),"|",REPT(" ",LEN(Registro!$F995))),({1,2,3,4,5,6,7,8,9,10,11,12,13,14,15,16,17,18,19,20,21,22,23,24,25,26,27,28,29,30}-1)*LEN(Registro!$F995)+1,LEN(Registro!$F995)))&amp;"x")-1)),--("0"&amp;MID(TRIM(MID(SUBSTITUTE(SUBSTITUTE(SUBSTITUTE(SUBSTITUTE(SUBSTITUTE(LOWER(Registro!$F995)," ",""),CHAR(10),"|"),";","|"),"+","|"),"|",REPT(" ",LEN(Registro!$F995))),({1,2,3,4,5,6,7,8,9,10,11,12,13,14,15,16,17,18,19,20,21,22,23,24,25,26,27,28,29,30}-1)*LEN(Registro!$F995)+1,LEN(Registro!$F995))),FIND("x",TRIM(MID(SUBSTITUTE(SUBSTITUTE(SUBSTITUTE(SUBSTITUTE(SUBSTITUTE(LOWER(Registro!$F995)," ",""),CHAR(10),"|"),";","|"),"+","|"),"|",REPT(" ",LEN(Registro!$F995))),({1,2,3,4,5,6,7,8,9,10,11,12,13,14,15,16,17,18,19,20,21,22,23,24,25,26,27,28,29,30}-1)*LEN(Registro!$F995)+1,LEN(Registro!$F995)))&amp;"x")+1,20))),"Revisar formato")))</f>
        <v/>
      </c>
      <c r="H995" s="21" t="str">
        <f>IF(AND(Registro!$E995="",Registro!$F995=""),"",IF(NOT(AND(ISNUMBER(G995),ISNUMBER(Registro!$G995))),"",IF(G995&lt;Registro!$G995,"FALTA BOLETOS",IF(G995=Registro!$G995,"CONFORME","DIFERENCIA"))))</f>
        <v/>
      </c>
      <c r="I995" s="24" t="str">
        <f>IF(Registro!$H995="","",IFERROR(SUMPRODUCT(--("0"&amp;TRIM(RIGHT(SUBSTITUTE(TRIM(MID(SUBSTITUTE(SUBSTITUTE(Registro!$H995,";",CHAR(10)),CHAR(10),REPT(" ",LEN(Registro!$H995))),({1,2,3,4,5,6,7,8,9,10,11,12,13,14,15,16,17,18,19,20,21,22,23,24,25,26,27,28,29,30}-1)*LEN(Registro!$H995)+1,LEN(Registro!$H995)))," ",REPT(" ",50)),50)))),"Revisar formato"))</f>
        <v/>
      </c>
      <c r="J995" s="24" t="str">
        <f>IF(Registro!$I995="","",IFERROR(SUMPRODUCT(--("0"&amp;TRIM(RIGHT(SUBSTITUTE(TRIM(MID(SUBSTITUTE(SUBSTITUTE(Registro!$I995,";",CHAR(10)),CHAR(10),REPT(" ",LEN(Registro!$I995))),({1,2,3,4,5,6,7,8,9,10,11,12,13,14,15,16,17,18,19,20,21,22,23,24,25,26,27,28,29,30}-1)*LEN(Registro!$I995)+1,LEN(Registro!$I995)))," ",REPT(" ",50)),50)))),"Revisar formato"))</f>
        <v/>
      </c>
      <c r="K995" s="24" t="str">
        <f>IF(AND(Registro!$G995="",Registro!$H995=""),"",IF(AND(ISTEXT(I995),I995&lt;&gt;""),"Revisar formato",N(Registro!$G995)-N(I995)))</f>
        <v/>
      </c>
      <c r="L995" s="24" t="str">
        <f t="shared" si="31"/>
        <v/>
      </c>
      <c r="M995" s="36" t="str">
        <f>IF(AND(A995=Consulta!$B$3,C995=Consulta!$H$3),B995*10000+ROW(),"")</f>
        <v/>
      </c>
    </row>
    <row r="996" spans="1:13" x14ac:dyDescent="0.25">
      <c r="A996" s="21" t="str">
        <f>IF(Registro!$A996="","",Registro!$A996)</f>
        <v/>
      </c>
      <c r="B996" s="20" t="str">
        <f>IF(Registro!$B996="","",Registro!$B996)</f>
        <v/>
      </c>
      <c r="C996" s="35" t="str">
        <f t="shared" si="30"/>
        <v/>
      </c>
      <c r="D996" s="23" t="str">
        <f>IF(Registro!$E996="","",IF(ISERROR(FIND("x",LOWER(Registro!$E996))),"-",IFERROR(SUMPRODUCT(--("0"&amp;LEFT(TRIM(MID(SUBSTITUTE(SUBSTITUTE(SUBSTITUTE(SUBSTITUTE(SUBSTITUTE(LOWER(Registro!$E996),"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",LEN(Registro!$E996))),({1,2,3,4,5,6,7,8,9,10,11,12,13,14,15,16,17,18,19,20,21,22,23,24,25,26,27,28,29,30}-1)*LEN(Registro!$E996)+1,LEN(Registro!$E996))),FIND("x",TRIM(MID(SUBSTITUTE(SUBSTITUTE(SUBSTITUTE(SUBSTITUTE(SUBSTITUTE(LOWER(Registro!$E996),"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",LEN(Registro!$E996))),({1,2,3,4,5,6,7,8,9,10,11,12,13,14,15,16,17,18,19,20,21,22,23,24,25,26,27,28,29,30}-1)*LEN(Registro!$E996)+1,LEN(Registro!$E996)))&amp;"x")-1))),"Revisar formato")))</f>
        <v/>
      </c>
      <c r="E996" s="24" t="str">
        <f>IF(Registro!$E996="","",IF(ISERROR(FIND("x",LOWER(Registro!$E996))),"-",IFERROR(SUMPRODUCT(--("0"&amp;LEFT(TRIM(MID(SUBSTITUTE(SUBSTITUTE(SUBSTITUTE(SUBSTITUTE(SUBSTITUTE(LOWER(Registro!$E996),"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",LEN(Registro!$E996))),({1,2,3,4,5,6,7,8,9,10,11,12,13,14,15,16,17,18,19,20,21,22,23,24,25,26,27,28,29,30}-1)*LEN(Registro!$E996)+1,LEN(Registro!$E996))),FIND("x",TRIM(MID(SUBSTITUTE(SUBSTITUTE(SUBSTITUTE(SUBSTITUTE(SUBSTITUTE(LOWER(Registro!$E996),"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",LEN(Registro!$E996))),({1,2,3,4,5,6,7,8,9,10,11,12,13,14,15,16,17,18,19,20,21,22,23,24,25,26,27,28,29,30}-1)*LEN(Registro!$E996)+1,LEN(Registro!$E996)))&amp;"x")-1)),--("0"&amp;MID(TRIM(MID(SUBSTITUTE(SUBSTITUTE(SUBSTITUTE(SUBSTITUTE(SUBSTITUTE(LOWER(Registro!$E996),"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",LEN(Registro!$E996))),({1,2,3,4,5,6,7,8,9,10,11,12,13,14,15,16,17,18,19,20,21,22,23,24,25,26,27,28,29,30}-1)*LEN(Registro!$E996)+1,LEN(Registro!$E996))),FIND("x",TRIM(MID(SUBSTITUTE(SUBSTITUTE(SUBSTITUTE(SUBSTITUTE(SUBSTITUTE(LOWER(Registro!$E996),"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",LEN(Registro!$E996))),({1,2,3,4,5,6,7,8,9,10,11,12,13,14,15,16,17,18,19,20,21,22,23,24,25,26,27,28,29,30}-1)*LEN(Registro!$E996)+1,LEN(Registro!$E996)))&amp;"x")+1,20))),"Revisar formato")))</f>
        <v/>
      </c>
      <c r="F996" s="23" t="str">
        <f>IF(Registro!$F996="","",IF(ISERROR(FIND("x",LOWER(Registro!$F996))),"-",IFERROR(SUMPRODUCT(--("0"&amp;LEFT(TRIM(MID(SUBSTITUTE(SUBSTITUTE(SUBSTITUTE(SUBSTITUTE(SUBSTITUTE(LOWER(Registro!$F996)," ",""),CHAR(10),"|"),";","|"),"+","|"),"|",REPT(" ",LEN(Registro!$F996))),({1,2,3,4,5,6,7,8,9,10,11,12,13,14,15,16,17,18,19,20,21,22,23,24,25,26,27,28,29,30}-1)*LEN(Registro!$F996)+1,LEN(Registro!$F996))),FIND("x",TRIM(MID(SUBSTITUTE(SUBSTITUTE(SUBSTITUTE(SUBSTITUTE(SUBSTITUTE(LOWER(Registro!$F996)," ",""),CHAR(10),"|"),";","|"),"+","|"),"|",REPT(" ",LEN(Registro!$F996))),({1,2,3,4,5,6,7,8,9,10,11,12,13,14,15,16,17,18,19,20,21,22,23,24,25,26,27,28,29,30}-1)*LEN(Registro!$F996)+1,LEN(Registro!$F996)))&amp;"x")-1))),"Revisar formato")))</f>
        <v/>
      </c>
      <c r="G996" s="24" t="str">
        <f>IF(Registro!$F996="","",IF(ISERROR(FIND("x",LOWER(Registro!$F996))),N(Registro!$G996),IFERROR(SUMPRODUCT(--("0"&amp;LEFT(TRIM(MID(SUBSTITUTE(SUBSTITUTE(SUBSTITUTE(SUBSTITUTE(SUBSTITUTE(LOWER(Registro!$F996)," ",""),CHAR(10),"|"),";","|"),"+","|"),"|",REPT(" ",LEN(Registro!$F996))),({1,2,3,4,5,6,7,8,9,10,11,12,13,14,15,16,17,18,19,20,21,22,23,24,25,26,27,28,29,30}-1)*LEN(Registro!$F996)+1,LEN(Registro!$F996))),FIND("x",TRIM(MID(SUBSTITUTE(SUBSTITUTE(SUBSTITUTE(SUBSTITUTE(SUBSTITUTE(LOWER(Registro!$F996)," ",""),CHAR(10),"|"),";","|"),"+","|"),"|",REPT(" ",LEN(Registro!$F996))),({1,2,3,4,5,6,7,8,9,10,11,12,13,14,15,16,17,18,19,20,21,22,23,24,25,26,27,28,29,30}-1)*LEN(Registro!$F996)+1,LEN(Registro!$F996)))&amp;"x")-1)),--("0"&amp;MID(TRIM(MID(SUBSTITUTE(SUBSTITUTE(SUBSTITUTE(SUBSTITUTE(SUBSTITUTE(LOWER(Registro!$F996)," ",""),CHAR(10),"|"),";","|"),"+","|"),"|",REPT(" ",LEN(Registro!$F996))),({1,2,3,4,5,6,7,8,9,10,11,12,13,14,15,16,17,18,19,20,21,22,23,24,25,26,27,28,29,30}-1)*LEN(Registro!$F996)+1,LEN(Registro!$F996))),FIND("x",TRIM(MID(SUBSTITUTE(SUBSTITUTE(SUBSTITUTE(SUBSTITUTE(SUBSTITUTE(LOWER(Registro!$F996)," ",""),CHAR(10),"|"),";","|"),"+","|"),"|",REPT(" ",LEN(Registro!$F996))),({1,2,3,4,5,6,7,8,9,10,11,12,13,14,15,16,17,18,19,20,21,22,23,24,25,26,27,28,29,30}-1)*LEN(Registro!$F996)+1,LEN(Registro!$F996)))&amp;"x")+1,20))),"Revisar formato")))</f>
        <v/>
      </c>
      <c r="H996" s="21" t="str">
        <f>IF(AND(Registro!$E996="",Registro!$F996=""),"",IF(NOT(AND(ISNUMBER(G996),ISNUMBER(Registro!$G996))),"",IF(G996&lt;Registro!$G996,"FALTA BOLETOS",IF(G996=Registro!$G996,"CONFORME","DIFERENCIA"))))</f>
        <v/>
      </c>
      <c r="I996" s="24" t="str">
        <f>IF(Registro!$H996="","",IFERROR(SUMPRODUCT(--("0"&amp;TRIM(RIGHT(SUBSTITUTE(TRIM(MID(SUBSTITUTE(SUBSTITUTE(Registro!$H996,";",CHAR(10)),CHAR(10),REPT(" ",LEN(Registro!$H996))),({1,2,3,4,5,6,7,8,9,10,11,12,13,14,15,16,17,18,19,20,21,22,23,24,25,26,27,28,29,30}-1)*LEN(Registro!$H996)+1,LEN(Registro!$H996)))," ",REPT(" ",50)),50)))),"Revisar formato"))</f>
        <v/>
      </c>
      <c r="J996" s="24" t="str">
        <f>IF(Registro!$I996="","",IFERROR(SUMPRODUCT(--("0"&amp;TRIM(RIGHT(SUBSTITUTE(TRIM(MID(SUBSTITUTE(SUBSTITUTE(Registro!$I996,";",CHAR(10)),CHAR(10),REPT(" ",LEN(Registro!$I996))),({1,2,3,4,5,6,7,8,9,10,11,12,13,14,15,16,17,18,19,20,21,22,23,24,25,26,27,28,29,30}-1)*LEN(Registro!$I996)+1,LEN(Registro!$I996)))," ",REPT(" ",50)),50)))),"Revisar formato"))</f>
        <v/>
      </c>
      <c r="K996" s="24" t="str">
        <f>IF(AND(Registro!$G996="",Registro!$H996=""),"",IF(AND(ISTEXT(I996),I996&lt;&gt;""),"Revisar formato",N(Registro!$G996)-N(I996)))</f>
        <v/>
      </c>
      <c r="L996" s="24" t="str">
        <f t="shared" si="31"/>
        <v/>
      </c>
      <c r="M996" s="36" t="str">
        <f>IF(AND(A996=Consulta!$B$3,C996=Consulta!$H$3),B996*10000+ROW(),"")</f>
        <v/>
      </c>
    </row>
    <row r="997" spans="1:13" x14ac:dyDescent="0.25">
      <c r="A997" s="21" t="str">
        <f>IF(Registro!$A997="","",Registro!$A997)</f>
        <v/>
      </c>
      <c r="B997" s="20" t="str">
        <f>IF(Registro!$B997="","",Registro!$B997)</f>
        <v/>
      </c>
      <c r="C997" s="35" t="str">
        <f t="shared" si="30"/>
        <v/>
      </c>
      <c r="D997" s="23" t="str">
        <f>IF(Registro!$E997="","",IF(ISERROR(FIND("x",LOWER(Registro!$E997))),"-",IFERROR(SUMPRODUCT(--("0"&amp;LEFT(TRIM(MID(SUBSTITUTE(SUBSTITUTE(SUBSTITUTE(SUBSTITUTE(SUBSTITUTE(LOWER(Registro!$E997),"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",LEN(Registro!$E997))),({1,2,3,4,5,6,7,8,9,10,11,12,13,14,15,16,17,18,19,20,21,22,23,24,25,26,27,28,29,30}-1)*LEN(Registro!$E997)+1,LEN(Registro!$E997))),FIND("x",TRIM(MID(SUBSTITUTE(SUBSTITUTE(SUBSTITUTE(SUBSTITUTE(SUBSTITUTE(LOWER(Registro!$E997),"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",LEN(Registro!$E997))),({1,2,3,4,5,6,7,8,9,10,11,12,13,14,15,16,17,18,19,20,21,22,23,24,25,26,27,28,29,30}-1)*LEN(Registro!$E997)+1,LEN(Registro!$E997)))&amp;"x")-1))),"Revisar formato")))</f>
        <v/>
      </c>
      <c r="E997" s="24" t="str">
        <f>IF(Registro!$E997="","",IF(ISERROR(FIND("x",LOWER(Registro!$E997))),"-",IFERROR(SUMPRODUCT(--("0"&amp;LEFT(TRIM(MID(SUBSTITUTE(SUBSTITUTE(SUBSTITUTE(SUBSTITUTE(SUBSTITUTE(LOWER(Registro!$E997),"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",LEN(Registro!$E997))),({1,2,3,4,5,6,7,8,9,10,11,12,13,14,15,16,17,18,19,20,21,22,23,24,25,26,27,28,29,30}-1)*LEN(Registro!$E997)+1,LEN(Registro!$E997))),FIND("x",TRIM(MID(SUBSTITUTE(SUBSTITUTE(SUBSTITUTE(SUBSTITUTE(SUBSTITUTE(LOWER(Registro!$E997),"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",LEN(Registro!$E997))),({1,2,3,4,5,6,7,8,9,10,11,12,13,14,15,16,17,18,19,20,21,22,23,24,25,26,27,28,29,30}-1)*LEN(Registro!$E997)+1,LEN(Registro!$E997)))&amp;"x")-1)),--("0"&amp;MID(TRIM(MID(SUBSTITUTE(SUBSTITUTE(SUBSTITUTE(SUBSTITUTE(SUBSTITUTE(LOWER(Registro!$E997),"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",LEN(Registro!$E997))),({1,2,3,4,5,6,7,8,9,10,11,12,13,14,15,16,17,18,19,20,21,22,23,24,25,26,27,28,29,30}-1)*LEN(Registro!$E997)+1,LEN(Registro!$E997))),FIND("x",TRIM(MID(SUBSTITUTE(SUBSTITUTE(SUBSTITUTE(SUBSTITUTE(SUBSTITUTE(LOWER(Registro!$E997),"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",LEN(Registro!$E997))),({1,2,3,4,5,6,7,8,9,10,11,12,13,14,15,16,17,18,19,20,21,22,23,24,25,26,27,28,29,30}-1)*LEN(Registro!$E997)+1,LEN(Registro!$E997)))&amp;"x")+1,20))),"Revisar formato")))</f>
        <v/>
      </c>
      <c r="F997" s="23" t="str">
        <f>IF(Registro!$F997="","",IF(ISERROR(FIND("x",LOWER(Registro!$F997))),"-",IFERROR(SUMPRODUCT(--("0"&amp;LEFT(TRIM(MID(SUBSTITUTE(SUBSTITUTE(SUBSTITUTE(SUBSTITUTE(SUBSTITUTE(LOWER(Registro!$F997)," ",""),CHAR(10),"|"),";","|"),"+","|"),"|",REPT(" ",LEN(Registro!$F997))),({1,2,3,4,5,6,7,8,9,10,11,12,13,14,15,16,17,18,19,20,21,22,23,24,25,26,27,28,29,30}-1)*LEN(Registro!$F997)+1,LEN(Registro!$F997))),FIND("x",TRIM(MID(SUBSTITUTE(SUBSTITUTE(SUBSTITUTE(SUBSTITUTE(SUBSTITUTE(LOWER(Registro!$F997)," ",""),CHAR(10),"|"),";","|"),"+","|"),"|",REPT(" ",LEN(Registro!$F997))),({1,2,3,4,5,6,7,8,9,10,11,12,13,14,15,16,17,18,19,20,21,22,23,24,25,26,27,28,29,30}-1)*LEN(Registro!$F997)+1,LEN(Registro!$F997)))&amp;"x")-1))),"Revisar formato")))</f>
        <v/>
      </c>
      <c r="G997" s="24" t="str">
        <f>IF(Registro!$F997="","",IF(ISERROR(FIND("x",LOWER(Registro!$F997))),N(Registro!$G997),IFERROR(SUMPRODUCT(--("0"&amp;LEFT(TRIM(MID(SUBSTITUTE(SUBSTITUTE(SUBSTITUTE(SUBSTITUTE(SUBSTITUTE(LOWER(Registro!$F997)," ",""),CHAR(10),"|"),";","|"),"+","|"),"|",REPT(" ",LEN(Registro!$F997))),({1,2,3,4,5,6,7,8,9,10,11,12,13,14,15,16,17,18,19,20,21,22,23,24,25,26,27,28,29,30}-1)*LEN(Registro!$F997)+1,LEN(Registro!$F997))),FIND("x",TRIM(MID(SUBSTITUTE(SUBSTITUTE(SUBSTITUTE(SUBSTITUTE(SUBSTITUTE(LOWER(Registro!$F997)," ",""),CHAR(10),"|"),";","|"),"+","|"),"|",REPT(" ",LEN(Registro!$F997))),({1,2,3,4,5,6,7,8,9,10,11,12,13,14,15,16,17,18,19,20,21,22,23,24,25,26,27,28,29,30}-1)*LEN(Registro!$F997)+1,LEN(Registro!$F997)))&amp;"x")-1)),--("0"&amp;MID(TRIM(MID(SUBSTITUTE(SUBSTITUTE(SUBSTITUTE(SUBSTITUTE(SUBSTITUTE(LOWER(Registro!$F997)," ",""),CHAR(10),"|"),";","|"),"+","|"),"|",REPT(" ",LEN(Registro!$F997))),({1,2,3,4,5,6,7,8,9,10,11,12,13,14,15,16,17,18,19,20,21,22,23,24,25,26,27,28,29,30}-1)*LEN(Registro!$F997)+1,LEN(Registro!$F997))),FIND("x",TRIM(MID(SUBSTITUTE(SUBSTITUTE(SUBSTITUTE(SUBSTITUTE(SUBSTITUTE(LOWER(Registro!$F997)," ",""),CHAR(10),"|"),";","|"),"+","|"),"|",REPT(" ",LEN(Registro!$F997))),({1,2,3,4,5,6,7,8,9,10,11,12,13,14,15,16,17,18,19,20,21,22,23,24,25,26,27,28,29,30}-1)*LEN(Registro!$F997)+1,LEN(Registro!$F997)))&amp;"x")+1,20))),"Revisar formato")))</f>
        <v/>
      </c>
      <c r="H997" s="21" t="str">
        <f>IF(AND(Registro!$E997="",Registro!$F997=""),"",IF(NOT(AND(ISNUMBER(G997),ISNUMBER(Registro!$G997))),"",IF(G997&lt;Registro!$G997,"FALTA BOLETOS",IF(G997=Registro!$G997,"CONFORME","DIFERENCIA"))))</f>
        <v/>
      </c>
      <c r="I997" s="24" t="str">
        <f>IF(Registro!$H997="","",IFERROR(SUMPRODUCT(--("0"&amp;TRIM(RIGHT(SUBSTITUTE(TRIM(MID(SUBSTITUTE(SUBSTITUTE(Registro!$H997,";",CHAR(10)),CHAR(10),REPT(" ",LEN(Registro!$H997))),({1,2,3,4,5,6,7,8,9,10,11,12,13,14,15,16,17,18,19,20,21,22,23,24,25,26,27,28,29,30}-1)*LEN(Registro!$H997)+1,LEN(Registro!$H997)))," ",REPT(" ",50)),50)))),"Revisar formato"))</f>
        <v/>
      </c>
      <c r="J997" s="24" t="str">
        <f>IF(Registro!$I997="","",IFERROR(SUMPRODUCT(--("0"&amp;TRIM(RIGHT(SUBSTITUTE(TRIM(MID(SUBSTITUTE(SUBSTITUTE(Registro!$I997,";",CHAR(10)),CHAR(10),REPT(" ",LEN(Registro!$I997))),({1,2,3,4,5,6,7,8,9,10,11,12,13,14,15,16,17,18,19,20,21,22,23,24,25,26,27,28,29,30}-1)*LEN(Registro!$I997)+1,LEN(Registro!$I997)))," ",REPT(" ",50)),50)))),"Revisar formato"))</f>
        <v/>
      </c>
      <c r="K997" s="24" t="str">
        <f>IF(AND(Registro!$G997="",Registro!$H997=""),"",IF(AND(ISTEXT(I997),I997&lt;&gt;""),"Revisar formato",N(Registro!$G997)-N(I997)))</f>
        <v/>
      </c>
      <c r="L997" s="24" t="str">
        <f t="shared" si="31"/>
        <v/>
      </c>
      <c r="M997" s="36" t="str">
        <f>IF(AND(A997=Consulta!$B$3,C997=Consulta!$H$3),B997*10000+ROW(),"")</f>
        <v/>
      </c>
    </row>
    <row r="998" spans="1:13" x14ac:dyDescent="0.25">
      <c r="A998" s="21" t="str">
        <f>IF(Registro!$A998="","",Registro!$A998)</f>
        <v/>
      </c>
      <c r="B998" s="20" t="str">
        <f>IF(Registro!$B998="","",Registro!$B998)</f>
        <v/>
      </c>
      <c r="C998" s="35" t="str">
        <f t="shared" si="30"/>
        <v/>
      </c>
      <c r="D998" s="23" t="str">
        <f>IF(Registro!$E998="","",IF(ISERROR(FIND("x",LOWER(Registro!$E998))),"-",IFERROR(SUMPRODUCT(--("0"&amp;LEFT(TRIM(MID(SUBSTITUTE(SUBSTITUTE(SUBSTITUTE(SUBSTITUTE(SUBSTITUTE(LOWER(Registro!$E998),"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",LEN(Registro!$E998))),({1,2,3,4,5,6,7,8,9,10,11,12,13,14,15,16,17,18,19,20,21,22,23,24,25,26,27,28,29,30}-1)*LEN(Registro!$E998)+1,LEN(Registro!$E998))),FIND("x",TRIM(MID(SUBSTITUTE(SUBSTITUTE(SUBSTITUTE(SUBSTITUTE(SUBSTITUTE(LOWER(Registro!$E998),"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",LEN(Registro!$E998))),({1,2,3,4,5,6,7,8,9,10,11,12,13,14,15,16,17,18,19,20,21,22,23,24,25,26,27,28,29,30}-1)*LEN(Registro!$E998)+1,LEN(Registro!$E998)))&amp;"x")-1))),"Revisar formato")))</f>
        <v/>
      </c>
      <c r="E998" s="24" t="str">
        <f>IF(Registro!$E998="","",IF(ISERROR(FIND("x",LOWER(Registro!$E998))),"-",IFERROR(SUMPRODUCT(--("0"&amp;LEFT(TRIM(MID(SUBSTITUTE(SUBSTITUTE(SUBSTITUTE(SUBSTITUTE(SUBSTITUTE(LOWER(Registro!$E998),"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",LEN(Registro!$E998))),({1,2,3,4,5,6,7,8,9,10,11,12,13,14,15,16,17,18,19,20,21,22,23,24,25,26,27,28,29,30}-1)*LEN(Registro!$E998)+1,LEN(Registro!$E998))),FIND("x",TRIM(MID(SUBSTITUTE(SUBSTITUTE(SUBSTITUTE(SUBSTITUTE(SUBSTITUTE(LOWER(Registro!$E998),"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",LEN(Registro!$E998))),({1,2,3,4,5,6,7,8,9,10,11,12,13,14,15,16,17,18,19,20,21,22,23,24,25,26,27,28,29,30}-1)*LEN(Registro!$E998)+1,LEN(Registro!$E998)))&amp;"x")-1)),--("0"&amp;MID(TRIM(MID(SUBSTITUTE(SUBSTITUTE(SUBSTITUTE(SUBSTITUTE(SUBSTITUTE(LOWER(Registro!$E998),"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",LEN(Registro!$E998))),({1,2,3,4,5,6,7,8,9,10,11,12,13,14,15,16,17,18,19,20,21,22,23,24,25,26,27,28,29,30}-1)*LEN(Registro!$E998)+1,LEN(Registro!$E998))),FIND("x",TRIM(MID(SUBSTITUTE(SUBSTITUTE(SUBSTITUTE(SUBSTITUTE(SUBSTITUTE(LOWER(Registro!$E998),"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",LEN(Registro!$E998))),({1,2,3,4,5,6,7,8,9,10,11,12,13,14,15,16,17,18,19,20,21,22,23,24,25,26,27,28,29,30}-1)*LEN(Registro!$E998)+1,LEN(Registro!$E998)))&amp;"x")+1,20))),"Revisar formato")))</f>
        <v/>
      </c>
      <c r="F998" s="23" t="str">
        <f>IF(Registro!$F998="","",IF(ISERROR(FIND("x",LOWER(Registro!$F998))),"-",IFERROR(SUMPRODUCT(--("0"&amp;LEFT(TRIM(MID(SUBSTITUTE(SUBSTITUTE(SUBSTITUTE(SUBSTITUTE(SUBSTITUTE(LOWER(Registro!$F998)," ",""),CHAR(10),"|"),";","|"),"+","|"),"|",REPT(" ",LEN(Registro!$F998))),({1,2,3,4,5,6,7,8,9,10,11,12,13,14,15,16,17,18,19,20,21,22,23,24,25,26,27,28,29,30}-1)*LEN(Registro!$F998)+1,LEN(Registro!$F998))),FIND("x",TRIM(MID(SUBSTITUTE(SUBSTITUTE(SUBSTITUTE(SUBSTITUTE(SUBSTITUTE(LOWER(Registro!$F998)," ",""),CHAR(10),"|"),";","|"),"+","|"),"|",REPT(" ",LEN(Registro!$F998))),({1,2,3,4,5,6,7,8,9,10,11,12,13,14,15,16,17,18,19,20,21,22,23,24,25,26,27,28,29,30}-1)*LEN(Registro!$F998)+1,LEN(Registro!$F998)))&amp;"x")-1))),"Revisar formato")))</f>
        <v/>
      </c>
      <c r="G998" s="24" t="str">
        <f>IF(Registro!$F998="","",IF(ISERROR(FIND("x",LOWER(Registro!$F998))),N(Registro!$G998),IFERROR(SUMPRODUCT(--("0"&amp;LEFT(TRIM(MID(SUBSTITUTE(SUBSTITUTE(SUBSTITUTE(SUBSTITUTE(SUBSTITUTE(LOWER(Registro!$F998)," ",""),CHAR(10),"|"),";","|"),"+","|"),"|",REPT(" ",LEN(Registro!$F998))),({1,2,3,4,5,6,7,8,9,10,11,12,13,14,15,16,17,18,19,20,21,22,23,24,25,26,27,28,29,30}-1)*LEN(Registro!$F998)+1,LEN(Registro!$F998))),FIND("x",TRIM(MID(SUBSTITUTE(SUBSTITUTE(SUBSTITUTE(SUBSTITUTE(SUBSTITUTE(LOWER(Registro!$F998)," ",""),CHAR(10),"|"),";","|"),"+","|"),"|",REPT(" ",LEN(Registro!$F998))),({1,2,3,4,5,6,7,8,9,10,11,12,13,14,15,16,17,18,19,20,21,22,23,24,25,26,27,28,29,30}-1)*LEN(Registro!$F998)+1,LEN(Registro!$F998)))&amp;"x")-1)),--("0"&amp;MID(TRIM(MID(SUBSTITUTE(SUBSTITUTE(SUBSTITUTE(SUBSTITUTE(SUBSTITUTE(LOWER(Registro!$F998)," ",""),CHAR(10),"|"),";","|"),"+","|"),"|",REPT(" ",LEN(Registro!$F998))),({1,2,3,4,5,6,7,8,9,10,11,12,13,14,15,16,17,18,19,20,21,22,23,24,25,26,27,28,29,30}-1)*LEN(Registro!$F998)+1,LEN(Registro!$F998))),FIND("x",TRIM(MID(SUBSTITUTE(SUBSTITUTE(SUBSTITUTE(SUBSTITUTE(SUBSTITUTE(LOWER(Registro!$F998)," ",""),CHAR(10),"|"),";","|"),"+","|"),"|",REPT(" ",LEN(Registro!$F998))),({1,2,3,4,5,6,7,8,9,10,11,12,13,14,15,16,17,18,19,20,21,22,23,24,25,26,27,28,29,30}-1)*LEN(Registro!$F998)+1,LEN(Registro!$F998)))&amp;"x")+1,20))),"Revisar formato")))</f>
        <v/>
      </c>
      <c r="H998" s="21" t="str">
        <f>IF(AND(Registro!$E998="",Registro!$F998=""),"",IF(NOT(AND(ISNUMBER(G998),ISNUMBER(Registro!$G998))),"",IF(G998&lt;Registro!$G998,"FALTA BOLETOS",IF(G998=Registro!$G998,"CONFORME","DIFERENCIA"))))</f>
        <v/>
      </c>
      <c r="I998" s="24" t="str">
        <f>IF(Registro!$H998="","",IFERROR(SUMPRODUCT(--("0"&amp;TRIM(RIGHT(SUBSTITUTE(TRIM(MID(SUBSTITUTE(SUBSTITUTE(Registro!$H998,";",CHAR(10)),CHAR(10),REPT(" ",LEN(Registro!$H998))),({1,2,3,4,5,6,7,8,9,10,11,12,13,14,15,16,17,18,19,20,21,22,23,24,25,26,27,28,29,30}-1)*LEN(Registro!$H998)+1,LEN(Registro!$H998)))," ",REPT(" ",50)),50)))),"Revisar formato"))</f>
        <v/>
      </c>
      <c r="J998" s="24" t="str">
        <f>IF(Registro!$I998="","",IFERROR(SUMPRODUCT(--("0"&amp;TRIM(RIGHT(SUBSTITUTE(TRIM(MID(SUBSTITUTE(SUBSTITUTE(Registro!$I998,";",CHAR(10)),CHAR(10),REPT(" ",LEN(Registro!$I998))),({1,2,3,4,5,6,7,8,9,10,11,12,13,14,15,16,17,18,19,20,21,22,23,24,25,26,27,28,29,30}-1)*LEN(Registro!$I998)+1,LEN(Registro!$I998)))," ",REPT(" ",50)),50)))),"Revisar formato"))</f>
        <v/>
      </c>
      <c r="K998" s="24" t="str">
        <f>IF(AND(Registro!$G998="",Registro!$H998=""),"",IF(AND(ISTEXT(I998),I998&lt;&gt;""),"Revisar formato",N(Registro!$G998)-N(I998)))</f>
        <v/>
      </c>
      <c r="L998" s="24" t="str">
        <f t="shared" si="31"/>
        <v/>
      </c>
      <c r="M998" s="36" t="str">
        <f>IF(AND(A998=Consulta!$B$3,C998=Consulta!$H$3),B998*10000+ROW(),"")</f>
        <v/>
      </c>
    </row>
    <row r="999" spans="1:13" x14ac:dyDescent="0.25">
      <c r="A999" s="21" t="str">
        <f>IF(Registro!$A999="","",Registro!$A999)</f>
        <v/>
      </c>
      <c r="B999" s="20" t="str">
        <f>IF(Registro!$B999="","",Registro!$B999)</f>
        <v/>
      </c>
      <c r="C999" s="35" t="str">
        <f t="shared" si="30"/>
        <v/>
      </c>
      <c r="D999" s="23" t="str">
        <f>IF(Registro!$E999="","",IF(ISERROR(FIND("x",LOWER(Registro!$E999))),"-",IFERROR(SUMPRODUCT(--("0"&amp;LEFT(TRIM(MID(SUBSTITUTE(SUBSTITUTE(SUBSTITUTE(SUBSTITUTE(SUBSTITUTE(LOWER(Registro!$E999),"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",LEN(Registro!$E999))),({1,2,3,4,5,6,7,8,9,10,11,12,13,14,15,16,17,18,19,20,21,22,23,24,25,26,27,28,29,30}-1)*LEN(Registro!$E999)+1,LEN(Registro!$E999))),FIND("x",TRIM(MID(SUBSTITUTE(SUBSTITUTE(SUBSTITUTE(SUBSTITUTE(SUBSTITUTE(LOWER(Registro!$E999),"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",LEN(Registro!$E999))),({1,2,3,4,5,6,7,8,9,10,11,12,13,14,15,16,17,18,19,20,21,22,23,24,25,26,27,28,29,30}-1)*LEN(Registro!$E999)+1,LEN(Registro!$E999)))&amp;"x")-1))),"Revisar formato")))</f>
        <v/>
      </c>
      <c r="E999" s="24" t="str">
        <f>IF(Registro!$E999="","",IF(ISERROR(FIND("x",LOWER(Registro!$E999))),"-",IFERROR(SUMPRODUCT(--("0"&amp;LEFT(TRIM(MID(SUBSTITUTE(SUBSTITUTE(SUBSTITUTE(SUBSTITUTE(SUBSTITUTE(LOWER(Registro!$E999),"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",LEN(Registro!$E999))),({1,2,3,4,5,6,7,8,9,10,11,12,13,14,15,16,17,18,19,20,21,22,23,24,25,26,27,28,29,30}-1)*LEN(Registro!$E999)+1,LEN(Registro!$E999))),FIND("x",TRIM(MID(SUBSTITUTE(SUBSTITUTE(SUBSTITUTE(SUBSTITUTE(SUBSTITUTE(LOWER(Registro!$E999),"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",LEN(Registro!$E999))),({1,2,3,4,5,6,7,8,9,10,11,12,13,14,15,16,17,18,19,20,21,22,23,24,25,26,27,28,29,30}-1)*LEN(Registro!$E999)+1,LEN(Registro!$E999)))&amp;"x")-1)),--("0"&amp;MID(TRIM(MID(SUBSTITUTE(SUBSTITUTE(SUBSTITUTE(SUBSTITUTE(SUBSTITUTE(LOWER(Registro!$E999),"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",LEN(Registro!$E999))),({1,2,3,4,5,6,7,8,9,10,11,12,13,14,15,16,17,18,19,20,21,22,23,24,25,26,27,28,29,30}-1)*LEN(Registro!$E999)+1,LEN(Registro!$E999))),FIND("x",TRIM(MID(SUBSTITUTE(SUBSTITUTE(SUBSTITUTE(SUBSTITUTE(SUBSTITUTE(LOWER(Registro!$E999),"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",LEN(Registro!$E999))),({1,2,3,4,5,6,7,8,9,10,11,12,13,14,15,16,17,18,19,20,21,22,23,24,25,26,27,28,29,30}-1)*LEN(Registro!$E999)+1,LEN(Registro!$E999)))&amp;"x")+1,20))),"Revisar formato")))</f>
        <v/>
      </c>
      <c r="F999" s="23" t="str">
        <f>IF(Registro!$F999="","",IF(ISERROR(FIND("x",LOWER(Registro!$F999))),"-",IFERROR(SUMPRODUCT(--("0"&amp;LEFT(TRIM(MID(SUBSTITUTE(SUBSTITUTE(SUBSTITUTE(SUBSTITUTE(SUBSTITUTE(LOWER(Registro!$F999)," ",""),CHAR(10),"|"),";","|"),"+","|"),"|",REPT(" ",LEN(Registro!$F999))),({1,2,3,4,5,6,7,8,9,10,11,12,13,14,15,16,17,18,19,20,21,22,23,24,25,26,27,28,29,30}-1)*LEN(Registro!$F999)+1,LEN(Registro!$F999))),FIND("x",TRIM(MID(SUBSTITUTE(SUBSTITUTE(SUBSTITUTE(SUBSTITUTE(SUBSTITUTE(LOWER(Registro!$F999)," ",""),CHAR(10),"|"),";","|"),"+","|"),"|",REPT(" ",LEN(Registro!$F999))),({1,2,3,4,5,6,7,8,9,10,11,12,13,14,15,16,17,18,19,20,21,22,23,24,25,26,27,28,29,30}-1)*LEN(Registro!$F999)+1,LEN(Registro!$F999)))&amp;"x")-1))),"Revisar formato")))</f>
        <v/>
      </c>
      <c r="G999" s="24" t="str">
        <f>IF(Registro!$F999="","",IF(ISERROR(FIND("x",LOWER(Registro!$F999))),N(Registro!$G999),IFERROR(SUMPRODUCT(--("0"&amp;LEFT(TRIM(MID(SUBSTITUTE(SUBSTITUTE(SUBSTITUTE(SUBSTITUTE(SUBSTITUTE(LOWER(Registro!$F999)," ",""),CHAR(10),"|"),";","|"),"+","|"),"|",REPT(" ",LEN(Registro!$F999))),({1,2,3,4,5,6,7,8,9,10,11,12,13,14,15,16,17,18,19,20,21,22,23,24,25,26,27,28,29,30}-1)*LEN(Registro!$F999)+1,LEN(Registro!$F999))),FIND("x",TRIM(MID(SUBSTITUTE(SUBSTITUTE(SUBSTITUTE(SUBSTITUTE(SUBSTITUTE(LOWER(Registro!$F999)," ",""),CHAR(10),"|"),";","|"),"+","|"),"|",REPT(" ",LEN(Registro!$F999))),({1,2,3,4,5,6,7,8,9,10,11,12,13,14,15,16,17,18,19,20,21,22,23,24,25,26,27,28,29,30}-1)*LEN(Registro!$F999)+1,LEN(Registro!$F999)))&amp;"x")-1)),--("0"&amp;MID(TRIM(MID(SUBSTITUTE(SUBSTITUTE(SUBSTITUTE(SUBSTITUTE(SUBSTITUTE(LOWER(Registro!$F999)," ",""),CHAR(10),"|"),";","|"),"+","|"),"|",REPT(" ",LEN(Registro!$F999))),({1,2,3,4,5,6,7,8,9,10,11,12,13,14,15,16,17,18,19,20,21,22,23,24,25,26,27,28,29,30}-1)*LEN(Registro!$F999)+1,LEN(Registro!$F999))),FIND("x",TRIM(MID(SUBSTITUTE(SUBSTITUTE(SUBSTITUTE(SUBSTITUTE(SUBSTITUTE(LOWER(Registro!$F999)," ",""),CHAR(10),"|"),";","|"),"+","|"),"|",REPT(" ",LEN(Registro!$F999))),({1,2,3,4,5,6,7,8,9,10,11,12,13,14,15,16,17,18,19,20,21,22,23,24,25,26,27,28,29,30}-1)*LEN(Registro!$F999)+1,LEN(Registro!$F999)))&amp;"x")+1,20))),"Revisar formato")))</f>
        <v/>
      </c>
      <c r="H999" s="21" t="str">
        <f>IF(AND(Registro!$E999="",Registro!$F999=""),"",IF(NOT(AND(ISNUMBER(G999),ISNUMBER(Registro!$G999))),"",IF(G999&lt;Registro!$G999,"FALTA BOLETOS",IF(G999=Registro!$G999,"CONFORME","DIFERENCIA"))))</f>
        <v/>
      </c>
      <c r="I999" s="24" t="str">
        <f>IF(Registro!$H999="","",IFERROR(SUMPRODUCT(--("0"&amp;TRIM(RIGHT(SUBSTITUTE(TRIM(MID(SUBSTITUTE(SUBSTITUTE(Registro!$H999,";",CHAR(10)),CHAR(10),REPT(" ",LEN(Registro!$H999))),({1,2,3,4,5,6,7,8,9,10,11,12,13,14,15,16,17,18,19,20,21,22,23,24,25,26,27,28,29,30}-1)*LEN(Registro!$H999)+1,LEN(Registro!$H999)))," ",REPT(" ",50)),50)))),"Revisar formato"))</f>
        <v/>
      </c>
      <c r="J999" s="24" t="str">
        <f>IF(Registro!$I999="","",IFERROR(SUMPRODUCT(--("0"&amp;TRIM(RIGHT(SUBSTITUTE(TRIM(MID(SUBSTITUTE(SUBSTITUTE(Registro!$I999,";",CHAR(10)),CHAR(10),REPT(" ",LEN(Registro!$I999))),({1,2,3,4,5,6,7,8,9,10,11,12,13,14,15,16,17,18,19,20,21,22,23,24,25,26,27,28,29,30}-1)*LEN(Registro!$I999)+1,LEN(Registro!$I999)))," ",REPT(" ",50)),50)))),"Revisar formato"))</f>
        <v/>
      </c>
      <c r="K999" s="24" t="str">
        <f>IF(AND(Registro!$G999="",Registro!$H999=""),"",IF(AND(ISTEXT(I999),I999&lt;&gt;""),"Revisar formato",N(Registro!$G999)-N(I999)))</f>
        <v/>
      </c>
      <c r="L999" s="24" t="str">
        <f t="shared" si="31"/>
        <v/>
      </c>
      <c r="M999" s="36" t="str">
        <f>IF(AND(A999=Consulta!$B$3,C999=Consulta!$H$3),B999*10000+ROW(),"")</f>
        <v/>
      </c>
    </row>
    <row r="1000" spans="1:13" x14ac:dyDescent="0.25">
      <c r="A1000" s="21" t="str">
        <f>IF(Registro!$A1000="","",Registro!$A1000)</f>
        <v/>
      </c>
      <c r="B1000" s="20" t="str">
        <f>IF(Registro!$B1000="","",Registro!$B1000)</f>
        <v/>
      </c>
      <c r="C1000" s="35" t="str">
        <f t="shared" si="30"/>
        <v/>
      </c>
      <c r="D1000" s="23" t="str">
        <f>IF(Registro!$E1000="","",IF(ISERROR(FIND("x",LOWER(Registro!$E1000))),"-",IFERROR(SUMPRODUCT(--("0"&amp;LEFT(TRIM(MID(SUBSTITUTE(SUBSTITUTE(SUBSTITUTE(SUBSTITUTE(SUBSTITUTE(LOWER(Registro!$E1000),"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",LEN(Registro!$E1000))),({1,2,3,4,5,6,7,8,9,10,11,12,13,14,15,16,17,18,19,20,21,22,23,24,25,26,27,28,29,30}-1)*LEN(Registro!$E1000)+1,LEN(Registro!$E1000))),FIND("x",TRIM(MID(SUBSTITUTE(SUBSTITUTE(SUBSTITUTE(SUBSTITUTE(SUBSTITUTE(LOWER(Registro!$E1000),"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",LEN(Registro!$E1000))),({1,2,3,4,5,6,7,8,9,10,11,12,13,14,15,16,17,18,19,20,21,22,23,24,25,26,27,28,29,30}-1)*LEN(Registro!$E1000)+1,LEN(Registro!$E1000)))&amp;"x")-1))),"Revisar formato")))</f>
        <v/>
      </c>
      <c r="E1000" s="24" t="str">
        <f>IF(Registro!$E1000="","",IF(ISERROR(FIND("x",LOWER(Registro!$E1000))),"-",IFERROR(SUMPRODUCT(--("0"&amp;LEFT(TRIM(MID(SUBSTITUTE(SUBSTITUTE(SUBSTITUTE(SUBSTITUTE(SUBSTITUTE(LOWER(Registro!$E1000),"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",LEN(Registro!$E1000))),({1,2,3,4,5,6,7,8,9,10,11,12,13,14,15,16,17,18,19,20,21,22,23,24,25,26,27,28,29,30}-1)*LEN(Registro!$E1000)+1,LEN(Registro!$E1000))),FIND("x",TRIM(MID(SUBSTITUTE(SUBSTITUTE(SUBSTITUTE(SUBSTITUTE(SUBSTITUTE(LOWER(Registro!$E1000),"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",LEN(Registro!$E1000))),({1,2,3,4,5,6,7,8,9,10,11,12,13,14,15,16,17,18,19,20,21,22,23,24,25,26,27,28,29,30}-1)*LEN(Registro!$E1000)+1,LEN(Registro!$E1000)))&amp;"x")-1)),--("0"&amp;MID(TRIM(MID(SUBSTITUTE(SUBSTITUTE(SUBSTITUTE(SUBSTITUTE(SUBSTITUTE(LOWER(Registro!$E1000),"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",LEN(Registro!$E1000))),({1,2,3,4,5,6,7,8,9,10,11,12,13,14,15,16,17,18,19,20,21,22,23,24,25,26,27,28,29,30}-1)*LEN(Registro!$E1000)+1,LEN(Registro!$E1000))),FIND("x",TRIM(MID(SUBSTITUTE(SUBSTITUTE(SUBSTITUTE(SUBSTITUTE(SUBSTITUTE(LOWER(Registro!$E1000),"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",LEN(Registro!$E1000))),({1,2,3,4,5,6,7,8,9,10,11,12,13,14,15,16,17,18,19,20,21,22,23,24,25,26,27,28,29,30}-1)*LEN(Registro!$E1000)+1,LEN(Registro!$E1000)))&amp;"x")+1,20))),"Revisar formato")))</f>
        <v/>
      </c>
      <c r="F1000" s="23" t="str">
        <f>IF(Registro!$F1000="","",IF(ISERROR(FIND("x",LOWER(Registro!$F1000))),"-",IFERROR(SUMPRODUCT(--("0"&amp;LEFT(TRIM(MID(SUBSTITUTE(SUBSTITUTE(SUBSTITUTE(SUBSTITUTE(SUBSTITUTE(LOWER(Registro!$F1000)," ",""),CHAR(10),"|"),";","|"),"+","|"),"|",REPT(" ",LEN(Registro!$F1000))),({1,2,3,4,5,6,7,8,9,10,11,12,13,14,15,16,17,18,19,20,21,22,23,24,25,26,27,28,29,30}-1)*LEN(Registro!$F1000)+1,LEN(Registro!$F1000))),FIND("x",TRIM(MID(SUBSTITUTE(SUBSTITUTE(SUBSTITUTE(SUBSTITUTE(SUBSTITUTE(LOWER(Registro!$F1000)," ",""),CHAR(10),"|"),";","|"),"+","|"),"|",REPT(" ",LEN(Registro!$F1000))),({1,2,3,4,5,6,7,8,9,10,11,12,13,14,15,16,17,18,19,20,21,22,23,24,25,26,27,28,29,30}-1)*LEN(Registro!$F1000)+1,LEN(Registro!$F1000)))&amp;"x")-1))),"Revisar formato")))</f>
        <v/>
      </c>
      <c r="G1000" s="24" t="str">
        <f>IF(Registro!$F1000="","",IF(ISERROR(FIND("x",LOWER(Registro!$F1000))),N(Registro!$G1000),IFERROR(SUMPRODUCT(--("0"&amp;LEFT(TRIM(MID(SUBSTITUTE(SUBSTITUTE(SUBSTITUTE(SUBSTITUTE(SUBSTITUTE(LOWER(Registro!$F1000)," ",""),CHAR(10),"|"),";","|"),"+","|"),"|",REPT(" ",LEN(Registro!$F1000))),({1,2,3,4,5,6,7,8,9,10,11,12,13,14,15,16,17,18,19,20,21,22,23,24,25,26,27,28,29,30}-1)*LEN(Registro!$F1000)+1,LEN(Registro!$F1000))),FIND("x",TRIM(MID(SUBSTITUTE(SUBSTITUTE(SUBSTITUTE(SUBSTITUTE(SUBSTITUTE(LOWER(Registro!$F1000)," ",""),CHAR(10),"|"),";","|"),"+","|"),"|",REPT(" ",LEN(Registro!$F1000))),({1,2,3,4,5,6,7,8,9,10,11,12,13,14,15,16,17,18,19,20,21,22,23,24,25,26,27,28,29,30}-1)*LEN(Registro!$F1000)+1,LEN(Registro!$F1000)))&amp;"x")-1)),--("0"&amp;MID(TRIM(MID(SUBSTITUTE(SUBSTITUTE(SUBSTITUTE(SUBSTITUTE(SUBSTITUTE(LOWER(Registro!$F1000)," ",""),CHAR(10),"|"),";","|"),"+","|"),"|",REPT(" ",LEN(Registro!$F1000))),({1,2,3,4,5,6,7,8,9,10,11,12,13,14,15,16,17,18,19,20,21,22,23,24,25,26,27,28,29,30}-1)*LEN(Registro!$F1000)+1,LEN(Registro!$F1000))),FIND("x",TRIM(MID(SUBSTITUTE(SUBSTITUTE(SUBSTITUTE(SUBSTITUTE(SUBSTITUTE(LOWER(Registro!$F1000)," ",""),CHAR(10),"|"),";","|"),"+","|"),"|",REPT(" ",LEN(Registro!$F1000))),({1,2,3,4,5,6,7,8,9,10,11,12,13,14,15,16,17,18,19,20,21,22,23,24,25,26,27,28,29,30}-1)*LEN(Registro!$F1000)+1,LEN(Registro!$F1000)))&amp;"x")+1,20))),"Revisar formato")))</f>
        <v/>
      </c>
      <c r="H1000" s="21" t="str">
        <f>IF(AND(Registro!$E1000="",Registro!$F1000=""),"",IF(NOT(AND(ISNUMBER(G1000),ISNUMBER(Registro!$G1000))),"",IF(G1000&lt;Registro!$G1000,"FALTA BOLETOS",IF(G1000=Registro!$G1000,"CONFORME","DIFERENCIA"))))</f>
        <v/>
      </c>
      <c r="I1000" s="24" t="str">
        <f>IF(Registro!$H1000="","",IFERROR(SUMPRODUCT(--("0"&amp;TRIM(RIGHT(SUBSTITUTE(TRIM(MID(SUBSTITUTE(SUBSTITUTE(Registro!$H1000,";",CHAR(10)),CHAR(10),REPT(" ",LEN(Registro!$H1000))),({1,2,3,4,5,6,7,8,9,10,11,12,13,14,15,16,17,18,19,20,21,22,23,24,25,26,27,28,29,30}-1)*LEN(Registro!$H1000)+1,LEN(Registro!$H1000)))," ",REPT(" ",50)),50)))),"Revisar formato"))</f>
        <v/>
      </c>
      <c r="J1000" s="24" t="str">
        <f>IF(Registro!$I1000="","",IFERROR(SUMPRODUCT(--("0"&amp;TRIM(RIGHT(SUBSTITUTE(TRIM(MID(SUBSTITUTE(SUBSTITUTE(Registro!$I1000,";",CHAR(10)),CHAR(10),REPT(" ",LEN(Registro!$I1000))),({1,2,3,4,5,6,7,8,9,10,11,12,13,14,15,16,17,18,19,20,21,22,23,24,25,26,27,28,29,30}-1)*LEN(Registro!$I1000)+1,LEN(Registro!$I1000)))," ",REPT(" ",50)),50)))),"Revisar formato"))</f>
        <v/>
      </c>
      <c r="K1000" s="24" t="str">
        <f>IF(AND(Registro!$G1000="",Registro!$H1000=""),"",IF(AND(ISTEXT(I1000),I1000&lt;&gt;""),"Revisar formato",N(Registro!$G1000)-N(I1000)))</f>
        <v/>
      </c>
      <c r="L1000" s="24" t="str">
        <f t="shared" si="31"/>
        <v/>
      </c>
      <c r="M1000" s="36" t="str">
        <f>IF(AND(A1000=Consulta!$B$3,C1000=Consulta!$H$3),B1000*10000+ROW(),"")</f>
        <v/>
      </c>
    </row>
    <row r="1001" spans="1:13" x14ac:dyDescent="0.25">
      <c r="A1001" s="21" t="str">
        <f>IF(Registro!$A1001="","",Registro!$A1001)</f>
        <v/>
      </c>
      <c r="B1001" s="20" t="str">
        <f>IF(Registro!$B1001="","",Registro!$B1001)</f>
        <v/>
      </c>
      <c r="C1001" s="35" t="str">
        <f t="shared" si="30"/>
        <v/>
      </c>
      <c r="D1001" s="23" t="str">
        <f>IF(Registro!$E1001="","",IF(ISERROR(FIND("x",LOWER(Registro!$E1001))),"-",IFERROR(SUMPRODUCT(--("0"&amp;LEFT(TRIM(MID(SUBSTITUTE(SUBSTITUTE(SUBSTITUTE(SUBSTITUTE(SUBSTITUTE(LOWER(Registro!$E1001),"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",LEN(Registro!$E1001))),({1,2,3,4,5,6,7,8,9,10,11,12,13,14,15,16,17,18,19,20,21,22,23,24,25,26,27,28,29,30}-1)*LEN(Registro!$E1001)+1,LEN(Registro!$E1001))),FIND("x",TRIM(MID(SUBSTITUTE(SUBSTITUTE(SUBSTITUTE(SUBSTITUTE(SUBSTITUTE(LOWER(Registro!$E1001),"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",LEN(Registro!$E1001))),({1,2,3,4,5,6,7,8,9,10,11,12,13,14,15,16,17,18,19,20,21,22,23,24,25,26,27,28,29,30}-1)*LEN(Registro!$E1001)+1,LEN(Registro!$E1001)))&amp;"x")-1))),"Revisar formato")))</f>
        <v/>
      </c>
      <c r="E1001" s="24" t="str">
        <f>IF(Registro!$E1001="","",IF(ISERROR(FIND("x",LOWER(Registro!$E1001))),"-",IFERROR(SUMPRODUCT(--("0"&amp;LEFT(TRIM(MID(SUBSTITUTE(SUBSTITUTE(SUBSTITUTE(SUBSTITUTE(SUBSTITUTE(LOWER(Registro!$E1001),"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",LEN(Registro!$E1001))),({1,2,3,4,5,6,7,8,9,10,11,12,13,14,15,16,17,18,19,20,21,22,23,24,25,26,27,28,29,30}-1)*LEN(Registro!$E1001)+1,LEN(Registro!$E1001))),FIND("x",TRIM(MID(SUBSTITUTE(SUBSTITUTE(SUBSTITUTE(SUBSTITUTE(SUBSTITUTE(LOWER(Registro!$E1001),"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",LEN(Registro!$E1001))),({1,2,3,4,5,6,7,8,9,10,11,12,13,14,15,16,17,18,19,20,21,22,23,24,25,26,27,28,29,30}-1)*LEN(Registro!$E1001)+1,LEN(Registro!$E1001)))&amp;"x")-1)),--("0"&amp;MID(TRIM(MID(SUBSTITUTE(SUBSTITUTE(SUBSTITUTE(SUBSTITUTE(SUBSTITUTE(LOWER(Registro!$E1001),"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",LEN(Registro!$E1001))),({1,2,3,4,5,6,7,8,9,10,11,12,13,14,15,16,17,18,19,20,21,22,23,24,25,26,27,28,29,30}-1)*LEN(Registro!$E1001)+1,LEN(Registro!$E1001))),FIND("x",TRIM(MID(SUBSTITUTE(SUBSTITUTE(SUBSTITUTE(SUBSTITUTE(SUBSTITUTE(LOWER(Registro!$E1001),"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",LEN(Registro!$E1001))),({1,2,3,4,5,6,7,8,9,10,11,12,13,14,15,16,17,18,19,20,21,22,23,24,25,26,27,28,29,30}-1)*LEN(Registro!$E1001)+1,LEN(Registro!$E1001)))&amp;"x")+1,20))),"Revisar formato")))</f>
        <v/>
      </c>
      <c r="F1001" s="23" t="str">
        <f>IF(Registro!$F1001="","",IF(ISERROR(FIND("x",LOWER(Registro!$F1001))),"-",IFERROR(SUMPRODUCT(--("0"&amp;LEFT(TRIM(MID(SUBSTITUTE(SUBSTITUTE(SUBSTITUTE(SUBSTITUTE(SUBSTITUTE(LOWER(Registro!$F1001)," ",""),CHAR(10),"|"),";","|"),"+","|"),"|",REPT(" ",LEN(Registro!$F1001))),({1,2,3,4,5,6,7,8,9,10,11,12,13,14,15,16,17,18,19,20,21,22,23,24,25,26,27,28,29,30}-1)*LEN(Registro!$F1001)+1,LEN(Registro!$F1001))),FIND("x",TRIM(MID(SUBSTITUTE(SUBSTITUTE(SUBSTITUTE(SUBSTITUTE(SUBSTITUTE(LOWER(Registro!$F1001)," ",""),CHAR(10),"|"),";","|"),"+","|"),"|",REPT(" ",LEN(Registro!$F1001))),({1,2,3,4,5,6,7,8,9,10,11,12,13,14,15,16,17,18,19,20,21,22,23,24,25,26,27,28,29,30}-1)*LEN(Registro!$F1001)+1,LEN(Registro!$F1001)))&amp;"x")-1))),"Revisar formato")))</f>
        <v/>
      </c>
      <c r="G1001" s="24" t="str">
        <f>IF(Registro!$F1001="","",IF(ISERROR(FIND("x",LOWER(Registro!$F1001))),N(Registro!$G1001),IFERROR(SUMPRODUCT(--("0"&amp;LEFT(TRIM(MID(SUBSTITUTE(SUBSTITUTE(SUBSTITUTE(SUBSTITUTE(SUBSTITUTE(LOWER(Registro!$F1001)," ",""),CHAR(10),"|"),";","|"),"+","|"),"|",REPT(" ",LEN(Registro!$F1001))),({1,2,3,4,5,6,7,8,9,10,11,12,13,14,15,16,17,18,19,20,21,22,23,24,25,26,27,28,29,30}-1)*LEN(Registro!$F1001)+1,LEN(Registro!$F1001))),FIND("x",TRIM(MID(SUBSTITUTE(SUBSTITUTE(SUBSTITUTE(SUBSTITUTE(SUBSTITUTE(LOWER(Registro!$F1001)," ",""),CHAR(10),"|"),";","|"),"+","|"),"|",REPT(" ",LEN(Registro!$F1001))),({1,2,3,4,5,6,7,8,9,10,11,12,13,14,15,16,17,18,19,20,21,22,23,24,25,26,27,28,29,30}-1)*LEN(Registro!$F1001)+1,LEN(Registro!$F1001)))&amp;"x")-1)),--("0"&amp;MID(TRIM(MID(SUBSTITUTE(SUBSTITUTE(SUBSTITUTE(SUBSTITUTE(SUBSTITUTE(LOWER(Registro!$F1001)," ",""),CHAR(10),"|"),";","|"),"+","|"),"|",REPT(" ",LEN(Registro!$F1001))),({1,2,3,4,5,6,7,8,9,10,11,12,13,14,15,16,17,18,19,20,21,22,23,24,25,26,27,28,29,30}-1)*LEN(Registro!$F1001)+1,LEN(Registro!$F1001))),FIND("x",TRIM(MID(SUBSTITUTE(SUBSTITUTE(SUBSTITUTE(SUBSTITUTE(SUBSTITUTE(LOWER(Registro!$F1001)," ",""),CHAR(10),"|"),";","|"),"+","|"),"|",REPT(" ",LEN(Registro!$F1001))),({1,2,3,4,5,6,7,8,9,10,11,12,13,14,15,16,17,18,19,20,21,22,23,24,25,26,27,28,29,30}-1)*LEN(Registro!$F1001)+1,LEN(Registro!$F1001)))&amp;"x")+1,20))),"Revisar formato")))</f>
        <v/>
      </c>
      <c r="H1001" s="21" t="str">
        <f>IF(AND(Registro!$E1001="",Registro!$F1001=""),"",IF(NOT(AND(ISNUMBER(G1001),ISNUMBER(Registro!$G1001))),"",IF(G1001&lt;Registro!$G1001,"FALTA BOLETOS",IF(G1001=Registro!$G1001,"CONFORME","DIFERENCIA"))))</f>
        <v/>
      </c>
      <c r="I1001" s="24" t="str">
        <f>IF(Registro!$H1001="","",IFERROR(SUMPRODUCT(--("0"&amp;TRIM(RIGHT(SUBSTITUTE(TRIM(MID(SUBSTITUTE(SUBSTITUTE(Registro!$H1001,";",CHAR(10)),CHAR(10),REPT(" ",LEN(Registro!$H1001))),({1,2,3,4,5,6,7,8,9,10,11,12,13,14,15,16,17,18,19,20,21,22,23,24,25,26,27,28,29,30}-1)*LEN(Registro!$H1001)+1,LEN(Registro!$H1001)))," ",REPT(" ",50)),50)))),"Revisar formato"))</f>
        <v/>
      </c>
      <c r="J1001" s="24" t="str">
        <f>IF(Registro!$I1001="","",IFERROR(SUMPRODUCT(--("0"&amp;TRIM(RIGHT(SUBSTITUTE(TRIM(MID(SUBSTITUTE(SUBSTITUTE(Registro!$I1001,";",CHAR(10)),CHAR(10),REPT(" ",LEN(Registro!$I1001))),({1,2,3,4,5,6,7,8,9,10,11,12,13,14,15,16,17,18,19,20,21,22,23,24,25,26,27,28,29,30}-1)*LEN(Registro!$I1001)+1,LEN(Registro!$I1001)))," ",REPT(" ",50)),50)))),"Revisar formato"))</f>
        <v/>
      </c>
      <c r="K1001" s="24" t="str">
        <f>IF(AND(Registro!$G1001="",Registro!$H1001=""),"",IF(AND(ISTEXT(I1001),I1001&lt;&gt;""),"Revisar formato",N(Registro!$G1001)-N(I1001)))</f>
        <v/>
      </c>
      <c r="L1001" s="24" t="str">
        <f t="shared" si="31"/>
        <v/>
      </c>
      <c r="M1001" s="36" t="str">
        <f>IF(AND(A1001=Consulta!$B$3,C1001=Consulta!$H$3),B1001*10000+ROW(),"")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Inicio</vt:lpstr>
      <vt:lpstr>Registro</vt:lpstr>
      <vt:lpstr>Consulta</vt:lpstr>
      <vt:lpstr>Resumen</vt:lpstr>
      <vt:lpstr>Cálculo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DIV</cp:lastModifiedBy>
  <cp:revision>0</cp:revision>
  <dcterms:created xsi:type="dcterms:W3CDTF">2026-10-26T03:06:28Z</dcterms:created>
  <dcterms:modified xsi:type="dcterms:W3CDTF">2026-10-27T00:26:43Z</dcterms:modified>
  <dc:language>en-US</dc:language>
</cp:coreProperties>
</file>